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20EB490-7B3B-4E91-B6E9-5E137E1C8016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Ringkasan" sheetId="1" r:id="rId1"/>
    <sheet name="Cleaning_Log" sheetId="2" r:id="rId2"/>
    <sheet name="Validation" sheetId="3" r:id="rId3"/>
    <sheet name="Data_Dictionary" sheetId="4" r:id="rId4"/>
    <sheet name="Category_Check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5" l="1"/>
  <c r="E11" i="5"/>
  <c r="E10" i="5"/>
  <c r="E9" i="5"/>
  <c r="E8" i="5"/>
  <c r="E7" i="5"/>
  <c r="E6" i="5"/>
  <c r="E5" i="5"/>
  <c r="E4" i="5"/>
  <c r="E3" i="5"/>
  <c r="E2" i="5"/>
  <c r="E11" i="3"/>
  <c r="E9" i="3"/>
  <c r="D9" i="3"/>
  <c r="E8" i="3"/>
  <c r="D8" i="3"/>
  <c r="E7" i="3"/>
  <c r="D7" i="3"/>
  <c r="D6" i="3"/>
  <c r="E6" i="3" s="1"/>
  <c r="E5" i="3"/>
  <c r="D5" i="3"/>
  <c r="E4" i="3"/>
  <c r="D4" i="3"/>
  <c r="E3" i="3"/>
  <c r="D3" i="3"/>
  <c r="D2" i="3"/>
  <c r="E2" i="3" s="1"/>
  <c r="B15" i="1"/>
  <c r="B13" i="1"/>
  <c r="B12" i="1"/>
  <c r="B11" i="1"/>
  <c r="B10" i="1"/>
  <c r="B7" i="1"/>
</calcChain>
</file>

<file path=xl/sharedStrings.xml><?xml version="1.0" encoding="utf-8"?>
<sst xmlns="http://schemas.openxmlformats.org/spreadsheetml/2006/main" count="364" uniqueCount="226">
  <si>
    <t>DATA CLEANING LOG - Product Performance &amp; Profitability Analysis</t>
  </si>
  <si>
    <t>Metrik</t>
  </si>
  <si>
    <t>Nilai</t>
  </si>
  <si>
    <t>Keterangan</t>
  </si>
  <si>
    <t>Jumlah baris data mentah</t>
  </si>
  <si>
    <t>Sebelum cleaning</t>
  </si>
  <si>
    <t>Jumlah baris data bersih</t>
  </si>
  <si>
    <t>Setelah cleaning</t>
  </si>
  <si>
    <t>Baris dihapus</t>
  </si>
  <si>
    <t>Tidak ada baris yang dihapus</t>
  </si>
  <si>
    <t>Jumlah kolom mentah</t>
  </si>
  <si>
    <t>Jumlah kolom bersih</t>
  </si>
  <si>
    <t>12 kolom asli + 8 kolom turunan</t>
  </si>
  <si>
    <t>Jumlah pengecekan (item log)</t>
  </si>
  <si>
    <t>Item berstatus OK (tidak ada masalah)</t>
  </si>
  <si>
    <t>Item berstatus Transformed (data diubah)</t>
  </si>
  <si>
    <t>Perubahan tipe/format + kolom turunan</t>
  </si>
  <si>
    <t>Item berstatus Flagged (ditandai, tidak dihapus)</t>
  </si>
  <si>
    <t>Tanggal masa depan dan outlier revenue</t>
  </si>
  <si>
    <t>Order bertanggal masa depan (&gt; 30 Sep 2026)</t>
  </si>
  <si>
    <t>Ditandai is_future_date = 1</t>
  </si>
  <si>
    <t>Persentase order bertanggal masa depan</t>
  </si>
  <si>
    <t>Order outlier revenue</t>
  </si>
  <si>
    <t>Ditandai is_revenue_outlier = 1; tidak dihapus</t>
  </si>
  <si>
    <t>Catatan penting</t>
  </si>
  <si>
    <t>Semua nilai pada kolom Nilai yang berupa angka tetap (bukan rumus) berasal dari hasil profiling script Python pada data mentah.</t>
  </si>
  <si>
    <t>No</t>
  </si>
  <si>
    <t>Tahap</t>
  </si>
  <si>
    <t>Checklist</t>
  </si>
  <si>
    <t>Kolom</t>
  </si>
  <si>
    <t>Metode Pengecekan</t>
  </si>
  <si>
    <t>Temuan</t>
  </si>
  <si>
    <t>Baris Terdampak</t>
  </si>
  <si>
    <t>Tindakan</t>
  </si>
  <si>
    <t>Status</t>
  </si>
  <si>
    <t>Alasan / Catatan</t>
  </si>
  <si>
    <t>Profiling</t>
  </si>
  <si>
    <t>Missing value</t>
  </si>
  <si>
    <t>Semua 12 kolom</t>
  </si>
  <si>
    <t>isna().sum() per kolom</t>
  </si>
  <si>
    <t>Tidak ada nilai kosong pada seluruh kolom.</t>
  </si>
  <si>
    <t>Tidak ada tindakan (tidak perlu imputasi/drop).</t>
  </si>
  <si>
    <t>OK</t>
  </si>
  <si>
    <t>Total sel kosong = 0.</t>
  </si>
  <si>
    <t>Duplicate</t>
  </si>
  <si>
    <t>Seluruh baris &amp; order_id</t>
  </si>
  <si>
    <t>duplicated() pada seluruh kolom dan pada order_id</t>
  </si>
  <si>
    <t>Tidak ada baris ganda; order_id unik dan berurutan 10001-15000.</t>
  </si>
  <si>
    <t>Tidak ada tindakan. Perintah drop_duplicates tetap dijalankan di pipeline.</t>
  </si>
  <si>
    <t>1 baris = 1 order.</t>
  </si>
  <si>
    <t>Cleaning</t>
  </si>
  <si>
    <t>Invalid data</t>
  </si>
  <si>
    <t>quantity</t>
  </si>
  <si>
    <t>Cek quantity &gt;= 1</t>
  </si>
  <si>
    <t>Rentang 1-7, semua valid.</t>
  </si>
  <si>
    <t>Tidak ada tindakan.</t>
  </si>
  <si>
    <t>unit_price</t>
  </si>
  <si>
    <t>Cek unit_price &gt; 0</t>
  </si>
  <si>
    <t>Rentang 15,15 - 599,96, semua valid.</t>
  </si>
  <si>
    <t>discount</t>
  </si>
  <si>
    <t>Cek 0 &lt;= discount &lt;= 1</t>
  </si>
  <si>
    <t>Rentang 0,00 - 0,35 (0-35%), semua valid.</t>
  </si>
  <si>
    <t>Sesuai charter: diskon 0-35%.</t>
  </si>
  <si>
    <t>delivery_days</t>
  </si>
  <si>
    <t>Cek delivery_days &gt;= 1</t>
  </si>
  <si>
    <t>Rentang 1-11 hari, semua valid.</t>
  </si>
  <si>
    <t>customer_rating</t>
  </si>
  <si>
    <t>Cek 1 &lt;= rating &lt;= 5</t>
  </si>
  <si>
    <t>Rentang 1,0 - 5,0, semua valid.</t>
  </si>
  <si>
    <t>revenue</t>
  </si>
  <si>
    <t>Cek revenue &gt; 0 dan revenue = quantity x unit_price x (1 - discount)</t>
  </si>
  <si>
    <t>Revenue positif dan cocok dengan rumus pada seluruh baris (selisih maks. 0,01 karena pembulatan).</t>
  </si>
  <si>
    <t>Dipakai sebagai dasar KPI Net Revenue.</t>
  </si>
  <si>
    <t>order_date</t>
  </si>
  <si>
    <t>Bandingkan tanggal order dengan tanggal hari ini (30 Sep 2026)</t>
  </si>
  <si>
    <t>Periode data 2022-01-01 s.d. 2035-09-09. Sebanyak 3.266 order (65.3%) bertanggal setelah 30 Sep 2026 (tanggal di masa depan).</t>
  </si>
  <si>
    <t>Baris TIDAK dihapus. Ditandai dengan kolom baru is_future_date = 1. Analisis produk memakai seluruh baris; analisis waktu diberi catatan dan uji sensitivitas (data &lt;= 30 Sep 2026).</t>
  </si>
  <si>
    <t>Flagged</t>
  </si>
  <si>
    <t>Keputusan: baris dipertahankan karena nilai transaksi konsisten dan penghapusan akan membuang 65% data. Perlu dikonfirmasi ke pemilik data (kemungkinan data simulasi / salah tahun).</t>
  </si>
  <si>
    <t>Data type</t>
  </si>
  <si>
    <t>dtypes</t>
  </si>
  <si>
    <t>Tersimpan sebagai teks (object) berformat m/d/yyyy.</t>
  </si>
  <si>
    <t>Diubah ke tipe datetime.</t>
  </si>
  <si>
    <t>Transformed</t>
  </si>
  <si>
    <t>Diperlukan untuk analisis tren.</t>
  </si>
  <si>
    <t>order_id, customer_id, quantity, delivery_days</t>
  </si>
  <si>
    <t>Sudah integer.</t>
  </si>
  <si>
    <t>Dipastikan bertipe int64.</t>
  </si>
  <si>
    <t>unit_price, discount, customer_rating, revenue</t>
  </si>
  <si>
    <t>Sudah numerik (float).</t>
  </si>
  <si>
    <t>Dipastikan bertipe float64.</t>
  </si>
  <si>
    <t>Format tanggal</t>
  </si>
  <si>
    <t>pd.to_datetime(format="%m/%d/%Y", errors="coerce")</t>
  </si>
  <si>
    <t>Seluruh tanggal berhasil di-parse (gagal parse = 0). Satu order per hari, berurutan.</t>
  </si>
  <si>
    <t>Format distandarkan ke YYYY-MM-DD.</t>
  </si>
  <si>
    <t>Menghindari salah baca format bulan/hari.</t>
  </si>
  <si>
    <t>Outlier</t>
  </si>
  <si>
    <t>Metode IQR: batas atas = Q3 + 1.5 x IQR = 3.257,43</t>
  </si>
  <si>
    <t>67 order di atas batas atas. Semuanya order besar: quantity 6-7 unit, harga satuan 493-599 dan diskon maks. 20% (rata-rata 7,5%). Nilainya wajar.</t>
  </si>
  <si>
    <t>Tidak dihapus. Ditandai dengan is_revenue_outlier = 1.</t>
  </si>
  <si>
    <t>Bukan kesalahan input; revenue terverifikasi sama dengan rumus.</t>
  </si>
  <si>
    <t>unit_price, quantity, delivery_days</t>
  </si>
  <si>
    <t>Metode IQR</t>
  </si>
  <si>
    <t>Tidak ada outlier.</t>
  </si>
  <si>
    <t>Sebaran mendekati merata (uniform).</t>
  </si>
  <si>
    <t>Inconsistent category</t>
  </si>
  <si>
    <t>product_category</t>
  </si>
  <si>
    <t>value_counts() + cek spasi/huruf besar-kecil</t>
  </si>
  <si>
    <t>4 kategori konsisten: Electronics, Clothing, Home, Beauty. Tidak ada salah eja/spasi.</t>
  </si>
  <si>
    <t>strip() + title() tetap diterapkan (tidak ada perubahan nilai).</t>
  </si>
  <si>
    <t>region, payment_method</t>
  </si>
  <si>
    <t>region 4 nilai (North, South, East, West); payment_method 3 nilai (Card, COD, Wallet). Konsisten.</t>
  </si>
  <si>
    <t>strip() diterapkan (tidak ada perubahan nilai).</t>
  </si>
  <si>
    <t>Transformation</t>
  </si>
  <si>
    <t>Kolom turunan</t>
  </si>
  <si>
    <t>year, month, year_month</t>
  </si>
  <si>
    <t>Ekstrak dari order_date</t>
  </si>
  <si>
    <t>Kolom waktu ditambahkan untuk analisis tren.</t>
  </si>
  <si>
    <t>Ditambahkan 3 kolom.</t>
  </si>
  <si>
    <t>gross_sales, discount_value</t>
  </si>
  <si>
    <t>gross_sales = quantity x unit_price; discount_value = gross_sales - revenue</t>
  </si>
  <si>
    <t>Diperlukan untuk KPI Gross Sales Value dan Discount Rate sesuai charter.</t>
  </si>
  <si>
    <t>Ditambahkan 2 kolom.</t>
  </si>
  <si>
    <t>discount_band</t>
  </si>
  <si>
    <t>Pengelompokan discount per 5 poin persen</t>
  </si>
  <si>
    <t>7 kelompok diskon (0-5% s.d. &gt;30-35%) untuk analisis dampak diskon.</t>
  </si>
  <si>
    <t>Ditambahkan 1 kolom.</t>
  </si>
  <si>
    <t>is_future_date, is_revenue_outlier</t>
  </si>
  <si>
    <t>Flag 0/1</t>
  </si>
  <si>
    <t>Penanda baris bermasalah supaya bisa difilter tanpa menghapus data.</t>
  </si>
  <si>
    <t>Validation</t>
  </si>
  <si>
    <t>Data validation</t>
  </si>
  <si>
    <t>Seluruh dataset</t>
  </si>
  <si>
    <t>Bandingkan jumlah baris, total revenue, total quantity sebelum vs sesudah</t>
  </si>
  <si>
    <t>Jumlah baris, total revenue dan total quantity identik (lihat sheet Validation).</t>
  </si>
  <si>
    <t>Dataset siap dipakai untuk EDA.</t>
  </si>
  <si>
    <t>Tidak ada baris yang dihapus.</t>
  </si>
  <si>
    <t>Pengecekan</t>
  </si>
  <si>
    <t>Sebelum Cleaning</t>
  </si>
  <si>
    <t>Sesudah Cleaning</t>
  </si>
  <si>
    <t>Selisih</t>
  </si>
  <si>
    <t>Hasil</t>
  </si>
  <si>
    <t>Jumlah baris</t>
  </si>
  <si>
    <t>Total revenue</t>
  </si>
  <si>
    <t>Total quantity</t>
  </si>
  <si>
    <t>Jumlah customer unik</t>
  </si>
  <si>
    <t>Jumlah order_id unik</t>
  </si>
  <si>
    <t>Jumlah missing value</t>
  </si>
  <si>
    <t>Jumlah baris duplikat</t>
  </si>
  <si>
    <t>Baris revenue tidak cocok rumus</t>
  </si>
  <si>
    <t>Cek identitas: gross_sales - discount_value - revenue (selisih maksimum)</t>
  </si>
  <si>
    <t>Asal</t>
  </si>
  <si>
    <t>Tipe Data Mentah</t>
  </si>
  <si>
    <t>Tipe Data Bersih</t>
  </si>
  <si>
    <t>Deskripsi</t>
  </si>
  <si>
    <t>Rentang / Nilai</t>
  </si>
  <si>
    <t>order_id</t>
  </si>
  <si>
    <t>Asli</t>
  </si>
  <si>
    <t>int64</t>
  </si>
  <si>
    <t>ID unik order (1 baris = 1 order)</t>
  </si>
  <si>
    <t>10001 - 15000</t>
  </si>
  <si>
    <t>object (teks m/d/yyyy)</t>
  </si>
  <si>
    <t>datetime (YYYY-MM-DD)</t>
  </si>
  <si>
    <t>Tanggal order</t>
  </si>
  <si>
    <t>2022-01-01 s.d. 2035-09-09</t>
  </si>
  <si>
    <t>customer_id</t>
  </si>
  <si>
    <t>ID customer (hanya untuk hitung jumlah customer)</t>
  </si>
  <si>
    <t>1000 - 1999 (989 unik)</t>
  </si>
  <si>
    <t>object</t>
  </si>
  <si>
    <t>Kategori produk</t>
  </si>
  <si>
    <t>Electronics, Clothing, Home, Beauty</t>
  </si>
  <si>
    <t>region</t>
  </si>
  <si>
    <t>Wilayah (konteks/filter)</t>
  </si>
  <si>
    <t>North, South, East, West</t>
  </si>
  <si>
    <t>Jumlah unit per order</t>
  </si>
  <si>
    <t>1 - 7</t>
  </si>
  <si>
    <t>float64</t>
  </si>
  <si>
    <t>Harga satuan sebelum diskon</t>
  </si>
  <si>
    <t>15,15 - 599,96</t>
  </si>
  <si>
    <t>Diskon (pecahan, 0,18 = 18%)</t>
  </si>
  <si>
    <t>0,00 - 0,35</t>
  </si>
  <si>
    <t>payment_method</t>
  </si>
  <si>
    <t>Metode pembayaran (konteks/filter)</t>
  </si>
  <si>
    <t>Card, COD, Wallet</t>
  </si>
  <si>
    <t>Lama pengiriman (hari)</t>
  </si>
  <si>
    <t>1 - 11</t>
  </si>
  <si>
    <t>Rating pelanggan</t>
  </si>
  <si>
    <t>1,0 - 5,0</t>
  </si>
  <si>
    <t>Net revenue = quantity x unit_price x (1 - discount)</t>
  </si>
  <si>
    <t>11,21 - 4.119,33</t>
  </si>
  <si>
    <t>year</t>
  </si>
  <si>
    <t>Turunan</t>
  </si>
  <si>
    <t>-</t>
  </si>
  <si>
    <t>Tahun order</t>
  </si>
  <si>
    <t>2022 - 2035</t>
  </si>
  <si>
    <t>month</t>
  </si>
  <si>
    <t>Bulan order</t>
  </si>
  <si>
    <t>1 - 12</t>
  </si>
  <si>
    <t>year_month</t>
  </si>
  <si>
    <t>Periode YYYY-MM</t>
  </si>
  <si>
    <t>gross_sales</t>
  </si>
  <si>
    <t>quantity x unit_price (nilai penjualan kotor)</t>
  </si>
  <si>
    <t>discount_value</t>
  </si>
  <si>
    <t>gross_sales - revenue (nilai diskon)</t>
  </si>
  <si>
    <t>Kelompok diskon per 5 poin persen</t>
  </si>
  <si>
    <t>0-5% s.d. &gt;30-35%</t>
  </si>
  <si>
    <t>is_future_date</t>
  </si>
  <si>
    <t>1 jika order_date &gt; 30 Sep 2026</t>
  </si>
  <si>
    <t>0 / 1</t>
  </si>
  <si>
    <t>is_revenue_outlier</t>
  </si>
  <si>
    <t>1 jika revenue &gt; batas atas IQR</t>
  </si>
  <si>
    <t>Nilai Kategori</t>
  </si>
  <si>
    <t>Jumlah Baris (Mentah)</t>
  </si>
  <si>
    <t>Jumlah Baris (Bersih)</t>
  </si>
  <si>
    <t>Electronics</t>
  </si>
  <si>
    <t>Clothing</t>
  </si>
  <si>
    <t>Home</t>
  </si>
  <si>
    <t>Beauty</t>
  </si>
  <si>
    <t>West</t>
  </si>
  <si>
    <t>North</t>
  </si>
  <si>
    <t>East</t>
  </si>
  <si>
    <t>South</t>
  </si>
  <si>
    <t>Card</t>
  </si>
  <si>
    <t>COD</t>
  </si>
  <si>
    <t>Wallet</t>
  </si>
  <si>
    <t>Konsisten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</si>
</sst>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top"/>
    </xf>
    <xf numFmtId="0" fontId="3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5" fillId="0" borderId="0" xfId="0" applyFont="1"/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0"/>
  <sheetViews>
    <sheetView tabSelected="1" zoomScaleNormal="100" workbookViewId="0">
      <selection activeCell="A17" sqref="A17"/>
    </sheetView>
  </sheetViews>
  <sheetFormatPr defaultColWidth="8.6328125" defaultRowHeight="14.5" x14ac:dyDescent="0.35"/>
  <cols>
    <col min="1" max="1" width="52" customWidth="1"/>
    <col min="2" max="2" width="14" customWidth="1"/>
    <col min="3" max="3" width="55" customWidth="1"/>
  </cols>
  <sheetData>
    <row r="2" spans="1:3" ht="17.5" x14ac:dyDescent="0.35">
      <c r="A2" s="18" t="s">
        <v>0</v>
      </c>
      <c r="B2" s="16"/>
      <c r="C2" s="16"/>
    </row>
    <row r="3" spans="1:3" x14ac:dyDescent="0.35">
      <c r="A3" s="16"/>
      <c r="B3" s="16"/>
      <c r="C3" s="16"/>
    </row>
    <row r="4" spans="1:3" x14ac:dyDescent="0.35">
      <c r="A4" s="5" t="s">
        <v>1</v>
      </c>
      <c r="B4" s="5" t="s">
        <v>2</v>
      </c>
      <c r="C4" s="5" t="s">
        <v>3</v>
      </c>
    </row>
    <row r="5" spans="1:3" x14ac:dyDescent="0.35">
      <c r="A5" s="2" t="s">
        <v>4</v>
      </c>
      <c r="B5" s="19">
        <v>5000</v>
      </c>
      <c r="C5" s="2" t="s">
        <v>5</v>
      </c>
    </row>
    <row r="6" spans="1:3" x14ac:dyDescent="0.35">
      <c r="A6" s="2" t="s">
        <v>6</v>
      </c>
      <c r="B6" s="19">
        <v>5000</v>
      </c>
      <c r="C6" s="2" t="s">
        <v>7</v>
      </c>
    </row>
    <row r="7" spans="1:3" x14ac:dyDescent="0.35">
      <c r="A7" s="2" t="s">
        <v>8</v>
      </c>
      <c r="B7" s="19">
        <f>B5-B6</f>
        <v>0</v>
      </c>
      <c r="C7" s="2" t="s">
        <v>9</v>
      </c>
    </row>
    <row r="8" spans="1:3" x14ac:dyDescent="0.35">
      <c r="A8" s="2" t="s">
        <v>10</v>
      </c>
      <c r="B8" s="19">
        <v>12</v>
      </c>
      <c r="C8" s="2"/>
    </row>
    <row r="9" spans="1:3" x14ac:dyDescent="0.35">
      <c r="A9" s="2" t="s">
        <v>11</v>
      </c>
      <c r="B9" s="19">
        <v>20</v>
      </c>
      <c r="C9" s="2" t="s">
        <v>12</v>
      </c>
    </row>
    <row r="10" spans="1:3" x14ac:dyDescent="0.35">
      <c r="A10" s="2" t="s">
        <v>13</v>
      </c>
      <c r="B10" s="19">
        <f>COUNTA(Cleaning_Log!A2:A23)</f>
        <v>22</v>
      </c>
      <c r="C10" s="2"/>
    </row>
    <row r="11" spans="1:3" x14ac:dyDescent="0.35">
      <c r="A11" s="2" t="s">
        <v>14</v>
      </c>
      <c r="B11" s="19">
        <f>COUNTIF(Cleaning_Log!I2:I23,"OK")</f>
        <v>14</v>
      </c>
      <c r="C11" s="2"/>
    </row>
    <row r="12" spans="1:3" x14ac:dyDescent="0.35">
      <c r="A12" s="2" t="s">
        <v>15</v>
      </c>
      <c r="B12" s="19">
        <f>COUNTIF(Cleaning_Log!I2:I23,"Transformed")</f>
        <v>6</v>
      </c>
      <c r="C12" s="2" t="s">
        <v>16</v>
      </c>
    </row>
    <row r="13" spans="1:3" x14ac:dyDescent="0.35">
      <c r="A13" s="2" t="s">
        <v>17</v>
      </c>
      <c r="B13" s="19">
        <f>COUNTIF(Cleaning_Log!I2:I23,"Flagged")</f>
        <v>2</v>
      </c>
      <c r="C13" s="2" t="s">
        <v>18</v>
      </c>
    </row>
    <row r="14" spans="1:3" x14ac:dyDescent="0.35">
      <c r="A14" s="2" t="s">
        <v>19</v>
      </c>
      <c r="B14" s="19">
        <v>3266</v>
      </c>
      <c r="C14" s="2" t="s">
        <v>20</v>
      </c>
    </row>
    <row r="15" spans="1:3" x14ac:dyDescent="0.35">
      <c r="A15" s="2" t="s">
        <v>21</v>
      </c>
      <c r="B15" s="20">
        <f>B14/B5</f>
        <v>0.6532</v>
      </c>
      <c r="C15" s="2"/>
    </row>
    <row r="16" spans="1:3" x14ac:dyDescent="0.35">
      <c r="A16" s="2" t="s">
        <v>22</v>
      </c>
      <c r="B16" s="19">
        <v>67</v>
      </c>
      <c r="C16" s="2" t="s">
        <v>23</v>
      </c>
    </row>
    <row r="17" spans="1:3" x14ac:dyDescent="0.35">
      <c r="A17" s="16"/>
      <c r="B17" s="16"/>
      <c r="C17" s="16"/>
    </row>
    <row r="18" spans="1:3" x14ac:dyDescent="0.35">
      <c r="A18" s="17" t="s">
        <v>24</v>
      </c>
      <c r="B18" s="16"/>
      <c r="C18" s="16"/>
    </row>
    <row r="19" spans="1:3" x14ac:dyDescent="0.35">
      <c r="A19" s="8" t="s">
        <v>25</v>
      </c>
      <c r="B19" s="16"/>
      <c r="C19" s="16"/>
    </row>
    <row r="20" spans="1:3" x14ac:dyDescent="0.35">
      <c r="A20" s="8"/>
      <c r="B20" s="16"/>
      <c r="C20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F1" zoomScaleNormal="100" workbookViewId="0">
      <pane ySplit="1" topLeftCell="A2" activePane="bottomLeft" state="frozen"/>
      <selection pane="bottomLeft" activeCell="H26" sqref="H26"/>
    </sheetView>
  </sheetViews>
  <sheetFormatPr defaultColWidth="8.6328125" defaultRowHeight="14.5" x14ac:dyDescent="0.35"/>
  <cols>
    <col min="1" max="1" width="5" customWidth="1"/>
    <col min="2" max="2" width="14" customWidth="1"/>
    <col min="3" max="3" width="20" customWidth="1"/>
    <col min="4" max="4" width="26" customWidth="1"/>
    <col min="5" max="5" width="40" customWidth="1"/>
    <col min="6" max="6" width="55" customWidth="1"/>
    <col min="7" max="7" width="14" customWidth="1"/>
    <col min="8" max="8" width="48" customWidth="1"/>
    <col min="9" max="9" width="13" customWidth="1"/>
    <col min="10" max="10" width="46" customWidth="1"/>
  </cols>
  <sheetData>
    <row r="1" spans="1:10" ht="26" x14ac:dyDescent="0.35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</row>
    <row r="2" spans="1:10" x14ac:dyDescent="0.35">
      <c r="A2" s="6">
        <v>1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12">
        <v>0</v>
      </c>
      <c r="H2" s="6" t="s">
        <v>41</v>
      </c>
      <c r="I2" s="13" t="s">
        <v>42</v>
      </c>
      <c r="J2" s="6" t="s">
        <v>43</v>
      </c>
    </row>
    <row r="3" spans="1:10" ht="26" x14ac:dyDescent="0.35">
      <c r="A3" s="6">
        <v>2</v>
      </c>
      <c r="B3" s="6" t="s">
        <v>36</v>
      </c>
      <c r="C3" s="6" t="s">
        <v>44</v>
      </c>
      <c r="D3" s="6" t="s">
        <v>45</v>
      </c>
      <c r="E3" s="6" t="s">
        <v>46</v>
      </c>
      <c r="F3" s="6" t="s">
        <v>47</v>
      </c>
      <c r="G3" s="12">
        <v>0</v>
      </c>
      <c r="H3" s="6" t="s">
        <v>48</v>
      </c>
      <c r="I3" s="13" t="s">
        <v>42</v>
      </c>
      <c r="J3" s="6" t="s">
        <v>49</v>
      </c>
    </row>
    <row r="4" spans="1:10" x14ac:dyDescent="0.35">
      <c r="A4" s="6">
        <v>3</v>
      </c>
      <c r="B4" s="6" t="s">
        <v>50</v>
      </c>
      <c r="C4" s="6" t="s">
        <v>51</v>
      </c>
      <c r="D4" s="6" t="s">
        <v>52</v>
      </c>
      <c r="E4" s="6" t="s">
        <v>53</v>
      </c>
      <c r="F4" s="6" t="s">
        <v>54</v>
      </c>
      <c r="G4" s="12">
        <v>0</v>
      </c>
      <c r="H4" s="6" t="s">
        <v>55</v>
      </c>
      <c r="I4" s="13" t="s">
        <v>42</v>
      </c>
      <c r="J4" s="6"/>
    </row>
    <row r="5" spans="1:10" x14ac:dyDescent="0.35">
      <c r="A5" s="6">
        <v>4</v>
      </c>
      <c r="B5" s="6" t="s">
        <v>50</v>
      </c>
      <c r="C5" s="6" t="s">
        <v>51</v>
      </c>
      <c r="D5" s="6" t="s">
        <v>56</v>
      </c>
      <c r="E5" s="6" t="s">
        <v>57</v>
      </c>
      <c r="F5" s="6" t="s">
        <v>58</v>
      </c>
      <c r="G5" s="12">
        <v>0</v>
      </c>
      <c r="H5" s="6" t="s">
        <v>55</v>
      </c>
      <c r="I5" s="13" t="s">
        <v>42</v>
      </c>
      <c r="J5" s="6"/>
    </row>
    <row r="6" spans="1:10" x14ac:dyDescent="0.35">
      <c r="A6" s="6">
        <v>5</v>
      </c>
      <c r="B6" s="6" t="s">
        <v>50</v>
      </c>
      <c r="C6" s="6" t="s">
        <v>51</v>
      </c>
      <c r="D6" s="6" t="s">
        <v>59</v>
      </c>
      <c r="E6" s="6" t="s">
        <v>60</v>
      </c>
      <c r="F6" s="6" t="s">
        <v>61</v>
      </c>
      <c r="G6" s="12">
        <v>0</v>
      </c>
      <c r="H6" s="6" t="s">
        <v>55</v>
      </c>
      <c r="I6" s="13" t="s">
        <v>42</v>
      </c>
      <c r="J6" s="6" t="s">
        <v>62</v>
      </c>
    </row>
    <row r="7" spans="1:10" x14ac:dyDescent="0.35">
      <c r="A7" s="6">
        <v>6</v>
      </c>
      <c r="B7" s="6" t="s">
        <v>50</v>
      </c>
      <c r="C7" s="6" t="s">
        <v>51</v>
      </c>
      <c r="D7" s="6" t="s">
        <v>63</v>
      </c>
      <c r="E7" s="6" t="s">
        <v>64</v>
      </c>
      <c r="F7" s="6" t="s">
        <v>65</v>
      </c>
      <c r="G7" s="12">
        <v>0</v>
      </c>
      <c r="H7" s="6" t="s">
        <v>55</v>
      </c>
      <c r="I7" s="13" t="s">
        <v>42</v>
      </c>
      <c r="J7" s="6"/>
    </row>
    <row r="8" spans="1:10" x14ac:dyDescent="0.35">
      <c r="A8" s="6">
        <v>7</v>
      </c>
      <c r="B8" s="6" t="s">
        <v>50</v>
      </c>
      <c r="C8" s="6" t="s">
        <v>51</v>
      </c>
      <c r="D8" s="6" t="s">
        <v>66</v>
      </c>
      <c r="E8" s="6" t="s">
        <v>67</v>
      </c>
      <c r="F8" s="6" t="s">
        <v>68</v>
      </c>
      <c r="G8" s="12">
        <v>0</v>
      </c>
      <c r="H8" s="6" t="s">
        <v>55</v>
      </c>
      <c r="I8" s="13" t="s">
        <v>42</v>
      </c>
      <c r="J8" s="6"/>
    </row>
    <row r="9" spans="1:10" ht="26" x14ac:dyDescent="0.35">
      <c r="A9" s="6">
        <v>8</v>
      </c>
      <c r="B9" s="6" t="s">
        <v>50</v>
      </c>
      <c r="C9" s="6" t="s">
        <v>51</v>
      </c>
      <c r="D9" s="6" t="s">
        <v>69</v>
      </c>
      <c r="E9" s="6" t="s">
        <v>70</v>
      </c>
      <c r="F9" s="6" t="s">
        <v>71</v>
      </c>
      <c r="G9" s="12">
        <v>0</v>
      </c>
      <c r="H9" s="6" t="s">
        <v>55</v>
      </c>
      <c r="I9" s="13" t="s">
        <v>42</v>
      </c>
      <c r="J9" s="6" t="s">
        <v>72</v>
      </c>
    </row>
    <row r="10" spans="1:10" ht="52" x14ac:dyDescent="0.35">
      <c r="A10" s="6">
        <v>9</v>
      </c>
      <c r="B10" s="6" t="s">
        <v>50</v>
      </c>
      <c r="C10" s="6" t="s">
        <v>51</v>
      </c>
      <c r="D10" s="6" t="s">
        <v>73</v>
      </c>
      <c r="E10" s="6" t="s">
        <v>74</v>
      </c>
      <c r="F10" s="6" t="s">
        <v>75</v>
      </c>
      <c r="G10" s="12">
        <v>3266</v>
      </c>
      <c r="H10" s="6" t="s">
        <v>76</v>
      </c>
      <c r="I10" s="14" t="s">
        <v>77</v>
      </c>
      <c r="J10" s="6" t="s">
        <v>78</v>
      </c>
    </row>
    <row r="11" spans="1:10" x14ac:dyDescent="0.35">
      <c r="A11" s="6">
        <v>10</v>
      </c>
      <c r="B11" s="6" t="s">
        <v>50</v>
      </c>
      <c r="C11" s="6" t="s">
        <v>79</v>
      </c>
      <c r="D11" s="6" t="s">
        <v>73</v>
      </c>
      <c r="E11" s="6" t="s">
        <v>80</v>
      </c>
      <c r="F11" s="6" t="s">
        <v>81</v>
      </c>
      <c r="G11" s="12">
        <v>5000</v>
      </c>
      <c r="H11" s="6" t="s">
        <v>82</v>
      </c>
      <c r="I11" s="15" t="s">
        <v>83</v>
      </c>
      <c r="J11" s="6" t="s">
        <v>84</v>
      </c>
    </row>
    <row r="12" spans="1:10" ht="26" x14ac:dyDescent="0.35">
      <c r="A12" s="6">
        <v>11</v>
      </c>
      <c r="B12" s="6" t="s">
        <v>50</v>
      </c>
      <c r="C12" s="6" t="s">
        <v>79</v>
      </c>
      <c r="D12" s="6" t="s">
        <v>85</v>
      </c>
      <c r="E12" s="6" t="s">
        <v>80</v>
      </c>
      <c r="F12" s="6" t="s">
        <v>86</v>
      </c>
      <c r="G12" s="12">
        <v>0</v>
      </c>
      <c r="H12" s="6" t="s">
        <v>87</v>
      </c>
      <c r="I12" s="13" t="s">
        <v>42</v>
      </c>
      <c r="J12" s="6"/>
    </row>
    <row r="13" spans="1:10" ht="26" x14ac:dyDescent="0.35">
      <c r="A13" s="6">
        <v>12</v>
      </c>
      <c r="B13" s="6" t="s">
        <v>50</v>
      </c>
      <c r="C13" s="6" t="s">
        <v>79</v>
      </c>
      <c r="D13" s="6" t="s">
        <v>88</v>
      </c>
      <c r="E13" s="6" t="s">
        <v>80</v>
      </c>
      <c r="F13" s="6" t="s">
        <v>89</v>
      </c>
      <c r="G13" s="12">
        <v>0</v>
      </c>
      <c r="H13" s="6" t="s">
        <v>90</v>
      </c>
      <c r="I13" s="13" t="s">
        <v>42</v>
      </c>
      <c r="J13" s="6"/>
    </row>
    <row r="14" spans="1:10" ht="26" x14ac:dyDescent="0.35">
      <c r="A14" s="6">
        <v>13</v>
      </c>
      <c r="B14" s="6" t="s">
        <v>50</v>
      </c>
      <c r="C14" s="6" t="s">
        <v>91</v>
      </c>
      <c r="D14" s="6" t="s">
        <v>73</v>
      </c>
      <c r="E14" s="6" t="s">
        <v>92</v>
      </c>
      <c r="F14" s="6" t="s">
        <v>93</v>
      </c>
      <c r="G14" s="12">
        <v>0</v>
      </c>
      <c r="H14" s="6" t="s">
        <v>94</v>
      </c>
      <c r="I14" s="15" t="s">
        <v>83</v>
      </c>
      <c r="J14" s="6" t="s">
        <v>95</v>
      </c>
    </row>
    <row r="15" spans="1:10" ht="26" x14ac:dyDescent="0.35">
      <c r="A15" s="6">
        <v>14</v>
      </c>
      <c r="B15" s="6" t="s">
        <v>50</v>
      </c>
      <c r="C15" s="6" t="s">
        <v>96</v>
      </c>
      <c r="D15" s="6" t="s">
        <v>69</v>
      </c>
      <c r="E15" s="6" t="s">
        <v>97</v>
      </c>
      <c r="F15" s="6" t="s">
        <v>98</v>
      </c>
      <c r="G15" s="12">
        <v>67</v>
      </c>
      <c r="H15" s="6" t="s">
        <v>99</v>
      </c>
      <c r="I15" s="14" t="s">
        <v>77</v>
      </c>
      <c r="J15" s="6" t="s">
        <v>100</v>
      </c>
    </row>
    <row r="16" spans="1:10" ht="26" x14ac:dyDescent="0.35">
      <c r="A16" s="6">
        <v>15</v>
      </c>
      <c r="B16" s="6" t="s">
        <v>50</v>
      </c>
      <c r="C16" s="6" t="s">
        <v>96</v>
      </c>
      <c r="D16" s="6" t="s">
        <v>101</v>
      </c>
      <c r="E16" s="6" t="s">
        <v>102</v>
      </c>
      <c r="F16" s="6" t="s">
        <v>103</v>
      </c>
      <c r="G16" s="12">
        <v>0</v>
      </c>
      <c r="H16" s="6" t="s">
        <v>55</v>
      </c>
      <c r="I16" s="13" t="s">
        <v>42</v>
      </c>
      <c r="J16" s="6" t="s">
        <v>104</v>
      </c>
    </row>
    <row r="17" spans="1:10" ht="26" x14ac:dyDescent="0.35">
      <c r="A17" s="6">
        <v>16</v>
      </c>
      <c r="B17" s="6" t="s">
        <v>50</v>
      </c>
      <c r="C17" s="6" t="s">
        <v>105</v>
      </c>
      <c r="D17" s="6" t="s">
        <v>106</v>
      </c>
      <c r="E17" s="6" t="s">
        <v>107</v>
      </c>
      <c r="F17" s="6" t="s">
        <v>108</v>
      </c>
      <c r="G17" s="12">
        <v>0</v>
      </c>
      <c r="H17" s="6" t="s">
        <v>109</v>
      </c>
      <c r="I17" s="13" t="s">
        <v>42</v>
      </c>
      <c r="J17" s="6"/>
    </row>
    <row r="18" spans="1:10" ht="26" x14ac:dyDescent="0.35">
      <c r="A18" s="6">
        <v>17</v>
      </c>
      <c r="B18" s="6" t="s">
        <v>50</v>
      </c>
      <c r="C18" s="6" t="s">
        <v>105</v>
      </c>
      <c r="D18" s="6" t="s">
        <v>110</v>
      </c>
      <c r="E18" s="6" t="s">
        <v>107</v>
      </c>
      <c r="F18" s="6" t="s">
        <v>111</v>
      </c>
      <c r="G18" s="12">
        <v>0</v>
      </c>
      <c r="H18" s="6" t="s">
        <v>112</v>
      </c>
      <c r="I18" s="13" t="s">
        <v>42</v>
      </c>
      <c r="J18" s="6"/>
    </row>
    <row r="19" spans="1:10" x14ac:dyDescent="0.35">
      <c r="A19" s="6">
        <v>18</v>
      </c>
      <c r="B19" s="6" t="s">
        <v>113</v>
      </c>
      <c r="C19" s="6" t="s">
        <v>114</v>
      </c>
      <c r="D19" s="6" t="s">
        <v>115</v>
      </c>
      <c r="E19" s="6" t="s">
        <v>116</v>
      </c>
      <c r="F19" s="6" t="s">
        <v>117</v>
      </c>
      <c r="G19" s="12">
        <v>5000</v>
      </c>
      <c r="H19" s="6" t="s">
        <v>118</v>
      </c>
      <c r="I19" s="15" t="s">
        <v>83</v>
      </c>
      <c r="J19" s="6"/>
    </row>
    <row r="20" spans="1:10" ht="26" x14ac:dyDescent="0.35">
      <c r="A20" s="6">
        <v>19</v>
      </c>
      <c r="B20" s="6" t="s">
        <v>113</v>
      </c>
      <c r="C20" s="6" t="s">
        <v>114</v>
      </c>
      <c r="D20" s="6" t="s">
        <v>119</v>
      </c>
      <c r="E20" s="6" t="s">
        <v>120</v>
      </c>
      <c r="F20" s="6" t="s">
        <v>121</v>
      </c>
      <c r="G20" s="12">
        <v>5000</v>
      </c>
      <c r="H20" s="6" t="s">
        <v>122</v>
      </c>
      <c r="I20" s="15" t="s">
        <v>83</v>
      </c>
      <c r="J20" s="6"/>
    </row>
    <row r="21" spans="1:10" x14ac:dyDescent="0.35">
      <c r="A21" s="6">
        <v>20</v>
      </c>
      <c r="B21" s="6" t="s">
        <v>113</v>
      </c>
      <c r="C21" s="6" t="s">
        <v>114</v>
      </c>
      <c r="D21" s="6" t="s">
        <v>123</v>
      </c>
      <c r="E21" s="6" t="s">
        <v>124</v>
      </c>
      <c r="F21" s="6" t="s">
        <v>125</v>
      </c>
      <c r="G21" s="12">
        <v>5000</v>
      </c>
      <c r="H21" s="6" t="s">
        <v>126</v>
      </c>
      <c r="I21" s="15" t="s">
        <v>83</v>
      </c>
      <c r="J21" s="6"/>
    </row>
    <row r="22" spans="1:10" x14ac:dyDescent="0.35">
      <c r="A22" s="6">
        <v>21</v>
      </c>
      <c r="B22" s="6" t="s">
        <v>113</v>
      </c>
      <c r="C22" s="6" t="s">
        <v>114</v>
      </c>
      <c r="D22" s="6" t="s">
        <v>127</v>
      </c>
      <c r="E22" s="6" t="s">
        <v>128</v>
      </c>
      <c r="F22" s="6" t="s">
        <v>129</v>
      </c>
      <c r="G22" s="12">
        <v>5000</v>
      </c>
      <c r="H22" s="6" t="s">
        <v>122</v>
      </c>
      <c r="I22" s="15" t="s">
        <v>83</v>
      </c>
      <c r="J22" s="6"/>
    </row>
    <row r="23" spans="1:10" ht="26" x14ac:dyDescent="0.35">
      <c r="A23" s="6">
        <v>22</v>
      </c>
      <c r="B23" s="6" t="s">
        <v>130</v>
      </c>
      <c r="C23" s="6" t="s">
        <v>131</v>
      </c>
      <c r="D23" s="6" t="s">
        <v>132</v>
      </c>
      <c r="E23" s="6" t="s">
        <v>133</v>
      </c>
      <c r="F23" s="6" t="s">
        <v>134</v>
      </c>
      <c r="G23" s="12">
        <v>0</v>
      </c>
      <c r="H23" s="6" t="s">
        <v>135</v>
      </c>
      <c r="I23" s="13" t="s">
        <v>42</v>
      </c>
      <c r="J23" s="6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zoomScaleNormal="100" workbookViewId="0">
      <selection activeCell="A15" sqref="A15"/>
    </sheetView>
  </sheetViews>
  <sheetFormatPr defaultColWidth="8.6328125" defaultRowHeight="14.5" x14ac:dyDescent="0.35"/>
  <cols>
    <col min="1" max="1" width="62" customWidth="1"/>
    <col min="2" max="5" width="18" customWidth="1"/>
  </cols>
  <sheetData>
    <row r="1" spans="1:5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</row>
    <row r="2" spans="1:5" x14ac:dyDescent="0.35">
      <c r="A2" s="2" t="s">
        <v>142</v>
      </c>
      <c r="B2" s="3">
        <v>5000</v>
      </c>
      <c r="C2" s="3">
        <v>5000</v>
      </c>
      <c r="D2" s="3">
        <f t="shared" ref="D2:D9" si="0">C2-B2</f>
        <v>0</v>
      </c>
      <c r="E2" s="4" t="str">
        <f t="shared" ref="E2:E9" si="1">IF(ABS(D2)&lt;0.005,"MATCH","CHECK")</f>
        <v>MATCH</v>
      </c>
    </row>
    <row r="3" spans="1:5" x14ac:dyDescent="0.35">
      <c r="A3" s="2" t="s">
        <v>143</v>
      </c>
      <c r="B3" s="7">
        <v>5109775.74</v>
      </c>
      <c r="C3" s="7">
        <v>5109775.74</v>
      </c>
      <c r="D3" s="7">
        <f t="shared" si="0"/>
        <v>0</v>
      </c>
      <c r="E3" s="4" t="str">
        <f t="shared" si="1"/>
        <v>MATCH</v>
      </c>
    </row>
    <row r="4" spans="1:5" x14ac:dyDescent="0.35">
      <c r="A4" s="2" t="s">
        <v>144</v>
      </c>
      <c r="B4" s="3">
        <v>20224</v>
      </c>
      <c r="C4" s="3">
        <v>20224</v>
      </c>
      <c r="D4" s="3">
        <f t="shared" si="0"/>
        <v>0</v>
      </c>
      <c r="E4" s="4" t="str">
        <f t="shared" si="1"/>
        <v>MATCH</v>
      </c>
    </row>
    <row r="5" spans="1:5" x14ac:dyDescent="0.35">
      <c r="A5" s="2" t="s">
        <v>145</v>
      </c>
      <c r="B5" s="3">
        <v>989</v>
      </c>
      <c r="C5" s="3">
        <v>989</v>
      </c>
      <c r="D5" s="3">
        <f t="shared" si="0"/>
        <v>0</v>
      </c>
      <c r="E5" s="4" t="str">
        <f t="shared" si="1"/>
        <v>MATCH</v>
      </c>
    </row>
    <row r="6" spans="1:5" x14ac:dyDescent="0.35">
      <c r="A6" s="2" t="s">
        <v>146</v>
      </c>
      <c r="B6" s="3">
        <v>5000</v>
      </c>
      <c r="C6" s="3">
        <v>5000</v>
      </c>
      <c r="D6" s="3">
        <f t="shared" si="0"/>
        <v>0</v>
      </c>
      <c r="E6" s="4" t="str">
        <f t="shared" si="1"/>
        <v>MATCH</v>
      </c>
    </row>
    <row r="7" spans="1:5" x14ac:dyDescent="0.35">
      <c r="A7" s="2" t="s">
        <v>147</v>
      </c>
      <c r="B7" s="3">
        <v>0</v>
      </c>
      <c r="C7" s="3">
        <v>0</v>
      </c>
      <c r="D7" s="3">
        <f t="shared" si="0"/>
        <v>0</v>
      </c>
      <c r="E7" s="4" t="str">
        <f t="shared" si="1"/>
        <v>MATCH</v>
      </c>
    </row>
    <row r="8" spans="1:5" x14ac:dyDescent="0.35">
      <c r="A8" s="2" t="s">
        <v>148</v>
      </c>
      <c r="B8" s="3">
        <v>0</v>
      </c>
      <c r="C8" s="3">
        <v>0</v>
      </c>
      <c r="D8" s="3">
        <f t="shared" si="0"/>
        <v>0</v>
      </c>
      <c r="E8" s="4" t="str">
        <f t="shared" si="1"/>
        <v>MATCH</v>
      </c>
    </row>
    <row r="9" spans="1:5" x14ac:dyDescent="0.35">
      <c r="A9" s="2" t="s">
        <v>149</v>
      </c>
      <c r="B9" s="3">
        <v>0</v>
      </c>
      <c r="C9" s="3">
        <v>0</v>
      </c>
      <c r="D9" s="3">
        <f t="shared" si="0"/>
        <v>0</v>
      </c>
      <c r="E9" s="4" t="str">
        <f t="shared" si="1"/>
        <v>MATCH</v>
      </c>
    </row>
    <row r="10" spans="1:5" x14ac:dyDescent="0.35">
      <c r="A10" s="8"/>
      <c r="B10" s="9"/>
      <c r="C10" s="9"/>
      <c r="D10" s="9"/>
      <c r="E10" s="10"/>
    </row>
    <row r="11" spans="1:5" x14ac:dyDescent="0.35">
      <c r="A11" s="2" t="s">
        <v>150</v>
      </c>
      <c r="B11" s="3"/>
      <c r="C11" s="3">
        <v>4.5474735088646402E-13</v>
      </c>
      <c r="D11" s="3"/>
      <c r="E11" s="4" t="str">
        <f>IF(ABS(C10)&lt;0.005,"MATCH","CHECK")</f>
        <v>MATCH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4" zoomScaleNormal="100" workbookViewId="0">
      <selection activeCell="C7" sqref="C7"/>
    </sheetView>
  </sheetViews>
  <sheetFormatPr defaultColWidth="8.6328125" defaultRowHeight="14.5" x14ac:dyDescent="0.35"/>
  <cols>
    <col min="1" max="1" width="20" customWidth="1"/>
    <col min="2" max="2" width="10" customWidth="1"/>
    <col min="3" max="4" width="24" customWidth="1"/>
    <col min="5" max="5" width="52" customWidth="1"/>
    <col min="6" max="6" width="34" customWidth="1"/>
  </cols>
  <sheetData>
    <row r="1" spans="1:6" x14ac:dyDescent="0.35">
      <c r="A1" s="5" t="s">
        <v>29</v>
      </c>
      <c r="B1" s="5" t="s">
        <v>151</v>
      </c>
      <c r="C1" s="5" t="s">
        <v>152</v>
      </c>
      <c r="D1" s="5" t="s">
        <v>153</v>
      </c>
      <c r="E1" s="5" t="s">
        <v>154</v>
      </c>
      <c r="F1" s="5" t="s">
        <v>155</v>
      </c>
    </row>
    <row r="2" spans="1:6" x14ac:dyDescent="0.35">
      <c r="A2" s="6" t="s">
        <v>156</v>
      </c>
      <c r="B2" s="6" t="s">
        <v>157</v>
      </c>
      <c r="C2" s="6" t="s">
        <v>158</v>
      </c>
      <c r="D2" s="6" t="s">
        <v>158</v>
      </c>
      <c r="E2" s="6" t="s">
        <v>159</v>
      </c>
      <c r="F2" s="6" t="s">
        <v>160</v>
      </c>
    </row>
    <row r="3" spans="1:6" x14ac:dyDescent="0.35">
      <c r="A3" s="6" t="s">
        <v>73</v>
      </c>
      <c r="B3" s="6" t="s">
        <v>157</v>
      </c>
      <c r="C3" s="6" t="s">
        <v>161</v>
      </c>
      <c r="D3" s="6" t="s">
        <v>162</v>
      </c>
      <c r="E3" s="6" t="s">
        <v>163</v>
      </c>
      <c r="F3" s="6" t="s">
        <v>164</v>
      </c>
    </row>
    <row r="4" spans="1:6" x14ac:dyDescent="0.35">
      <c r="A4" s="6" t="s">
        <v>165</v>
      </c>
      <c r="B4" s="6" t="s">
        <v>157</v>
      </c>
      <c r="C4" s="6" t="s">
        <v>158</v>
      </c>
      <c r="D4" s="6" t="s">
        <v>158</v>
      </c>
      <c r="E4" s="6" t="s">
        <v>166</v>
      </c>
      <c r="F4" s="6" t="s">
        <v>167</v>
      </c>
    </row>
    <row r="5" spans="1:6" x14ac:dyDescent="0.35">
      <c r="A5" s="6" t="s">
        <v>106</v>
      </c>
      <c r="B5" s="6" t="s">
        <v>157</v>
      </c>
      <c r="C5" s="6" t="s">
        <v>168</v>
      </c>
      <c r="D5" s="6" t="s">
        <v>168</v>
      </c>
      <c r="E5" s="6" t="s">
        <v>169</v>
      </c>
      <c r="F5" s="6" t="s">
        <v>170</v>
      </c>
    </row>
    <row r="6" spans="1:6" x14ac:dyDescent="0.35">
      <c r="A6" s="6" t="s">
        <v>171</v>
      </c>
      <c r="B6" s="6" t="s">
        <v>157</v>
      </c>
      <c r="C6" s="6" t="s">
        <v>168</v>
      </c>
      <c r="D6" s="6" t="s">
        <v>168</v>
      </c>
      <c r="E6" s="6" t="s">
        <v>172</v>
      </c>
      <c r="F6" s="6" t="s">
        <v>173</v>
      </c>
    </row>
    <row r="7" spans="1:6" x14ac:dyDescent="0.35">
      <c r="A7" s="6" t="s">
        <v>52</v>
      </c>
      <c r="B7" s="6" t="s">
        <v>157</v>
      </c>
      <c r="C7" s="6" t="s">
        <v>158</v>
      </c>
      <c r="D7" s="6" t="s">
        <v>158</v>
      </c>
      <c r="E7" s="6" t="s">
        <v>174</v>
      </c>
      <c r="F7" s="6" t="s">
        <v>175</v>
      </c>
    </row>
    <row r="8" spans="1:6" x14ac:dyDescent="0.35">
      <c r="A8" s="6" t="s">
        <v>56</v>
      </c>
      <c r="B8" s="6" t="s">
        <v>157</v>
      </c>
      <c r="C8" s="6" t="s">
        <v>176</v>
      </c>
      <c r="D8" s="6" t="s">
        <v>176</v>
      </c>
      <c r="E8" s="6" t="s">
        <v>177</v>
      </c>
      <c r="F8" s="6" t="s">
        <v>178</v>
      </c>
    </row>
    <row r="9" spans="1:6" x14ac:dyDescent="0.35">
      <c r="A9" s="6" t="s">
        <v>59</v>
      </c>
      <c r="B9" s="6" t="s">
        <v>157</v>
      </c>
      <c r="C9" s="6" t="s">
        <v>176</v>
      </c>
      <c r="D9" s="6" t="s">
        <v>176</v>
      </c>
      <c r="E9" s="6" t="s">
        <v>179</v>
      </c>
      <c r="F9" s="6" t="s">
        <v>180</v>
      </c>
    </row>
    <row r="10" spans="1:6" x14ac:dyDescent="0.35">
      <c r="A10" s="6" t="s">
        <v>181</v>
      </c>
      <c r="B10" s="6" t="s">
        <v>157</v>
      </c>
      <c r="C10" s="6" t="s">
        <v>168</v>
      </c>
      <c r="D10" s="6" t="s">
        <v>168</v>
      </c>
      <c r="E10" s="6" t="s">
        <v>182</v>
      </c>
      <c r="F10" s="6" t="s">
        <v>183</v>
      </c>
    </row>
    <row r="11" spans="1:6" x14ac:dyDescent="0.35">
      <c r="A11" s="6" t="s">
        <v>63</v>
      </c>
      <c r="B11" s="6" t="s">
        <v>157</v>
      </c>
      <c r="C11" s="6" t="s">
        <v>158</v>
      </c>
      <c r="D11" s="6" t="s">
        <v>158</v>
      </c>
      <c r="E11" s="6" t="s">
        <v>184</v>
      </c>
      <c r="F11" s="6" t="s">
        <v>185</v>
      </c>
    </row>
    <row r="12" spans="1:6" x14ac:dyDescent="0.35">
      <c r="A12" s="6" t="s">
        <v>66</v>
      </c>
      <c r="B12" s="6" t="s">
        <v>157</v>
      </c>
      <c r="C12" s="6" t="s">
        <v>176</v>
      </c>
      <c r="D12" s="6" t="s">
        <v>176</v>
      </c>
      <c r="E12" s="6" t="s">
        <v>186</v>
      </c>
      <c r="F12" s="6" t="s">
        <v>187</v>
      </c>
    </row>
    <row r="13" spans="1:6" x14ac:dyDescent="0.35">
      <c r="A13" s="6" t="s">
        <v>69</v>
      </c>
      <c r="B13" s="6" t="s">
        <v>157</v>
      </c>
      <c r="C13" s="6" t="s">
        <v>176</v>
      </c>
      <c r="D13" s="6" t="s">
        <v>176</v>
      </c>
      <c r="E13" s="6" t="s">
        <v>188</v>
      </c>
      <c r="F13" s="6" t="s">
        <v>189</v>
      </c>
    </row>
    <row r="14" spans="1:6" x14ac:dyDescent="0.35">
      <c r="A14" s="6" t="s">
        <v>190</v>
      </c>
      <c r="B14" s="6" t="s">
        <v>191</v>
      </c>
      <c r="C14" s="6" t="s">
        <v>192</v>
      </c>
      <c r="D14" s="6" t="s">
        <v>158</v>
      </c>
      <c r="E14" s="6" t="s">
        <v>193</v>
      </c>
      <c r="F14" s="6" t="s">
        <v>194</v>
      </c>
    </row>
    <row r="15" spans="1:6" x14ac:dyDescent="0.35">
      <c r="A15" s="6" t="s">
        <v>195</v>
      </c>
      <c r="B15" s="6" t="s">
        <v>191</v>
      </c>
      <c r="C15" s="6" t="s">
        <v>192</v>
      </c>
      <c r="D15" s="6" t="s">
        <v>158</v>
      </c>
      <c r="E15" s="6" t="s">
        <v>196</v>
      </c>
      <c r="F15" s="6" t="s">
        <v>197</v>
      </c>
    </row>
    <row r="16" spans="1:6" x14ac:dyDescent="0.35">
      <c r="A16" s="6" t="s">
        <v>198</v>
      </c>
      <c r="B16" s="6" t="s">
        <v>191</v>
      </c>
      <c r="C16" s="6" t="s">
        <v>192</v>
      </c>
      <c r="D16" s="6" t="s">
        <v>168</v>
      </c>
      <c r="E16" s="6" t="s">
        <v>199</v>
      </c>
      <c r="F16" s="6"/>
    </row>
    <row r="17" spans="1:6" x14ac:dyDescent="0.35">
      <c r="A17" s="6" t="s">
        <v>200</v>
      </c>
      <c r="B17" s="6" t="s">
        <v>191</v>
      </c>
      <c r="C17" s="6" t="s">
        <v>192</v>
      </c>
      <c r="D17" s="6" t="s">
        <v>176</v>
      </c>
      <c r="E17" s="6" t="s">
        <v>201</v>
      </c>
      <c r="F17" s="6"/>
    </row>
    <row r="18" spans="1:6" x14ac:dyDescent="0.35">
      <c r="A18" s="6" t="s">
        <v>202</v>
      </c>
      <c r="B18" s="6" t="s">
        <v>191</v>
      </c>
      <c r="C18" s="6" t="s">
        <v>192</v>
      </c>
      <c r="D18" s="6" t="s">
        <v>176</v>
      </c>
      <c r="E18" s="6" t="s">
        <v>203</v>
      </c>
      <c r="F18" s="6"/>
    </row>
    <row r="19" spans="1:6" x14ac:dyDescent="0.35">
      <c r="A19" s="6" t="s">
        <v>123</v>
      </c>
      <c r="B19" s="6" t="s">
        <v>191</v>
      </c>
      <c r="C19" s="6" t="s">
        <v>192</v>
      </c>
      <c r="D19" s="6" t="s">
        <v>168</v>
      </c>
      <c r="E19" s="6" t="s">
        <v>204</v>
      </c>
      <c r="F19" s="6" t="s">
        <v>205</v>
      </c>
    </row>
    <row r="20" spans="1:6" x14ac:dyDescent="0.35">
      <c r="A20" s="6" t="s">
        <v>206</v>
      </c>
      <c r="B20" s="6" t="s">
        <v>191</v>
      </c>
      <c r="C20" s="6" t="s">
        <v>192</v>
      </c>
      <c r="D20" s="6" t="s">
        <v>158</v>
      </c>
      <c r="E20" s="6" t="s">
        <v>207</v>
      </c>
      <c r="F20" s="6" t="s">
        <v>208</v>
      </c>
    </row>
    <row r="21" spans="1:6" x14ac:dyDescent="0.35">
      <c r="A21" s="6" t="s">
        <v>209</v>
      </c>
      <c r="B21" s="6" t="s">
        <v>191</v>
      </c>
      <c r="C21" s="6" t="s">
        <v>192</v>
      </c>
      <c r="D21" s="6" t="s">
        <v>158</v>
      </c>
      <c r="E21" s="6" t="s">
        <v>210</v>
      </c>
      <c r="F21" s="6" t="s"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zoomScaleNormal="100" workbookViewId="0">
      <selection activeCell="F4" sqref="F4"/>
    </sheetView>
  </sheetViews>
  <sheetFormatPr defaultColWidth="8.6328125" defaultRowHeight="14.5" x14ac:dyDescent="0.35"/>
  <cols>
    <col min="1" max="1" width="20" customWidth="1"/>
    <col min="2" max="2" width="18" customWidth="1"/>
    <col min="3" max="4" width="22" customWidth="1"/>
    <col min="5" max="5" width="14" customWidth="1"/>
  </cols>
  <sheetData>
    <row r="1" spans="1:5" x14ac:dyDescent="0.35">
      <c r="A1" s="1" t="s">
        <v>29</v>
      </c>
      <c r="B1" s="1" t="s">
        <v>211</v>
      </c>
      <c r="C1" s="1" t="s">
        <v>212</v>
      </c>
      <c r="D1" s="1" t="s">
        <v>213</v>
      </c>
      <c r="E1" s="1" t="s">
        <v>225</v>
      </c>
    </row>
    <row r="2" spans="1:5" x14ac:dyDescent="0.35">
      <c r="A2" s="2" t="s">
        <v>106</v>
      </c>
      <c r="B2" s="2" t="s">
        <v>214</v>
      </c>
      <c r="C2" s="3">
        <v>1777</v>
      </c>
      <c r="D2" s="3">
        <v>1777</v>
      </c>
      <c r="E2" s="4" t="str">
        <f t="shared" ref="E2:E12" si="0">IF(C2=D2,"Ya","Tidak")</f>
        <v>Ya</v>
      </c>
    </row>
    <row r="3" spans="1:5" x14ac:dyDescent="0.35">
      <c r="A3" s="2" t="s">
        <v>106</v>
      </c>
      <c r="B3" s="2" t="s">
        <v>215</v>
      </c>
      <c r="C3" s="3">
        <v>1531</v>
      </c>
      <c r="D3" s="3">
        <v>1531</v>
      </c>
      <c r="E3" s="4" t="str">
        <f t="shared" si="0"/>
        <v>Ya</v>
      </c>
    </row>
    <row r="4" spans="1:5" x14ac:dyDescent="0.35">
      <c r="A4" s="2" t="s">
        <v>106</v>
      </c>
      <c r="B4" s="2" t="s">
        <v>216</v>
      </c>
      <c r="C4" s="3">
        <v>969</v>
      </c>
      <c r="D4" s="3">
        <v>969</v>
      </c>
      <c r="E4" s="4" t="str">
        <f t="shared" si="0"/>
        <v>Ya</v>
      </c>
    </row>
    <row r="5" spans="1:5" x14ac:dyDescent="0.35">
      <c r="A5" s="2" t="s">
        <v>106</v>
      </c>
      <c r="B5" s="2" t="s">
        <v>217</v>
      </c>
      <c r="C5" s="3">
        <v>723</v>
      </c>
      <c r="D5" s="3">
        <v>723</v>
      </c>
      <c r="E5" s="4" t="str">
        <f t="shared" si="0"/>
        <v>Ya</v>
      </c>
    </row>
    <row r="6" spans="1:5" x14ac:dyDescent="0.35">
      <c r="A6" s="2" t="s">
        <v>171</v>
      </c>
      <c r="B6" s="2" t="s">
        <v>218</v>
      </c>
      <c r="C6" s="3">
        <v>1289</v>
      </c>
      <c r="D6" s="3">
        <v>1289</v>
      </c>
      <c r="E6" s="4" t="str">
        <f t="shared" si="0"/>
        <v>Ya</v>
      </c>
    </row>
    <row r="7" spans="1:5" x14ac:dyDescent="0.35">
      <c r="A7" s="2" t="s">
        <v>171</v>
      </c>
      <c r="B7" s="2" t="s">
        <v>219</v>
      </c>
      <c r="C7" s="3">
        <v>1276</v>
      </c>
      <c r="D7" s="3">
        <v>1276</v>
      </c>
      <c r="E7" s="4" t="str">
        <f t="shared" si="0"/>
        <v>Ya</v>
      </c>
    </row>
    <row r="8" spans="1:5" x14ac:dyDescent="0.35">
      <c r="A8" s="2" t="s">
        <v>171</v>
      </c>
      <c r="B8" s="2" t="s">
        <v>220</v>
      </c>
      <c r="C8" s="3">
        <v>1227</v>
      </c>
      <c r="D8" s="3">
        <v>1227</v>
      </c>
      <c r="E8" s="4" t="str">
        <f t="shared" si="0"/>
        <v>Ya</v>
      </c>
    </row>
    <row r="9" spans="1:5" x14ac:dyDescent="0.35">
      <c r="A9" s="2" t="s">
        <v>171</v>
      </c>
      <c r="B9" s="2" t="s">
        <v>221</v>
      </c>
      <c r="C9" s="3">
        <v>1208</v>
      </c>
      <c r="D9" s="3">
        <v>1208</v>
      </c>
      <c r="E9" s="4" t="str">
        <f t="shared" si="0"/>
        <v>Ya</v>
      </c>
    </row>
    <row r="10" spans="1:5" x14ac:dyDescent="0.35">
      <c r="A10" s="2" t="s">
        <v>181</v>
      </c>
      <c r="B10" s="2" t="s">
        <v>222</v>
      </c>
      <c r="C10" s="3">
        <v>2270</v>
      </c>
      <c r="D10" s="3">
        <v>2270</v>
      </c>
      <c r="E10" s="4" t="str">
        <f t="shared" si="0"/>
        <v>Ya</v>
      </c>
    </row>
    <row r="11" spans="1:5" x14ac:dyDescent="0.35">
      <c r="A11" s="2" t="s">
        <v>181</v>
      </c>
      <c r="B11" s="2" t="s">
        <v>223</v>
      </c>
      <c r="C11" s="3">
        <v>1774</v>
      </c>
      <c r="D11" s="3">
        <v>1774</v>
      </c>
      <c r="E11" s="4" t="str">
        <f t="shared" si="0"/>
        <v>Ya</v>
      </c>
    </row>
    <row r="12" spans="1:5" x14ac:dyDescent="0.35">
      <c r="A12" s="2" t="s">
        <v>181</v>
      </c>
      <c r="B12" s="2" t="s">
        <v>224</v>
      </c>
      <c r="C12" s="3">
        <v>956</v>
      </c>
      <c r="D12" s="3">
        <v>956</v>
      </c>
      <c r="E12" s="4" t="str">
        <f t="shared" si="0"/>
        <v>Ya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Cleaning_Log</vt:lpstr>
      <vt:lpstr>Validation</vt:lpstr>
      <vt:lpstr>Data_Dictionary</vt:lpstr>
      <vt:lpstr>Category_Check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 Ideapad</cp:lastModifiedBy>
  <cp:revision>0</cp:revision>
  <dcterms:created xsi:type="dcterms:W3CDTF">2026-09-30T03:06:17Z</dcterms:created>
  <dcterms:modified xsi:type="dcterms:W3CDTF">2026-09-30T05:50:53Z</dcterms:modified>
  <dc:language>en-US</dc:language>
</cp:coreProperties>
</file>