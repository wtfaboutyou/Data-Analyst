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842DC43-15BB-4848-9FDB-C37D0C53C9B2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Dashboard" sheetId="1" r:id="rId1"/>
    <sheet name="Data" sheetId="2" r:id="rId2"/>
    <sheet name="Calc" sheetId="3" r:id="rId3"/>
    <sheet name="Customers" sheetId="4" r:id="rId4"/>
    <sheet name="Panduan" sheetId="5" r:id="rId5"/>
  </sheets>
  <definedNames>
    <definedName name="_xlnm._FilterDatabase" localSheetId="1" hidden="1">Data!$A$1:$V$5001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3" l="1"/>
  <c r="C26" i="3"/>
  <c r="B6" i="3"/>
  <c r="U5001" i="2"/>
  <c r="U5000" i="2"/>
  <c r="U4999" i="2"/>
  <c r="U4998" i="2"/>
  <c r="U4997" i="2"/>
  <c r="U4996" i="2"/>
  <c r="U4995" i="2"/>
  <c r="U4994" i="2"/>
  <c r="U4993" i="2"/>
  <c r="U4992" i="2"/>
  <c r="U4991" i="2"/>
  <c r="U4990" i="2"/>
  <c r="U4989" i="2"/>
  <c r="U4988" i="2"/>
  <c r="U4987" i="2"/>
  <c r="U4986" i="2"/>
  <c r="U4985" i="2"/>
  <c r="U4984" i="2"/>
  <c r="U4983" i="2"/>
  <c r="U4982" i="2"/>
  <c r="U4981" i="2"/>
  <c r="U4980" i="2"/>
  <c r="U4979" i="2"/>
  <c r="U4978" i="2"/>
  <c r="U4977" i="2"/>
  <c r="U4976" i="2"/>
  <c r="U4975" i="2"/>
  <c r="U4974" i="2"/>
  <c r="U4973" i="2"/>
  <c r="U4972" i="2"/>
  <c r="U4971" i="2"/>
  <c r="U4970" i="2"/>
  <c r="U4969" i="2"/>
  <c r="U4968" i="2"/>
  <c r="U4967" i="2"/>
  <c r="U4966" i="2"/>
  <c r="U4965" i="2"/>
  <c r="U4964" i="2"/>
  <c r="U4963" i="2"/>
  <c r="U4962" i="2"/>
  <c r="U4961" i="2"/>
  <c r="U4960" i="2"/>
  <c r="U4959" i="2"/>
  <c r="U4958" i="2"/>
  <c r="U4957" i="2"/>
  <c r="U4956" i="2"/>
  <c r="U4955" i="2"/>
  <c r="U4954" i="2"/>
  <c r="U4953" i="2"/>
  <c r="U4952" i="2"/>
  <c r="U4951" i="2"/>
  <c r="U4950" i="2"/>
  <c r="U4949" i="2"/>
  <c r="U4948" i="2"/>
  <c r="U4947" i="2"/>
  <c r="U4946" i="2"/>
  <c r="U4945" i="2"/>
  <c r="U4944" i="2"/>
  <c r="U4943" i="2"/>
  <c r="U4942" i="2"/>
  <c r="U4941" i="2"/>
  <c r="U4940" i="2"/>
  <c r="U4939" i="2"/>
  <c r="U4938" i="2"/>
  <c r="U4937" i="2"/>
  <c r="U4936" i="2"/>
  <c r="U4935" i="2"/>
  <c r="U4934" i="2"/>
  <c r="U4933" i="2"/>
  <c r="U4932" i="2"/>
  <c r="U4931" i="2"/>
  <c r="U4930" i="2"/>
  <c r="U4929" i="2"/>
  <c r="U4928" i="2"/>
  <c r="U4927" i="2"/>
  <c r="U4926" i="2"/>
  <c r="U4925" i="2"/>
  <c r="U4924" i="2"/>
  <c r="U4923" i="2"/>
  <c r="U4922" i="2"/>
  <c r="U4921" i="2"/>
  <c r="U4920" i="2"/>
  <c r="U4919" i="2"/>
  <c r="U4918" i="2"/>
  <c r="U4917" i="2"/>
  <c r="U4916" i="2"/>
  <c r="U4915" i="2"/>
  <c r="U4914" i="2"/>
  <c r="U4913" i="2"/>
  <c r="U4912" i="2"/>
  <c r="U4911" i="2"/>
  <c r="U4910" i="2"/>
  <c r="U4909" i="2"/>
  <c r="U4908" i="2"/>
  <c r="U4907" i="2"/>
  <c r="U4906" i="2"/>
  <c r="U4905" i="2"/>
  <c r="U4904" i="2"/>
  <c r="U4903" i="2"/>
  <c r="U4902" i="2"/>
  <c r="U4901" i="2"/>
  <c r="U4900" i="2"/>
  <c r="U4899" i="2"/>
  <c r="U4898" i="2"/>
  <c r="U4897" i="2"/>
  <c r="U4896" i="2"/>
  <c r="U4895" i="2"/>
  <c r="U4894" i="2"/>
  <c r="U4893" i="2"/>
  <c r="U4892" i="2"/>
  <c r="U4891" i="2"/>
  <c r="U4890" i="2"/>
  <c r="U4889" i="2"/>
  <c r="U4888" i="2"/>
  <c r="U4887" i="2"/>
  <c r="U4886" i="2"/>
  <c r="U4885" i="2"/>
  <c r="U4884" i="2"/>
  <c r="U4883" i="2"/>
  <c r="U4882" i="2"/>
  <c r="U4881" i="2"/>
  <c r="U4880" i="2"/>
  <c r="U4879" i="2"/>
  <c r="U4878" i="2"/>
  <c r="U4877" i="2"/>
  <c r="U4876" i="2"/>
  <c r="U4875" i="2"/>
  <c r="U4874" i="2"/>
  <c r="U4873" i="2"/>
  <c r="U4872" i="2"/>
  <c r="U4871" i="2"/>
  <c r="U4870" i="2"/>
  <c r="U4869" i="2"/>
  <c r="U4868" i="2"/>
  <c r="U4867" i="2"/>
  <c r="U4866" i="2"/>
  <c r="U4865" i="2"/>
  <c r="U4864" i="2"/>
  <c r="U4863" i="2"/>
  <c r="U4862" i="2"/>
  <c r="U4861" i="2"/>
  <c r="U4860" i="2"/>
  <c r="U4859" i="2"/>
  <c r="U4858" i="2"/>
  <c r="U4857" i="2"/>
  <c r="U4856" i="2"/>
  <c r="U4855" i="2"/>
  <c r="U4854" i="2"/>
  <c r="U4853" i="2"/>
  <c r="U4852" i="2"/>
  <c r="U4851" i="2"/>
  <c r="U4850" i="2"/>
  <c r="U4849" i="2"/>
  <c r="U4848" i="2"/>
  <c r="U4847" i="2"/>
  <c r="U4846" i="2"/>
  <c r="U4845" i="2"/>
  <c r="U4844" i="2"/>
  <c r="U4843" i="2"/>
  <c r="U4842" i="2"/>
  <c r="U4841" i="2"/>
  <c r="U4840" i="2"/>
  <c r="U4839" i="2"/>
  <c r="U4838" i="2"/>
  <c r="U4837" i="2"/>
  <c r="U4836" i="2"/>
  <c r="U4835" i="2"/>
  <c r="U4834" i="2"/>
  <c r="U4833" i="2"/>
  <c r="U4832" i="2"/>
  <c r="U4831" i="2"/>
  <c r="U4830" i="2"/>
  <c r="U4829" i="2"/>
  <c r="U4828" i="2"/>
  <c r="U4827" i="2"/>
  <c r="U4826" i="2"/>
  <c r="U4825" i="2"/>
  <c r="U4824" i="2"/>
  <c r="V4823" i="2"/>
  <c r="U4823" i="2"/>
  <c r="U4822" i="2"/>
  <c r="U4821" i="2"/>
  <c r="U4820" i="2"/>
  <c r="U4819" i="2"/>
  <c r="U4818" i="2"/>
  <c r="U4817" i="2"/>
  <c r="U4816" i="2"/>
  <c r="U4815" i="2"/>
  <c r="U4814" i="2"/>
  <c r="U4813" i="2"/>
  <c r="U4812" i="2"/>
  <c r="U4811" i="2"/>
  <c r="U4810" i="2"/>
  <c r="U4809" i="2"/>
  <c r="U4808" i="2"/>
  <c r="U4807" i="2"/>
  <c r="U4806" i="2"/>
  <c r="U4805" i="2"/>
  <c r="U4804" i="2"/>
  <c r="U4803" i="2"/>
  <c r="U4802" i="2"/>
  <c r="U4801" i="2"/>
  <c r="U4800" i="2"/>
  <c r="U4799" i="2"/>
  <c r="U4798" i="2"/>
  <c r="U4797" i="2"/>
  <c r="U4796" i="2"/>
  <c r="U4795" i="2"/>
  <c r="U4794" i="2"/>
  <c r="U4793" i="2"/>
  <c r="U4792" i="2"/>
  <c r="U4791" i="2"/>
  <c r="U4790" i="2"/>
  <c r="U4789" i="2"/>
  <c r="U4788" i="2"/>
  <c r="U4787" i="2"/>
  <c r="U4786" i="2"/>
  <c r="U4785" i="2"/>
  <c r="U4784" i="2"/>
  <c r="U4783" i="2"/>
  <c r="U4782" i="2"/>
  <c r="U4781" i="2"/>
  <c r="U4780" i="2"/>
  <c r="U4779" i="2"/>
  <c r="U4778" i="2"/>
  <c r="U4777" i="2"/>
  <c r="U4776" i="2"/>
  <c r="U4775" i="2"/>
  <c r="U4774" i="2"/>
  <c r="U4773" i="2"/>
  <c r="U4772" i="2"/>
  <c r="U4771" i="2"/>
  <c r="U4770" i="2"/>
  <c r="U4769" i="2"/>
  <c r="U4768" i="2"/>
  <c r="U4767" i="2"/>
  <c r="U4766" i="2"/>
  <c r="U4765" i="2"/>
  <c r="U4764" i="2"/>
  <c r="U4763" i="2"/>
  <c r="U4762" i="2"/>
  <c r="U4761" i="2"/>
  <c r="U4760" i="2"/>
  <c r="U4759" i="2"/>
  <c r="U4758" i="2"/>
  <c r="U4757" i="2"/>
  <c r="U4756" i="2"/>
  <c r="U4755" i="2"/>
  <c r="U4754" i="2"/>
  <c r="U4753" i="2"/>
  <c r="U4752" i="2"/>
  <c r="U4751" i="2"/>
  <c r="U4750" i="2"/>
  <c r="U4749" i="2"/>
  <c r="U4748" i="2"/>
  <c r="U4747" i="2"/>
  <c r="U4746" i="2"/>
  <c r="U4745" i="2"/>
  <c r="U4744" i="2"/>
  <c r="U4743" i="2"/>
  <c r="U4742" i="2"/>
  <c r="U4741" i="2"/>
  <c r="U4740" i="2"/>
  <c r="U4739" i="2"/>
  <c r="U4738" i="2"/>
  <c r="U4737" i="2"/>
  <c r="U4736" i="2"/>
  <c r="U4735" i="2"/>
  <c r="U4734" i="2"/>
  <c r="U4733" i="2"/>
  <c r="U4732" i="2"/>
  <c r="U4731" i="2"/>
  <c r="U4730" i="2"/>
  <c r="U4729" i="2"/>
  <c r="U4728" i="2"/>
  <c r="U4727" i="2"/>
  <c r="U4726" i="2"/>
  <c r="U4725" i="2"/>
  <c r="U4724" i="2"/>
  <c r="U4723" i="2"/>
  <c r="U4722" i="2"/>
  <c r="U4721" i="2"/>
  <c r="U4720" i="2"/>
  <c r="U4719" i="2"/>
  <c r="U4718" i="2"/>
  <c r="U4717" i="2"/>
  <c r="U4716" i="2"/>
  <c r="U4715" i="2"/>
  <c r="U4714" i="2"/>
  <c r="U4713" i="2"/>
  <c r="U4712" i="2"/>
  <c r="U4711" i="2"/>
  <c r="U4710" i="2"/>
  <c r="U4709" i="2"/>
  <c r="U4708" i="2"/>
  <c r="U4707" i="2"/>
  <c r="U4706" i="2"/>
  <c r="U4705" i="2"/>
  <c r="U4704" i="2"/>
  <c r="U4703" i="2"/>
  <c r="U4702" i="2"/>
  <c r="U4701" i="2"/>
  <c r="U4700" i="2"/>
  <c r="U4699" i="2"/>
  <c r="U4698" i="2"/>
  <c r="U4697" i="2"/>
  <c r="U4696" i="2"/>
  <c r="U4695" i="2"/>
  <c r="U4694" i="2"/>
  <c r="U4693" i="2"/>
  <c r="U4692" i="2"/>
  <c r="U4691" i="2"/>
  <c r="U4690" i="2"/>
  <c r="U4689" i="2"/>
  <c r="U4688" i="2"/>
  <c r="U4687" i="2"/>
  <c r="U4686" i="2"/>
  <c r="U4685" i="2"/>
  <c r="U4684" i="2"/>
  <c r="U4683" i="2"/>
  <c r="U4682" i="2"/>
  <c r="U4681" i="2"/>
  <c r="U4680" i="2"/>
  <c r="U4679" i="2"/>
  <c r="U4678" i="2"/>
  <c r="U4677" i="2"/>
  <c r="U4676" i="2"/>
  <c r="V4675" i="2"/>
  <c r="U4675" i="2"/>
  <c r="U4674" i="2"/>
  <c r="U4673" i="2"/>
  <c r="U4672" i="2"/>
  <c r="U4671" i="2"/>
  <c r="U4670" i="2"/>
  <c r="U4669" i="2"/>
  <c r="U4668" i="2"/>
  <c r="U4667" i="2"/>
  <c r="U4666" i="2"/>
  <c r="U4665" i="2"/>
  <c r="U4664" i="2"/>
  <c r="U4663" i="2"/>
  <c r="U4662" i="2"/>
  <c r="U4661" i="2"/>
  <c r="U4660" i="2"/>
  <c r="U4659" i="2"/>
  <c r="U4658" i="2"/>
  <c r="U4657" i="2"/>
  <c r="U4656" i="2"/>
  <c r="V4655" i="2"/>
  <c r="U4655" i="2"/>
  <c r="U4654" i="2"/>
  <c r="U4653" i="2"/>
  <c r="U4652" i="2"/>
  <c r="U4651" i="2"/>
  <c r="U4650" i="2"/>
  <c r="U4649" i="2"/>
  <c r="U4648" i="2"/>
  <c r="U4647" i="2"/>
  <c r="U4646" i="2"/>
  <c r="U4645" i="2"/>
  <c r="U4644" i="2"/>
  <c r="U4643" i="2"/>
  <c r="U4642" i="2"/>
  <c r="U4641" i="2"/>
  <c r="U4640" i="2"/>
  <c r="U4639" i="2"/>
  <c r="U4638" i="2"/>
  <c r="U4637" i="2"/>
  <c r="U4636" i="2"/>
  <c r="U4635" i="2"/>
  <c r="U4634" i="2"/>
  <c r="U4633" i="2"/>
  <c r="U4632" i="2"/>
  <c r="U4631" i="2"/>
  <c r="U4630" i="2"/>
  <c r="U4629" i="2"/>
  <c r="U4628" i="2"/>
  <c r="U4627" i="2"/>
  <c r="U4626" i="2"/>
  <c r="U4625" i="2"/>
  <c r="U4624" i="2"/>
  <c r="U4623" i="2"/>
  <c r="U4622" i="2"/>
  <c r="U4621" i="2"/>
  <c r="U4620" i="2"/>
  <c r="U4619" i="2"/>
  <c r="U4618" i="2"/>
  <c r="U4617" i="2"/>
  <c r="U4616" i="2"/>
  <c r="U4615" i="2"/>
  <c r="U4614" i="2"/>
  <c r="U4613" i="2"/>
  <c r="U4612" i="2"/>
  <c r="U4611" i="2"/>
  <c r="U4610" i="2"/>
  <c r="U4609" i="2"/>
  <c r="U4608" i="2"/>
  <c r="U4607" i="2"/>
  <c r="U4606" i="2"/>
  <c r="U4605" i="2"/>
  <c r="U4604" i="2"/>
  <c r="U4603" i="2"/>
  <c r="U4602" i="2"/>
  <c r="U4601" i="2"/>
  <c r="U4600" i="2"/>
  <c r="U4599" i="2"/>
  <c r="U4598" i="2"/>
  <c r="U4597" i="2"/>
  <c r="U4596" i="2"/>
  <c r="U4595" i="2"/>
  <c r="U4594" i="2"/>
  <c r="U4593" i="2"/>
  <c r="U4592" i="2"/>
  <c r="U4591" i="2"/>
  <c r="U4590" i="2"/>
  <c r="U4589" i="2"/>
  <c r="U4588" i="2"/>
  <c r="U4587" i="2"/>
  <c r="U4586" i="2"/>
  <c r="U4585" i="2"/>
  <c r="U4584" i="2"/>
  <c r="U4583" i="2"/>
  <c r="U4582" i="2"/>
  <c r="U4581" i="2"/>
  <c r="U4580" i="2"/>
  <c r="U4579" i="2"/>
  <c r="U4578" i="2"/>
  <c r="U4577" i="2"/>
  <c r="U4576" i="2"/>
  <c r="U4575" i="2"/>
  <c r="U4574" i="2"/>
  <c r="U4573" i="2"/>
  <c r="U4572" i="2"/>
  <c r="U4571" i="2"/>
  <c r="U4570" i="2"/>
  <c r="U4569" i="2"/>
  <c r="U4568" i="2"/>
  <c r="U4567" i="2"/>
  <c r="U4566" i="2"/>
  <c r="U4565" i="2"/>
  <c r="U4564" i="2"/>
  <c r="U4563" i="2"/>
  <c r="U4562" i="2"/>
  <c r="U4561" i="2"/>
  <c r="U4560" i="2"/>
  <c r="U4559" i="2"/>
  <c r="U4558" i="2"/>
  <c r="U4557" i="2"/>
  <c r="U4556" i="2"/>
  <c r="U4555" i="2"/>
  <c r="U4554" i="2"/>
  <c r="U4553" i="2"/>
  <c r="U4552" i="2"/>
  <c r="U4551" i="2"/>
  <c r="U4550" i="2"/>
  <c r="U4549" i="2"/>
  <c r="U4548" i="2"/>
  <c r="U4547" i="2"/>
  <c r="U4546" i="2"/>
  <c r="U4545" i="2"/>
  <c r="U4544" i="2"/>
  <c r="U4543" i="2"/>
  <c r="U4542" i="2"/>
  <c r="U4541" i="2"/>
  <c r="U4540" i="2"/>
  <c r="U4539" i="2"/>
  <c r="U4538" i="2"/>
  <c r="U4537" i="2"/>
  <c r="U4536" i="2"/>
  <c r="U4535" i="2"/>
  <c r="U4534" i="2"/>
  <c r="U4533" i="2"/>
  <c r="U4532" i="2"/>
  <c r="U4531" i="2"/>
  <c r="U4530" i="2"/>
  <c r="U4529" i="2"/>
  <c r="U4528" i="2"/>
  <c r="U4527" i="2"/>
  <c r="U4526" i="2"/>
  <c r="U4525" i="2"/>
  <c r="V4524" i="2"/>
  <c r="U4524" i="2"/>
  <c r="U4523" i="2"/>
  <c r="U4522" i="2"/>
  <c r="U4521" i="2"/>
  <c r="U4520" i="2"/>
  <c r="U4519" i="2"/>
  <c r="U4518" i="2"/>
  <c r="U4517" i="2"/>
  <c r="U4516" i="2"/>
  <c r="U4515" i="2"/>
  <c r="U4514" i="2"/>
  <c r="U4513" i="2"/>
  <c r="U4512" i="2"/>
  <c r="U4511" i="2"/>
  <c r="U4510" i="2"/>
  <c r="V4509" i="2"/>
  <c r="U4509" i="2"/>
  <c r="U4508" i="2"/>
  <c r="U4507" i="2"/>
  <c r="U4506" i="2"/>
  <c r="U4505" i="2"/>
  <c r="U4504" i="2"/>
  <c r="U4503" i="2"/>
  <c r="U4502" i="2"/>
  <c r="U4501" i="2"/>
  <c r="U4500" i="2"/>
  <c r="U4499" i="2"/>
  <c r="U4498" i="2"/>
  <c r="U4497" i="2"/>
  <c r="U4496" i="2"/>
  <c r="U4495" i="2"/>
  <c r="U4494" i="2"/>
  <c r="U4493" i="2"/>
  <c r="U4492" i="2"/>
  <c r="U4491" i="2"/>
  <c r="U4490" i="2"/>
  <c r="U4489" i="2"/>
  <c r="U4488" i="2"/>
  <c r="U4487" i="2"/>
  <c r="U4486" i="2"/>
  <c r="U4485" i="2"/>
  <c r="U4484" i="2"/>
  <c r="U4483" i="2"/>
  <c r="U4482" i="2"/>
  <c r="U4481" i="2"/>
  <c r="U4480" i="2"/>
  <c r="U4479" i="2"/>
  <c r="U4478" i="2"/>
  <c r="U4477" i="2"/>
  <c r="U4476" i="2"/>
  <c r="U4475" i="2"/>
  <c r="U4474" i="2"/>
  <c r="V4473" i="2"/>
  <c r="U4473" i="2"/>
  <c r="U4472" i="2"/>
  <c r="U4471" i="2"/>
  <c r="U4470" i="2"/>
  <c r="U4469" i="2"/>
  <c r="U4468" i="2"/>
  <c r="U4467" i="2"/>
  <c r="U4466" i="2"/>
  <c r="U4465" i="2"/>
  <c r="U4464" i="2"/>
  <c r="U4463" i="2"/>
  <c r="U4462" i="2"/>
  <c r="U4461" i="2"/>
  <c r="U4460" i="2"/>
  <c r="U4459" i="2"/>
  <c r="U4458" i="2"/>
  <c r="U4457" i="2"/>
  <c r="U4456" i="2"/>
  <c r="U4455" i="2"/>
  <c r="U4454" i="2"/>
  <c r="U4453" i="2"/>
  <c r="U4452" i="2"/>
  <c r="U4451" i="2"/>
  <c r="U4450" i="2"/>
  <c r="U4449" i="2"/>
  <c r="U4448" i="2"/>
  <c r="U4447" i="2"/>
  <c r="U4446" i="2"/>
  <c r="U4445" i="2"/>
  <c r="U4444" i="2"/>
  <c r="U4443" i="2"/>
  <c r="U4442" i="2"/>
  <c r="U4441" i="2"/>
  <c r="U4440" i="2"/>
  <c r="U4439" i="2"/>
  <c r="U4438" i="2"/>
  <c r="U4437" i="2"/>
  <c r="U4436" i="2"/>
  <c r="U4435" i="2"/>
  <c r="U4434" i="2"/>
  <c r="U4433" i="2"/>
  <c r="U4432" i="2"/>
  <c r="U4431" i="2"/>
  <c r="U4430" i="2"/>
  <c r="U4429" i="2"/>
  <c r="U4428" i="2"/>
  <c r="U4427" i="2"/>
  <c r="U4426" i="2"/>
  <c r="U4425" i="2"/>
  <c r="U4424" i="2"/>
  <c r="U4423" i="2"/>
  <c r="U4422" i="2"/>
  <c r="U4421" i="2"/>
  <c r="U4420" i="2"/>
  <c r="U4419" i="2"/>
  <c r="U4418" i="2"/>
  <c r="U4417" i="2"/>
  <c r="U4416" i="2"/>
  <c r="U4415" i="2"/>
  <c r="U4414" i="2"/>
  <c r="U4413" i="2"/>
  <c r="U4412" i="2"/>
  <c r="U4411" i="2"/>
  <c r="U4410" i="2"/>
  <c r="U4409" i="2"/>
  <c r="U4408" i="2"/>
  <c r="U4407" i="2"/>
  <c r="U4406" i="2"/>
  <c r="U4405" i="2"/>
  <c r="U4404" i="2"/>
  <c r="U4403" i="2"/>
  <c r="U4402" i="2"/>
  <c r="U4401" i="2"/>
  <c r="U4400" i="2"/>
  <c r="U4399" i="2"/>
  <c r="U4398" i="2"/>
  <c r="U4397" i="2"/>
  <c r="U4396" i="2"/>
  <c r="U4395" i="2"/>
  <c r="U4394" i="2"/>
  <c r="U4393" i="2"/>
  <c r="U4392" i="2"/>
  <c r="U4391" i="2"/>
  <c r="U4390" i="2"/>
  <c r="U4389" i="2"/>
  <c r="V4388" i="2"/>
  <c r="U4388" i="2"/>
  <c r="U4387" i="2"/>
  <c r="U4386" i="2"/>
  <c r="U4385" i="2"/>
  <c r="U4384" i="2"/>
  <c r="U4383" i="2"/>
  <c r="U4382" i="2"/>
  <c r="U4381" i="2"/>
  <c r="U4380" i="2"/>
  <c r="U4379" i="2"/>
  <c r="U4378" i="2"/>
  <c r="U4377" i="2"/>
  <c r="U4376" i="2"/>
  <c r="U4375" i="2"/>
  <c r="U4374" i="2"/>
  <c r="U4373" i="2"/>
  <c r="U4372" i="2"/>
  <c r="U4371" i="2"/>
  <c r="U4370" i="2"/>
  <c r="U4369" i="2"/>
  <c r="U4368" i="2"/>
  <c r="U4367" i="2"/>
  <c r="U4366" i="2"/>
  <c r="U4365" i="2"/>
  <c r="U4364" i="2"/>
  <c r="U4363" i="2"/>
  <c r="U4362" i="2"/>
  <c r="U4361" i="2"/>
  <c r="U4360" i="2"/>
  <c r="U4359" i="2"/>
  <c r="U4358" i="2"/>
  <c r="U4357" i="2"/>
  <c r="V4356" i="2"/>
  <c r="U4356" i="2"/>
  <c r="U4355" i="2"/>
  <c r="U4354" i="2"/>
  <c r="U4353" i="2"/>
  <c r="U4352" i="2"/>
  <c r="U4351" i="2"/>
  <c r="U4350" i="2"/>
  <c r="U4349" i="2"/>
  <c r="U4348" i="2"/>
  <c r="U4347" i="2"/>
  <c r="U4346" i="2"/>
  <c r="U4345" i="2"/>
  <c r="U4344" i="2"/>
  <c r="U4343" i="2"/>
  <c r="U4342" i="2"/>
  <c r="U4341" i="2"/>
  <c r="U4340" i="2"/>
  <c r="U4339" i="2"/>
  <c r="U4338" i="2"/>
  <c r="U4337" i="2"/>
  <c r="U4336" i="2"/>
  <c r="U4335" i="2"/>
  <c r="U4334" i="2"/>
  <c r="U4333" i="2"/>
  <c r="U4332" i="2"/>
  <c r="U4331" i="2"/>
  <c r="U4330" i="2"/>
  <c r="U4329" i="2"/>
  <c r="U4328" i="2"/>
  <c r="U4327" i="2"/>
  <c r="U4326" i="2"/>
  <c r="U4325" i="2"/>
  <c r="U4324" i="2"/>
  <c r="U4323" i="2"/>
  <c r="U4322" i="2"/>
  <c r="U4321" i="2"/>
  <c r="U4320" i="2"/>
  <c r="U4319" i="2"/>
  <c r="U4318" i="2"/>
  <c r="U4317" i="2"/>
  <c r="U4316" i="2"/>
  <c r="U4315" i="2"/>
  <c r="U4314" i="2"/>
  <c r="U4313" i="2"/>
  <c r="U4312" i="2"/>
  <c r="U4311" i="2"/>
  <c r="U4310" i="2"/>
  <c r="U4309" i="2"/>
  <c r="U4308" i="2"/>
  <c r="U4307" i="2"/>
  <c r="U4306" i="2"/>
  <c r="U4305" i="2"/>
  <c r="U4304" i="2"/>
  <c r="U4303" i="2"/>
  <c r="U4302" i="2"/>
  <c r="U4301" i="2"/>
  <c r="U4300" i="2"/>
  <c r="U4299" i="2"/>
  <c r="U4298" i="2"/>
  <c r="U4297" i="2"/>
  <c r="U4296" i="2"/>
  <c r="U4295" i="2"/>
  <c r="U4294" i="2"/>
  <c r="U4293" i="2"/>
  <c r="U4292" i="2"/>
  <c r="U4291" i="2"/>
  <c r="U4290" i="2"/>
  <c r="U4289" i="2"/>
  <c r="U4288" i="2"/>
  <c r="U4287" i="2"/>
  <c r="U4286" i="2"/>
  <c r="U4285" i="2"/>
  <c r="U4284" i="2"/>
  <c r="U4283" i="2"/>
  <c r="U4282" i="2"/>
  <c r="U4281" i="2"/>
  <c r="U4280" i="2"/>
  <c r="U4279" i="2"/>
  <c r="U4278" i="2"/>
  <c r="U4277" i="2"/>
  <c r="U4276" i="2"/>
  <c r="U4275" i="2"/>
  <c r="V4274" i="2"/>
  <c r="U4274" i="2"/>
  <c r="U4273" i="2"/>
  <c r="U4272" i="2"/>
  <c r="U4271" i="2"/>
  <c r="U4270" i="2"/>
  <c r="U4269" i="2"/>
  <c r="U4268" i="2"/>
  <c r="U4267" i="2"/>
  <c r="U4266" i="2"/>
  <c r="U4265" i="2"/>
  <c r="U4264" i="2"/>
  <c r="U4263" i="2"/>
  <c r="U4262" i="2"/>
  <c r="U4261" i="2"/>
  <c r="U4260" i="2"/>
  <c r="U4259" i="2"/>
  <c r="U4258" i="2"/>
  <c r="U4257" i="2"/>
  <c r="U4256" i="2"/>
  <c r="U4255" i="2"/>
  <c r="U4254" i="2"/>
  <c r="U4253" i="2"/>
  <c r="U4252" i="2"/>
  <c r="U4251" i="2"/>
  <c r="U4250" i="2"/>
  <c r="U4249" i="2"/>
  <c r="U4248" i="2"/>
  <c r="U4247" i="2"/>
  <c r="U4246" i="2"/>
  <c r="U4245" i="2"/>
  <c r="U4244" i="2"/>
  <c r="U4243" i="2"/>
  <c r="U4242" i="2"/>
  <c r="U4241" i="2"/>
  <c r="U4240" i="2"/>
  <c r="U4239" i="2"/>
  <c r="U4238" i="2"/>
  <c r="U4237" i="2"/>
  <c r="U4236" i="2"/>
  <c r="U4235" i="2"/>
  <c r="U4234" i="2"/>
  <c r="U4233" i="2"/>
  <c r="U4232" i="2"/>
  <c r="U4231" i="2"/>
  <c r="U4230" i="2"/>
  <c r="U4229" i="2"/>
  <c r="U4228" i="2"/>
  <c r="U4227" i="2"/>
  <c r="U4226" i="2"/>
  <c r="U4225" i="2"/>
  <c r="U4224" i="2"/>
  <c r="U4223" i="2"/>
  <c r="U4222" i="2"/>
  <c r="U4221" i="2"/>
  <c r="U4220" i="2"/>
  <c r="U4219" i="2"/>
  <c r="U4218" i="2"/>
  <c r="U4217" i="2"/>
  <c r="U4216" i="2"/>
  <c r="U4215" i="2"/>
  <c r="U4214" i="2"/>
  <c r="U4213" i="2"/>
  <c r="U4212" i="2"/>
  <c r="U4211" i="2"/>
  <c r="U4210" i="2"/>
  <c r="U4209" i="2"/>
  <c r="U4208" i="2"/>
  <c r="U4207" i="2"/>
  <c r="U4206" i="2"/>
  <c r="U4205" i="2"/>
  <c r="U4204" i="2"/>
  <c r="U4203" i="2"/>
  <c r="U4202" i="2"/>
  <c r="U4201" i="2"/>
  <c r="U4200" i="2"/>
  <c r="U4199" i="2"/>
  <c r="U4198" i="2"/>
  <c r="U4197" i="2"/>
  <c r="U4196" i="2"/>
  <c r="U4195" i="2"/>
  <c r="U4194" i="2"/>
  <c r="U4193" i="2"/>
  <c r="U4192" i="2"/>
  <c r="U4191" i="2"/>
  <c r="U4190" i="2"/>
  <c r="U4189" i="2"/>
  <c r="U4188" i="2"/>
  <c r="U4187" i="2"/>
  <c r="U4186" i="2"/>
  <c r="U4185" i="2"/>
  <c r="U4184" i="2"/>
  <c r="U4183" i="2"/>
  <c r="U4182" i="2"/>
  <c r="U4181" i="2"/>
  <c r="U4180" i="2"/>
  <c r="U4179" i="2"/>
  <c r="U4178" i="2"/>
  <c r="U4177" i="2"/>
  <c r="U4176" i="2"/>
  <c r="U4175" i="2"/>
  <c r="U4174" i="2"/>
  <c r="U4173" i="2"/>
  <c r="U4172" i="2"/>
  <c r="U4171" i="2"/>
  <c r="U4170" i="2"/>
  <c r="U4169" i="2"/>
  <c r="V4169" i="2" s="1"/>
  <c r="U4168" i="2"/>
  <c r="U4167" i="2"/>
  <c r="U4166" i="2"/>
  <c r="U4165" i="2"/>
  <c r="U4164" i="2"/>
  <c r="U4163" i="2"/>
  <c r="U4162" i="2"/>
  <c r="U4161" i="2"/>
  <c r="U4160" i="2"/>
  <c r="U4159" i="2"/>
  <c r="U4158" i="2"/>
  <c r="U4157" i="2"/>
  <c r="U4156" i="2"/>
  <c r="U4155" i="2"/>
  <c r="U4154" i="2"/>
  <c r="U4153" i="2"/>
  <c r="U4152" i="2"/>
  <c r="U4151" i="2"/>
  <c r="U4150" i="2"/>
  <c r="U4149" i="2"/>
  <c r="U4148" i="2"/>
  <c r="U4147" i="2"/>
  <c r="U4146" i="2"/>
  <c r="U4145" i="2"/>
  <c r="U4144" i="2"/>
  <c r="U4143" i="2"/>
  <c r="U4142" i="2"/>
  <c r="U4141" i="2"/>
  <c r="U4140" i="2"/>
  <c r="U4139" i="2"/>
  <c r="U4138" i="2"/>
  <c r="U4137" i="2"/>
  <c r="U4136" i="2"/>
  <c r="U4135" i="2"/>
  <c r="U4134" i="2"/>
  <c r="U4133" i="2"/>
  <c r="U4132" i="2"/>
  <c r="U4131" i="2"/>
  <c r="U4130" i="2"/>
  <c r="U4129" i="2"/>
  <c r="U4128" i="2"/>
  <c r="U4127" i="2"/>
  <c r="U4126" i="2"/>
  <c r="U4125" i="2"/>
  <c r="U4124" i="2"/>
  <c r="U4123" i="2"/>
  <c r="U4122" i="2"/>
  <c r="U4121" i="2"/>
  <c r="U4120" i="2"/>
  <c r="U4119" i="2"/>
  <c r="U4118" i="2"/>
  <c r="U4117" i="2"/>
  <c r="U4116" i="2"/>
  <c r="U4115" i="2"/>
  <c r="U4114" i="2"/>
  <c r="U4113" i="2"/>
  <c r="U4112" i="2"/>
  <c r="U4111" i="2"/>
  <c r="U4110" i="2"/>
  <c r="V4109" i="2"/>
  <c r="U4109" i="2"/>
  <c r="U4108" i="2"/>
  <c r="U4107" i="2"/>
  <c r="U4106" i="2"/>
  <c r="U4105" i="2"/>
  <c r="U4104" i="2"/>
  <c r="U4103" i="2"/>
  <c r="U4102" i="2"/>
  <c r="U4101" i="2"/>
  <c r="U4100" i="2"/>
  <c r="U4099" i="2"/>
  <c r="U4098" i="2"/>
  <c r="U4097" i="2"/>
  <c r="U4096" i="2"/>
  <c r="U4095" i="2"/>
  <c r="U4094" i="2"/>
  <c r="U4093" i="2"/>
  <c r="U4092" i="2"/>
  <c r="U4091" i="2"/>
  <c r="U4090" i="2"/>
  <c r="U4089" i="2"/>
  <c r="U4088" i="2"/>
  <c r="U4087" i="2"/>
  <c r="U4086" i="2"/>
  <c r="U4085" i="2"/>
  <c r="U4084" i="2"/>
  <c r="U4083" i="2"/>
  <c r="U4082" i="2"/>
  <c r="U4081" i="2"/>
  <c r="U4080" i="2"/>
  <c r="U4079" i="2"/>
  <c r="U4078" i="2"/>
  <c r="U4077" i="2"/>
  <c r="U4076" i="2"/>
  <c r="U4075" i="2"/>
  <c r="U4074" i="2"/>
  <c r="U4073" i="2"/>
  <c r="U4072" i="2"/>
  <c r="U4071" i="2"/>
  <c r="U4070" i="2"/>
  <c r="U4069" i="2"/>
  <c r="U4068" i="2"/>
  <c r="U4067" i="2"/>
  <c r="U4066" i="2"/>
  <c r="U4065" i="2"/>
  <c r="V4065" i="2" s="1"/>
  <c r="U4064" i="2"/>
  <c r="U4063" i="2"/>
  <c r="U4062" i="2"/>
  <c r="U4061" i="2"/>
  <c r="U4060" i="2"/>
  <c r="U4059" i="2"/>
  <c r="U4058" i="2"/>
  <c r="U4057" i="2"/>
  <c r="U4056" i="2"/>
  <c r="V4056" i="2" s="1"/>
  <c r="U4055" i="2"/>
  <c r="U4054" i="2"/>
  <c r="U4053" i="2"/>
  <c r="U4052" i="2"/>
  <c r="U4051" i="2"/>
  <c r="U4050" i="2"/>
  <c r="U4049" i="2"/>
  <c r="U4048" i="2"/>
  <c r="U4047" i="2"/>
  <c r="U4046" i="2"/>
  <c r="U4045" i="2"/>
  <c r="U4044" i="2"/>
  <c r="U4043" i="2"/>
  <c r="U4042" i="2"/>
  <c r="U4041" i="2"/>
  <c r="U4040" i="2"/>
  <c r="U4039" i="2"/>
  <c r="U4038" i="2"/>
  <c r="U4037" i="2"/>
  <c r="U4036" i="2"/>
  <c r="U4035" i="2"/>
  <c r="U4034" i="2"/>
  <c r="V4033" i="2"/>
  <c r="U4033" i="2"/>
  <c r="U4032" i="2"/>
  <c r="U4031" i="2"/>
  <c r="U4030" i="2"/>
  <c r="U4029" i="2"/>
  <c r="U4028" i="2"/>
  <c r="U4027" i="2"/>
  <c r="U4026" i="2"/>
  <c r="U4025" i="2"/>
  <c r="U4024" i="2"/>
  <c r="U4023" i="2"/>
  <c r="U4022" i="2"/>
  <c r="U4021" i="2"/>
  <c r="U4020" i="2"/>
  <c r="U4019" i="2"/>
  <c r="U4018" i="2"/>
  <c r="U4017" i="2"/>
  <c r="U4016" i="2"/>
  <c r="U4015" i="2"/>
  <c r="U4014" i="2"/>
  <c r="U4013" i="2"/>
  <c r="U4012" i="2"/>
  <c r="U4011" i="2"/>
  <c r="U4010" i="2"/>
  <c r="U4009" i="2"/>
  <c r="U4008" i="2"/>
  <c r="U4007" i="2"/>
  <c r="U4006" i="2"/>
  <c r="U4005" i="2"/>
  <c r="U4004" i="2"/>
  <c r="U4003" i="2"/>
  <c r="U4002" i="2"/>
  <c r="U4001" i="2"/>
  <c r="U4000" i="2"/>
  <c r="U3999" i="2"/>
  <c r="U3998" i="2"/>
  <c r="U3997" i="2"/>
  <c r="U3996" i="2"/>
  <c r="U3995" i="2"/>
  <c r="U3994" i="2"/>
  <c r="U3993" i="2"/>
  <c r="U3992" i="2"/>
  <c r="U3991" i="2"/>
  <c r="U3990" i="2"/>
  <c r="U3989" i="2"/>
  <c r="U3988" i="2"/>
  <c r="U3987" i="2"/>
  <c r="U3986" i="2"/>
  <c r="U3985" i="2"/>
  <c r="U3984" i="2"/>
  <c r="U3983" i="2"/>
  <c r="U3982" i="2"/>
  <c r="U3981" i="2"/>
  <c r="U3980" i="2"/>
  <c r="U3979" i="2"/>
  <c r="U3978" i="2"/>
  <c r="U3977" i="2"/>
  <c r="U3976" i="2"/>
  <c r="U3975" i="2"/>
  <c r="U3974" i="2"/>
  <c r="U3973" i="2"/>
  <c r="U3972" i="2"/>
  <c r="U3971" i="2"/>
  <c r="U3970" i="2"/>
  <c r="U3969" i="2"/>
  <c r="U3968" i="2"/>
  <c r="U3967" i="2"/>
  <c r="U3966" i="2"/>
  <c r="U3965" i="2"/>
  <c r="U3964" i="2"/>
  <c r="U3963" i="2"/>
  <c r="U3962" i="2"/>
  <c r="U3961" i="2"/>
  <c r="U3960" i="2"/>
  <c r="U3959" i="2"/>
  <c r="U3958" i="2"/>
  <c r="U3957" i="2"/>
  <c r="U3956" i="2"/>
  <c r="U3955" i="2"/>
  <c r="U3954" i="2"/>
  <c r="U3953" i="2"/>
  <c r="U3952" i="2"/>
  <c r="U3951" i="2"/>
  <c r="U3950" i="2"/>
  <c r="U3949" i="2"/>
  <c r="U3948" i="2"/>
  <c r="U3947" i="2"/>
  <c r="U3946" i="2"/>
  <c r="U3945" i="2"/>
  <c r="U3944" i="2"/>
  <c r="U3943" i="2"/>
  <c r="U3942" i="2"/>
  <c r="U3941" i="2"/>
  <c r="U3940" i="2"/>
  <c r="U3939" i="2"/>
  <c r="U3938" i="2"/>
  <c r="U3937" i="2"/>
  <c r="U3936" i="2"/>
  <c r="U3935" i="2"/>
  <c r="U3934" i="2"/>
  <c r="U3933" i="2"/>
  <c r="U3932" i="2"/>
  <c r="U3931" i="2"/>
  <c r="U3930" i="2"/>
  <c r="U3929" i="2"/>
  <c r="U3928" i="2"/>
  <c r="U3927" i="2"/>
  <c r="U3926" i="2"/>
  <c r="U3925" i="2"/>
  <c r="U3924" i="2"/>
  <c r="U3923" i="2"/>
  <c r="U3922" i="2"/>
  <c r="U3921" i="2"/>
  <c r="U3920" i="2"/>
  <c r="U3919" i="2"/>
  <c r="U3918" i="2"/>
  <c r="U3917" i="2"/>
  <c r="U3916" i="2"/>
  <c r="U3915" i="2"/>
  <c r="U3914" i="2"/>
  <c r="U3913" i="2"/>
  <c r="U3912" i="2"/>
  <c r="U3911" i="2"/>
  <c r="U3910" i="2"/>
  <c r="U3909" i="2"/>
  <c r="U3908" i="2"/>
  <c r="U3907" i="2"/>
  <c r="U3906" i="2"/>
  <c r="U3905" i="2"/>
  <c r="U3904" i="2"/>
  <c r="U3903" i="2"/>
  <c r="U3902" i="2"/>
  <c r="U3901" i="2"/>
  <c r="U3900" i="2"/>
  <c r="U3899" i="2"/>
  <c r="U3898" i="2"/>
  <c r="U3897" i="2"/>
  <c r="U3896" i="2"/>
  <c r="U3895" i="2"/>
  <c r="U3894" i="2"/>
  <c r="U3893" i="2"/>
  <c r="U3892" i="2"/>
  <c r="U3891" i="2"/>
  <c r="U3890" i="2"/>
  <c r="U3889" i="2"/>
  <c r="U3888" i="2"/>
  <c r="U3887" i="2"/>
  <c r="U3886" i="2"/>
  <c r="U3885" i="2"/>
  <c r="U3884" i="2"/>
  <c r="U3883" i="2"/>
  <c r="U3882" i="2"/>
  <c r="U3881" i="2"/>
  <c r="U3880" i="2"/>
  <c r="U3879" i="2"/>
  <c r="U3878" i="2"/>
  <c r="U3877" i="2"/>
  <c r="U3876" i="2"/>
  <c r="U3875" i="2"/>
  <c r="U3874" i="2"/>
  <c r="U3873" i="2"/>
  <c r="U3872" i="2"/>
  <c r="U3871" i="2"/>
  <c r="U3870" i="2"/>
  <c r="U3869" i="2"/>
  <c r="U3868" i="2"/>
  <c r="U3867" i="2"/>
  <c r="U3866" i="2"/>
  <c r="U3865" i="2"/>
  <c r="U3864" i="2"/>
  <c r="U3863" i="2"/>
  <c r="U3862" i="2"/>
  <c r="U3861" i="2"/>
  <c r="U3860" i="2"/>
  <c r="U3859" i="2"/>
  <c r="U3858" i="2"/>
  <c r="U3857" i="2"/>
  <c r="U3856" i="2"/>
  <c r="U3855" i="2"/>
  <c r="U3854" i="2"/>
  <c r="U3853" i="2"/>
  <c r="U3852" i="2"/>
  <c r="U3851" i="2"/>
  <c r="U3850" i="2"/>
  <c r="U3849" i="2"/>
  <c r="U3848" i="2"/>
  <c r="U3847" i="2"/>
  <c r="U3846" i="2"/>
  <c r="U3845" i="2"/>
  <c r="U3844" i="2"/>
  <c r="U3843" i="2"/>
  <c r="U3842" i="2"/>
  <c r="U3841" i="2"/>
  <c r="U3840" i="2"/>
  <c r="U3839" i="2"/>
  <c r="U3838" i="2"/>
  <c r="U3837" i="2"/>
  <c r="U3836" i="2"/>
  <c r="U3835" i="2"/>
  <c r="U3834" i="2"/>
  <c r="U3833" i="2"/>
  <c r="U3832" i="2"/>
  <c r="U3831" i="2"/>
  <c r="U3830" i="2"/>
  <c r="U3829" i="2"/>
  <c r="U3828" i="2"/>
  <c r="U3827" i="2"/>
  <c r="U3826" i="2"/>
  <c r="U3825" i="2"/>
  <c r="U3824" i="2"/>
  <c r="U3823" i="2"/>
  <c r="U3822" i="2"/>
  <c r="U3821" i="2"/>
  <c r="U3820" i="2"/>
  <c r="U3819" i="2"/>
  <c r="V3818" i="2"/>
  <c r="U3818" i="2"/>
  <c r="U3817" i="2"/>
  <c r="U3816" i="2"/>
  <c r="U3815" i="2"/>
  <c r="U3814" i="2"/>
  <c r="U3813" i="2"/>
  <c r="U3812" i="2"/>
  <c r="U3811" i="2"/>
  <c r="U3810" i="2"/>
  <c r="U3809" i="2"/>
  <c r="U3808" i="2"/>
  <c r="U3807" i="2"/>
  <c r="U3806" i="2"/>
  <c r="U3805" i="2"/>
  <c r="U3804" i="2"/>
  <c r="U3803" i="2"/>
  <c r="U3802" i="2"/>
  <c r="U3801" i="2"/>
  <c r="U3800" i="2"/>
  <c r="U3799" i="2"/>
  <c r="U3798" i="2"/>
  <c r="U3797" i="2"/>
  <c r="U3796" i="2"/>
  <c r="U3795" i="2"/>
  <c r="U3794" i="2"/>
  <c r="U3793" i="2"/>
  <c r="U3792" i="2"/>
  <c r="U3791" i="2"/>
  <c r="U3790" i="2"/>
  <c r="U3789" i="2"/>
  <c r="U3788" i="2"/>
  <c r="U3787" i="2"/>
  <c r="U3786" i="2"/>
  <c r="U3785" i="2"/>
  <c r="U3784" i="2"/>
  <c r="U3783" i="2"/>
  <c r="U3782" i="2"/>
  <c r="U3781" i="2"/>
  <c r="U3780" i="2"/>
  <c r="U3779" i="2"/>
  <c r="U3778" i="2"/>
  <c r="U3777" i="2"/>
  <c r="U3776" i="2"/>
  <c r="U3775" i="2"/>
  <c r="U3774" i="2"/>
  <c r="U3773" i="2"/>
  <c r="U3772" i="2"/>
  <c r="U3771" i="2"/>
  <c r="U3770" i="2"/>
  <c r="U3769" i="2"/>
  <c r="U3768" i="2"/>
  <c r="U3767" i="2"/>
  <c r="U3766" i="2"/>
  <c r="U3765" i="2"/>
  <c r="U3764" i="2"/>
  <c r="U3763" i="2"/>
  <c r="U3762" i="2"/>
  <c r="U3761" i="2"/>
  <c r="U3760" i="2"/>
  <c r="U3759" i="2"/>
  <c r="U3758" i="2"/>
  <c r="U3757" i="2"/>
  <c r="U3756" i="2"/>
  <c r="U3755" i="2"/>
  <c r="U3754" i="2"/>
  <c r="U3753" i="2"/>
  <c r="U3752" i="2"/>
  <c r="V3751" i="2"/>
  <c r="U3751" i="2"/>
  <c r="U3750" i="2"/>
  <c r="U3749" i="2"/>
  <c r="U3748" i="2"/>
  <c r="U3747" i="2"/>
  <c r="U3746" i="2"/>
  <c r="U3745" i="2"/>
  <c r="U3744" i="2"/>
  <c r="V3743" i="2"/>
  <c r="U3743" i="2"/>
  <c r="U3742" i="2"/>
  <c r="U3741" i="2"/>
  <c r="U3740" i="2"/>
  <c r="U3739" i="2"/>
  <c r="U3738" i="2"/>
  <c r="U3737" i="2"/>
  <c r="U3736" i="2"/>
  <c r="U3735" i="2"/>
  <c r="U3734" i="2"/>
  <c r="U3733" i="2"/>
  <c r="U3732" i="2"/>
  <c r="U3731" i="2"/>
  <c r="U3730" i="2"/>
  <c r="U3729" i="2"/>
  <c r="U3728" i="2"/>
  <c r="U3727" i="2"/>
  <c r="U3726" i="2"/>
  <c r="U3725" i="2"/>
  <c r="U3724" i="2"/>
  <c r="U3723" i="2"/>
  <c r="U3722" i="2"/>
  <c r="U3721" i="2"/>
  <c r="U3720" i="2"/>
  <c r="U3719" i="2"/>
  <c r="U3718" i="2"/>
  <c r="U3717" i="2"/>
  <c r="U3716" i="2"/>
  <c r="U3715" i="2"/>
  <c r="U3714" i="2"/>
  <c r="U3713" i="2"/>
  <c r="U3712" i="2"/>
  <c r="U3711" i="2"/>
  <c r="U3710" i="2"/>
  <c r="U3709" i="2"/>
  <c r="U3708" i="2"/>
  <c r="U3707" i="2"/>
  <c r="U3706" i="2"/>
  <c r="U3705" i="2"/>
  <c r="U3704" i="2"/>
  <c r="U3703" i="2"/>
  <c r="U3702" i="2"/>
  <c r="U3701" i="2"/>
  <c r="U3700" i="2"/>
  <c r="U3699" i="2"/>
  <c r="U3698" i="2"/>
  <c r="U3697" i="2"/>
  <c r="U3696" i="2"/>
  <c r="U3695" i="2"/>
  <c r="U3694" i="2"/>
  <c r="U3693" i="2"/>
  <c r="U3692" i="2"/>
  <c r="U3691" i="2"/>
  <c r="U3690" i="2"/>
  <c r="U3689" i="2"/>
  <c r="U3688" i="2"/>
  <c r="U3687" i="2"/>
  <c r="U3686" i="2"/>
  <c r="U3685" i="2"/>
  <c r="U3684" i="2"/>
  <c r="U3683" i="2"/>
  <c r="U3682" i="2"/>
  <c r="U3681" i="2"/>
  <c r="U3680" i="2"/>
  <c r="U3679" i="2"/>
  <c r="U3678" i="2"/>
  <c r="U3677" i="2"/>
  <c r="U3676" i="2"/>
  <c r="U3675" i="2"/>
  <c r="V3674" i="2"/>
  <c r="U3674" i="2"/>
  <c r="U3673" i="2"/>
  <c r="U3672" i="2"/>
  <c r="U3671" i="2"/>
  <c r="U3670" i="2"/>
  <c r="U3669" i="2"/>
  <c r="U3668" i="2"/>
  <c r="U3667" i="2"/>
  <c r="U3666" i="2"/>
  <c r="U3665" i="2"/>
  <c r="U3664" i="2"/>
  <c r="U3663" i="2"/>
  <c r="U3662" i="2"/>
  <c r="U3661" i="2"/>
  <c r="U3660" i="2"/>
  <c r="U3659" i="2"/>
  <c r="U3658" i="2"/>
  <c r="U3657" i="2"/>
  <c r="V3656" i="2"/>
  <c r="U3656" i="2"/>
  <c r="U3655" i="2"/>
  <c r="U3654" i="2"/>
  <c r="U3653" i="2"/>
  <c r="U3652" i="2"/>
  <c r="U3651" i="2"/>
  <c r="U3650" i="2"/>
  <c r="U3649" i="2"/>
  <c r="U3648" i="2"/>
  <c r="U3647" i="2"/>
  <c r="U3646" i="2"/>
  <c r="U3645" i="2"/>
  <c r="U3644" i="2"/>
  <c r="U3643" i="2"/>
  <c r="U3642" i="2"/>
  <c r="U3641" i="2"/>
  <c r="U3640" i="2"/>
  <c r="U3639" i="2"/>
  <c r="U3638" i="2"/>
  <c r="U3637" i="2"/>
  <c r="U3636" i="2"/>
  <c r="U3635" i="2"/>
  <c r="U3634" i="2"/>
  <c r="U3633" i="2"/>
  <c r="U3632" i="2"/>
  <c r="U3631" i="2"/>
  <c r="U3630" i="2"/>
  <c r="U3629" i="2"/>
  <c r="U3628" i="2"/>
  <c r="U3627" i="2"/>
  <c r="U3626" i="2"/>
  <c r="U3625" i="2"/>
  <c r="V3625" i="2" s="1"/>
  <c r="U3624" i="2"/>
  <c r="U3623" i="2"/>
  <c r="U3622" i="2"/>
  <c r="U3621" i="2"/>
  <c r="U3620" i="2"/>
  <c r="U3619" i="2"/>
  <c r="U3618" i="2"/>
  <c r="U3617" i="2"/>
  <c r="U3616" i="2"/>
  <c r="U3615" i="2"/>
  <c r="U3614" i="2"/>
  <c r="U3613" i="2"/>
  <c r="U3612" i="2"/>
  <c r="U3611" i="2"/>
  <c r="U3610" i="2"/>
  <c r="U3609" i="2"/>
  <c r="U3608" i="2"/>
  <c r="U3607" i="2"/>
  <c r="U3606" i="2"/>
  <c r="U3605" i="2"/>
  <c r="U3604" i="2"/>
  <c r="U3603" i="2"/>
  <c r="U3602" i="2"/>
  <c r="U3601" i="2"/>
  <c r="U3600" i="2"/>
  <c r="U3599" i="2"/>
  <c r="U3598" i="2"/>
  <c r="U3597" i="2"/>
  <c r="U3596" i="2"/>
  <c r="U3595" i="2"/>
  <c r="U3594" i="2"/>
  <c r="U3593" i="2"/>
  <c r="U3592" i="2"/>
  <c r="U3591" i="2"/>
  <c r="U3590" i="2"/>
  <c r="U3589" i="2"/>
  <c r="U3588" i="2"/>
  <c r="U3587" i="2"/>
  <c r="U3586" i="2"/>
  <c r="U3585" i="2"/>
  <c r="U3584" i="2"/>
  <c r="U3583" i="2"/>
  <c r="U3582" i="2"/>
  <c r="U3581" i="2"/>
  <c r="U3580" i="2"/>
  <c r="U3579" i="2"/>
  <c r="U3578" i="2"/>
  <c r="U3577" i="2"/>
  <c r="U3576" i="2"/>
  <c r="U3575" i="2"/>
  <c r="U3574" i="2"/>
  <c r="U3573" i="2"/>
  <c r="U3572" i="2"/>
  <c r="U3571" i="2"/>
  <c r="U3570" i="2"/>
  <c r="U3569" i="2"/>
  <c r="U3568" i="2"/>
  <c r="U3567" i="2"/>
  <c r="U3566" i="2"/>
  <c r="U3565" i="2"/>
  <c r="U3564" i="2"/>
  <c r="U3563" i="2"/>
  <c r="U3562" i="2"/>
  <c r="U3561" i="2"/>
  <c r="U3560" i="2"/>
  <c r="U3559" i="2"/>
  <c r="U3558" i="2"/>
  <c r="U3557" i="2"/>
  <c r="U3556" i="2"/>
  <c r="U3555" i="2"/>
  <c r="U3554" i="2"/>
  <c r="U3553" i="2"/>
  <c r="U3552" i="2"/>
  <c r="U3551" i="2"/>
  <c r="U3550" i="2"/>
  <c r="U3549" i="2"/>
  <c r="U3548" i="2"/>
  <c r="U3547" i="2"/>
  <c r="U3546" i="2"/>
  <c r="U3545" i="2"/>
  <c r="U3544" i="2"/>
  <c r="U3543" i="2"/>
  <c r="V3543" i="2" s="1"/>
  <c r="U3542" i="2"/>
  <c r="U3541" i="2"/>
  <c r="U3540" i="2"/>
  <c r="U3539" i="2"/>
  <c r="V3538" i="2"/>
  <c r="U3538" i="2"/>
  <c r="U3537" i="2"/>
  <c r="U3536" i="2"/>
  <c r="U3535" i="2"/>
  <c r="U3534" i="2"/>
  <c r="U3533" i="2"/>
  <c r="U3532" i="2"/>
  <c r="U3531" i="2"/>
  <c r="U3530" i="2"/>
  <c r="U3529" i="2"/>
  <c r="U3528" i="2"/>
  <c r="U3527" i="2"/>
  <c r="U3526" i="2"/>
  <c r="U3525" i="2"/>
  <c r="U3524" i="2"/>
  <c r="U3523" i="2"/>
  <c r="U3522" i="2"/>
  <c r="V3521" i="2"/>
  <c r="U3521" i="2"/>
  <c r="U3520" i="2"/>
  <c r="U3519" i="2"/>
  <c r="U3518" i="2"/>
  <c r="U3517" i="2"/>
  <c r="U3516" i="2"/>
  <c r="U3515" i="2"/>
  <c r="U3514" i="2"/>
  <c r="V3513" i="2"/>
  <c r="U3513" i="2"/>
  <c r="U3512" i="2"/>
  <c r="U3511" i="2"/>
  <c r="U3510" i="2"/>
  <c r="U3509" i="2"/>
  <c r="U3508" i="2"/>
  <c r="U3507" i="2"/>
  <c r="U3506" i="2"/>
  <c r="U3505" i="2"/>
  <c r="U3504" i="2"/>
  <c r="V3504" i="2" s="1"/>
  <c r="U3503" i="2"/>
  <c r="U3502" i="2"/>
  <c r="U3501" i="2"/>
  <c r="U3500" i="2"/>
  <c r="U3499" i="2"/>
  <c r="U3498" i="2"/>
  <c r="U3497" i="2"/>
  <c r="U3496" i="2"/>
  <c r="U3495" i="2"/>
  <c r="U3494" i="2"/>
  <c r="U3493" i="2"/>
  <c r="U3492" i="2"/>
  <c r="U3491" i="2"/>
  <c r="U3490" i="2"/>
  <c r="U3489" i="2"/>
  <c r="U3488" i="2"/>
  <c r="U3487" i="2"/>
  <c r="U3486" i="2"/>
  <c r="U3485" i="2"/>
  <c r="U3484" i="2"/>
  <c r="U3483" i="2"/>
  <c r="U3482" i="2"/>
  <c r="U3481" i="2"/>
  <c r="U3480" i="2"/>
  <c r="U3479" i="2"/>
  <c r="U3478" i="2"/>
  <c r="U3477" i="2"/>
  <c r="U3476" i="2"/>
  <c r="U3475" i="2"/>
  <c r="U3474" i="2"/>
  <c r="V3473" i="2"/>
  <c r="U3473" i="2"/>
  <c r="U3472" i="2"/>
  <c r="U3471" i="2"/>
  <c r="U3470" i="2"/>
  <c r="U3469" i="2"/>
  <c r="U3468" i="2"/>
  <c r="U3467" i="2"/>
  <c r="U3466" i="2"/>
  <c r="U3465" i="2"/>
  <c r="U3464" i="2"/>
  <c r="U3463" i="2"/>
  <c r="U3462" i="2"/>
  <c r="U3461" i="2"/>
  <c r="U3460" i="2"/>
  <c r="U3459" i="2"/>
  <c r="U3458" i="2"/>
  <c r="U3457" i="2"/>
  <c r="U3456" i="2"/>
  <c r="U3455" i="2"/>
  <c r="U3454" i="2"/>
  <c r="U3453" i="2"/>
  <c r="U3452" i="2"/>
  <c r="U3451" i="2"/>
  <c r="U3450" i="2"/>
  <c r="U3449" i="2"/>
  <c r="U3448" i="2"/>
  <c r="U3447" i="2"/>
  <c r="U3446" i="2"/>
  <c r="U3445" i="2"/>
  <c r="U3444" i="2"/>
  <c r="U3443" i="2"/>
  <c r="U3442" i="2"/>
  <c r="U3441" i="2"/>
  <c r="U3440" i="2"/>
  <c r="U3439" i="2"/>
  <c r="U3438" i="2"/>
  <c r="U3437" i="2"/>
  <c r="U3436" i="2"/>
  <c r="U3435" i="2"/>
  <c r="U3434" i="2"/>
  <c r="V3434" i="2" s="1"/>
  <c r="U3433" i="2"/>
  <c r="U3432" i="2"/>
  <c r="U3431" i="2"/>
  <c r="U3430" i="2"/>
  <c r="U3429" i="2"/>
  <c r="U3428" i="2"/>
  <c r="U3427" i="2"/>
  <c r="V3426" i="2"/>
  <c r="U3426" i="2"/>
  <c r="U3425" i="2"/>
  <c r="V3425" i="2" s="1"/>
  <c r="U3424" i="2"/>
  <c r="U3423" i="2"/>
  <c r="U3422" i="2"/>
  <c r="U3421" i="2"/>
  <c r="U3420" i="2"/>
  <c r="U3419" i="2"/>
  <c r="U3418" i="2"/>
  <c r="U3417" i="2"/>
  <c r="U3416" i="2"/>
  <c r="U3415" i="2"/>
  <c r="U3414" i="2"/>
  <c r="U3413" i="2"/>
  <c r="U3412" i="2"/>
  <c r="U3411" i="2"/>
  <c r="U3410" i="2"/>
  <c r="U3409" i="2"/>
  <c r="U3408" i="2"/>
  <c r="U3407" i="2"/>
  <c r="U3406" i="2"/>
  <c r="U3405" i="2"/>
  <c r="U3404" i="2"/>
  <c r="U3403" i="2"/>
  <c r="U3402" i="2"/>
  <c r="U3401" i="2"/>
  <c r="U3400" i="2"/>
  <c r="U3399" i="2"/>
  <c r="U3398" i="2"/>
  <c r="U3397" i="2"/>
  <c r="U3396" i="2"/>
  <c r="U3395" i="2"/>
  <c r="U3394" i="2"/>
  <c r="U3393" i="2"/>
  <c r="U3392" i="2"/>
  <c r="U3391" i="2"/>
  <c r="U3390" i="2"/>
  <c r="U3389" i="2"/>
  <c r="U3388" i="2"/>
  <c r="U3387" i="2"/>
  <c r="V3386" i="2"/>
  <c r="U3386" i="2"/>
  <c r="U3385" i="2"/>
  <c r="U3384" i="2"/>
  <c r="U3383" i="2"/>
  <c r="U3382" i="2"/>
  <c r="U3381" i="2"/>
  <c r="U3380" i="2"/>
  <c r="U3379" i="2"/>
  <c r="U3378" i="2"/>
  <c r="U3377" i="2"/>
  <c r="U3376" i="2"/>
  <c r="U3375" i="2"/>
  <c r="U3374" i="2"/>
  <c r="U3373" i="2"/>
  <c r="U3372" i="2"/>
  <c r="U3371" i="2"/>
  <c r="U3370" i="2"/>
  <c r="U3369" i="2"/>
  <c r="U3368" i="2"/>
  <c r="U3367" i="2"/>
  <c r="U3366" i="2"/>
  <c r="V3365" i="2"/>
  <c r="U3365" i="2"/>
  <c r="U3364" i="2"/>
  <c r="U3363" i="2"/>
  <c r="U3362" i="2"/>
  <c r="U3361" i="2"/>
  <c r="U3360" i="2"/>
  <c r="U3359" i="2"/>
  <c r="U3358" i="2"/>
  <c r="U3357" i="2"/>
  <c r="U3356" i="2"/>
  <c r="U3355" i="2"/>
  <c r="U3354" i="2"/>
  <c r="U3353" i="2"/>
  <c r="U3352" i="2"/>
  <c r="U3351" i="2"/>
  <c r="U3350" i="2"/>
  <c r="U3349" i="2"/>
  <c r="U3348" i="2"/>
  <c r="U3347" i="2"/>
  <c r="U3346" i="2"/>
  <c r="U3345" i="2"/>
  <c r="U3344" i="2"/>
  <c r="U3343" i="2"/>
  <c r="U3342" i="2"/>
  <c r="U3341" i="2"/>
  <c r="U3340" i="2"/>
  <c r="U3339" i="2"/>
  <c r="U3338" i="2"/>
  <c r="U3337" i="2"/>
  <c r="U3336" i="2"/>
  <c r="U3335" i="2"/>
  <c r="U3334" i="2"/>
  <c r="U3333" i="2"/>
  <c r="U3332" i="2"/>
  <c r="U3331" i="2"/>
  <c r="U3330" i="2"/>
  <c r="U3329" i="2"/>
  <c r="U3328" i="2"/>
  <c r="U3327" i="2"/>
  <c r="U3326" i="2"/>
  <c r="U3325" i="2"/>
  <c r="U3324" i="2"/>
  <c r="U3323" i="2"/>
  <c r="U3322" i="2"/>
  <c r="U3321" i="2"/>
  <c r="U3320" i="2"/>
  <c r="U3319" i="2"/>
  <c r="U3318" i="2"/>
  <c r="U3317" i="2"/>
  <c r="U3316" i="2"/>
  <c r="U3315" i="2"/>
  <c r="U3314" i="2"/>
  <c r="U3313" i="2"/>
  <c r="U3312" i="2"/>
  <c r="U3311" i="2"/>
  <c r="U3310" i="2"/>
  <c r="U3309" i="2"/>
  <c r="U3308" i="2"/>
  <c r="U3307" i="2"/>
  <c r="U3306" i="2"/>
  <c r="U3305" i="2"/>
  <c r="U3304" i="2"/>
  <c r="U3303" i="2"/>
  <c r="U3302" i="2"/>
  <c r="U3301" i="2"/>
  <c r="U3300" i="2"/>
  <c r="U3299" i="2"/>
  <c r="U3298" i="2"/>
  <c r="U3297" i="2"/>
  <c r="U3296" i="2"/>
  <c r="U3295" i="2"/>
  <c r="U3294" i="2"/>
  <c r="U3293" i="2"/>
  <c r="U3292" i="2"/>
  <c r="U3291" i="2"/>
  <c r="V3290" i="2"/>
  <c r="U3290" i="2"/>
  <c r="U3289" i="2"/>
  <c r="U3288" i="2"/>
  <c r="U3287" i="2"/>
  <c r="U3286" i="2"/>
  <c r="U3285" i="2"/>
  <c r="U3284" i="2"/>
  <c r="U3283" i="2"/>
  <c r="U3282" i="2"/>
  <c r="U3281" i="2"/>
  <c r="U3280" i="2"/>
  <c r="U3279" i="2"/>
  <c r="V3278" i="2"/>
  <c r="U3278" i="2"/>
  <c r="U3277" i="2"/>
  <c r="U3276" i="2"/>
  <c r="U3275" i="2"/>
  <c r="U3274" i="2"/>
  <c r="U3273" i="2"/>
  <c r="U3272" i="2"/>
  <c r="U3271" i="2"/>
  <c r="U3270" i="2"/>
  <c r="U3269" i="2"/>
  <c r="U3268" i="2"/>
  <c r="U3267" i="2"/>
  <c r="U3266" i="2"/>
  <c r="U3265" i="2"/>
  <c r="U3264" i="2"/>
  <c r="U3263" i="2"/>
  <c r="U3262" i="2"/>
  <c r="U3261" i="2"/>
  <c r="U3260" i="2"/>
  <c r="U3259" i="2"/>
  <c r="U3258" i="2"/>
  <c r="U3257" i="2"/>
  <c r="U3256" i="2"/>
  <c r="U3255" i="2"/>
  <c r="U3254" i="2"/>
  <c r="U3253" i="2"/>
  <c r="U3252" i="2"/>
  <c r="U3251" i="2"/>
  <c r="U3250" i="2"/>
  <c r="U3249" i="2"/>
  <c r="U3248" i="2"/>
  <c r="U3247" i="2"/>
  <c r="U3246" i="2"/>
  <c r="U3245" i="2"/>
  <c r="U3244" i="2"/>
  <c r="U3243" i="2"/>
  <c r="U3242" i="2"/>
  <c r="U3241" i="2"/>
  <c r="U3240" i="2"/>
  <c r="U3239" i="2"/>
  <c r="U3238" i="2"/>
  <c r="U3237" i="2"/>
  <c r="U3236" i="2"/>
  <c r="U3235" i="2"/>
  <c r="U3234" i="2"/>
  <c r="U3233" i="2"/>
  <c r="U3232" i="2"/>
  <c r="U3231" i="2"/>
  <c r="U3230" i="2"/>
  <c r="U3229" i="2"/>
  <c r="U3228" i="2"/>
  <c r="U3227" i="2"/>
  <c r="U3226" i="2"/>
  <c r="U3225" i="2"/>
  <c r="U3224" i="2"/>
  <c r="U3223" i="2"/>
  <c r="U3222" i="2"/>
  <c r="U3221" i="2"/>
  <c r="U3220" i="2"/>
  <c r="U3219" i="2"/>
  <c r="U3218" i="2"/>
  <c r="U3217" i="2"/>
  <c r="U3216" i="2"/>
  <c r="U3215" i="2"/>
  <c r="U3214" i="2"/>
  <c r="U3213" i="2"/>
  <c r="U3212" i="2"/>
  <c r="U3211" i="2"/>
  <c r="U3210" i="2"/>
  <c r="U3209" i="2"/>
  <c r="U3208" i="2"/>
  <c r="U3207" i="2"/>
  <c r="U3206" i="2"/>
  <c r="U3205" i="2"/>
  <c r="U3204" i="2"/>
  <c r="U3203" i="2"/>
  <c r="U3202" i="2"/>
  <c r="U3201" i="2"/>
  <c r="U3200" i="2"/>
  <c r="U3199" i="2"/>
  <c r="U3198" i="2"/>
  <c r="U3197" i="2"/>
  <c r="U3196" i="2"/>
  <c r="U3195" i="2"/>
  <c r="U3194" i="2"/>
  <c r="U3193" i="2"/>
  <c r="U3192" i="2"/>
  <c r="U3191" i="2"/>
  <c r="U3190" i="2"/>
  <c r="U3189" i="2"/>
  <c r="U3188" i="2"/>
  <c r="U3187" i="2"/>
  <c r="U3186" i="2"/>
  <c r="U3185" i="2"/>
  <c r="U3184" i="2"/>
  <c r="U3183" i="2"/>
  <c r="U3182" i="2"/>
  <c r="V3182" i="2" s="1"/>
  <c r="U3181" i="2"/>
  <c r="U3180" i="2"/>
  <c r="U3179" i="2"/>
  <c r="U3178" i="2"/>
  <c r="U3177" i="2"/>
  <c r="U3176" i="2"/>
  <c r="U3175" i="2"/>
  <c r="U3174" i="2"/>
  <c r="U3173" i="2"/>
  <c r="U3172" i="2"/>
  <c r="U3171" i="2"/>
  <c r="V3910" i="2" s="1"/>
  <c r="U3170" i="2"/>
  <c r="U3169" i="2"/>
  <c r="U3168" i="2"/>
  <c r="U3167" i="2"/>
  <c r="U3166" i="2"/>
  <c r="U3165" i="2"/>
  <c r="U3164" i="2"/>
  <c r="U3163" i="2"/>
  <c r="U3162" i="2"/>
  <c r="U3161" i="2"/>
  <c r="U3160" i="2"/>
  <c r="U3159" i="2"/>
  <c r="U3158" i="2"/>
  <c r="U3157" i="2"/>
  <c r="U3156" i="2"/>
  <c r="U3155" i="2"/>
  <c r="U3154" i="2"/>
  <c r="U3153" i="2"/>
  <c r="U3152" i="2"/>
  <c r="U3151" i="2"/>
  <c r="U3150" i="2"/>
  <c r="U3149" i="2"/>
  <c r="U3148" i="2"/>
  <c r="U3147" i="2"/>
  <c r="U3146" i="2"/>
  <c r="U3145" i="2"/>
  <c r="U3144" i="2"/>
  <c r="U3143" i="2"/>
  <c r="U3142" i="2"/>
  <c r="U3141" i="2"/>
  <c r="U3140" i="2"/>
  <c r="U3139" i="2"/>
  <c r="U3138" i="2"/>
  <c r="U3137" i="2"/>
  <c r="U3136" i="2"/>
  <c r="U3135" i="2"/>
  <c r="U3134" i="2"/>
  <c r="U3133" i="2"/>
  <c r="U3132" i="2"/>
  <c r="U3131" i="2"/>
  <c r="U3130" i="2"/>
  <c r="U3129" i="2"/>
  <c r="U3128" i="2"/>
  <c r="U3127" i="2"/>
  <c r="U3126" i="2"/>
  <c r="V3126" i="2" s="1"/>
  <c r="U3125" i="2"/>
  <c r="U3124" i="2"/>
  <c r="U3123" i="2"/>
  <c r="U3122" i="2"/>
  <c r="U3121" i="2"/>
  <c r="U3120" i="2"/>
  <c r="U3119" i="2"/>
  <c r="U3118" i="2"/>
  <c r="U3117" i="2"/>
  <c r="U3116" i="2"/>
  <c r="U3115" i="2"/>
  <c r="U3114" i="2"/>
  <c r="U3113" i="2"/>
  <c r="V3112" i="2"/>
  <c r="U3112" i="2"/>
  <c r="U3111" i="2"/>
  <c r="U3110" i="2"/>
  <c r="U3109" i="2"/>
  <c r="U3108" i="2"/>
  <c r="U3107" i="2"/>
  <c r="U3106" i="2"/>
  <c r="U3105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V3082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V3047" i="2" s="1"/>
  <c r="U3046" i="2"/>
  <c r="U3045" i="2"/>
  <c r="U3044" i="2"/>
  <c r="U3043" i="2"/>
  <c r="U3042" i="2"/>
  <c r="U3041" i="2"/>
  <c r="V3041" i="2" s="1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V3018" i="2" s="1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V2993" i="2"/>
  <c r="U2993" i="2"/>
  <c r="U2992" i="2"/>
  <c r="U2991" i="2"/>
  <c r="U2990" i="2"/>
  <c r="U2989" i="2"/>
  <c r="U2988" i="2"/>
  <c r="U2987" i="2"/>
  <c r="U2986" i="2"/>
  <c r="U2985" i="2"/>
  <c r="V2985" i="2" s="1"/>
  <c r="U2984" i="2"/>
  <c r="U2983" i="2"/>
  <c r="U2982" i="2"/>
  <c r="U2981" i="2"/>
  <c r="U2980" i="2"/>
  <c r="U2979" i="2"/>
  <c r="U2978" i="2"/>
  <c r="U2977" i="2"/>
  <c r="V2977" i="2" s="1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V2950" i="2"/>
  <c r="U2950" i="2"/>
  <c r="U2949" i="2"/>
  <c r="U2948" i="2"/>
  <c r="U2947" i="2"/>
  <c r="U2946" i="2"/>
  <c r="U2945" i="2"/>
  <c r="U2944" i="2"/>
  <c r="U2943" i="2"/>
  <c r="U2942" i="2"/>
  <c r="V2941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V2928" i="2"/>
  <c r="U2928" i="2"/>
  <c r="U2927" i="2"/>
  <c r="U2926" i="2"/>
  <c r="U2925" i="2"/>
  <c r="U2924" i="2"/>
  <c r="U2923" i="2"/>
  <c r="U2922" i="2"/>
  <c r="U2921" i="2"/>
  <c r="V2921" i="2" s="1"/>
  <c r="U2920" i="2"/>
  <c r="U2919" i="2"/>
  <c r="U2918" i="2"/>
  <c r="U2917" i="2"/>
  <c r="V2916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V2905" i="2" s="1"/>
  <c r="U2904" i="2"/>
  <c r="U2903" i="2"/>
  <c r="U2902" i="2"/>
  <c r="U2901" i="2"/>
  <c r="U2900" i="2"/>
  <c r="U2899" i="2"/>
  <c r="U2898" i="2"/>
  <c r="U2897" i="2"/>
  <c r="V2896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V2813" i="2" s="1"/>
  <c r="U2812" i="2"/>
  <c r="U2811" i="2"/>
  <c r="V2811" i="2" s="1"/>
  <c r="U2810" i="2"/>
  <c r="U2809" i="2"/>
  <c r="U2808" i="2"/>
  <c r="V2808" i="2" s="1"/>
  <c r="U2807" i="2"/>
  <c r="U2806" i="2"/>
  <c r="U2805" i="2"/>
  <c r="U2804" i="2"/>
  <c r="U2803" i="2"/>
  <c r="U2802" i="2"/>
  <c r="U2801" i="2"/>
  <c r="V2801" i="2" s="1"/>
  <c r="U2800" i="2"/>
  <c r="U2799" i="2"/>
  <c r="U2798" i="2"/>
  <c r="U2797" i="2"/>
  <c r="U2796" i="2"/>
  <c r="U2795" i="2"/>
  <c r="U2794" i="2"/>
  <c r="U2793" i="2"/>
  <c r="U2792" i="2"/>
  <c r="U2791" i="2"/>
  <c r="V2791" i="2" s="1"/>
  <c r="U2790" i="2"/>
  <c r="U2789" i="2"/>
  <c r="U2788" i="2"/>
  <c r="U2787" i="2"/>
  <c r="V2786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V2772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V2742" i="2" s="1"/>
  <c r="U2741" i="2"/>
  <c r="U2740" i="2"/>
  <c r="U2739" i="2"/>
  <c r="U2738" i="2"/>
  <c r="U2737" i="2"/>
  <c r="U2736" i="2"/>
  <c r="V2735" i="2"/>
  <c r="U2735" i="2"/>
  <c r="U2734" i="2"/>
  <c r="U2733" i="2"/>
  <c r="U2732" i="2"/>
  <c r="V2731" i="2"/>
  <c r="U2731" i="2"/>
  <c r="V3193" i="2" s="1"/>
  <c r="U2730" i="2"/>
  <c r="U2729" i="2"/>
  <c r="U2728" i="2"/>
  <c r="U2727" i="2"/>
  <c r="U2726" i="2"/>
  <c r="U2725" i="2"/>
  <c r="U2724" i="2"/>
  <c r="V2723" i="2"/>
  <c r="U2723" i="2"/>
  <c r="U2722" i="2"/>
  <c r="U2721" i="2"/>
  <c r="U2720" i="2"/>
  <c r="V2719" i="2"/>
  <c r="U2719" i="2"/>
  <c r="U2718" i="2"/>
  <c r="U2717" i="2"/>
  <c r="U2716" i="2"/>
  <c r="U2715" i="2"/>
  <c r="U2714" i="2"/>
  <c r="U2713" i="2"/>
  <c r="U2712" i="2"/>
  <c r="U2711" i="2"/>
  <c r="U2710" i="2"/>
  <c r="U2709" i="2"/>
  <c r="V2708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V2696" i="2"/>
  <c r="U2696" i="2"/>
  <c r="U2695" i="2"/>
  <c r="U2694" i="2"/>
  <c r="U2693" i="2"/>
  <c r="U2692" i="2"/>
  <c r="U2691" i="2"/>
  <c r="U2690" i="2"/>
  <c r="V2690" i="2" s="1"/>
  <c r="U2689" i="2"/>
  <c r="U2688" i="2"/>
  <c r="U2687" i="2"/>
  <c r="V2687" i="2" s="1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V2675" i="2" s="1"/>
  <c r="U2674" i="2"/>
  <c r="U2673" i="2"/>
  <c r="U2672" i="2"/>
  <c r="U2671" i="2"/>
  <c r="U2670" i="2"/>
  <c r="U2669" i="2"/>
  <c r="V2668" i="2"/>
  <c r="U2668" i="2"/>
  <c r="U2667" i="2"/>
  <c r="U2666" i="2"/>
  <c r="V2665" i="2"/>
  <c r="U2665" i="2"/>
  <c r="U2664" i="2"/>
  <c r="V2664" i="2" s="1"/>
  <c r="U2663" i="2"/>
  <c r="U2662" i="2"/>
  <c r="U2661" i="2"/>
  <c r="U2660" i="2"/>
  <c r="U2659" i="2"/>
  <c r="U2658" i="2"/>
  <c r="V2657" i="2"/>
  <c r="U2657" i="2"/>
  <c r="U2656" i="2"/>
  <c r="U2655" i="2"/>
  <c r="U2654" i="2"/>
  <c r="U2653" i="2"/>
  <c r="U2652" i="2"/>
  <c r="V2652" i="2" s="1"/>
  <c r="U2651" i="2"/>
  <c r="V2651" i="2" s="1"/>
  <c r="U2650" i="2"/>
  <c r="U2649" i="2"/>
  <c r="V2648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V2627" i="2"/>
  <c r="U2627" i="2"/>
  <c r="U2626" i="2"/>
  <c r="U2625" i="2"/>
  <c r="U2624" i="2"/>
  <c r="U2623" i="2"/>
  <c r="U2622" i="2"/>
  <c r="V2621" i="2"/>
  <c r="U2621" i="2"/>
  <c r="U2620" i="2"/>
  <c r="U2619" i="2"/>
  <c r="V2619" i="2" s="1"/>
  <c r="U2618" i="2"/>
  <c r="U2617" i="2"/>
  <c r="V2616" i="2"/>
  <c r="U2616" i="2"/>
  <c r="U2615" i="2"/>
  <c r="U2614" i="2"/>
  <c r="U2613" i="2"/>
  <c r="U2612" i="2"/>
  <c r="U2611" i="2"/>
  <c r="U2610" i="2"/>
  <c r="U2609" i="2"/>
  <c r="V2609" i="2" s="1"/>
  <c r="U2608" i="2"/>
  <c r="U2607" i="2"/>
  <c r="U2606" i="2"/>
  <c r="U2605" i="2"/>
  <c r="U2604" i="2"/>
  <c r="V2603" i="2"/>
  <c r="U2603" i="2"/>
  <c r="U2602" i="2"/>
  <c r="V2601" i="2"/>
  <c r="U2601" i="2"/>
  <c r="U2600" i="2"/>
  <c r="U2599" i="2"/>
  <c r="U2598" i="2"/>
  <c r="U2597" i="2"/>
  <c r="U2596" i="2"/>
  <c r="U2595" i="2"/>
  <c r="U2594" i="2"/>
  <c r="V2594" i="2" s="1"/>
  <c r="U2593" i="2"/>
  <c r="U2592" i="2"/>
  <c r="U2591" i="2"/>
  <c r="V2591" i="2" s="1"/>
  <c r="U2590" i="2"/>
  <c r="U2589" i="2"/>
  <c r="U2588" i="2"/>
  <c r="V2588" i="2" s="1"/>
  <c r="U2587" i="2"/>
  <c r="U2586" i="2"/>
  <c r="U2585" i="2"/>
  <c r="V2585" i="2" s="1"/>
  <c r="V2584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V2572" i="2"/>
  <c r="U2572" i="2"/>
  <c r="U2571" i="2"/>
  <c r="U2570" i="2"/>
  <c r="U2569" i="2"/>
  <c r="V2568" i="2"/>
  <c r="U2568" i="2"/>
  <c r="U2567" i="2"/>
  <c r="U2566" i="2"/>
  <c r="U2565" i="2"/>
  <c r="U2564" i="2"/>
  <c r="V2563" i="2"/>
  <c r="U2563" i="2"/>
  <c r="U2562" i="2"/>
  <c r="U2561" i="2"/>
  <c r="U2560" i="2"/>
  <c r="U2559" i="2"/>
  <c r="U2558" i="2"/>
  <c r="U2557" i="2"/>
  <c r="U2556" i="2"/>
  <c r="V2556" i="2" s="1"/>
  <c r="U2555" i="2"/>
  <c r="U2554" i="2"/>
  <c r="U2553" i="2"/>
  <c r="V2552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V2525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V2509" i="2" s="1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V2493" i="2" s="1"/>
  <c r="U2492" i="2"/>
  <c r="V2492" i="2" s="1"/>
  <c r="U2491" i="2"/>
  <c r="U2490" i="2"/>
  <c r="U2489" i="2"/>
  <c r="V2489" i="2" s="1"/>
  <c r="U2488" i="2"/>
  <c r="U2487" i="2"/>
  <c r="U2486" i="2"/>
  <c r="U2485" i="2"/>
  <c r="U2484" i="2"/>
  <c r="U2483" i="2"/>
  <c r="U2482" i="2"/>
  <c r="V2481" i="2"/>
  <c r="U2481" i="2"/>
  <c r="U2480" i="2"/>
  <c r="V2480" i="2" s="1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V2465" i="2"/>
  <c r="U2465" i="2"/>
  <c r="U2464" i="2"/>
  <c r="V2463" i="2"/>
  <c r="U2463" i="2"/>
  <c r="U2462" i="2"/>
  <c r="V2462" i="2" s="1"/>
  <c r="U2461" i="2"/>
  <c r="U2460" i="2"/>
  <c r="U2459" i="2"/>
  <c r="U2458" i="2"/>
  <c r="U2457" i="2"/>
  <c r="U2456" i="2"/>
  <c r="U2455" i="2"/>
  <c r="U2454" i="2"/>
  <c r="U2453" i="2"/>
  <c r="U2452" i="2"/>
  <c r="U2451" i="2"/>
  <c r="V2451" i="2" s="1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V2438" i="2"/>
  <c r="U2438" i="2"/>
  <c r="U2437" i="2"/>
  <c r="U2436" i="2"/>
  <c r="U2435" i="2"/>
  <c r="U2434" i="2"/>
  <c r="V2433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V2420" i="2"/>
  <c r="U2420" i="2"/>
  <c r="U2419" i="2"/>
  <c r="V2418" i="2"/>
  <c r="U2418" i="2"/>
  <c r="U2417" i="2"/>
  <c r="U2416" i="2"/>
  <c r="U2415" i="2"/>
  <c r="V2414" i="2"/>
  <c r="U2414" i="2"/>
  <c r="V2413" i="2"/>
  <c r="U2413" i="2"/>
  <c r="U2412" i="2"/>
  <c r="U2411" i="2"/>
  <c r="V2410" i="2"/>
  <c r="U2410" i="2"/>
  <c r="V2409" i="2"/>
  <c r="U2409" i="2"/>
  <c r="U2408" i="2"/>
  <c r="U2407" i="2"/>
  <c r="V2407" i="2" s="1"/>
  <c r="U2406" i="2"/>
  <c r="U2405" i="2"/>
  <c r="U2404" i="2"/>
  <c r="U2403" i="2"/>
  <c r="U2402" i="2"/>
  <c r="U2401" i="2"/>
  <c r="U2400" i="2"/>
  <c r="U2399" i="2"/>
  <c r="U2398" i="2"/>
  <c r="V2397" i="2"/>
  <c r="U2397" i="2"/>
  <c r="U2396" i="2"/>
  <c r="U2395" i="2"/>
  <c r="U2394" i="2"/>
  <c r="U2393" i="2"/>
  <c r="U2392" i="2"/>
  <c r="U2391" i="2"/>
  <c r="U2390" i="2"/>
  <c r="U2389" i="2"/>
  <c r="U2388" i="2"/>
  <c r="U2387" i="2"/>
  <c r="V2387" i="2" s="1"/>
  <c r="U2386" i="2"/>
  <c r="U2385" i="2"/>
  <c r="U2384" i="2"/>
  <c r="U2383" i="2"/>
  <c r="U2382" i="2"/>
  <c r="V2381" i="2"/>
  <c r="U2381" i="2"/>
  <c r="U2380" i="2"/>
  <c r="U2379" i="2"/>
  <c r="V2379" i="2" s="1"/>
  <c r="V2378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V2367" i="2" s="1"/>
  <c r="V2366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V2348" i="2"/>
  <c r="U2348" i="2"/>
  <c r="U2347" i="2"/>
  <c r="U2346" i="2"/>
  <c r="U2345" i="2"/>
  <c r="U2344" i="2"/>
  <c r="U2343" i="2"/>
  <c r="U2342" i="2"/>
  <c r="U2341" i="2"/>
  <c r="U2340" i="2"/>
  <c r="V2340" i="2" s="1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V2323" i="2" s="1"/>
  <c r="U2322" i="2"/>
  <c r="U2321" i="2"/>
  <c r="U2320" i="2"/>
  <c r="V2320" i="2" s="1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V2304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V2292" i="2" s="1"/>
  <c r="U2291" i="2"/>
  <c r="V2291" i="2" s="1"/>
  <c r="U2290" i="2"/>
  <c r="V2289" i="2"/>
  <c r="U2289" i="2"/>
  <c r="U2288" i="2"/>
  <c r="U2287" i="2"/>
  <c r="U2286" i="2"/>
  <c r="U2285" i="2"/>
  <c r="U2284" i="2"/>
  <c r="U2283" i="2"/>
  <c r="V2283" i="2" s="1"/>
  <c r="U2282" i="2"/>
  <c r="U2281" i="2"/>
  <c r="U2280" i="2"/>
  <c r="U2279" i="2"/>
  <c r="U2278" i="2"/>
  <c r="V2277" i="2"/>
  <c r="U2277" i="2"/>
  <c r="U2276" i="2"/>
  <c r="U2275" i="2"/>
  <c r="U2274" i="2"/>
  <c r="V2273" i="2"/>
  <c r="U2273" i="2"/>
  <c r="U2272" i="2"/>
  <c r="U2271" i="2"/>
  <c r="V2271" i="2" s="1"/>
  <c r="V2270" i="2"/>
  <c r="U2270" i="2"/>
  <c r="U2269" i="2"/>
  <c r="U2268" i="2"/>
  <c r="U2267" i="2"/>
  <c r="U2266" i="2"/>
  <c r="U2265" i="2"/>
  <c r="U2264" i="2"/>
  <c r="U2263" i="2"/>
  <c r="V2263" i="2" s="1"/>
  <c r="V2262" i="2"/>
  <c r="U2262" i="2"/>
  <c r="V2261" i="2"/>
  <c r="U2261" i="2"/>
  <c r="U2260" i="2"/>
  <c r="U2259" i="2"/>
  <c r="U2258" i="2"/>
  <c r="U2257" i="2"/>
  <c r="U2256" i="2"/>
  <c r="U2255" i="2"/>
  <c r="U2254" i="2"/>
  <c r="U2253" i="2"/>
  <c r="V2252" i="2"/>
  <c r="U2252" i="2"/>
  <c r="U2251" i="2"/>
  <c r="U2250" i="2"/>
  <c r="U2249" i="2"/>
  <c r="U2248" i="2"/>
  <c r="U2247" i="2"/>
  <c r="U2246" i="2"/>
  <c r="U2245" i="2"/>
  <c r="U2244" i="2"/>
  <c r="V2244" i="2" s="1"/>
  <c r="U2243" i="2"/>
  <c r="U2242" i="2"/>
  <c r="V2241" i="2"/>
  <c r="U2241" i="2"/>
  <c r="V2240" i="2"/>
  <c r="U2240" i="2"/>
  <c r="U2239" i="2"/>
  <c r="V2612" i="2" s="1"/>
  <c r="U2238" i="2"/>
  <c r="U2237" i="2"/>
  <c r="U2236" i="2"/>
  <c r="U2235" i="2"/>
  <c r="U2234" i="2"/>
  <c r="V2233" i="2"/>
  <c r="U2233" i="2"/>
  <c r="U2232" i="2"/>
  <c r="U2231" i="2"/>
  <c r="U2230" i="2"/>
  <c r="V2229" i="2"/>
  <c r="U2229" i="2"/>
  <c r="U2228" i="2"/>
  <c r="V2228" i="2" s="1"/>
  <c r="U2227" i="2"/>
  <c r="V2227" i="2" s="1"/>
  <c r="V2226" i="2"/>
  <c r="U2226" i="2"/>
  <c r="V2225" i="2"/>
  <c r="U2225" i="2"/>
  <c r="U2224" i="2"/>
  <c r="U2223" i="2"/>
  <c r="U2222" i="2"/>
  <c r="U2221" i="2"/>
  <c r="U2220" i="2"/>
  <c r="U2219" i="2"/>
  <c r="U2218" i="2"/>
  <c r="V2217" i="2"/>
  <c r="U2217" i="2"/>
  <c r="V2216" i="2"/>
  <c r="U2216" i="2"/>
  <c r="U2215" i="2"/>
  <c r="U2214" i="2"/>
  <c r="V2213" i="2"/>
  <c r="U2213" i="2"/>
  <c r="U2212" i="2"/>
  <c r="U2211" i="2"/>
  <c r="U2210" i="2"/>
  <c r="U2209" i="2"/>
  <c r="U2208" i="2"/>
  <c r="U2207" i="2"/>
  <c r="V2206" i="2"/>
  <c r="U2206" i="2"/>
  <c r="U2205" i="2"/>
  <c r="U2204" i="2"/>
  <c r="U2203" i="2"/>
  <c r="U2202" i="2"/>
  <c r="V2201" i="2"/>
  <c r="U2201" i="2"/>
  <c r="U2200" i="2"/>
  <c r="U2199" i="2"/>
  <c r="U2198" i="2"/>
  <c r="U2197" i="2"/>
  <c r="U2196" i="2"/>
  <c r="U2195" i="2"/>
  <c r="V2194" i="2"/>
  <c r="U2194" i="2"/>
  <c r="U2193" i="2"/>
  <c r="U2192" i="2"/>
  <c r="U2191" i="2"/>
  <c r="V2191" i="2" s="1"/>
  <c r="V2190" i="2"/>
  <c r="U2190" i="2"/>
  <c r="U2189" i="2"/>
  <c r="U2188" i="2"/>
  <c r="U2187" i="2"/>
  <c r="U2186" i="2"/>
  <c r="U2185" i="2"/>
  <c r="U2184" i="2"/>
  <c r="U2183" i="2"/>
  <c r="V2182" i="2"/>
  <c r="U2182" i="2"/>
  <c r="U2181" i="2"/>
  <c r="U2180" i="2"/>
  <c r="V2180" i="2" s="1"/>
  <c r="U2179" i="2"/>
  <c r="U2178" i="2"/>
  <c r="U2177" i="2"/>
  <c r="V2176" i="2"/>
  <c r="U2176" i="2"/>
  <c r="V2909" i="2" s="1"/>
  <c r="U2175" i="2"/>
  <c r="U2174" i="2"/>
  <c r="U2173" i="2"/>
  <c r="U2172" i="2"/>
  <c r="U2171" i="2"/>
  <c r="U2170" i="2"/>
  <c r="V2169" i="2"/>
  <c r="U2169" i="2"/>
  <c r="U2168" i="2"/>
  <c r="U2167" i="2"/>
  <c r="V2167" i="2" s="1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V2153" i="2"/>
  <c r="U2153" i="2"/>
  <c r="V2152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V2138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V2127" i="2" s="1"/>
  <c r="U2126" i="2"/>
  <c r="U2125" i="2"/>
  <c r="U2124" i="2"/>
  <c r="U2123" i="2"/>
  <c r="V2122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V2104" i="2"/>
  <c r="U2104" i="2"/>
  <c r="U2103" i="2"/>
  <c r="V2102" i="2"/>
  <c r="U2102" i="2"/>
  <c r="U2101" i="2"/>
  <c r="U2100" i="2"/>
  <c r="U2099" i="2"/>
  <c r="V2098" i="2"/>
  <c r="U2098" i="2"/>
  <c r="U2097" i="2"/>
  <c r="U2096" i="2"/>
  <c r="U2095" i="2"/>
  <c r="U2094" i="2"/>
  <c r="V2093" i="2"/>
  <c r="U2093" i="2"/>
  <c r="U2092" i="2"/>
  <c r="U2091" i="2"/>
  <c r="U2090" i="2"/>
  <c r="V2089" i="2"/>
  <c r="U2089" i="2"/>
  <c r="U2088" i="2"/>
  <c r="U2087" i="2"/>
  <c r="U2086" i="2"/>
  <c r="U2085" i="2"/>
  <c r="U2084" i="2"/>
  <c r="U2083" i="2"/>
  <c r="U2082" i="2"/>
  <c r="U2081" i="2"/>
  <c r="U2080" i="2"/>
  <c r="U2079" i="2"/>
  <c r="V2078" i="2"/>
  <c r="U2078" i="2"/>
  <c r="V2077" i="2"/>
  <c r="U2077" i="2"/>
  <c r="U2076" i="2"/>
  <c r="U2075" i="2"/>
  <c r="U2074" i="2"/>
  <c r="V2073" i="2"/>
  <c r="U2073" i="2"/>
  <c r="V2072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V2060" i="2"/>
  <c r="U2060" i="2"/>
  <c r="U2059" i="2"/>
  <c r="U2058" i="2"/>
  <c r="U2057" i="2"/>
  <c r="U2056" i="2"/>
  <c r="U2055" i="2"/>
  <c r="U2054" i="2"/>
  <c r="U2053" i="2"/>
  <c r="U2052" i="2"/>
  <c r="V2052" i="2" s="1"/>
  <c r="U2051" i="2"/>
  <c r="U2050" i="2"/>
  <c r="U2049" i="2"/>
  <c r="U2048" i="2"/>
  <c r="U2047" i="2"/>
  <c r="U2046" i="2"/>
  <c r="U2045" i="2"/>
  <c r="U2044" i="2"/>
  <c r="U2043" i="2"/>
  <c r="U2042" i="2"/>
  <c r="U2041" i="2"/>
  <c r="V2040" i="2"/>
  <c r="U2040" i="2"/>
  <c r="U2039" i="2"/>
  <c r="U2038" i="2"/>
  <c r="U2037" i="2"/>
  <c r="U2036" i="2"/>
  <c r="U2035" i="2"/>
  <c r="U2034" i="2"/>
  <c r="V2033" i="2"/>
  <c r="U2033" i="2"/>
  <c r="U2032" i="2"/>
  <c r="U2031" i="2"/>
  <c r="U2030" i="2"/>
  <c r="U2029" i="2"/>
  <c r="V2028" i="2"/>
  <c r="U2028" i="2"/>
  <c r="U2027" i="2"/>
  <c r="V2026" i="2"/>
  <c r="U2026" i="2"/>
  <c r="U2025" i="2"/>
  <c r="U2024" i="2"/>
  <c r="U2023" i="2"/>
  <c r="U2022" i="2"/>
  <c r="U2021" i="2"/>
  <c r="U2020" i="2"/>
  <c r="U2019" i="2"/>
  <c r="V2018" i="2"/>
  <c r="U2018" i="2"/>
  <c r="U2017" i="2"/>
  <c r="U2016" i="2"/>
  <c r="U2015" i="2"/>
  <c r="V2014" i="2"/>
  <c r="U2014" i="2"/>
  <c r="U2013" i="2"/>
  <c r="U2012" i="2"/>
  <c r="V2012" i="2" s="1"/>
  <c r="U2011" i="2"/>
  <c r="U2010" i="2"/>
  <c r="V2009" i="2"/>
  <c r="U2009" i="2"/>
  <c r="U2008" i="2"/>
  <c r="U2007" i="2"/>
  <c r="U2006" i="2"/>
  <c r="V2005" i="2"/>
  <c r="U2005" i="2"/>
  <c r="U2004" i="2"/>
  <c r="U2003" i="2"/>
  <c r="U2002" i="2"/>
  <c r="U2001" i="2"/>
  <c r="U2000" i="2"/>
  <c r="V2592" i="2" s="1"/>
  <c r="U1999" i="2"/>
  <c r="U1998" i="2"/>
  <c r="V1997" i="2"/>
  <c r="U1997" i="2"/>
  <c r="V1996" i="2"/>
  <c r="U1996" i="2"/>
  <c r="U1995" i="2"/>
  <c r="U1994" i="2"/>
  <c r="U1993" i="2"/>
  <c r="U1992" i="2"/>
  <c r="U1991" i="2"/>
  <c r="V1990" i="2"/>
  <c r="U1990" i="2"/>
  <c r="U1989" i="2"/>
  <c r="U1988" i="2"/>
  <c r="U1987" i="2"/>
  <c r="U1986" i="2"/>
  <c r="U1985" i="2"/>
  <c r="V1984" i="2"/>
  <c r="U1984" i="2"/>
  <c r="U1983" i="2"/>
  <c r="U1982" i="2"/>
  <c r="U1981" i="2"/>
  <c r="U1980" i="2"/>
  <c r="V1980" i="2" s="1"/>
  <c r="U1979" i="2"/>
  <c r="V1979" i="2" s="1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V1965" i="2"/>
  <c r="U1965" i="2"/>
  <c r="U1964" i="2"/>
  <c r="U1963" i="2"/>
  <c r="U1962" i="2"/>
  <c r="U1961" i="2"/>
  <c r="U1960" i="2"/>
  <c r="U1959" i="2"/>
  <c r="V1958" i="2"/>
  <c r="U1958" i="2"/>
  <c r="V1957" i="2"/>
  <c r="U1957" i="2"/>
  <c r="U1956" i="2"/>
  <c r="U1955" i="2"/>
  <c r="U1954" i="2"/>
  <c r="V1953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V1941" i="2"/>
  <c r="U1941" i="2"/>
  <c r="U1940" i="2"/>
  <c r="U1939" i="2"/>
  <c r="V1938" i="2"/>
  <c r="U1938" i="2"/>
  <c r="V1937" i="2"/>
  <c r="U1937" i="2"/>
  <c r="U1936" i="2"/>
  <c r="U1935" i="2"/>
  <c r="U1934" i="2"/>
  <c r="U1933" i="2"/>
  <c r="V1932" i="2"/>
  <c r="U1932" i="2"/>
  <c r="V2994" i="2" s="1"/>
  <c r="U1931" i="2"/>
  <c r="V1930" i="2"/>
  <c r="U1930" i="2"/>
  <c r="U1929" i="2"/>
  <c r="U1928" i="2"/>
  <c r="U1927" i="2"/>
  <c r="U1926" i="2"/>
  <c r="U1925" i="2"/>
  <c r="U1924" i="2"/>
  <c r="U1923" i="2"/>
  <c r="V1922" i="2"/>
  <c r="U1922" i="2"/>
  <c r="U1921" i="2"/>
  <c r="U1920" i="2"/>
  <c r="U1919" i="2"/>
  <c r="V1919" i="2" s="1"/>
  <c r="U1918" i="2"/>
  <c r="V1917" i="2"/>
  <c r="U1917" i="2"/>
  <c r="U1916" i="2"/>
  <c r="U1915" i="2"/>
  <c r="U1914" i="2"/>
  <c r="V1913" i="2"/>
  <c r="U1913" i="2"/>
  <c r="U1912" i="2"/>
  <c r="U1911" i="2"/>
  <c r="U1910" i="2"/>
  <c r="V1909" i="2"/>
  <c r="U1909" i="2"/>
  <c r="U1908" i="2"/>
  <c r="U1907" i="2"/>
  <c r="V1906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V1890" i="2"/>
  <c r="U1890" i="2"/>
  <c r="V1889" i="2"/>
  <c r="U1889" i="2"/>
  <c r="U1888" i="2"/>
  <c r="U1887" i="2"/>
  <c r="U1886" i="2"/>
  <c r="V1885" i="2"/>
  <c r="U1885" i="2"/>
  <c r="U1884" i="2"/>
  <c r="U1883" i="2"/>
  <c r="U1882" i="2"/>
  <c r="U1881" i="2"/>
  <c r="U1880" i="2"/>
  <c r="U1879" i="2"/>
  <c r="U1878" i="2"/>
  <c r="V1877" i="2"/>
  <c r="U1877" i="2"/>
  <c r="U1876" i="2"/>
  <c r="U1875" i="2"/>
  <c r="V1874" i="2"/>
  <c r="U1874" i="2"/>
  <c r="U1873" i="2"/>
  <c r="U1872" i="2"/>
  <c r="U1871" i="2"/>
  <c r="U1870" i="2"/>
  <c r="U1869" i="2"/>
  <c r="U1868" i="2"/>
  <c r="U1867" i="2"/>
  <c r="V2729" i="2" s="1"/>
  <c r="V1866" i="2"/>
  <c r="U1866" i="2"/>
  <c r="U1865" i="2"/>
  <c r="U1864" i="2"/>
  <c r="U1863" i="2"/>
  <c r="V1862" i="2"/>
  <c r="U1862" i="2"/>
  <c r="U1861" i="2"/>
  <c r="U1860" i="2"/>
  <c r="U1859" i="2"/>
  <c r="V1858" i="2"/>
  <c r="U1858" i="2"/>
  <c r="U1857" i="2"/>
  <c r="V1856" i="2"/>
  <c r="U1856" i="2"/>
  <c r="U1855" i="2"/>
  <c r="U1854" i="2"/>
  <c r="U1853" i="2"/>
  <c r="U1852" i="2"/>
  <c r="U1851" i="2"/>
  <c r="U1850" i="2"/>
  <c r="V1849" i="2"/>
  <c r="U1849" i="2"/>
  <c r="U1848" i="2"/>
  <c r="U1847" i="2"/>
  <c r="V1846" i="2"/>
  <c r="U1846" i="2"/>
  <c r="U1845" i="2"/>
  <c r="V1844" i="2"/>
  <c r="U1844" i="2"/>
  <c r="U1843" i="2"/>
  <c r="V1842" i="2"/>
  <c r="U1842" i="2"/>
  <c r="U1841" i="2"/>
  <c r="U1840" i="2"/>
  <c r="U1839" i="2"/>
  <c r="U1838" i="2"/>
  <c r="U1837" i="2"/>
  <c r="V1836" i="2"/>
  <c r="U1836" i="2"/>
  <c r="V2286" i="2" s="1"/>
  <c r="U1835" i="2"/>
  <c r="U1834" i="2"/>
  <c r="U1833" i="2"/>
  <c r="U1832" i="2"/>
  <c r="V1832" i="2" s="1"/>
  <c r="U1831" i="2"/>
  <c r="U1830" i="2"/>
  <c r="U1829" i="2"/>
  <c r="U1828" i="2"/>
  <c r="U1827" i="2"/>
  <c r="U1826" i="2"/>
  <c r="U1825" i="2"/>
  <c r="U1824" i="2"/>
  <c r="U1823" i="2"/>
  <c r="U1822" i="2"/>
  <c r="V1821" i="2"/>
  <c r="U1821" i="2"/>
  <c r="U1820" i="2"/>
  <c r="U1819" i="2"/>
  <c r="U1818" i="2"/>
  <c r="V1817" i="2"/>
  <c r="U1817" i="2"/>
  <c r="U1816" i="2"/>
  <c r="U1815" i="2"/>
  <c r="U1814" i="2"/>
  <c r="U1813" i="2"/>
  <c r="U1812" i="2"/>
  <c r="V1812" i="2" s="1"/>
  <c r="U1811" i="2"/>
  <c r="V1811" i="2" s="1"/>
  <c r="U1810" i="2"/>
  <c r="U1809" i="2"/>
  <c r="U1808" i="2"/>
  <c r="U1807" i="2"/>
  <c r="U1806" i="2"/>
  <c r="V1805" i="2"/>
  <c r="U1805" i="2"/>
  <c r="U1804" i="2"/>
  <c r="U1803" i="2"/>
  <c r="V1802" i="2"/>
  <c r="U1802" i="2"/>
  <c r="U1801" i="2"/>
  <c r="U1800" i="2"/>
  <c r="U1799" i="2"/>
  <c r="V1798" i="2"/>
  <c r="U1798" i="2"/>
  <c r="V1797" i="2"/>
  <c r="U1797" i="2"/>
  <c r="U1796" i="2"/>
  <c r="U1795" i="2"/>
  <c r="U1794" i="2"/>
  <c r="U1793" i="2"/>
  <c r="V1792" i="2"/>
  <c r="U1792" i="2"/>
  <c r="U1791" i="2"/>
  <c r="U1790" i="2"/>
  <c r="U1789" i="2"/>
  <c r="U1788" i="2"/>
  <c r="U1787" i="2"/>
  <c r="U1786" i="2"/>
  <c r="U1785" i="2"/>
  <c r="V1784" i="2"/>
  <c r="U1784" i="2"/>
  <c r="U1783" i="2"/>
  <c r="U1782" i="2"/>
  <c r="U1781" i="2"/>
  <c r="U1780" i="2"/>
  <c r="U1779" i="2"/>
  <c r="U1778" i="2"/>
  <c r="U1777" i="2"/>
  <c r="U1776" i="2"/>
  <c r="U1775" i="2"/>
  <c r="V1774" i="2"/>
  <c r="U1774" i="2"/>
  <c r="U1773" i="2"/>
  <c r="V1772" i="2"/>
  <c r="U1772" i="2"/>
  <c r="U1771" i="2"/>
  <c r="U1770" i="2"/>
  <c r="U1769" i="2"/>
  <c r="U1768" i="2"/>
  <c r="U1767" i="2"/>
  <c r="V1766" i="2"/>
  <c r="U1766" i="2"/>
  <c r="V1765" i="2"/>
  <c r="U1765" i="2"/>
  <c r="U1764" i="2"/>
  <c r="U1763" i="2"/>
  <c r="U1762" i="2"/>
  <c r="U1761" i="2"/>
  <c r="V1760" i="2"/>
  <c r="U1760" i="2"/>
  <c r="U1759" i="2"/>
  <c r="U1758" i="2"/>
  <c r="U1757" i="2"/>
  <c r="U1756" i="2"/>
  <c r="U1755" i="2"/>
  <c r="V1754" i="2"/>
  <c r="U1754" i="2"/>
  <c r="U1753" i="2"/>
  <c r="U1752" i="2"/>
  <c r="U1751" i="2"/>
  <c r="V1750" i="2"/>
  <c r="U1750" i="2"/>
  <c r="U1749" i="2"/>
  <c r="U1748" i="2"/>
  <c r="U1747" i="2"/>
  <c r="U1746" i="2"/>
  <c r="U1745" i="2"/>
  <c r="U1744" i="2"/>
  <c r="U1743" i="2"/>
  <c r="V1742" i="2"/>
  <c r="U1742" i="2"/>
  <c r="V3009" i="2" s="1"/>
  <c r="U1741" i="2"/>
  <c r="V1740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V1722" i="2"/>
  <c r="U1722" i="2"/>
  <c r="U1721" i="2"/>
  <c r="V1720" i="2"/>
  <c r="U1720" i="2"/>
  <c r="U1719" i="2"/>
  <c r="U1718" i="2"/>
  <c r="U1717" i="2"/>
  <c r="U1716" i="2"/>
  <c r="U1715" i="2"/>
  <c r="U1714" i="2"/>
  <c r="U1713" i="2"/>
  <c r="U1712" i="2"/>
  <c r="U1711" i="2"/>
  <c r="V1711" i="2" s="1"/>
  <c r="U1710" i="2"/>
  <c r="U1709" i="2"/>
  <c r="U1708" i="2"/>
  <c r="U1707" i="2"/>
  <c r="V1707" i="2" s="1"/>
  <c r="V1706" i="2"/>
  <c r="U1706" i="2"/>
  <c r="U1705" i="2"/>
  <c r="U1704" i="2"/>
  <c r="U1703" i="2"/>
  <c r="U1702" i="2"/>
  <c r="V1701" i="2"/>
  <c r="U1701" i="2"/>
  <c r="U1700" i="2"/>
  <c r="U1699" i="2"/>
  <c r="U1698" i="2"/>
  <c r="U1697" i="2"/>
  <c r="V1696" i="2"/>
  <c r="U1696" i="2"/>
  <c r="U1695" i="2"/>
  <c r="U1694" i="2"/>
  <c r="U1693" i="2"/>
  <c r="V1693" i="2" s="1"/>
  <c r="U1692" i="2"/>
  <c r="V1692" i="2" s="1"/>
  <c r="U1691" i="2"/>
  <c r="U1690" i="2"/>
  <c r="U1689" i="2"/>
  <c r="V1689" i="2" s="1"/>
  <c r="V1688" i="2"/>
  <c r="U1688" i="2"/>
  <c r="U1687" i="2"/>
  <c r="V1686" i="2"/>
  <c r="U1686" i="2"/>
  <c r="U1685" i="2"/>
  <c r="U1684" i="2"/>
  <c r="U1683" i="2"/>
  <c r="U1682" i="2"/>
  <c r="U1681" i="2"/>
  <c r="U1680" i="2"/>
  <c r="U1679" i="2"/>
  <c r="U1678" i="2"/>
  <c r="U1677" i="2"/>
  <c r="V1676" i="2"/>
  <c r="U1676" i="2"/>
  <c r="U1675" i="2"/>
  <c r="U1674" i="2"/>
  <c r="V1673" i="2"/>
  <c r="U1673" i="2"/>
  <c r="U1672" i="2"/>
  <c r="U1671" i="2"/>
  <c r="U1670" i="2"/>
  <c r="U1669" i="2"/>
  <c r="U1668" i="2"/>
  <c r="U1667" i="2"/>
  <c r="U1666" i="2"/>
  <c r="V1665" i="2"/>
  <c r="U1665" i="2"/>
  <c r="V2595" i="2" s="1"/>
  <c r="V1664" i="2"/>
  <c r="U1664" i="2"/>
  <c r="V2703" i="2" s="1"/>
  <c r="U1663" i="2"/>
  <c r="U1662" i="2"/>
  <c r="U1661" i="2"/>
  <c r="U1660" i="2"/>
  <c r="U1659" i="2"/>
  <c r="V1659" i="2" s="1"/>
  <c r="U1658" i="2"/>
  <c r="U1657" i="2"/>
  <c r="V1656" i="2"/>
  <c r="U1656" i="2"/>
  <c r="U1655" i="2"/>
  <c r="U1654" i="2"/>
  <c r="U1653" i="2"/>
  <c r="U1652" i="2"/>
  <c r="V1652" i="2" s="1"/>
  <c r="U1651" i="2"/>
  <c r="U1650" i="2"/>
  <c r="U1649" i="2"/>
  <c r="U1648" i="2"/>
  <c r="U1647" i="2"/>
  <c r="U1646" i="2"/>
  <c r="U1645" i="2"/>
  <c r="U1644" i="2"/>
  <c r="U1643" i="2"/>
  <c r="V1643" i="2" s="1"/>
  <c r="U1642" i="2"/>
  <c r="U1641" i="2"/>
  <c r="V1640" i="2"/>
  <c r="U1640" i="2"/>
  <c r="U1639" i="2"/>
  <c r="V1638" i="2"/>
  <c r="U1638" i="2"/>
  <c r="U1637" i="2"/>
  <c r="V1637" i="2" s="1"/>
  <c r="U1636" i="2"/>
  <c r="U1635" i="2"/>
  <c r="U1634" i="2"/>
  <c r="U1633" i="2"/>
  <c r="V1632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V1620" i="2"/>
  <c r="U1620" i="2"/>
  <c r="U1619" i="2"/>
  <c r="V1618" i="2"/>
  <c r="U1618" i="2"/>
  <c r="U1617" i="2"/>
  <c r="U1616" i="2"/>
  <c r="U1615" i="2"/>
  <c r="U1614" i="2"/>
  <c r="U1613" i="2"/>
  <c r="U1612" i="2"/>
  <c r="U1611" i="2"/>
  <c r="U1610" i="2"/>
  <c r="U1609" i="2"/>
  <c r="U1608" i="2"/>
  <c r="V1608" i="2" s="1"/>
  <c r="U1607" i="2"/>
  <c r="U1606" i="2"/>
  <c r="U1605" i="2"/>
  <c r="U1604" i="2"/>
  <c r="U1603" i="2"/>
  <c r="U1602" i="2"/>
  <c r="V1601" i="2"/>
  <c r="U1601" i="2"/>
  <c r="V2728" i="2" s="1"/>
  <c r="U1600" i="2"/>
  <c r="U1599" i="2"/>
  <c r="U1598" i="2"/>
  <c r="U1597" i="2"/>
  <c r="V1597" i="2" s="1"/>
  <c r="U1596" i="2"/>
  <c r="U1595" i="2"/>
  <c r="V1594" i="2"/>
  <c r="U1594" i="2"/>
  <c r="U1593" i="2"/>
  <c r="U1592" i="2"/>
  <c r="U1591" i="2"/>
  <c r="U1590" i="2"/>
  <c r="V1589" i="2"/>
  <c r="U1589" i="2"/>
  <c r="U1588" i="2"/>
  <c r="V1588" i="2" s="1"/>
  <c r="U1587" i="2"/>
  <c r="U1586" i="2"/>
  <c r="U1585" i="2"/>
  <c r="U1584" i="2"/>
  <c r="U1583" i="2"/>
  <c r="V1582" i="2"/>
  <c r="U1582" i="2"/>
  <c r="V2912" i="2" s="1"/>
  <c r="U1581" i="2"/>
  <c r="U1580" i="2"/>
  <c r="U1579" i="2"/>
  <c r="V1578" i="2"/>
  <c r="U1578" i="2"/>
  <c r="U1577" i="2"/>
  <c r="U1576" i="2"/>
  <c r="U1575" i="2"/>
  <c r="U1574" i="2"/>
  <c r="U1573" i="2"/>
  <c r="U1572" i="2"/>
  <c r="U1571" i="2"/>
  <c r="V1570" i="2"/>
  <c r="U1570" i="2"/>
  <c r="U1569" i="2"/>
  <c r="V1568" i="2"/>
  <c r="U1568" i="2"/>
  <c r="U1567" i="2"/>
  <c r="V1566" i="2"/>
  <c r="U1566" i="2"/>
  <c r="U1565" i="2"/>
  <c r="U1564" i="2"/>
  <c r="U1563" i="2"/>
  <c r="U1562" i="2"/>
  <c r="U1561" i="2"/>
  <c r="V1560" i="2"/>
  <c r="U1560" i="2"/>
  <c r="V2029" i="2" s="1"/>
  <c r="U1559" i="2"/>
  <c r="U1558" i="2"/>
  <c r="V1557" i="2"/>
  <c r="U1557" i="2"/>
  <c r="V2250" i="2" s="1"/>
  <c r="U1556" i="2"/>
  <c r="U1555" i="2"/>
  <c r="V1554" i="2"/>
  <c r="U1554" i="2"/>
  <c r="U1553" i="2"/>
  <c r="V1553" i="2" s="1"/>
  <c r="U1552" i="2"/>
  <c r="U1551" i="2"/>
  <c r="V1550" i="2"/>
  <c r="U1550" i="2"/>
  <c r="U1549" i="2"/>
  <c r="U1548" i="2"/>
  <c r="U1547" i="2"/>
  <c r="V1547" i="2" s="1"/>
  <c r="V1546" i="2"/>
  <c r="U1546" i="2"/>
  <c r="U1545" i="2"/>
  <c r="U1544" i="2"/>
  <c r="U1543" i="2"/>
  <c r="U1542" i="2"/>
  <c r="U1541" i="2"/>
  <c r="U1540" i="2"/>
  <c r="U1539" i="2"/>
  <c r="V1538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V1526" i="2"/>
  <c r="U1526" i="2"/>
  <c r="U1525" i="2"/>
  <c r="U1524" i="2"/>
  <c r="U1523" i="2"/>
  <c r="U1522" i="2"/>
  <c r="U1521" i="2"/>
  <c r="U1520" i="2"/>
  <c r="U1519" i="2"/>
  <c r="V1518" i="2"/>
  <c r="U1518" i="2"/>
  <c r="U1517" i="2"/>
  <c r="U1516" i="2"/>
  <c r="U1515" i="2"/>
  <c r="U1514" i="2"/>
  <c r="U1513" i="2"/>
  <c r="U1512" i="2"/>
  <c r="U1511" i="2"/>
  <c r="U1510" i="2"/>
  <c r="U1509" i="2"/>
  <c r="V1509" i="2" s="1"/>
  <c r="U1508" i="2"/>
  <c r="V1508" i="2" s="1"/>
  <c r="U1507" i="2"/>
  <c r="U1506" i="2"/>
  <c r="U1505" i="2"/>
  <c r="V1504" i="2"/>
  <c r="U1504" i="2"/>
  <c r="U1503" i="2"/>
  <c r="U1502" i="2"/>
  <c r="U1501" i="2"/>
  <c r="V1501" i="2" s="1"/>
  <c r="U1500" i="2"/>
  <c r="V1500" i="2" s="1"/>
  <c r="U1499" i="2"/>
  <c r="V1498" i="2"/>
  <c r="U1498" i="2"/>
  <c r="U1497" i="2"/>
  <c r="U1496" i="2"/>
  <c r="U1495" i="2"/>
  <c r="V1494" i="2"/>
  <c r="U1494" i="2"/>
  <c r="V1493" i="2"/>
  <c r="U1493" i="2"/>
  <c r="U1492" i="2"/>
  <c r="U1491" i="2"/>
  <c r="V1490" i="2"/>
  <c r="U1490" i="2"/>
  <c r="U1489" i="2"/>
  <c r="U1488" i="2"/>
  <c r="U1487" i="2"/>
  <c r="U1486" i="2"/>
  <c r="U1485" i="2"/>
  <c r="U1484" i="2"/>
  <c r="U1483" i="2"/>
  <c r="V1482" i="2"/>
  <c r="U1482" i="2"/>
  <c r="U1481" i="2"/>
  <c r="U1480" i="2"/>
  <c r="U1479" i="2"/>
  <c r="V1478" i="2"/>
  <c r="U1478" i="2"/>
  <c r="U1477" i="2"/>
  <c r="V1477" i="2" s="1"/>
  <c r="U1476" i="2"/>
  <c r="U1475" i="2"/>
  <c r="V1474" i="2"/>
  <c r="U1474" i="2"/>
  <c r="U1473" i="2"/>
  <c r="U1472" i="2"/>
  <c r="U1471" i="2"/>
  <c r="V1470" i="2"/>
  <c r="U1470" i="2"/>
  <c r="V1469" i="2"/>
  <c r="U1469" i="2"/>
  <c r="U1468" i="2"/>
  <c r="U1467" i="2"/>
  <c r="V1466" i="2"/>
  <c r="U1466" i="2"/>
  <c r="U1465" i="2"/>
  <c r="V1464" i="2"/>
  <c r="U1464" i="2"/>
  <c r="U1463" i="2"/>
  <c r="U1462" i="2"/>
  <c r="V1461" i="2"/>
  <c r="U1461" i="2"/>
  <c r="U1460" i="2"/>
  <c r="U1459" i="2"/>
  <c r="U1458" i="2"/>
  <c r="U1457" i="2"/>
  <c r="U1456" i="2"/>
  <c r="U1455" i="2"/>
  <c r="U1454" i="2"/>
  <c r="U1453" i="2"/>
  <c r="U1452" i="2"/>
  <c r="U1451" i="2"/>
  <c r="V1450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V1433" i="2" s="1"/>
  <c r="U1432" i="2"/>
  <c r="U1431" i="2"/>
  <c r="V1431" i="2" s="1"/>
  <c r="U1430" i="2"/>
  <c r="U1429" i="2"/>
  <c r="U1428" i="2"/>
  <c r="U1427" i="2"/>
  <c r="V1426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V1414" i="2"/>
  <c r="U1414" i="2"/>
  <c r="U1413" i="2"/>
  <c r="U1412" i="2"/>
  <c r="U1411" i="2"/>
  <c r="V1410" i="2"/>
  <c r="U1410" i="2"/>
  <c r="U1409" i="2"/>
  <c r="U1408" i="2"/>
  <c r="U1407" i="2"/>
  <c r="V1407" i="2" s="1"/>
  <c r="U1406" i="2"/>
  <c r="U1405" i="2"/>
  <c r="V1405" i="2" s="1"/>
  <c r="U1404" i="2"/>
  <c r="U1403" i="2"/>
  <c r="V2754" i="2" s="1"/>
  <c r="U1402" i="2"/>
  <c r="U1401" i="2"/>
  <c r="V1401" i="2" s="1"/>
  <c r="U1400" i="2"/>
  <c r="U1399" i="2"/>
  <c r="U1398" i="2"/>
  <c r="V1397" i="2"/>
  <c r="U1397" i="2"/>
  <c r="U1396" i="2"/>
  <c r="V1396" i="2" s="1"/>
  <c r="U1395" i="2"/>
  <c r="U1394" i="2"/>
  <c r="U1393" i="2"/>
  <c r="V1536" i="2" s="1"/>
  <c r="U1392" i="2"/>
  <c r="U1391" i="2"/>
  <c r="U1390" i="2"/>
  <c r="U1389" i="2"/>
  <c r="U1388" i="2"/>
  <c r="U1387" i="2"/>
  <c r="U1386" i="2"/>
  <c r="V1385" i="2"/>
  <c r="U1385" i="2"/>
  <c r="U1384" i="2"/>
  <c r="U1383" i="2"/>
  <c r="U1382" i="2"/>
  <c r="U1381" i="2"/>
  <c r="U1380" i="2"/>
  <c r="U1379" i="2"/>
  <c r="U1378" i="2"/>
  <c r="V1377" i="2"/>
  <c r="U1377" i="2"/>
  <c r="U1376" i="2"/>
  <c r="U1375" i="2"/>
  <c r="U1374" i="2"/>
  <c r="U1373" i="2"/>
  <c r="U1372" i="2"/>
  <c r="U1371" i="2"/>
  <c r="U1370" i="2"/>
  <c r="U1369" i="2"/>
  <c r="V1368" i="2"/>
  <c r="U1368" i="2"/>
  <c r="U1367" i="2"/>
  <c r="U1366" i="2"/>
  <c r="V1365" i="2"/>
  <c r="U1365" i="2"/>
  <c r="U1364" i="2"/>
  <c r="U1363" i="2"/>
  <c r="V1362" i="2"/>
  <c r="U1362" i="2"/>
  <c r="U1361" i="2"/>
  <c r="U1360" i="2"/>
  <c r="U1359" i="2"/>
  <c r="V1358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V1347" i="2" s="1"/>
  <c r="V1346" i="2"/>
  <c r="U1346" i="2"/>
  <c r="V2936" i="2" s="1"/>
  <c r="V1345" i="2"/>
  <c r="U1345" i="2"/>
  <c r="U1344" i="2"/>
  <c r="U1343" i="2"/>
  <c r="V1342" i="2"/>
  <c r="U1342" i="2"/>
  <c r="U1341" i="2"/>
  <c r="U1340" i="2"/>
  <c r="U1339" i="2"/>
  <c r="U1338" i="2"/>
  <c r="U1337" i="2"/>
  <c r="V1336" i="2"/>
  <c r="U1336" i="2"/>
  <c r="V2633" i="2" s="1"/>
  <c r="U1335" i="2"/>
  <c r="U1334" i="2"/>
  <c r="V1333" i="2"/>
  <c r="U1333" i="2"/>
  <c r="U1332" i="2"/>
  <c r="V1332" i="2" s="1"/>
  <c r="U1331" i="2"/>
  <c r="U1330" i="2"/>
  <c r="U1329" i="2"/>
  <c r="U1328" i="2"/>
  <c r="U1327" i="2"/>
  <c r="U1326" i="2"/>
  <c r="U1325" i="2"/>
  <c r="V1324" i="2"/>
  <c r="U1324" i="2"/>
  <c r="U1323" i="2"/>
  <c r="U1322" i="2"/>
  <c r="U1321" i="2"/>
  <c r="U1320" i="2"/>
  <c r="U1319" i="2"/>
  <c r="V1318" i="2"/>
  <c r="U1318" i="2"/>
  <c r="U1317" i="2"/>
  <c r="U1316" i="2"/>
  <c r="U1315" i="2"/>
  <c r="U1314" i="2"/>
  <c r="V1313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V1301" i="2"/>
  <c r="U1301" i="2"/>
  <c r="U1300" i="2"/>
  <c r="V1964" i="2" s="1"/>
  <c r="U1299" i="2"/>
  <c r="V1298" i="2"/>
  <c r="U1298" i="2"/>
  <c r="V1297" i="2"/>
  <c r="U1297" i="2"/>
  <c r="U1296" i="2"/>
  <c r="U1295" i="2"/>
  <c r="U1294" i="2"/>
  <c r="U1293" i="2"/>
  <c r="U1292" i="2"/>
  <c r="U1291" i="2"/>
  <c r="V1290" i="2"/>
  <c r="U1290" i="2"/>
  <c r="V1289" i="2"/>
  <c r="U1289" i="2"/>
  <c r="V1288" i="2"/>
  <c r="U1288" i="2"/>
  <c r="U1287" i="2"/>
  <c r="V1286" i="2"/>
  <c r="U1286" i="2"/>
  <c r="U1285" i="2"/>
  <c r="U1284" i="2"/>
  <c r="U1283" i="2"/>
  <c r="V1282" i="2"/>
  <c r="U1282" i="2"/>
  <c r="U1281" i="2"/>
  <c r="V1280" i="2"/>
  <c r="U1280" i="2"/>
  <c r="U1279" i="2"/>
  <c r="U1278" i="2"/>
  <c r="U1277" i="2"/>
  <c r="U1276" i="2"/>
  <c r="U1275" i="2"/>
  <c r="U1274" i="2"/>
  <c r="U1273" i="2"/>
  <c r="V1272" i="2"/>
  <c r="U1272" i="2"/>
  <c r="U1271" i="2"/>
  <c r="V1270" i="2"/>
  <c r="U1270" i="2"/>
  <c r="V1269" i="2"/>
  <c r="U1269" i="2"/>
  <c r="U1268" i="2"/>
  <c r="V1268" i="2" s="1"/>
  <c r="U1267" i="2"/>
  <c r="V1266" i="2"/>
  <c r="U1266" i="2"/>
  <c r="U1265" i="2"/>
  <c r="U1264" i="2"/>
  <c r="U1263" i="2"/>
  <c r="V1262" i="2"/>
  <c r="U1262" i="2"/>
  <c r="U1261" i="2"/>
  <c r="U1260" i="2"/>
  <c r="U1259" i="2"/>
  <c r="V1258" i="2"/>
  <c r="U1258" i="2"/>
  <c r="U1257" i="2"/>
  <c r="U1256" i="2"/>
  <c r="U1255" i="2"/>
  <c r="U1254" i="2"/>
  <c r="U1253" i="2"/>
  <c r="V1253" i="2" s="1"/>
  <c r="U1252" i="2"/>
  <c r="U1251" i="2"/>
  <c r="U1250" i="2"/>
  <c r="U1249" i="2"/>
  <c r="U1248" i="2"/>
  <c r="U1247" i="2"/>
  <c r="V1246" i="2"/>
  <c r="U1246" i="2"/>
  <c r="U1245" i="2"/>
  <c r="U1244" i="2"/>
  <c r="U1243" i="2"/>
  <c r="U1242" i="2"/>
  <c r="U1241" i="2"/>
  <c r="U1240" i="2"/>
  <c r="U1239" i="2"/>
  <c r="U1238" i="2"/>
  <c r="U1237" i="2"/>
  <c r="V1237" i="2" s="1"/>
  <c r="U1236" i="2"/>
  <c r="U1235" i="2"/>
  <c r="U1234" i="2"/>
  <c r="V1233" i="2"/>
  <c r="U1233" i="2"/>
  <c r="V1232" i="2"/>
  <c r="U1232" i="2"/>
  <c r="U1231" i="2"/>
  <c r="V1752" i="2" s="1"/>
  <c r="U1230" i="2"/>
  <c r="U1229" i="2"/>
  <c r="U1228" i="2"/>
  <c r="U1227" i="2"/>
  <c r="V1227" i="2" s="1"/>
  <c r="V1226" i="2"/>
  <c r="U1226" i="2"/>
  <c r="U1225" i="2"/>
  <c r="U1224" i="2"/>
  <c r="U1223" i="2"/>
  <c r="V1222" i="2"/>
  <c r="U1222" i="2"/>
  <c r="U1221" i="2"/>
  <c r="U1220" i="2"/>
  <c r="V1220" i="2" s="1"/>
  <c r="U1219" i="2"/>
  <c r="U1218" i="2"/>
  <c r="V1217" i="2"/>
  <c r="U1217" i="2"/>
  <c r="V1216" i="2"/>
  <c r="U1216" i="2"/>
  <c r="U1215" i="2"/>
  <c r="V1214" i="2"/>
  <c r="U1214" i="2"/>
  <c r="U1213" i="2"/>
  <c r="U1212" i="2"/>
  <c r="U1211" i="2"/>
  <c r="U1210" i="2"/>
  <c r="U1209" i="2"/>
  <c r="U1208" i="2"/>
  <c r="U1207" i="2"/>
  <c r="V1206" i="2"/>
  <c r="U1206" i="2"/>
  <c r="U1205" i="2"/>
  <c r="V1204" i="2"/>
  <c r="U1204" i="2"/>
  <c r="U1203" i="2"/>
  <c r="V2154" i="2" s="1"/>
  <c r="V1202" i="2"/>
  <c r="U1202" i="2"/>
  <c r="U1201" i="2"/>
  <c r="V1200" i="2"/>
  <c r="U1200" i="2"/>
  <c r="V2133" i="2" s="1"/>
  <c r="U1199" i="2"/>
  <c r="V1198" i="2"/>
  <c r="U1198" i="2"/>
  <c r="V1197" i="2"/>
  <c r="U1197" i="2"/>
  <c r="V2070" i="2" s="1"/>
  <c r="U1196" i="2"/>
  <c r="U1195" i="2"/>
  <c r="U1194" i="2"/>
  <c r="U1193" i="2"/>
  <c r="V1193" i="2" s="1"/>
  <c r="U1192" i="2"/>
  <c r="U1191" i="2"/>
  <c r="V1190" i="2"/>
  <c r="U1190" i="2"/>
  <c r="U1189" i="2"/>
  <c r="U1188" i="2"/>
  <c r="U1187" i="2"/>
  <c r="V1186" i="2"/>
  <c r="U1186" i="2"/>
  <c r="U1185" i="2"/>
  <c r="U1184" i="2"/>
  <c r="U1183" i="2"/>
  <c r="V1182" i="2"/>
  <c r="U1182" i="2"/>
  <c r="U1181" i="2"/>
  <c r="U1180" i="2"/>
  <c r="U1179" i="2"/>
  <c r="V1179" i="2" s="1"/>
  <c r="V1178" i="2"/>
  <c r="U1178" i="2"/>
  <c r="U1177" i="2"/>
  <c r="V1177" i="2" s="1"/>
  <c r="V1176" i="2"/>
  <c r="U1176" i="2"/>
  <c r="U1175" i="2"/>
  <c r="U1174" i="2"/>
  <c r="U1173" i="2"/>
  <c r="U1172" i="2"/>
  <c r="U1171" i="2"/>
  <c r="V1170" i="2"/>
  <c r="U1170" i="2"/>
  <c r="U1169" i="2"/>
  <c r="U1168" i="2"/>
  <c r="V1168" i="2" s="1"/>
  <c r="U1167" i="2"/>
  <c r="V1167" i="2" s="1"/>
  <c r="V1166" i="2"/>
  <c r="U1166" i="2"/>
  <c r="U1165" i="2"/>
  <c r="U1164" i="2"/>
  <c r="U1163" i="2"/>
  <c r="V1162" i="2"/>
  <c r="U1162" i="2"/>
  <c r="U1161" i="2"/>
  <c r="U1160" i="2"/>
  <c r="U1159" i="2"/>
  <c r="V1158" i="2"/>
  <c r="U1158" i="2"/>
  <c r="U1157" i="2"/>
  <c r="V1510" i="2" s="1"/>
  <c r="U1156" i="2"/>
  <c r="V1156" i="2" s="1"/>
  <c r="U1155" i="2"/>
  <c r="V1154" i="2"/>
  <c r="U1154" i="2"/>
  <c r="V1153" i="2"/>
  <c r="U1153" i="2"/>
  <c r="V2422" i="2" s="1"/>
  <c r="V1152" i="2"/>
  <c r="U1152" i="2"/>
  <c r="V1741" i="2" s="1"/>
  <c r="U1151" i="2"/>
  <c r="U1150" i="2"/>
  <c r="U1149" i="2"/>
  <c r="V1149" i="2" s="1"/>
  <c r="U1148" i="2"/>
  <c r="U1147" i="2"/>
  <c r="U1146" i="2"/>
  <c r="U1145" i="2"/>
  <c r="V1145" i="2" s="1"/>
  <c r="V1144" i="2"/>
  <c r="U1144" i="2"/>
  <c r="U1143" i="2"/>
  <c r="U1142" i="2"/>
  <c r="U1141" i="2"/>
  <c r="V1140" i="2"/>
  <c r="U1140" i="2"/>
  <c r="U1139" i="2"/>
  <c r="V2257" i="2" s="1"/>
  <c r="U1138" i="2"/>
  <c r="U1137" i="2"/>
  <c r="U1136" i="2"/>
  <c r="V1136" i="2" s="1"/>
  <c r="U1135" i="2"/>
  <c r="U1134" i="2"/>
  <c r="V1133" i="2"/>
  <c r="U1133" i="2"/>
  <c r="U1132" i="2"/>
  <c r="V1132" i="2" s="1"/>
  <c r="U1131" i="2"/>
  <c r="U1130" i="2"/>
  <c r="U1129" i="2"/>
  <c r="V1129" i="2" s="1"/>
  <c r="U1128" i="2"/>
  <c r="U1127" i="2"/>
  <c r="U1126" i="2"/>
  <c r="U1125" i="2"/>
  <c r="U1124" i="2"/>
  <c r="U1123" i="2"/>
  <c r="V1122" i="2"/>
  <c r="U1122" i="2"/>
  <c r="U1121" i="2"/>
  <c r="U1120" i="2"/>
  <c r="U1119" i="2"/>
  <c r="U1118" i="2"/>
  <c r="U1117" i="2"/>
  <c r="U1116" i="2"/>
  <c r="U1115" i="2"/>
  <c r="V1114" i="2"/>
  <c r="U1114" i="2"/>
  <c r="U1113" i="2"/>
  <c r="V1112" i="2"/>
  <c r="U1112" i="2"/>
  <c r="V2517" i="2" s="1"/>
  <c r="U1111" i="2"/>
  <c r="V1110" i="2"/>
  <c r="U1110" i="2"/>
  <c r="V1109" i="2"/>
  <c r="U1109" i="2"/>
  <c r="U1108" i="2"/>
  <c r="V1108" i="2" s="1"/>
  <c r="U1107" i="2"/>
  <c r="V1106" i="2"/>
  <c r="U1106" i="2"/>
  <c r="U1105" i="2"/>
  <c r="U1104" i="2"/>
  <c r="U1103" i="2"/>
  <c r="V1102" i="2"/>
  <c r="U1102" i="2"/>
  <c r="U1101" i="2"/>
  <c r="V1101" i="2" s="1"/>
  <c r="U1100" i="2"/>
  <c r="U1099" i="2"/>
  <c r="U1098" i="2"/>
  <c r="U1097" i="2"/>
  <c r="U1096" i="2"/>
  <c r="V1096" i="2" s="1"/>
  <c r="U1095" i="2"/>
  <c r="U1094" i="2"/>
  <c r="U1093" i="2"/>
  <c r="V1093" i="2" s="1"/>
  <c r="U1092" i="2"/>
  <c r="V1092" i="2" s="1"/>
  <c r="U1091" i="2"/>
  <c r="U1090" i="2"/>
  <c r="V1089" i="2"/>
  <c r="U1089" i="2"/>
  <c r="U1088" i="2"/>
  <c r="U1087" i="2"/>
  <c r="V1086" i="2"/>
  <c r="U1086" i="2"/>
  <c r="U1085" i="2"/>
  <c r="U1084" i="2"/>
  <c r="V1084" i="2" s="1"/>
  <c r="U1083" i="2"/>
  <c r="V1082" i="2"/>
  <c r="U1082" i="2"/>
  <c r="V1081" i="2"/>
  <c r="U1081" i="2"/>
  <c r="V1080" i="2"/>
  <c r="U1080" i="2"/>
  <c r="U1079" i="2"/>
  <c r="V1078" i="2"/>
  <c r="U1078" i="2"/>
  <c r="V1077" i="2"/>
  <c r="U1077" i="2"/>
  <c r="U1076" i="2"/>
  <c r="U1075" i="2"/>
  <c r="V1075" i="2" s="1"/>
  <c r="U1074" i="2"/>
  <c r="U1073" i="2"/>
  <c r="V1072" i="2"/>
  <c r="U1072" i="2"/>
  <c r="U1071" i="2"/>
  <c r="V1071" i="2" s="1"/>
  <c r="V1070" i="2"/>
  <c r="U1070" i="2"/>
  <c r="U1069" i="2"/>
  <c r="V1068" i="2"/>
  <c r="U1068" i="2"/>
  <c r="U1067" i="2"/>
  <c r="V1066" i="2"/>
  <c r="U1066" i="2"/>
  <c r="U1065" i="2"/>
  <c r="U1064" i="2"/>
  <c r="V1064" i="2" s="1"/>
  <c r="U1063" i="2"/>
  <c r="V1522" i="2" s="1"/>
  <c r="U1062" i="2"/>
  <c r="U1061" i="2"/>
  <c r="U1060" i="2"/>
  <c r="V1060" i="2" s="1"/>
  <c r="U1059" i="2"/>
  <c r="V1059" i="2" s="1"/>
  <c r="U1058" i="2"/>
  <c r="V1057" i="2"/>
  <c r="U1057" i="2"/>
  <c r="V1056" i="2"/>
  <c r="U1056" i="2"/>
  <c r="U1055" i="2"/>
  <c r="V1054" i="2"/>
  <c r="U1054" i="2"/>
  <c r="U1053" i="2"/>
  <c r="V1053" i="2" s="1"/>
  <c r="U1052" i="2"/>
  <c r="V1052" i="2" s="1"/>
  <c r="U1051" i="2"/>
  <c r="U1050" i="2"/>
  <c r="U1049" i="2"/>
  <c r="V1048" i="2"/>
  <c r="U1048" i="2"/>
  <c r="U1047" i="2"/>
  <c r="V1757" i="2" s="1"/>
  <c r="U1046" i="2"/>
  <c r="V1045" i="2"/>
  <c r="U1045" i="2"/>
  <c r="U1044" i="2"/>
  <c r="U1043" i="2"/>
  <c r="V1043" i="2" s="1"/>
  <c r="U1042" i="2"/>
  <c r="U1041" i="2"/>
  <c r="V1041" i="2" s="1"/>
  <c r="U1040" i="2"/>
  <c r="U1039" i="2"/>
  <c r="V1038" i="2"/>
  <c r="U1038" i="2"/>
  <c r="U1037" i="2"/>
  <c r="V1037" i="2" s="1"/>
  <c r="V1036" i="2"/>
  <c r="U1036" i="2"/>
  <c r="U1035" i="2"/>
  <c r="U1034" i="2"/>
  <c r="V1033" i="2"/>
  <c r="U1033" i="2"/>
  <c r="U1032" i="2"/>
  <c r="U1031" i="2"/>
  <c r="U1030" i="2"/>
  <c r="U1029" i="2"/>
  <c r="V1749" i="2" s="1"/>
  <c r="U1028" i="2"/>
  <c r="V1580" i="2" s="1"/>
  <c r="U1027" i="2"/>
  <c r="V1027" i="2" s="1"/>
  <c r="U1026" i="2"/>
  <c r="U1025" i="2"/>
  <c r="V1024" i="2"/>
  <c r="U1024" i="2"/>
  <c r="U1023" i="2"/>
  <c r="U1022" i="2"/>
  <c r="U1021" i="2"/>
  <c r="V1021" i="2" s="1"/>
  <c r="U1020" i="2"/>
  <c r="V1020" i="2" s="1"/>
  <c r="U1019" i="2"/>
  <c r="V1018" i="2"/>
  <c r="U1018" i="2"/>
  <c r="U1017" i="2"/>
  <c r="U1016" i="2"/>
  <c r="U1015" i="2"/>
  <c r="V1015" i="2" s="1"/>
  <c r="V1014" i="2"/>
  <c r="U1014" i="2"/>
  <c r="V1013" i="2"/>
  <c r="U1013" i="2"/>
  <c r="V1830" i="2" s="1"/>
  <c r="U1012" i="2"/>
  <c r="V1012" i="2" s="1"/>
  <c r="U1011" i="2"/>
  <c r="V1010" i="2"/>
  <c r="U1010" i="2"/>
  <c r="U1009" i="2"/>
  <c r="V1008" i="2"/>
  <c r="U1008" i="2"/>
  <c r="U1007" i="2"/>
  <c r="V1007" i="2" s="1"/>
  <c r="U1006" i="2"/>
  <c r="U1005" i="2"/>
  <c r="V1004" i="2"/>
  <c r="U1004" i="2"/>
  <c r="U1003" i="2"/>
  <c r="U1002" i="2"/>
  <c r="V1001" i="2"/>
  <c r="U1001" i="2"/>
  <c r="U1000" i="2"/>
  <c r="U999" i="2"/>
  <c r="U998" i="2"/>
  <c r="U997" i="2"/>
  <c r="V1374" i="2" s="1"/>
  <c r="U996" i="2"/>
  <c r="U995" i="2"/>
  <c r="V995" i="2" s="1"/>
  <c r="U994" i="2"/>
  <c r="V993" i="2"/>
  <c r="U993" i="2"/>
  <c r="V1769" i="2" s="1"/>
  <c r="V992" i="2"/>
  <c r="U992" i="2"/>
  <c r="V1782" i="2" s="1"/>
  <c r="U991" i="2"/>
  <c r="V990" i="2"/>
  <c r="U990" i="2"/>
  <c r="U989" i="2"/>
  <c r="U988" i="2"/>
  <c r="V988" i="2" s="1"/>
  <c r="U987" i="2"/>
  <c r="V986" i="2"/>
  <c r="U986" i="2"/>
  <c r="V985" i="2"/>
  <c r="U985" i="2"/>
  <c r="V984" i="2"/>
  <c r="U984" i="2"/>
  <c r="U983" i="2"/>
  <c r="U982" i="2"/>
  <c r="V981" i="2"/>
  <c r="U981" i="2"/>
  <c r="U980" i="2"/>
  <c r="V1353" i="2" s="1"/>
  <c r="U979" i="2"/>
  <c r="U978" i="2"/>
  <c r="U977" i="2"/>
  <c r="V976" i="2"/>
  <c r="U976" i="2"/>
  <c r="U975" i="2"/>
  <c r="V974" i="2"/>
  <c r="U974" i="2"/>
  <c r="U973" i="2"/>
  <c r="V1097" i="2" s="1"/>
  <c r="V972" i="2"/>
  <c r="U972" i="2"/>
  <c r="U971" i="2"/>
  <c r="V971" i="2" s="1"/>
  <c r="V970" i="2"/>
  <c r="U970" i="2"/>
  <c r="V969" i="2"/>
  <c r="U969" i="2"/>
  <c r="U968" i="2"/>
  <c r="U967" i="2"/>
  <c r="U966" i="2"/>
  <c r="U965" i="2"/>
  <c r="U964" i="2"/>
  <c r="U963" i="2"/>
  <c r="V963" i="2" s="1"/>
  <c r="V962" i="2"/>
  <c r="U962" i="2"/>
  <c r="V961" i="2"/>
  <c r="U961" i="2"/>
  <c r="V960" i="2"/>
  <c r="U960" i="2"/>
  <c r="U959" i="2"/>
  <c r="V958" i="2"/>
  <c r="U958" i="2"/>
  <c r="U957" i="2"/>
  <c r="U956" i="2"/>
  <c r="U955" i="2"/>
  <c r="V955" i="2" s="1"/>
  <c r="V954" i="2"/>
  <c r="U954" i="2"/>
  <c r="U953" i="2"/>
  <c r="V952" i="2"/>
  <c r="U952" i="2"/>
  <c r="U951" i="2"/>
  <c r="V950" i="2"/>
  <c r="U950" i="2"/>
  <c r="V949" i="2"/>
  <c r="U949" i="2"/>
  <c r="U948" i="2"/>
  <c r="V1150" i="2" s="1"/>
  <c r="U947" i="2"/>
  <c r="V946" i="2"/>
  <c r="U946" i="2"/>
  <c r="U945" i="2"/>
  <c r="U944" i="2"/>
  <c r="U943" i="2"/>
  <c r="V943" i="2" s="1"/>
  <c r="U942" i="2"/>
  <c r="U941" i="2"/>
  <c r="V941" i="2" s="1"/>
  <c r="V940" i="2"/>
  <c r="U940" i="2"/>
  <c r="U939" i="2"/>
  <c r="U938" i="2"/>
  <c r="V937" i="2"/>
  <c r="U937" i="2"/>
  <c r="U936" i="2"/>
  <c r="U935" i="2"/>
  <c r="U934" i="2"/>
  <c r="U933" i="2"/>
  <c r="U932" i="2"/>
  <c r="U931" i="2"/>
  <c r="U930" i="2"/>
  <c r="U929" i="2"/>
  <c r="V928" i="2"/>
  <c r="U928" i="2"/>
  <c r="V2336" i="2" s="1"/>
  <c r="U927" i="2"/>
  <c r="U926" i="2"/>
  <c r="U925" i="2"/>
  <c r="V925" i="2" s="1"/>
  <c r="U924" i="2"/>
  <c r="U923" i="2"/>
  <c r="V922" i="2"/>
  <c r="U922" i="2"/>
  <c r="V921" i="2"/>
  <c r="U921" i="2"/>
  <c r="V920" i="2"/>
  <c r="U920" i="2"/>
  <c r="U919" i="2"/>
  <c r="V919" i="2" s="1"/>
  <c r="V918" i="2"/>
  <c r="U918" i="2"/>
  <c r="U917" i="2"/>
  <c r="U916" i="2"/>
  <c r="V916" i="2" s="1"/>
  <c r="U915" i="2"/>
  <c r="U914" i="2"/>
  <c r="U913" i="2"/>
  <c r="V912" i="2"/>
  <c r="U912" i="2"/>
  <c r="U911" i="2"/>
  <c r="U910" i="2"/>
  <c r="U909" i="2"/>
  <c r="V908" i="2"/>
  <c r="U908" i="2"/>
  <c r="U907" i="2"/>
  <c r="V906" i="2"/>
  <c r="U906" i="2"/>
  <c r="U905" i="2"/>
  <c r="U904" i="2"/>
  <c r="V904" i="2" s="1"/>
  <c r="U903" i="2"/>
  <c r="U902" i="2"/>
  <c r="U901" i="2"/>
  <c r="U900" i="2"/>
  <c r="V900" i="2" s="1"/>
  <c r="U899" i="2"/>
  <c r="U898" i="2"/>
  <c r="V897" i="2"/>
  <c r="U897" i="2"/>
  <c r="V896" i="2"/>
  <c r="U896" i="2"/>
  <c r="U895" i="2"/>
  <c r="V895" i="2" s="1"/>
  <c r="U894" i="2"/>
  <c r="U893" i="2"/>
  <c r="V893" i="2" s="1"/>
  <c r="U892" i="2"/>
  <c r="V892" i="2" s="1"/>
  <c r="U891" i="2"/>
  <c r="U890" i="2"/>
  <c r="U889" i="2"/>
  <c r="U888" i="2"/>
  <c r="U887" i="2"/>
  <c r="V887" i="2" s="1"/>
  <c r="V886" i="2"/>
  <c r="U886" i="2"/>
  <c r="V885" i="2"/>
  <c r="U885" i="2"/>
  <c r="U884" i="2"/>
  <c r="U883" i="2"/>
  <c r="V882" i="2"/>
  <c r="U882" i="2"/>
  <c r="U881" i="2"/>
  <c r="V880" i="2"/>
  <c r="U880" i="2"/>
  <c r="V1250" i="2" s="1"/>
  <c r="U879" i="2"/>
  <c r="U878" i="2"/>
  <c r="U877" i="2"/>
  <c r="V876" i="2"/>
  <c r="U876" i="2"/>
  <c r="V1622" i="2" s="1"/>
  <c r="U875" i="2"/>
  <c r="V874" i="2"/>
  <c r="U874" i="2"/>
  <c r="V873" i="2"/>
  <c r="U873" i="2"/>
  <c r="U872" i="2"/>
  <c r="V872" i="2" s="1"/>
  <c r="U871" i="2"/>
  <c r="V870" i="2"/>
  <c r="U870" i="2"/>
  <c r="U869" i="2"/>
  <c r="U868" i="2"/>
  <c r="U867" i="2"/>
  <c r="V866" i="2"/>
  <c r="U866" i="2"/>
  <c r="V865" i="2"/>
  <c r="U865" i="2"/>
  <c r="V864" i="2"/>
  <c r="U864" i="2"/>
  <c r="U863" i="2"/>
  <c r="U862" i="2"/>
  <c r="U861" i="2"/>
  <c r="U860" i="2"/>
  <c r="V860" i="2" s="1"/>
  <c r="U859" i="2"/>
  <c r="U858" i="2"/>
  <c r="V857" i="2"/>
  <c r="U857" i="2"/>
  <c r="V856" i="2"/>
  <c r="U856" i="2"/>
  <c r="U855" i="2"/>
  <c r="V854" i="2"/>
  <c r="U854" i="2"/>
  <c r="V853" i="2"/>
  <c r="U853" i="2"/>
  <c r="U852" i="2"/>
  <c r="U851" i="2"/>
  <c r="V850" i="2"/>
  <c r="U850" i="2"/>
  <c r="U849" i="2"/>
  <c r="V849" i="2" s="1"/>
  <c r="U848" i="2"/>
  <c r="U847" i="2"/>
  <c r="U846" i="2"/>
  <c r="U845" i="2"/>
  <c r="V844" i="2"/>
  <c r="U844" i="2"/>
  <c r="U843" i="2"/>
  <c r="V842" i="2"/>
  <c r="U842" i="2"/>
  <c r="V841" i="2"/>
  <c r="U841" i="2"/>
  <c r="U840" i="2"/>
  <c r="U839" i="2"/>
  <c r="V839" i="2" s="1"/>
  <c r="V838" i="2"/>
  <c r="U838" i="2"/>
  <c r="U837" i="2"/>
  <c r="U836" i="2"/>
  <c r="V836" i="2" s="1"/>
  <c r="U835" i="2"/>
  <c r="U834" i="2"/>
  <c r="V833" i="2"/>
  <c r="U833" i="2"/>
  <c r="V832" i="2"/>
  <c r="U832" i="2"/>
  <c r="U831" i="2"/>
  <c r="V830" i="2"/>
  <c r="U830" i="2"/>
  <c r="U829" i="2"/>
  <c r="V829" i="2" s="1"/>
  <c r="U828" i="2"/>
  <c r="U827" i="2"/>
  <c r="V826" i="2"/>
  <c r="U826" i="2"/>
  <c r="U825" i="2"/>
  <c r="V824" i="2"/>
  <c r="U824" i="2"/>
  <c r="U823" i="2"/>
  <c r="V822" i="2"/>
  <c r="U822" i="2"/>
  <c r="V821" i="2"/>
  <c r="U821" i="2"/>
  <c r="V1438" i="2" s="1"/>
  <c r="U820" i="2"/>
  <c r="U819" i="2"/>
  <c r="U818" i="2"/>
  <c r="U817" i="2"/>
  <c r="U816" i="2"/>
  <c r="U815" i="2"/>
  <c r="V814" i="2"/>
  <c r="U814" i="2"/>
  <c r="U813" i="2"/>
  <c r="V812" i="2"/>
  <c r="U812" i="2"/>
  <c r="V1641" i="2" s="1"/>
  <c r="U811" i="2"/>
  <c r="V810" i="2"/>
  <c r="U810" i="2"/>
  <c r="V809" i="2"/>
  <c r="U809" i="2"/>
  <c r="U808" i="2"/>
  <c r="V808" i="2" s="1"/>
  <c r="U807" i="2"/>
  <c r="U806" i="2"/>
  <c r="U805" i="2"/>
  <c r="V805" i="2" s="1"/>
  <c r="U804" i="2"/>
  <c r="U803" i="2"/>
  <c r="V803" i="2" s="1"/>
  <c r="U802" i="2"/>
  <c r="V801" i="2"/>
  <c r="U801" i="2"/>
  <c r="U800" i="2"/>
  <c r="U799" i="2"/>
  <c r="V798" i="2"/>
  <c r="U798" i="2"/>
  <c r="U797" i="2"/>
  <c r="U796" i="2"/>
  <c r="V796" i="2" s="1"/>
  <c r="U795" i="2"/>
  <c r="V794" i="2"/>
  <c r="U794" i="2"/>
  <c r="U793" i="2"/>
  <c r="V792" i="2"/>
  <c r="U792" i="2"/>
  <c r="V1761" i="2" s="1"/>
  <c r="U791" i="2"/>
  <c r="V790" i="2"/>
  <c r="U790" i="2"/>
  <c r="V789" i="2"/>
  <c r="U789" i="2"/>
  <c r="V1544" i="2" s="1"/>
  <c r="U788" i="2"/>
  <c r="V788" i="2" s="1"/>
  <c r="U787" i="2"/>
  <c r="V786" i="2"/>
  <c r="U786" i="2"/>
  <c r="U785" i="2"/>
  <c r="U784" i="2"/>
  <c r="U783" i="2"/>
  <c r="V862" i="2" s="1"/>
  <c r="V782" i="2"/>
  <c r="U782" i="2"/>
  <c r="U781" i="2"/>
  <c r="V780" i="2"/>
  <c r="U780" i="2"/>
  <c r="U779" i="2"/>
  <c r="V778" i="2"/>
  <c r="U778" i="2"/>
  <c r="V777" i="2"/>
  <c r="U777" i="2"/>
  <c r="U776" i="2"/>
  <c r="U775" i="2"/>
  <c r="U774" i="2"/>
  <c r="U773" i="2"/>
  <c r="U772" i="2"/>
  <c r="U771" i="2"/>
  <c r="V770" i="2"/>
  <c r="U770" i="2"/>
  <c r="V769" i="2"/>
  <c r="U769" i="2"/>
  <c r="V1278" i="2" s="1"/>
  <c r="U768" i="2"/>
  <c r="U767" i="2"/>
  <c r="V766" i="2"/>
  <c r="U766" i="2"/>
  <c r="U765" i="2"/>
  <c r="U764" i="2"/>
  <c r="U763" i="2"/>
  <c r="V762" i="2"/>
  <c r="U762" i="2"/>
  <c r="V761" i="2"/>
  <c r="U761" i="2"/>
  <c r="V760" i="2"/>
  <c r="U760" i="2"/>
  <c r="U759" i="2"/>
  <c r="U758" i="2"/>
  <c r="V757" i="2"/>
  <c r="U757" i="2"/>
  <c r="U756" i="2"/>
  <c r="U755" i="2"/>
  <c r="U754" i="2"/>
  <c r="U753" i="2"/>
  <c r="V752" i="2"/>
  <c r="U752" i="2"/>
  <c r="U751" i="2"/>
  <c r="V750" i="2"/>
  <c r="U750" i="2"/>
  <c r="U749" i="2"/>
  <c r="U748" i="2"/>
  <c r="U747" i="2"/>
  <c r="V746" i="2"/>
  <c r="U746" i="2"/>
  <c r="V745" i="2"/>
  <c r="U745" i="2"/>
  <c r="U744" i="2"/>
  <c r="U743" i="2"/>
  <c r="V1610" i="2" s="1"/>
  <c r="U742" i="2"/>
  <c r="U741" i="2"/>
  <c r="V741" i="2" s="1"/>
  <c r="U740" i="2"/>
  <c r="U739" i="2"/>
  <c r="V738" i="2"/>
  <c r="U738" i="2"/>
  <c r="V737" i="2"/>
  <c r="U737" i="2"/>
  <c r="V736" i="2"/>
  <c r="U736" i="2"/>
  <c r="U735" i="2"/>
  <c r="V734" i="2"/>
  <c r="U734" i="2"/>
  <c r="U733" i="2"/>
  <c r="U732" i="2"/>
  <c r="U731" i="2"/>
  <c r="V730" i="2"/>
  <c r="U730" i="2"/>
  <c r="U729" i="2"/>
  <c r="V728" i="2"/>
  <c r="U728" i="2"/>
  <c r="U727" i="2"/>
  <c r="U726" i="2"/>
  <c r="U725" i="2"/>
  <c r="U724" i="2"/>
  <c r="U723" i="2"/>
  <c r="V723" i="2" s="1"/>
  <c r="V722" i="2"/>
  <c r="U722" i="2"/>
  <c r="U721" i="2"/>
  <c r="V721" i="2" s="1"/>
  <c r="U720" i="2"/>
  <c r="U719" i="2"/>
  <c r="V719" i="2" s="1"/>
  <c r="V718" i="2"/>
  <c r="U718" i="2"/>
  <c r="U717" i="2"/>
  <c r="U716" i="2"/>
  <c r="U715" i="2"/>
  <c r="V714" i="2"/>
  <c r="U714" i="2"/>
  <c r="V713" i="2"/>
  <c r="U713" i="2"/>
  <c r="V1534" i="2" s="1"/>
  <c r="U712" i="2"/>
  <c r="U711" i="2"/>
  <c r="V710" i="2"/>
  <c r="U710" i="2"/>
  <c r="U709" i="2"/>
  <c r="U708" i="2"/>
  <c r="U707" i="2"/>
  <c r="V707" i="2" s="1"/>
  <c r="V706" i="2"/>
  <c r="U706" i="2"/>
  <c r="U705" i="2"/>
  <c r="V704" i="2"/>
  <c r="U704" i="2"/>
  <c r="V1944" i="2" s="1"/>
  <c r="U703" i="2"/>
  <c r="V702" i="2"/>
  <c r="U702" i="2"/>
  <c r="U701" i="2"/>
  <c r="V701" i="2" s="1"/>
  <c r="U700" i="2"/>
  <c r="V700" i="2" s="1"/>
  <c r="U699" i="2"/>
  <c r="U698" i="2"/>
  <c r="U697" i="2"/>
  <c r="V696" i="2"/>
  <c r="U696" i="2"/>
  <c r="U695" i="2"/>
  <c r="V695" i="2" s="1"/>
  <c r="U694" i="2"/>
  <c r="U693" i="2"/>
  <c r="U692" i="2"/>
  <c r="V692" i="2" s="1"/>
  <c r="U691" i="2"/>
  <c r="V690" i="2"/>
  <c r="U690" i="2"/>
  <c r="U689" i="2"/>
  <c r="V688" i="2"/>
  <c r="U688" i="2"/>
  <c r="U687" i="2"/>
  <c r="V687" i="2" s="1"/>
  <c r="V686" i="2"/>
  <c r="U686" i="2"/>
  <c r="U685" i="2"/>
  <c r="V685" i="2" s="1"/>
  <c r="V684" i="2"/>
  <c r="U684" i="2"/>
  <c r="U683" i="2"/>
  <c r="V682" i="2"/>
  <c r="U682" i="2"/>
  <c r="V681" i="2"/>
  <c r="U681" i="2"/>
  <c r="U680" i="2"/>
  <c r="U679" i="2"/>
  <c r="V679" i="2" s="1"/>
  <c r="V678" i="2"/>
  <c r="U678" i="2"/>
  <c r="U677" i="2"/>
  <c r="U676" i="2"/>
  <c r="V1629" i="2" s="1"/>
  <c r="U675" i="2"/>
  <c r="V675" i="2" s="1"/>
  <c r="V674" i="2"/>
  <c r="U674" i="2"/>
  <c r="V673" i="2"/>
  <c r="U673" i="2"/>
  <c r="V672" i="2"/>
  <c r="U672" i="2"/>
  <c r="U671" i="2"/>
  <c r="V670" i="2"/>
  <c r="U670" i="2"/>
  <c r="U669" i="2"/>
  <c r="U668" i="2"/>
  <c r="U667" i="2"/>
  <c r="V667" i="2" s="1"/>
  <c r="U666" i="2"/>
  <c r="U665" i="2"/>
  <c r="V664" i="2"/>
  <c r="U664" i="2"/>
  <c r="U663" i="2"/>
  <c r="V662" i="2"/>
  <c r="U662" i="2"/>
  <c r="V661" i="2"/>
  <c r="U661" i="2"/>
  <c r="U660" i="2"/>
  <c r="V660" i="2" s="1"/>
  <c r="U659" i="2"/>
  <c r="V1545" i="2" s="1"/>
  <c r="V658" i="2"/>
  <c r="U658" i="2"/>
  <c r="U657" i="2"/>
  <c r="V656" i="2"/>
  <c r="U656" i="2"/>
  <c r="U655" i="2"/>
  <c r="U654" i="2"/>
  <c r="U653" i="2"/>
  <c r="V652" i="2"/>
  <c r="U652" i="2"/>
  <c r="U651" i="2"/>
  <c r="V1530" i="2" s="1"/>
  <c r="V650" i="2"/>
  <c r="U650" i="2"/>
  <c r="V649" i="2"/>
  <c r="U649" i="2"/>
  <c r="V1460" i="2" s="1"/>
  <c r="U648" i="2"/>
  <c r="U647" i="2"/>
  <c r="U646" i="2"/>
  <c r="U645" i="2"/>
  <c r="V645" i="2" s="1"/>
  <c r="U644" i="2"/>
  <c r="V1662" i="2" s="1"/>
  <c r="U643" i="2"/>
  <c r="V643" i="2" s="1"/>
  <c r="V642" i="2"/>
  <c r="U642" i="2"/>
  <c r="V641" i="2"/>
  <c r="U641" i="2"/>
  <c r="U640" i="2"/>
  <c r="U639" i="2"/>
  <c r="V639" i="2" s="1"/>
  <c r="U638" i="2"/>
  <c r="U637" i="2"/>
  <c r="U636" i="2"/>
  <c r="U635" i="2"/>
  <c r="V634" i="2"/>
  <c r="U634" i="2"/>
  <c r="V633" i="2"/>
  <c r="U633" i="2"/>
  <c r="V632" i="2"/>
  <c r="U632" i="2"/>
  <c r="U631" i="2"/>
  <c r="V630" i="2"/>
  <c r="U630" i="2"/>
  <c r="V629" i="2"/>
  <c r="U629" i="2"/>
  <c r="U628" i="2"/>
  <c r="U627" i="2"/>
  <c r="U626" i="2"/>
  <c r="U625" i="2"/>
  <c r="V624" i="2"/>
  <c r="U624" i="2"/>
  <c r="V1350" i="2" s="1"/>
  <c r="U623" i="2"/>
  <c r="V622" i="2"/>
  <c r="U622" i="2"/>
  <c r="U621" i="2"/>
  <c r="V620" i="2"/>
  <c r="U620" i="2"/>
  <c r="U619" i="2"/>
  <c r="V618" i="2"/>
  <c r="U618" i="2"/>
  <c r="V617" i="2"/>
  <c r="U617" i="2"/>
  <c r="U616" i="2"/>
  <c r="V616" i="2" s="1"/>
  <c r="U615" i="2"/>
  <c r="V698" i="2" s="1"/>
  <c r="U614" i="2"/>
  <c r="U613" i="2"/>
  <c r="U612" i="2"/>
  <c r="U611" i="2"/>
  <c r="V611" i="2" s="1"/>
  <c r="V610" i="2"/>
  <c r="U610" i="2"/>
  <c r="V609" i="2"/>
  <c r="U609" i="2"/>
  <c r="V608" i="2"/>
  <c r="U608" i="2"/>
  <c r="U607" i="2"/>
  <c r="V606" i="2"/>
  <c r="U606" i="2"/>
  <c r="U605" i="2"/>
  <c r="V914" i="2" s="1"/>
  <c r="U604" i="2"/>
  <c r="U603" i="2"/>
  <c r="V602" i="2"/>
  <c r="U602" i="2"/>
  <c r="U601" i="2"/>
  <c r="V600" i="2"/>
  <c r="U600" i="2"/>
  <c r="U599" i="2"/>
  <c r="U598" i="2"/>
  <c r="U597" i="2"/>
  <c r="U596" i="2"/>
  <c r="U595" i="2"/>
  <c r="V594" i="2"/>
  <c r="U594" i="2"/>
  <c r="U593" i="2"/>
  <c r="U592" i="2"/>
  <c r="U591" i="2"/>
  <c r="V590" i="2"/>
  <c r="U590" i="2"/>
  <c r="U589" i="2"/>
  <c r="V589" i="2" s="1"/>
  <c r="V588" i="2"/>
  <c r="U588" i="2"/>
  <c r="V1194" i="2" s="1"/>
  <c r="U587" i="2"/>
  <c r="V586" i="2"/>
  <c r="U586" i="2"/>
  <c r="V585" i="2"/>
  <c r="U585" i="2"/>
  <c r="U584" i="2"/>
  <c r="U583" i="2"/>
  <c r="V582" i="2"/>
  <c r="U582" i="2"/>
  <c r="U581" i="2"/>
  <c r="V581" i="2" s="1"/>
  <c r="U580" i="2"/>
  <c r="U579" i="2"/>
  <c r="U578" i="2"/>
  <c r="V577" i="2"/>
  <c r="U577" i="2"/>
  <c r="V576" i="2"/>
  <c r="U576" i="2"/>
  <c r="U575" i="2"/>
  <c r="V574" i="2"/>
  <c r="U574" i="2"/>
  <c r="U573" i="2"/>
  <c r="U572" i="2"/>
  <c r="U571" i="2"/>
  <c r="V570" i="2"/>
  <c r="U570" i="2"/>
  <c r="U569" i="2"/>
  <c r="U568" i="2"/>
  <c r="U567" i="2"/>
  <c r="V566" i="2"/>
  <c r="U566" i="2"/>
  <c r="V565" i="2"/>
  <c r="U565" i="2"/>
  <c r="U564" i="2"/>
  <c r="V564" i="2" s="1"/>
  <c r="U563" i="2"/>
  <c r="V562" i="2"/>
  <c r="U562" i="2"/>
  <c r="U561" i="2"/>
  <c r="V561" i="2" s="1"/>
  <c r="U560" i="2"/>
  <c r="U559" i="2"/>
  <c r="V558" i="2"/>
  <c r="U558" i="2"/>
  <c r="U557" i="2"/>
  <c r="U556" i="2"/>
  <c r="U555" i="2"/>
  <c r="U554" i="2"/>
  <c r="V553" i="2"/>
  <c r="U553" i="2"/>
  <c r="U552" i="2"/>
  <c r="U551" i="2"/>
  <c r="U550" i="2"/>
  <c r="U549" i="2"/>
  <c r="U548" i="2"/>
  <c r="U547" i="2"/>
  <c r="V547" i="2" s="1"/>
  <c r="V546" i="2"/>
  <c r="U546" i="2"/>
  <c r="V545" i="2"/>
  <c r="U545" i="2"/>
  <c r="V544" i="2"/>
  <c r="U544" i="2"/>
  <c r="U543" i="2"/>
  <c r="V542" i="2"/>
  <c r="U542" i="2"/>
  <c r="U541" i="2"/>
  <c r="U540" i="2"/>
  <c r="U539" i="2"/>
  <c r="U538" i="2"/>
  <c r="V537" i="2"/>
  <c r="U537" i="2"/>
  <c r="V1586" i="2" s="1"/>
  <c r="V536" i="2"/>
  <c r="U536" i="2"/>
  <c r="U535" i="2"/>
  <c r="V534" i="2"/>
  <c r="U534" i="2"/>
  <c r="U533" i="2"/>
  <c r="V533" i="2" s="1"/>
  <c r="U532" i="2"/>
  <c r="U531" i="2"/>
  <c r="V530" i="2"/>
  <c r="U530" i="2"/>
  <c r="U529" i="2"/>
  <c r="V528" i="2"/>
  <c r="U528" i="2"/>
  <c r="U527" i="2"/>
  <c r="U526" i="2"/>
  <c r="U525" i="2"/>
  <c r="V2062" i="2" s="1"/>
  <c r="V524" i="2"/>
  <c r="U524" i="2"/>
  <c r="V818" i="2" s="1"/>
  <c r="U523" i="2"/>
  <c r="V522" i="2"/>
  <c r="U522" i="2"/>
  <c r="V521" i="2"/>
  <c r="U521" i="2"/>
  <c r="V1528" i="2" s="1"/>
  <c r="U520" i="2"/>
  <c r="V520" i="2" s="1"/>
  <c r="U519" i="2"/>
  <c r="V1022" i="2" s="1"/>
  <c r="U518" i="2"/>
  <c r="U517" i="2"/>
  <c r="U516" i="2"/>
  <c r="U515" i="2"/>
  <c r="V514" i="2"/>
  <c r="U514" i="2"/>
  <c r="V513" i="2"/>
  <c r="U513" i="2"/>
  <c r="V512" i="2"/>
  <c r="U512" i="2"/>
  <c r="U511" i="2"/>
  <c r="V510" i="2"/>
  <c r="U510" i="2"/>
  <c r="U509" i="2"/>
  <c r="U508" i="2"/>
  <c r="U507" i="2"/>
  <c r="V506" i="2"/>
  <c r="U506" i="2"/>
  <c r="V505" i="2"/>
  <c r="U505" i="2"/>
  <c r="V504" i="2"/>
  <c r="U504" i="2"/>
  <c r="U503" i="2"/>
  <c r="V503" i="2" s="1"/>
  <c r="U502" i="2"/>
  <c r="U501" i="2"/>
  <c r="U500" i="2"/>
  <c r="V500" i="2" s="1"/>
  <c r="U499" i="2"/>
  <c r="V1748" i="2" s="1"/>
  <c r="V498" i="2"/>
  <c r="U498" i="2"/>
  <c r="U497" i="2"/>
  <c r="V496" i="2"/>
  <c r="U496" i="2"/>
  <c r="U495" i="2"/>
  <c r="V494" i="2"/>
  <c r="U494" i="2"/>
  <c r="U493" i="2"/>
  <c r="V493" i="2" s="1"/>
  <c r="U492" i="2"/>
  <c r="V492" i="2" s="1"/>
  <c r="U491" i="2"/>
  <c r="V490" i="2"/>
  <c r="U490" i="2"/>
  <c r="V489" i="2"/>
  <c r="U489" i="2"/>
  <c r="U488" i="2"/>
  <c r="V905" i="2" s="1"/>
  <c r="U487" i="2"/>
  <c r="V486" i="2"/>
  <c r="U486" i="2"/>
  <c r="V3057" i="2" s="1"/>
  <c r="U485" i="2"/>
  <c r="U484" i="2"/>
  <c r="U483" i="2"/>
  <c r="V482" i="2"/>
  <c r="U482" i="2"/>
  <c r="V481" i="2"/>
  <c r="U481" i="2"/>
  <c r="V480" i="2"/>
  <c r="U480" i="2"/>
  <c r="U479" i="2"/>
  <c r="V479" i="2" s="1"/>
  <c r="V478" i="2"/>
  <c r="U478" i="2"/>
  <c r="U477" i="2"/>
  <c r="U476" i="2"/>
  <c r="U475" i="2"/>
  <c r="U474" i="2"/>
  <c r="V473" i="2"/>
  <c r="U473" i="2"/>
  <c r="V472" i="2"/>
  <c r="U472" i="2"/>
  <c r="U471" i="2"/>
  <c r="V470" i="2"/>
  <c r="U470" i="2"/>
  <c r="V469" i="2"/>
  <c r="U469" i="2"/>
  <c r="U468" i="2"/>
  <c r="V468" i="2" s="1"/>
  <c r="U467" i="2"/>
  <c r="V466" i="2"/>
  <c r="U466" i="2"/>
  <c r="U465" i="2"/>
  <c r="V464" i="2"/>
  <c r="U464" i="2"/>
  <c r="V1642" i="2" s="1"/>
  <c r="U463" i="2"/>
  <c r="U462" i="2"/>
  <c r="U461" i="2"/>
  <c r="V1304" i="2" s="1"/>
  <c r="U460" i="2"/>
  <c r="V460" i="2" s="1"/>
  <c r="U459" i="2"/>
  <c r="V458" i="2"/>
  <c r="U458" i="2"/>
  <c r="V457" i="2"/>
  <c r="U457" i="2"/>
  <c r="U456" i="2"/>
  <c r="U455" i="2"/>
  <c r="U454" i="2"/>
  <c r="U453" i="2"/>
  <c r="U452" i="2"/>
  <c r="V452" i="2" s="1"/>
  <c r="U451" i="2"/>
  <c r="U450" i="2"/>
  <c r="V449" i="2"/>
  <c r="U449" i="2"/>
  <c r="V448" i="2"/>
  <c r="U448" i="2"/>
  <c r="U447" i="2"/>
  <c r="V447" i="2" s="1"/>
  <c r="V446" i="2"/>
  <c r="U446" i="2"/>
  <c r="U445" i="2"/>
  <c r="U444" i="2"/>
  <c r="V444" i="2" s="1"/>
  <c r="U443" i="2"/>
  <c r="V442" i="2"/>
  <c r="U442" i="2"/>
  <c r="V441" i="2"/>
  <c r="U441" i="2"/>
  <c r="V440" i="2"/>
  <c r="U440" i="2"/>
  <c r="V598" i="2" s="1"/>
  <c r="U439" i="2"/>
  <c r="U438" i="2"/>
  <c r="V437" i="2"/>
  <c r="U437" i="2"/>
  <c r="U436" i="2"/>
  <c r="U435" i="2"/>
  <c r="V434" i="2"/>
  <c r="U434" i="2"/>
  <c r="U433" i="2"/>
  <c r="V432" i="2"/>
  <c r="U432" i="2"/>
  <c r="U431" i="2"/>
  <c r="V431" i="2" s="1"/>
  <c r="V430" i="2"/>
  <c r="U430" i="2"/>
  <c r="U429" i="2"/>
  <c r="U428" i="2"/>
  <c r="U427" i="2"/>
  <c r="V426" i="2"/>
  <c r="U426" i="2"/>
  <c r="V425" i="2"/>
  <c r="U425" i="2"/>
  <c r="U424" i="2"/>
  <c r="U423" i="2"/>
  <c r="U422" i="2"/>
  <c r="U421" i="2"/>
  <c r="V421" i="2" s="1"/>
  <c r="U420" i="2"/>
  <c r="V420" i="2" s="1"/>
  <c r="U419" i="2"/>
  <c r="V418" i="2"/>
  <c r="U418" i="2"/>
  <c r="V417" i="2"/>
  <c r="U417" i="2"/>
  <c r="V416" i="2"/>
  <c r="U416" i="2"/>
  <c r="U415" i="2"/>
  <c r="V414" i="2"/>
  <c r="U414" i="2"/>
  <c r="U413" i="2"/>
  <c r="V413" i="2" s="1"/>
  <c r="U412" i="2"/>
  <c r="U411" i="2"/>
  <c r="V410" i="2"/>
  <c r="U410" i="2"/>
  <c r="U409" i="2"/>
  <c r="V408" i="2"/>
  <c r="U408" i="2"/>
  <c r="V1702" i="2" s="1"/>
  <c r="U407" i="2"/>
  <c r="V406" i="2"/>
  <c r="U406" i="2"/>
  <c r="U405" i="2"/>
  <c r="V405" i="2" s="1"/>
  <c r="U404" i="2"/>
  <c r="U403" i="2"/>
  <c r="V402" i="2"/>
  <c r="U402" i="2"/>
  <c r="U401" i="2"/>
  <c r="V401" i="2" s="1"/>
  <c r="V400" i="2"/>
  <c r="U400" i="2"/>
  <c r="U399" i="2"/>
  <c r="U398" i="2"/>
  <c r="U397" i="2"/>
  <c r="V396" i="2"/>
  <c r="U396" i="2"/>
  <c r="U395" i="2"/>
  <c r="V1449" i="2" s="1"/>
  <c r="V394" i="2"/>
  <c r="U394" i="2"/>
  <c r="V393" i="2"/>
  <c r="U393" i="2"/>
  <c r="U392" i="2"/>
  <c r="U391" i="2"/>
  <c r="U390" i="2"/>
  <c r="U389" i="2"/>
  <c r="V754" i="2" s="1"/>
  <c r="U388" i="2"/>
  <c r="U387" i="2"/>
  <c r="V386" i="2"/>
  <c r="U386" i="2"/>
  <c r="V385" i="2"/>
  <c r="U385" i="2"/>
  <c r="V384" i="2"/>
  <c r="U384" i="2"/>
  <c r="U383" i="2"/>
  <c r="V383" i="2" s="1"/>
  <c r="V382" i="2"/>
  <c r="U382" i="2"/>
  <c r="U381" i="2"/>
  <c r="V381" i="2" s="1"/>
  <c r="U380" i="2"/>
  <c r="U379" i="2"/>
  <c r="V378" i="2"/>
  <c r="U378" i="2"/>
  <c r="V377" i="2"/>
  <c r="U377" i="2"/>
  <c r="U376" i="2"/>
  <c r="U375" i="2"/>
  <c r="V374" i="2"/>
  <c r="U374" i="2"/>
  <c r="V3164" i="2" s="1"/>
  <c r="U373" i="2"/>
  <c r="U372" i="2"/>
  <c r="U371" i="2"/>
  <c r="V370" i="2"/>
  <c r="U370" i="2"/>
  <c r="U369" i="2"/>
  <c r="V369" i="2" s="1"/>
  <c r="V368" i="2"/>
  <c r="U368" i="2"/>
  <c r="U367" i="2"/>
  <c r="V366" i="2"/>
  <c r="U366" i="2"/>
  <c r="U365" i="2"/>
  <c r="V365" i="2" s="1"/>
  <c r="U364" i="2"/>
  <c r="U363" i="2"/>
  <c r="V362" i="2"/>
  <c r="U362" i="2"/>
  <c r="V2992" i="2" s="1"/>
  <c r="V361" i="2"/>
  <c r="U361" i="2"/>
  <c r="U360" i="2"/>
  <c r="U359" i="2"/>
  <c r="V358" i="2"/>
  <c r="U358" i="2"/>
  <c r="U357" i="2"/>
  <c r="U356" i="2"/>
  <c r="U355" i="2"/>
  <c r="V354" i="2"/>
  <c r="U354" i="2"/>
  <c r="V353" i="2"/>
  <c r="U353" i="2"/>
  <c r="V352" i="2"/>
  <c r="U352" i="2"/>
  <c r="U351" i="2"/>
  <c r="V350" i="2"/>
  <c r="U350" i="2"/>
  <c r="U349" i="2"/>
  <c r="V349" i="2" s="1"/>
  <c r="U348" i="2"/>
  <c r="U347" i="2"/>
  <c r="V346" i="2"/>
  <c r="U346" i="2"/>
  <c r="V345" i="2"/>
  <c r="U345" i="2"/>
  <c r="V344" i="2"/>
  <c r="U344" i="2"/>
  <c r="U343" i="2"/>
  <c r="V342" i="2"/>
  <c r="U342" i="2"/>
  <c r="U341" i="2"/>
  <c r="V341" i="2" s="1"/>
  <c r="U340" i="2"/>
  <c r="U339" i="2"/>
  <c r="V1758" i="2" s="1"/>
  <c r="V338" i="2"/>
  <c r="U338" i="2"/>
  <c r="U337" i="2"/>
  <c r="V640" i="2" s="1"/>
  <c r="V336" i="2"/>
  <c r="U336" i="2"/>
  <c r="U335" i="2"/>
  <c r="U334" i="2"/>
  <c r="U333" i="2"/>
  <c r="U332" i="2"/>
  <c r="V1098" i="2" s="1"/>
  <c r="U331" i="2"/>
  <c r="V330" i="2"/>
  <c r="U330" i="2"/>
  <c r="V329" i="2"/>
  <c r="U329" i="2"/>
  <c r="U328" i="2"/>
  <c r="U327" i="2"/>
  <c r="V326" i="2"/>
  <c r="U326" i="2"/>
  <c r="U325" i="2"/>
  <c r="U324" i="2"/>
  <c r="U323" i="2"/>
  <c r="V322" i="2"/>
  <c r="U322" i="2"/>
  <c r="V321" i="2"/>
  <c r="U321" i="2"/>
  <c r="V320" i="2"/>
  <c r="U320" i="2"/>
  <c r="U319" i="2"/>
  <c r="V318" i="2"/>
  <c r="U318" i="2"/>
  <c r="U317" i="2"/>
  <c r="U316" i="2"/>
  <c r="U315" i="2"/>
  <c r="V314" i="2"/>
  <c r="U314" i="2"/>
  <c r="V313" i="2"/>
  <c r="U313" i="2"/>
  <c r="V312" i="2"/>
  <c r="U312" i="2"/>
  <c r="U311" i="2"/>
  <c r="V311" i="2" s="1"/>
  <c r="V310" i="2"/>
  <c r="U310" i="2"/>
  <c r="U309" i="2"/>
  <c r="U308" i="2"/>
  <c r="U307" i="2"/>
  <c r="V306" i="2"/>
  <c r="U306" i="2"/>
  <c r="U305" i="2"/>
  <c r="V304" i="2"/>
  <c r="U304" i="2"/>
  <c r="U303" i="2"/>
  <c r="V302" i="2"/>
  <c r="U302" i="2"/>
  <c r="U301" i="2"/>
  <c r="V301" i="2" s="1"/>
  <c r="U300" i="2"/>
  <c r="V300" i="2" s="1"/>
  <c r="U299" i="2"/>
  <c r="V298" i="2"/>
  <c r="U298" i="2"/>
  <c r="V297" i="2"/>
  <c r="U297" i="2"/>
  <c r="U296" i="2"/>
  <c r="U295" i="2"/>
  <c r="U294" i="2"/>
  <c r="U293" i="2"/>
  <c r="V293" i="2" s="1"/>
  <c r="U292" i="2"/>
  <c r="U291" i="2"/>
  <c r="V290" i="2"/>
  <c r="U290" i="2"/>
  <c r="V289" i="2"/>
  <c r="U289" i="2"/>
  <c r="V942" i="2" s="1"/>
  <c r="V288" i="2"/>
  <c r="U288" i="2"/>
  <c r="U287" i="2"/>
  <c r="U286" i="2"/>
  <c r="U285" i="2"/>
  <c r="U284" i="2"/>
  <c r="U283" i="2"/>
  <c r="V282" i="2"/>
  <c r="U282" i="2"/>
  <c r="V281" i="2"/>
  <c r="U281" i="2"/>
  <c r="V280" i="2"/>
  <c r="U280" i="2"/>
  <c r="U279" i="2"/>
  <c r="V279" i="2" s="1"/>
  <c r="V278" i="2"/>
  <c r="U278" i="2"/>
  <c r="V277" i="2"/>
  <c r="U277" i="2"/>
  <c r="V1224" i="2" s="1"/>
  <c r="U276" i="2"/>
  <c r="U275" i="2"/>
  <c r="V274" i="2"/>
  <c r="U274" i="2"/>
  <c r="U273" i="2"/>
  <c r="V273" i="2" s="1"/>
  <c r="V272" i="2"/>
  <c r="U272" i="2"/>
  <c r="U271" i="2"/>
  <c r="V270" i="2"/>
  <c r="U270" i="2"/>
  <c r="U269" i="2"/>
  <c r="U268" i="2"/>
  <c r="U267" i="2"/>
  <c r="U266" i="2"/>
  <c r="V265" i="2"/>
  <c r="U265" i="2"/>
  <c r="U264" i="2"/>
  <c r="U263" i="2"/>
  <c r="V262" i="2"/>
  <c r="U262" i="2"/>
  <c r="U261" i="2"/>
  <c r="U260" i="2"/>
  <c r="U259" i="2"/>
  <c r="V259" i="2" s="1"/>
  <c r="V258" i="2"/>
  <c r="U258" i="2"/>
  <c r="U257" i="2"/>
  <c r="V256" i="2"/>
  <c r="U256" i="2"/>
  <c r="U255" i="2"/>
  <c r="V254" i="2"/>
  <c r="U254" i="2"/>
  <c r="U253" i="2"/>
  <c r="U252" i="2"/>
  <c r="U251" i="2"/>
  <c r="V250" i="2"/>
  <c r="U250" i="2"/>
  <c r="V249" i="2"/>
  <c r="U249" i="2"/>
  <c r="V248" i="2"/>
  <c r="U248" i="2"/>
  <c r="V1370" i="2" s="1"/>
  <c r="U247" i="2"/>
  <c r="V246" i="2"/>
  <c r="U246" i="2"/>
  <c r="V245" i="2"/>
  <c r="U245" i="2"/>
  <c r="U244" i="2"/>
  <c r="U243" i="2"/>
  <c r="V242" i="2"/>
  <c r="U242" i="2"/>
  <c r="U241" i="2"/>
  <c r="V240" i="2"/>
  <c r="U240" i="2"/>
  <c r="U239" i="2"/>
  <c r="V238" i="2"/>
  <c r="U238" i="2"/>
  <c r="U237" i="2"/>
  <c r="V237" i="2" s="1"/>
  <c r="U236" i="2"/>
  <c r="U235" i="2"/>
  <c r="V234" i="2"/>
  <c r="U234" i="2"/>
  <c r="V233" i="2"/>
  <c r="U233" i="2"/>
  <c r="U232" i="2"/>
  <c r="V232" i="2" s="1"/>
  <c r="U231" i="2"/>
  <c r="V231" i="2" s="1"/>
  <c r="V230" i="2"/>
  <c r="U230" i="2"/>
  <c r="U229" i="2"/>
  <c r="V229" i="2" s="1"/>
  <c r="U228" i="2"/>
  <c r="V2743" i="2" s="1"/>
  <c r="U227" i="2"/>
  <c r="V226" i="2"/>
  <c r="U226" i="2"/>
  <c r="V225" i="2"/>
  <c r="U225" i="2"/>
  <c r="V224" i="2"/>
  <c r="U224" i="2"/>
  <c r="U223" i="2"/>
  <c r="U222" i="2"/>
  <c r="U221" i="2"/>
  <c r="U220" i="2"/>
  <c r="V220" i="2" s="1"/>
  <c r="U219" i="2"/>
  <c r="V218" i="2"/>
  <c r="U218" i="2"/>
  <c r="V217" i="2"/>
  <c r="U217" i="2"/>
  <c r="V216" i="2"/>
  <c r="U216" i="2"/>
  <c r="U215" i="2"/>
  <c r="U214" i="2"/>
  <c r="U213" i="2"/>
  <c r="U212" i="2"/>
  <c r="U211" i="2"/>
  <c r="V538" i="2" s="1"/>
  <c r="V210" i="2"/>
  <c r="U210" i="2"/>
  <c r="U209" i="2"/>
  <c r="V208" i="2"/>
  <c r="U208" i="2"/>
  <c r="U207" i="2"/>
  <c r="V206" i="2"/>
  <c r="U206" i="2"/>
  <c r="U205" i="2"/>
  <c r="U204" i="2"/>
  <c r="V204" i="2" s="1"/>
  <c r="U203" i="2"/>
  <c r="V202" i="2"/>
  <c r="U202" i="2"/>
  <c r="V201" i="2"/>
  <c r="U201" i="2"/>
  <c r="U200" i="2"/>
  <c r="V800" i="2" s="1"/>
  <c r="U199" i="2"/>
  <c r="V198" i="2"/>
  <c r="U198" i="2"/>
  <c r="U197" i="2"/>
  <c r="U196" i="2"/>
  <c r="U195" i="2"/>
  <c r="V194" i="2"/>
  <c r="U194" i="2"/>
  <c r="V193" i="2"/>
  <c r="U193" i="2"/>
  <c r="V192" i="2"/>
  <c r="U192" i="2"/>
  <c r="U191" i="2"/>
  <c r="U190" i="2"/>
  <c r="U189" i="2"/>
  <c r="U188" i="2"/>
  <c r="U187" i="2"/>
  <c r="V186" i="2"/>
  <c r="U186" i="2"/>
  <c r="V185" i="2"/>
  <c r="U185" i="2"/>
  <c r="V184" i="2"/>
  <c r="U184" i="2"/>
  <c r="U183" i="2"/>
  <c r="V183" i="2" s="1"/>
  <c r="V182" i="2"/>
  <c r="U182" i="2"/>
  <c r="U181" i="2"/>
  <c r="U180" i="2"/>
  <c r="U179" i="2"/>
  <c r="V1697" i="2" s="1"/>
  <c r="V178" i="2"/>
  <c r="U178" i="2"/>
  <c r="U177" i="2"/>
  <c r="V177" i="2" s="1"/>
  <c r="V176" i="2"/>
  <c r="U176" i="2"/>
  <c r="V1386" i="2" s="1"/>
  <c r="U175" i="2"/>
  <c r="V174" i="2"/>
  <c r="U174" i="2"/>
  <c r="U173" i="2"/>
  <c r="U172" i="2"/>
  <c r="V172" i="2" s="1"/>
  <c r="U171" i="2"/>
  <c r="V170" i="2"/>
  <c r="U170" i="2"/>
  <c r="V169" i="2"/>
  <c r="U169" i="2"/>
  <c r="U168" i="2"/>
  <c r="U167" i="2"/>
  <c r="V166" i="2"/>
  <c r="U166" i="2"/>
  <c r="U165" i="2"/>
  <c r="U164" i="2"/>
  <c r="U163" i="2"/>
  <c r="V162" i="2"/>
  <c r="U162" i="2"/>
  <c r="V161" i="2"/>
  <c r="U161" i="2"/>
  <c r="V160" i="2"/>
  <c r="U160" i="2"/>
  <c r="U159" i="2"/>
  <c r="V158" i="2"/>
  <c r="U158" i="2"/>
  <c r="U157" i="2"/>
  <c r="U156" i="2"/>
  <c r="U155" i="2"/>
  <c r="V154" i="2"/>
  <c r="U154" i="2"/>
  <c r="V153" i="2"/>
  <c r="U153" i="2"/>
  <c r="V1254" i="2" s="1"/>
  <c r="V152" i="2"/>
  <c r="U152" i="2"/>
  <c r="U151" i="2"/>
  <c r="V150" i="2"/>
  <c r="U150" i="2"/>
  <c r="U149" i="2"/>
  <c r="U148" i="2"/>
  <c r="U147" i="2"/>
  <c r="V146" i="2"/>
  <c r="U146" i="2"/>
  <c r="U145" i="2"/>
  <c r="V144" i="2"/>
  <c r="U144" i="2"/>
  <c r="U143" i="2"/>
  <c r="V142" i="2"/>
  <c r="U142" i="2"/>
  <c r="U141" i="2"/>
  <c r="U140" i="2"/>
  <c r="U139" i="2"/>
  <c r="V138" i="2"/>
  <c r="U138" i="2"/>
  <c r="V137" i="2"/>
  <c r="U137" i="2"/>
  <c r="V136" i="2"/>
  <c r="U136" i="2"/>
  <c r="U135" i="2"/>
  <c r="V135" i="2" s="1"/>
  <c r="V134" i="2"/>
  <c r="U134" i="2"/>
  <c r="U133" i="2"/>
  <c r="U132" i="2"/>
  <c r="U131" i="2"/>
  <c r="V130" i="2"/>
  <c r="U130" i="2"/>
  <c r="V129" i="2"/>
  <c r="U129" i="2"/>
  <c r="V128" i="2"/>
  <c r="U128" i="2"/>
  <c r="U127" i="2"/>
  <c r="V126" i="2"/>
  <c r="U126" i="2"/>
  <c r="U125" i="2"/>
  <c r="U124" i="2"/>
  <c r="U123" i="2"/>
  <c r="V122" i="2"/>
  <c r="U122" i="2"/>
  <c r="V121" i="2"/>
  <c r="U121" i="2"/>
  <c r="V120" i="2"/>
  <c r="U120" i="2"/>
  <c r="U119" i="2"/>
  <c r="V118" i="2"/>
  <c r="U118" i="2"/>
  <c r="U117" i="2"/>
  <c r="U116" i="2"/>
  <c r="U115" i="2"/>
  <c r="V114" i="2"/>
  <c r="U114" i="2"/>
  <c r="U113" i="2"/>
  <c r="V554" i="2" s="1"/>
  <c r="V112" i="2"/>
  <c r="U112" i="2"/>
  <c r="U111" i="2"/>
  <c r="V894" i="2" s="1"/>
  <c r="V110" i="2"/>
  <c r="U110" i="2"/>
  <c r="U109" i="2"/>
  <c r="U108" i="2"/>
  <c r="V108" i="2" s="1"/>
  <c r="U107" i="2"/>
  <c r="V106" i="2"/>
  <c r="U106" i="2"/>
  <c r="V105" i="2"/>
  <c r="U105" i="2"/>
  <c r="U104" i="2"/>
  <c r="U103" i="2"/>
  <c r="V102" i="2"/>
  <c r="U102" i="2"/>
  <c r="U101" i="2"/>
  <c r="U100" i="2"/>
  <c r="U99" i="2"/>
  <c r="V98" i="2"/>
  <c r="U98" i="2"/>
  <c r="V97" i="2"/>
  <c r="U97" i="2"/>
  <c r="V96" i="2"/>
  <c r="U96" i="2"/>
  <c r="U95" i="2"/>
  <c r="V94" i="2"/>
  <c r="U94" i="2"/>
  <c r="U93" i="2"/>
  <c r="U92" i="2"/>
  <c r="V286" i="2" s="1"/>
  <c r="U91" i="2"/>
  <c r="V90" i="2"/>
  <c r="U90" i="2"/>
  <c r="V89" i="2"/>
  <c r="U89" i="2"/>
  <c r="V88" i="2"/>
  <c r="U88" i="2"/>
  <c r="V1525" i="2" s="1"/>
  <c r="U87" i="2"/>
  <c r="V86" i="2"/>
  <c r="U86" i="2"/>
  <c r="U85" i="2"/>
  <c r="V725" i="2" s="1"/>
  <c r="U84" i="2"/>
  <c r="U83" i="2"/>
  <c r="V82" i="2"/>
  <c r="U82" i="2"/>
  <c r="U81" i="2"/>
  <c r="V80" i="2"/>
  <c r="U80" i="2"/>
  <c r="U79" i="2"/>
  <c r="V79" i="2" s="1"/>
  <c r="V78" i="2"/>
  <c r="U78" i="2"/>
  <c r="U77" i="2"/>
  <c r="U76" i="2"/>
  <c r="U75" i="2"/>
  <c r="V74" i="2"/>
  <c r="U74" i="2"/>
  <c r="V73" i="2"/>
  <c r="U73" i="2"/>
  <c r="U72" i="2"/>
  <c r="U71" i="2"/>
  <c r="V70" i="2"/>
  <c r="U70" i="2"/>
  <c r="U69" i="2"/>
  <c r="U68" i="2"/>
  <c r="U67" i="2"/>
  <c r="V66" i="2"/>
  <c r="U66" i="2"/>
  <c r="V65" i="2"/>
  <c r="U65" i="2"/>
  <c r="V64" i="2"/>
  <c r="U64" i="2"/>
  <c r="U63" i="2"/>
  <c r="V63" i="2" s="1"/>
  <c r="V62" i="2"/>
  <c r="U62" i="2"/>
  <c r="U61" i="2"/>
  <c r="U60" i="2"/>
  <c r="U59" i="2"/>
  <c r="V59" i="2" s="1"/>
  <c r="V58" i="2"/>
  <c r="U58" i="2"/>
  <c r="V57" i="2"/>
  <c r="U57" i="2"/>
  <c r="V1417" i="2" s="1"/>
  <c r="V56" i="2"/>
  <c r="U56" i="2"/>
  <c r="V55" i="2"/>
  <c r="U55" i="2"/>
  <c r="V54" i="2"/>
  <c r="U54" i="2"/>
  <c r="V53" i="2"/>
  <c r="U53" i="2"/>
  <c r="V52" i="2"/>
  <c r="U52" i="2"/>
  <c r="V51" i="2"/>
  <c r="U51" i="2"/>
  <c r="V50" i="2"/>
  <c r="U50" i="2"/>
  <c r="V49" i="2"/>
  <c r="U49" i="2"/>
  <c r="V48" i="2"/>
  <c r="U48" i="2"/>
  <c r="V47" i="2"/>
  <c r="U47" i="2"/>
  <c r="V46" i="2"/>
  <c r="U46" i="2"/>
  <c r="V45" i="2"/>
  <c r="U45" i="2"/>
  <c r="V1708" i="2" s="1"/>
  <c r="V44" i="2"/>
  <c r="U44" i="2"/>
  <c r="V43" i="2"/>
  <c r="U4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V438" i="2" s="1"/>
  <c r="V35" i="2"/>
  <c r="U35" i="2"/>
  <c r="V34" i="2"/>
  <c r="U34" i="2"/>
  <c r="V33" i="2"/>
  <c r="U33" i="2"/>
  <c r="V32" i="2"/>
  <c r="U32" i="2"/>
  <c r="V31" i="2"/>
  <c r="U31" i="2"/>
  <c r="V30" i="2"/>
  <c r="U30" i="2"/>
  <c r="V29" i="2"/>
  <c r="U29" i="2"/>
  <c r="V1612" i="2" s="1"/>
  <c r="U28" i="2"/>
  <c r="V27" i="2"/>
  <c r="U27" i="2"/>
  <c r="V26" i="2"/>
  <c r="U26" i="2"/>
  <c r="V25" i="2"/>
  <c r="U25" i="2"/>
  <c r="U24" i="2"/>
  <c r="V23" i="2"/>
  <c r="U23" i="2"/>
  <c r="V22" i="2"/>
  <c r="U22" i="2"/>
  <c r="V21" i="2"/>
  <c r="U21" i="2"/>
  <c r="U20" i="2"/>
  <c r="V19" i="2"/>
  <c r="U19" i="2"/>
  <c r="V18" i="2"/>
  <c r="U18" i="2"/>
  <c r="V17" i="2"/>
  <c r="U17" i="2"/>
  <c r="U16" i="2"/>
  <c r="V16" i="2" s="1"/>
  <c r="V15" i="2"/>
  <c r="U15" i="2"/>
  <c r="V1406" i="2" s="1"/>
  <c r="V14" i="2"/>
  <c r="U14" i="2"/>
  <c r="V13" i="2"/>
  <c r="U13" i="2"/>
  <c r="U12" i="2"/>
  <c r="V11" i="2"/>
  <c r="U11" i="2"/>
  <c r="V10" i="2"/>
  <c r="U10" i="2"/>
  <c r="V9" i="2"/>
  <c r="U9" i="2"/>
  <c r="U8" i="2"/>
  <c r="V7" i="2"/>
  <c r="U7" i="2"/>
  <c r="V6" i="2"/>
  <c r="U6" i="2"/>
  <c r="V5" i="2"/>
  <c r="U5" i="2"/>
  <c r="U4" i="2"/>
  <c r="V638" i="2" s="1"/>
  <c r="V3" i="2"/>
  <c r="U3" i="2"/>
  <c r="V2" i="2"/>
  <c r="U2" i="2"/>
  <c r="B112" i="1"/>
  <c r="B111" i="1"/>
  <c r="B110" i="1"/>
  <c r="B109" i="1"/>
  <c r="B50" i="1"/>
  <c r="B49" i="1"/>
  <c r="B48" i="1"/>
  <c r="B47" i="1"/>
  <c r="B105" i="4" l="1"/>
  <c r="C105" i="4"/>
  <c r="V95" i="2"/>
  <c r="V1118" i="2"/>
  <c r="B159" i="4"/>
  <c r="C159" i="4"/>
  <c r="V3077" i="2"/>
  <c r="V694" i="2"/>
  <c r="B294" i="4"/>
  <c r="C294" i="4"/>
  <c r="V4595" i="2"/>
  <c r="V1918" i="2"/>
  <c r="V1880" i="2"/>
  <c r="V116" i="2"/>
  <c r="V1441" i="2"/>
  <c r="B199" i="4"/>
  <c r="C199" i="4"/>
  <c r="V4945" i="2"/>
  <c r="V4380" i="2"/>
  <c r="V1912" i="2"/>
  <c r="V157" i="2"/>
  <c r="V1813" i="2"/>
  <c r="V978" i="2"/>
  <c r="C98" i="4"/>
  <c r="B98" i="4"/>
  <c r="V3353" i="2"/>
  <c r="V2361" i="2"/>
  <c r="V2150" i="2"/>
  <c r="V1025" i="2"/>
  <c r="V758" i="2"/>
  <c r="V474" i="2"/>
  <c r="V392" i="2"/>
  <c r="V1209" i="2"/>
  <c r="C691" i="4"/>
  <c r="B691" i="4"/>
  <c r="V3729" i="2"/>
  <c r="V559" i="2"/>
  <c r="C235" i="4"/>
  <c r="B235" i="4"/>
  <c r="V2656" i="2"/>
  <c r="V1810" i="2"/>
  <c r="V628" i="2"/>
  <c r="V689" i="2"/>
  <c r="C747" i="4"/>
  <c r="B747" i="4"/>
  <c r="V724" i="2"/>
  <c r="V888" i="2"/>
  <c r="V815" i="2"/>
  <c r="B125" i="4"/>
  <c r="C125" i="4"/>
  <c r="V4908" i="2"/>
  <c r="V1257" i="2"/>
  <c r="V884" i="2"/>
  <c r="V1138" i="2"/>
  <c r="C528" i="4"/>
  <c r="B528" i="4"/>
  <c r="V3321" i="2"/>
  <c r="V931" i="2"/>
  <c r="V1778" i="2"/>
  <c r="V945" i="2"/>
  <c r="V956" i="2"/>
  <c r="C536" i="4"/>
  <c r="B536" i="4"/>
  <c r="V3524" i="2"/>
  <c r="V968" i="2"/>
  <c r="B222" i="4"/>
  <c r="C222" i="4"/>
  <c r="V2280" i="2"/>
  <c r="V2301" i="2"/>
  <c r="V1009" i="2"/>
  <c r="C826" i="4"/>
  <c r="B826" i="4"/>
  <c r="V3554" i="2"/>
  <c r="V305" i="2"/>
  <c r="C810" i="4"/>
  <c r="B810" i="4"/>
  <c r="V4404" i="2"/>
  <c r="V343" i="2"/>
  <c r="V592" i="2"/>
  <c r="C980" i="4"/>
  <c r="B980" i="4"/>
  <c r="V4547" i="2"/>
  <c r="V359" i="2"/>
  <c r="V2002" i="2"/>
  <c r="V2467" i="2"/>
  <c r="C38" i="4"/>
  <c r="B38" i="4"/>
  <c r="V375" i="2"/>
  <c r="V2208" i="2"/>
  <c r="C19" i="4"/>
  <c r="B19" i="4"/>
  <c r="V497" i="2"/>
  <c r="C170" i="4"/>
  <c r="B170" i="4"/>
  <c r="V2021" i="2"/>
  <c r="C469" i="4"/>
  <c r="B469" i="4"/>
  <c r="C374" i="4"/>
  <c r="B374" i="4"/>
  <c r="V241" i="2"/>
  <c r="B686" i="4"/>
  <c r="C686" i="4"/>
  <c r="C605" i="4"/>
  <c r="B605" i="4"/>
  <c r="V2870" i="2"/>
  <c r="V1853" i="2"/>
  <c r="V316" i="2"/>
  <c r="B323" i="4"/>
  <c r="C323" i="4"/>
  <c r="V327" i="2"/>
  <c r="V332" i="2"/>
  <c r="B296" i="4"/>
  <c r="C296" i="4"/>
  <c r="V360" i="2"/>
  <c r="C152" i="4"/>
  <c r="B152" i="4"/>
  <c r="V4533" i="2"/>
  <c r="V1838" i="2"/>
  <c r="V2440" i="2"/>
  <c r="V2118" i="2"/>
  <c r="V404" i="2"/>
  <c r="C792" i="4"/>
  <c r="B792" i="4"/>
  <c r="V419" i="2"/>
  <c r="C372" i="4"/>
  <c r="B372" i="4"/>
  <c r="V4316" i="2"/>
  <c r="V2806" i="2"/>
  <c r="B282" i="4"/>
  <c r="C282" i="4"/>
  <c r="V4803" i="2"/>
  <c r="V2732" i="2"/>
  <c r="V453" i="2"/>
  <c r="C508" i="4"/>
  <c r="B508" i="4"/>
  <c r="V1882" i="2"/>
  <c r="V465" i="2"/>
  <c r="V476" i="2"/>
  <c r="C115" i="4"/>
  <c r="B115" i="4"/>
  <c r="V487" i="2"/>
  <c r="C844" i="4"/>
  <c r="B844" i="4"/>
  <c r="V1017" i="2"/>
  <c r="V509" i="2"/>
  <c r="C405" i="4"/>
  <c r="B405" i="4"/>
  <c r="V3506" i="2"/>
  <c r="V532" i="2"/>
  <c r="V623" i="2"/>
  <c r="B354" i="4"/>
  <c r="C354" i="4"/>
  <c r="V4607" i="2"/>
  <c r="V2174" i="2"/>
  <c r="V668" i="2"/>
  <c r="C453" i="4"/>
  <c r="B453" i="4"/>
  <c r="V1049" i="2"/>
  <c r="V753" i="2"/>
  <c r="C544" i="4"/>
  <c r="B544" i="4"/>
  <c r="V759" i="2"/>
  <c r="V1900" i="2"/>
  <c r="V1762" i="2"/>
  <c r="V1320" i="2"/>
  <c r="V1146" i="2"/>
  <c r="V764" i="2"/>
  <c r="V776" i="2"/>
  <c r="V804" i="2"/>
  <c r="V867" i="2"/>
  <c r="C90" i="4"/>
  <c r="B90" i="4"/>
  <c r="V879" i="2"/>
  <c r="V1169" i="2"/>
  <c r="V1188" i="2"/>
  <c r="V1225" i="2"/>
  <c r="V1260" i="2"/>
  <c r="V1364" i="2"/>
  <c r="V1428" i="2"/>
  <c r="C973" i="4"/>
  <c r="B973" i="4"/>
  <c r="V2025" i="2"/>
  <c r="V2353" i="2"/>
  <c r="V1585" i="2"/>
  <c r="C718" i="4"/>
  <c r="B718" i="4"/>
  <c r="V3891" i="2"/>
  <c r="V376" i="2"/>
  <c r="V2145" i="2"/>
  <c r="V572" i="2"/>
  <c r="B202" i="4"/>
  <c r="C202" i="4"/>
  <c r="V4911" i="2"/>
  <c r="V4689" i="2"/>
  <c r="V657" i="2"/>
  <c r="B24" i="4"/>
  <c r="C24" i="4"/>
  <c r="V4643" i="2"/>
  <c r="V3664" i="2"/>
  <c r="V669" i="2"/>
  <c r="V680" i="2"/>
  <c r="V748" i="2"/>
  <c r="V765" i="2"/>
  <c r="B565" i="4"/>
  <c r="C565" i="4"/>
  <c r="V3885" i="2"/>
  <c r="V817" i="2"/>
  <c r="V828" i="2"/>
  <c r="B903" i="4"/>
  <c r="C903" i="4"/>
  <c r="V4441" i="2"/>
  <c r="V3485" i="2"/>
  <c r="V840" i="2"/>
  <c r="B193" i="4"/>
  <c r="C193" i="4"/>
  <c r="V2516" i="2"/>
  <c r="V852" i="2"/>
  <c r="V1682" i="2"/>
  <c r="V926" i="2"/>
  <c r="V933" i="2"/>
  <c r="V1261" i="2"/>
  <c r="V1437" i="2"/>
  <c r="C468" i="4"/>
  <c r="B468" i="4"/>
  <c r="V3939" i="2"/>
  <c r="V141" i="2"/>
  <c r="B764" i="4"/>
  <c r="C764" i="4"/>
  <c r="V151" i="2"/>
  <c r="V2144" i="2"/>
  <c r="B134" i="4"/>
  <c r="C134" i="4"/>
  <c r="V156" i="2"/>
  <c r="C796" i="4"/>
  <c r="B796" i="4"/>
  <c r="V167" i="2"/>
  <c r="V2623" i="2"/>
  <c r="V1825" i="2"/>
  <c r="V1780" i="2"/>
  <c r="V451" i="2"/>
  <c r="V1104" i="2"/>
  <c r="C723" i="4"/>
  <c r="B723" i="4"/>
  <c r="V4445" i="2"/>
  <c r="V3958" i="2"/>
  <c r="V101" i="2"/>
  <c r="B547" i="4"/>
  <c r="C547" i="4"/>
  <c r="V4260" i="2"/>
  <c r="V2269" i="2"/>
  <c r="V348" i="2"/>
  <c r="V1065" i="2"/>
  <c r="V284" i="2"/>
  <c r="B867" i="4"/>
  <c r="C867" i="4"/>
  <c r="V4695" i="2"/>
  <c r="V1974" i="2"/>
  <c r="V1292" i="2"/>
  <c r="V1002" i="2"/>
  <c r="V584" i="2"/>
  <c r="C91" i="4"/>
  <c r="B91" i="4"/>
  <c r="V2496" i="2"/>
  <c r="V2238" i="2"/>
  <c r="V550" i="2"/>
  <c r="V77" i="2"/>
  <c r="B80" i="4"/>
  <c r="C80" i="4"/>
  <c r="V4597" i="2"/>
  <c r="V87" i="2"/>
  <c r="B161" i="4"/>
  <c r="C161" i="4"/>
  <c r="V4983" i="2"/>
  <c r="V4429" i="2"/>
  <c r="V4142" i="2"/>
  <c r="V103" i="2"/>
  <c r="C720" i="4"/>
  <c r="B720" i="4"/>
  <c r="V3149" i="2"/>
  <c r="V1998" i="2"/>
  <c r="V1824" i="2"/>
  <c r="V726" i="2"/>
  <c r="B287" i="4"/>
  <c r="C287" i="4"/>
  <c r="V4220" i="2"/>
  <c r="V2232" i="2"/>
  <c r="V1898" i="2"/>
  <c r="V665" i="2"/>
  <c r="V200" i="2"/>
  <c r="V205" i="2"/>
  <c r="C553" i="4"/>
  <c r="B553" i="4"/>
  <c r="V4704" i="2"/>
  <c r="V2258" i="2"/>
  <c r="V2246" i="2"/>
  <c r="V221" i="2"/>
  <c r="C644" i="4"/>
  <c r="B644" i="4"/>
  <c r="V253" i="2"/>
  <c r="B666" i="4"/>
  <c r="C666" i="4"/>
  <c r="V3935" i="2"/>
  <c r="V2265" i="2"/>
  <c r="V1164" i="2"/>
  <c r="V264" i="2"/>
  <c r="V285" i="2"/>
  <c r="B147" i="4"/>
  <c r="C147" i="4"/>
  <c r="V1902" i="2"/>
  <c r="V340" i="2"/>
  <c r="V355" i="2"/>
  <c r="C252" i="4"/>
  <c r="B252" i="4"/>
  <c r="V4057" i="2"/>
  <c r="V3330" i="2"/>
  <c r="V1533" i="2"/>
  <c r="V372" i="2"/>
  <c r="V398" i="2"/>
  <c r="V666" i="2"/>
  <c r="V1492" i="2"/>
  <c r="C119" i="4"/>
  <c r="B119" i="4"/>
  <c r="V4322" i="2"/>
  <c r="V3460" i="2"/>
  <c r="V387" i="2"/>
  <c r="V2328" i="2"/>
  <c r="V2168" i="2"/>
  <c r="V601" i="2"/>
  <c r="V1738" i="2"/>
  <c r="C950" i="4"/>
  <c r="B950" i="4"/>
  <c r="V455" i="2"/>
  <c r="V2430" i="2"/>
  <c r="V515" i="2"/>
  <c r="B302" i="4"/>
  <c r="C302" i="4"/>
  <c r="V567" i="2"/>
  <c r="V2902" i="2"/>
  <c r="V2740" i="2"/>
  <c r="V2527" i="2"/>
  <c r="V1670" i="2"/>
  <c r="C440" i="4"/>
  <c r="B440" i="4"/>
  <c r="V573" i="2"/>
  <c r="C631" i="4"/>
  <c r="B631" i="4"/>
  <c r="V596" i="2"/>
  <c r="C126" i="4"/>
  <c r="B126" i="4"/>
  <c r="V4611" i="2"/>
  <c r="V613" i="2"/>
  <c r="V663" i="2"/>
  <c r="C825" i="4"/>
  <c r="B825" i="4"/>
  <c r="V1717" i="2"/>
  <c r="V709" i="2"/>
  <c r="B960" i="4"/>
  <c r="C960" i="4"/>
  <c r="V3056" i="2"/>
  <c r="V732" i="2"/>
  <c r="C410" i="4"/>
  <c r="B410" i="4"/>
  <c r="V3665" i="2"/>
  <c r="V744" i="2"/>
  <c r="C925" i="4"/>
  <c r="B925" i="4"/>
  <c r="V4565" i="2"/>
  <c r="V4499" i="2"/>
  <c r="V823" i="2"/>
  <c r="V898" i="2"/>
  <c r="B131" i="4"/>
  <c r="C131" i="4"/>
  <c r="V3730" i="2"/>
  <c r="V869" i="2"/>
  <c r="V1005" i="2"/>
  <c r="V1085" i="2"/>
  <c r="V1512" i="2"/>
  <c r="C977" i="4"/>
  <c r="B977" i="4"/>
  <c r="V3822" i="2"/>
  <c r="V3929" i="2"/>
  <c r="V3225" i="2"/>
  <c r="V816" i="2"/>
  <c r="V1674" i="2"/>
  <c r="C466" i="4"/>
  <c r="B466" i="4"/>
  <c r="V436" i="2"/>
  <c r="V508" i="2"/>
  <c r="B240" i="4"/>
  <c r="C240" i="4"/>
  <c r="V3417" i="2"/>
  <c r="V71" i="2"/>
  <c r="C337" i="4"/>
  <c r="B337" i="4"/>
  <c r="C425" i="4"/>
  <c r="B425" i="4"/>
  <c r="B187" i="4"/>
  <c r="C187" i="4"/>
  <c r="V4943" i="2"/>
  <c r="V4632" i="2"/>
  <c r="V3750" i="2"/>
  <c r="V127" i="2"/>
  <c r="V2016" i="2"/>
  <c r="B16" i="4"/>
  <c r="C16" i="4"/>
  <c r="V132" i="2"/>
  <c r="V168" i="2"/>
  <c r="C543" i="4"/>
  <c r="B543" i="4"/>
  <c r="V4949" i="2"/>
  <c r="V4284" i="2"/>
  <c r="V3853" i="2"/>
  <c r="V462" i="2"/>
  <c r="V173" i="2"/>
  <c r="C694" i="4"/>
  <c r="B694" i="4"/>
  <c r="E62" i="3"/>
  <c r="D62" i="3"/>
  <c r="K62" i="3" s="1"/>
  <c r="V1653" i="2"/>
  <c r="B463" i="4"/>
  <c r="C463" i="4"/>
  <c r="V3490" i="2"/>
  <c r="V2296" i="2"/>
  <c r="C87" i="4"/>
  <c r="B87" i="4"/>
  <c r="V2485" i="2"/>
  <c r="C659" i="4"/>
  <c r="B659" i="4"/>
  <c r="V3508" i="2"/>
  <c r="V1893" i="2"/>
  <c r="V697" i="2"/>
  <c r="V1626" i="2"/>
  <c r="C761" i="4"/>
  <c r="B761" i="4"/>
  <c r="V3641" i="2"/>
  <c r="C797" i="4"/>
  <c r="B797" i="4"/>
  <c r="V4887" i="2"/>
  <c r="V4681" i="2"/>
  <c r="V1241" i="2"/>
  <c r="V1502" i="2"/>
  <c r="V1100" i="2"/>
  <c r="C809" i="4"/>
  <c r="B809" i="4"/>
  <c r="V61" i="2"/>
  <c r="C768" i="4"/>
  <c r="B768" i="4"/>
  <c r="V81" i="2"/>
  <c r="V117" i="2"/>
  <c r="C499" i="4"/>
  <c r="B499" i="4"/>
  <c r="V163" i="2"/>
  <c r="V1302" i="2"/>
  <c r="V1458" i="2"/>
  <c r="V236" i="2"/>
  <c r="C738" i="4"/>
  <c r="B738" i="4"/>
  <c r="V247" i="2"/>
  <c r="C408" i="4"/>
  <c r="B408" i="4"/>
  <c r="V252" i="2"/>
  <c r="V1489" i="2"/>
  <c r="V257" i="2"/>
  <c r="C371" i="4"/>
  <c r="B371" i="4"/>
  <c r="V263" i="2"/>
  <c r="V1962" i="2"/>
  <c r="V1006" i="2"/>
  <c r="V268" i="2"/>
  <c r="C460" i="4"/>
  <c r="B460" i="4"/>
  <c r="V328" i="2"/>
  <c r="C47" i="4"/>
  <c r="B47" i="4"/>
  <c r="V471" i="2"/>
  <c r="V2282" i="2"/>
  <c r="V1184" i="2"/>
  <c r="V8" i="2"/>
  <c r="V20" i="2"/>
  <c r="V28" i="2"/>
  <c r="C771" i="4"/>
  <c r="B771" i="4"/>
  <c r="V159" i="2"/>
  <c r="C404" i="4"/>
  <c r="B404" i="4"/>
  <c r="V3650" i="2"/>
  <c r="V2949" i="2"/>
  <c r="V164" i="2"/>
  <c r="V190" i="2"/>
  <c r="B194" i="4"/>
  <c r="C194" i="4"/>
  <c r="V4637" i="2"/>
  <c r="V2184" i="2"/>
  <c r="V2341" i="2"/>
  <c r="V1556" i="2"/>
  <c r="V433" i="2"/>
  <c r="C743" i="4"/>
  <c r="B743" i="4"/>
  <c r="V439" i="2"/>
  <c r="V2581" i="2"/>
  <c r="V654" i="2"/>
  <c r="C477" i="4"/>
  <c r="B477" i="4"/>
  <c r="V3802" i="2"/>
  <c r="V3217" i="2"/>
  <c r="V1113" i="2"/>
  <c r="V456" i="2"/>
  <c r="C602" i="4"/>
  <c r="B602" i="4"/>
  <c r="V483" i="2"/>
  <c r="V1310" i="2"/>
  <c r="V556" i="2"/>
  <c r="V579" i="2"/>
  <c r="B556" i="4"/>
  <c r="C556" i="4"/>
  <c r="V625" i="2"/>
  <c r="C839" i="4"/>
  <c r="B839" i="4"/>
  <c r="V4879" i="2"/>
  <c r="V727" i="2"/>
  <c r="V1644" i="2"/>
  <c r="C597" i="4"/>
  <c r="B597" i="4"/>
  <c r="V4527" i="2"/>
  <c r="V4477" i="2"/>
  <c r="V3831" i="2"/>
  <c r="V2205" i="2"/>
  <c r="V733" i="2"/>
  <c r="V1609" i="2"/>
  <c r="V771" i="2"/>
  <c r="V783" i="2"/>
  <c r="V1845" i="2"/>
  <c r="V1650" i="2"/>
  <c r="C584" i="4"/>
  <c r="B584" i="4"/>
  <c r="V4397" i="2"/>
  <c r="V4014" i="2"/>
  <c r="V835" i="2"/>
  <c r="V2488" i="2"/>
  <c r="V1841" i="2"/>
  <c r="V1409" i="2"/>
  <c r="B169" i="4"/>
  <c r="C169" i="4"/>
  <c r="V847" i="2"/>
  <c r="V2249" i="2"/>
  <c r="V2188" i="2"/>
  <c r="V2046" i="2"/>
  <c r="V881" i="2"/>
  <c r="C2" i="4"/>
  <c r="B2" i="4"/>
  <c r="V4936" i="2"/>
  <c r="V4513" i="2"/>
  <c r="V899" i="2"/>
  <c r="V2841" i="2"/>
  <c r="V2762" i="2"/>
  <c r="V917" i="2"/>
  <c r="V964" i="2"/>
  <c r="V1000" i="2"/>
  <c r="V1069" i="2"/>
  <c r="B36" i="4"/>
  <c r="C36" i="4"/>
  <c r="V4365" i="2"/>
  <c r="V2764" i="2"/>
  <c r="C399" i="4"/>
  <c r="B399" i="4"/>
  <c r="V3586" i="2"/>
  <c r="V2006" i="2"/>
  <c r="V1440" i="2"/>
  <c r="V100" i="2"/>
  <c r="V266" i="2"/>
  <c r="C583" i="4"/>
  <c r="B583" i="4"/>
  <c r="V4847" i="2"/>
  <c r="V391" i="2"/>
  <c r="V213" i="2"/>
  <c r="V364" i="2"/>
  <c r="B654" i="4"/>
  <c r="C654" i="4"/>
  <c r="V4809" i="2"/>
  <c r="V4285" i="2"/>
  <c r="V2393" i="2"/>
  <c r="V930" i="2"/>
  <c r="V380" i="2"/>
  <c r="C400" i="4"/>
  <c r="B400" i="4"/>
  <c r="V295" i="2"/>
  <c r="B851" i="4"/>
  <c r="C851" i="4"/>
  <c r="E64" i="3"/>
  <c r="D64" i="3"/>
  <c r="K64" i="3" s="1"/>
  <c r="V2125" i="2"/>
  <c r="C803" i="4"/>
  <c r="B803" i="4"/>
  <c r="V3814" i="2"/>
  <c r="V2017" i="2"/>
  <c r="V133" i="2"/>
  <c r="C416" i="4"/>
  <c r="B416" i="4"/>
  <c r="V4673" i="2"/>
  <c r="V4600" i="2"/>
  <c r="V3074" i="2"/>
  <c r="V2157" i="2"/>
  <c r="V1394" i="2"/>
  <c r="V148" i="2"/>
  <c r="B633" i="4"/>
  <c r="C633" i="4"/>
  <c r="V890" i="2"/>
  <c r="V296" i="2"/>
  <c r="V409" i="2"/>
  <c r="V477" i="2"/>
  <c r="B190" i="4"/>
  <c r="C190" i="4"/>
  <c r="V4241" i="2"/>
  <c r="V4249" i="2"/>
  <c r="V488" i="2"/>
  <c r="C751" i="4"/>
  <c r="B751" i="4"/>
  <c r="V527" i="2"/>
  <c r="V2050" i="2"/>
  <c r="V1314" i="2"/>
  <c r="V1117" i="2"/>
  <c r="B142" i="4"/>
  <c r="C142" i="4"/>
  <c r="V3242" i="2"/>
  <c r="V938" i="2"/>
  <c r="V549" i="2"/>
  <c r="C387" i="4"/>
  <c r="B387" i="4"/>
  <c r="V93" i="2"/>
  <c r="C200" i="4"/>
  <c r="B200" i="4"/>
  <c r="V113" i="2"/>
  <c r="C570" i="4"/>
  <c r="B570" i="4"/>
  <c r="V4609" i="2"/>
  <c r="V3400" i="2"/>
  <c r="V3385" i="2"/>
  <c r="V165" i="2"/>
  <c r="V1434" i="2"/>
  <c r="C732" i="4"/>
  <c r="B732" i="4"/>
  <c r="V175" i="2"/>
  <c r="V2165" i="2"/>
  <c r="V2045" i="2"/>
  <c r="V1242" i="2"/>
  <c r="C604" i="4"/>
  <c r="B604" i="4"/>
  <c r="V323" i="2"/>
  <c r="V1729" i="2"/>
  <c r="C568" i="4"/>
  <c r="B568" i="4"/>
  <c r="V4173" i="2"/>
  <c r="V367" i="2"/>
  <c r="V2305" i="2"/>
  <c r="V1416" i="2"/>
  <c r="V578" i="2"/>
  <c r="C647" i="4"/>
  <c r="B647" i="4"/>
  <c r="C596" i="4"/>
  <c r="B596" i="4"/>
  <c r="V68" i="2"/>
  <c r="V104" i="2"/>
  <c r="C806" i="4"/>
  <c r="B806" i="4"/>
  <c r="V2242" i="2"/>
  <c r="V422" i="2"/>
  <c r="V109" i="2"/>
  <c r="C742" i="4"/>
  <c r="B742" i="4"/>
  <c r="V4461" i="2"/>
  <c r="V119" i="2"/>
  <c r="C912" i="4"/>
  <c r="B912" i="4"/>
  <c r="V3855" i="2"/>
  <c r="V1861" i="2"/>
  <c r="V1972" i="2"/>
  <c r="V124" i="2"/>
  <c r="C643" i="4"/>
  <c r="B643" i="4"/>
  <c r="V3120" i="2"/>
  <c r="V2978" i="2"/>
  <c r="V858" i="2"/>
  <c r="V1513" i="2"/>
  <c r="C589" i="4"/>
  <c r="B589" i="4"/>
  <c r="V1794" i="2"/>
  <c r="C628" i="4"/>
  <c r="B628" i="4"/>
  <c r="V4317" i="2"/>
  <c r="V3716" i="2"/>
  <c r="V3034" i="2"/>
  <c r="V244" i="2"/>
  <c r="C798" i="4"/>
  <c r="B798" i="4"/>
  <c r="V4478" i="2"/>
  <c r="V1886" i="2"/>
  <c r="V2109" i="2"/>
  <c r="V276" i="2"/>
  <c r="C987" i="4"/>
  <c r="B987" i="4"/>
  <c r="V291" i="2"/>
  <c r="V2737" i="2"/>
  <c r="V2105" i="2"/>
  <c r="V1040" i="2"/>
  <c r="C413" i="4"/>
  <c r="B413" i="4"/>
  <c r="V3492" i="2"/>
  <c r="V303" i="2"/>
  <c r="V2539" i="2"/>
  <c r="V2054" i="2"/>
  <c r="C122" i="4"/>
  <c r="B122" i="4"/>
  <c r="V324" i="2"/>
  <c r="C150" i="4"/>
  <c r="B150" i="4"/>
  <c r="V2797" i="2"/>
  <c r="V357" i="2"/>
  <c r="V373" i="2"/>
  <c r="C910" i="4"/>
  <c r="B910" i="4"/>
  <c r="V4653" i="2"/>
  <c r="V389" i="2"/>
  <c r="V1321" i="2"/>
  <c r="C906" i="4"/>
  <c r="B906" i="4"/>
  <c r="V423" i="2"/>
  <c r="V2437" i="2"/>
  <c r="V2312" i="2"/>
  <c r="V1770" i="2"/>
  <c r="V428" i="2"/>
  <c r="C434" i="4"/>
  <c r="B434" i="4"/>
  <c r="V4620" i="2"/>
  <c r="V445" i="2"/>
  <c r="V484" i="2"/>
  <c r="B320" i="4"/>
  <c r="C320" i="4"/>
  <c r="V4888" i="2"/>
  <c r="V495" i="2"/>
  <c r="V502" i="2"/>
  <c r="C566" i="4"/>
  <c r="B566" i="4"/>
  <c r="C776" i="4"/>
  <c r="B776" i="4"/>
  <c r="V1128" i="2"/>
  <c r="V1388" i="2"/>
  <c r="V517" i="2"/>
  <c r="C857" i="4"/>
  <c r="B857" i="4"/>
  <c r="V774" i="2"/>
  <c r="V1210" i="2"/>
  <c r="V529" i="2"/>
  <c r="C21" i="4"/>
  <c r="B21" i="4"/>
  <c r="V3734" i="2"/>
  <c r="V3720" i="2"/>
  <c r="V540" i="2"/>
  <c r="C824" i="4"/>
  <c r="B824" i="4"/>
  <c r="V552" i="2"/>
  <c r="V568" i="2"/>
  <c r="V580" i="2"/>
  <c r="V591" i="2"/>
  <c r="V2022" i="2"/>
  <c r="V1277" i="2"/>
  <c r="V1592" i="2"/>
  <c r="V597" i="2"/>
  <c r="B270" i="4"/>
  <c r="C270" i="4"/>
  <c r="V631" i="2"/>
  <c r="C577" i="4"/>
  <c r="B577" i="4"/>
  <c r="V3955" i="2"/>
  <c r="V1398" i="2"/>
  <c r="V636" i="2"/>
  <c r="C283" i="4"/>
  <c r="B283" i="4"/>
  <c r="V2358" i="2"/>
  <c r="V2334" i="2"/>
  <c r="V648" i="2"/>
  <c r="V756" i="2"/>
  <c r="V936" i="2"/>
  <c r="V965" i="2"/>
  <c r="B967" i="4"/>
  <c r="C967" i="4"/>
  <c r="V2360" i="2"/>
  <c r="V1032" i="2"/>
  <c r="V1076" i="2"/>
  <c r="V1425" i="2"/>
  <c r="V1521" i="2"/>
  <c r="C965" i="4"/>
  <c r="B965" i="4"/>
  <c r="V4605" i="2"/>
  <c r="V2094" i="2"/>
  <c r="V261" i="2"/>
  <c r="C953" i="4"/>
  <c r="B953" i="4"/>
  <c r="V4377" i="2"/>
  <c r="V2531" i="2"/>
  <c r="V337" i="2"/>
  <c r="V85" i="2"/>
  <c r="C452" i="4"/>
  <c r="B452" i="4"/>
  <c r="V3205" i="2"/>
  <c r="V111" i="2"/>
  <c r="C156" i="4"/>
  <c r="B156" i="4"/>
  <c r="V131" i="2"/>
  <c r="V2368" i="2"/>
  <c r="V1484" i="2"/>
  <c r="C481" i="4"/>
  <c r="B481" i="4"/>
  <c r="V1961" i="2"/>
  <c r="V60" i="2"/>
  <c r="V1248" i="2"/>
  <c r="C390" i="4"/>
  <c r="B390" i="4"/>
  <c r="V3704" i="2"/>
  <c r="V3461" i="2"/>
  <c r="V848" i="2"/>
  <c r="V614" i="2"/>
  <c r="V188" i="2"/>
  <c r="C239" i="4"/>
  <c r="B239" i="4"/>
  <c r="V3002" i="2"/>
  <c r="V199" i="2"/>
  <c r="V76" i="2"/>
  <c r="C138" i="4"/>
  <c r="B138" i="4"/>
  <c r="V143" i="2"/>
  <c r="V1366" i="2"/>
  <c r="B205" i="4"/>
  <c r="C205" i="4"/>
  <c r="V189" i="2"/>
  <c r="V1088" i="2"/>
  <c r="C560" i="4"/>
  <c r="B560" i="4"/>
  <c r="V3441" i="2"/>
  <c r="V2120" i="2"/>
  <c r="V209" i="2"/>
  <c r="C692" i="4"/>
  <c r="B692" i="4"/>
  <c r="V215" i="2"/>
  <c r="V1228" i="2"/>
  <c r="B196" i="4"/>
  <c r="C196" i="4"/>
  <c r="V2765" i="2"/>
  <c r="V317" i="2"/>
  <c r="B225" i="4"/>
  <c r="C225" i="4"/>
  <c r="V4063" i="2"/>
  <c r="V3737" i="2"/>
  <c r="V399" i="2"/>
  <c r="V1888" i="2"/>
  <c r="V2338" i="2"/>
  <c r="V929" i="2"/>
  <c r="V4" i="2"/>
  <c r="B10" i="3" s="1"/>
  <c r="V12" i="2"/>
  <c r="V24" i="2"/>
  <c r="V72" i="2"/>
  <c r="C3" i="4"/>
  <c r="B3" i="4"/>
  <c r="V2984" i="2"/>
  <c r="V92" i="2"/>
  <c r="C853" i="4"/>
  <c r="B853" i="4"/>
  <c r="V1034" i="2"/>
  <c r="C385" i="4"/>
  <c r="B385" i="4"/>
  <c r="V4693" i="2"/>
  <c r="V67" i="2"/>
  <c r="V149" i="2"/>
  <c r="C760" i="4"/>
  <c r="B760" i="4"/>
  <c r="V1678" i="2"/>
  <c r="V180" i="2"/>
  <c r="V1577" i="2"/>
  <c r="C685" i="4"/>
  <c r="B685" i="4"/>
  <c r="V195" i="2"/>
  <c r="B183" i="4"/>
  <c r="C183" i="4"/>
  <c r="V4993" i="2"/>
  <c r="V308" i="2"/>
  <c r="V335" i="2"/>
  <c r="C6" i="4"/>
  <c r="B6" i="4"/>
  <c r="V1429" i="2"/>
  <c r="C848" i="4"/>
  <c r="B848" i="4"/>
  <c r="V191" i="2"/>
  <c r="B571" i="4"/>
  <c r="C571" i="4"/>
  <c r="V2126" i="2"/>
  <c r="V560" i="2"/>
  <c r="V1606" i="2"/>
  <c r="V1452" i="2"/>
  <c r="V196" i="2"/>
  <c r="V222" i="2"/>
  <c r="C615" i="4"/>
  <c r="B615" i="4"/>
  <c r="V4515" i="2"/>
  <c r="V227" i="2"/>
  <c r="V2749" i="2"/>
  <c r="C313" i="4"/>
  <c r="B313" i="4"/>
  <c r="V2209" i="2"/>
  <c r="V966" i="2"/>
  <c r="V69" i="2"/>
  <c r="C933" i="4"/>
  <c r="B933" i="4"/>
  <c r="V3616" i="2"/>
  <c r="V84" i="2"/>
  <c r="C696" i="4"/>
  <c r="B696" i="4"/>
  <c r="V4951" i="2"/>
  <c r="V99" i="2"/>
  <c r="B215" i="4"/>
  <c r="C215" i="4"/>
  <c r="V1921" i="2"/>
  <c r="V125" i="2"/>
  <c r="V1016" i="2"/>
  <c r="C829" i="4"/>
  <c r="B829" i="4"/>
  <c r="V214" i="2"/>
  <c r="V140" i="2"/>
  <c r="V145" i="2"/>
  <c r="V181" i="2"/>
  <c r="C854" i="4"/>
  <c r="B854" i="4"/>
  <c r="V4841" i="2"/>
  <c r="V2313" i="2"/>
  <c r="V197" i="2"/>
  <c r="V207" i="2"/>
  <c r="C521" i="4"/>
  <c r="B521" i="4"/>
  <c r="V2281" i="2"/>
  <c r="V212" i="2"/>
  <c r="B223" i="4"/>
  <c r="C223" i="4"/>
  <c r="V239" i="2"/>
  <c r="V2505" i="2"/>
  <c r="V1457" i="2"/>
  <c r="V1354" i="2"/>
  <c r="C623" i="4"/>
  <c r="B623" i="4"/>
  <c r="V3805" i="2"/>
  <c r="V390" i="2"/>
  <c r="V260" i="2"/>
  <c r="C493" i="4"/>
  <c r="B493" i="4"/>
  <c r="V2741" i="2"/>
  <c r="V271" i="2"/>
  <c r="V2030" i="2"/>
  <c r="V2904" i="2"/>
  <c r="V1949" i="2"/>
  <c r="V309" i="2"/>
  <c r="C123" i="4"/>
  <c r="B123" i="4"/>
  <c r="V4727" i="2"/>
  <c r="V3377" i="2"/>
  <c r="V2954" i="2"/>
  <c r="V2198" i="2"/>
  <c r="V325" i="2"/>
  <c r="C103" i="4"/>
  <c r="B103" i="4"/>
  <c r="V4952" i="2"/>
  <c r="V3190" i="2"/>
  <c r="V518" i="2"/>
  <c r="C886" i="4"/>
  <c r="B886" i="4"/>
  <c r="V407" i="2"/>
  <c r="B162" i="4"/>
  <c r="C162" i="4"/>
  <c r="V4872" i="2"/>
  <c r="V2405" i="2"/>
  <c r="V2697" i="2"/>
  <c r="V412" i="2"/>
  <c r="C500" i="4"/>
  <c r="B500" i="4"/>
  <c r="V1334" i="2"/>
  <c r="V2685" i="2"/>
  <c r="V424" i="2"/>
  <c r="V450" i="2"/>
  <c r="V463" i="2"/>
  <c r="V2318" i="2"/>
  <c r="V1245" i="2"/>
  <c r="B157" i="4"/>
  <c r="C157" i="4"/>
  <c r="V2254" i="2"/>
  <c r="V2290" i="2"/>
  <c r="V485" i="2"/>
  <c r="V501" i="2"/>
  <c r="B40" i="4"/>
  <c r="C40" i="4"/>
  <c r="V3612" i="2"/>
  <c r="V2058" i="2"/>
  <c r="V535" i="2"/>
  <c r="V802" i="2"/>
  <c r="V1240" i="2"/>
  <c r="V1790" i="2"/>
  <c r="B318" i="4"/>
  <c r="C318" i="4"/>
  <c r="V1384" i="2"/>
  <c r="V541" i="2"/>
  <c r="C599" i="4"/>
  <c r="B599" i="4"/>
  <c r="V4865" i="2"/>
  <c r="V4777" i="2"/>
  <c r="V1730" i="2"/>
  <c r="V604" i="2"/>
  <c r="V1173" i="2"/>
  <c r="V1565" i="2"/>
  <c r="V626" i="2"/>
  <c r="C781" i="4"/>
  <c r="B781" i="4"/>
  <c r="V637" i="2"/>
  <c r="C221" i="4"/>
  <c r="B221" i="4"/>
  <c r="V4612" i="2"/>
  <c r="V2001" i="2"/>
  <c r="V2788" i="2"/>
  <c r="V825" i="2"/>
  <c r="V677" i="2"/>
  <c r="V1322" i="2"/>
  <c r="V693" i="2"/>
  <c r="V705" i="2"/>
  <c r="V716" i="2"/>
  <c r="C816" i="4"/>
  <c r="B816" i="4"/>
  <c r="V3514" i="2"/>
  <c r="V3409" i="2"/>
  <c r="V739" i="2"/>
  <c r="C391" i="4"/>
  <c r="B391" i="4"/>
  <c r="V751" i="2"/>
  <c r="V2264" i="2"/>
  <c r="V773" i="2"/>
  <c r="V785" i="2"/>
  <c r="C687" i="4"/>
  <c r="B687" i="4"/>
  <c r="V3420" i="2"/>
  <c r="V2432" i="2"/>
  <c r="V2248" i="2"/>
  <c r="V1873" i="2"/>
  <c r="V820" i="2"/>
  <c r="B73" i="4"/>
  <c r="C73" i="4"/>
  <c r="V3863" i="2"/>
  <c r="V837" i="2"/>
  <c r="V2230" i="2"/>
  <c r="V2508" i="2"/>
  <c r="V2214" i="2"/>
  <c r="V901" i="2"/>
  <c r="B133" i="4"/>
  <c r="C133" i="4"/>
  <c r="V3260" i="2"/>
  <c r="V1537" i="2"/>
  <c r="V913" i="2"/>
  <c r="C144" i="4"/>
  <c r="B144" i="4"/>
  <c r="V2161" i="2"/>
  <c r="V1046" i="2"/>
  <c r="V977" i="2"/>
  <c r="V989" i="2"/>
  <c r="V1120" i="2"/>
  <c r="V1160" i="2"/>
  <c r="V1576" i="2"/>
  <c r="V1716" i="2"/>
  <c r="V519" i="2"/>
  <c r="V910" i="2"/>
  <c r="C651" i="4"/>
  <c r="B651" i="4"/>
  <c r="V3184" i="2"/>
  <c r="V593" i="2"/>
  <c r="V599" i="2"/>
  <c r="C58" i="4"/>
  <c r="B58" i="4"/>
  <c r="V3144" i="2"/>
  <c r="V605" i="2"/>
  <c r="V655" i="2"/>
  <c r="B167" i="4"/>
  <c r="C167" i="4"/>
  <c r="V2237" i="2"/>
  <c r="V846" i="2"/>
  <c r="V712" i="2"/>
  <c r="V768" i="2"/>
  <c r="V791" i="2"/>
  <c r="V1181" i="2"/>
  <c r="C711" i="4"/>
  <c r="B711" i="4"/>
  <c r="V2274" i="2"/>
  <c r="V797" i="2"/>
  <c r="C164" i="4"/>
  <c r="B164" i="4"/>
  <c r="V4748" i="2"/>
  <c r="V4799" i="2"/>
  <c r="V855" i="2"/>
  <c r="C823" i="4"/>
  <c r="B823" i="4"/>
  <c r="V4691" i="2"/>
  <c r="V4663" i="2"/>
  <c r="V3289" i="2"/>
  <c r="V861" i="2"/>
  <c r="V1714" i="2"/>
  <c r="V1161" i="2"/>
  <c r="V1265" i="2"/>
  <c r="B303" i="4"/>
  <c r="C303" i="4"/>
  <c r="V2330" i="2"/>
  <c r="C900" i="4"/>
  <c r="B900" i="4"/>
  <c r="V1091" i="2"/>
  <c r="V2173" i="2"/>
  <c r="C332" i="4"/>
  <c r="B332" i="4"/>
  <c r="V1989" i="2"/>
  <c r="V2306" i="2"/>
  <c r="V1119" i="2"/>
  <c r="C137" i="4"/>
  <c r="B137" i="4"/>
  <c r="V3837" i="2"/>
  <c r="V1143" i="2"/>
  <c r="C838" i="4"/>
  <c r="B838" i="4"/>
  <c r="V3906" i="2"/>
  <c r="V1148" i="2"/>
  <c r="C462" i="4"/>
  <c r="B462" i="4"/>
  <c r="V3640" i="2"/>
  <c r="B72" i="4"/>
  <c r="C72" i="4"/>
  <c r="V4627" i="2"/>
  <c r="V4313" i="2"/>
  <c r="V3266" i="2"/>
  <c r="V1191" i="2"/>
  <c r="V2536" i="2"/>
  <c r="C212" i="4"/>
  <c r="B212" i="4"/>
  <c r="V4438" i="2"/>
  <c r="C27" i="4"/>
  <c r="B27" i="4"/>
  <c r="V1219" i="2"/>
  <c r="C309" i="4"/>
  <c r="B309" i="4"/>
  <c r="V3001" i="2"/>
  <c r="V1897" i="2"/>
  <c r="V1238" i="2"/>
  <c r="V1243" i="2"/>
  <c r="C956" i="4"/>
  <c r="B956" i="4"/>
  <c r="V3993" i="2"/>
  <c r="V3202" i="2"/>
  <c r="V2593" i="2"/>
  <c r="V1293" i="2"/>
  <c r="C889" i="4"/>
  <c r="B889" i="4"/>
  <c r="V4759" i="2"/>
  <c r="V1315" i="2"/>
  <c r="V3118" i="2"/>
  <c r="V1337" i="2"/>
  <c r="V1379" i="2"/>
  <c r="V1411" i="2"/>
  <c r="C611" i="4"/>
  <c r="B611" i="4"/>
  <c r="V1462" i="2"/>
  <c r="V1444" i="2"/>
  <c r="V1455" i="2"/>
  <c r="V2090" i="2"/>
  <c r="B178" i="4"/>
  <c r="C178" i="4"/>
  <c r="V1471" i="2"/>
  <c r="V1476" i="2"/>
  <c r="V1481" i="2"/>
  <c r="B96" i="4"/>
  <c r="C96" i="4"/>
  <c r="V1487" i="2"/>
  <c r="V1497" i="2"/>
  <c r="C748" i="4"/>
  <c r="B748" i="4"/>
  <c r="C208" i="4"/>
  <c r="B208" i="4"/>
  <c r="V4095" i="2"/>
  <c r="V4266" i="2"/>
  <c r="V1614" i="2"/>
  <c r="V1549" i="2"/>
  <c r="V2329" i="2"/>
  <c r="B368" i="4"/>
  <c r="C368" i="4"/>
  <c r="V1591" i="2"/>
  <c r="C83" i="4"/>
  <c r="B83" i="4"/>
  <c r="V4585" i="2"/>
  <c r="V3008" i="2"/>
  <c r="V3201" i="2"/>
  <c r="V1645" i="2"/>
  <c r="V2688" i="2"/>
  <c r="C33" i="4"/>
  <c r="B33" i="4"/>
  <c r="V1667" i="2"/>
  <c r="C586" i="4"/>
  <c r="B586" i="4"/>
  <c r="V1679" i="2"/>
  <c r="V1724" i="2"/>
  <c r="V1746" i="2"/>
  <c r="V1751" i="2"/>
  <c r="V1795" i="2"/>
  <c r="V1860" i="2"/>
  <c r="V1928" i="2"/>
  <c r="V1960" i="2"/>
  <c r="V2128" i="2"/>
  <c r="V2172" i="2"/>
  <c r="V2260" i="2"/>
  <c r="V2364" i="2"/>
  <c r="V2548" i="2"/>
  <c r="B671" i="4"/>
  <c r="C671" i="4"/>
  <c r="V255" i="2"/>
  <c r="V1837" i="2"/>
  <c r="B112" i="4"/>
  <c r="C112" i="4"/>
  <c r="V3806" i="2"/>
  <c r="V2284" i="2"/>
  <c r="C637" i="4"/>
  <c r="B637" i="4"/>
  <c r="V3130" i="2"/>
  <c r="V287" i="2"/>
  <c r="C729" i="4"/>
  <c r="B729" i="4"/>
  <c r="C897" i="4"/>
  <c r="B897" i="4"/>
  <c r="V4508" i="2"/>
  <c r="V319" i="2"/>
  <c r="V2344" i="2"/>
  <c r="C945" i="4"/>
  <c r="B945" i="4"/>
  <c r="V4340" i="2"/>
  <c r="V2390" i="2"/>
  <c r="V1942" i="2"/>
  <c r="C636" i="4"/>
  <c r="B636" i="4"/>
  <c r="V351" i="2"/>
  <c r="V1920" i="2"/>
  <c r="C936" i="4"/>
  <c r="B936" i="4"/>
  <c r="C675" i="4"/>
  <c r="B675" i="4"/>
  <c r="V415" i="2"/>
  <c r="V2322" i="2"/>
  <c r="V2487" i="2"/>
  <c r="V1981" i="2"/>
  <c r="C512" i="4"/>
  <c r="B512" i="4"/>
  <c r="V2624" i="2"/>
  <c r="C952" i="4"/>
  <c r="B952" i="4"/>
  <c r="V3281" i="2"/>
  <c r="V511" i="2"/>
  <c r="V1809" i="2"/>
  <c r="C976" i="4"/>
  <c r="B976" i="4"/>
  <c r="V543" i="2"/>
  <c r="C518" i="4"/>
  <c r="B518" i="4"/>
  <c r="V671" i="2"/>
  <c r="B179" i="4"/>
  <c r="C179" i="4"/>
  <c r="V703" i="2"/>
  <c r="V1969" i="2"/>
  <c r="V1854" i="2"/>
  <c r="C394" i="4"/>
  <c r="B394" i="4"/>
  <c r="V4503" i="2"/>
  <c r="V2362" i="2"/>
  <c r="V2880" i="2"/>
  <c r="C381" i="4"/>
  <c r="B381" i="4"/>
  <c r="V799" i="2"/>
  <c r="C480" i="4"/>
  <c r="B480" i="4"/>
  <c r="V2314" i="2"/>
  <c r="B233" i="4"/>
  <c r="C233" i="4"/>
  <c r="V3634" i="2"/>
  <c r="V831" i="2"/>
  <c r="V1816" i="2"/>
  <c r="B648" i="4"/>
  <c r="C648" i="4"/>
  <c r="V3301" i="2"/>
  <c r="V3318" i="2"/>
  <c r="C814" i="4"/>
  <c r="B814" i="4"/>
  <c r="V2744" i="2"/>
  <c r="C227" i="4"/>
  <c r="B227" i="4"/>
  <c r="V3672" i="2"/>
  <c r="V927" i="2"/>
  <c r="V1422" i="2"/>
  <c r="C437" i="4"/>
  <c r="B437" i="4"/>
  <c r="V4452" i="2"/>
  <c r="V1486" i="2"/>
  <c r="B9" i="4"/>
  <c r="C9" i="4"/>
  <c r="V4390" i="2"/>
  <c r="V959" i="2"/>
  <c r="V1713" i="2"/>
  <c r="V991" i="2"/>
  <c r="C446" i="4"/>
  <c r="B446" i="4"/>
  <c r="V4571" i="2"/>
  <c r="V4177" i="2"/>
  <c r="V1914" i="2"/>
  <c r="V1023" i="2"/>
  <c r="C402" i="4"/>
  <c r="B402" i="4"/>
  <c r="V1050" i="2"/>
  <c r="V1055" i="2"/>
  <c r="V1073" i="2"/>
  <c r="C909" i="4"/>
  <c r="B909" i="4"/>
  <c r="V1087" i="2"/>
  <c r="V1982" i="2"/>
  <c r="V2793" i="2"/>
  <c r="V1105" i="2"/>
  <c r="V1124" i="2"/>
  <c r="B92" i="4"/>
  <c r="C92" i="4"/>
  <c r="V1163" i="2"/>
  <c r="V1172" i="2"/>
  <c r="C785" i="4"/>
  <c r="B785" i="4"/>
  <c r="V4925" i="2"/>
  <c r="V3437" i="2"/>
  <c r="V1876" i="2"/>
  <c r="V1196" i="2"/>
  <c r="V1690" i="2"/>
  <c r="V2453" i="2"/>
  <c r="V1205" i="2"/>
  <c r="V1215" i="2"/>
  <c r="V1229" i="2"/>
  <c r="V1234" i="2"/>
  <c r="V1239" i="2"/>
  <c r="V2053" i="2"/>
  <c r="V1244" i="2"/>
  <c r="V1263" i="2"/>
  <c r="V1273" i="2"/>
  <c r="V1283" i="2"/>
  <c r="V1305" i="2"/>
  <c r="V1316" i="2"/>
  <c r="V1327" i="2"/>
  <c r="V1343" i="2"/>
  <c r="V1348" i="2"/>
  <c r="C835" i="4"/>
  <c r="B835" i="4"/>
  <c r="V4264" i="2"/>
  <c r="V3498" i="2"/>
  <c r="V1369" i="2"/>
  <c r="C14" i="4"/>
  <c r="B14" i="4"/>
  <c r="V4992" i="2"/>
  <c r="V1380" i="2"/>
  <c r="C901" i="4"/>
  <c r="B901" i="4"/>
  <c r="V4937" i="2"/>
  <c r="V1391" i="2"/>
  <c r="V1412" i="2"/>
  <c r="V1423" i="2"/>
  <c r="B88" i="4"/>
  <c r="C88" i="4"/>
  <c r="V1439" i="2"/>
  <c r="V2170" i="2"/>
  <c r="V1445" i="2"/>
  <c r="V1456" i="2"/>
  <c r="V1488" i="2"/>
  <c r="V1503" i="2"/>
  <c r="V1519" i="2"/>
  <c r="V1524" i="2"/>
  <c r="V1529" i="2"/>
  <c r="V1539" i="2"/>
  <c r="V1581" i="2"/>
  <c r="V1613" i="2"/>
  <c r="V1624" i="2"/>
  <c r="V1635" i="2"/>
  <c r="V1657" i="2"/>
  <c r="V1668" i="2"/>
  <c r="V1680" i="2"/>
  <c r="V1685" i="2"/>
  <c r="V1719" i="2"/>
  <c r="C28" i="3"/>
  <c r="C25" i="3"/>
  <c r="V1736" i="2"/>
  <c r="V1768" i="2"/>
  <c r="V1796" i="2"/>
  <c r="V1801" i="2"/>
  <c r="V1948" i="2"/>
  <c r="V1968" i="2"/>
  <c r="V2004" i="2"/>
  <c r="V2024" i="2"/>
  <c r="V2288" i="2"/>
  <c r="V2372" i="2"/>
  <c r="V2449" i="2"/>
  <c r="V2600" i="2"/>
  <c r="V2635" i="2"/>
  <c r="B943" i="4"/>
  <c r="C943" i="4"/>
  <c r="V223" i="2"/>
  <c r="V2394" i="2"/>
  <c r="C667" i="4"/>
  <c r="B667" i="4"/>
  <c r="V3066" i="2"/>
  <c r="C842" i="4"/>
  <c r="B842" i="4"/>
  <c r="V2447" i="2"/>
  <c r="V2796" i="2"/>
  <c r="C467" i="4"/>
  <c r="B467" i="4"/>
  <c r="V3408" i="2"/>
  <c r="B52" i="4"/>
  <c r="C52" i="4"/>
  <c r="V575" i="2"/>
  <c r="V1454" i="2"/>
  <c r="V607" i="2"/>
  <c r="C782" i="4"/>
  <c r="B782" i="4"/>
  <c r="C793" i="4"/>
  <c r="B793" i="4"/>
  <c r="C431" i="4"/>
  <c r="B431" i="4"/>
  <c r="V3505" i="2"/>
  <c r="V4010" i="2"/>
  <c r="V1934" i="2"/>
  <c r="B93" i="4"/>
  <c r="C93" i="4"/>
  <c r="C114" i="4"/>
  <c r="B114" i="4"/>
  <c r="V735" i="2"/>
  <c r="V2222" i="2"/>
  <c r="C497" i="4"/>
  <c r="B497" i="4"/>
  <c r="V2455" i="2"/>
  <c r="C753" i="4"/>
  <c r="B753" i="4"/>
  <c r="V4856" i="2"/>
  <c r="V3226" i="2"/>
  <c r="V767" i="2"/>
  <c r="C277" i="4"/>
  <c r="B277" i="4"/>
  <c r="C870" i="4"/>
  <c r="B870" i="4"/>
  <c r="C496" i="4"/>
  <c r="B496" i="4"/>
  <c r="V3766" i="2"/>
  <c r="V3705" i="2"/>
  <c r="V863" i="2"/>
  <c r="B298" i="4"/>
  <c r="C298" i="4"/>
  <c r="V2476" i="2"/>
  <c r="V2705" i="2"/>
  <c r="V2218" i="2"/>
  <c r="B181" i="4"/>
  <c r="C181" i="4"/>
  <c r="V1745" i="2"/>
  <c r="C432" i="4"/>
  <c r="B432" i="4"/>
  <c r="E59" i="3"/>
  <c r="D59" i="3"/>
  <c r="K59" i="3" s="1"/>
  <c r="C71" i="4"/>
  <c r="B71" i="4"/>
  <c r="E61" i="3"/>
  <c r="D61" i="3"/>
  <c r="K61" i="3" s="1"/>
  <c r="V4087" i="2"/>
  <c r="V2464" i="2"/>
  <c r="B121" i="4"/>
  <c r="C121" i="4"/>
  <c r="C455" i="4"/>
  <c r="B455" i="4"/>
  <c r="V2377" i="2"/>
  <c r="C862" i="4"/>
  <c r="B862" i="4"/>
  <c r="V3194" i="2"/>
  <c r="V2528" i="2"/>
  <c r="B306" i="4"/>
  <c r="C306" i="4"/>
  <c r="V2421" i="2"/>
  <c r="C411" i="4"/>
  <c r="B411" i="4"/>
  <c r="V4960" i="2"/>
  <c r="V3597" i="2"/>
  <c r="V2825" i="2"/>
  <c r="V2048" i="2"/>
  <c r="V2297" i="2"/>
  <c r="C946" i="4"/>
  <c r="B946" i="4"/>
  <c r="V3312" i="2"/>
  <c r="V2452" i="2"/>
  <c r="C311" i="4"/>
  <c r="B311" i="4"/>
  <c r="V4205" i="2"/>
  <c r="B847" i="4"/>
  <c r="C847" i="4"/>
  <c r="C507" i="4"/>
  <c r="B507" i="4"/>
  <c r="V2757" i="2"/>
  <c r="C966" i="4"/>
  <c r="B966" i="4"/>
  <c r="V2388" i="2"/>
  <c r="C681" i="4"/>
  <c r="B681" i="4"/>
  <c r="V4867" i="2"/>
  <c r="V2373" i="2"/>
  <c r="V2333" i="2"/>
  <c r="C563" i="4"/>
  <c r="B563" i="4"/>
  <c r="V1590" i="2"/>
  <c r="C831" i="4"/>
  <c r="B831" i="4"/>
  <c r="C343" i="4"/>
  <c r="B343" i="4"/>
  <c r="V91" i="2"/>
  <c r="B763" i="4"/>
  <c r="C763" i="4"/>
  <c r="V4420" i="2"/>
  <c r="V3749" i="2"/>
  <c r="V2121" i="2"/>
  <c r="B783" i="4"/>
  <c r="C783" i="4"/>
  <c r="V3875" i="2"/>
  <c r="V123" i="2"/>
  <c r="V2408" i="2"/>
  <c r="C377" i="4"/>
  <c r="B377" i="4"/>
  <c r="V4651" i="2"/>
  <c r="C517" i="4"/>
  <c r="B517" i="4"/>
  <c r="V2149" i="2"/>
  <c r="V2189" i="2"/>
  <c r="C29" i="4"/>
  <c r="B29" i="4"/>
  <c r="V155" i="2"/>
  <c r="C920" i="4"/>
  <c r="B920" i="4"/>
  <c r="B678" i="4"/>
  <c r="C678" i="4"/>
  <c r="C786" i="4"/>
  <c r="B786" i="4"/>
  <c r="V187" i="2"/>
  <c r="C550" i="4"/>
  <c r="B550" i="4"/>
  <c r="V4760" i="2"/>
  <c r="C95" i="4"/>
  <c r="B95" i="4"/>
  <c r="C574" i="4"/>
  <c r="B574" i="4"/>
  <c r="V219" i="2"/>
  <c r="C641" i="4"/>
  <c r="B641" i="4"/>
  <c r="V1850" i="2"/>
  <c r="V2346" i="2"/>
  <c r="V228" i="2"/>
  <c r="C635" i="4"/>
  <c r="B635" i="4"/>
  <c r="V251" i="2"/>
  <c r="C603" i="4"/>
  <c r="B603" i="4"/>
  <c r="V269" i="2"/>
  <c r="V283" i="2"/>
  <c r="B218" i="4"/>
  <c r="C218" i="4"/>
  <c r="V3898" i="2"/>
  <c r="V2852" i="2"/>
  <c r="V292" i="2"/>
  <c r="C129" i="4"/>
  <c r="B129" i="4"/>
  <c r="V3464" i="2"/>
  <c r="V3272" i="2"/>
  <c r="V2689" i="2"/>
  <c r="V1868" i="2"/>
  <c r="C874" i="4"/>
  <c r="B874" i="4"/>
  <c r="V315" i="2"/>
  <c r="V2370" i="2"/>
  <c r="B346" i="4"/>
  <c r="C346" i="4"/>
  <c r="V3857" i="2"/>
  <c r="V2221" i="2"/>
  <c r="V2429" i="2"/>
  <c r="V333" i="2"/>
  <c r="V347" i="2"/>
  <c r="C770" i="4"/>
  <c r="B770" i="4"/>
  <c r="V4075" i="2"/>
  <c r="V356" i="2"/>
  <c r="C606" i="4"/>
  <c r="B606" i="4"/>
  <c r="V379" i="2"/>
  <c r="C401" i="4"/>
  <c r="B401" i="4"/>
  <c r="V388" i="2"/>
  <c r="C958" i="4"/>
  <c r="B958" i="4"/>
  <c r="V397" i="2"/>
  <c r="V411" i="2"/>
  <c r="V429" i="2"/>
  <c r="B362" i="4"/>
  <c r="C362" i="4"/>
  <c r="V4753" i="2"/>
  <c r="V443" i="2"/>
  <c r="V1910" i="2"/>
  <c r="V2293" i="2"/>
  <c r="B28" i="4"/>
  <c r="C28" i="4"/>
  <c r="V2424" i="2"/>
  <c r="V461" i="2"/>
  <c r="V475" i="2"/>
  <c r="B286" i="4"/>
  <c r="C286" i="4"/>
  <c r="V3601" i="2"/>
  <c r="V3577" i="2"/>
  <c r="V3578" i="2"/>
  <c r="V507" i="2"/>
  <c r="V1977" i="2"/>
  <c r="C634" i="4"/>
  <c r="B634" i="4"/>
  <c r="V516" i="2"/>
  <c r="C801" i="4"/>
  <c r="B801" i="4"/>
  <c r="V525" i="2"/>
  <c r="B679" i="4"/>
  <c r="C679" i="4"/>
  <c r="V539" i="2"/>
  <c r="V3016" i="2"/>
  <c r="V2583" i="2"/>
  <c r="C397" i="4"/>
  <c r="B397" i="4"/>
  <c r="V3907" i="2"/>
  <c r="V3362" i="2"/>
  <c r="V548" i="2"/>
  <c r="C791" i="4"/>
  <c r="B791" i="4"/>
  <c r="V4635" i="2"/>
  <c r="V1709" i="2"/>
  <c r="V1698" i="2"/>
  <c r="V557" i="2"/>
  <c r="V571" i="2"/>
  <c r="B262" i="4"/>
  <c r="C262" i="4"/>
  <c r="V2543" i="2"/>
  <c r="C982" i="4"/>
  <c r="B982" i="4"/>
  <c r="V3537" i="2"/>
  <c r="C778" i="4"/>
  <c r="B778" i="4"/>
  <c r="V4127" i="2"/>
  <c r="V603" i="2"/>
  <c r="C734" i="4"/>
  <c r="B734" i="4"/>
  <c r="V3394" i="2"/>
  <c r="V1294" i="2"/>
  <c r="V612" i="2"/>
  <c r="V621" i="2"/>
  <c r="C443" i="4"/>
  <c r="B443" i="4"/>
  <c r="V635" i="2"/>
  <c r="V644" i="2"/>
  <c r="C964" i="4"/>
  <c r="B964" i="4"/>
  <c r="V3714" i="2"/>
  <c r="V2374" i="2"/>
  <c r="V653" i="2"/>
  <c r="C750" i="4"/>
  <c r="B750" i="4"/>
  <c r="V4821" i="2"/>
  <c r="V1814" i="2"/>
  <c r="V1894" i="2"/>
  <c r="V676" i="2"/>
  <c r="B684" i="4"/>
  <c r="C684" i="4"/>
  <c r="V3927" i="2"/>
  <c r="V3344" i="2"/>
  <c r="V699" i="2"/>
  <c r="V2158" i="2"/>
  <c r="V708" i="2"/>
  <c r="C832" i="4"/>
  <c r="B832" i="4"/>
  <c r="V717" i="2"/>
  <c r="V731" i="2"/>
  <c r="C612" i="4"/>
  <c r="B612" i="4"/>
  <c r="V3556" i="2"/>
  <c r="V2177" i="2"/>
  <c r="V740" i="2"/>
  <c r="C373" i="4"/>
  <c r="B373" i="4"/>
  <c r="V4333" i="2"/>
  <c r="V4038" i="2"/>
  <c r="V749" i="2"/>
  <c r="V763" i="2"/>
  <c r="V772" i="2"/>
  <c r="C271" i="4"/>
  <c r="B271" i="4"/>
  <c r="V4789" i="2"/>
  <c r="V3754" i="2"/>
  <c r="V3584" i="2"/>
  <c r="V2010" i="2"/>
  <c r="V2444" i="2"/>
  <c r="V781" i="2"/>
  <c r="V795" i="2"/>
  <c r="C26" i="4"/>
  <c r="B26" i="4"/>
  <c r="V1926" i="2"/>
  <c r="V813" i="2"/>
  <c r="C132" i="4"/>
  <c r="B132" i="4"/>
  <c r="V827" i="2"/>
  <c r="C833" i="4"/>
  <c r="B833" i="4"/>
  <c r="V4573" i="2"/>
  <c r="V845" i="2"/>
  <c r="C492" i="4"/>
  <c r="B492" i="4"/>
  <c r="V859" i="2"/>
  <c r="V868" i="2"/>
  <c r="V877" i="2"/>
  <c r="V891" i="2"/>
  <c r="C885" i="4"/>
  <c r="B885" i="4"/>
  <c r="V3974" i="2"/>
  <c r="V909" i="2"/>
  <c r="C876" i="4"/>
  <c r="B876" i="4"/>
  <c r="V923" i="2"/>
  <c r="V3010" i="2"/>
  <c r="V932" i="2"/>
  <c r="C522" i="4"/>
  <c r="B522" i="4"/>
  <c r="V1806" i="2"/>
  <c r="V2671" i="2"/>
  <c r="C725" i="4"/>
  <c r="B725" i="4"/>
  <c r="V1326" i="2"/>
  <c r="V2625" i="2"/>
  <c r="V973" i="2"/>
  <c r="V982" i="2"/>
  <c r="V987" i="2"/>
  <c r="V996" i="2"/>
  <c r="B249" i="4"/>
  <c r="C249" i="4"/>
  <c r="V2202" i="2"/>
  <c r="V2551" i="2"/>
  <c r="V2049" i="2"/>
  <c r="V1019" i="2"/>
  <c r="B104" i="4"/>
  <c r="C104" i="4"/>
  <c r="V1028" i="2"/>
  <c r="V1051" i="2"/>
  <c r="C442" i="4"/>
  <c r="B442" i="4"/>
  <c r="V1083" i="2"/>
  <c r="V1115" i="2"/>
  <c r="V1125" i="2"/>
  <c r="V1135" i="2"/>
  <c r="V1159" i="2"/>
  <c r="V1187" i="2"/>
  <c r="V1192" i="2"/>
  <c r="V1201" i="2"/>
  <c r="V1249" i="2"/>
  <c r="B533" i="4"/>
  <c r="C533" i="4"/>
  <c r="V3280" i="2"/>
  <c r="V1259" i="2"/>
  <c r="V1966" i="2"/>
  <c r="V2575" i="2"/>
  <c r="V3106" i="2"/>
  <c r="V1264" i="2"/>
  <c r="V1279" i="2"/>
  <c r="V2382" i="2"/>
  <c r="V2065" i="2"/>
  <c r="V2069" i="2"/>
  <c r="V1284" i="2"/>
  <c r="V1295" i="2"/>
  <c r="V1300" i="2"/>
  <c r="V1311" i="2"/>
  <c r="C539" i="4"/>
  <c r="B539" i="4"/>
  <c r="V3886" i="2"/>
  <c r="V1317" i="2"/>
  <c r="C5" i="4"/>
  <c r="B5" i="4"/>
  <c r="V1818" i="2"/>
  <c r="V1328" i="2"/>
  <c r="V1338" i="2"/>
  <c r="C407" i="4"/>
  <c r="B407" i="4"/>
  <c r="V2561" i="2"/>
  <c r="V1349" i="2"/>
  <c r="V1359" i="2"/>
  <c r="C259" i="4"/>
  <c r="B259" i="4"/>
  <c r="V3681" i="2"/>
  <c r="V3865" i="2"/>
  <c r="V3528" i="2"/>
  <c r="V1375" i="2"/>
  <c r="V2193" i="2"/>
  <c r="V2699" i="2"/>
  <c r="V1381" i="2"/>
  <c r="V1392" i="2"/>
  <c r="V1402" i="2"/>
  <c r="V1413" i="2"/>
  <c r="V2434" i="2"/>
  <c r="V1424" i="2"/>
  <c r="V1472" i="2"/>
  <c r="V1514" i="2"/>
  <c r="V1520" i="2"/>
  <c r="V1535" i="2"/>
  <c r="V1540" i="2"/>
  <c r="V1561" i="2"/>
  <c r="V1571" i="2"/>
  <c r="V1603" i="2"/>
  <c r="V2513" i="2"/>
  <c r="C929" i="4"/>
  <c r="B929" i="4"/>
  <c r="V2106" i="2"/>
  <c r="V1625" i="2"/>
  <c r="V1630" i="2"/>
  <c r="V1636" i="2"/>
  <c r="V1647" i="2"/>
  <c r="V1669" i="2"/>
  <c r="B174" i="4"/>
  <c r="C174" i="4"/>
  <c r="V2817" i="2"/>
  <c r="V1681" i="2"/>
  <c r="V1725" i="2"/>
  <c r="V1763" i="2"/>
  <c r="V1807" i="2"/>
  <c r="V1916" i="2"/>
  <c r="V1956" i="2"/>
  <c r="V2268" i="2"/>
  <c r="V2380" i="2"/>
  <c r="V2428" i="2"/>
  <c r="V2472" i="2"/>
  <c r="V2495" i="2"/>
  <c r="V2571" i="2"/>
  <c r="B211" i="4"/>
  <c r="C211" i="4"/>
  <c r="V951" i="2"/>
  <c r="V983" i="2"/>
  <c r="C11" i="4"/>
  <c r="B11" i="4"/>
  <c r="V1042" i="2"/>
  <c r="B84" i="4"/>
  <c r="C84" i="4"/>
  <c r="V1047" i="2"/>
  <c r="C35" i="4"/>
  <c r="B35" i="4"/>
  <c r="V1074" i="2"/>
  <c r="V1079" i="2"/>
  <c r="B247" i="4"/>
  <c r="C247" i="4"/>
  <c r="V1111" i="2"/>
  <c r="C538" i="4"/>
  <c r="B538" i="4"/>
  <c r="V4929" i="2"/>
  <c r="V3185" i="2"/>
  <c r="V1116" i="2"/>
  <c r="V1130" i="2"/>
  <c r="V1183" i="2"/>
  <c r="V1211" i="2"/>
  <c r="V1221" i="2"/>
  <c r="B8" i="4"/>
  <c r="C8" i="4"/>
  <c r="V1231" i="2"/>
  <c r="V2342" i="2"/>
  <c r="C360" i="4"/>
  <c r="B360" i="4"/>
  <c r="V4709" i="2"/>
  <c r="V2245" i="2"/>
  <c r="V1870" i="2"/>
  <c r="V2266" i="2"/>
  <c r="V1255" i="2"/>
  <c r="V1274" i="2"/>
  <c r="V1285" i="2"/>
  <c r="V1296" i="2"/>
  <c r="V1306" i="2"/>
  <c r="C837" i="4"/>
  <c r="B837" i="4"/>
  <c r="V1344" i="2"/>
  <c r="V1360" i="2"/>
  <c r="V1408" i="2"/>
  <c r="V1418" i="2"/>
  <c r="V1446" i="2"/>
  <c r="V1451" i="2"/>
  <c r="V1468" i="2"/>
  <c r="V1483" i="2"/>
  <c r="V2636" i="2"/>
  <c r="V1515" i="2"/>
  <c r="V1541" i="2"/>
  <c r="V1551" i="2"/>
  <c r="C375" i="4"/>
  <c r="B375" i="4"/>
  <c r="V4561" i="2"/>
  <c r="V3033" i="2"/>
  <c r="V1567" i="2"/>
  <c r="V1572" i="2"/>
  <c r="V1593" i="2"/>
  <c r="V1598" i="2"/>
  <c r="B927" i="4"/>
  <c r="C927" i="4"/>
  <c r="V3298" i="2"/>
  <c r="V3098" i="2"/>
  <c r="V1604" i="2"/>
  <c r="V2137" i="2"/>
  <c r="V1615" i="2"/>
  <c r="V1631" i="2"/>
  <c r="V1648" i="2"/>
  <c r="V1658" i="2"/>
  <c r="C421" i="4"/>
  <c r="B421" i="4"/>
  <c r="V4292" i="2"/>
  <c r="V1675" i="2"/>
  <c r="V1731" i="2"/>
  <c r="V1737" i="2"/>
  <c r="V1764" i="2"/>
  <c r="C548" i="4"/>
  <c r="B548" i="4"/>
  <c r="V3368" i="2"/>
  <c r="V1808" i="2"/>
  <c r="V1820" i="2"/>
  <c r="V1896" i="2"/>
  <c r="V1904" i="2"/>
  <c r="V1992" i="2"/>
  <c r="V2032" i="2"/>
  <c r="V2108" i="2"/>
  <c r="V2116" i="2"/>
  <c r="V2160" i="2"/>
  <c r="V2396" i="2"/>
  <c r="V2436" i="2"/>
  <c r="V2504" i="2"/>
  <c r="V2673" i="2"/>
  <c r="C275" i="4"/>
  <c r="B275" i="4"/>
  <c r="V4619" i="2"/>
  <c r="V4029" i="2"/>
  <c r="V3024" i="2"/>
  <c r="C23" i="4"/>
  <c r="B23" i="4"/>
  <c r="V4899" i="2"/>
  <c r="V2560" i="2"/>
  <c r="V2326" i="2"/>
  <c r="V2376" i="2"/>
  <c r="C557" i="4"/>
  <c r="B557" i="4"/>
  <c r="V3062" i="2"/>
  <c r="C676" i="4"/>
  <c r="B676" i="4"/>
  <c r="V3036" i="2"/>
  <c r="C774" i="4"/>
  <c r="B774" i="4"/>
  <c r="V2960" i="2"/>
  <c r="V2061" i="2"/>
  <c r="V2088" i="2"/>
  <c r="V1908" i="2"/>
  <c r="B242" i="4"/>
  <c r="C242" i="4"/>
  <c r="V3246" i="2"/>
  <c r="V1905" i="2"/>
  <c r="C166" i="4"/>
  <c r="B166" i="4"/>
  <c r="V3097" i="2"/>
  <c r="C767" i="4"/>
  <c r="B767" i="4"/>
  <c r="V83" i="2"/>
  <c r="V3137" i="2"/>
  <c r="C922" i="4"/>
  <c r="B922" i="4"/>
  <c r="V3706" i="2"/>
  <c r="V2645" i="2"/>
  <c r="C812" i="4"/>
  <c r="B812" i="4"/>
  <c r="V4815" i="2"/>
  <c r="V4486" i="2"/>
  <c r="V3742" i="2"/>
  <c r="V3292" i="2"/>
  <c r="V1869" i="2"/>
  <c r="C695" i="4"/>
  <c r="B695" i="4"/>
  <c r="V115" i="2"/>
  <c r="B335" i="4"/>
  <c r="C335" i="4"/>
  <c r="C489" i="4"/>
  <c r="B489" i="4"/>
  <c r="V3418" i="2"/>
  <c r="V2130" i="2"/>
  <c r="C669" i="4"/>
  <c r="B669" i="4"/>
  <c r="V3269" i="2"/>
  <c r="V147" i="2"/>
  <c r="V2294" i="2"/>
  <c r="C486" i="4"/>
  <c r="B486" i="4"/>
  <c r="V2774" i="2"/>
  <c r="V2156" i="2"/>
  <c r="V2008" i="2"/>
  <c r="C34" i="4"/>
  <c r="B34" i="4"/>
  <c r="V2345" i="2"/>
  <c r="C638" i="4"/>
  <c r="B638" i="4"/>
  <c r="V179" i="2"/>
  <c r="V2655" i="2"/>
  <c r="C758" i="4"/>
  <c r="B758" i="4"/>
  <c r="V1721" i="2"/>
  <c r="C882" i="4"/>
  <c r="B882" i="4"/>
  <c r="V4118" i="2"/>
  <c r="V2400" i="2"/>
  <c r="C37" i="4"/>
  <c r="B37" i="4"/>
  <c r="V3113" i="2"/>
  <c r="V211" i="2"/>
  <c r="B241" i="4"/>
  <c r="C241" i="4"/>
  <c r="V4023" i="2"/>
  <c r="V2577" i="2"/>
  <c r="V2129" i="2"/>
  <c r="V243" i="2"/>
  <c r="C257" i="4"/>
  <c r="B257" i="4"/>
  <c r="C506" i="4"/>
  <c r="B506" i="4"/>
  <c r="V3397" i="2"/>
  <c r="V275" i="2"/>
  <c r="B201" i="4"/>
  <c r="C201" i="4"/>
  <c r="V307" i="2"/>
  <c r="B292" i="4"/>
  <c r="C292" i="4"/>
  <c r="V4617" i="2"/>
  <c r="C745" i="4"/>
  <c r="B745" i="4"/>
  <c r="V334" i="2"/>
  <c r="C146" i="4"/>
  <c r="B146" i="4"/>
  <c r="V4885" i="2"/>
  <c r="V4835" i="2"/>
  <c r="V339" i="2"/>
  <c r="C485" i="4"/>
  <c r="B485" i="4"/>
  <c r="V1973" i="2"/>
  <c r="C978" i="4"/>
  <c r="B978" i="4"/>
  <c r="V4672" i="2"/>
  <c r="V2181" i="2"/>
  <c r="C301" i="4"/>
  <c r="B301" i="4"/>
  <c r="V4374" i="2"/>
  <c r="V371" i="2"/>
  <c r="V2933" i="2"/>
  <c r="B151" i="4"/>
  <c r="C151" i="4"/>
  <c r="V2013" i="2"/>
  <c r="V403" i="2"/>
  <c r="C868" i="4"/>
  <c r="B868" i="4"/>
  <c r="V3781" i="2"/>
  <c r="V4034" i="2"/>
  <c r="C873" i="4"/>
  <c r="B873" i="4"/>
  <c r="V435" i="2"/>
  <c r="V1230" i="2"/>
  <c r="V1993" i="2"/>
  <c r="B665" i="4"/>
  <c r="C665" i="4"/>
  <c r="V3258" i="2"/>
  <c r="V2085" i="2"/>
  <c r="B224" i="4"/>
  <c r="C224" i="4"/>
  <c r="V3065" i="2"/>
  <c r="V2117" i="2"/>
  <c r="V2134" i="2"/>
  <c r="V1785" i="2"/>
  <c r="B171" i="4"/>
  <c r="C171" i="4"/>
  <c r="V4639" i="2"/>
  <c r="V3600" i="2"/>
  <c r="V467" i="2"/>
  <c r="V1933" i="2"/>
  <c r="V1378" i="2"/>
  <c r="B299" i="4"/>
  <c r="C299" i="4"/>
  <c r="V4469" i="2"/>
  <c r="V3854" i="2"/>
  <c r="V3696" i="2"/>
  <c r="V2112" i="2"/>
  <c r="C728" i="4"/>
  <c r="B728" i="4"/>
  <c r="V499" i="2"/>
  <c r="C680" i="4"/>
  <c r="B680" i="4"/>
  <c r="V2520" i="2"/>
  <c r="V2425" i="2"/>
  <c r="C154" i="4"/>
  <c r="B154" i="4"/>
  <c r="V4707" i="2"/>
  <c r="V526" i="2"/>
  <c r="B911" i="4"/>
  <c r="C911" i="4"/>
  <c r="V4055" i="2"/>
  <c r="V3545" i="2"/>
  <c r="V531" i="2"/>
  <c r="V2185" i="2"/>
  <c r="V2034" i="2"/>
  <c r="V2074" i="2"/>
  <c r="C893" i="4"/>
  <c r="B893" i="4"/>
  <c r="V2613" i="2"/>
  <c r="C649" i="4"/>
  <c r="B649" i="4"/>
  <c r="V4336" i="2"/>
  <c r="C149" i="4"/>
  <c r="B149" i="4"/>
  <c r="V563" i="2"/>
  <c r="V2846" i="2"/>
  <c r="V1786" i="2"/>
  <c r="C367" i="4"/>
  <c r="B367" i="4"/>
  <c r="V595" i="2"/>
  <c r="C652" i="4"/>
  <c r="B652" i="4"/>
  <c r="V4981" i="2"/>
  <c r="C470" i="4"/>
  <c r="B470" i="4"/>
  <c r="C484" i="4"/>
  <c r="B484" i="4"/>
  <c r="V3569" i="2"/>
  <c r="V627" i="2"/>
  <c r="C188" i="4"/>
  <c r="B188" i="4"/>
  <c r="C75" i="4"/>
  <c r="B75" i="4"/>
  <c r="V4422" i="2"/>
  <c r="V2893" i="2"/>
  <c r="V659" i="2"/>
  <c r="V2136" i="2"/>
  <c r="C607" i="4"/>
  <c r="B607" i="4"/>
  <c r="V3877" i="2"/>
  <c r="V3048" i="2"/>
  <c r="V691" i="2"/>
  <c r="B89" i="4"/>
  <c r="C89" i="4"/>
  <c r="V2519" i="2"/>
  <c r="V755" i="2"/>
  <c r="C968" i="4"/>
  <c r="B968" i="4"/>
  <c r="V3204" i="2"/>
  <c r="B366" i="4"/>
  <c r="C366" i="4"/>
  <c r="V4735" i="2"/>
  <c r="C176" i="4"/>
  <c r="B176" i="4"/>
  <c r="V3990" i="2"/>
  <c r="V787" i="2"/>
  <c r="V1634" i="2"/>
  <c r="C905" i="4"/>
  <c r="B905" i="4"/>
  <c r="V3778" i="2"/>
  <c r="C841" i="4"/>
  <c r="B841" i="4"/>
  <c r="V1430" i="2"/>
  <c r="B108" i="4"/>
  <c r="C108" i="4"/>
  <c r="V819" i="2"/>
  <c r="C653" i="4"/>
  <c r="B653" i="4"/>
  <c r="V4544" i="2"/>
  <c r="V3322" i="2"/>
  <c r="V851" i="2"/>
  <c r="V1865" i="2"/>
  <c r="V878" i="2"/>
  <c r="V883" i="2"/>
  <c r="B358" i="4"/>
  <c r="C358" i="4"/>
  <c r="V4432" i="2"/>
  <c r="V2849" i="2"/>
  <c r="V1646" i="2"/>
  <c r="V2720" i="2"/>
  <c r="V915" i="2"/>
  <c r="C805" i="4"/>
  <c r="B805" i="4"/>
  <c r="V2952" i="2"/>
  <c r="V1950" i="2"/>
  <c r="V924" i="2"/>
  <c r="V947" i="2"/>
  <c r="C775" i="4"/>
  <c r="B775" i="4"/>
  <c r="V979" i="2"/>
  <c r="B915" i="4"/>
  <c r="C915" i="4"/>
  <c r="V3450" i="2"/>
  <c r="C702" i="4"/>
  <c r="B702" i="4"/>
  <c r="V997" i="2"/>
  <c r="V1011" i="2"/>
  <c r="V1029" i="2"/>
  <c r="B77" i="4"/>
  <c r="C77" i="4"/>
  <c r="C445" i="4"/>
  <c r="B445" i="4"/>
  <c r="V3228" i="2"/>
  <c r="V2700" i="2"/>
  <c r="V1061" i="2"/>
  <c r="V1121" i="2"/>
  <c r="V1126" i="2"/>
  <c r="V1131" i="2"/>
  <c r="V1718" i="2"/>
  <c r="V2197" i="2"/>
  <c r="C357" i="4"/>
  <c r="B357" i="4"/>
  <c r="V4644" i="2"/>
  <c r="V3544" i="2"/>
  <c r="V3624" i="2"/>
  <c r="V1155" i="2"/>
  <c r="V1654" i="2"/>
  <c r="B255" i="4"/>
  <c r="C255" i="4"/>
  <c r="V1207" i="2"/>
  <c r="V2721" i="2"/>
  <c r="V2398" i="2"/>
  <c r="V1212" i="2"/>
  <c r="B4" i="4"/>
  <c r="C4" i="4"/>
  <c r="V2918" i="2"/>
  <c r="V2081" i="2"/>
  <c r="V1236" i="2"/>
  <c r="V1312" i="2"/>
  <c r="C7" i="4"/>
  <c r="B7" i="4"/>
  <c r="V1323" i="2"/>
  <c r="V1329" i="2"/>
  <c r="V1340" i="2"/>
  <c r="V1355" i="2"/>
  <c r="V1376" i="2"/>
  <c r="V1382" i="2"/>
  <c r="B326" i="4"/>
  <c r="C326" i="4"/>
  <c r="V3546" i="2"/>
  <c r="V1387" i="2"/>
  <c r="V1393" i="2"/>
  <c r="V1404" i="2"/>
  <c r="V1419" i="2"/>
  <c r="V1442" i="2"/>
  <c r="V1436" i="2"/>
  <c r="B29" i="3"/>
  <c r="V1463" i="2"/>
  <c r="C575" i="4"/>
  <c r="B575" i="4"/>
  <c r="V4931" i="2"/>
  <c r="V4242" i="2"/>
  <c r="V1473" i="2"/>
  <c r="V1552" i="2"/>
  <c r="V1562" i="2"/>
  <c r="C295" i="4"/>
  <c r="B295" i="4"/>
  <c r="V4083" i="2"/>
  <c r="V1573" i="2"/>
  <c r="V1583" i="2"/>
  <c r="V1599" i="2"/>
  <c r="C794" i="4"/>
  <c r="B794" i="4"/>
  <c r="V3089" i="2"/>
  <c r="V1733" i="2"/>
  <c r="V1605" i="2"/>
  <c r="V1616" i="2"/>
  <c r="V2644" i="2"/>
  <c r="C625" i="4"/>
  <c r="B625" i="4"/>
  <c r="V3845" i="2"/>
  <c r="V2712" i="2"/>
  <c r="C220" i="4"/>
  <c r="B220" i="4"/>
  <c r="V4342" i="2"/>
  <c r="V3610" i="2"/>
  <c r="V1687" i="2"/>
  <c r="V1704" i="2"/>
  <c r="V1726" i="2"/>
  <c r="V1732" i="2"/>
  <c r="V1743" i="2"/>
  <c r="V1775" i="2"/>
  <c r="V1803" i="2"/>
  <c r="V1884" i="2"/>
  <c r="V1924" i="2"/>
  <c r="V2076" i="2"/>
  <c r="V2132" i="2"/>
  <c r="V2196" i="2"/>
  <c r="V2256" i="2"/>
  <c r="V2352" i="2"/>
  <c r="V2404" i="2"/>
  <c r="V2559" i="2"/>
  <c r="V2580" i="2"/>
  <c r="V2653" i="2"/>
  <c r="V2667" i="2"/>
  <c r="C924" i="4"/>
  <c r="B924" i="4"/>
  <c r="V4436" i="2"/>
  <c r="V911" i="2"/>
  <c r="V2677" i="2"/>
  <c r="V2401" i="2"/>
  <c r="V1834" i="2"/>
  <c r="C961" i="4"/>
  <c r="B961" i="4"/>
  <c r="V1390" i="2"/>
  <c r="V2569" i="2"/>
  <c r="V2529" i="2"/>
  <c r="C717" i="4"/>
  <c r="B717" i="4"/>
  <c r="V4221" i="2"/>
  <c r="C454" i="4"/>
  <c r="B454" i="4"/>
  <c r="C840" i="4"/>
  <c r="B840" i="4"/>
  <c r="V3921" i="2"/>
  <c r="V1103" i="2"/>
  <c r="V1127" i="2"/>
  <c r="V1946" i="2"/>
  <c r="V1753" i="2"/>
  <c r="B203" i="4"/>
  <c r="C203" i="4"/>
  <c r="V1165" i="2"/>
  <c r="V1174" i="2"/>
  <c r="C712" i="4"/>
  <c r="B712" i="4"/>
  <c r="V1256" i="2"/>
  <c r="V1276" i="2"/>
  <c r="V1308" i="2"/>
  <c r="C988" i="4"/>
  <c r="B988" i="4"/>
  <c r="V4629" i="2"/>
  <c r="V3789" i="2"/>
  <c r="V1335" i="2"/>
  <c r="V2166" i="2"/>
  <c r="C708" i="4"/>
  <c r="B708" i="4"/>
  <c r="V2958" i="2"/>
  <c r="V1361" i="2"/>
  <c r="C892" i="4"/>
  <c r="B892" i="4"/>
  <c r="V1372" i="2"/>
  <c r="V2748" i="2"/>
  <c r="V1399" i="2"/>
  <c r="V1952" i="2"/>
  <c r="V2549" i="2"/>
  <c r="V2679" i="2"/>
  <c r="V2220" i="2"/>
  <c r="V1666" i="2"/>
  <c r="C474" i="4"/>
  <c r="B474" i="4"/>
  <c r="V1495" i="2"/>
  <c r="V1505" i="2"/>
  <c r="V1516" i="2"/>
  <c r="B12" i="4"/>
  <c r="C12" i="4"/>
  <c r="V1532" i="2"/>
  <c r="V2114" i="2"/>
  <c r="V1881" i="2"/>
  <c r="V2475" i="2"/>
  <c r="V1542" i="2"/>
  <c r="V1584" i="2"/>
  <c r="B344" i="4"/>
  <c r="C344" i="4"/>
  <c r="V1621" i="2"/>
  <c r="V1649" i="2"/>
  <c r="V1660" i="2"/>
  <c r="C769" i="4"/>
  <c r="B769" i="4"/>
  <c r="V1699" i="2"/>
  <c r="V2717" i="2"/>
  <c r="V1978" i="2"/>
  <c r="V1744" i="2"/>
  <c r="V1776" i="2"/>
  <c r="V1781" i="2"/>
  <c r="V1788" i="2"/>
  <c r="C276" i="4"/>
  <c r="B276" i="4"/>
  <c r="V4745" i="2"/>
  <c r="V1815" i="2"/>
  <c r="V2310" i="2"/>
  <c r="V1827" i="2"/>
  <c r="V2691" i="2"/>
  <c r="V1833" i="2"/>
  <c r="V1840" i="2"/>
  <c r="V1852" i="2"/>
  <c r="V1864" i="2"/>
  <c r="V2020" i="2"/>
  <c r="V2056" i="2"/>
  <c r="V2140" i="2"/>
  <c r="V2148" i="2"/>
  <c r="V2204" i="2"/>
  <c r="V2224" i="2"/>
  <c r="V2236" i="2"/>
  <c r="V2545" i="2"/>
  <c r="C663" i="4"/>
  <c r="B663" i="4"/>
  <c r="C498" i="4"/>
  <c r="B498" i="4"/>
  <c r="V975" i="2"/>
  <c r="V2680" i="2"/>
  <c r="V1039" i="2"/>
  <c r="V1141" i="2"/>
  <c r="V1151" i="2"/>
  <c r="V1189" i="2"/>
  <c r="V1251" i="2"/>
  <c r="B312" i="4"/>
  <c r="C312" i="4"/>
  <c r="V1291" i="2"/>
  <c r="C632" i="4"/>
  <c r="B632" i="4"/>
  <c r="V4780" i="2"/>
  <c r="V4011" i="2"/>
  <c r="V3096" i="2"/>
  <c r="C269" i="4"/>
  <c r="F58" i="3"/>
  <c r="B269" i="4"/>
  <c r="E86" i="3"/>
  <c r="C50" i="3"/>
  <c r="E58" i="3"/>
  <c r="D58" i="3"/>
  <c r="K58" i="3" s="1"/>
  <c r="V2365" i="2"/>
  <c r="C22" i="4"/>
  <c r="E60" i="3"/>
  <c r="D60" i="3"/>
  <c r="K60" i="3" s="1"/>
  <c r="B22" i="4"/>
  <c r="V3453" i="2"/>
  <c r="V2948" i="2"/>
  <c r="V2659" i="2"/>
  <c r="V2386" i="2"/>
  <c r="B213" i="4"/>
  <c r="C213" i="4"/>
  <c r="B370" i="4"/>
  <c r="C370" i="4"/>
  <c r="V2970" i="2"/>
  <c r="B130" i="4"/>
  <c r="C130" i="4"/>
  <c r="V4154" i="2"/>
  <c r="V4186" i="2"/>
  <c r="V1929" i="2"/>
  <c r="C341" i="4"/>
  <c r="B341" i="4"/>
  <c r="V4700" i="2"/>
  <c r="V2886" i="2"/>
  <c r="V2113" i="2"/>
  <c r="C383" i="4"/>
  <c r="B383" i="4"/>
  <c r="V4101" i="2"/>
  <c r="V1773" i="2"/>
  <c r="C160" i="4"/>
  <c r="B160" i="4"/>
  <c r="V3970" i="2"/>
  <c r="V3815" i="2"/>
  <c r="V3208" i="2"/>
  <c r="V2770" i="2"/>
  <c r="V2037" i="2"/>
  <c r="C251" i="4"/>
  <c r="B251" i="4"/>
  <c r="V3345" i="2"/>
  <c r="B471" i="4"/>
  <c r="C471" i="4"/>
  <c r="C472" i="4"/>
  <c r="B472" i="4"/>
  <c r="V4824" i="2"/>
  <c r="V4165" i="2"/>
  <c r="B189" i="4"/>
  <c r="C189" i="4"/>
  <c r="V3561" i="2"/>
  <c r="C559" i="4"/>
  <c r="B559" i="4"/>
  <c r="V4713" i="2"/>
  <c r="V4764" i="2"/>
  <c r="C822" i="4"/>
  <c r="B822" i="4"/>
  <c r="V3688" i="2"/>
  <c r="V2406" i="2"/>
  <c r="C888" i="4"/>
  <c r="B888" i="4"/>
  <c r="V75" i="2"/>
  <c r="C451" i="4"/>
  <c r="B451" i="4"/>
  <c r="V3076" i="2"/>
  <c r="V2298" i="2"/>
  <c r="V2443" i="2"/>
  <c r="V1857" i="2"/>
  <c r="C558" i="4"/>
  <c r="B558" i="4"/>
  <c r="V2426" i="2"/>
  <c r="C268" i="4"/>
  <c r="B268" i="4"/>
  <c r="V4294" i="2"/>
  <c r="V3903" i="2"/>
  <c r="V107" i="2"/>
  <c r="C458" i="4"/>
  <c r="B458" i="4"/>
  <c r="C869" i="4"/>
  <c r="B869" i="4"/>
  <c r="C128" i="4"/>
  <c r="B128" i="4"/>
  <c r="V139" i="2"/>
  <c r="V2809" i="2"/>
  <c r="B495" i="4"/>
  <c r="C495" i="4"/>
  <c r="C229" i="4"/>
  <c r="B229" i="4"/>
  <c r="V3697" i="2"/>
  <c r="C719" i="4"/>
  <c r="B719" i="4"/>
  <c r="V3025" i="2"/>
  <c r="V171" i="2"/>
  <c r="B608" i="4"/>
  <c r="C608" i="4"/>
  <c r="V4121" i="2"/>
  <c r="V1940" i="2"/>
  <c r="C395" i="4"/>
  <c r="B395" i="4"/>
  <c r="C727" i="4"/>
  <c r="B727" i="4"/>
  <c r="V4919" i="2"/>
  <c r="V203" i="2"/>
  <c r="V2441" i="2"/>
  <c r="C650" i="4"/>
  <c r="B650" i="4"/>
  <c r="V4037" i="2"/>
  <c r="V1970" i="2"/>
  <c r="B85" i="4"/>
  <c r="C85" i="4"/>
  <c r="V4013" i="2"/>
  <c r="V1985" i="2"/>
  <c r="C345" i="4"/>
  <c r="B345" i="4"/>
  <c r="V4418" i="2"/>
  <c r="V235" i="2"/>
  <c r="C382" i="4"/>
  <c r="B382" i="4"/>
  <c r="V4776" i="2"/>
  <c r="C356" i="4"/>
  <c r="B356" i="4"/>
  <c r="V4773" i="2"/>
  <c r="V2537" i="2"/>
  <c r="B231" i="4"/>
  <c r="C231" i="4"/>
  <c r="V267" i="2"/>
  <c r="V2285" i="2"/>
  <c r="C438" i="4"/>
  <c r="B438" i="4"/>
  <c r="V4244" i="2"/>
  <c r="V3162" i="2"/>
  <c r="C620" i="4"/>
  <c r="B620" i="4"/>
  <c r="V3842" i="2"/>
  <c r="V294" i="2"/>
  <c r="V299" i="2"/>
  <c r="C245" i="4"/>
  <c r="B245" i="4"/>
  <c r="B278" i="4"/>
  <c r="C278" i="4"/>
  <c r="V4779" i="2"/>
  <c r="B655" i="4"/>
  <c r="C655" i="4"/>
  <c r="V4234" i="2"/>
  <c r="V3819" i="2"/>
  <c r="V331" i="2"/>
  <c r="V2124" i="2"/>
  <c r="V2497" i="2"/>
  <c r="B919" i="4"/>
  <c r="C919" i="4"/>
  <c r="V4652" i="2"/>
  <c r="V4525" i="2"/>
  <c r="V363" i="2"/>
  <c r="B871" i="4"/>
  <c r="C871" i="4"/>
  <c r="V4881" i="2"/>
  <c r="V4470" i="2"/>
  <c r="V4290" i="2"/>
  <c r="C10" i="4"/>
  <c r="B10" i="4"/>
  <c r="C419" i="4"/>
  <c r="B419" i="4"/>
  <c r="V395" i="2"/>
  <c r="V2253" i="2"/>
  <c r="C111" i="4"/>
  <c r="B111" i="4"/>
  <c r="V427" i="2"/>
  <c r="B682" i="4"/>
  <c r="C682" i="4"/>
  <c r="V4119" i="2"/>
  <c r="V2861" i="2"/>
  <c r="V2210" i="2"/>
  <c r="V1994" i="2"/>
  <c r="C39" i="4"/>
  <c r="B39" i="4"/>
  <c r="V2200" i="2"/>
  <c r="V454" i="2"/>
  <c r="V459" i="2"/>
  <c r="C50" i="4"/>
  <c r="B50" i="4"/>
  <c r="V4468" i="2"/>
  <c r="V3040" i="2"/>
  <c r="C514" i="4"/>
  <c r="B514" i="4"/>
  <c r="C918" i="4"/>
  <c r="B918" i="4"/>
  <c r="V491" i="2"/>
  <c r="V2349" i="2"/>
  <c r="B127" i="4"/>
  <c r="C127" i="4"/>
  <c r="V1829" i="2"/>
  <c r="B175" i="4"/>
  <c r="C175" i="4"/>
  <c r="V4209" i="2"/>
  <c r="V523" i="2"/>
  <c r="C534" i="4"/>
  <c r="B534" i="4"/>
  <c r="V2829" i="2"/>
  <c r="V2354" i="2"/>
  <c r="C815" i="4"/>
  <c r="B815" i="4"/>
  <c r="V4648" i="2"/>
  <c r="V1848" i="2"/>
  <c r="C949" i="4"/>
  <c r="B949" i="4"/>
  <c r="V555" i="2"/>
  <c r="B347" i="4"/>
  <c r="C347" i="4"/>
  <c r="V3530" i="2"/>
  <c r="V587" i="2"/>
  <c r="C509" i="4"/>
  <c r="B509" i="4"/>
  <c r="V619" i="2"/>
  <c r="B117" i="4"/>
  <c r="C117" i="4"/>
  <c r="V4579" i="2"/>
  <c r="V3813" i="2"/>
  <c r="C989" i="4"/>
  <c r="B989" i="4"/>
  <c r="V4800" i="2"/>
  <c r="V646" i="2"/>
  <c r="B69" i="4"/>
  <c r="C69" i="4"/>
  <c r="V4747" i="2"/>
  <c r="V651" i="2"/>
  <c r="V2848" i="2"/>
  <c r="V683" i="2"/>
  <c r="C333" i="4"/>
  <c r="B333" i="4"/>
  <c r="V2802" i="2"/>
  <c r="V715" i="2"/>
  <c r="V742" i="2"/>
  <c r="C722" i="4"/>
  <c r="B722" i="4"/>
  <c r="V747" i="2"/>
  <c r="B859" i="4"/>
  <c r="C859" i="4"/>
  <c r="V2389" i="2"/>
  <c r="C62" i="4"/>
  <c r="B62" i="4"/>
  <c r="V779" i="2"/>
  <c r="V806" i="2"/>
  <c r="C881" i="4"/>
  <c r="B881" i="4"/>
  <c r="V811" i="2"/>
  <c r="V2057" i="2"/>
  <c r="B515" i="4"/>
  <c r="C515" i="4"/>
  <c r="V3930" i="2"/>
  <c r="V3388" i="2"/>
  <c r="V843" i="2"/>
  <c r="B336" i="4"/>
  <c r="C336" i="4"/>
  <c r="V875" i="2"/>
  <c r="V2607" i="2"/>
  <c r="C707" i="4"/>
  <c r="B707" i="4"/>
  <c r="V2604" i="2"/>
  <c r="V2499" i="2"/>
  <c r="V902" i="2"/>
  <c r="V907" i="2"/>
  <c r="V2456" i="2"/>
  <c r="V1602" i="2"/>
  <c r="B148" i="4"/>
  <c r="C148" i="4"/>
  <c r="V3618" i="2"/>
  <c r="V3354" i="2"/>
  <c r="V1878" i="2"/>
  <c r="V934" i="2"/>
  <c r="V939" i="2"/>
  <c r="V948" i="2"/>
  <c r="V957" i="2"/>
  <c r="V980" i="2"/>
  <c r="B899" i="4"/>
  <c r="C899" i="4"/>
  <c r="V998" i="2"/>
  <c r="V1003" i="2"/>
  <c r="C145" i="4"/>
  <c r="B145" i="4"/>
  <c r="V1030" i="2"/>
  <c r="B640" i="4"/>
  <c r="C640" i="4"/>
  <c r="V4162" i="2"/>
  <c r="V1035" i="2"/>
  <c r="V1044" i="2"/>
  <c r="V1062" i="2"/>
  <c r="C248" i="4"/>
  <c r="B248" i="4"/>
  <c r="V1067" i="2"/>
  <c r="V1986" i="2"/>
  <c r="C755" i="4"/>
  <c r="B755" i="4"/>
  <c r="V3807" i="2"/>
  <c r="V2337" i="2"/>
  <c r="V1094" i="2"/>
  <c r="B731" i="4"/>
  <c r="C731" i="4"/>
  <c r="V1099" i="2"/>
  <c r="V2357" i="2"/>
  <c r="V2186" i="2"/>
  <c r="V1137" i="2"/>
  <c r="V1175" i="2"/>
  <c r="V1180" i="2"/>
  <c r="V1199" i="2"/>
  <c r="B334" i="4"/>
  <c r="C334" i="4"/>
  <c r="V1208" i="2"/>
  <c r="V1213" i="2"/>
  <c r="B214" i="4"/>
  <c r="C214" i="4"/>
  <c r="V3257" i="2"/>
  <c r="V1223" i="2"/>
  <c r="V2162" i="2"/>
  <c r="V2234" i="2"/>
  <c r="V1954" i="2"/>
  <c r="C618" i="4"/>
  <c r="B618" i="4"/>
  <c r="C626" i="4"/>
  <c r="B626" i="4"/>
  <c r="V1247" i="2"/>
  <c r="B226" i="4"/>
  <c r="C226" i="4"/>
  <c r="V3917" i="2"/>
  <c r="V1271" i="2"/>
  <c r="V1506" i="2"/>
  <c r="V1281" i="2"/>
  <c r="V1303" i="2"/>
  <c r="V1330" i="2"/>
  <c r="V1341" i="2"/>
  <c r="V1356" i="2"/>
  <c r="V1367" i="2"/>
  <c r="V1420" i="2"/>
  <c r="V1448" i="2"/>
  <c r="V1453" i="2"/>
  <c r="V1480" i="2"/>
  <c r="V1485" i="2"/>
  <c r="C321" i="4"/>
  <c r="B321" i="4"/>
  <c r="V2961" i="2"/>
  <c r="V1558" i="2"/>
  <c r="V1517" i="2"/>
  <c r="V2316" i="2"/>
  <c r="V2086" i="2"/>
  <c r="V1527" i="2"/>
  <c r="V1564" i="2"/>
  <c r="V1574" i="2"/>
  <c r="V1579" i="2"/>
  <c r="V1600" i="2"/>
  <c r="V1611" i="2"/>
  <c r="V1617" i="2"/>
  <c r="C957" i="4"/>
  <c r="B957" i="4"/>
  <c r="V1628" i="2"/>
  <c r="V1655" i="2"/>
  <c r="V1672" i="2"/>
  <c r="V1677" i="2"/>
  <c r="V1694" i="2"/>
  <c r="V1700" i="2"/>
  <c r="V1705" i="2"/>
  <c r="V1739" i="2"/>
  <c r="V2838" i="2"/>
  <c r="C519" i="4"/>
  <c r="B519" i="4"/>
  <c r="V1771" i="2"/>
  <c r="V1793" i="2"/>
  <c r="V1804" i="2"/>
  <c r="V1828" i="2"/>
  <c r="V1872" i="2"/>
  <c r="V2084" i="2"/>
  <c r="V2212" i="2"/>
  <c r="V2300" i="2"/>
  <c r="V2412" i="2"/>
  <c r="V2507" i="2"/>
  <c r="V2589" i="2"/>
  <c r="V2676" i="2"/>
  <c r="B351" i="4"/>
  <c r="C351" i="4"/>
  <c r="V3983" i="2"/>
  <c r="V551" i="2"/>
  <c r="V569" i="2"/>
  <c r="C765" i="4"/>
  <c r="B765" i="4"/>
  <c r="V583" i="2"/>
  <c r="V1134" i="2"/>
  <c r="V2142" i="2"/>
  <c r="V2392" i="2"/>
  <c r="B48" i="4"/>
  <c r="C48" i="4"/>
  <c r="V2146" i="2"/>
  <c r="V1976" i="2"/>
  <c r="C898" i="4"/>
  <c r="B898" i="4"/>
  <c r="V3967" i="2"/>
  <c r="V615" i="2"/>
  <c r="C744" i="4"/>
  <c r="B744" i="4"/>
  <c r="V1901" i="2"/>
  <c r="B875" i="4"/>
  <c r="C875" i="4"/>
  <c r="C690" i="4"/>
  <c r="B690" i="4"/>
  <c r="V647" i="2"/>
  <c r="V2066" i="2"/>
  <c r="C429" i="4"/>
  <c r="B429" i="4"/>
  <c r="V3795" i="2"/>
  <c r="B322" i="4"/>
  <c r="C322" i="4"/>
  <c r="V4683" i="2"/>
  <c r="C414" i="4"/>
  <c r="B414" i="4"/>
  <c r="V2901" i="2"/>
  <c r="V711" i="2"/>
  <c r="V720" i="2"/>
  <c r="V729" i="2"/>
  <c r="C74" i="4"/>
  <c r="B74" i="4"/>
  <c r="V4963" i="2"/>
  <c r="V4645" i="2"/>
  <c r="V743" i="2"/>
  <c r="V1826" i="2"/>
  <c r="V2369" i="2"/>
  <c r="C683" i="4"/>
  <c r="B683" i="4"/>
  <c r="V4464" i="2"/>
  <c r="V2632" i="2"/>
  <c r="V2080" i="2"/>
  <c r="B863" i="4"/>
  <c r="C863" i="4"/>
  <c r="V4349" i="2"/>
  <c r="V775" i="2"/>
  <c r="C592" i="4"/>
  <c r="B592" i="4"/>
  <c r="V784" i="2"/>
  <c r="C393" i="4"/>
  <c r="B393" i="4"/>
  <c r="V1777" i="2"/>
  <c r="V793" i="2"/>
  <c r="V807" i="2"/>
  <c r="C465" i="4"/>
  <c r="B465" i="4"/>
  <c r="V3741" i="2"/>
  <c r="C43" i="4"/>
  <c r="B43" i="4"/>
  <c r="V1925" i="2"/>
  <c r="V834" i="2"/>
  <c r="B173" i="4"/>
  <c r="C173" i="4"/>
  <c r="C513" i="4"/>
  <c r="B513" i="4"/>
  <c r="V3336" i="2"/>
  <c r="V2814" i="2"/>
  <c r="C70" i="4"/>
  <c r="B70" i="4"/>
  <c r="V3725" i="2"/>
  <c r="V871" i="2"/>
  <c r="C447" i="4"/>
  <c r="B447" i="4"/>
  <c r="V4636" i="2"/>
  <c r="V889" i="2"/>
  <c r="V903" i="2"/>
  <c r="C406" i="4"/>
  <c r="B406" i="4"/>
  <c r="V935" i="2"/>
  <c r="V944" i="2"/>
  <c r="V953" i="2"/>
  <c r="B177" i="4"/>
  <c r="C177" i="4"/>
  <c r="V967" i="2"/>
  <c r="V1710" i="2"/>
  <c r="C733" i="4"/>
  <c r="B733" i="4"/>
  <c r="V2641" i="2"/>
  <c r="V994" i="2"/>
  <c r="V999" i="2"/>
  <c r="C118" i="4"/>
  <c r="B118" i="4"/>
  <c r="V3560" i="2"/>
  <c r="V3755" i="2"/>
  <c r="V2821" i="2"/>
  <c r="B843" i="4"/>
  <c r="C843" i="4"/>
  <c r="V4801" i="2"/>
  <c r="V3965" i="2"/>
  <c r="V3999" i="2"/>
  <c r="V1026" i="2"/>
  <c r="V1031" i="2"/>
  <c r="C860" i="4"/>
  <c r="B860" i="4"/>
  <c r="C82" i="4"/>
  <c r="B82" i="4"/>
  <c r="V4975" i="2"/>
  <c r="V4300" i="2"/>
  <c r="V1058" i="2"/>
  <c r="C94" i="4"/>
  <c r="B94" i="4"/>
  <c r="V1063" i="2"/>
  <c r="C668" i="4"/>
  <c r="B668" i="4"/>
  <c r="B234" i="4"/>
  <c r="C234" i="4"/>
  <c r="V1090" i="2"/>
  <c r="V1095" i="2"/>
  <c r="C984" i="4"/>
  <c r="B984" i="4"/>
  <c r="V2302" i="2"/>
  <c r="V1123" i="2"/>
  <c r="V2557" i="2"/>
  <c r="C542" i="4"/>
  <c r="B542" i="4"/>
  <c r="V4200" i="2"/>
  <c r="V1142" i="2"/>
  <c r="C182" i="4"/>
  <c r="B182" i="4"/>
  <c r="V3799" i="2"/>
  <c r="V3801" i="2"/>
  <c r="V1147" i="2"/>
  <c r="C689" i="4"/>
  <c r="B689" i="4"/>
  <c r="V3918" i="2"/>
  <c r="V1157" i="2"/>
  <c r="V1185" i="2"/>
  <c r="B120" i="4"/>
  <c r="C120" i="4"/>
  <c r="V1195" i="2"/>
  <c r="V1218" i="2"/>
  <c r="V1252" i="2"/>
  <c r="V1309" i="2"/>
  <c r="C464" i="4"/>
  <c r="B464" i="4"/>
  <c r="V4098" i="2"/>
  <c r="V1325" i="2"/>
  <c r="V1352" i="2"/>
  <c r="B139" i="4"/>
  <c r="C139" i="4"/>
  <c r="V1357" i="2"/>
  <c r="V2101" i="2"/>
  <c r="V1373" i="2"/>
  <c r="V1389" i="2"/>
  <c r="V1400" i="2"/>
  <c r="V1421" i="2"/>
  <c r="V1432" i="2"/>
  <c r="C293" i="4"/>
  <c r="B293" i="4"/>
  <c r="V1443" i="2"/>
  <c r="V2647" i="2"/>
  <c r="V2278" i="2"/>
  <c r="V1465" i="2"/>
  <c r="V1475" i="2"/>
  <c r="V1496" i="2"/>
  <c r="V1507" i="2"/>
  <c r="V1548" i="2"/>
  <c r="V1559" i="2"/>
  <c r="V1569" i="2"/>
  <c r="B959" i="4"/>
  <c r="C959" i="4"/>
  <c r="V3080" i="2"/>
  <c r="V1596" i="2"/>
  <c r="V2756" i="2"/>
  <c r="V1623" i="2"/>
  <c r="V1633" i="2"/>
  <c r="C872" i="4"/>
  <c r="B872" i="4"/>
  <c r="V1661" i="2"/>
  <c r="V1684" i="2"/>
  <c r="V1712" i="2"/>
  <c r="V1728" i="2"/>
  <c r="V1734" i="2"/>
  <c r="V1756" i="2"/>
  <c r="V1783" i="2"/>
  <c r="V1789" i="2"/>
  <c r="V1800" i="2"/>
  <c r="V1822" i="2"/>
  <c r="V1835" i="2"/>
  <c r="V1847" i="2"/>
  <c r="V1892" i="2"/>
  <c r="V2164" i="2"/>
  <c r="V2192" i="2"/>
  <c r="V2308" i="2"/>
  <c r="V2324" i="2"/>
  <c r="V2332" i="2"/>
  <c r="V2384" i="2"/>
  <c r="V2484" i="2"/>
  <c r="V1839" i="2"/>
  <c r="C864" i="4"/>
  <c r="B864" i="4"/>
  <c r="V3689" i="2"/>
  <c r="C698" i="4"/>
  <c r="B698" i="4"/>
  <c r="V1871" i="2"/>
  <c r="V1903" i="2"/>
  <c r="V1935" i="2"/>
  <c r="V1967" i="2"/>
  <c r="V1999" i="2"/>
  <c r="V2031" i="2"/>
  <c r="C715" i="4"/>
  <c r="B715" i="4"/>
  <c r="V2063" i="2"/>
  <c r="C436" i="4"/>
  <c r="B436" i="4"/>
  <c r="C581" i="4"/>
  <c r="B581" i="4"/>
  <c r="V2095" i="2"/>
  <c r="C954" i="4"/>
  <c r="B954" i="4"/>
  <c r="V2969" i="2"/>
  <c r="V2159" i="2"/>
  <c r="V2223" i="2"/>
  <c r="V2255" i="2"/>
  <c r="V2287" i="2"/>
  <c r="V2319" i="2"/>
  <c r="V2351" i="2"/>
  <c r="C427" i="4"/>
  <c r="B427" i="4"/>
  <c r="V2383" i="2"/>
  <c r="V2415" i="2"/>
  <c r="V2448" i="2"/>
  <c r="V2459" i="2"/>
  <c r="V2470" i="2"/>
  <c r="C549" i="4"/>
  <c r="B549" i="4"/>
  <c r="V4493" i="2"/>
  <c r="V2486" i="2"/>
  <c r="V2503" i="2"/>
  <c r="V2540" i="2"/>
  <c r="V2562" i="2"/>
  <c r="V2573" i="2"/>
  <c r="V2579" i="2"/>
  <c r="V2606" i="2"/>
  <c r="V2649" i="2"/>
  <c r="V2660" i="2"/>
  <c r="V2682" i="2"/>
  <c r="V2693" i="2"/>
  <c r="V2711" i="2"/>
  <c r="V2780" i="2"/>
  <c r="V2828" i="2"/>
  <c r="V2836" i="2"/>
  <c r="V2856" i="2"/>
  <c r="V2864" i="2"/>
  <c r="V2900" i="2"/>
  <c r="V2914" i="2"/>
  <c r="V2963" i="2"/>
  <c r="V3032" i="2"/>
  <c r="C572" i="4"/>
  <c r="B572" i="4"/>
  <c r="V1867" i="2"/>
  <c r="V1899" i="2"/>
  <c r="V1931" i="2"/>
  <c r="B101" i="4"/>
  <c r="C101" i="4"/>
  <c r="V4145" i="2"/>
  <c r="V3108" i="2"/>
  <c r="V2872" i="2"/>
  <c r="V1963" i="2"/>
  <c r="V1995" i="2"/>
  <c r="V2027" i="2"/>
  <c r="V2036" i="2"/>
  <c r="V2059" i="2"/>
  <c r="C243" i="4"/>
  <c r="B243" i="4"/>
  <c r="V4719" i="2"/>
  <c r="V2068" i="2"/>
  <c r="V2091" i="2"/>
  <c r="C396" i="4"/>
  <c r="B396" i="4"/>
  <c r="V4852" i="2"/>
  <c r="V2100" i="2"/>
  <c r="C580" i="4"/>
  <c r="B580" i="4"/>
  <c r="V2123" i="2"/>
  <c r="V2141" i="2"/>
  <c r="V2155" i="2"/>
  <c r="C329" i="4"/>
  <c r="B329" i="4"/>
  <c r="V4517" i="2"/>
  <c r="V2187" i="2"/>
  <c r="V2219" i="2"/>
  <c r="V2251" i="2"/>
  <c r="V2315" i="2"/>
  <c r="V2347" i="2"/>
  <c r="V2356" i="2"/>
  <c r="V2411" i="2"/>
  <c r="B60" i="4"/>
  <c r="C60" i="4"/>
  <c r="V3777" i="2"/>
  <c r="V2454" i="2"/>
  <c r="V2709" i="2"/>
  <c r="V2460" i="2"/>
  <c r="C491" i="4"/>
  <c r="B491" i="4"/>
  <c r="V2471" i="2"/>
  <c r="B314" i="4"/>
  <c r="C314" i="4"/>
  <c r="V2530" i="2"/>
  <c r="V2541" i="2"/>
  <c r="V2547" i="2"/>
  <c r="V2574" i="2"/>
  <c r="V2617" i="2"/>
  <c r="V2628" i="2"/>
  <c r="V2639" i="2"/>
  <c r="V2650" i="2"/>
  <c r="C730" i="4"/>
  <c r="B730" i="4"/>
  <c r="V2661" i="2"/>
  <c r="V2672" i="2"/>
  <c r="V2683" i="2"/>
  <c r="V2694" i="2"/>
  <c r="V2724" i="2"/>
  <c r="V2736" i="2"/>
  <c r="V2766" i="2"/>
  <c r="V2781" i="2"/>
  <c r="V2800" i="2"/>
  <c r="V2837" i="2"/>
  <c r="V2857" i="2"/>
  <c r="V2894" i="2"/>
  <c r="V2908" i="2"/>
  <c r="V2942" i="2"/>
  <c r="V2980" i="2"/>
  <c r="V3073" i="2"/>
  <c r="V3081" i="2"/>
  <c r="C317" i="4"/>
  <c r="B317" i="4"/>
  <c r="V4907" i="2"/>
  <c r="V3088" i="2"/>
  <c r="V1287" i="2"/>
  <c r="C578" i="4"/>
  <c r="B578" i="4"/>
  <c r="V4832" i="2"/>
  <c r="V1319" i="2"/>
  <c r="B319" i="4"/>
  <c r="C319" i="4"/>
  <c r="B601" i="4"/>
  <c r="C601" i="4"/>
  <c r="V1351" i="2"/>
  <c r="C884" i="4"/>
  <c r="B884" i="4"/>
  <c r="V1383" i="2"/>
  <c r="C807" i="4"/>
  <c r="B807" i="4"/>
  <c r="V4492" i="2"/>
  <c r="V3779" i="2"/>
  <c r="C908" i="4"/>
  <c r="B908" i="4"/>
  <c r="V1415" i="2"/>
  <c r="V1447" i="2"/>
  <c r="C811" i="4"/>
  <c r="B811" i="4"/>
  <c r="V4755" i="2"/>
  <c r="V1479" i="2"/>
  <c r="V1511" i="2"/>
  <c r="V1543" i="2"/>
  <c r="C353" i="4"/>
  <c r="B353" i="4"/>
  <c r="V3866" i="2"/>
  <c r="V1575" i="2"/>
  <c r="C940" i="4"/>
  <c r="B940" i="4"/>
  <c r="V1607" i="2"/>
  <c r="B155" i="4"/>
  <c r="C155" i="4"/>
  <c r="V4229" i="2"/>
  <c r="V3356" i="2"/>
  <c r="V1639" i="2"/>
  <c r="C426" i="4"/>
  <c r="B426" i="4"/>
  <c r="V1671" i="2"/>
  <c r="V1703" i="2"/>
  <c r="V1735" i="2"/>
  <c r="C487" i="4"/>
  <c r="B487" i="4"/>
  <c r="V1767" i="2"/>
  <c r="C739" i="4"/>
  <c r="B739" i="4"/>
  <c r="V4984" i="2"/>
  <c r="V1799" i="2"/>
  <c r="V1831" i="2"/>
  <c r="V1863" i="2"/>
  <c r="C403" i="4"/>
  <c r="B403" i="4"/>
  <c r="V4406" i="2"/>
  <c r="V3240" i="2"/>
  <c r="V1895" i="2"/>
  <c r="V1927" i="2"/>
  <c r="C107" i="4"/>
  <c r="B107" i="4"/>
  <c r="V1936" i="2"/>
  <c r="V1945" i="2"/>
  <c r="V1959" i="2"/>
  <c r="V1991" i="2"/>
  <c r="V2000" i="2"/>
  <c r="V2023" i="2"/>
  <c r="C523" i="4"/>
  <c r="B523" i="4"/>
  <c r="V4400" i="2"/>
  <c r="V2041" i="2"/>
  <c r="V2055" i="2"/>
  <c r="V2064" i="2"/>
  <c r="V2082" i="2"/>
  <c r="V2087" i="2"/>
  <c r="V2096" i="2"/>
  <c r="V2119" i="2"/>
  <c r="V2151" i="2"/>
  <c r="V2178" i="2"/>
  <c r="V2183" i="2"/>
  <c r="V2215" i="2"/>
  <c r="B342" i="4"/>
  <c r="C342" i="4"/>
  <c r="V2247" i="2"/>
  <c r="V2279" i="2"/>
  <c r="V2311" i="2"/>
  <c r="V2343" i="2"/>
  <c r="C78" i="4"/>
  <c r="B78" i="4"/>
  <c r="V3484" i="2"/>
  <c r="V2375" i="2"/>
  <c r="V2402" i="2"/>
  <c r="V2416" i="2"/>
  <c r="V2439" i="2"/>
  <c r="B64" i="4"/>
  <c r="C64" i="4"/>
  <c r="V2498" i="2"/>
  <c r="V2515" i="2"/>
  <c r="V2542" i="2"/>
  <c r="V2596" i="2"/>
  <c r="V2618" i="2"/>
  <c r="V2629" i="2"/>
  <c r="V2640" i="2"/>
  <c r="V2662" i="2"/>
  <c r="V2678" i="2"/>
  <c r="V2684" i="2"/>
  <c r="V2695" i="2"/>
  <c r="V2707" i="2"/>
  <c r="V2713" i="2"/>
  <c r="V2725" i="2"/>
  <c r="V2761" i="2"/>
  <c r="C749" i="4"/>
  <c r="B749" i="4"/>
  <c r="V2767" i="2"/>
  <c r="V2782" i="2"/>
  <c r="V2794" i="2"/>
  <c r="V2822" i="2"/>
  <c r="V2830" i="2"/>
  <c r="V2844" i="2"/>
  <c r="V2850" i="2"/>
  <c r="V2858" i="2"/>
  <c r="V2866" i="2"/>
  <c r="V2922" i="2"/>
  <c r="V2989" i="2"/>
  <c r="V3026" i="2"/>
  <c r="V3050" i="2"/>
  <c r="V1859" i="2"/>
  <c r="V1891" i="2"/>
  <c r="V1923" i="2"/>
  <c r="V1955" i="2"/>
  <c r="V1987" i="2"/>
  <c r="V2019" i="2"/>
  <c r="C772" i="4"/>
  <c r="B772" i="4"/>
  <c r="V2862" i="2"/>
  <c r="V2051" i="2"/>
  <c r="C141" i="4"/>
  <c r="B141" i="4"/>
  <c r="V3949" i="2"/>
  <c r="V2083" i="2"/>
  <c r="V2092" i="2"/>
  <c r="V2110" i="2"/>
  <c r="V2115" i="2"/>
  <c r="V2147" i="2"/>
  <c r="C880" i="4"/>
  <c r="B880" i="4"/>
  <c r="V2179" i="2"/>
  <c r="V2211" i="2"/>
  <c r="V2243" i="2"/>
  <c r="C585" i="4"/>
  <c r="B585" i="4"/>
  <c r="V2986" i="2"/>
  <c r="V2275" i="2"/>
  <c r="V2307" i="2"/>
  <c r="V2325" i="2"/>
  <c r="V2339" i="2"/>
  <c r="V2371" i="2"/>
  <c r="V2403" i="2"/>
  <c r="V2435" i="2"/>
  <c r="V2461" i="2"/>
  <c r="V2466" i="2"/>
  <c r="V2477" i="2"/>
  <c r="V2483" i="2"/>
  <c r="V2510" i="2"/>
  <c r="V2553" i="2"/>
  <c r="V2564" i="2"/>
  <c r="V2586" i="2"/>
  <c r="C545" i="4"/>
  <c r="B545" i="4"/>
  <c r="V4725" i="2"/>
  <c r="V4491" i="2"/>
  <c r="V2597" i="2"/>
  <c r="C914" i="4"/>
  <c r="B914" i="4"/>
  <c r="V4144" i="2"/>
  <c r="V2925" i="2"/>
  <c r="V2608" i="2"/>
  <c r="V2630" i="2"/>
  <c r="V2646" i="2"/>
  <c r="V2663" i="2"/>
  <c r="C66" i="4"/>
  <c r="B66" i="4"/>
  <c r="V4054" i="2"/>
  <c r="V4005" i="2"/>
  <c r="V4225" i="2"/>
  <c r="V2701" i="2"/>
  <c r="V2750" i="2"/>
  <c r="V2795" i="2"/>
  <c r="V2816" i="2"/>
  <c r="V2845" i="2"/>
  <c r="V2851" i="2"/>
  <c r="V2881" i="2"/>
  <c r="V2889" i="2"/>
  <c r="V2937" i="2"/>
  <c r="V2944" i="2"/>
  <c r="V2966" i="2"/>
  <c r="V2990" i="2"/>
  <c r="V3004" i="2"/>
  <c r="V3035" i="2"/>
  <c r="V3067" i="2"/>
  <c r="V1663" i="2"/>
  <c r="C55" i="4"/>
  <c r="B55" i="4"/>
  <c r="V3765" i="2"/>
  <c r="V1695" i="2"/>
  <c r="V1727" i="2"/>
  <c r="V1759" i="2"/>
  <c r="V1791" i="2"/>
  <c r="V1823" i="2"/>
  <c r="V1855" i="2"/>
  <c r="C737" i="4"/>
  <c r="B737" i="4"/>
  <c r="V4940" i="2"/>
  <c r="V1887" i="2"/>
  <c r="V1951" i="2"/>
  <c r="V1983" i="2"/>
  <c r="C773" i="4"/>
  <c r="B773" i="4"/>
  <c r="V4045" i="2"/>
  <c r="V2015" i="2"/>
  <c r="V2042" i="2"/>
  <c r="V2047" i="2"/>
  <c r="V2079" i="2"/>
  <c r="V2097" i="2"/>
  <c r="V2111" i="2"/>
  <c r="V2143" i="2"/>
  <c r="V2175" i="2"/>
  <c r="C450" i="4"/>
  <c r="B450" i="4"/>
  <c r="V4232" i="2"/>
  <c r="V2877" i="2"/>
  <c r="V2207" i="2"/>
  <c r="B350" i="4"/>
  <c r="C350" i="4"/>
  <c r="V3658" i="2"/>
  <c r="V2239" i="2"/>
  <c r="V3121" i="2"/>
  <c r="B979" i="4"/>
  <c r="C979" i="4"/>
  <c r="V2303" i="2"/>
  <c r="V2321" i="2"/>
  <c r="C709" i="4"/>
  <c r="B709" i="4"/>
  <c r="V2335" i="2"/>
  <c r="V2385" i="2"/>
  <c r="V2399" i="2"/>
  <c r="V2417" i="2"/>
  <c r="V2431" i="2"/>
  <c r="V2445" i="2"/>
  <c r="V2478" i="2"/>
  <c r="V2521" i="2"/>
  <c r="V2532" i="2"/>
  <c r="V2554" i="2"/>
  <c r="C799" i="4"/>
  <c r="B799" i="4"/>
  <c r="V2565" i="2"/>
  <c r="V2576" i="2"/>
  <c r="V2587" i="2"/>
  <c r="C349" i="4"/>
  <c r="B349" i="4"/>
  <c r="V2598" i="2"/>
  <c r="V2812" i="2"/>
  <c r="V2614" i="2"/>
  <c r="V2620" i="2"/>
  <c r="V2631" i="2"/>
  <c r="V2702" i="2"/>
  <c r="V2715" i="2"/>
  <c r="V2727" i="2"/>
  <c r="V2769" i="2"/>
  <c r="V2776" i="2"/>
  <c r="V2784" i="2"/>
  <c r="V2789" i="2"/>
  <c r="V2803" i="2"/>
  <c r="V2824" i="2"/>
  <c r="V2832" i="2"/>
  <c r="V2860" i="2"/>
  <c r="V2868" i="2"/>
  <c r="V2882" i="2"/>
  <c r="V2890" i="2"/>
  <c r="V2910" i="2"/>
  <c r="V2917" i="2"/>
  <c r="V2924" i="2"/>
  <c r="V2938" i="2"/>
  <c r="V2945" i="2"/>
  <c r="V2975" i="2"/>
  <c r="V3021" i="2"/>
  <c r="V1275" i="2"/>
  <c r="C591" i="4"/>
  <c r="B591" i="4"/>
  <c r="C439" i="4"/>
  <c r="B439" i="4"/>
  <c r="V4701" i="2"/>
  <c r="V4273" i="2"/>
  <c r="V1307" i="2"/>
  <c r="V1339" i="2"/>
  <c r="V1371" i="2"/>
  <c r="C316" i="4"/>
  <c r="B316" i="4"/>
  <c r="B331" i="4"/>
  <c r="C331" i="4"/>
  <c r="V4341" i="2"/>
  <c r="V1403" i="2"/>
  <c r="V1435" i="2"/>
  <c r="V1467" i="2"/>
  <c r="V1499" i="2"/>
  <c r="B158" i="4"/>
  <c r="C158" i="4"/>
  <c r="V1531" i="2"/>
  <c r="V1563" i="2"/>
  <c r="B895" i="4"/>
  <c r="C895" i="4"/>
  <c r="V4382" i="2"/>
  <c r="V4089" i="2"/>
  <c r="C428" i="4"/>
  <c r="B428" i="4"/>
  <c r="V4739" i="2"/>
  <c r="V4393" i="2"/>
  <c r="V1595" i="2"/>
  <c r="V1627" i="2"/>
  <c r="C846" i="4"/>
  <c r="B846" i="4"/>
  <c r="C284" i="4"/>
  <c r="B284" i="4"/>
  <c r="V4917" i="2"/>
  <c r="V4329" i="2"/>
  <c r="C639" i="4"/>
  <c r="B639" i="4"/>
  <c r="V1691" i="2"/>
  <c r="V1723" i="2"/>
  <c r="V1755" i="2"/>
  <c r="C378" i="4"/>
  <c r="B378" i="4"/>
  <c r="V4047" i="2"/>
  <c r="C930" i="4"/>
  <c r="B930" i="4"/>
  <c r="V1787" i="2"/>
  <c r="C361" i="4"/>
  <c r="B361" i="4"/>
  <c r="V3883" i="2"/>
  <c r="V3196" i="2"/>
  <c r="V1819" i="2"/>
  <c r="B724" i="4"/>
  <c r="C724" i="4"/>
  <c r="V4863" i="2"/>
  <c r="V1851" i="2"/>
  <c r="V1883" i="2"/>
  <c r="V1915" i="2"/>
  <c r="V1947" i="2"/>
  <c r="V1988" i="2"/>
  <c r="V2011" i="2"/>
  <c r="V2038" i="2"/>
  <c r="V2043" i="2"/>
  <c r="V2075" i="2"/>
  <c r="V2107" i="2"/>
  <c r="V2139" i="2"/>
  <c r="V2171" i="2"/>
  <c r="B265" i="4"/>
  <c r="C265" i="4"/>
  <c r="B891" i="4"/>
  <c r="C891" i="4"/>
  <c r="V2203" i="2"/>
  <c r="V2235" i="2"/>
  <c r="V2267" i="2"/>
  <c r="V2276" i="2"/>
  <c r="C582" i="4"/>
  <c r="B582" i="4"/>
  <c r="V4078" i="2"/>
  <c r="V2299" i="2"/>
  <c r="C409" i="4"/>
  <c r="B409" i="4"/>
  <c r="V2317" i="2"/>
  <c r="V2331" i="2"/>
  <c r="V2363" i="2"/>
  <c r="V2395" i="2"/>
  <c r="B197" i="4"/>
  <c r="C197" i="4"/>
  <c r="V2427" i="2"/>
  <c r="V2446" i="2"/>
  <c r="V2473" i="2"/>
  <c r="V2500" i="2"/>
  <c r="V2511" i="2"/>
  <c r="V2522" i="2"/>
  <c r="V2533" i="2"/>
  <c r="V2544" i="2"/>
  <c r="V2555" i="2"/>
  <c r="V2566" i="2"/>
  <c r="V2582" i="2"/>
  <c r="V2599" i="2"/>
  <c r="C25" i="4"/>
  <c r="B25" i="4"/>
  <c r="V2658" i="2"/>
  <c r="V2669" i="2"/>
  <c r="V2716" i="2"/>
  <c r="V2733" i="2"/>
  <c r="V2739" i="2"/>
  <c r="V2745" i="2"/>
  <c r="V2752" i="2"/>
  <c r="V2777" i="2"/>
  <c r="V2790" i="2"/>
  <c r="V2804" i="2"/>
  <c r="V2840" i="2"/>
  <c r="V2853" i="2"/>
  <c r="V2869" i="2"/>
  <c r="V2876" i="2"/>
  <c r="V2932" i="2"/>
  <c r="V2946" i="2"/>
  <c r="V2953" i="2"/>
  <c r="V2976" i="2"/>
  <c r="V3006" i="2"/>
  <c r="V3061" i="2"/>
  <c r="V1879" i="2"/>
  <c r="C478" i="4"/>
  <c r="B478" i="4"/>
  <c r="V4386" i="2"/>
  <c r="V1911" i="2"/>
  <c r="V2878" i="2"/>
  <c r="V1943" i="2"/>
  <c r="V1975" i="2"/>
  <c r="V2007" i="2"/>
  <c r="V2039" i="2"/>
  <c r="B308" i="4"/>
  <c r="C308" i="4"/>
  <c r="V3237" i="2"/>
  <c r="V2820" i="2"/>
  <c r="V2071" i="2"/>
  <c r="V2103" i="2"/>
  <c r="V2135" i="2"/>
  <c r="V2199" i="2"/>
  <c r="V2231" i="2"/>
  <c r="V2272" i="2"/>
  <c r="V2295" i="2"/>
  <c r="V2327" i="2"/>
  <c r="V2359" i="2"/>
  <c r="V2391" i="2"/>
  <c r="C587" i="4"/>
  <c r="B587" i="4"/>
  <c r="V2423" i="2"/>
  <c r="V2457" i="2"/>
  <c r="V2468" i="2"/>
  <c r="V2479" i="2"/>
  <c r="V2490" i="2"/>
  <c r="V2501" i="2"/>
  <c r="V2512" i="2"/>
  <c r="V2523" i="2"/>
  <c r="V2534" i="2"/>
  <c r="V2550" i="2"/>
  <c r="V2567" i="2"/>
  <c r="V2615" i="2"/>
  <c r="V2626" i="2"/>
  <c r="V2637" i="2"/>
  <c r="V2643" i="2"/>
  <c r="V2670" i="2"/>
  <c r="V2704" i="2"/>
  <c r="V2710" i="2"/>
  <c r="V2722" i="2"/>
  <c r="V2734" i="2"/>
  <c r="V2753" i="2"/>
  <c r="V2771" i="2"/>
  <c r="V2785" i="2"/>
  <c r="V2805" i="2"/>
  <c r="V2818" i="2"/>
  <c r="V2834" i="2"/>
  <c r="V2854" i="2"/>
  <c r="V2892" i="2"/>
  <c r="V2898" i="2"/>
  <c r="V3030" i="2"/>
  <c r="V3054" i="2"/>
  <c r="V1107" i="2"/>
  <c r="B165" i="4"/>
  <c r="C165" i="4"/>
  <c r="C740" i="4"/>
  <c r="B740" i="4"/>
  <c r="V1139" i="2"/>
  <c r="C110" i="4"/>
  <c r="B110" i="4"/>
  <c r="V4783" i="2"/>
  <c r="V3673" i="2"/>
  <c r="B516" i="4"/>
  <c r="C516" i="4"/>
  <c r="V4532" i="2"/>
  <c r="V4115" i="2"/>
  <c r="V1171" i="2"/>
  <c r="C530" i="4"/>
  <c r="B530" i="4"/>
  <c r="C569" i="4"/>
  <c r="B569" i="4"/>
  <c r="V3981" i="2"/>
  <c r="V3982" i="2"/>
  <c r="V1203" i="2"/>
  <c r="V1235" i="2"/>
  <c r="V1267" i="2"/>
  <c r="V1299" i="2"/>
  <c r="C136" i="4"/>
  <c r="B136" i="4"/>
  <c r="V1331" i="2"/>
  <c r="C937" i="4"/>
  <c r="B937" i="4"/>
  <c r="C546" i="4"/>
  <c r="B546" i="4"/>
  <c r="V4278" i="2"/>
  <c r="V1363" i="2"/>
  <c r="C858" i="4"/>
  <c r="B858" i="4"/>
  <c r="C645" i="4"/>
  <c r="B645" i="4"/>
  <c r="V1395" i="2"/>
  <c r="V1427" i="2"/>
  <c r="V1459" i="2"/>
  <c r="V1491" i="2"/>
  <c r="C622" i="4"/>
  <c r="B622" i="4"/>
  <c r="V1523" i="2"/>
  <c r="C677" i="4"/>
  <c r="B677" i="4"/>
  <c r="V1555" i="2"/>
  <c r="C878" i="4"/>
  <c r="B878" i="4"/>
  <c r="V4276" i="2"/>
  <c r="V3947" i="2"/>
  <c r="V1587" i="2"/>
  <c r="B310" i="4"/>
  <c r="C310" i="4"/>
  <c r="V4252" i="2"/>
  <c r="V3950" i="2"/>
  <c r="V1619" i="2"/>
  <c r="V1651" i="2"/>
  <c r="C716" i="4"/>
  <c r="B716" i="4"/>
  <c r="V1683" i="2"/>
  <c r="C672" i="4"/>
  <c r="B672" i="4"/>
  <c r="V4591" i="2"/>
  <c r="V1715" i="2"/>
  <c r="V1747" i="2"/>
  <c r="V1779" i="2"/>
  <c r="C624" i="4"/>
  <c r="B624" i="4"/>
  <c r="V4253" i="2"/>
  <c r="V4588" i="2"/>
  <c r="V1843" i="2"/>
  <c r="V2926" i="2"/>
  <c r="V1875" i="2"/>
  <c r="V1907" i="2"/>
  <c r="B273" i="4"/>
  <c r="C273" i="4"/>
  <c r="V1939" i="2"/>
  <c r="C567" i="4"/>
  <c r="B567" i="4"/>
  <c r="V4019" i="2"/>
  <c r="V1971" i="2"/>
  <c r="C369" i="4"/>
  <c r="B369" i="4"/>
  <c r="V4168" i="2"/>
  <c r="V2003" i="2"/>
  <c r="V2035" i="2"/>
  <c r="C423" i="4"/>
  <c r="B423" i="4"/>
  <c r="V4304" i="2"/>
  <c r="V2044" i="2"/>
  <c r="V2067" i="2"/>
  <c r="B264" i="4"/>
  <c r="C264" i="4"/>
  <c r="V2099" i="2"/>
  <c r="C363" i="4"/>
  <c r="B363" i="4"/>
  <c r="V3516" i="2"/>
  <c r="V2131" i="2"/>
  <c r="V2163" i="2"/>
  <c r="V2195" i="2"/>
  <c r="V2259" i="2"/>
  <c r="V2309" i="2"/>
  <c r="V2350" i="2"/>
  <c r="V2355" i="2"/>
  <c r="V2419" i="2"/>
  <c r="V2458" i="2"/>
  <c r="V2469" i="2"/>
  <c r="V2491" i="2"/>
  <c r="V2502" i="2"/>
  <c r="V2518" i="2"/>
  <c r="V2524" i="2"/>
  <c r="V2535" i="2"/>
  <c r="V2605" i="2"/>
  <c r="V2611" i="2"/>
  <c r="V2638" i="2"/>
  <c r="V2681" i="2"/>
  <c r="V2692" i="2"/>
  <c r="V2747" i="2"/>
  <c r="V2759" i="2"/>
  <c r="V2779" i="2"/>
  <c r="V2798" i="2"/>
  <c r="B192" i="4"/>
  <c r="C192" i="4"/>
  <c r="V2819" i="2"/>
  <c r="V2827" i="2"/>
  <c r="V2885" i="2"/>
  <c r="V2913" i="2"/>
  <c r="V3000" i="2"/>
  <c r="V3086" i="2"/>
  <c r="C969" i="4"/>
  <c r="B969" i="4"/>
  <c r="B81" i="4"/>
  <c r="C81" i="4"/>
  <c r="V4864" i="2"/>
  <c r="C627" i="4"/>
  <c r="B627" i="4"/>
  <c r="V4354" i="2"/>
  <c r="B207" i="4"/>
  <c r="C207" i="4"/>
  <c r="V3713" i="2"/>
  <c r="V3153" i="2"/>
  <c r="C490" i="4"/>
  <c r="B490" i="4"/>
  <c r="C285" i="4"/>
  <c r="B285" i="4"/>
  <c r="B307" i="4"/>
  <c r="C307" i="4"/>
  <c r="B503" i="4"/>
  <c r="C503" i="4"/>
  <c r="V4288" i="2"/>
  <c r="C706" i="4"/>
  <c r="B706" i="4"/>
  <c r="V4580" i="2"/>
  <c r="V4306" i="2"/>
  <c r="C856" i="4"/>
  <c r="B856" i="4"/>
  <c r="V3690" i="2"/>
  <c r="C45" i="4"/>
  <c r="B45" i="4"/>
  <c r="V3652" i="2"/>
  <c r="C588" i="4"/>
  <c r="B588" i="4"/>
  <c r="C981" i="4"/>
  <c r="B981" i="4"/>
  <c r="V4961" i="2"/>
  <c r="V3909" i="2"/>
  <c r="B198" i="4"/>
  <c r="C198" i="4"/>
  <c r="V3482" i="2"/>
  <c r="C916" i="4"/>
  <c r="B916" i="4"/>
  <c r="B291" i="4"/>
  <c r="C291" i="4"/>
  <c r="B939" i="4"/>
  <c r="C939" i="4"/>
  <c r="V4861" i="2"/>
  <c r="B883" i="4"/>
  <c r="C883" i="4"/>
  <c r="C31" i="3"/>
  <c r="B955" i="4"/>
  <c r="C955" i="4"/>
  <c r="C564" i="4"/>
  <c r="B564" i="4"/>
  <c r="C260" i="4"/>
  <c r="B260" i="4"/>
  <c r="V4444" i="2"/>
  <c r="V4715" i="2"/>
  <c r="V4437" i="2"/>
  <c r="B32" i="4"/>
  <c r="C32" i="4"/>
  <c r="C379" i="4"/>
  <c r="B379" i="4"/>
  <c r="V3553" i="2"/>
  <c r="V3342" i="2"/>
  <c r="C532" i="4"/>
  <c r="B532" i="4"/>
  <c r="V3736" i="2"/>
  <c r="V2450" i="2"/>
  <c r="V2482" i="2"/>
  <c r="V2514" i="2"/>
  <c r="C850" i="4"/>
  <c r="B850" i="4"/>
  <c r="V2546" i="2"/>
  <c r="V2578" i="2"/>
  <c r="V2610" i="2"/>
  <c r="V2642" i="2"/>
  <c r="V2674" i="2"/>
  <c r="V2706" i="2"/>
  <c r="V2738" i="2"/>
  <c r="C184" i="4"/>
  <c r="B184" i="4"/>
  <c r="V2810" i="2"/>
  <c r="V2839" i="2"/>
  <c r="V2863" i="2"/>
  <c r="V2887" i="2"/>
  <c r="V2897" i="2"/>
  <c r="V2907" i="2"/>
  <c r="V2931" i="2"/>
  <c r="B340" i="4"/>
  <c r="C340" i="4"/>
  <c r="V4757" i="2"/>
  <c r="C614" i="4"/>
  <c r="B614" i="4"/>
  <c r="V3919" i="2"/>
  <c r="V3841" i="2"/>
  <c r="V2971" i="2"/>
  <c r="V2982" i="2"/>
  <c r="V2998" i="2"/>
  <c r="V3015" i="2"/>
  <c r="V3044" i="2"/>
  <c r="V3064" i="2"/>
  <c r="V3071" i="2"/>
  <c r="V3109" i="2"/>
  <c r="V3150" i="2"/>
  <c r="V3178" i="2"/>
  <c r="V3186" i="2"/>
  <c r="V3206" i="2"/>
  <c r="V3222" i="2"/>
  <c r="V3254" i="2"/>
  <c r="V3300" i="2"/>
  <c r="V2835" i="2"/>
  <c r="V2859" i="2"/>
  <c r="V2873" i="2"/>
  <c r="V2883" i="2"/>
  <c r="V2888" i="2"/>
  <c r="V2956" i="2"/>
  <c r="V2967" i="2"/>
  <c r="V2972" i="2"/>
  <c r="C579" i="4"/>
  <c r="B579" i="4"/>
  <c r="V2999" i="2"/>
  <c r="V3022" i="2"/>
  <c r="C51" i="4"/>
  <c r="B51" i="4"/>
  <c r="V3058" i="2"/>
  <c r="V3072" i="2"/>
  <c r="V3104" i="2"/>
  <c r="V3122" i="2"/>
  <c r="V3158" i="2"/>
  <c r="V3215" i="2"/>
  <c r="V3309" i="2"/>
  <c r="E89" i="3"/>
  <c r="C87" i="3"/>
  <c r="B86" i="3"/>
  <c r="E109" i="1" s="1"/>
  <c r="C88" i="3"/>
  <c r="B87" i="3"/>
  <c r="E110" i="1" s="1"/>
  <c r="C89" i="3"/>
  <c r="B88" i="3"/>
  <c r="E111" i="1" s="1"/>
  <c r="H86" i="3"/>
  <c r="T109" i="1" s="1"/>
  <c r="F64" i="3"/>
  <c r="F63" i="3"/>
  <c r="F62" i="3"/>
  <c r="F61" i="3"/>
  <c r="F60" i="3"/>
  <c r="F59" i="3"/>
  <c r="C102" i="4"/>
  <c r="B89" i="3"/>
  <c r="E112" i="1" s="1"/>
  <c r="H87" i="3"/>
  <c r="T110" i="1" s="1"/>
  <c r="G86" i="3"/>
  <c r="Q109" i="1" s="1"/>
  <c r="E88" i="3"/>
  <c r="C86" i="3"/>
  <c r="G87" i="3"/>
  <c r="Q110" i="1" s="1"/>
  <c r="E52" i="3"/>
  <c r="J51" i="3"/>
  <c r="Q48" i="1" s="1"/>
  <c r="B51" i="3"/>
  <c r="E48" i="1" s="1"/>
  <c r="B43" i="3"/>
  <c r="B4" i="3"/>
  <c r="B9" i="1" s="1"/>
  <c r="E87" i="3"/>
  <c r="F53" i="3"/>
  <c r="C52" i="3"/>
  <c r="E50" i="3"/>
  <c r="B41" i="3"/>
  <c r="B36" i="3"/>
  <c r="D36" i="3" s="1"/>
  <c r="B34" i="3"/>
  <c r="B32" i="3"/>
  <c r="D32" i="3" s="1"/>
  <c r="E32" i="3" s="1"/>
  <c r="B30" i="3"/>
  <c r="B28" i="3"/>
  <c r="D28" i="3" s="1"/>
  <c r="B26" i="3"/>
  <c r="D26" i="3" s="1"/>
  <c r="E26" i="3" s="1"/>
  <c r="H89" i="3"/>
  <c r="T112" i="1" s="1"/>
  <c r="G89" i="3"/>
  <c r="Q112" i="1" s="1"/>
  <c r="B102" i="4"/>
  <c r="G88" i="3"/>
  <c r="Q111" i="1" s="1"/>
  <c r="D63" i="3"/>
  <c r="K63" i="3" s="1"/>
  <c r="J53" i="3"/>
  <c r="Q50" i="1" s="1"/>
  <c r="D51" i="3"/>
  <c r="F50" i="3"/>
  <c r="B35" i="3"/>
  <c r="C32" i="3"/>
  <c r="B27" i="3"/>
  <c r="D27" i="3" s="1"/>
  <c r="J52" i="3"/>
  <c r="Q49" i="1" s="1"/>
  <c r="C51" i="3"/>
  <c r="D50" i="3"/>
  <c r="C37" i="3"/>
  <c r="C29" i="3"/>
  <c r="B17" i="3"/>
  <c r="J54" i="3" s="1"/>
  <c r="Q51" i="1" s="1"/>
  <c r="E53" i="3"/>
  <c r="B50" i="3"/>
  <c r="D53" i="3"/>
  <c r="B45" i="3"/>
  <c r="C36" i="3"/>
  <c r="B31" i="3"/>
  <c r="D31" i="3" s="1"/>
  <c r="B3" i="3"/>
  <c r="C53" i="3"/>
  <c r="F52" i="3"/>
  <c r="J50" i="3"/>
  <c r="Q47" i="1" s="1"/>
  <c r="B44" i="3"/>
  <c r="B14" i="3" s="1"/>
  <c r="C33" i="3"/>
  <c r="B25" i="3"/>
  <c r="D25" i="3" s="1"/>
  <c r="B53" i="3"/>
  <c r="E50" i="1" s="1"/>
  <c r="D52" i="3"/>
  <c r="F51" i="3"/>
  <c r="B42" i="3"/>
  <c r="B33" i="3"/>
  <c r="C30" i="3"/>
  <c r="H88" i="3"/>
  <c r="T111" i="1" s="1"/>
  <c r="E63" i="3"/>
  <c r="B52" i="3"/>
  <c r="E49" i="1" s="1"/>
  <c r="E51" i="3"/>
  <c r="C35" i="3"/>
  <c r="C27" i="3"/>
  <c r="B9" i="3"/>
  <c r="B5" i="3"/>
  <c r="C106" i="4"/>
  <c r="B106" i="4"/>
  <c r="V4621" i="2"/>
  <c r="C610" i="4"/>
  <c r="B610" i="4"/>
  <c r="B328" i="4"/>
  <c r="C328" i="4"/>
  <c r="C99" i="4"/>
  <c r="B99" i="4"/>
  <c r="C657" i="4"/>
  <c r="B657" i="4"/>
  <c r="V3633" i="2"/>
  <c r="C488" i="4"/>
  <c r="B488" i="4"/>
  <c r="V3946" i="2"/>
  <c r="B191" i="4"/>
  <c r="C191" i="4"/>
  <c r="V3458" i="2"/>
  <c r="C456" i="4"/>
  <c r="B456" i="4"/>
  <c r="V4258" i="2"/>
  <c r="C741" i="4"/>
  <c r="B741" i="4"/>
  <c r="C59" i="4"/>
  <c r="B59" i="4"/>
  <c r="B693" i="4"/>
  <c r="C693" i="4"/>
  <c r="V3429" i="2"/>
  <c r="C948" i="4"/>
  <c r="B948" i="4"/>
  <c r="C866" i="4"/>
  <c r="B866" i="4"/>
  <c r="V3894" i="2"/>
  <c r="V3680" i="2"/>
  <c r="C501" i="4"/>
  <c r="B501" i="4"/>
  <c r="V4412" i="2"/>
  <c r="V3834" i="2"/>
  <c r="C642" i="4"/>
  <c r="B642" i="4"/>
  <c r="B272" i="4"/>
  <c r="C272" i="4"/>
  <c r="C15" i="4"/>
  <c r="B15" i="4"/>
  <c r="C561" i="4"/>
  <c r="B561" i="4"/>
  <c r="C364" i="4"/>
  <c r="B364" i="4"/>
  <c r="C505" i="4"/>
  <c r="B505" i="4"/>
  <c r="V4788" i="2"/>
  <c r="V3214" i="2"/>
  <c r="B204" i="4"/>
  <c r="C204" i="4"/>
  <c r="C562" i="4"/>
  <c r="B562" i="4"/>
  <c r="C473" i="4"/>
  <c r="B473" i="4"/>
  <c r="V4166" i="2"/>
  <c r="C552" i="4"/>
  <c r="B552" i="4"/>
  <c r="C986" i="4"/>
  <c r="B986" i="4"/>
  <c r="V4257" i="2"/>
  <c r="B250" i="4"/>
  <c r="C250" i="4"/>
  <c r="C713" i="4"/>
  <c r="B713" i="4"/>
  <c r="V4896" i="2"/>
  <c r="B53" i="4"/>
  <c r="C53" i="4"/>
  <c r="B756" i="4"/>
  <c r="C756" i="4"/>
  <c r="V4791" i="2"/>
  <c r="C42" i="4"/>
  <c r="B42" i="4"/>
  <c r="V4501" i="2"/>
  <c r="V4641" i="2"/>
  <c r="B65" i="4"/>
  <c r="C65" i="4"/>
  <c r="C63" i="4"/>
  <c r="B63" i="4"/>
  <c r="C389" i="4"/>
  <c r="B389" i="4"/>
  <c r="V4684" i="2"/>
  <c r="V3304" i="2"/>
  <c r="C376" i="4"/>
  <c r="B376" i="4"/>
  <c r="V4069" i="2"/>
  <c r="C830" i="4"/>
  <c r="B830" i="4"/>
  <c r="V4876" i="2"/>
  <c r="B49" i="4"/>
  <c r="C49" i="4"/>
  <c r="V4873" i="2"/>
  <c r="C721" i="4"/>
  <c r="B721" i="4"/>
  <c r="V3761" i="2"/>
  <c r="B951" i="4"/>
  <c r="C951" i="4"/>
  <c r="C216" i="4"/>
  <c r="B216" i="4"/>
  <c r="V4194" i="2"/>
  <c r="C861" i="4"/>
  <c r="B861" i="4"/>
  <c r="C457" i="4"/>
  <c r="B457" i="4"/>
  <c r="C736" i="4"/>
  <c r="B736" i="4"/>
  <c r="V3871" i="2"/>
  <c r="C890" i="4"/>
  <c r="B890" i="4"/>
  <c r="V3767" i="2"/>
  <c r="C537" i="4"/>
  <c r="B537" i="4"/>
  <c r="V3642" i="2"/>
  <c r="C787" i="4"/>
  <c r="B787" i="4"/>
  <c r="C789" i="4"/>
  <c r="B789" i="4"/>
  <c r="V4189" i="2"/>
  <c r="C502" i="4"/>
  <c r="B502" i="4"/>
  <c r="B281" i="4"/>
  <c r="C281" i="4"/>
  <c r="V4446" i="2"/>
  <c r="V4107" i="2"/>
  <c r="B963" i="4"/>
  <c r="C963" i="4"/>
  <c r="V4969" i="2"/>
  <c r="C703" i="4"/>
  <c r="B703" i="4"/>
  <c r="V3846" i="2"/>
  <c r="B315" i="4"/>
  <c r="C315" i="4"/>
  <c r="B232" i="4"/>
  <c r="C232" i="4"/>
  <c r="C817" i="4"/>
  <c r="B817" i="4"/>
  <c r="V4716" i="2"/>
  <c r="B820" i="4"/>
  <c r="C820" i="4"/>
  <c r="B266" i="4"/>
  <c r="C266" i="4"/>
  <c r="V4077" i="2"/>
  <c r="C384" i="4"/>
  <c r="B384" i="4"/>
  <c r="C942" i="4"/>
  <c r="B942" i="4"/>
  <c r="C845" i="4"/>
  <c r="B845" i="4"/>
  <c r="C435" i="4"/>
  <c r="B435" i="4"/>
  <c r="C398" i="4"/>
  <c r="B398" i="4"/>
  <c r="B827" i="4"/>
  <c r="C827" i="4"/>
  <c r="V4152" i="2"/>
  <c r="V3833" i="2"/>
  <c r="C972" i="4"/>
  <c r="B972" i="4"/>
  <c r="B143" i="4"/>
  <c r="C143" i="4"/>
  <c r="B186" i="4"/>
  <c r="C186" i="4"/>
  <c r="C762" i="4"/>
  <c r="B762" i="4"/>
  <c r="C704" i="4"/>
  <c r="B704" i="4"/>
  <c r="C926" i="4"/>
  <c r="B926" i="4"/>
  <c r="V4556" i="2"/>
  <c r="V3585" i="2"/>
  <c r="C412" i="4"/>
  <c r="B412" i="4"/>
  <c r="C261" i="4"/>
  <c r="B261" i="4"/>
  <c r="C619" i="4"/>
  <c r="B619" i="4"/>
  <c r="B887" i="4"/>
  <c r="C887" i="4"/>
  <c r="C449" i="4"/>
  <c r="B449" i="4"/>
  <c r="V4531" i="2"/>
  <c r="B206" i="4"/>
  <c r="C206" i="4"/>
  <c r="V3170" i="2"/>
  <c r="C54" i="4"/>
  <c r="B54" i="4"/>
  <c r="C417" i="4"/>
  <c r="B417" i="4"/>
  <c r="V3376" i="2"/>
  <c r="C904" i="4"/>
  <c r="B904" i="4"/>
  <c r="B699" i="4"/>
  <c r="C699" i="4"/>
  <c r="B947" i="4"/>
  <c r="C947" i="4"/>
  <c r="V4520" i="2"/>
  <c r="B576" i="4"/>
  <c r="C576" i="4"/>
  <c r="V3310" i="2"/>
  <c r="C228" i="4"/>
  <c r="B228" i="4"/>
  <c r="V3138" i="2"/>
  <c r="C819" i="4"/>
  <c r="B819" i="4"/>
  <c r="C18" i="4"/>
  <c r="B18" i="4"/>
  <c r="C180" i="4"/>
  <c r="B180" i="4"/>
  <c r="B983" i="4"/>
  <c r="C983" i="4"/>
  <c r="B971" i="4"/>
  <c r="C971" i="4"/>
  <c r="V4197" i="2"/>
  <c r="B254" i="4"/>
  <c r="C254" i="4"/>
  <c r="C784" i="4"/>
  <c r="B784" i="4"/>
  <c r="V4157" i="2"/>
  <c r="C621" i="4"/>
  <c r="B621" i="4"/>
  <c r="B658" i="4"/>
  <c r="C658" i="4"/>
  <c r="V3333" i="2"/>
  <c r="C244" i="4"/>
  <c r="B244" i="4"/>
  <c r="C808" i="4"/>
  <c r="B808" i="4"/>
  <c r="C818" i="4"/>
  <c r="B818" i="4"/>
  <c r="V3882" i="2"/>
  <c r="V3129" i="2"/>
  <c r="V3324" i="2"/>
  <c r="C962" i="4"/>
  <c r="B962" i="4"/>
  <c r="C660" i="4"/>
  <c r="B660" i="4"/>
  <c r="B124" i="4"/>
  <c r="C124" i="4"/>
  <c r="V4724" i="2"/>
  <c r="B339" i="4"/>
  <c r="C339" i="4"/>
  <c r="C828" i="4"/>
  <c r="B828" i="4"/>
  <c r="B195" i="4"/>
  <c r="C195" i="4"/>
  <c r="V4660" i="2"/>
  <c r="V3926" i="2"/>
  <c r="C813" i="4"/>
  <c r="B813" i="4"/>
  <c r="C267" i="4"/>
  <c r="B267" i="4"/>
  <c r="V4141" i="2"/>
  <c r="C821" i="4"/>
  <c r="B821" i="4"/>
  <c r="C941" i="4"/>
  <c r="B941" i="4"/>
  <c r="V3901" i="2"/>
  <c r="B116" i="4"/>
  <c r="C116" i="4"/>
  <c r="V4812" i="2"/>
  <c r="V3790" i="2"/>
  <c r="C629" i="4"/>
  <c r="B629" i="4"/>
  <c r="C697" i="4"/>
  <c r="B697" i="4"/>
  <c r="V4855" i="2"/>
  <c r="V4504" i="2"/>
  <c r="V4482" i="2"/>
  <c r="V4022" i="2"/>
  <c r="B153" i="4"/>
  <c r="C153" i="4"/>
  <c r="V4031" i="2"/>
  <c r="V3738" i="2"/>
  <c r="C902" i="4"/>
  <c r="B902" i="4"/>
  <c r="V3722" i="2"/>
  <c r="V3176" i="2"/>
  <c r="B338" i="4"/>
  <c r="C338" i="4"/>
  <c r="C754" i="4"/>
  <c r="B754" i="4"/>
  <c r="V4765" i="2"/>
  <c r="V4844" i="2"/>
  <c r="B896" i="4"/>
  <c r="C896" i="4"/>
  <c r="V4905" i="2"/>
  <c r="V3905" i="2"/>
  <c r="B17" i="4"/>
  <c r="C17" i="4"/>
  <c r="V4358" i="2"/>
  <c r="B256" i="4"/>
  <c r="C256" i="4"/>
  <c r="C541" i="4"/>
  <c r="B541" i="4"/>
  <c r="C424" i="4"/>
  <c r="B424" i="4"/>
  <c r="C573" i="4"/>
  <c r="B573" i="4"/>
  <c r="B44" i="4"/>
  <c r="C44" i="4"/>
  <c r="C13" i="4"/>
  <c r="B13" i="4"/>
  <c r="V3313" i="2"/>
  <c r="V3248" i="2"/>
  <c r="C600" i="4"/>
  <c r="B600" i="4"/>
  <c r="V4405" i="2"/>
  <c r="C415" i="4"/>
  <c r="B415" i="4"/>
  <c r="B670" i="4"/>
  <c r="C670" i="4"/>
  <c r="V4948" i="2"/>
  <c r="V4326" i="2"/>
  <c r="V3566" i="2"/>
  <c r="B688" i="4"/>
  <c r="C688" i="4"/>
  <c r="B20" i="4"/>
  <c r="C20" i="4"/>
  <c r="C441" i="4"/>
  <c r="B441" i="4"/>
  <c r="V4523" i="2"/>
  <c r="V4381" i="2"/>
  <c r="B263" i="4"/>
  <c r="C263" i="4"/>
  <c r="C938" i="4"/>
  <c r="B938" i="4"/>
  <c r="B185" i="4"/>
  <c r="C185" i="4"/>
  <c r="C726" i="4"/>
  <c r="B726" i="4"/>
  <c r="C944" i="4"/>
  <c r="B944" i="4"/>
  <c r="C30" i="4"/>
  <c r="B30" i="4"/>
  <c r="B324" i="4"/>
  <c r="C324" i="4"/>
  <c r="V4928" i="2"/>
  <c r="V4310" i="2"/>
  <c r="B795" i="4"/>
  <c r="C795" i="4"/>
  <c r="V3216" i="2"/>
  <c r="C527" i="4"/>
  <c r="B527" i="4"/>
  <c r="C172" i="4"/>
  <c r="B172" i="4"/>
  <c r="V4309" i="2"/>
  <c r="V3489" i="2"/>
  <c r="C504" i="4"/>
  <c r="B504" i="4"/>
  <c r="V4318" i="2"/>
  <c r="C79" i="4"/>
  <c r="B79" i="4"/>
  <c r="C327" i="4"/>
  <c r="B327" i="4"/>
  <c r="C355" i="4"/>
  <c r="B355" i="4"/>
  <c r="C913" i="4"/>
  <c r="B913" i="4"/>
  <c r="V4853" i="2"/>
  <c r="V4046" i="2"/>
  <c r="C554" i="4"/>
  <c r="B554" i="4"/>
  <c r="C590" i="4"/>
  <c r="B590" i="4"/>
  <c r="C237" i="4"/>
  <c r="B237" i="4"/>
  <c r="V3249" i="2"/>
  <c r="C280" i="4"/>
  <c r="B280" i="4"/>
  <c r="C433" i="4"/>
  <c r="B433" i="4"/>
  <c r="V4324" i="2"/>
  <c r="C710" i="4"/>
  <c r="B710" i="4"/>
  <c r="C386" i="4"/>
  <c r="B386" i="4"/>
  <c r="C300" i="4"/>
  <c r="B300" i="4"/>
  <c r="V4920" i="2"/>
  <c r="B97" i="4"/>
  <c r="C97" i="4"/>
  <c r="C849" i="4"/>
  <c r="B849" i="4"/>
  <c r="V4218" i="2"/>
  <c r="V3568" i="2"/>
  <c r="C305" i="4"/>
  <c r="B305" i="4"/>
  <c r="C974" i="4"/>
  <c r="B974" i="4"/>
  <c r="B788" i="4"/>
  <c r="C788" i="4"/>
  <c r="V4736" i="2"/>
  <c r="V4568" i="2"/>
  <c r="V3638" i="2"/>
  <c r="B279" i="4"/>
  <c r="C279" i="4"/>
  <c r="B662" i="4"/>
  <c r="C662" i="4"/>
  <c r="B61" i="4"/>
  <c r="C61" i="4"/>
  <c r="C780" i="4"/>
  <c r="B780" i="4"/>
  <c r="V3474" i="2"/>
  <c r="C520" i="4"/>
  <c r="B520" i="4"/>
  <c r="V4831" i="2"/>
  <c r="V4130" i="2"/>
  <c r="B935" i="4"/>
  <c r="C935" i="4"/>
  <c r="B56" i="4"/>
  <c r="C56" i="4"/>
  <c r="C661" i="4"/>
  <c r="B661" i="4"/>
  <c r="V3234" i="2"/>
  <c r="B975" i="4"/>
  <c r="C975" i="4"/>
  <c r="V3889" i="2"/>
  <c r="C802" i="4"/>
  <c r="B802" i="4"/>
  <c r="V3161" i="2"/>
  <c r="B210" i="4"/>
  <c r="C210" i="4"/>
  <c r="C67" i="4"/>
  <c r="B67" i="4"/>
  <c r="C422" i="4"/>
  <c r="B422" i="4"/>
  <c r="V3969" i="2"/>
  <c r="C41" i="4"/>
  <c r="B41" i="4"/>
  <c r="V4110" i="2"/>
  <c r="C297" i="4"/>
  <c r="B297" i="4"/>
  <c r="V4771" i="2"/>
  <c r="C555" i="4"/>
  <c r="B555" i="4"/>
  <c r="V4817" i="2"/>
  <c r="V3825" i="2"/>
  <c r="C985" i="4"/>
  <c r="B985" i="4"/>
  <c r="C289" i="4"/>
  <c r="B289" i="4"/>
  <c r="B855" i="4"/>
  <c r="C855" i="4"/>
  <c r="V4476" i="2"/>
  <c r="C388" i="4"/>
  <c r="B388" i="4"/>
  <c r="C444" i="4"/>
  <c r="B444" i="4"/>
  <c r="B664" i="4"/>
  <c r="C664" i="4"/>
  <c r="V4668" i="2"/>
  <c r="V4413" i="2"/>
  <c r="C594" i="4"/>
  <c r="B594" i="4"/>
  <c r="V3632" i="2"/>
  <c r="C630" i="4"/>
  <c r="B630" i="4"/>
  <c r="C834" i="4"/>
  <c r="B834" i="4"/>
  <c r="B290" i="4"/>
  <c r="C290" i="4"/>
  <c r="C705" i="4"/>
  <c r="B705" i="4"/>
  <c r="C140" i="4"/>
  <c r="B140" i="4"/>
  <c r="C790" i="4"/>
  <c r="B790" i="4"/>
  <c r="C804" i="4"/>
  <c r="B804" i="4"/>
  <c r="C617" i="4"/>
  <c r="B617" i="4"/>
  <c r="V4301" i="2"/>
  <c r="B656" i="4"/>
  <c r="C656" i="4"/>
  <c r="V4820" i="2"/>
  <c r="V4372" i="2"/>
  <c r="V3406" i="2"/>
  <c r="B525" i="4"/>
  <c r="C525" i="4"/>
  <c r="V4833" i="2"/>
  <c r="V3991" i="2"/>
  <c r="B113" i="4"/>
  <c r="C113" i="4"/>
  <c r="V4897" i="2"/>
  <c r="C86" i="4"/>
  <c r="B86" i="4"/>
  <c r="C325" i="4"/>
  <c r="B325" i="4"/>
  <c r="C448" i="4"/>
  <c r="B448" i="4"/>
  <c r="C934" i="4"/>
  <c r="B934" i="4"/>
  <c r="V3941" i="2"/>
  <c r="C766" i="4"/>
  <c r="B766" i="4"/>
  <c r="C510" i="4"/>
  <c r="B510" i="4"/>
  <c r="V4348" i="2"/>
  <c r="C700" i="4"/>
  <c r="B700" i="4"/>
  <c r="C714" i="4"/>
  <c r="B714" i="4"/>
  <c r="C595" i="4"/>
  <c r="B595" i="4"/>
  <c r="C494" i="4"/>
  <c r="B494" i="4"/>
  <c r="B879" i="4"/>
  <c r="C879" i="4"/>
  <c r="C746" i="4"/>
  <c r="B746" i="4"/>
  <c r="C459" i="4"/>
  <c r="B459" i="4"/>
  <c r="V3649" i="2"/>
  <c r="C392" i="4"/>
  <c r="B392" i="4"/>
  <c r="V4176" i="2"/>
  <c r="C531" i="4"/>
  <c r="B531" i="4"/>
  <c r="C917" i="4"/>
  <c r="B917" i="4"/>
  <c r="V4995" i="2"/>
  <c r="V3791" i="2"/>
  <c r="C877" i="4"/>
  <c r="B877" i="4"/>
  <c r="V4133" i="2"/>
  <c r="C535" i="4"/>
  <c r="B535" i="4"/>
  <c r="C777" i="4"/>
  <c r="B777" i="4"/>
  <c r="V2442" i="2"/>
  <c r="C540" i="4"/>
  <c r="B540" i="4"/>
  <c r="V3609" i="2"/>
  <c r="V2474" i="2"/>
  <c r="V2506" i="2"/>
  <c r="V2538" i="2"/>
  <c r="C380" i="4"/>
  <c r="B380" i="4"/>
  <c r="V2570" i="2"/>
  <c r="C894" i="4"/>
  <c r="B894" i="4"/>
  <c r="V2602" i="2"/>
  <c r="C852" i="4"/>
  <c r="B852" i="4"/>
  <c r="V3843" i="2"/>
  <c r="V2634" i="2"/>
  <c r="C928" i="4"/>
  <c r="B928" i="4"/>
  <c r="C526" i="4"/>
  <c r="B526" i="4"/>
  <c r="V2666" i="2"/>
  <c r="V2698" i="2"/>
  <c r="V2730" i="2"/>
  <c r="B923" i="4"/>
  <c r="C923" i="4"/>
  <c r="V3959" i="2"/>
  <c r="V2763" i="2"/>
  <c r="V2787" i="2"/>
  <c r="V2792" i="2"/>
  <c r="V2874" i="2"/>
  <c r="V2903" i="2"/>
  <c r="C219" i="4"/>
  <c r="B219" i="4"/>
  <c r="V2927" i="2"/>
  <c r="V3758" i="2"/>
  <c r="V3374" i="2"/>
  <c r="V2951" i="2"/>
  <c r="V2957" i="2"/>
  <c r="V2973" i="2"/>
  <c r="V3045" i="2"/>
  <c r="V3052" i="2"/>
  <c r="V3090" i="2"/>
  <c r="V3105" i="2"/>
  <c r="V3117" i="2"/>
  <c r="V3123" i="2"/>
  <c r="V3145" i="2"/>
  <c r="V3172" i="2"/>
  <c r="V3180" i="2"/>
  <c r="V3188" i="2"/>
  <c r="V3224" i="2"/>
  <c r="V3232" i="2"/>
  <c r="V3256" i="2"/>
  <c r="V2726" i="2"/>
  <c r="C970" i="4"/>
  <c r="B970" i="4"/>
  <c r="V4308" i="2"/>
  <c r="V2758" i="2"/>
  <c r="V2768" i="2"/>
  <c r="V2773" i="2"/>
  <c r="V2778" i="2"/>
  <c r="V2807" i="2"/>
  <c r="V2826" i="2"/>
  <c r="V2831" i="2"/>
  <c r="V2855" i="2"/>
  <c r="V2865" i="2"/>
  <c r="C609" i="4"/>
  <c r="B609" i="4"/>
  <c r="V2875" i="2"/>
  <c r="V2884" i="2"/>
  <c r="V2899" i="2"/>
  <c r="V2923" i="2"/>
  <c r="V2962" i="2"/>
  <c r="V2968" i="2"/>
  <c r="V2974" i="2"/>
  <c r="V3005" i="2"/>
  <c r="B359" i="4"/>
  <c r="C359" i="4"/>
  <c r="V4450" i="2"/>
  <c r="V3017" i="2"/>
  <c r="V3053" i="2"/>
  <c r="V3060" i="2"/>
  <c r="V3085" i="2"/>
  <c r="C593" i="4"/>
  <c r="B593" i="4"/>
  <c r="V3091" i="2"/>
  <c r="V4086" i="2"/>
  <c r="V3132" i="2"/>
  <c r="V3146" i="2"/>
  <c r="V3152" i="2"/>
  <c r="V3160" i="2"/>
  <c r="V3173" i="2"/>
  <c r="V3181" i="2"/>
  <c r="B246" i="4"/>
  <c r="C246" i="4"/>
  <c r="V3195" i="2"/>
  <c r="V4228" i="2"/>
  <c r="V3233" i="2"/>
  <c r="V3140" i="2"/>
  <c r="V3210" i="2"/>
  <c r="V2494" i="2"/>
  <c r="V2526" i="2"/>
  <c r="V2558" i="2"/>
  <c r="C511" i="4"/>
  <c r="B511" i="4"/>
  <c r="V3682" i="2"/>
  <c r="B304" i="4"/>
  <c r="C304" i="4"/>
  <c r="V4074" i="2"/>
  <c r="V2590" i="2"/>
  <c r="V2622" i="2"/>
  <c r="V2654" i="2"/>
  <c r="V2686" i="2"/>
  <c r="V2718" i="2"/>
  <c r="B274" i="4"/>
  <c r="C274" i="4"/>
  <c r="V2755" i="2"/>
  <c r="V2760" i="2"/>
  <c r="V2842" i="2"/>
  <c r="V2871" i="2"/>
  <c r="V2895" i="2"/>
  <c r="V2919" i="2"/>
  <c r="V2929" i="2"/>
  <c r="V2939" i="2"/>
  <c r="V2959" i="2"/>
  <c r="V2964" i="2"/>
  <c r="V2995" i="2"/>
  <c r="V3007" i="2"/>
  <c r="V3012" i="2"/>
  <c r="V3055" i="2"/>
  <c r="V3068" i="2"/>
  <c r="V3093" i="2"/>
  <c r="V3100" i="2"/>
  <c r="V3134" i="2"/>
  <c r="V3141" i="2"/>
  <c r="V3154" i="2"/>
  <c r="V3175" i="2"/>
  <c r="V3183" i="2"/>
  <c r="V2714" i="2"/>
  <c r="V2746" i="2"/>
  <c r="V2775" i="2"/>
  <c r="V2799" i="2"/>
  <c r="V2823" i="2"/>
  <c r="V2833" i="2"/>
  <c r="V2843" i="2"/>
  <c r="V2867" i="2"/>
  <c r="V2891" i="2"/>
  <c r="B907" i="4"/>
  <c r="C907" i="4"/>
  <c r="V3862" i="2"/>
  <c r="V3432" i="2"/>
  <c r="V2915" i="2"/>
  <c r="V2920" i="2"/>
  <c r="V2934" i="2"/>
  <c r="V2965" i="2"/>
  <c r="V2991" i="2"/>
  <c r="V2996" i="2"/>
  <c r="V3013" i="2"/>
  <c r="V3020" i="2"/>
  <c r="V3042" i="2"/>
  <c r="V3049" i="2"/>
  <c r="V3094" i="2"/>
  <c r="V3101" i="2"/>
  <c r="V3127" i="2"/>
  <c r="V3142" i="2"/>
  <c r="V3168" i="2"/>
  <c r="V3236" i="2"/>
  <c r="V3268" i="2"/>
  <c r="V2906" i="2"/>
  <c r="V2930" i="2"/>
  <c r="V2935" i="2"/>
  <c r="V2940" i="2"/>
  <c r="V2981" i="2"/>
  <c r="V3014" i="2"/>
  <c r="V3037" i="2"/>
  <c r="C479" i="4"/>
  <c r="B479" i="4"/>
  <c r="V3063" i="2"/>
  <c r="V4226" i="2"/>
  <c r="V3102" i="2"/>
  <c r="V3114" i="2"/>
  <c r="V3128" i="2"/>
  <c r="V3136" i="2"/>
  <c r="V3169" i="2"/>
  <c r="V3177" i="2"/>
  <c r="V3192" i="2"/>
  <c r="V3199" i="2"/>
  <c r="V3213" i="2"/>
  <c r="V3221" i="2"/>
  <c r="V3277" i="2"/>
  <c r="V2751" i="2"/>
  <c r="V2783" i="2"/>
  <c r="V2815" i="2"/>
  <c r="V2847" i="2"/>
  <c r="V2879" i="2"/>
  <c r="V2911" i="2"/>
  <c r="C932" i="4"/>
  <c r="B932" i="4"/>
  <c r="V4768" i="2"/>
  <c r="V2943" i="2"/>
  <c r="V2983" i="2"/>
  <c r="V2988" i="2"/>
  <c r="V3003" i="2"/>
  <c r="V3029" i="2"/>
  <c r="V3059" i="2"/>
  <c r="V3070" i="2"/>
  <c r="V3111" i="2"/>
  <c r="V3116" i="2"/>
  <c r="V3131" i="2"/>
  <c r="V3157" i="2"/>
  <c r="V3187" i="2"/>
  <c r="V3198" i="2"/>
  <c r="V3209" i="2"/>
  <c r="V3220" i="2"/>
  <c r="V3231" i="2"/>
  <c r="V3247" i="2"/>
  <c r="V3253" i="2"/>
  <c r="V3264" i="2"/>
  <c r="C779" i="4"/>
  <c r="B779" i="4"/>
  <c r="V3276" i="2"/>
  <c r="V3316" i="2"/>
  <c r="V3328" i="2"/>
  <c r="V3334" i="2"/>
  <c r="V3341" i="2"/>
  <c r="V3346" i="2"/>
  <c r="V3359" i="2"/>
  <c r="V3372" i="2"/>
  <c r="V3390" i="2"/>
  <c r="V3416" i="2"/>
  <c r="V3421" i="2"/>
  <c r="V3428" i="2"/>
  <c r="V3449" i="2"/>
  <c r="V3468" i="2"/>
  <c r="V3526" i="2"/>
  <c r="V3533" i="2"/>
  <c r="V3574" i="2"/>
  <c r="V3588" i="2"/>
  <c r="V3602" i="2"/>
  <c r="V3265" i="2"/>
  <c r="V3270" i="2"/>
  <c r="V3288" i="2"/>
  <c r="V3305" i="2"/>
  <c r="V3317" i="2"/>
  <c r="V3329" i="2"/>
  <c r="V3335" i="2"/>
  <c r="V3347" i="2"/>
  <c r="V3360" i="2"/>
  <c r="V3366" i="2"/>
  <c r="V3373" i="2"/>
  <c r="V3378" i="2"/>
  <c r="V3391" i="2"/>
  <c r="C735" i="4"/>
  <c r="B735" i="4"/>
  <c r="V3404" i="2"/>
  <c r="V3422" i="2"/>
  <c r="V3442" i="2"/>
  <c r="V3456" i="2"/>
  <c r="V3469" i="2"/>
  <c r="V3488" i="2"/>
  <c r="V3493" i="2"/>
  <c r="V3500" i="2"/>
  <c r="V3520" i="2"/>
  <c r="V3534" i="2"/>
  <c r="V3548" i="2"/>
  <c r="V3582" i="2"/>
  <c r="V3589" i="2"/>
  <c r="V3617" i="2"/>
  <c r="V3646" i="2"/>
  <c r="V3660" i="2"/>
  <c r="V3698" i="2"/>
  <c r="V3747" i="2"/>
  <c r="V3143" i="2"/>
  <c r="V3148" i="2"/>
  <c r="V3163" i="2"/>
  <c r="V3189" i="2"/>
  <c r="V3200" i="2"/>
  <c r="V3259" i="2"/>
  <c r="V3271" i="2"/>
  <c r="V3282" i="2"/>
  <c r="V3294" i="2"/>
  <c r="V3306" i="2"/>
  <c r="V3348" i="2"/>
  <c r="V3361" i="2"/>
  <c r="V3367" i="2"/>
  <c r="V3379" i="2"/>
  <c r="V3392" i="2"/>
  <c r="V3398" i="2"/>
  <c r="V3405" i="2"/>
  <c r="V3410" i="2"/>
  <c r="V3423" i="2"/>
  <c r="V3436" i="2"/>
  <c r="V3457" i="2"/>
  <c r="V3462" i="2"/>
  <c r="V3470" i="2"/>
  <c r="V3476" i="2"/>
  <c r="V3494" i="2"/>
  <c r="V3501" i="2"/>
  <c r="V3541" i="2"/>
  <c r="V3562" i="2"/>
  <c r="V3576" i="2"/>
  <c r="V3604" i="2"/>
  <c r="V3626" i="2"/>
  <c r="V3661" i="2"/>
  <c r="V3721" i="2"/>
  <c r="V3031" i="2"/>
  <c r="V3046" i="2"/>
  <c r="B76" i="4"/>
  <c r="C76" i="4"/>
  <c r="V3087" i="2"/>
  <c r="V3092" i="2"/>
  <c r="V3103" i="2"/>
  <c r="V3133" i="2"/>
  <c r="V3159" i="2"/>
  <c r="V3174" i="2"/>
  <c r="V3227" i="2"/>
  <c r="V3238" i="2"/>
  <c r="V3244" i="2"/>
  <c r="V3283" i="2"/>
  <c r="V3295" i="2"/>
  <c r="V3349" i="2"/>
  <c r="V3380" i="2"/>
  <c r="V3393" i="2"/>
  <c r="V3399" i="2"/>
  <c r="C420" i="4"/>
  <c r="B420" i="4"/>
  <c r="V3411" i="2"/>
  <c r="V3424" i="2"/>
  <c r="V3430" i="2"/>
  <c r="V3444" i="2"/>
  <c r="V3463" i="2"/>
  <c r="V3471" i="2"/>
  <c r="V3495" i="2"/>
  <c r="V3502" i="2"/>
  <c r="V3529" i="2"/>
  <c r="V3536" i="2"/>
  <c r="V3542" i="2"/>
  <c r="V3648" i="2"/>
  <c r="V3655" i="2"/>
  <c r="V3676" i="2"/>
  <c r="V3684" i="2"/>
  <c r="V3212" i="2"/>
  <c r="V3239" i="2"/>
  <c r="B100" i="4"/>
  <c r="C100" i="4"/>
  <c r="V3496" i="2"/>
  <c r="V3728" i="2"/>
  <c r="V3284" i="2"/>
  <c r="V3296" i="2"/>
  <c r="V3308" i="2"/>
  <c r="V3337" i="2"/>
  <c r="V3350" i="2"/>
  <c r="V3381" i="2"/>
  <c r="V3412" i="2"/>
  <c r="V3431" i="2"/>
  <c r="V3452" i="2"/>
  <c r="V3472" i="2"/>
  <c r="V3478" i="2"/>
  <c r="V3522" i="2"/>
  <c r="V3570" i="2"/>
  <c r="V3598" i="2"/>
  <c r="V3606" i="2"/>
  <c r="V3620" i="2"/>
  <c r="V3628" i="2"/>
  <c r="V3670" i="2"/>
  <c r="V3693" i="2"/>
  <c r="V3709" i="2"/>
  <c r="V3078" i="2"/>
  <c r="V3119" i="2"/>
  <c r="V3124" i="2"/>
  <c r="V3135" i="2"/>
  <c r="V3165" i="2"/>
  <c r="V3207" i="2"/>
  <c r="V3245" i="2"/>
  <c r="V3250" i="2"/>
  <c r="V3261" i="2"/>
  <c r="C921" i="4"/>
  <c r="B921" i="4"/>
  <c r="V3273" i="2"/>
  <c r="V3285" i="2"/>
  <c r="V3297" i="2"/>
  <c r="V3302" i="2"/>
  <c r="C836" i="4"/>
  <c r="B836" i="4"/>
  <c r="V3320" i="2"/>
  <c r="V3325" i="2"/>
  <c r="V3332" i="2"/>
  <c r="V3338" i="2"/>
  <c r="V3369" i="2"/>
  <c r="V3382" i="2"/>
  <c r="V3413" i="2"/>
  <c r="V3438" i="2"/>
  <c r="V3446" i="2"/>
  <c r="V3465" i="2"/>
  <c r="V3497" i="2"/>
  <c r="V3510" i="2"/>
  <c r="V3552" i="2"/>
  <c r="V3558" i="2"/>
  <c r="V3565" i="2"/>
  <c r="V3571" i="2"/>
  <c r="V3592" i="2"/>
  <c r="V3599" i="2"/>
  <c r="V3621" i="2"/>
  <c r="V3629" i="2"/>
  <c r="V3671" i="2"/>
  <c r="V3702" i="2"/>
  <c r="V2997" i="2"/>
  <c r="V3027" i="2"/>
  <c r="V3038" i="2"/>
  <c r="V3079" i="2"/>
  <c r="V3084" i="2"/>
  <c r="V3099" i="2"/>
  <c r="V3125" i="2"/>
  <c r="V3155" i="2"/>
  <c r="V3166" i="2"/>
  <c r="V3218" i="2"/>
  <c r="V3229" i="2"/>
  <c r="V3251" i="2"/>
  <c r="V3262" i="2"/>
  <c r="V3274" i="2"/>
  <c r="B163" i="4"/>
  <c r="C163" i="4"/>
  <c r="V3291" i="2"/>
  <c r="V3303" i="2"/>
  <c r="V3314" i="2"/>
  <c r="V3326" i="2"/>
  <c r="V3352" i="2"/>
  <c r="V3357" i="2"/>
  <c r="V3364" i="2"/>
  <c r="V3370" i="2"/>
  <c r="V3401" i="2"/>
  <c r="V3414" i="2"/>
  <c r="V3439" i="2"/>
  <c r="V3447" i="2"/>
  <c r="V3466" i="2"/>
  <c r="V3480" i="2"/>
  <c r="V3517" i="2"/>
  <c r="V3593" i="2"/>
  <c r="V3608" i="2"/>
  <c r="V3630" i="2"/>
  <c r="V3643" i="2"/>
  <c r="V3657" i="2"/>
  <c r="V3023" i="2"/>
  <c r="V3028" i="2"/>
  <c r="V3039" i="2"/>
  <c r="V3069" i="2"/>
  <c r="V3095" i="2"/>
  <c r="V3110" i="2"/>
  <c r="C701" i="4"/>
  <c r="B701" i="4"/>
  <c r="V4732" i="2"/>
  <c r="V3973" i="2"/>
  <c r="V3151" i="2"/>
  <c r="V3156" i="2"/>
  <c r="V3167" i="2"/>
  <c r="V3197" i="2"/>
  <c r="V3219" i="2"/>
  <c r="V3230" i="2"/>
  <c r="V3241" i="2"/>
  <c r="V3252" i="2"/>
  <c r="V3263" i="2"/>
  <c r="V3286" i="2"/>
  <c r="V3315" i="2"/>
  <c r="V3327" i="2"/>
  <c r="V3340" i="2"/>
  <c r="V3358" i="2"/>
  <c r="V3384" i="2"/>
  <c r="V3389" i="2"/>
  <c r="V3396" i="2"/>
  <c r="V3402" i="2"/>
  <c r="V3433" i="2"/>
  <c r="V3440" i="2"/>
  <c r="V3448" i="2"/>
  <c r="V3481" i="2"/>
  <c r="V3512" i="2"/>
  <c r="C646" i="4"/>
  <c r="B646" i="4"/>
  <c r="V3518" i="2"/>
  <c r="V3525" i="2"/>
  <c r="V3580" i="2"/>
  <c r="V3594" i="2"/>
  <c r="V3615" i="2"/>
  <c r="V3623" i="2"/>
  <c r="V3712" i="2"/>
  <c r="V3770" i="2"/>
  <c r="V3783" i="2"/>
  <c r="V3832" i="2"/>
  <c r="V3869" i="2"/>
  <c r="V3890" i="2"/>
  <c r="V3895" i="2"/>
  <c r="V3908" i="2"/>
  <c r="V3915" i="2"/>
  <c r="V3943" i="2"/>
  <c r="V3957" i="2"/>
  <c r="V4042" i="2"/>
  <c r="V4049" i="2"/>
  <c r="V4080" i="2"/>
  <c r="V4094" i="2"/>
  <c r="V4138" i="2"/>
  <c r="V4208" i="2"/>
  <c r="V3279" i="2"/>
  <c r="C236" i="4"/>
  <c r="B236" i="4"/>
  <c r="V3311" i="2"/>
  <c r="V3343" i="2"/>
  <c r="V3375" i="2"/>
  <c r="V3407" i="2"/>
  <c r="V3454" i="2"/>
  <c r="V3483" i="2"/>
  <c r="V3507" i="2"/>
  <c r="V3531" i="2"/>
  <c r="C168" i="4"/>
  <c r="B168" i="4"/>
  <c r="V3567" i="2"/>
  <c r="V3572" i="2"/>
  <c r="V3583" i="2"/>
  <c r="V3613" i="2"/>
  <c r="V3639" i="2"/>
  <c r="V3644" i="2"/>
  <c r="C31" i="4"/>
  <c r="B31" i="4"/>
  <c r="V4631" i="2"/>
  <c r="V3677" i="2"/>
  <c r="V3710" i="2"/>
  <c r="V3726" i="2"/>
  <c r="V3748" i="2"/>
  <c r="V3753" i="2"/>
  <c r="V3759" i="2"/>
  <c r="V3771" i="2"/>
  <c r="V3784" i="2"/>
  <c r="V3844" i="2"/>
  <c r="V3850" i="2"/>
  <c r="V3870" i="2"/>
  <c r="V3951" i="2"/>
  <c r="V3987" i="2"/>
  <c r="V4001" i="2"/>
  <c r="V4015" i="2"/>
  <c r="V4043" i="2"/>
  <c r="V4066" i="2"/>
  <c r="V4201" i="2"/>
  <c r="V4240" i="2"/>
  <c r="V4272" i="2"/>
  <c r="V2955" i="2"/>
  <c r="V2987" i="2"/>
  <c r="V3019" i="2"/>
  <c r="V3051" i="2"/>
  <c r="V3083" i="2"/>
  <c r="V3115" i="2"/>
  <c r="V3147" i="2"/>
  <c r="V3179" i="2"/>
  <c r="V3211" i="2"/>
  <c r="V3243" i="2"/>
  <c r="V3275" i="2"/>
  <c r="C34" i="3"/>
  <c r="V3293" i="2"/>
  <c r="V3307" i="2"/>
  <c r="V3339" i="2"/>
  <c r="V3371" i="2"/>
  <c r="V3403" i="2"/>
  <c r="C461" i="4"/>
  <c r="B461" i="4"/>
  <c r="V3435" i="2"/>
  <c r="V3445" i="2"/>
  <c r="V3455" i="2"/>
  <c r="V3479" i="2"/>
  <c r="V3503" i="2"/>
  <c r="V3527" i="2"/>
  <c r="V3532" i="2"/>
  <c r="V3547" i="2"/>
  <c r="V3557" i="2"/>
  <c r="V3573" i="2"/>
  <c r="V3603" i="2"/>
  <c r="V3614" i="2"/>
  <c r="V3645" i="2"/>
  <c r="V3666" i="2"/>
  <c r="V3678" i="2"/>
  <c r="V3694" i="2"/>
  <c r="V3711" i="2"/>
  <c r="V3727" i="2"/>
  <c r="V3732" i="2"/>
  <c r="V3760" i="2"/>
  <c r="V3797" i="2"/>
  <c r="V3839" i="2"/>
  <c r="V3851" i="2"/>
  <c r="V3864" i="2"/>
  <c r="V3878" i="2"/>
  <c r="V3897" i="2"/>
  <c r="C865" i="4"/>
  <c r="B865" i="4"/>
  <c r="V3923" i="2"/>
  <c r="V3937" i="2"/>
  <c r="V3945" i="2"/>
  <c r="V3988" i="2"/>
  <c r="V3995" i="2"/>
  <c r="V4002" i="2"/>
  <c r="V4016" i="2"/>
  <c r="V4051" i="2"/>
  <c r="V4059" i="2"/>
  <c r="V4082" i="2"/>
  <c r="V4117" i="2"/>
  <c r="V4210" i="2"/>
  <c r="V4233" i="2"/>
  <c r="V4265" i="2"/>
  <c r="V3662" i="2"/>
  <c r="V3679" i="2"/>
  <c r="V3695" i="2"/>
  <c r="V3700" i="2"/>
  <c r="V3733" i="2"/>
  <c r="V3773" i="2"/>
  <c r="V3786" i="2"/>
  <c r="V3798" i="2"/>
  <c r="V3804" i="2"/>
  <c r="V3809" i="2"/>
  <c r="V3827" i="2"/>
  <c r="V3879" i="2"/>
  <c r="V3924" i="2"/>
  <c r="V3938" i="2"/>
  <c r="V4097" i="2"/>
  <c r="V4164" i="2"/>
  <c r="V2947" i="2"/>
  <c r="V2979" i="2"/>
  <c r="C348" i="4"/>
  <c r="B348" i="4"/>
  <c r="V3011" i="2"/>
  <c r="V3043" i="2"/>
  <c r="V3075" i="2"/>
  <c r="V3107" i="2"/>
  <c r="C616" i="4"/>
  <c r="B616" i="4"/>
  <c r="V4454" i="2"/>
  <c r="V3139" i="2"/>
  <c r="C613" i="4"/>
  <c r="B613" i="4"/>
  <c r="V4484" i="2"/>
  <c r="V3171" i="2"/>
  <c r="V3203" i="2"/>
  <c r="V3235" i="2"/>
  <c r="V3267" i="2"/>
  <c r="B109" i="4"/>
  <c r="C109" i="4"/>
  <c r="V3299" i="2"/>
  <c r="V3331" i="2"/>
  <c r="V3363" i="2"/>
  <c r="V3395" i="2"/>
  <c r="V3451" i="2"/>
  <c r="V3475" i="2"/>
  <c r="V3499" i="2"/>
  <c r="V3509" i="2"/>
  <c r="V3519" i="2"/>
  <c r="C365" i="4"/>
  <c r="B365" i="4"/>
  <c r="V3559" i="2"/>
  <c r="V3564" i="2"/>
  <c r="V3579" i="2"/>
  <c r="V3605" i="2"/>
  <c r="V3647" i="2"/>
  <c r="V3663" i="2"/>
  <c r="V3668" i="2"/>
  <c r="V3701" i="2"/>
  <c r="V3717" i="2"/>
  <c r="V3774" i="2"/>
  <c r="V3787" i="2"/>
  <c r="V3810" i="2"/>
  <c r="V3821" i="2"/>
  <c r="V3828" i="2"/>
  <c r="V3893" i="2"/>
  <c r="V3961" i="2"/>
  <c r="V3997" i="2"/>
  <c r="V4025" i="2"/>
  <c r="V4061" i="2"/>
  <c r="V4106" i="2"/>
  <c r="V4134" i="2"/>
  <c r="V4196" i="2"/>
  <c r="V3549" i="2"/>
  <c r="V3575" i="2"/>
  <c r="V3590" i="2"/>
  <c r="V3631" i="2"/>
  <c r="V3636" i="2"/>
  <c r="V3669" i="2"/>
  <c r="V3685" i="2"/>
  <c r="V3718" i="2"/>
  <c r="V3739" i="2"/>
  <c r="V3775" i="2"/>
  <c r="V3788" i="2"/>
  <c r="V3793" i="2"/>
  <c r="V3800" i="2"/>
  <c r="V3811" i="2"/>
  <c r="V3859" i="2"/>
  <c r="V3873" i="2"/>
  <c r="V3881" i="2"/>
  <c r="V3887" i="2"/>
  <c r="V3900" i="2"/>
  <c r="V3933" i="2"/>
  <c r="V3962" i="2"/>
  <c r="V4026" i="2"/>
  <c r="V4070" i="2"/>
  <c r="V4099" i="2"/>
  <c r="V4151" i="2"/>
  <c r="V3323" i="2"/>
  <c r="V3355" i="2"/>
  <c r="V3387" i="2"/>
  <c r="V3419" i="2"/>
  <c r="V3486" i="2"/>
  <c r="V3515" i="2"/>
  <c r="V3539" i="2"/>
  <c r="V3550" i="2"/>
  <c r="V3591" i="2"/>
  <c r="V3596" i="2"/>
  <c r="V3611" i="2"/>
  <c r="V3637" i="2"/>
  <c r="V3653" i="2"/>
  <c r="V3686" i="2"/>
  <c r="V3707" i="2"/>
  <c r="V3719" i="2"/>
  <c r="V3724" i="2"/>
  <c r="V3735" i="2"/>
  <c r="V3740" i="2"/>
  <c r="V3745" i="2"/>
  <c r="V3763" i="2"/>
  <c r="V3794" i="2"/>
  <c r="V3812" i="2"/>
  <c r="V3817" i="2"/>
  <c r="V3823" i="2"/>
  <c r="V3830" i="2"/>
  <c r="V3836" i="2"/>
  <c r="V3860" i="2"/>
  <c r="V3867" i="2"/>
  <c r="V3874" i="2"/>
  <c r="V3888" i="2"/>
  <c r="V3934" i="2"/>
  <c r="V3978" i="2"/>
  <c r="V4006" i="2"/>
  <c r="V4071" i="2"/>
  <c r="V4092" i="2"/>
  <c r="V4183" i="2"/>
  <c r="V4355" i="2"/>
  <c r="V4370" i="2"/>
  <c r="V4378" i="2"/>
  <c r="V4409" i="2"/>
  <c r="V3191" i="2"/>
  <c r="V3223" i="2"/>
  <c r="V3255" i="2"/>
  <c r="C759" i="4"/>
  <c r="B759" i="4"/>
  <c r="V3287" i="2"/>
  <c r="V3319" i="2"/>
  <c r="V3351" i="2"/>
  <c r="B258" i="4"/>
  <c r="C258" i="4"/>
  <c r="V4959" i="2"/>
  <c r="V3383" i="2"/>
  <c r="V3415" i="2"/>
  <c r="V3443" i="2"/>
  <c r="V3467" i="2"/>
  <c r="V3477" i="2"/>
  <c r="V3487" i="2"/>
  <c r="V3511" i="2"/>
  <c r="B209" i="4"/>
  <c r="C209" i="4"/>
  <c r="V3535" i="2"/>
  <c r="V3540" i="2"/>
  <c r="V3551" i="2"/>
  <c r="V3581" i="2"/>
  <c r="V3607" i="2"/>
  <c r="V3622" i="2"/>
  <c r="V3654" i="2"/>
  <c r="V3675" i="2"/>
  <c r="V3687" i="2"/>
  <c r="V3692" i="2"/>
  <c r="V3703" i="2"/>
  <c r="V3708" i="2"/>
  <c r="V3746" i="2"/>
  <c r="V3757" i="2"/>
  <c r="V3764" i="2"/>
  <c r="C757" i="4"/>
  <c r="B757" i="4"/>
  <c r="V3769" i="2"/>
  <c r="V3782" i="2"/>
  <c r="V3824" i="2"/>
  <c r="V3914" i="2"/>
  <c r="V3928" i="2"/>
  <c r="V3942" i="2"/>
  <c r="V3972" i="2"/>
  <c r="V3979" i="2"/>
  <c r="V4021" i="2"/>
  <c r="V4028" i="2"/>
  <c r="V4079" i="2"/>
  <c r="V4122" i="2"/>
  <c r="V4129" i="2"/>
  <c r="V4246" i="2"/>
  <c r="V4332" i="2"/>
  <c r="V4159" i="2"/>
  <c r="V4171" i="2"/>
  <c r="V4185" i="2"/>
  <c r="V4191" i="2"/>
  <c r="V4217" i="2"/>
  <c r="V4248" i="2"/>
  <c r="V4311" i="2"/>
  <c r="V4334" i="2"/>
  <c r="V3635" i="2"/>
  <c r="V3667" i="2"/>
  <c r="V3699" i="2"/>
  <c r="V3731" i="2"/>
  <c r="V3803" i="2"/>
  <c r="V3838" i="2"/>
  <c r="V3849" i="2"/>
  <c r="V3876" i="2"/>
  <c r="V3892" i="2"/>
  <c r="B529" i="4"/>
  <c r="C529" i="4"/>
  <c r="V3925" i="2"/>
  <c r="V3963" i="2"/>
  <c r="V3984" i="2"/>
  <c r="V3996" i="2"/>
  <c r="V4017" i="2"/>
  <c r="V4039" i="2"/>
  <c r="V4050" i="2"/>
  <c r="V4088" i="2"/>
  <c r="V4100" i="2"/>
  <c r="C482" i="4"/>
  <c r="B482" i="4"/>
  <c r="V4111" i="2"/>
  <c r="V4123" i="2"/>
  <c r="V4135" i="2"/>
  <c r="V4146" i="2"/>
  <c r="V4153" i="2"/>
  <c r="V4160" i="2"/>
  <c r="V4172" i="2"/>
  <c r="V4178" i="2"/>
  <c r="V4192" i="2"/>
  <c r="V4204" i="2"/>
  <c r="V4254" i="2"/>
  <c r="V4299" i="2"/>
  <c r="V4320" i="2"/>
  <c r="V4350" i="2"/>
  <c r="V4357" i="2"/>
  <c r="V4373" i="2"/>
  <c r="V4396" i="2"/>
  <c r="V3931" i="2"/>
  <c r="V3952" i="2"/>
  <c r="V3964" i="2"/>
  <c r="V3985" i="2"/>
  <c r="V4007" i="2"/>
  <c r="V4018" i="2"/>
  <c r="V4062" i="2"/>
  <c r="V4067" i="2"/>
  <c r="V4073" i="2"/>
  <c r="V4112" i="2"/>
  <c r="V4124" i="2"/>
  <c r="V4147" i="2"/>
  <c r="V4161" i="2"/>
  <c r="V4193" i="2"/>
  <c r="V4198" i="2"/>
  <c r="V4224" i="2"/>
  <c r="V4236" i="2"/>
  <c r="V4261" i="2"/>
  <c r="V4280" i="2"/>
  <c r="V4286" i="2"/>
  <c r="V4293" i="2"/>
  <c r="V4389" i="2"/>
  <c r="V3563" i="2"/>
  <c r="V3595" i="2"/>
  <c r="V3627" i="2"/>
  <c r="V3659" i="2"/>
  <c r="V3691" i="2"/>
  <c r="V3723" i="2"/>
  <c r="B57" i="4"/>
  <c r="C57" i="4"/>
  <c r="V3756" i="2"/>
  <c r="V3780" i="2"/>
  <c r="V3785" i="2"/>
  <c r="V3829" i="2"/>
  <c r="V3861" i="2"/>
  <c r="V3899" i="2"/>
  <c r="V3920" i="2"/>
  <c r="V3932" i="2"/>
  <c r="V3953" i="2"/>
  <c r="V3975" i="2"/>
  <c r="V3986" i="2"/>
  <c r="V4024" i="2"/>
  <c r="V4030" i="2"/>
  <c r="V4035" i="2"/>
  <c r="V4041" i="2"/>
  <c r="V4068" i="2"/>
  <c r="V4113" i="2"/>
  <c r="V4125" i="2"/>
  <c r="V4137" i="2"/>
  <c r="V4148" i="2"/>
  <c r="V4167" i="2"/>
  <c r="V4180" i="2"/>
  <c r="V4199" i="2"/>
  <c r="V4212" i="2"/>
  <c r="V4230" i="2"/>
  <c r="V4237" i="2"/>
  <c r="V4256" i="2"/>
  <c r="V4262" i="2"/>
  <c r="V4269" i="2"/>
  <c r="V4281" i="2"/>
  <c r="V4337" i="2"/>
  <c r="V4352" i="2"/>
  <c r="V4398" i="2"/>
  <c r="V4414" i="2"/>
  <c r="V3954" i="2"/>
  <c r="V3992" i="2"/>
  <c r="V3998" i="2"/>
  <c r="V4003" i="2"/>
  <c r="V4009" i="2"/>
  <c r="V4036" i="2"/>
  <c r="V4052" i="2"/>
  <c r="V4085" i="2"/>
  <c r="V4090" i="2"/>
  <c r="V4102" i="2"/>
  <c r="V4114" i="2"/>
  <c r="V4126" i="2"/>
  <c r="V4131" i="2"/>
  <c r="V4149" i="2"/>
  <c r="V4156" i="2"/>
  <c r="V4174" i="2"/>
  <c r="V4181" i="2"/>
  <c r="V4188" i="2"/>
  <c r="V4206" i="2"/>
  <c r="V4231" i="2"/>
  <c r="V4238" i="2"/>
  <c r="V4250" i="2"/>
  <c r="V4270" i="2"/>
  <c r="V4282" i="2"/>
  <c r="V4315" i="2"/>
  <c r="V4345" i="2"/>
  <c r="V4368" i="2"/>
  <c r="V3427" i="2"/>
  <c r="V3459" i="2"/>
  <c r="B230" i="4"/>
  <c r="C230" i="4"/>
  <c r="V3491" i="2"/>
  <c r="V3523" i="2"/>
  <c r="V3555" i="2"/>
  <c r="V3587" i="2"/>
  <c r="V3619" i="2"/>
  <c r="V3651" i="2"/>
  <c r="C418" i="4"/>
  <c r="B418" i="4"/>
  <c r="V4661" i="2"/>
  <c r="B135" i="4"/>
  <c r="C135" i="4"/>
  <c r="V3683" i="2"/>
  <c r="V3715" i="2"/>
  <c r="C990" i="4"/>
  <c r="B990" i="4"/>
  <c r="B931" i="4"/>
  <c r="C931" i="4"/>
  <c r="V3752" i="2"/>
  <c r="V3762" i="2"/>
  <c r="V3772" i="2"/>
  <c r="V3796" i="2"/>
  <c r="V3835" i="2"/>
  <c r="V3856" i="2"/>
  <c r="V3868" i="2"/>
  <c r="V3911" i="2"/>
  <c r="V3922" i="2"/>
  <c r="V3960" i="2"/>
  <c r="V3966" i="2"/>
  <c r="V3971" i="2"/>
  <c r="V3977" i="2"/>
  <c r="V4004" i="2"/>
  <c r="V4020" i="2"/>
  <c r="V4053" i="2"/>
  <c r="V4058" i="2"/>
  <c r="V4091" i="2"/>
  <c r="V4103" i="2"/>
  <c r="V4120" i="2"/>
  <c r="V4132" i="2"/>
  <c r="V4143" i="2"/>
  <c r="V4150" i="2"/>
  <c r="V4175" i="2"/>
  <c r="V4182" i="2"/>
  <c r="V4207" i="2"/>
  <c r="V4214" i="2"/>
  <c r="V4289" i="2"/>
  <c r="V4361" i="2"/>
  <c r="V3768" i="2"/>
  <c r="V3792" i="2"/>
  <c r="V3816" i="2"/>
  <c r="V3826" i="2"/>
  <c r="V3847" i="2"/>
  <c r="V3858" i="2"/>
  <c r="V3896" i="2"/>
  <c r="V3902" i="2"/>
  <c r="V3913" i="2"/>
  <c r="V3940" i="2"/>
  <c r="V3956" i="2"/>
  <c r="V3989" i="2"/>
  <c r="V3994" i="2"/>
  <c r="V4027" i="2"/>
  <c r="B68" i="4"/>
  <c r="C68" i="4"/>
  <c r="B674" i="4"/>
  <c r="C674" i="4"/>
  <c r="V4048" i="2"/>
  <c r="V4060" i="2"/>
  <c r="V4081" i="2"/>
  <c r="V4093" i="2"/>
  <c r="V4105" i="2"/>
  <c r="V4139" i="2"/>
  <c r="C430" i="4"/>
  <c r="B430" i="4"/>
  <c r="V4170" i="2"/>
  <c r="V4696" i="2"/>
  <c r="V4184" i="2"/>
  <c r="V4202" i="2"/>
  <c r="V4216" i="2"/>
  <c r="V4084" i="2"/>
  <c r="V4116" i="2"/>
  <c r="V4158" i="2"/>
  <c r="V4187" i="2"/>
  <c r="V4211" i="2"/>
  <c r="V4235" i="2"/>
  <c r="V4245" i="2"/>
  <c r="V4255" i="2"/>
  <c r="C598" i="4"/>
  <c r="B598" i="4"/>
  <c r="V4279" i="2"/>
  <c r="V4295" i="2"/>
  <c r="V4307" i="2"/>
  <c r="V4312" i="2"/>
  <c r="V4362" i="2"/>
  <c r="V4379" i="2"/>
  <c r="V4384" i="2"/>
  <c r="V4403" i="2"/>
  <c r="V4408" i="2"/>
  <c r="V4434" i="2"/>
  <c r="V4467" i="2"/>
  <c r="V4511" i="2"/>
  <c r="V4518" i="2"/>
  <c r="V4555" i="2"/>
  <c r="V4594" i="2"/>
  <c r="V4623" i="2"/>
  <c r="V4674" i="2"/>
  <c r="V4893" i="2"/>
  <c r="V4957" i="2"/>
  <c r="V4989" i="2"/>
  <c r="V4296" i="2"/>
  <c r="V4302" i="2"/>
  <c r="V4363" i="2"/>
  <c r="V4385" i="2"/>
  <c r="V4391" i="2"/>
  <c r="V4428" i="2"/>
  <c r="V4435" i="2"/>
  <c r="V4440" i="2"/>
  <c r="V4460" i="2"/>
  <c r="V4480" i="2"/>
  <c r="V4487" i="2"/>
  <c r="V4540" i="2"/>
  <c r="V4564" i="2"/>
  <c r="V4572" i="2"/>
  <c r="V4603" i="2"/>
  <c r="V4659" i="2"/>
  <c r="V4667" i="2"/>
  <c r="V4712" i="2"/>
  <c r="V3820" i="2"/>
  <c r="V3852" i="2"/>
  <c r="V3884" i="2"/>
  <c r="V3916" i="2"/>
  <c r="V3948" i="2"/>
  <c r="V3980" i="2"/>
  <c r="C673" i="4"/>
  <c r="B673" i="4"/>
  <c r="V4012" i="2"/>
  <c r="V4044" i="2"/>
  <c r="V4076" i="2"/>
  <c r="V4108" i="2"/>
  <c r="V4140" i="2"/>
  <c r="V4222" i="2"/>
  <c r="V4251" i="2"/>
  <c r="V4275" i="2"/>
  <c r="V4291" i="2"/>
  <c r="V4297" i="2"/>
  <c r="V4330" i="2"/>
  <c r="V4347" i="2"/>
  <c r="V4364" i="2"/>
  <c r="V4421" i="2"/>
  <c r="V4453" i="2"/>
  <c r="V4507" i="2"/>
  <c r="V4541" i="2"/>
  <c r="V4549" i="2"/>
  <c r="V4557" i="2"/>
  <c r="V4581" i="2"/>
  <c r="V4596" i="2"/>
  <c r="V4625" i="2"/>
  <c r="V4640" i="2"/>
  <c r="V4720" i="2"/>
  <c r="V4728" i="2"/>
  <c r="V4808" i="2"/>
  <c r="V3848" i="2"/>
  <c r="V3880" i="2"/>
  <c r="V3912" i="2"/>
  <c r="V3944" i="2"/>
  <c r="V3976" i="2"/>
  <c r="V4008" i="2"/>
  <c r="V4040" i="2"/>
  <c r="V4072" i="2"/>
  <c r="V4104" i="2"/>
  <c r="V4136" i="2"/>
  <c r="V4155" i="2"/>
  <c r="V4179" i="2"/>
  <c r="V4203" i="2"/>
  <c r="V4213" i="2"/>
  <c r="V4223" i="2"/>
  <c r="V4247" i="2"/>
  <c r="B217" i="4"/>
  <c r="C217" i="4"/>
  <c r="V4271" i="2"/>
  <c r="V4298" i="2"/>
  <c r="V4314" i="2"/>
  <c r="V4325" i="2"/>
  <c r="V4430" i="2"/>
  <c r="V4462" i="2"/>
  <c r="V4489" i="2"/>
  <c r="V4521" i="2"/>
  <c r="V4550" i="2"/>
  <c r="V4669" i="2"/>
  <c r="V4692" i="2"/>
  <c r="V4737" i="2"/>
  <c r="V4353" i="2"/>
  <c r="V4371" i="2"/>
  <c r="V4376" i="2"/>
  <c r="V4411" i="2"/>
  <c r="V4416" i="2"/>
  <c r="V4423" i="2"/>
  <c r="V4528" i="2"/>
  <c r="V4535" i="2"/>
  <c r="V4543" i="2"/>
  <c r="V4559" i="2"/>
  <c r="V4567" i="2"/>
  <c r="V3744" i="2"/>
  <c r="V3776" i="2"/>
  <c r="V3808" i="2"/>
  <c r="V3840" i="2"/>
  <c r="V3872" i="2"/>
  <c r="V3904" i="2"/>
  <c r="C752" i="4"/>
  <c r="B752" i="4"/>
  <c r="V3936" i="2"/>
  <c r="V3968" i="2"/>
  <c r="V4000" i="2"/>
  <c r="V4032" i="2"/>
  <c r="V4064" i="2"/>
  <c r="V4096" i="2"/>
  <c r="V4128" i="2"/>
  <c r="V4190" i="2"/>
  <c r="V4219" i="2"/>
  <c r="V4243" i="2"/>
  <c r="V4267" i="2"/>
  <c r="V4277" i="2"/>
  <c r="V4283" i="2"/>
  <c r="V4321" i="2"/>
  <c r="V4338" i="2"/>
  <c r="V4359" i="2"/>
  <c r="V4366" i="2"/>
  <c r="V4394" i="2"/>
  <c r="V4417" i="2"/>
  <c r="V4443" i="2"/>
  <c r="V4448" i="2"/>
  <c r="V4497" i="2"/>
  <c r="V4552" i="2"/>
  <c r="V4576" i="2"/>
  <c r="V4584" i="2"/>
  <c r="V4649" i="2"/>
  <c r="V4671" i="2"/>
  <c r="V4215" i="2"/>
  <c r="V4239" i="2"/>
  <c r="V4263" i="2"/>
  <c r="V4268" i="2"/>
  <c r="V4327" i="2"/>
  <c r="V4339" i="2"/>
  <c r="V4344" i="2"/>
  <c r="V4360" i="2"/>
  <c r="V4425" i="2"/>
  <c r="V4449" i="2"/>
  <c r="V4457" i="2"/>
  <c r="V4472" i="2"/>
  <c r="V4516" i="2"/>
  <c r="V4530" i="2"/>
  <c r="V4545" i="2"/>
  <c r="V4577" i="2"/>
  <c r="V4679" i="2"/>
  <c r="V4687" i="2"/>
  <c r="V4756" i="2"/>
  <c r="V4402" i="2"/>
  <c r="V4426" i="2"/>
  <c r="V4458" i="2"/>
  <c r="V4466" i="2"/>
  <c r="V4485" i="2"/>
  <c r="V4562" i="2"/>
  <c r="V4593" i="2"/>
  <c r="V4601" i="2"/>
  <c r="V4608" i="2"/>
  <c r="V4630" i="2"/>
  <c r="V4657" i="2"/>
  <c r="V4741" i="2"/>
  <c r="V4305" i="2"/>
  <c r="V4331" i="2"/>
  <c r="V4346" i="2"/>
  <c r="V4387" i="2"/>
  <c r="V4392" i="2"/>
  <c r="V4407" i="2"/>
  <c r="V4433" i="2"/>
  <c r="V4459" i="2"/>
  <c r="V4474" i="2"/>
  <c r="V4494" i="2"/>
  <c r="V4500" i="2"/>
  <c r="V4563" i="2"/>
  <c r="V4613" i="2"/>
  <c r="V4646" i="2"/>
  <c r="V4710" i="2"/>
  <c r="V4723" i="2"/>
  <c r="V4787" i="2"/>
  <c r="V4475" i="2"/>
  <c r="V4490" i="2"/>
  <c r="V4495" i="2"/>
  <c r="V4506" i="2"/>
  <c r="V4536" i="2"/>
  <c r="V4553" i="2"/>
  <c r="V4569" i="2"/>
  <c r="V4647" i="2"/>
  <c r="V4682" i="2"/>
  <c r="V4705" i="2"/>
  <c r="V4730" i="2"/>
  <c r="V4895" i="2"/>
  <c r="V4927" i="2"/>
  <c r="V4991" i="2"/>
  <c r="V4419" i="2"/>
  <c r="V4424" i="2"/>
  <c r="V4439" i="2"/>
  <c r="V4465" i="2"/>
  <c r="V4496" i="2"/>
  <c r="V4526" i="2"/>
  <c r="V4537" i="2"/>
  <c r="V4548" i="2"/>
  <c r="V4554" i="2"/>
  <c r="V4570" i="2"/>
  <c r="V4575" i="2"/>
  <c r="V4586" i="2"/>
  <c r="V4615" i="2"/>
  <c r="V4642" i="2"/>
  <c r="V4664" i="2"/>
  <c r="V4676" i="2"/>
  <c r="V4694" i="2"/>
  <c r="V4706" i="2"/>
  <c r="V4717" i="2"/>
  <c r="V4731" i="2"/>
  <c r="V4744" i="2"/>
  <c r="V4751" i="2"/>
  <c r="V4781" i="2"/>
  <c r="V4796" i="2"/>
  <c r="V4811" i="2"/>
  <c r="V4840" i="2"/>
  <c r="V4904" i="2"/>
  <c r="V4968" i="2"/>
  <c r="V4455" i="2"/>
  <c r="V4481" i="2"/>
  <c r="V4502" i="2"/>
  <c r="V4512" i="2"/>
  <c r="V4538" i="2"/>
  <c r="V4587" i="2"/>
  <c r="V4598" i="2"/>
  <c r="V4604" i="2"/>
  <c r="V4616" i="2"/>
  <c r="V4654" i="2"/>
  <c r="V4665" i="2"/>
  <c r="V4677" i="2"/>
  <c r="V4767" i="2"/>
  <c r="V4797" i="2"/>
  <c r="V4849" i="2"/>
  <c r="V4913" i="2"/>
  <c r="V4977" i="2"/>
  <c r="V4163" i="2"/>
  <c r="V4195" i="2"/>
  <c r="V4227" i="2"/>
  <c r="V4259" i="2"/>
  <c r="V4323" i="2"/>
  <c r="V4328" i="2"/>
  <c r="V4343" i="2"/>
  <c r="V4369" i="2"/>
  <c r="V4395" i="2"/>
  <c r="V4410" i="2"/>
  <c r="V4451" i="2"/>
  <c r="V4456" i="2"/>
  <c r="V4471" i="2"/>
  <c r="V4539" i="2"/>
  <c r="V4560" i="2"/>
  <c r="V4566" i="2"/>
  <c r="V4599" i="2"/>
  <c r="V4610" i="2"/>
  <c r="V4622" i="2"/>
  <c r="V4628" i="2"/>
  <c r="V4666" i="2"/>
  <c r="V4805" i="2"/>
  <c r="V4733" i="2"/>
  <c r="V4769" i="2"/>
  <c r="V4843" i="2"/>
  <c r="V4875" i="2"/>
  <c r="V4939" i="2"/>
  <c r="V4971" i="2"/>
  <c r="V4375" i="2"/>
  <c r="V4401" i="2"/>
  <c r="V4427" i="2"/>
  <c r="V4442" i="2"/>
  <c r="C551" i="4"/>
  <c r="B551" i="4"/>
  <c r="V4483" i="2"/>
  <c r="V4488" i="2"/>
  <c r="B330" i="4"/>
  <c r="C330" i="4"/>
  <c r="V4514" i="2"/>
  <c r="V4519" i="2"/>
  <c r="V4529" i="2"/>
  <c r="V4578" i="2"/>
  <c r="V4583" i="2"/>
  <c r="V4589" i="2"/>
  <c r="V4618" i="2"/>
  <c r="V4656" i="2"/>
  <c r="V4680" i="2"/>
  <c r="V4686" i="2"/>
  <c r="V4697" i="2"/>
  <c r="V4703" i="2"/>
  <c r="V4721" i="2"/>
  <c r="V4740" i="2"/>
  <c r="V4785" i="2"/>
  <c r="V4792" i="2"/>
  <c r="V4807" i="2"/>
  <c r="V4829" i="2"/>
  <c r="V4884" i="2"/>
  <c r="V4916" i="2"/>
  <c r="V4980" i="2"/>
  <c r="V4866" i="2"/>
  <c r="V4877" i="2"/>
  <c r="V4883" i="2"/>
  <c r="V4910" i="2"/>
  <c r="V4953" i="2"/>
  <c r="B352" i="4"/>
  <c r="C352" i="4"/>
  <c r="V4964" i="2"/>
  <c r="V4986" i="2"/>
  <c r="V4997" i="2"/>
  <c r="V4746" i="2"/>
  <c r="V4761" i="2"/>
  <c r="V4782" i="2"/>
  <c r="V4802" i="2"/>
  <c r="V4834" i="2"/>
  <c r="V4845" i="2"/>
  <c r="V4851" i="2"/>
  <c r="V4878" i="2"/>
  <c r="V4921" i="2"/>
  <c r="V4932" i="2"/>
  <c r="V4954" i="2"/>
  <c r="V4965" i="2"/>
  <c r="V4976" i="2"/>
  <c r="V4987" i="2"/>
  <c r="V4998" i="2"/>
  <c r="V4303" i="2"/>
  <c r="V4335" i="2"/>
  <c r="V4367" i="2"/>
  <c r="V4399" i="2"/>
  <c r="V4431" i="2"/>
  <c r="V4463" i="2"/>
  <c r="V4505" i="2"/>
  <c r="V4534" i="2"/>
  <c r="V4558" i="2"/>
  <c r="V4582" i="2"/>
  <c r="V4592" i="2"/>
  <c r="V4602" i="2"/>
  <c r="V4626" i="2"/>
  <c r="V4650" i="2"/>
  <c r="B288" i="4"/>
  <c r="C288" i="4"/>
  <c r="V4685" i="2"/>
  <c r="V4711" i="2"/>
  <c r="V4726" i="2"/>
  <c r="V4752" i="2"/>
  <c r="V4762" i="2"/>
  <c r="V4772" i="2"/>
  <c r="V4813" i="2"/>
  <c r="V4819" i="2"/>
  <c r="V4846" i="2"/>
  <c r="V4889" i="2"/>
  <c r="V4900" i="2"/>
  <c r="V4922" i="2"/>
  <c r="V4933" i="2"/>
  <c r="V4944" i="2"/>
  <c r="V4955" i="2"/>
  <c r="V4966" i="2"/>
  <c r="V4982" i="2"/>
  <c r="V4988" i="2"/>
  <c r="V4999" i="2"/>
  <c r="V4742" i="2"/>
  <c r="V4763" i="2"/>
  <c r="V4778" i="2"/>
  <c r="V4793" i="2"/>
  <c r="V4814" i="2"/>
  <c r="V4857" i="2"/>
  <c r="V4868" i="2"/>
  <c r="V4890" i="2"/>
  <c r="V4901" i="2"/>
  <c r="V4912" i="2"/>
  <c r="V4923" i="2"/>
  <c r="V4934" i="2"/>
  <c r="V4950" i="2"/>
  <c r="V4956" i="2"/>
  <c r="V4967" i="2"/>
  <c r="V5000" i="2"/>
  <c r="V4743" i="2"/>
  <c r="V4758" i="2"/>
  <c r="V4784" i="2"/>
  <c r="V4794" i="2"/>
  <c r="V4804" i="2"/>
  <c r="V4825" i="2"/>
  <c r="V4836" i="2"/>
  <c r="V4858" i="2"/>
  <c r="V4869" i="2"/>
  <c r="V4880" i="2"/>
  <c r="V4891" i="2"/>
  <c r="V4902" i="2"/>
  <c r="V4918" i="2"/>
  <c r="V4924" i="2"/>
  <c r="V4935" i="2"/>
  <c r="V4972" i="2"/>
  <c r="V4994" i="2"/>
  <c r="V5001" i="2"/>
  <c r="V4718" i="2"/>
  <c r="V4738" i="2"/>
  <c r="V4774" i="2"/>
  <c r="V4795" i="2"/>
  <c r="V4826" i="2"/>
  <c r="V4837" i="2"/>
  <c r="V4848" i="2"/>
  <c r="V4859" i="2"/>
  <c r="V4870" i="2"/>
  <c r="V4886" i="2"/>
  <c r="V4892" i="2"/>
  <c r="V4903" i="2"/>
  <c r="V4962" i="2"/>
  <c r="C46" i="4"/>
  <c r="B46" i="4"/>
  <c r="V4973" i="2"/>
  <c r="V4979" i="2"/>
  <c r="V4287" i="2"/>
  <c r="V4319" i="2"/>
  <c r="V4351" i="2"/>
  <c r="C253" i="4"/>
  <c r="B253" i="4"/>
  <c r="V4383" i="2"/>
  <c r="C476" i="4"/>
  <c r="B476" i="4"/>
  <c r="V4415" i="2"/>
  <c r="V4447" i="2"/>
  <c r="V4479" i="2"/>
  <c r="V4498" i="2"/>
  <c r="V4522" i="2"/>
  <c r="V4546" i="2"/>
  <c r="V4551" i="2"/>
  <c r="V4633" i="2"/>
  <c r="V4662" i="2"/>
  <c r="V4688" i="2"/>
  <c r="V4698" i="2"/>
  <c r="V4708" i="2"/>
  <c r="V4749" i="2"/>
  <c r="V4775" i="2"/>
  <c r="V4790" i="2"/>
  <c r="V4816" i="2"/>
  <c r="V4827" i="2"/>
  <c r="V4838" i="2"/>
  <c r="V4854" i="2"/>
  <c r="V4860" i="2"/>
  <c r="V4871" i="2"/>
  <c r="V4930" i="2"/>
  <c r="V4941" i="2"/>
  <c r="V4947" i="2"/>
  <c r="V4974" i="2"/>
  <c r="B18" i="3"/>
  <c r="V4590" i="2"/>
  <c r="V4614" i="2"/>
  <c r="V4624" i="2"/>
  <c r="V4634" i="2"/>
  <c r="V4678" i="2"/>
  <c r="V4699" i="2"/>
  <c r="V4714" i="2"/>
  <c r="V4729" i="2"/>
  <c r="V4750" i="2"/>
  <c r="V4770" i="2"/>
  <c r="V4806" i="2"/>
  <c r="V4822" i="2"/>
  <c r="V4828" i="2"/>
  <c r="V4839" i="2"/>
  <c r="V4898" i="2"/>
  <c r="V4909" i="2"/>
  <c r="V4915" i="2"/>
  <c r="V4942" i="2"/>
  <c r="V4985" i="2"/>
  <c r="V4996" i="2"/>
  <c r="D37" i="3"/>
  <c r="E37" i="3" s="1"/>
  <c r="V4658" i="2"/>
  <c r="V4690" i="2"/>
  <c r="V4722" i="2"/>
  <c r="V4754" i="2"/>
  <c r="V4786" i="2"/>
  <c r="V4818" i="2"/>
  <c r="C483" i="4"/>
  <c r="B483" i="4"/>
  <c r="V4850" i="2"/>
  <c r="V4882" i="2"/>
  <c r="V4914" i="2"/>
  <c r="V4946" i="2"/>
  <c r="B524" i="4"/>
  <c r="C524" i="4"/>
  <c r="V4978" i="2"/>
  <c r="V4810" i="2"/>
  <c r="V4842" i="2"/>
  <c r="V4874" i="2"/>
  <c r="C800" i="4"/>
  <c r="B800" i="4"/>
  <c r="V4906" i="2"/>
  <c r="V4938" i="2"/>
  <c r="V4970" i="2"/>
  <c r="V4510" i="2"/>
  <c r="B238" i="4"/>
  <c r="C238" i="4"/>
  <c r="V4542" i="2"/>
  <c r="V4574" i="2"/>
  <c r="V4606" i="2"/>
  <c r="V4638" i="2"/>
  <c r="V4670" i="2"/>
  <c r="C475" i="4"/>
  <c r="B475" i="4"/>
  <c r="V4702" i="2"/>
  <c r="V4734" i="2"/>
  <c r="V4766" i="2"/>
  <c r="V4798" i="2"/>
  <c r="V4830" i="2"/>
  <c r="V4862" i="2"/>
  <c r="V4894" i="2"/>
  <c r="V4926" i="2"/>
  <c r="V4958" i="2"/>
  <c r="V4990" i="2"/>
  <c r="B20" i="3" l="1"/>
  <c r="B19" i="3"/>
  <c r="H73" i="1" s="1"/>
  <c r="N7" i="1"/>
  <c r="B21" i="3"/>
  <c r="B10" i="1"/>
  <c r="D34" i="3"/>
  <c r="I60" i="3"/>
  <c r="G60" i="3"/>
  <c r="J60" i="3"/>
  <c r="H60" i="3"/>
  <c r="D29" i="3"/>
  <c r="E29" i="3" s="1"/>
  <c r="B12" i="3"/>
  <c r="J10" i="1" s="1"/>
  <c r="B22" i="3"/>
  <c r="J7" i="1"/>
  <c r="D33" i="3"/>
  <c r="E33" i="3" s="1"/>
  <c r="B54" i="3"/>
  <c r="E51" i="1" s="1"/>
  <c r="E47" i="1"/>
  <c r="E27" i="3"/>
  <c r="I61" i="3"/>
  <c r="H61" i="3"/>
  <c r="G61" i="3"/>
  <c r="J61" i="3"/>
  <c r="B77" i="3"/>
  <c r="B81" i="3"/>
  <c r="B80" i="3"/>
  <c r="B79" i="3"/>
  <c r="B69" i="3"/>
  <c r="B74" i="3"/>
  <c r="B71" i="3"/>
  <c r="B76" i="3"/>
  <c r="B68" i="3"/>
  <c r="B73" i="3"/>
  <c r="B78" i="3"/>
  <c r="B72" i="3"/>
  <c r="B70" i="3"/>
  <c r="B75" i="3"/>
  <c r="G52" i="3"/>
  <c r="M49" i="1" s="1"/>
  <c r="H53" i="3"/>
  <c r="J50" i="1" s="1"/>
  <c r="N53" i="3"/>
  <c r="I53" i="3"/>
  <c r="O50" i="1" s="1"/>
  <c r="M53" i="3"/>
  <c r="L53" i="3"/>
  <c r="K53" i="3"/>
  <c r="S50" i="1" s="1"/>
  <c r="G50" i="1"/>
  <c r="I64" i="3"/>
  <c r="J64" i="3"/>
  <c r="H64" i="3"/>
  <c r="G64" i="3"/>
  <c r="E77" i="3"/>
  <c r="E75" i="3"/>
  <c r="E73" i="3"/>
  <c r="E71" i="3"/>
  <c r="E69" i="3"/>
  <c r="E74" i="3"/>
  <c r="E76" i="3"/>
  <c r="E68" i="3"/>
  <c r="E72" i="3"/>
  <c r="E70" i="3"/>
  <c r="G51" i="3"/>
  <c r="M48" i="1" s="1"/>
  <c r="D35" i="3"/>
  <c r="E35" i="3" s="1"/>
  <c r="M50" i="3"/>
  <c r="N50" i="3"/>
  <c r="E54" i="3"/>
  <c r="L50" i="3"/>
  <c r="K50" i="3"/>
  <c r="S47" i="1" s="1"/>
  <c r="I50" i="3"/>
  <c r="O47" i="1" s="1"/>
  <c r="H50" i="3"/>
  <c r="G47" i="1"/>
  <c r="M52" i="3"/>
  <c r="K52" i="3"/>
  <c r="S49" i="1" s="1"/>
  <c r="L52" i="3"/>
  <c r="I52" i="3"/>
  <c r="O49" i="1" s="1"/>
  <c r="H52" i="3"/>
  <c r="J49" i="1" s="1"/>
  <c r="N52" i="3"/>
  <c r="G49" i="1"/>
  <c r="D89" i="3"/>
  <c r="K112" i="1" s="1"/>
  <c r="F89" i="3"/>
  <c r="N112" i="1" s="1"/>
  <c r="H112" i="1"/>
  <c r="H51" i="3"/>
  <c r="J48" i="1" s="1"/>
  <c r="N51" i="3"/>
  <c r="M51" i="3"/>
  <c r="L51" i="3"/>
  <c r="K51" i="3"/>
  <c r="S48" i="1" s="1"/>
  <c r="I51" i="3"/>
  <c r="O48" i="1" s="1"/>
  <c r="G48" i="1"/>
  <c r="B7" i="3"/>
  <c r="B11" i="3"/>
  <c r="J9" i="1" s="1"/>
  <c r="B7" i="1"/>
  <c r="G50" i="3"/>
  <c r="M47" i="1" s="1"/>
  <c r="F54" i="3"/>
  <c r="I58" i="3"/>
  <c r="J58" i="3"/>
  <c r="H58" i="3"/>
  <c r="G58" i="3"/>
  <c r="E28" i="3"/>
  <c r="G53" i="3"/>
  <c r="M50" i="1" s="1"/>
  <c r="F86" i="3"/>
  <c r="N109" i="1" s="1"/>
  <c r="D86" i="3"/>
  <c r="K109" i="1" s="1"/>
  <c r="H109" i="1"/>
  <c r="D88" i="3"/>
  <c r="K111" i="1" s="1"/>
  <c r="F88" i="3"/>
  <c r="N111" i="1" s="1"/>
  <c r="H111" i="1"/>
  <c r="C54" i="3"/>
  <c r="I59" i="3"/>
  <c r="J59" i="3"/>
  <c r="H59" i="3"/>
  <c r="G59" i="3"/>
  <c r="B69" i="1"/>
  <c r="F10" i="1"/>
  <c r="I63" i="3"/>
  <c r="J63" i="3"/>
  <c r="H63" i="3"/>
  <c r="G63" i="3"/>
  <c r="D54" i="3"/>
  <c r="D30" i="3"/>
  <c r="E30" i="3" s="1"/>
  <c r="I62" i="3"/>
  <c r="J62" i="3"/>
  <c r="H62" i="3"/>
  <c r="G62" i="3"/>
  <c r="B13" i="3"/>
  <c r="B15" i="3" s="1"/>
  <c r="R7" i="1" s="1"/>
  <c r="B16" i="3"/>
  <c r="R10" i="1" s="1"/>
  <c r="D87" i="3"/>
  <c r="K110" i="1" s="1"/>
  <c r="F87" i="3"/>
  <c r="N110" i="1" s="1"/>
  <c r="H110" i="1"/>
  <c r="F77" i="3" l="1"/>
  <c r="G77" i="3" s="1"/>
  <c r="E31" i="3"/>
  <c r="F76" i="3"/>
  <c r="G76" i="3" s="1"/>
  <c r="H54" i="3"/>
  <c r="J51" i="1" s="1"/>
  <c r="J47" i="1"/>
  <c r="F68" i="3"/>
  <c r="G68" i="3" s="1"/>
  <c r="B8" i="3"/>
  <c r="F7" i="1"/>
  <c r="F74" i="3"/>
  <c r="G74" i="3" s="1"/>
  <c r="G73" i="3"/>
  <c r="F73" i="3"/>
  <c r="G54" i="3"/>
  <c r="M51" i="1" s="1"/>
  <c r="L54" i="3"/>
  <c r="I54" i="3"/>
  <c r="O51" i="1" s="1"/>
  <c r="M54" i="3"/>
  <c r="N54" i="3"/>
  <c r="G51" i="1"/>
  <c r="F69" i="3"/>
  <c r="G69" i="3" s="1"/>
  <c r="E34" i="3"/>
  <c r="G71" i="3"/>
  <c r="F71" i="3"/>
  <c r="B73" i="1"/>
  <c r="N9" i="1"/>
  <c r="F70" i="3"/>
  <c r="G70" i="3"/>
  <c r="F75" i="3"/>
  <c r="G75" i="3" s="1"/>
  <c r="E36" i="3"/>
  <c r="F72" i="3"/>
  <c r="G72" i="3" s="1"/>
  <c r="O73" i="1"/>
  <c r="N10" i="1"/>
  <c r="K54" i="3" l="1"/>
  <c r="S51" i="1" s="1"/>
  <c r="F9" i="1"/>
</calcChain>
</file>

<file path=xl/sharedStrings.xml><?xml version="1.0" encoding="utf-8"?>
<sst xmlns="http://schemas.openxmlformats.org/spreadsheetml/2006/main" count="25215" uniqueCount="327">
  <si>
    <t>FINAL DASHBOARD  |  Product Performance &amp; Profitability Analysis</t>
  </si>
  <si>
    <t>Data: 5.000 order e-commerce, 4 kategori, 1 Jan 2022 - 9 Sep 2035 (65,3% bertanggal setelah 30 Sep 2026, ditandai)  |  Analis: Siswa 3  |  Profit = estimasi (biaya = asumsi % dari gross sales)</t>
  </si>
  <si>
    <t>Kategori</t>
  </si>
  <si>
    <t>Semua</t>
  </si>
  <si>
    <t>Region</t>
  </si>
  <si>
    <t>Rasio biaya</t>
  </si>
  <si>
    <t>&lt;&lt; Pilih di sel kuning (dropdown). Seluruh KPI, grafik, dan tabel ikut berubah. Insight dan rekomendasi di bawah dihitung dari seluruh data.</t>
  </si>
  <si>
    <t>NET REVENUE</t>
  </si>
  <si>
    <t>PROFIT (ESTIMASI)</t>
  </si>
  <si>
    <t>ORDERS</t>
  </si>
  <si>
    <t>CUSTOMERS</t>
  </si>
  <si>
    <t>GROWTH</t>
  </si>
  <si>
    <t>Jan-Sep 2026 vs Jan-Sep 2025</t>
  </si>
  <si>
    <t>SALES TREND</t>
  </si>
  <si>
    <t>PRODUCT PERFORMANCE</t>
  </si>
  <si>
    <t>Orders</t>
  </si>
  <si>
    <t>Net revenue</t>
  </si>
  <si>
    <t>Kontribusi</t>
  </si>
  <si>
    <t>Diskon</t>
  </si>
  <si>
    <t>AOV</t>
  </si>
  <si>
    <t>Rating</t>
  </si>
  <si>
    <t>Margin</t>
  </si>
  <si>
    <t>Total</t>
  </si>
  <si>
    <t>PROFITABILITY  (profit = estimasi, biaya = asumsi % dari gross sales)</t>
  </si>
  <si>
    <t>CUSTOMER PERFORMANCE</t>
  </si>
  <si>
    <t>Rata-rata order per customer</t>
  </si>
  <si>
    <t>10% customer teratas = % net revenue</t>
  </si>
  <si>
    <t>Customer dengan &gt;= 2 order</t>
  </si>
  <si>
    <t>REGIONAL PERFORMANCE  (region = konteks, di luar ranking utama)</t>
  </si>
  <si>
    <t>Lama kirim (hari)</t>
  </si>
  <si>
    <t>3 KEY INSIGHTS  (dari seluruh data, tanpa filter)</t>
  </si>
  <si>
    <t>1. Penjualan terkonsentrasi pada Electronics dan Clothing (65,8% net revenue), digerakkan jumlah order, bukan harga.  Electronics 1.777 order dan Clothing 1.531 order; harga, nilai per order, dan diskon hampir sama antar kategori. Home (19,2%) dan Beauty (15,0%) kecil karena order-nya sedikit. Penjualan Jan-Sep hanya +0.2% per tahun sejak 2022 (hampir datar), jadi Growth +7,9% pada 2026 hanya memulihkan penurunan 2023-2025.</t>
  </si>
  <si>
    <t>2. Diskon 18,1% dari gross sales (1.130.246) tidak terbukti menambah volume.  Quantity per order tetap sekitar 4,0 unit pada semua kelompok diskon (0-35%), sehingga diskon hanya menurunkan nilai per order (30,4% lebih rendah pada diskon tertinggi). Diskon tidak berkaitan dengan kategori, region, metode bayar, atau customer, jadi tampak diberikan tanpa aturan selektif.</t>
  </si>
  <si>
    <t>3. Profit tipis dan sangat sensitif terhadap diskon dan rasio biaya.  Estimasi margin 14,5% pada biaya 70% tetapi hanya 2,3% pada biaya 80%. Order berdiskon di atas titik impas (1 - rasio biaya) merugi: 13,9% order pada biaya 70% dan 44,0% pada 80%. Biaya sebenarnya belum diketahui sehingga angka profit adalah estimasi.</t>
  </si>
  <si>
    <t>3 RECOMMENDATIONS  (owner dan waktu adalah usulan)</t>
  </si>
  <si>
    <t>R1. Batas diskon berbasis margin.  Minta data biaya per produk ke Finance, tetapkan margin minimum, lalu aturan: diskon maksimum = 1 - rasio biaya - margin minimum. Dampak: menghilangkan order merugi (estimasi 13,9% pada biaya 70%). Owner: Finance + Pricing, minggu 1-4.</t>
  </si>
  <si>
    <t>R2. Batasi diskon maksimum 25%, lalu 20%.  Pasang batas 25% sebagai pengaman sementara, diskon &gt;20% butuh persetujuan, pantau jumlah order dan quantity. Dampak: menyentuh 28,7% order; bila volume tidak berubah net revenue +96.384 (+1,9%) dan profit naik, tetapi net revenue turun bila volume order terdampak berkurang lebih dari sekitar 7%. Owner: Pricing, minggu 2-10.</t>
  </si>
  <si>
    <t>R3. Uji A/B diskon sebelum rollout penuh.  Uji pada satu kategori 4-6 minggu (diskon rendah vs sedang vs tinggi); bandingkan jumlah order, quantity, AOV, dan profit. Dampak: membuktikan sebab-akibat diskon terhadap volume dan menentukan batas final dengan risiko kecil. Owner: Analytics + Pricing, minggu 4-10.</t>
  </si>
  <si>
    <t>Prioritas: R1 dan R2 (dampak tinggi, usaha rendah). R2 dapat langsung dimulai, R1 menunggu data biaya. Rekomendasi pendukung dan skor prioritas lengkap ada di 08_Recommendation_Matrix.xlsx.</t>
  </si>
  <si>
    <t>Catatan: profit = estimasi dengan biaya asumsi; 65,3% order bertanggal setelah 30 Sep 2026 (tren waktu perlu dikonfirmasi ke pemilik data; Growth hanya memakai tanggal &lt;= 30 Sep 2026); region dan metode pembayaran hanya konteks. Detail di sheet Panduan.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</si>
  <si>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</si>
  <si>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</si>
  <si>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</si>
  <si>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</si>
  <si>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</si>
  <si>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</si>
  <si>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</si>
  <si>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</si>
  <si>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</si>
  <si>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</si>
  <si>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</si>
  <si>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</si>
  <si>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year</t>
  </si>
  <si>
    <t>month</t>
  </si>
  <si>
    <t>year_month</t>
  </si>
  <si>
    <t>gross_sales</t>
  </si>
  <si>
    <t>discount_value</t>
  </si>
  <si>
    <t>discount_band</t>
  </si>
  <si>
    <t>is_future_date</t>
  </si>
  <si>
    <t>is_revenue_outlier</t>
  </si>
  <si>
    <t>in_filter</t>
  </si>
  <si>
    <t>first_cust_in_filter</t>
  </si>
  <si>
    <t>Beauty</t>
  </si>
  <si>
    <t>South</t>
  </si>
  <si>
    <t>Wallet</t>
  </si>
  <si>
    <t>2022-01</t>
  </si>
  <si>
    <t>&gt;25-30%</t>
  </si>
  <si>
    <t>Clothing</t>
  </si>
  <si>
    <t>Card</t>
  </si>
  <si>
    <t>&gt;5-10%</t>
  </si>
  <si>
    <t>East</t>
  </si>
  <si>
    <t>COD</t>
  </si>
  <si>
    <t>&gt;30-35%</t>
  </si>
  <si>
    <t>Electronics</t>
  </si>
  <si>
    <t>West</t>
  </si>
  <si>
    <t>0-5%</t>
  </si>
  <si>
    <t>&gt;15-20%</t>
  </si>
  <si>
    <t>&gt;20-25%</t>
  </si>
  <si>
    <t>North</t>
  </si>
  <si>
    <t>&gt;10-15%</t>
  </si>
  <si>
    <t>Home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</si>
  <si>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</si>
  <si>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</si>
  <si>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</si>
  <si>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</si>
  <si>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</si>
  <si>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</si>
  <si>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</si>
  <si>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</si>
  <si>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</si>
  <si>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</si>
  <si>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</si>
  <si>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</si>
  <si>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</si>
  <si>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</si>
  <si>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</si>
  <si>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</si>
  <si>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</si>
  <si>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</si>
  <si>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</si>
  <si>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</si>
  <si>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</si>
  <si>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</si>
  <si>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</si>
  <si>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</si>
  <si>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</si>
  <si>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</si>
  <si>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</si>
  <si>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</si>
  <si>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</si>
  <si>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</si>
  <si>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</si>
  <si>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</si>
  <si>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</si>
  <si>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</si>
  <si>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</si>
  <si>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</si>
  <si>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</si>
  <si>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</si>
  <si>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</si>
  <si>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</si>
  <si>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</si>
  <si>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</si>
  <si>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</si>
  <si>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</si>
  <si>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</si>
  <si>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</si>
  <si>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</si>
  <si>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</si>
  <si>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</si>
  <si>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</si>
  <si>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</si>
  <si>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</si>
  <si>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</si>
  <si>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</si>
  <si>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</si>
  <si>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</si>
  <si>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</si>
  <si>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</si>
  <si>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</si>
  <si>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</si>
  <si>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</si>
  <si>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</si>
  <si>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</si>
  <si>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</si>
  <si>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</si>
  <si>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</si>
  <si>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</si>
  <si>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</si>
  <si>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</si>
  <si>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</si>
  <si>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</si>
  <si>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</si>
  <si>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</si>
  <si>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</si>
  <si>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</si>
  <si>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</si>
  <si>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</si>
  <si>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</si>
  <si>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</si>
  <si>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</si>
  <si>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</si>
  <si>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</si>
  <si>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</si>
  <si>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</si>
  <si>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</si>
  <si>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</si>
  <si>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</si>
  <si>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</si>
  <si>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</si>
  <si>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</si>
  <si>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</si>
  <si>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</si>
  <si>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</si>
  <si>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</si>
  <si>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</si>
  <si>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</si>
  <si>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</si>
  <si>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</si>
  <si>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</si>
  <si>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</si>
  <si>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</si>
  <si>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</si>
  <si>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</si>
  <si>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</si>
  <si>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</si>
  <si>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</si>
  <si>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</si>
  <si>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</si>
  <si>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</si>
  <si>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</si>
  <si>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</si>
  <si>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</si>
  <si>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</si>
  <si>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</si>
  <si>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</si>
  <si>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</si>
  <si>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</si>
  <si>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</si>
  <si>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</si>
  <si>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</si>
  <si>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</si>
  <si>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</si>
  <si>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</si>
  <si>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</si>
  <si>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</si>
  <si>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</si>
  <si>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</si>
  <si>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</si>
  <si>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</si>
  <si>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</si>
  <si>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</si>
  <si>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</si>
  <si>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</si>
  <si>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</si>
  <si>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</si>
  <si>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</si>
  <si>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</si>
  <si>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</si>
  <si>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</si>
  <si>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</si>
  <si>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</si>
  <si>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</si>
  <si>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</si>
  <si>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</si>
  <si>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</si>
  <si>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</si>
  <si>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</si>
  <si>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</si>
  <si>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</si>
  <si>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</si>
  <si>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</si>
  <si>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</si>
  <si>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</si>
  <si>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</si>
  <si>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</si>
  <si>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</si>
  <si>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</si>
  <si>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</si>
  <si>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</si>
  <si>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</si>
  <si>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</si>
  <si>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</si>
  <si>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</si>
  <si>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</si>
  <si>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CALC - seluruh agregasi dashboard (rumus ke sheet Data, mengikuti filter di Dashboard)</t>
  </si>
  <si>
    <t>KPI</t>
  </si>
  <si>
    <t>Nilai</t>
  </si>
  <si>
    <t>Gross sales</t>
  </si>
  <si>
    <t>Nilai diskon</t>
  </si>
  <si>
    <t>Rasio biaya terpilih (asumsi)</t>
  </si>
  <si>
    <t>Profit (estimasi)</t>
  </si>
  <si>
    <t>Margin (estimasi)</t>
  </si>
  <si>
    <t>Sumber daftar pilihan untuk dropdown di Dashboard (jangan dihapus).</t>
  </si>
  <si>
    <t>Customers (unik)</t>
  </si>
  <si>
    <t>AOV (net revenue per order)</t>
  </si>
  <si>
    <t>Rata-rata unit per order</t>
  </si>
  <si>
    <t>Net revenue Jan-Sep 2026</t>
  </si>
  <si>
    <t>Net revenue Jan-Sep 2025</t>
  </si>
  <si>
    <t>Growth (Jan-Sep 2026 vs 2025)</t>
  </si>
  <si>
    <t>Growth per tahun Jan-Sep 2022 ke 2026</t>
  </si>
  <si>
    <t>Rating rata-rata</t>
  </si>
  <si>
    <t>Order merugi (diskon &gt; 1 - rasio biaya)</t>
  </si>
  <si>
    <t>10% customer teratas: % net revenue</t>
  </si>
  <si>
    <t>Tingkat diskon (diskon / gross)</t>
  </si>
  <si>
    <t>Tahun</t>
  </si>
  <si>
    <t>Tanggal valid (&lt;= 30 Sep 2026)</t>
  </si>
  <si>
    <t>Tanggal masa depan (&gt; 30 Sep 2026)</t>
  </si>
  <si>
    <t>YoY</t>
  </si>
  <si>
    <t>Catatan: 2035 (sampai 9 Sep) tidak ditampilkan karena tahun tidak lengkap.</t>
  </si>
  <si>
    <t>Net revenue Jan-Sep</t>
  </si>
  <si>
    <t>Unit</t>
  </si>
  <si>
    <t>Tingkat diskon</t>
  </si>
  <si>
    <t>Margin (biaya terpilih)</t>
  </si>
  <si>
    <t>Biaya 60%</t>
  </si>
  <si>
    <t>Biaya 70%</t>
  </si>
  <si>
    <t>Biaya 80%</t>
  </si>
  <si>
    <t>Rasio biaya skenario:</t>
  </si>
  <si>
    <t>Kelompok diskon</t>
  </si>
  <si>
    <t>Batas bawah (&gt;)</t>
  </si>
  <si>
    <t>Batas atas (&lt;=)</t>
  </si>
  <si>
    <t>Profit (biaya terpilih)</t>
  </si>
  <si>
    <t>Rata-rata unit</t>
  </si>
  <si>
    <t>Order per customer</t>
  </si>
  <si>
    <t>Jumlah customer</t>
  </si>
  <si>
    <t>Peringkat</t>
  </si>
  <si>
    <t>Net revenue (ribu)</t>
  </si>
  <si>
    <t>ID customer</t>
  </si>
  <si>
    <t>Label</t>
  </si>
  <si>
    <t>orders (sesuai filter)</t>
  </si>
  <si>
    <t>net revenue (sesuai filter)</t>
  </si>
  <si>
    <t>PANDUAN, DEFINISI KPI, DAN CATATAN DATA</t>
  </si>
  <si>
    <t>Cara memakai</t>
  </si>
  <si>
    <t>Filter</t>
  </si>
  <si>
    <t>Sheet Dashboard, baris 4: pilih Kategori, Region, dan Rasio biaya (sel kuning). KPI, grafik, dan tabel menghitung ulang otomatis.</t>
  </si>
  <si>
    <t>Rasio biaya hanya memengaruhi angka profit/margin (asumsi). Pilih "Semua" untuk melihat seluruh data.</t>
  </si>
  <si>
    <t>Alur sheet</t>
  </si>
  <si>
    <t>Data (dataset bersih + 2 kolom bantu) -&gt; Calc (agregasi, rumus) -&gt; Dashboard (tampilan).</t>
  </si>
  <si>
    <t>Customers = hitungan per customer untuk distribusi dan 10 teratas.</t>
  </si>
  <si>
    <t>Definisi</t>
  </si>
  <si>
    <t>Catatan</t>
  </si>
  <si>
    <t>Jumlah kolom revenue = quantity x harga x (1 - diskon).</t>
  </si>
  <si>
    <t>Sudah diverifikasi sama dengan rumus pada tahap cleaning.</t>
  </si>
  <si>
    <t>Net revenue - rasio biaya x gross sales.</t>
  </si>
  <si>
    <t>Tidak ada data biaya. Skenario 60% / 70% / 80%; tampilan utama mengikuti dropdown (default 70%).</t>
  </si>
  <si>
    <t>Profit / net revenue.</t>
  </si>
  <si>
    <t>Jumlah baris order (1 baris = 1 order).</t>
  </si>
  <si>
    <t>Customers</t>
  </si>
  <si>
    <t>Jumlah customer_id unik pada data terfilter.</t>
  </si>
  <si>
    <t>Customer hanya berupa ID tanpa atribut lain.</t>
  </si>
  <si>
    <t>Growth</t>
  </si>
  <si>
    <t>Net revenue Jan-Sep 2026 dibanding Jan-Sep 2025.</t>
  </si>
  <si>
    <t>Hanya tanggal &lt;= 30 Sep 2026 agar tidak memakai data bertanggal masa depan. Sejak 2022 (Jan-Sep) pertumbuhan hampir datar.</t>
  </si>
  <si>
    <t>Titik impas diskon</t>
  </si>
  <si>
    <t>1 - rasio biaya.</t>
  </si>
  <si>
    <t>Order dengan diskon di atas titik impas dihitung merugi.</t>
  </si>
  <si>
    <t>Catatan data</t>
  </si>
  <si>
    <t>Tanggal masa depan</t>
  </si>
  <si>
    <t>3.266 dari 5.000 order (65,3%) bertanggal setelah 30 Sep 2026 (sampai 9 Sep 2035).</t>
  </si>
  <si>
    <t>Baris dipertahankan dan ditandai (is_future_date). Grafik tren memisahkan warna tanggal valid dan tanggal masa depan.</t>
  </si>
  <si>
    <t>Tahun 2035</t>
  </si>
  <si>
    <t>Tidak ditampilkan pada tren tahunan karena hanya sampai 9 Sep.</t>
  </si>
  <si>
    <t>Segmentasi</t>
  </si>
  <si>
    <t>Region dan metode pembayaran hanya konteks sesuai scope Project Charter.</t>
  </si>
  <si>
    <t>Sumber</t>
  </si>
  <si>
    <t>03_Clean_Dataset.csv (hasil cleaning dari 02_Raw_Dataset.csv; log di 04_Data_Cleaning_Log.xlsx).</t>
  </si>
  <si>
    <t>Analisis lengkap: 06_EDA_Report, 07_Root_Cause_Analysis, 08_Recommendation_Matrix.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</si>
</sst>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%;\-0.0%;0.0%"/>
    <numFmt numFmtId="165" formatCode="0.0%"/>
    <numFmt numFmtId="166" formatCode="0.0"/>
    <numFmt numFmtId="167" formatCode="#,##0.0"/>
    <numFmt numFmtId="168" formatCode="yyyy\-mm\-dd"/>
  </numFmts>
  <fonts count="3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1"/>
      <color theme="0"/>
      <name val="Calibri"/>
      <family val="2"/>
      <scheme val="minor"/>
    </font>
    <font>
      <b/>
      <sz val="13"/>
      <color rgb="FF1F3864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20"/>
      <color rgb="FFFFFFFF"/>
      <name val="Times New Roman"/>
      <family val="1"/>
    </font>
    <font>
      <sz val="9"/>
      <color rgb="FFFFFFFF"/>
      <name val="Times New Roman"/>
      <family val="1"/>
    </font>
    <font>
      <b/>
      <sz val="10"/>
      <color rgb="FF1F3864"/>
      <name val="Times New Roman"/>
      <family val="1"/>
    </font>
    <font>
      <b/>
      <sz val="11"/>
      <color rgb="FF0000FF"/>
      <name val="Times New Roman"/>
      <family val="1"/>
    </font>
    <font>
      <i/>
      <sz val="9"/>
      <color rgb="FF595959"/>
      <name val="Times New Roman"/>
      <family val="1"/>
    </font>
    <font>
      <b/>
      <sz val="9"/>
      <color rgb="FF595959"/>
      <name val="Times New Roman"/>
      <family val="1"/>
    </font>
    <font>
      <b/>
      <sz val="24"/>
      <color rgb="FF1F3864"/>
      <name val="Times New Roman"/>
      <family val="1"/>
    </font>
    <font>
      <b/>
      <sz val="24"/>
      <color rgb="FF2E7D32"/>
      <name val="Times New Roman"/>
      <family val="1"/>
    </font>
    <font>
      <b/>
      <sz val="24"/>
      <color rgb="FF2E75B6"/>
      <name val="Times New Roman"/>
      <family val="1"/>
    </font>
    <font>
      <b/>
      <sz val="24"/>
      <color rgb="FFED7D31"/>
      <name val="Times New Roman"/>
      <family val="1"/>
    </font>
    <font>
      <b/>
      <sz val="24"/>
      <color rgb="FFC00000"/>
      <name val="Times New Roman"/>
      <family val="1"/>
    </font>
    <font>
      <sz val="9"/>
      <color rgb="FF262626"/>
      <name val="Times New Roman"/>
      <family val="1"/>
    </font>
    <font>
      <sz val="8"/>
      <color rgb="FF7F7F7F"/>
      <name val="Times New Roman"/>
      <family val="1"/>
    </font>
    <font>
      <b/>
      <sz val="12"/>
      <color rgb="FFFFFFFF"/>
      <name val="Times New Roman"/>
      <family val="1"/>
    </font>
    <font>
      <b/>
      <sz val="9"/>
      <color rgb="FFFFFFFF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6"/>
      <color rgb="FFED7D31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b/>
      <sz val="12"/>
      <color rgb="FF1F3864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2F5597"/>
        <bgColor rgb="FF2E75B6"/>
      </patternFill>
    </fill>
    <fill>
      <patternFill patternType="solid">
        <fgColor rgb="FFF2F2F2"/>
        <bgColor rgb="FFF7F9FC"/>
      </patternFill>
    </fill>
    <fill>
      <patternFill patternType="solid">
        <fgColor rgb="FFFFFF00"/>
        <bgColor rgb="FFFFFF00"/>
      </patternFill>
    </fill>
    <fill>
      <patternFill patternType="solid">
        <fgColor rgb="FFF7F9FC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7F7F7F"/>
        <bgColor rgb="FF878787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3864"/>
      </top>
      <bottom/>
      <diagonal/>
    </border>
    <border>
      <left style="thin">
        <color rgb="FFBFBFBF"/>
      </left>
      <right style="thin">
        <color rgb="FFBFBFBF"/>
      </right>
      <top style="thick">
        <color rgb="FF2E7D32"/>
      </top>
      <bottom/>
      <diagonal/>
    </border>
    <border>
      <left style="thin">
        <color rgb="FFBFBFBF"/>
      </left>
      <right style="thin">
        <color rgb="FFBFBFBF"/>
      </right>
      <top style="thick">
        <color rgb="FF2E75B6"/>
      </top>
      <bottom/>
      <diagonal/>
    </border>
    <border>
      <left style="thin">
        <color rgb="FFBFBFBF"/>
      </left>
      <right style="thin">
        <color rgb="FFBFBFBF"/>
      </right>
      <top style="thick">
        <color rgb="FFED7D31"/>
      </top>
      <bottom/>
      <diagonal/>
    </border>
    <border>
      <left style="thin">
        <color rgb="FFBFBFBF"/>
      </left>
      <right style="thin">
        <color rgb="FFBFBFBF"/>
      </right>
      <top style="thick">
        <color rgb="FFC0000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ED7D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</cellStyleXfs>
  <cellXfs count="84">
    <xf numFmtId="0" fontId="0" fillId="0" borderId="0" xfId="0"/>
    <xf numFmtId="168" fontId="0" fillId="0" borderId="0" xfId="0" applyNumberFormat="1"/>
    <xf numFmtId="4" fontId="0" fillId="0" borderId="0" xfId="0" applyNumberFormat="1"/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4" fontId="0" fillId="0" borderId="10" xfId="0" applyNumberFormat="1" applyBorder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10" fillId="3" borderId="0" xfId="0" applyFont="1" applyFill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9" fontId="12" fillId="5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  <xf numFmtId="0" fontId="14" fillId="6" borderId="2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indent="1"/>
    </xf>
    <xf numFmtId="0" fontId="14" fillId="6" borderId="4" xfId="0" applyFont="1" applyFill="1" applyBorder="1" applyAlignment="1">
      <alignment horizontal="left" vertical="center" indent="1"/>
    </xf>
    <xf numFmtId="0" fontId="14" fillId="6" borderId="5" xfId="0" applyFont="1" applyFill="1" applyBorder="1" applyAlignment="1">
      <alignment horizontal="left" vertical="center" indent="1"/>
    </xf>
    <xf numFmtId="0" fontId="14" fillId="6" borderId="6" xfId="0" applyFont="1" applyFill="1" applyBorder="1" applyAlignment="1">
      <alignment horizontal="left" vertical="center" indent="1"/>
    </xf>
    <xf numFmtId="3" fontId="15" fillId="6" borderId="7" xfId="0" applyNumberFormat="1" applyFont="1" applyFill="1" applyBorder="1" applyAlignment="1">
      <alignment horizontal="left" vertical="center" indent="1"/>
    </xf>
    <xf numFmtId="37" fontId="16" fillId="6" borderId="7" xfId="0" applyNumberFormat="1" applyFont="1" applyFill="1" applyBorder="1" applyAlignment="1">
      <alignment horizontal="left" vertical="center" indent="1"/>
    </xf>
    <xf numFmtId="3" fontId="17" fillId="6" borderId="7" xfId="0" applyNumberFormat="1" applyFont="1" applyFill="1" applyBorder="1" applyAlignment="1">
      <alignment horizontal="left" vertical="center" indent="1"/>
    </xf>
    <xf numFmtId="3" fontId="18" fillId="6" borderId="7" xfId="0" applyNumberFormat="1" applyFont="1" applyFill="1" applyBorder="1" applyAlignment="1">
      <alignment horizontal="left" vertical="center" indent="1"/>
    </xf>
    <xf numFmtId="164" fontId="19" fillId="6" borderId="7" xfId="0" applyNumberFormat="1" applyFont="1" applyFill="1" applyBorder="1" applyAlignment="1">
      <alignment horizontal="left" vertical="center" indent="1"/>
    </xf>
    <xf numFmtId="0" fontId="20" fillId="6" borderId="7" xfId="0" applyFont="1" applyFill="1" applyBorder="1" applyAlignment="1">
      <alignment horizontal="left" vertical="center" indent="1"/>
    </xf>
    <xf numFmtId="0" fontId="21" fillId="6" borderId="8" xfId="0" applyFont="1" applyFill="1" applyBorder="1" applyAlignment="1">
      <alignment horizontal="left" vertical="center" wrapText="1" indent="1"/>
    </xf>
    <xf numFmtId="0" fontId="22" fillId="7" borderId="0" xfId="0" applyFont="1" applyFill="1" applyAlignment="1">
      <alignment horizontal="left" vertical="center" wrapText="1" indent="1"/>
    </xf>
    <xf numFmtId="0" fontId="23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indent="1"/>
    </xf>
    <xf numFmtId="3" fontId="24" fillId="0" borderId="1" xfId="0" applyNumberFormat="1" applyFont="1" applyBorder="1" applyAlignment="1">
      <alignment horizontal="right" vertical="center" indent="1"/>
    </xf>
    <xf numFmtId="165" fontId="24" fillId="0" borderId="1" xfId="0" applyNumberFormat="1" applyFont="1" applyBorder="1" applyAlignment="1">
      <alignment horizontal="right" vertical="center" indent="1"/>
    </xf>
    <xf numFmtId="2" fontId="24" fillId="0" borderId="1" xfId="0" applyNumberFormat="1" applyFont="1" applyBorder="1" applyAlignment="1">
      <alignment horizontal="right" vertical="center" indent="1"/>
    </xf>
    <xf numFmtId="0" fontId="24" fillId="4" borderId="1" xfId="0" applyFont="1" applyFill="1" applyBorder="1" applyAlignment="1">
      <alignment horizontal="left" vertical="center" indent="1"/>
    </xf>
    <xf numFmtId="3" fontId="24" fillId="4" borderId="1" xfId="0" applyNumberFormat="1" applyFont="1" applyFill="1" applyBorder="1" applyAlignment="1">
      <alignment horizontal="right" vertical="center" indent="1"/>
    </xf>
    <xf numFmtId="165" fontId="24" fillId="4" borderId="1" xfId="0" applyNumberFormat="1" applyFont="1" applyFill="1" applyBorder="1" applyAlignment="1">
      <alignment horizontal="right" vertical="center" indent="1"/>
    </xf>
    <xf numFmtId="2" fontId="24" fillId="4" borderId="1" xfId="0" applyNumberFormat="1" applyFont="1" applyFill="1" applyBorder="1" applyAlignment="1">
      <alignment horizontal="right" vertical="center" indent="1"/>
    </xf>
    <xf numFmtId="0" fontId="25" fillId="0" borderId="1" xfId="0" applyFont="1" applyBorder="1" applyAlignment="1">
      <alignment horizontal="left" vertical="center" indent="1"/>
    </xf>
    <xf numFmtId="3" fontId="25" fillId="0" borderId="1" xfId="0" applyNumberFormat="1" applyFont="1" applyBorder="1" applyAlignment="1">
      <alignment horizontal="right" vertical="center" indent="1"/>
    </xf>
    <xf numFmtId="165" fontId="25" fillId="0" borderId="1" xfId="0" applyNumberFormat="1" applyFont="1" applyBorder="1" applyAlignment="1">
      <alignment horizontal="right" vertical="center" indent="1"/>
    </xf>
    <xf numFmtId="2" fontId="25" fillId="0" borderId="1" xfId="0" applyNumberFormat="1" applyFont="1" applyBorder="1" applyAlignment="1">
      <alignment horizontal="right" vertical="center" indent="1"/>
    </xf>
    <xf numFmtId="0" fontId="14" fillId="6" borderId="9" xfId="0" applyFont="1" applyFill="1" applyBorder="1" applyAlignment="1">
      <alignment horizontal="left" vertical="center" indent="1"/>
    </xf>
    <xf numFmtId="166" fontId="26" fillId="6" borderId="8" xfId="0" applyNumberFormat="1" applyFont="1" applyFill="1" applyBorder="1" applyAlignment="1">
      <alignment horizontal="left" vertical="center" indent="1"/>
    </xf>
    <xf numFmtId="165" fontId="26" fillId="6" borderId="8" xfId="0" applyNumberFormat="1" applyFont="1" applyFill="1" applyBorder="1" applyAlignment="1">
      <alignment horizontal="left" vertical="center" indent="1"/>
    </xf>
    <xf numFmtId="166" fontId="24" fillId="0" borderId="1" xfId="0" applyNumberFormat="1" applyFont="1" applyBorder="1" applyAlignment="1">
      <alignment horizontal="right" vertical="center" indent="1"/>
    </xf>
    <xf numFmtId="166" fontId="24" fillId="4" borderId="1" xfId="0" applyNumberFormat="1" applyFont="1" applyFill="1" applyBorder="1" applyAlignment="1">
      <alignment horizontal="right" vertical="center" indent="1"/>
    </xf>
    <xf numFmtId="0" fontId="27" fillId="8" borderId="1" xfId="0" applyFont="1" applyFill="1" applyBorder="1" applyAlignment="1">
      <alignment horizontal="left" vertical="top" wrapText="1" indent="1"/>
    </xf>
    <xf numFmtId="0" fontId="27" fillId="9" borderId="1" xfId="0" applyFont="1" applyFill="1" applyBorder="1" applyAlignment="1">
      <alignment horizontal="left" vertical="top" wrapText="1" indent="1"/>
    </xf>
    <xf numFmtId="0" fontId="7" fillId="0" borderId="0" xfId="0" applyFont="1"/>
    <xf numFmtId="0" fontId="8" fillId="0" borderId="0" xfId="0" applyFont="1"/>
    <xf numFmtId="0" fontId="29" fillId="0" borderId="0" xfId="0" applyFont="1"/>
    <xf numFmtId="0" fontId="7" fillId="0" borderId="10" xfId="0" applyFont="1" applyBorder="1"/>
    <xf numFmtId="0" fontId="8" fillId="0" borderId="10" xfId="0" applyFont="1" applyBorder="1"/>
    <xf numFmtId="3" fontId="8" fillId="0" borderId="10" xfId="0" applyNumberFormat="1" applyFont="1" applyBorder="1"/>
    <xf numFmtId="0" fontId="28" fillId="0" borderId="0" xfId="0" applyFont="1"/>
    <xf numFmtId="9" fontId="28" fillId="0" borderId="0" xfId="0" applyNumberFormat="1" applyFont="1"/>
    <xf numFmtId="9" fontId="8" fillId="0" borderId="10" xfId="0" applyNumberFormat="1" applyFont="1" applyBorder="1"/>
    <xf numFmtId="165" fontId="8" fillId="0" borderId="10" xfId="0" applyNumberFormat="1" applyFont="1" applyBorder="1"/>
    <xf numFmtId="166" fontId="8" fillId="0" borderId="10" xfId="0" applyNumberFormat="1" applyFont="1" applyBorder="1"/>
    <xf numFmtId="164" fontId="8" fillId="0" borderId="10" xfId="0" applyNumberFormat="1" applyFont="1" applyBorder="1"/>
    <xf numFmtId="2" fontId="8" fillId="0" borderId="10" xfId="0" applyNumberFormat="1" applyFont="1" applyBorder="1"/>
    <xf numFmtId="0" fontId="3" fillId="14" borderId="10" xfId="4" applyBorder="1"/>
    <xf numFmtId="1" fontId="28" fillId="0" borderId="10" xfId="0" applyNumberFormat="1" applyFont="1" applyBorder="1"/>
    <xf numFmtId="0" fontId="5" fillId="0" borderId="10" xfId="0" applyFont="1" applyBorder="1"/>
    <xf numFmtId="0" fontId="3" fillId="13" borderId="10" xfId="3" applyBorder="1" applyAlignment="1">
      <alignment horizontal="center" vertical="center"/>
    </xf>
    <xf numFmtId="0" fontId="3" fillId="12" borderId="10" xfId="2" applyBorder="1" applyAlignment="1">
      <alignment horizontal="center" vertical="center"/>
    </xf>
    <xf numFmtId="0" fontId="28" fillId="0" borderId="10" xfId="0" applyFont="1" applyBorder="1"/>
    <xf numFmtId="3" fontId="7" fillId="0" borderId="10" xfId="0" applyNumberFormat="1" applyFont="1" applyBorder="1"/>
    <xf numFmtId="165" fontId="7" fillId="0" borderId="10" xfId="0" applyNumberFormat="1" applyFont="1" applyBorder="1"/>
    <xf numFmtId="2" fontId="7" fillId="0" borderId="10" xfId="0" applyNumberFormat="1" applyFont="1" applyBorder="1"/>
    <xf numFmtId="0" fontId="3" fillId="15" borderId="10" xfId="5" applyBorder="1" applyAlignment="1">
      <alignment horizontal="center" vertical="center"/>
    </xf>
    <xf numFmtId="165" fontId="28" fillId="0" borderId="10" xfId="0" applyNumberFormat="1" applyFont="1" applyBorder="1"/>
    <xf numFmtId="37" fontId="8" fillId="0" borderId="10" xfId="0" applyNumberFormat="1" applyFont="1" applyBorder="1"/>
    <xf numFmtId="0" fontId="3" fillId="16" borderId="10" xfId="6" applyBorder="1" applyAlignment="1">
      <alignment horizontal="center" vertical="center"/>
    </xf>
    <xf numFmtId="167" fontId="8" fillId="0" borderId="10" xfId="0" applyNumberFormat="1" applyFont="1" applyBorder="1"/>
    <xf numFmtId="1" fontId="8" fillId="0" borderId="10" xfId="0" applyNumberFormat="1" applyFont="1" applyBorder="1"/>
    <xf numFmtId="0" fontId="5" fillId="0" borderId="0" xfId="0" applyFont="1" applyAlignment="1">
      <alignment horizontal="center" vertical="center"/>
    </xf>
    <xf numFmtId="0" fontId="3" fillId="11" borderId="10" xfId="1" applyBorder="1" applyAlignment="1">
      <alignment horizontal="center" vertical="center"/>
    </xf>
  </cellXfs>
  <cellStyles count="7"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993366"/>
      <rgbColor rgb="FFF7F9F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0E0E0"/>
      <rgbColor rgb="FF9DC3E6"/>
      <rgbColor rgb="FFFF99CC"/>
      <rgbColor rgb="FFCC99FF"/>
      <rgbColor rgb="FFF4B183"/>
      <rgbColor rgb="FF2E75B6"/>
      <rgbColor rgb="FF33CCCC"/>
      <rgbColor rgb="FF70AD47"/>
      <rgbColor rgb="FFFFCC00"/>
      <rgbColor rgb="FFFF9900"/>
      <rgbColor rgb="FFED7D31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2F5597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Net revenue per tahun (biru = tanggal valid, oranye muda = tanggal setelah 30 Sep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Calc!$B$24</c:f>
              <c:strCache>
                <c:ptCount val="1"/>
                <c:pt idx="0">
                  <c:v>Tanggal valid (&lt;= 30 Sep 2026)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Calc!$A$25:$A$37</c:f>
              <c:numCache>
                <c:formatCode>0</c:formatCode>
                <c:ptCount val="1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</c:numCache>
            </c:numRef>
          </c:cat>
          <c:val>
            <c:numRef>
              <c:f>Calc!$B$25:$B$37</c:f>
              <c:numCache>
                <c:formatCode>#,##0</c:formatCode>
                <c:ptCount val="13"/>
                <c:pt idx="0">
                  <c:v>371824.30000000028</c:v>
                </c:pt>
                <c:pt idx="1">
                  <c:v>365915.7900000001</c:v>
                </c:pt>
                <c:pt idx="2">
                  <c:v>363209.12999999995</c:v>
                </c:pt>
                <c:pt idx="3">
                  <c:v>349802.33</c:v>
                </c:pt>
                <c:pt idx="4">
                  <c:v>286776.65999999974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0-43DD-B738-74790076E93D}"/>
            </c:ext>
          </c:extLst>
        </c:ser>
        <c:ser>
          <c:idx val="1"/>
          <c:order val="1"/>
          <c:tx>
            <c:strRef>
              <c:f>Calc!$C$24</c:f>
              <c:strCache>
                <c:ptCount val="1"/>
                <c:pt idx="0">
                  <c:v>Tanggal masa depan (&gt; 30 Sep 2026)</c:v>
                </c:pt>
              </c:strCache>
            </c:strRef>
          </c:tx>
          <c:spPr>
            <a:solidFill>
              <a:srgbClr val="F4B183"/>
            </a:solidFill>
            <a:ln w="0">
              <a:solidFill>
                <a:srgbClr val="F4B18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Calc!$A$25:$A$37</c:f>
              <c:numCache>
                <c:formatCode>0</c:formatCode>
                <c:ptCount val="1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</c:numCache>
            </c:numRef>
          </c:cat>
          <c:val>
            <c:numRef>
              <c:f>Calc!$C$25:$C$37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99593.030000000042</c:v>
                </c:pt>
                <c:pt idx="5">
                  <c:v>386151.9099999998</c:v>
                </c:pt>
                <c:pt idx="6">
                  <c:v>376844.79999999981</c:v>
                </c:pt>
                <c:pt idx="7">
                  <c:v>359239.24000000017</c:v>
                </c:pt>
                <c:pt idx="8">
                  <c:v>387884.46000000008</c:v>
                </c:pt>
                <c:pt idx="9">
                  <c:v>365250.83000000025</c:v>
                </c:pt>
                <c:pt idx="10">
                  <c:v>386584.62999999989</c:v>
                </c:pt>
                <c:pt idx="11">
                  <c:v>408725.72000000038</c:v>
                </c:pt>
                <c:pt idx="12">
                  <c:v>363239.54999999981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0-43DD-B738-74790076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3763960"/>
        <c:axId val="97212300"/>
      </c:barChart>
      <c:catAx>
        <c:axId val="937639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7212300"/>
        <c:crosses val="autoZero"/>
        <c:auto val="1"/>
        <c:lblAlgn val="ctr"/>
        <c:lblOffset val="100"/>
        <c:noMultiLvlLbl val="0"/>
      </c:catAx>
      <c:valAx>
        <c:axId val="9721230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37639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Periode sama Jan-Sep, tanggal valid (basis KPI Growth; sumbu tidak dari nol)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Calc!$B$40</c:f>
              <c:strCache>
                <c:ptCount val="1"/>
                <c:pt idx="0">
                  <c:v>Net revenue Jan-Sep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Calc!$A$41:$A$45</c:f>
              <c:numCache>
                <c:formatCode>0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Calc!$B$41:$B$45</c:f>
              <c:numCache>
                <c:formatCode>#,##0</c:formatCode>
                <c:ptCount val="5"/>
                <c:pt idx="0">
                  <c:v>284765.35000000009</c:v>
                </c:pt>
                <c:pt idx="1">
                  <c:v>279623.63000000012</c:v>
                </c:pt>
                <c:pt idx="2">
                  <c:v>276368.02000000008</c:v>
                </c:pt>
                <c:pt idx="3">
                  <c:v>265770.38</c:v>
                </c:pt>
                <c:pt idx="4">
                  <c:v>286776.65999999974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A-4B74-8C1C-21DA68E7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925257"/>
        <c:axId val="92046442"/>
      </c:lineChart>
      <c:catAx>
        <c:axId val="3492525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2046442"/>
        <c:crosses val="autoZero"/>
        <c:auto val="1"/>
        <c:lblAlgn val="ctr"/>
        <c:lblOffset val="100"/>
        <c:noMultiLvlLbl val="0"/>
      </c:catAx>
      <c:valAx>
        <c:axId val="92046442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49252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Net revenue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Calc!$E$49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 w="0">
                <a:solidFill>
                  <a:srgbClr val="1F386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32B-4B41-923D-12661EEE45E1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 w="0">
                <a:solidFill>
                  <a:srgbClr val="2E75B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32B-4B41-923D-12661EEE45E1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 w="0">
                <a:solidFill>
                  <a:srgbClr val="ED7D3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32B-4B41-923D-12661EEE45E1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 w="0">
                <a:solidFill>
                  <a:srgbClr val="70AD4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32B-4B41-923D-12661EEE45E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32B-4B41-923D-12661EEE45E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32B-4B41-923D-12661EEE45E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32B-4B41-923D-12661EEE45E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32B-4B41-923D-12661EEE45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Calc!$A$50:$A$53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Calc!$E$50:$E$53</c:f>
              <c:numCache>
                <c:formatCode>#,##0</c:formatCode>
                <c:ptCount val="4"/>
                <c:pt idx="0">
                  <c:v>1829899.2199999981</c:v>
                </c:pt>
                <c:pt idx="1">
                  <c:v>1531931.7200000014</c:v>
                </c:pt>
                <c:pt idx="2">
                  <c:v>982083.91999999993</c:v>
                </c:pt>
                <c:pt idx="3">
                  <c:v>765860.88000000035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2B-4B41-923D-12661EEE4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4593301"/>
        <c:axId val="24861722"/>
      </c:barChart>
      <c:catAx>
        <c:axId val="545933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4861722"/>
        <c:crosses val="autoZero"/>
        <c:auto val="1"/>
        <c:lblAlgn val="ctr"/>
        <c:lblOffset val="100"/>
        <c:noMultiLvlLbl val="0"/>
      </c:catAx>
      <c:valAx>
        <c:axId val="2486172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4593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Gross sales = net revenue + nilai diskon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Calc!$E$49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Calc!$A$50:$A$53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Calc!$E$50:$E$53</c:f>
              <c:numCache>
                <c:formatCode>#,##0</c:formatCode>
                <c:ptCount val="4"/>
                <c:pt idx="0">
                  <c:v>1829899.2199999981</c:v>
                </c:pt>
                <c:pt idx="1">
                  <c:v>1531931.7200000014</c:v>
                </c:pt>
                <c:pt idx="2">
                  <c:v>982083.91999999993</c:v>
                </c:pt>
                <c:pt idx="3">
                  <c:v>765860.88000000035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8-49AF-8856-247FC2876614}"/>
            </c:ext>
          </c:extLst>
        </c:ser>
        <c:ser>
          <c:idx val="1"/>
          <c:order val="1"/>
          <c:tx>
            <c:strRef>
              <c:f>Calc!$F$49</c:f>
              <c:strCache>
                <c:ptCount val="1"/>
                <c:pt idx="0">
                  <c:v>Nilai diskon</c:v>
                </c:pt>
              </c:strCache>
            </c:strRef>
          </c:tx>
          <c:spPr>
            <a:solidFill>
              <a:srgbClr val="F4B183"/>
            </a:solidFill>
            <a:ln w="0">
              <a:solidFill>
                <a:srgbClr val="F4B18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Calc!$A$50:$A$53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Calc!$F$50:$F$53</c:f>
              <c:numCache>
                <c:formatCode>#,##0</c:formatCode>
                <c:ptCount val="4"/>
                <c:pt idx="0">
                  <c:v>393413.35000000114</c:v>
                </c:pt>
                <c:pt idx="1">
                  <c:v>355199.78</c:v>
                </c:pt>
                <c:pt idx="2">
                  <c:v>214134.05000000022</c:v>
                </c:pt>
                <c:pt idx="3">
                  <c:v>167499.04000000004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8-49AF-8856-247FC287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5668279"/>
        <c:axId val="62028761"/>
      </c:barChart>
      <c:catAx>
        <c:axId val="45668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2028761"/>
        <c:crosses val="autoZero"/>
        <c:auto val="1"/>
        <c:lblAlgn val="ctr"/>
        <c:lblOffset val="100"/>
        <c:noMultiLvlLbl val="0"/>
      </c:catAx>
      <c:valAx>
        <c:axId val="620287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5668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Estimasi margin per kategori (3 skenario biaya)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Calc!$L$49</c:f>
              <c:strCache>
                <c:ptCount val="1"/>
                <c:pt idx="0">
                  <c:v>Biaya 60%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Calc!$A$50:$A$53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Calc!$L$50:$L$53</c:f>
              <c:numCache>
                <c:formatCode>0.0%</c:formatCode>
                <c:ptCount val="4"/>
                <c:pt idx="0">
                  <c:v>0.27100491250004255</c:v>
                </c:pt>
                <c:pt idx="1">
                  <c:v>0.26088161422755834</c:v>
                </c:pt>
                <c:pt idx="2">
                  <c:v>0.2691757115827742</c:v>
                </c:pt>
                <c:pt idx="3">
                  <c:v>0.26877587480379078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1-4E91-8093-E4C04415A9EB}"/>
            </c:ext>
          </c:extLst>
        </c:ser>
        <c:ser>
          <c:idx val="1"/>
          <c:order val="1"/>
          <c:tx>
            <c:strRef>
              <c:f>Calc!$M$49</c:f>
              <c:strCache>
                <c:ptCount val="1"/>
                <c:pt idx="0">
                  <c:v>Biaya 70%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Calc!$A$50:$A$53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Calc!$M$50:$M$53</c:f>
              <c:numCache>
                <c:formatCode>0.0%</c:formatCode>
                <c:ptCount val="4"/>
                <c:pt idx="0">
                  <c:v>0.14950573125004979</c:v>
                </c:pt>
                <c:pt idx="1">
                  <c:v>0.13769521659881812</c:v>
                </c:pt>
                <c:pt idx="2">
                  <c:v>0.14737166351323661</c:v>
                </c:pt>
                <c:pt idx="3">
                  <c:v>0.14690518727108925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1-4E91-8093-E4C04415A9EB}"/>
            </c:ext>
          </c:extLst>
        </c:ser>
        <c:ser>
          <c:idx val="2"/>
          <c:order val="2"/>
          <c:tx>
            <c:strRef>
              <c:f>Calc!$N$49</c:f>
              <c:strCache>
                <c:ptCount val="1"/>
                <c:pt idx="0">
                  <c:v>Biaya 80%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Calc!$A$50:$A$53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Calc!$N$50:$N$53</c:f>
              <c:numCache>
                <c:formatCode>0.0%</c:formatCode>
                <c:ptCount val="4"/>
                <c:pt idx="0">
                  <c:v>2.8006550000056727E-2</c:v>
                </c:pt>
                <c:pt idx="1">
                  <c:v>1.4508818970077704E-2</c:v>
                </c:pt>
                <c:pt idx="2">
                  <c:v>2.5567615443698771E-2</c:v>
                </c:pt>
                <c:pt idx="3">
                  <c:v>2.5034499738387589E-2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C1-4E91-8093-E4C04415A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9405910"/>
        <c:axId val="40358391"/>
      </c:barChart>
      <c:catAx>
        <c:axId val="59405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0358391"/>
        <c:crosses val="autoZero"/>
        <c:auto val="1"/>
        <c:lblAlgn val="ctr"/>
        <c:lblOffset val="100"/>
        <c:noMultiLvlLbl val="0"/>
      </c:catAx>
      <c:valAx>
        <c:axId val="4035839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94059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Estimasi profit per kelompok diskon (negatif = merugi)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Calc!$G$57</c:f>
              <c:strCache>
                <c:ptCount val="1"/>
                <c:pt idx="0">
                  <c:v>Biaya 70%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Calc!$A$58:$A$64</c:f>
              <c:strCache>
                <c:ptCount val="7"/>
                <c:pt idx="0">
                  <c:v>0-5%</c:v>
                </c:pt>
                <c:pt idx="1">
                  <c:v>&gt;5-10%</c:v>
                </c:pt>
                <c:pt idx="2">
                  <c:v>&gt;10-15%</c:v>
                </c:pt>
                <c:pt idx="3">
                  <c:v>&gt;15-20%</c:v>
                </c:pt>
                <c:pt idx="4">
                  <c:v>&gt;20-25%</c:v>
                </c:pt>
                <c:pt idx="5">
                  <c:v>&gt;25-30%</c:v>
                </c:pt>
                <c:pt idx="6">
                  <c:v>&gt;30-35%</c:v>
                </c:pt>
              </c:strCache>
            </c:strRef>
          </c:cat>
          <c:val>
            <c:numRef>
              <c:f>Calc!$G$58:$G$64</c:f>
              <c:numCache>
                <c:formatCode>#,##0_);\(#,##0\)</c:formatCode>
                <c:ptCount val="7"/>
                <c:pt idx="0">
                  <c:v>253458.41500000074</c:v>
                </c:pt>
                <c:pt idx="1">
                  <c:v>172815.41100000008</c:v>
                </c:pt>
                <c:pt idx="2">
                  <c:v>150618.11500000081</c:v>
                </c:pt>
                <c:pt idx="3">
                  <c:v>103819.35399999982</c:v>
                </c:pt>
                <c:pt idx="4">
                  <c:v>67283.062000000966</c:v>
                </c:pt>
                <c:pt idx="5">
                  <c:v>18441.483000000939</c:v>
                </c:pt>
                <c:pt idx="6">
                  <c:v>-24675.471999999252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D-4910-86D2-AB6E77170244}"/>
            </c:ext>
          </c:extLst>
        </c:ser>
        <c:ser>
          <c:idx val="1"/>
          <c:order val="1"/>
          <c:tx>
            <c:strRef>
              <c:f>Calc!$H$57</c:f>
              <c:strCache>
                <c:ptCount val="1"/>
                <c:pt idx="0">
                  <c:v>Biaya 80%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Calc!$A$58:$A$64</c:f>
              <c:strCache>
                <c:ptCount val="7"/>
                <c:pt idx="0">
                  <c:v>0-5%</c:v>
                </c:pt>
                <c:pt idx="1">
                  <c:v>&gt;5-10%</c:v>
                </c:pt>
                <c:pt idx="2">
                  <c:v>&gt;10-15%</c:v>
                </c:pt>
                <c:pt idx="3">
                  <c:v>&gt;15-20%</c:v>
                </c:pt>
                <c:pt idx="4">
                  <c:v>&gt;20-25%</c:v>
                </c:pt>
                <c:pt idx="5">
                  <c:v>&gt;25-30%</c:v>
                </c:pt>
                <c:pt idx="6">
                  <c:v>&gt;30-35%</c:v>
                </c:pt>
              </c:strCache>
            </c:strRef>
          </c:cat>
          <c:val>
            <c:numRef>
              <c:f>Calc!$H$58:$H$64</c:f>
              <c:numCache>
                <c:formatCode>#,##0_);\(#,##0\)</c:formatCode>
                <c:ptCount val="7"/>
                <c:pt idx="0">
                  <c:v>160556.59000000055</c:v>
                </c:pt>
                <c:pt idx="1">
                  <c:v>94555.65399999998</c:v>
                </c:pt>
                <c:pt idx="2">
                  <c:v>61856.160000000848</c:v>
                </c:pt>
                <c:pt idx="3">
                  <c:v>17187.085999999661</c:v>
                </c:pt>
                <c:pt idx="4">
                  <c:v>-29864.021999999066</c:v>
                </c:pt>
                <c:pt idx="5">
                  <c:v>-74706.84799999895</c:v>
                </c:pt>
                <c:pt idx="6">
                  <c:v>-111826.44799999928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D-4910-86D2-AB6E77170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2708364"/>
        <c:axId val="24639325"/>
      </c:barChart>
      <c:catAx>
        <c:axId val="22708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4639325"/>
        <c:crosses val="autoZero"/>
        <c:auto val="1"/>
        <c:lblAlgn val="ctr"/>
        <c:lblOffset val="100"/>
        <c:noMultiLvlLbl val="0"/>
      </c:catAx>
      <c:valAx>
        <c:axId val="24639325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27083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Distribusi jumlah order per customer (sumbu X = jumlah order, Y = jumlah customer)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Calc!$B$67</c:f>
              <c:strCache>
                <c:ptCount val="1"/>
                <c:pt idx="0">
                  <c:v>Jumlah customer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Calc!$A$68:$A$81</c:f>
              <c:numCache>
                <c:formatCode>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Calc!$B$68:$B$81</c:f>
              <c:numCache>
                <c:formatCode>#,##0</c:formatCode>
                <c:ptCount val="14"/>
                <c:pt idx="0">
                  <c:v>39</c:v>
                </c:pt>
                <c:pt idx="1">
                  <c:v>91</c:v>
                </c:pt>
                <c:pt idx="2">
                  <c:v>149</c:v>
                </c:pt>
                <c:pt idx="3">
                  <c:v>158</c:v>
                </c:pt>
                <c:pt idx="4">
                  <c:v>153</c:v>
                </c:pt>
                <c:pt idx="5">
                  <c:v>154</c:v>
                </c:pt>
                <c:pt idx="6">
                  <c:v>99</c:v>
                </c:pt>
                <c:pt idx="7">
                  <c:v>70</c:v>
                </c:pt>
                <c:pt idx="8">
                  <c:v>32</c:v>
                </c:pt>
                <c:pt idx="9">
                  <c:v>24</c:v>
                </c:pt>
                <c:pt idx="10">
                  <c:v>12</c:v>
                </c:pt>
                <c:pt idx="11">
                  <c:v>7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7-4552-80C8-EBD748730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2132176"/>
        <c:axId val="8473234"/>
      </c:barChart>
      <c:catAx>
        <c:axId val="221321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473234"/>
        <c:crosses val="autoZero"/>
        <c:auto val="1"/>
        <c:lblAlgn val="ctr"/>
        <c:lblOffset val="100"/>
        <c:noMultiLvlLbl val="0"/>
      </c:catAx>
      <c:valAx>
        <c:axId val="847323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2132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10 customer teratas: net revenue (ribu)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Calc!$E$67</c:f>
              <c:strCache>
                <c:ptCount val="1"/>
                <c:pt idx="0">
                  <c:v>Net revenue (ribu)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Calc!$G$68:$G$77</c:f>
              <c:strCache>
                <c:ptCount val="10"/>
                <c:pt idx="0">
                  <c:v>#1663</c:v>
                </c:pt>
                <c:pt idx="1">
                  <c:v>#N/A</c:v>
                </c:pt>
                <c:pt idx="2">
                  <c:v>#1675</c:v>
                </c:pt>
                <c:pt idx="3">
                  <c:v>#1276</c:v>
                </c:pt>
                <c:pt idx="4">
                  <c:v>#1647</c:v>
                </c:pt>
                <c:pt idx="5">
                  <c:v>#1804</c:v>
                </c:pt>
                <c:pt idx="6">
                  <c:v>#1193</c:v>
                </c:pt>
                <c:pt idx="7">
                  <c:v>#1836</c:v>
                </c:pt>
                <c:pt idx="8">
                  <c:v>#1957</c:v>
                </c:pt>
                <c:pt idx="9">
                  <c:v>#1735</c:v>
                </c:pt>
              </c:strCache>
            </c:strRef>
          </c:cat>
          <c:val>
            <c:numRef>
              <c:f>Calc!$E$68:$E$77</c:f>
              <c:numCache>
                <c:formatCode>#,##0.0</c:formatCode>
                <c:ptCount val="10"/>
                <c:pt idx="0">
                  <c:v>17.680690000000002</c:v>
                </c:pt>
                <c:pt idx="1">
                  <c:v>16.265149999999998</c:v>
                </c:pt>
                <c:pt idx="2">
                  <c:v>15.036460000000002</c:v>
                </c:pt>
                <c:pt idx="3">
                  <c:v>15.023710000000003</c:v>
                </c:pt>
                <c:pt idx="4">
                  <c:v>14.894970000000001</c:v>
                </c:pt>
                <c:pt idx="5">
                  <c:v>14.33098</c:v>
                </c:pt>
                <c:pt idx="6">
                  <c:v>14.15165</c:v>
                </c:pt>
                <c:pt idx="7">
                  <c:v>14.11078</c:v>
                </c:pt>
                <c:pt idx="8">
                  <c:v>13.956949999999999</c:v>
                </c:pt>
                <c:pt idx="9">
                  <c:v>13.14625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4-49ED-9BCE-83CB758A8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8946350"/>
        <c:axId val="45204524"/>
      </c:barChart>
      <c:catAx>
        <c:axId val="1894635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5204524"/>
        <c:crosses val="autoZero"/>
        <c:auto val="1"/>
        <c:lblAlgn val="ctr"/>
        <c:lblOffset val="100"/>
        <c:noMultiLvlLbl val="0"/>
      </c:catAx>
      <c:valAx>
        <c:axId val="45204524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946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Net revenue per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Calc!$C$85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Calc!$A$86:$A$89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Calc!$C$86:$C$89</c:f>
              <c:numCache>
                <c:formatCode>#,##0</c:formatCode>
                <c:ptCount val="4"/>
                <c:pt idx="0">
                  <c:v>1345582.1599999997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1236044.2299999995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4-4C03-9941-FEA96925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6233484"/>
        <c:axId val="86113383"/>
      </c:barChart>
      <c:catAx>
        <c:axId val="66233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6113383"/>
        <c:crosses val="autoZero"/>
        <c:auto val="1"/>
        <c:lblAlgn val="ctr"/>
        <c:lblOffset val="100"/>
        <c:noMultiLvlLbl val="0"/>
      </c:catAx>
      <c:valAx>
        <c:axId val="8611338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62334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000000"/>
                </a:solidFill>
                <a:latin typeface="Arial"/>
              </a:rPr>
              <a:t>Estimasi margin per region (biaya terpilih)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Calc!$F$85</c:f>
              <c:strCache>
                <c:ptCount val="1"/>
                <c:pt idx="0">
                  <c:v>Margin (biaya terpilih)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Calc!$A$86:$A$89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Calc!$F$86:$F$89</c:f>
              <c:numCache>
                <c:formatCode>0.0%</c:formatCode>
                <c:ptCount val="4"/>
                <c:pt idx="0">
                  <c:v>0.14644126450071218</c:v>
                </c:pt>
                <c:pt idx="1">
                  <c:v>0.14424130952862591</c:v>
                </c:pt>
                <c:pt idx="2">
                  <c:v>0.14794984425747534</c:v>
                </c:pt>
                <c:pt idx="3">
                  <c:v>0.14192439618443073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9-4585-85BC-B492A3972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0406473"/>
        <c:axId val="6338552"/>
      </c:barChart>
      <c:catAx>
        <c:axId val="60406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338552"/>
        <c:crosses val="autoZero"/>
        <c:auto val="1"/>
        <c:lblAlgn val="ctr"/>
        <c:lblOffset val="100"/>
        <c:noMultiLvlLbl val="0"/>
      </c:catAx>
      <c:valAx>
        <c:axId val="633855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0406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11</xdr:col>
      <xdr:colOff>57600</xdr:colOff>
      <xdr:row>26</xdr:row>
      <xdr:rowOff>105024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0</xdr:rowOff>
    </xdr:from>
    <xdr:to>
      <xdr:col>21</xdr:col>
      <xdr:colOff>57600</xdr:colOff>
      <xdr:row>26</xdr:row>
      <xdr:rowOff>105024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11</xdr:col>
      <xdr:colOff>57600</xdr:colOff>
      <xdr:row>43</xdr:row>
      <xdr:rowOff>105023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21</xdr:col>
      <xdr:colOff>57600</xdr:colOff>
      <xdr:row>43</xdr:row>
      <xdr:rowOff>105023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11</xdr:col>
      <xdr:colOff>57600</xdr:colOff>
      <xdr:row>67</xdr:row>
      <xdr:rowOff>105023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53</xdr:row>
      <xdr:rowOff>0</xdr:rowOff>
    </xdr:from>
    <xdr:to>
      <xdr:col>21</xdr:col>
      <xdr:colOff>57600</xdr:colOff>
      <xdr:row>67</xdr:row>
      <xdr:rowOff>105023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74</xdr:row>
      <xdr:rowOff>0</xdr:rowOff>
    </xdr:from>
    <xdr:to>
      <xdr:col>11</xdr:col>
      <xdr:colOff>57600</xdr:colOff>
      <xdr:row>88</xdr:row>
      <xdr:rowOff>105023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74</xdr:row>
      <xdr:rowOff>0</xdr:rowOff>
    </xdr:from>
    <xdr:to>
      <xdr:col>21</xdr:col>
      <xdr:colOff>57600</xdr:colOff>
      <xdr:row>88</xdr:row>
      <xdr:rowOff>105023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91</xdr:row>
      <xdr:rowOff>0</xdr:rowOff>
    </xdr:from>
    <xdr:to>
      <xdr:col>11</xdr:col>
      <xdr:colOff>57600</xdr:colOff>
      <xdr:row>105</xdr:row>
      <xdr:rowOff>105024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91</xdr:row>
      <xdr:rowOff>0</xdr:rowOff>
    </xdr:from>
    <xdr:to>
      <xdr:col>21</xdr:col>
      <xdr:colOff>57600</xdr:colOff>
      <xdr:row>105</xdr:row>
      <xdr:rowOff>105024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125"/>
  <sheetViews>
    <sheetView showGridLines="0" zoomScale="85" zoomScaleNormal="85" workbookViewId="0">
      <pane ySplit="4" topLeftCell="A110" activePane="bottomLeft" state="frozen"/>
      <selection pane="bottomLeft" activeCell="S118" sqref="S118"/>
    </sheetView>
  </sheetViews>
  <sheetFormatPr defaultColWidth="8.6328125" defaultRowHeight="14" x14ac:dyDescent="0.3"/>
  <cols>
    <col min="1" max="1" width="1.54296875" style="7" customWidth="1"/>
    <col min="2" max="21" width="8.36328125" style="7" customWidth="1"/>
    <col min="22" max="22" width="1.54296875" style="7" customWidth="1"/>
    <col min="23" max="16384" width="8.6328125" style="7"/>
  </cols>
  <sheetData>
    <row r="1" spans="2:21" ht="21.75" customHeight="1" x14ac:dyDescent="0.3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2:21" ht="21.75" customHeight="1" x14ac:dyDescent="0.3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2:21" ht="15" customHeight="1" x14ac:dyDescent="0.3"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2:21" ht="24" customHeight="1" x14ac:dyDescent="0.3">
      <c r="B4" s="17" t="s">
        <v>2</v>
      </c>
      <c r="C4" s="17"/>
      <c r="D4" s="18" t="s">
        <v>3</v>
      </c>
      <c r="E4" s="18"/>
      <c r="F4" s="17" t="s">
        <v>4</v>
      </c>
      <c r="G4" s="17"/>
      <c r="H4" s="18" t="s">
        <v>3</v>
      </c>
      <c r="I4" s="18"/>
      <c r="J4" s="17" t="s">
        <v>5</v>
      </c>
      <c r="K4" s="17"/>
      <c r="L4" s="19">
        <v>0.7</v>
      </c>
      <c r="M4" s="19"/>
      <c r="N4" s="20" t="s">
        <v>6</v>
      </c>
      <c r="O4" s="20"/>
      <c r="P4" s="20"/>
      <c r="Q4" s="20"/>
      <c r="R4" s="20"/>
      <c r="S4" s="20"/>
      <c r="T4" s="20"/>
      <c r="U4" s="20"/>
    </row>
    <row r="6" spans="2:21" ht="18" customHeight="1" x14ac:dyDescent="0.3">
      <c r="B6" s="21" t="s">
        <v>7</v>
      </c>
      <c r="C6" s="21"/>
      <c r="D6" s="21"/>
      <c r="E6" s="21"/>
      <c r="F6" s="22" t="s">
        <v>8</v>
      </c>
      <c r="G6" s="22"/>
      <c r="H6" s="22"/>
      <c r="I6" s="22"/>
      <c r="J6" s="23" t="s">
        <v>9</v>
      </c>
      <c r="K6" s="23"/>
      <c r="L6" s="23"/>
      <c r="M6" s="23"/>
      <c r="N6" s="24" t="s">
        <v>10</v>
      </c>
      <c r="O6" s="24"/>
      <c r="P6" s="24"/>
      <c r="Q6" s="24"/>
      <c r="R6" s="25" t="s">
        <v>11</v>
      </c>
      <c r="S6" s="25"/>
      <c r="T6" s="25"/>
      <c r="U6" s="25"/>
    </row>
    <row r="7" spans="2:21" x14ac:dyDescent="0.3">
      <c r="B7" s="26">
        <f>Calc!B3</f>
        <v>5109775.7400000067</v>
      </c>
      <c r="C7" s="26"/>
      <c r="D7" s="26"/>
      <c r="E7" s="26"/>
      <c r="F7" s="27">
        <f>Calc!B7</f>
        <v>741760.36800001562</v>
      </c>
      <c r="G7" s="27"/>
      <c r="H7" s="27"/>
      <c r="I7" s="27"/>
      <c r="J7" s="28">
        <f>Calc!B9</f>
        <v>5000</v>
      </c>
      <c r="K7" s="28"/>
      <c r="L7" s="28"/>
      <c r="M7" s="28"/>
      <c r="N7" s="29">
        <f>Calc!B10</f>
        <v>989</v>
      </c>
      <c r="O7" s="29"/>
      <c r="P7" s="29"/>
      <c r="Q7" s="29"/>
      <c r="R7" s="30">
        <f>Calc!B15</f>
        <v>7.9039206701663867E-2</v>
      </c>
      <c r="S7" s="30"/>
      <c r="T7" s="30"/>
      <c r="U7" s="30"/>
    </row>
    <row r="8" spans="2:21" x14ac:dyDescent="0.3">
      <c r="B8" s="26"/>
      <c r="C8" s="26"/>
      <c r="D8" s="26"/>
      <c r="E8" s="26"/>
      <c r="F8" s="27"/>
      <c r="G8" s="27"/>
      <c r="H8" s="27"/>
      <c r="I8" s="27"/>
      <c r="J8" s="28"/>
      <c r="K8" s="28"/>
      <c r="L8" s="28"/>
      <c r="M8" s="28"/>
      <c r="N8" s="29"/>
      <c r="O8" s="29"/>
      <c r="P8" s="29"/>
      <c r="Q8" s="29"/>
      <c r="R8" s="30"/>
      <c r="S8" s="30"/>
      <c r="T8" s="30"/>
      <c r="U8" s="30"/>
    </row>
    <row r="9" spans="2:21" ht="16.5" customHeight="1" x14ac:dyDescent="0.3">
      <c r="B9" s="31" t="str">
        <f>"Gross sales "&amp;TEXT(Calc!B4,"#,##0")</f>
        <v>Gross sales 6240021,960</v>
      </c>
      <c r="C9" s="31"/>
      <c r="D9" s="31"/>
      <c r="E9" s="31"/>
      <c r="F9" s="31" t="str">
        <f>"Margin "&amp;TEXT(Calc!B8,"0.0%")&amp;" pada biaya "&amp;TEXT(Calc!B6,"0%")&amp;" dari gross"</f>
        <v>Margin 15% pada biaya 70% dari gross</v>
      </c>
      <c r="G9" s="31"/>
      <c r="H9" s="31"/>
      <c r="I9" s="31"/>
      <c r="J9" s="31" t="str">
        <f>"Rata-rata "&amp;TEXT(Calc!B11,"#,##0")&amp;" per order (AOV)"</f>
        <v>Rata-rata 1021,955 per order (AOV)</v>
      </c>
      <c r="K9" s="31"/>
      <c r="L9" s="31"/>
      <c r="M9" s="31"/>
      <c r="N9" s="31" t="str">
        <f>"Rata-rata "&amp;TEXT(Calc!B22,"0.0")&amp;" order per customer"</f>
        <v>Rata-rata 05 order per customer</v>
      </c>
      <c r="O9" s="31"/>
      <c r="P9" s="31"/>
      <c r="Q9" s="31"/>
      <c r="R9" s="31" t="s">
        <v>12</v>
      </c>
      <c r="S9" s="31"/>
      <c r="T9" s="31"/>
      <c r="U9" s="31"/>
    </row>
    <row r="10" spans="2:21" ht="25.5" customHeight="1" x14ac:dyDescent="0.3">
      <c r="B10" s="32" t="str">
        <f>"Diskon "&amp;TEXT(Calc!B5,"#,##0")&amp;" ("&amp;TEXT(Calc!B21,"0.0%")&amp;" dari gross)"</f>
        <v>Diskon 1130246,220 (18% dari gross)</v>
      </c>
      <c r="C10" s="32"/>
      <c r="D10" s="32"/>
      <c r="E10" s="32"/>
      <c r="F10" s="32" t="str">
        <f>"Order merugi: "&amp;TEXT(Calc!B18,"0.0%")&amp;" (diskon &gt; titik impas)"</f>
        <v>Order merugi: 14% (diskon &gt; titik impas)</v>
      </c>
      <c r="G10" s="32"/>
      <c r="H10" s="32"/>
      <c r="I10" s="32"/>
      <c r="J10" s="32" t="str">
        <f>"Rata-rata "&amp;TEXT(Calc!B12,"0.0")&amp;" unit per order"</f>
        <v>Rata-rata 04 unit per order</v>
      </c>
      <c r="K10" s="32"/>
      <c r="L10" s="32"/>
      <c r="M10" s="32"/>
      <c r="N10" s="32" t="str">
        <f>TEXT(Calc!B20,"0.0%")&amp;" customer order &gt;= 2 kali"</f>
        <v>96% customer order &gt;= 2 kali</v>
      </c>
      <c r="O10" s="32"/>
      <c r="P10" s="32"/>
      <c r="Q10" s="32"/>
      <c r="R10" s="32" t="str">
        <f>"Jan-Sep 2022 ke 2026: "&amp;TEXT(Calc!B16,"+0.0%;-0.0%")&amp;" per tahun"</f>
        <v>Jan-Sep 2022 ke 2026: +00% per tahun</v>
      </c>
      <c r="S10" s="32"/>
      <c r="T10" s="32"/>
      <c r="U10" s="32"/>
    </row>
    <row r="12" spans="2:21" ht="19.5" customHeight="1" x14ac:dyDescent="0.3">
      <c r="B12" s="33" t="s">
        <v>13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29" spans="2:21" ht="19.5" customHeight="1" x14ac:dyDescent="0.3">
      <c r="B29" s="33" t="s">
        <v>14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46" spans="2:21" ht="15" customHeight="1" x14ac:dyDescent="0.3">
      <c r="B46" s="34" t="s">
        <v>2</v>
      </c>
      <c r="C46" s="34"/>
      <c r="D46" s="34"/>
      <c r="E46" s="34" t="s">
        <v>15</v>
      </c>
      <c r="F46" s="34"/>
      <c r="G46" s="34" t="s">
        <v>16</v>
      </c>
      <c r="H46" s="34"/>
      <c r="I46" s="34"/>
      <c r="J46" s="34" t="s">
        <v>17</v>
      </c>
      <c r="K46" s="34"/>
      <c r="L46" s="34"/>
      <c r="M46" s="34" t="s">
        <v>18</v>
      </c>
      <c r="N46" s="34"/>
      <c r="O46" s="34" t="s">
        <v>19</v>
      </c>
      <c r="P46" s="34"/>
      <c r="Q46" s="34" t="s">
        <v>20</v>
      </c>
      <c r="R46" s="34"/>
      <c r="S46" s="34" t="s">
        <v>21</v>
      </c>
      <c r="T46" s="34"/>
      <c r="U46" s="34"/>
    </row>
    <row r="47" spans="2:21" x14ac:dyDescent="0.3">
      <c r="B47" s="35" t="str">
        <f>Calc!A50</f>
        <v>Electronics</v>
      </c>
      <c r="C47" s="35"/>
      <c r="D47" s="35"/>
      <c r="E47" s="36">
        <f>Calc!B50</f>
        <v>1777</v>
      </c>
      <c r="F47" s="36"/>
      <c r="G47" s="36">
        <f>Calc!E50</f>
        <v>1829899.2199999981</v>
      </c>
      <c r="H47" s="36"/>
      <c r="I47" s="36"/>
      <c r="J47" s="37">
        <f>Calc!H50</f>
        <v>0.35811732512550504</v>
      </c>
      <c r="K47" s="37"/>
      <c r="L47" s="37"/>
      <c r="M47" s="37">
        <f>Calc!G50</f>
        <v>0.17694918623160594</v>
      </c>
      <c r="N47" s="37"/>
      <c r="O47" s="36">
        <f>Calc!I50</f>
        <v>1029.768835115362</v>
      </c>
      <c r="P47" s="36"/>
      <c r="Q47" s="38">
        <f>Calc!J50</f>
        <v>2.951097355092851</v>
      </c>
      <c r="R47" s="38"/>
      <c r="S47" s="37">
        <f>Calc!K50</f>
        <v>0.14950573125004979</v>
      </c>
      <c r="T47" s="37"/>
      <c r="U47" s="37"/>
    </row>
    <row r="48" spans="2:21" x14ac:dyDescent="0.3">
      <c r="B48" s="39" t="str">
        <f>Calc!A51</f>
        <v>Clothing</v>
      </c>
      <c r="C48" s="39"/>
      <c r="D48" s="39"/>
      <c r="E48" s="40">
        <f>Calc!B51</f>
        <v>1531</v>
      </c>
      <c r="F48" s="40"/>
      <c r="G48" s="40">
        <f>Calc!E51</f>
        <v>1531931.7200000014</v>
      </c>
      <c r="H48" s="40"/>
      <c r="I48" s="40"/>
      <c r="J48" s="41">
        <f>Calc!H51</f>
        <v>0.29980410060031348</v>
      </c>
      <c r="K48" s="41"/>
      <c r="L48" s="41"/>
      <c r="M48" s="41">
        <f>Calc!G51</f>
        <v>0.18822206083677775</v>
      </c>
      <c r="N48" s="41"/>
      <c r="O48" s="40">
        <f>Calc!I51</f>
        <v>1000.6085695623784</v>
      </c>
      <c r="P48" s="40"/>
      <c r="Q48" s="42">
        <f>Calc!J51</f>
        <v>3.0050947093403018</v>
      </c>
      <c r="R48" s="42"/>
      <c r="S48" s="41">
        <f>Calc!K51</f>
        <v>0.13769521659881812</v>
      </c>
      <c r="T48" s="41"/>
      <c r="U48" s="41"/>
    </row>
    <row r="49" spans="2:21" x14ac:dyDescent="0.3">
      <c r="B49" s="35" t="str">
        <f>Calc!A52</f>
        <v>Home</v>
      </c>
      <c r="C49" s="35"/>
      <c r="D49" s="35"/>
      <c r="E49" s="36">
        <f>Calc!B52</f>
        <v>969</v>
      </c>
      <c r="F49" s="36"/>
      <c r="G49" s="36">
        <f>Calc!E52</f>
        <v>982083.91999999993</v>
      </c>
      <c r="H49" s="36"/>
      <c r="I49" s="36"/>
      <c r="J49" s="37">
        <f>Calc!H52</f>
        <v>0.19219706890698102</v>
      </c>
      <c r="K49" s="37"/>
      <c r="L49" s="37"/>
      <c r="M49" s="37">
        <f>Calc!G52</f>
        <v>0.17900922354476945</v>
      </c>
      <c r="N49" s="37"/>
      <c r="O49" s="36">
        <f>Calc!I52</f>
        <v>1013.5024974200205</v>
      </c>
      <c r="P49" s="36"/>
      <c r="Q49" s="38">
        <f>Calc!J52</f>
        <v>2.9406604747161973</v>
      </c>
      <c r="R49" s="38"/>
      <c r="S49" s="37">
        <f>Calc!K52</f>
        <v>0.14737166351323661</v>
      </c>
      <c r="T49" s="37"/>
      <c r="U49" s="37"/>
    </row>
    <row r="50" spans="2:21" x14ac:dyDescent="0.3">
      <c r="B50" s="39" t="str">
        <f>Calc!A53</f>
        <v>Beauty</v>
      </c>
      <c r="C50" s="39"/>
      <c r="D50" s="39"/>
      <c r="E50" s="40">
        <f>Calc!B53</f>
        <v>723</v>
      </c>
      <c r="F50" s="40"/>
      <c r="G50" s="40">
        <f>Calc!E53</f>
        <v>765860.88000000035</v>
      </c>
      <c r="H50" s="40"/>
      <c r="I50" s="40"/>
      <c r="J50" s="41">
        <f>Calc!H53</f>
        <v>0.14988150536720038</v>
      </c>
      <c r="K50" s="41"/>
      <c r="L50" s="41"/>
      <c r="M50" s="41">
        <f>Calc!G53</f>
        <v>0.17945814514940844</v>
      </c>
      <c r="N50" s="41"/>
      <c r="O50" s="40">
        <f>Calc!I53</f>
        <v>1059.2819917012453</v>
      </c>
      <c r="P50" s="40"/>
      <c r="Q50" s="42">
        <f>Calc!J53</f>
        <v>3.0089903181189492</v>
      </c>
      <c r="R50" s="42"/>
      <c r="S50" s="41">
        <f>Calc!K53</f>
        <v>0.14690518727108925</v>
      </c>
      <c r="T50" s="41"/>
      <c r="U50" s="41"/>
    </row>
    <row r="51" spans="2:21" x14ac:dyDescent="0.3">
      <c r="B51" s="43" t="s">
        <v>22</v>
      </c>
      <c r="C51" s="43"/>
      <c r="D51" s="43"/>
      <c r="E51" s="44">
        <f>Calc!B54</f>
        <v>5000</v>
      </c>
      <c r="F51" s="44"/>
      <c r="G51" s="44">
        <f>Calc!E54</f>
        <v>5109775.74</v>
      </c>
      <c r="H51" s="44"/>
      <c r="I51" s="44"/>
      <c r="J51" s="45">
        <f>Calc!H54</f>
        <v>0.99999999999999989</v>
      </c>
      <c r="K51" s="45"/>
      <c r="L51" s="45"/>
      <c r="M51" s="45">
        <f>Calc!G54</f>
        <v>0.18112856448985967</v>
      </c>
      <c r="N51" s="45"/>
      <c r="O51" s="44">
        <f>Calc!I54</f>
        <v>1021.955148</v>
      </c>
      <c r="P51" s="44"/>
      <c r="Q51" s="46">
        <f>Calc!J54</f>
        <v>2.9739800000000005</v>
      </c>
      <c r="R51" s="46"/>
      <c r="S51" s="45">
        <f>Calc!K54</f>
        <v>0.14516495551720918</v>
      </c>
      <c r="T51" s="45"/>
      <c r="U51" s="45"/>
    </row>
    <row r="53" spans="2:21" ht="19.5" customHeight="1" x14ac:dyDescent="0.3">
      <c r="B53" s="33" t="s">
        <v>23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69" spans="2:21" x14ac:dyDescent="0.3">
      <c r="B69" s="20" t="str">
        <f>"Titik impas diskon = 1 - rasio biaya = "&amp;TEXT(1-Calc!B6,"0%")&amp;" pada biaya "&amp;TEXT(Calc!B6,"0%")&amp;". Order dengan diskon di atas titik impas merugi: "&amp;TEXT(Calc!B18,"0.0%")&amp;" dari order terfilter."</f>
        <v>Titik impas diskon = 1 - rasio biaya = 30% pada biaya 70%. Order dengan diskon di atas titik impas merugi: 14% dari order terfilter.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1" spans="2:21" ht="19.5" customHeight="1" x14ac:dyDescent="0.3">
      <c r="B71" s="33" t="s">
        <v>24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</row>
    <row r="72" spans="2:21" x14ac:dyDescent="0.3">
      <c r="B72" s="47" t="s">
        <v>25</v>
      </c>
      <c r="C72" s="47"/>
      <c r="D72" s="47"/>
      <c r="E72" s="47"/>
      <c r="F72" s="47"/>
      <c r="G72" s="47"/>
      <c r="H72" s="47" t="s">
        <v>26</v>
      </c>
      <c r="I72" s="47"/>
      <c r="J72" s="47"/>
      <c r="K72" s="47"/>
      <c r="L72" s="47"/>
      <c r="M72" s="47"/>
      <c r="N72" s="47"/>
      <c r="O72" s="47" t="s">
        <v>27</v>
      </c>
      <c r="P72" s="47"/>
      <c r="Q72" s="47"/>
      <c r="R72" s="47"/>
      <c r="S72" s="47"/>
      <c r="T72" s="47"/>
      <c r="U72" s="47"/>
    </row>
    <row r="73" spans="2:21" ht="25.5" customHeight="1" x14ac:dyDescent="0.3">
      <c r="B73" s="48">
        <f>Calc!B22</f>
        <v>5.0556117290192111</v>
      </c>
      <c r="C73" s="48"/>
      <c r="D73" s="48"/>
      <c r="E73" s="48"/>
      <c r="F73" s="48"/>
      <c r="G73" s="48"/>
      <c r="H73" s="49">
        <f>Calc!B19</f>
        <v>0.21268148844434417</v>
      </c>
      <c r="I73" s="49"/>
      <c r="J73" s="49"/>
      <c r="K73" s="49"/>
      <c r="L73" s="49"/>
      <c r="M73" s="49"/>
      <c r="N73" s="49"/>
      <c r="O73" s="49">
        <f>Calc!B20</f>
        <v>0.96056622851365014</v>
      </c>
      <c r="P73" s="49"/>
      <c r="Q73" s="49"/>
      <c r="R73" s="49"/>
      <c r="S73" s="49"/>
      <c r="T73" s="49"/>
      <c r="U73" s="49"/>
    </row>
    <row r="91" spans="2:21" ht="19.5" customHeight="1" x14ac:dyDescent="0.3">
      <c r="B91" s="33" t="s">
        <v>28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</row>
    <row r="108" spans="2:21" ht="15" customHeight="1" x14ac:dyDescent="0.3">
      <c r="B108" s="34" t="s">
        <v>4</v>
      </c>
      <c r="C108" s="34"/>
      <c r="D108" s="34"/>
      <c r="E108" s="34" t="s">
        <v>15</v>
      </c>
      <c r="F108" s="34"/>
      <c r="G108" s="34"/>
      <c r="H108" s="34" t="s">
        <v>16</v>
      </c>
      <c r="I108" s="34"/>
      <c r="J108" s="34"/>
      <c r="K108" s="34" t="s">
        <v>17</v>
      </c>
      <c r="L108" s="34"/>
      <c r="M108" s="34"/>
      <c r="N108" s="34" t="s">
        <v>21</v>
      </c>
      <c r="O108" s="34"/>
      <c r="P108" s="34"/>
      <c r="Q108" s="34" t="s">
        <v>20</v>
      </c>
      <c r="R108" s="34"/>
      <c r="S108" s="34"/>
      <c r="T108" s="34" t="s">
        <v>29</v>
      </c>
      <c r="U108" s="34"/>
    </row>
    <row r="109" spans="2:21" x14ac:dyDescent="0.3">
      <c r="B109" s="35" t="str">
        <f>Calc!A86</f>
        <v>West</v>
      </c>
      <c r="C109" s="35"/>
      <c r="D109" s="35"/>
      <c r="E109" s="36">
        <f>Calc!B86</f>
        <v>1289</v>
      </c>
      <c r="F109" s="36"/>
      <c r="G109" s="36"/>
      <c r="H109" s="36">
        <f>Calc!C86</f>
        <v>1345582.1599999997</v>
      </c>
      <c r="I109" s="36"/>
      <c r="J109" s="36"/>
      <c r="K109" s="37">
        <f>Calc!D86</f>
        <v>0.26333487582764237</v>
      </c>
      <c r="L109" s="37"/>
      <c r="M109" s="37"/>
      <c r="N109" s="37">
        <f>Calc!F86</f>
        <v>0.14644126450071218</v>
      </c>
      <c r="O109" s="37"/>
      <c r="P109" s="37"/>
      <c r="Q109" s="38">
        <f>Calc!G86</f>
        <v>2.9615205585725382</v>
      </c>
      <c r="R109" s="38"/>
      <c r="S109" s="38"/>
      <c r="T109" s="50">
        <f>Calc!H86</f>
        <v>6.0822342901474009</v>
      </c>
      <c r="U109" s="50"/>
    </row>
    <row r="110" spans="2:21" x14ac:dyDescent="0.3">
      <c r="B110" s="39" t="str">
        <f>Calc!A87</f>
        <v>North</v>
      </c>
      <c r="C110" s="39"/>
      <c r="D110" s="39"/>
      <c r="E110" s="40">
        <f>Calc!B87</f>
        <v>1276</v>
      </c>
      <c r="F110" s="40"/>
      <c r="G110" s="40"/>
      <c r="H110" s="40">
        <f>Calc!C87</f>
        <v>1281508.4500000007</v>
      </c>
      <c r="I110" s="40"/>
      <c r="J110" s="40"/>
      <c r="K110" s="41">
        <f>Calc!D87</f>
        <v>0.25079543901862128</v>
      </c>
      <c r="L110" s="41"/>
      <c r="M110" s="41"/>
      <c r="N110" s="41">
        <f>Calc!F87</f>
        <v>0.14424130952862591</v>
      </c>
      <c r="O110" s="41"/>
      <c r="P110" s="41"/>
      <c r="Q110" s="42">
        <f>Calc!G87</f>
        <v>2.9931818181818177</v>
      </c>
      <c r="R110" s="42"/>
      <c r="S110" s="42"/>
      <c r="T110" s="51">
        <f>Calc!H87</f>
        <v>6.1183385579937308</v>
      </c>
      <c r="U110" s="51"/>
    </row>
    <row r="111" spans="2:21" x14ac:dyDescent="0.3">
      <c r="B111" s="35" t="str">
        <f>Calc!A88</f>
        <v>South</v>
      </c>
      <c r="C111" s="35"/>
      <c r="D111" s="35"/>
      <c r="E111" s="36">
        <f>Calc!B88</f>
        <v>1208</v>
      </c>
      <c r="F111" s="36"/>
      <c r="G111" s="36"/>
      <c r="H111" s="36">
        <f>Calc!C88</f>
        <v>1246640.9000000015</v>
      </c>
      <c r="I111" s="36"/>
      <c r="J111" s="36"/>
      <c r="K111" s="37">
        <f>Calc!D88</f>
        <v>0.24397174424723408</v>
      </c>
      <c r="L111" s="37"/>
      <c r="M111" s="37"/>
      <c r="N111" s="37">
        <f>Calc!F88</f>
        <v>0.14794984425747534</v>
      </c>
      <c r="O111" s="37"/>
      <c r="P111" s="37"/>
      <c r="Q111" s="38">
        <f>Calc!G88</f>
        <v>2.9677980132450315</v>
      </c>
      <c r="R111" s="38"/>
      <c r="S111" s="38"/>
      <c r="T111" s="50">
        <f>Calc!H88</f>
        <v>6.173013245033113</v>
      </c>
      <c r="U111" s="50"/>
    </row>
    <row r="112" spans="2:21" x14ac:dyDescent="0.3">
      <c r="B112" s="39" t="str">
        <f>Calc!A89</f>
        <v>East</v>
      </c>
      <c r="C112" s="39"/>
      <c r="D112" s="39"/>
      <c r="E112" s="40">
        <f>Calc!B89</f>
        <v>1227</v>
      </c>
      <c r="F112" s="40"/>
      <c r="G112" s="40"/>
      <c r="H112" s="40">
        <f>Calc!C89</f>
        <v>1236044.2299999995</v>
      </c>
      <c r="I112" s="40"/>
      <c r="J112" s="40"/>
      <c r="K112" s="41">
        <f>Calc!D89</f>
        <v>0.24189794090650232</v>
      </c>
      <c r="L112" s="41"/>
      <c r="M112" s="41"/>
      <c r="N112" s="41">
        <f>Calc!F89</f>
        <v>0.14192439618443073</v>
      </c>
      <c r="O112" s="41"/>
      <c r="P112" s="41"/>
      <c r="Q112" s="42">
        <f>Calc!G89</f>
        <v>2.9731866340668298</v>
      </c>
      <c r="R112" s="42"/>
      <c r="S112" s="42"/>
      <c r="T112" s="51">
        <f>Calc!H89</f>
        <v>6.1043194784026076</v>
      </c>
      <c r="U112" s="51"/>
    </row>
    <row r="114" spans="2:21" ht="19.5" customHeight="1" x14ac:dyDescent="0.3">
      <c r="B114" s="33" t="s">
        <v>30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 spans="2:21" ht="57.75" customHeight="1" x14ac:dyDescent="0.3">
      <c r="B115" s="52" t="s">
        <v>31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</row>
    <row r="116" spans="2:21" ht="57.75" customHeight="1" x14ac:dyDescent="0.3">
      <c r="B116" s="52" t="s">
        <v>32</v>
      </c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</row>
    <row r="117" spans="2:21" ht="57.75" customHeight="1" x14ac:dyDescent="0.3">
      <c r="B117" s="52" t="s">
        <v>33</v>
      </c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</row>
    <row r="119" spans="2:21" ht="19.5" customHeight="1" x14ac:dyDescent="0.3">
      <c r="B119" s="33" t="s">
        <v>34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2:21" ht="57.75" customHeight="1" x14ac:dyDescent="0.3">
      <c r="B120" s="53" t="s">
        <v>35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</row>
    <row r="121" spans="2:21" ht="57.75" customHeight="1" x14ac:dyDescent="0.3">
      <c r="B121" s="53" t="s">
        <v>36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</row>
    <row r="122" spans="2:21" ht="57.75" customHeight="1" x14ac:dyDescent="0.3">
      <c r="B122" s="53" t="s">
        <v>37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</row>
    <row r="124" spans="2:21" ht="24" customHeight="1" x14ac:dyDescent="0.3">
      <c r="B124" s="20" t="s">
        <v>38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</row>
    <row r="125" spans="2:21" ht="24" customHeight="1" x14ac:dyDescent="0.3">
      <c r="B125" s="20" t="s">
        <v>39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</row>
  </sheetData>
  <mergeCells count="134">
    <mergeCell ref="B116:U116"/>
    <mergeCell ref="B117:U117"/>
    <mergeCell ref="B119:U119"/>
    <mergeCell ref="B120:U120"/>
    <mergeCell ref="B121:U121"/>
    <mergeCell ref="B122:U122"/>
    <mergeCell ref="B124:U124"/>
    <mergeCell ref="B125:U125"/>
    <mergeCell ref="B112:D112"/>
    <mergeCell ref="E112:G112"/>
    <mergeCell ref="H112:J112"/>
    <mergeCell ref="K112:M112"/>
    <mergeCell ref="N112:P112"/>
    <mergeCell ref="Q112:S112"/>
    <mergeCell ref="T112:U112"/>
    <mergeCell ref="B114:U114"/>
    <mergeCell ref="B115:U115"/>
    <mergeCell ref="B110:D110"/>
    <mergeCell ref="E110:G110"/>
    <mergeCell ref="H110:J110"/>
    <mergeCell ref="K110:M110"/>
    <mergeCell ref="N110:P110"/>
    <mergeCell ref="Q110:S110"/>
    <mergeCell ref="T110:U110"/>
    <mergeCell ref="B111:D111"/>
    <mergeCell ref="E111:G111"/>
    <mergeCell ref="H111:J111"/>
    <mergeCell ref="K111:M111"/>
    <mergeCell ref="N111:P111"/>
    <mergeCell ref="Q111:S111"/>
    <mergeCell ref="T111:U111"/>
    <mergeCell ref="B108:D108"/>
    <mergeCell ref="E108:G108"/>
    <mergeCell ref="H108:J108"/>
    <mergeCell ref="K108:M108"/>
    <mergeCell ref="N108:P108"/>
    <mergeCell ref="Q108:S108"/>
    <mergeCell ref="T108:U108"/>
    <mergeCell ref="B109:D109"/>
    <mergeCell ref="E109:G109"/>
    <mergeCell ref="H109:J109"/>
    <mergeCell ref="K109:M109"/>
    <mergeCell ref="N109:P109"/>
    <mergeCell ref="Q109:S109"/>
    <mergeCell ref="T109:U109"/>
    <mergeCell ref="B69:U69"/>
    <mergeCell ref="B71:U71"/>
    <mergeCell ref="B72:G72"/>
    <mergeCell ref="H72:N72"/>
    <mergeCell ref="O72:U72"/>
    <mergeCell ref="B73:G73"/>
    <mergeCell ref="H73:N73"/>
    <mergeCell ref="O73:U73"/>
    <mergeCell ref="B91:U91"/>
    <mergeCell ref="B51:D51"/>
    <mergeCell ref="E51:F51"/>
    <mergeCell ref="G51:I51"/>
    <mergeCell ref="J51:L51"/>
    <mergeCell ref="M51:N51"/>
    <mergeCell ref="O51:P51"/>
    <mergeCell ref="Q51:R51"/>
    <mergeCell ref="S51:U51"/>
    <mergeCell ref="B53:U53"/>
    <mergeCell ref="B49:D49"/>
    <mergeCell ref="E49:F49"/>
    <mergeCell ref="G49:I49"/>
    <mergeCell ref="J49:L49"/>
    <mergeCell ref="M49:N49"/>
    <mergeCell ref="O49:P49"/>
    <mergeCell ref="Q49:R49"/>
    <mergeCell ref="S49:U49"/>
    <mergeCell ref="B50:D50"/>
    <mergeCell ref="E50:F50"/>
    <mergeCell ref="G50:I50"/>
    <mergeCell ref="J50:L50"/>
    <mergeCell ref="M50:N50"/>
    <mergeCell ref="O50:P50"/>
    <mergeCell ref="Q50:R50"/>
    <mergeCell ref="S50:U50"/>
    <mergeCell ref="B47:D47"/>
    <mergeCell ref="E47:F47"/>
    <mergeCell ref="G47:I47"/>
    <mergeCell ref="J47:L47"/>
    <mergeCell ref="M47:N47"/>
    <mergeCell ref="O47:P47"/>
    <mergeCell ref="Q47:R47"/>
    <mergeCell ref="S47:U47"/>
    <mergeCell ref="B48:D48"/>
    <mergeCell ref="E48:F48"/>
    <mergeCell ref="G48:I48"/>
    <mergeCell ref="J48:L48"/>
    <mergeCell ref="M48:N48"/>
    <mergeCell ref="O48:P48"/>
    <mergeCell ref="Q48:R48"/>
    <mergeCell ref="S48:U48"/>
    <mergeCell ref="B12:U12"/>
    <mergeCell ref="B29:U29"/>
    <mergeCell ref="B46:D46"/>
    <mergeCell ref="E46:F46"/>
    <mergeCell ref="G46:I46"/>
    <mergeCell ref="J46:L46"/>
    <mergeCell ref="M46:N46"/>
    <mergeCell ref="O46:P46"/>
    <mergeCell ref="Q46:R46"/>
    <mergeCell ref="S46:U46"/>
    <mergeCell ref="B9:E9"/>
    <mergeCell ref="F9:I9"/>
    <mergeCell ref="J9:M9"/>
    <mergeCell ref="N9:Q9"/>
    <mergeCell ref="R9:U9"/>
    <mergeCell ref="B10:E10"/>
    <mergeCell ref="F10:I10"/>
    <mergeCell ref="J10:M10"/>
    <mergeCell ref="N10:Q10"/>
    <mergeCell ref="R10:U10"/>
    <mergeCell ref="B6:E6"/>
    <mergeCell ref="F6:I6"/>
    <mergeCell ref="J6:M6"/>
    <mergeCell ref="N6:Q6"/>
    <mergeCell ref="R6:U6"/>
    <mergeCell ref="B7:E8"/>
    <mergeCell ref="F7:I8"/>
    <mergeCell ref="J7:M8"/>
    <mergeCell ref="N7:Q8"/>
    <mergeCell ref="R7:U8"/>
    <mergeCell ref="B1:U2"/>
    <mergeCell ref="B3:U3"/>
    <mergeCell ref="B4:C4"/>
    <mergeCell ref="D4:E4"/>
    <mergeCell ref="F4:G4"/>
    <mergeCell ref="H4:I4"/>
    <mergeCell ref="J4:K4"/>
    <mergeCell ref="L4:M4"/>
    <mergeCell ref="N4:U4"/>
  </mergeCells>
  <pageMargins left="0.3" right="0.3" top="0.3" bottom="0.3" header="0.511811023622047" footer="0.511811023622047"/>
  <pageSetup paperSize="9" fitToHeight="0" orientation="landscape" horizontalDpi="300" verticalDpi="300"/>
  <rowBreaks count="3" manualBreakCount="3">
    <brk id="28" max="16383" man="1"/>
    <brk id="70" max="16383" man="1"/>
    <brk id="113" max="16383" man="1"/>
  </rowBreaks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Calc!$J$3:$J$7</xm:f>
          </x14:formula1>
          <x14:formula2>
            <xm:f>0</xm:f>
          </x14:formula2>
          <xm:sqref>D4</xm:sqref>
        </x14:dataValidation>
        <x14:dataValidation type="list" xr:uid="{00000000-0002-0000-0000-000001000000}">
          <x14:formula1>
            <xm:f>Calc!$K$3:$K$7</xm:f>
          </x14:formula1>
          <x14:formula2>
            <xm:f>0</xm:f>
          </x14:formula2>
          <xm:sqref>H4</xm:sqref>
        </x14:dataValidation>
        <x14:dataValidation type="list" xr:uid="{00000000-0002-0000-0000-000002000000}">
          <x14:formula1>
            <xm:f>Calc!$L$3:$L$5</xm:f>
          </x14:formula1>
          <x14:formula2>
            <xm:f>0</xm:f>
          </x14:formula2>
          <xm:sqref>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01"/>
  <sheetViews>
    <sheetView topLeftCell="L1" zoomScaleNormal="100" workbookViewId="0">
      <pane ySplit="1" topLeftCell="A2" activePane="bottomLeft" state="frozen"/>
      <selection pane="bottomLeft" activeCell="W8" sqref="W8"/>
    </sheetView>
  </sheetViews>
  <sheetFormatPr defaultColWidth="8.6328125" defaultRowHeight="14.5" x14ac:dyDescent="0.35"/>
  <cols>
    <col min="1" max="22" width="14" customWidth="1"/>
  </cols>
  <sheetData>
    <row r="1" spans="1:22" ht="26" x14ac:dyDescent="0.35">
      <c r="A1" s="13" t="s">
        <v>40</v>
      </c>
      <c r="B1" s="13" t="s">
        <v>41</v>
      </c>
      <c r="C1" s="13" t="s">
        <v>42</v>
      </c>
      <c r="D1" s="13" t="s">
        <v>43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49</v>
      </c>
      <c r="K1" s="13" t="s">
        <v>50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55</v>
      </c>
      <c r="Q1" s="13" t="s">
        <v>56</v>
      </c>
      <c r="R1" s="13" t="s">
        <v>57</v>
      </c>
      <c r="S1" s="13" t="s">
        <v>58</v>
      </c>
      <c r="T1" s="13" t="s">
        <v>59</v>
      </c>
      <c r="U1" s="14" t="s">
        <v>60</v>
      </c>
      <c r="V1" s="14" t="s">
        <v>61</v>
      </c>
    </row>
    <row r="2" spans="1:22" x14ac:dyDescent="0.35">
      <c r="A2">
        <v>10001</v>
      </c>
      <c r="B2" s="1">
        <v>44562</v>
      </c>
      <c r="C2">
        <v>1102</v>
      </c>
      <c r="D2" t="s">
        <v>62</v>
      </c>
      <c r="E2" t="s">
        <v>63</v>
      </c>
      <c r="F2">
        <v>7</v>
      </c>
      <c r="G2" s="2">
        <v>373.65</v>
      </c>
      <c r="H2">
        <v>0.28000000000000003</v>
      </c>
      <c r="I2" t="s">
        <v>64</v>
      </c>
      <c r="J2">
        <v>10</v>
      </c>
      <c r="K2">
        <v>4.7</v>
      </c>
      <c r="L2" s="2">
        <v>1883.2</v>
      </c>
      <c r="M2">
        <v>2022</v>
      </c>
      <c r="N2">
        <v>1</v>
      </c>
      <c r="O2" t="s">
        <v>65</v>
      </c>
      <c r="P2" s="2">
        <v>2615.5500000000002</v>
      </c>
      <c r="Q2" s="2">
        <v>732.35</v>
      </c>
      <c r="R2" t="s">
        <v>66</v>
      </c>
      <c r="S2">
        <v>0</v>
      </c>
      <c r="T2">
        <v>0</v>
      </c>
      <c r="U2">
        <f>IF(AND(OR(Dashboard!$D$4="Semua",D2=Dashboard!$D$4),OR(Dashboard!$H$4="Semua",E2=Dashboard!$H$4)),1,0)</f>
        <v>1</v>
      </c>
      <c r="V2">
        <f>IF(U2=1,IF(COUNTIFS($C$2:C2,C2,$U$2:U2,1)=1,1,0),0)</f>
        <v>1</v>
      </c>
    </row>
    <row r="3" spans="1:22" x14ac:dyDescent="0.35">
      <c r="A3">
        <v>10002</v>
      </c>
      <c r="B3" s="1">
        <v>44563</v>
      </c>
      <c r="C3">
        <v>1435</v>
      </c>
      <c r="D3" t="s">
        <v>67</v>
      </c>
      <c r="E3" t="s">
        <v>63</v>
      </c>
      <c r="F3">
        <v>7</v>
      </c>
      <c r="G3" s="2">
        <v>47.74</v>
      </c>
      <c r="H3">
        <v>0.09</v>
      </c>
      <c r="I3" t="s">
        <v>68</v>
      </c>
      <c r="J3">
        <v>6</v>
      </c>
      <c r="K3">
        <v>3.9</v>
      </c>
      <c r="L3" s="2">
        <v>304.10000000000002</v>
      </c>
      <c r="M3">
        <v>2022</v>
      </c>
      <c r="N3">
        <v>1</v>
      </c>
      <c r="O3" t="s">
        <v>65</v>
      </c>
      <c r="P3" s="2">
        <v>334.18</v>
      </c>
      <c r="Q3" s="2">
        <v>30.08</v>
      </c>
      <c r="R3" t="s">
        <v>69</v>
      </c>
      <c r="S3">
        <v>0</v>
      </c>
      <c r="T3">
        <v>0</v>
      </c>
      <c r="U3">
        <f>IF(AND(OR(Dashboard!$D$4="Semua",D3=Dashboard!$D$4),OR(Dashboard!$H$4="Semua",E3=Dashboard!$H$4)),1,0)</f>
        <v>1</v>
      </c>
      <c r="V3">
        <f>IF(U3=1,IF(COUNTIFS($C$2:C3,C3,$U$2:U3,1)=1,1,0),0)</f>
        <v>1</v>
      </c>
    </row>
    <row r="4" spans="1:22" x14ac:dyDescent="0.35">
      <c r="A4">
        <v>10003</v>
      </c>
      <c r="B4" s="1">
        <v>44564</v>
      </c>
      <c r="C4">
        <v>1860</v>
      </c>
      <c r="D4" t="s">
        <v>62</v>
      </c>
      <c r="E4" t="s">
        <v>70</v>
      </c>
      <c r="F4">
        <v>3</v>
      </c>
      <c r="G4" s="2">
        <v>311.27999999999997</v>
      </c>
      <c r="H4">
        <v>0.31</v>
      </c>
      <c r="I4" t="s">
        <v>71</v>
      </c>
      <c r="J4">
        <v>6</v>
      </c>
      <c r="K4">
        <v>2.5</v>
      </c>
      <c r="L4" s="2">
        <v>644.35</v>
      </c>
      <c r="M4">
        <v>2022</v>
      </c>
      <c r="N4">
        <v>1</v>
      </c>
      <c r="O4" t="s">
        <v>65</v>
      </c>
      <c r="P4" s="2">
        <v>933.84</v>
      </c>
      <c r="Q4" s="2">
        <v>289.49</v>
      </c>
      <c r="R4" t="s">
        <v>72</v>
      </c>
      <c r="S4">
        <v>0</v>
      </c>
      <c r="T4">
        <v>0</v>
      </c>
      <c r="U4">
        <f>IF(AND(OR(Dashboard!$D$4="Semua",D4=Dashboard!$D$4),OR(Dashboard!$H$4="Semua",E4=Dashboard!$H$4)),1,0)</f>
        <v>1</v>
      </c>
      <c r="V4">
        <f>IF(U4=1,IF(COUNTIFS($C$2:C4,C4,$U$2:U4,1)=1,1,0),0)</f>
        <v>1</v>
      </c>
    </row>
    <row r="5" spans="1:22" x14ac:dyDescent="0.35">
      <c r="A5">
        <v>10004</v>
      </c>
      <c r="B5" s="1">
        <v>44565</v>
      </c>
      <c r="C5">
        <v>1270</v>
      </c>
      <c r="D5" t="s">
        <v>73</v>
      </c>
      <c r="E5" t="s">
        <v>74</v>
      </c>
      <c r="F5">
        <v>5</v>
      </c>
      <c r="G5" s="2">
        <v>524.47</v>
      </c>
      <c r="H5">
        <v>0.02</v>
      </c>
      <c r="I5" t="s">
        <v>64</v>
      </c>
      <c r="J5">
        <v>6</v>
      </c>
      <c r="K5">
        <v>1.6</v>
      </c>
      <c r="L5" s="2">
        <v>2569.9</v>
      </c>
      <c r="M5">
        <v>2022</v>
      </c>
      <c r="N5">
        <v>1</v>
      </c>
      <c r="O5" t="s">
        <v>65</v>
      </c>
      <c r="P5" s="2">
        <v>2622.35</v>
      </c>
      <c r="Q5" s="2">
        <v>52.45</v>
      </c>
      <c r="R5" t="s">
        <v>75</v>
      </c>
      <c r="S5">
        <v>0</v>
      </c>
      <c r="T5">
        <v>0</v>
      </c>
      <c r="U5">
        <f>IF(AND(OR(Dashboard!$D$4="Semua",D5=Dashboard!$D$4),OR(Dashboard!$H$4="Semua",E5=Dashboard!$H$4)),1,0)</f>
        <v>1</v>
      </c>
      <c r="V5">
        <f>IF(U5=1,IF(COUNTIFS($C$2:C5,C5,$U$2:U5,1)=1,1,0),0)</f>
        <v>1</v>
      </c>
    </row>
    <row r="6" spans="1:22" x14ac:dyDescent="0.35">
      <c r="A6">
        <v>10005</v>
      </c>
      <c r="B6" s="1">
        <v>44566</v>
      </c>
      <c r="C6">
        <v>1106</v>
      </c>
      <c r="D6" t="s">
        <v>67</v>
      </c>
      <c r="E6" t="s">
        <v>74</v>
      </c>
      <c r="F6">
        <v>5</v>
      </c>
      <c r="G6" s="2">
        <v>139.87</v>
      </c>
      <c r="H6">
        <v>0.33</v>
      </c>
      <c r="I6" t="s">
        <v>64</v>
      </c>
      <c r="J6">
        <v>4</v>
      </c>
      <c r="K6">
        <v>4.9000000000000004</v>
      </c>
      <c r="L6" s="2">
        <v>468.56</v>
      </c>
      <c r="M6">
        <v>2022</v>
      </c>
      <c r="N6">
        <v>1</v>
      </c>
      <c r="O6" t="s">
        <v>65</v>
      </c>
      <c r="P6" s="2">
        <v>699.35</v>
      </c>
      <c r="Q6" s="2">
        <v>230.79</v>
      </c>
      <c r="R6" t="s">
        <v>72</v>
      </c>
      <c r="S6">
        <v>0</v>
      </c>
      <c r="T6">
        <v>0</v>
      </c>
      <c r="U6">
        <f>IF(AND(OR(Dashboard!$D$4="Semua",D6=Dashboard!$D$4),OR(Dashboard!$H$4="Semua",E6=Dashboard!$H$4)),1,0)</f>
        <v>1</v>
      </c>
      <c r="V6">
        <f>IF(U6=1,IF(COUNTIFS($C$2:C6,C6,$U$2:U6,1)=1,1,0),0)</f>
        <v>1</v>
      </c>
    </row>
    <row r="7" spans="1:22" x14ac:dyDescent="0.35">
      <c r="A7">
        <v>10006</v>
      </c>
      <c r="B7" s="1">
        <v>44567</v>
      </c>
      <c r="C7">
        <v>1071</v>
      </c>
      <c r="D7" t="s">
        <v>73</v>
      </c>
      <c r="E7" t="s">
        <v>74</v>
      </c>
      <c r="F7">
        <v>2</v>
      </c>
      <c r="G7" s="2">
        <v>264.44</v>
      </c>
      <c r="H7">
        <v>0.2</v>
      </c>
      <c r="I7" t="s">
        <v>68</v>
      </c>
      <c r="J7">
        <v>3</v>
      </c>
      <c r="K7">
        <v>3.3</v>
      </c>
      <c r="L7" s="2">
        <v>423.1</v>
      </c>
      <c r="M7">
        <v>2022</v>
      </c>
      <c r="N7">
        <v>1</v>
      </c>
      <c r="O7" t="s">
        <v>65</v>
      </c>
      <c r="P7" s="2">
        <v>528.88</v>
      </c>
      <c r="Q7" s="2">
        <v>105.78</v>
      </c>
      <c r="R7" t="s">
        <v>76</v>
      </c>
      <c r="S7">
        <v>0</v>
      </c>
      <c r="T7">
        <v>0</v>
      </c>
      <c r="U7">
        <f>IF(AND(OR(Dashboard!$D$4="Semua",D7=Dashboard!$D$4),OR(Dashboard!$H$4="Semua",E7=Dashboard!$H$4)),1,0)</f>
        <v>1</v>
      </c>
      <c r="V7">
        <f>IF(U7=1,IF(COUNTIFS($C$2:C7,C7,$U$2:U7,1)=1,1,0),0)</f>
        <v>1</v>
      </c>
    </row>
    <row r="8" spans="1:22" x14ac:dyDescent="0.35">
      <c r="A8">
        <v>10007</v>
      </c>
      <c r="B8" s="1">
        <v>44568</v>
      </c>
      <c r="C8">
        <v>1700</v>
      </c>
      <c r="D8" t="s">
        <v>67</v>
      </c>
      <c r="E8" t="s">
        <v>63</v>
      </c>
      <c r="F8">
        <v>6</v>
      </c>
      <c r="G8" s="2">
        <v>564.6</v>
      </c>
      <c r="H8">
        <v>0.23</v>
      </c>
      <c r="I8" t="s">
        <v>68</v>
      </c>
      <c r="J8">
        <v>1</v>
      </c>
      <c r="K8">
        <v>1.8</v>
      </c>
      <c r="L8" s="2">
        <v>2608.4499999999998</v>
      </c>
      <c r="M8">
        <v>2022</v>
      </c>
      <c r="N8">
        <v>1</v>
      </c>
      <c r="O8" t="s">
        <v>65</v>
      </c>
      <c r="P8" s="2">
        <v>3387.6</v>
      </c>
      <c r="Q8" s="2">
        <v>779.15</v>
      </c>
      <c r="R8" t="s">
        <v>77</v>
      </c>
      <c r="S8">
        <v>0</v>
      </c>
      <c r="T8">
        <v>0</v>
      </c>
      <c r="U8">
        <f>IF(AND(OR(Dashboard!$D$4="Semua",D8=Dashboard!$D$4),OR(Dashboard!$H$4="Semua",E8=Dashboard!$H$4)),1,0)</f>
        <v>1</v>
      </c>
      <c r="V8">
        <f>IF(U8=1,IF(COUNTIFS($C$2:C8,C8,$U$2:U8,1)=1,1,0),0)</f>
        <v>1</v>
      </c>
    </row>
    <row r="9" spans="1:22" x14ac:dyDescent="0.35">
      <c r="A9">
        <v>10008</v>
      </c>
      <c r="B9" s="1">
        <v>44569</v>
      </c>
      <c r="C9">
        <v>1020</v>
      </c>
      <c r="D9" t="s">
        <v>62</v>
      </c>
      <c r="E9" t="s">
        <v>78</v>
      </c>
      <c r="F9">
        <v>6</v>
      </c>
      <c r="G9" s="2">
        <v>265.70999999999998</v>
      </c>
      <c r="H9">
        <v>0.13</v>
      </c>
      <c r="I9" t="s">
        <v>68</v>
      </c>
      <c r="J9">
        <v>2</v>
      </c>
      <c r="K9">
        <v>3.7</v>
      </c>
      <c r="L9" s="2">
        <v>1387.01</v>
      </c>
      <c r="M9">
        <v>2022</v>
      </c>
      <c r="N9">
        <v>1</v>
      </c>
      <c r="O9" t="s">
        <v>65</v>
      </c>
      <c r="P9" s="2">
        <v>1594.26</v>
      </c>
      <c r="Q9" s="2">
        <v>207.25</v>
      </c>
      <c r="R9" t="s">
        <v>79</v>
      </c>
      <c r="S9">
        <v>0</v>
      </c>
      <c r="T9">
        <v>0</v>
      </c>
      <c r="U9">
        <f>IF(AND(OR(Dashboard!$D$4="Semua",D9=Dashboard!$D$4),OR(Dashboard!$H$4="Semua",E9=Dashboard!$H$4)),1,0)</f>
        <v>1</v>
      </c>
      <c r="V9">
        <f>IF(U9=1,IF(COUNTIFS($C$2:C9,C9,$U$2:U9,1)=1,1,0),0)</f>
        <v>1</v>
      </c>
    </row>
    <row r="10" spans="1:22" x14ac:dyDescent="0.35">
      <c r="A10">
        <v>10009</v>
      </c>
      <c r="B10" s="1">
        <v>44570</v>
      </c>
      <c r="C10">
        <v>1614</v>
      </c>
      <c r="D10" t="s">
        <v>67</v>
      </c>
      <c r="E10" t="s">
        <v>63</v>
      </c>
      <c r="F10">
        <v>6</v>
      </c>
      <c r="G10" s="2">
        <v>224.65</v>
      </c>
      <c r="H10">
        <v>0.27</v>
      </c>
      <c r="I10" t="s">
        <v>68</v>
      </c>
      <c r="J10">
        <v>2</v>
      </c>
      <c r="K10">
        <v>1.4</v>
      </c>
      <c r="L10" s="2">
        <v>983.97</v>
      </c>
      <c r="M10">
        <v>2022</v>
      </c>
      <c r="N10">
        <v>1</v>
      </c>
      <c r="O10" t="s">
        <v>65</v>
      </c>
      <c r="P10" s="2">
        <v>1347.9</v>
      </c>
      <c r="Q10" s="2">
        <v>363.93</v>
      </c>
      <c r="R10" t="s">
        <v>66</v>
      </c>
      <c r="S10">
        <v>0</v>
      </c>
      <c r="T10">
        <v>0</v>
      </c>
      <c r="U10">
        <f>IF(AND(OR(Dashboard!$D$4="Semua",D10=Dashboard!$D$4),OR(Dashboard!$H$4="Semua",E10=Dashboard!$H$4)),1,0)</f>
        <v>1</v>
      </c>
      <c r="V10">
        <f>IF(U10=1,IF(COUNTIFS($C$2:C10,C10,$U$2:U10,1)=1,1,0),0)</f>
        <v>1</v>
      </c>
    </row>
    <row r="11" spans="1:22" x14ac:dyDescent="0.35">
      <c r="A11">
        <v>10010</v>
      </c>
      <c r="B11" s="1">
        <v>44571</v>
      </c>
      <c r="C11">
        <v>1121</v>
      </c>
      <c r="D11" t="s">
        <v>67</v>
      </c>
      <c r="E11" t="s">
        <v>74</v>
      </c>
      <c r="F11">
        <v>4</v>
      </c>
      <c r="G11" s="2">
        <v>272.70999999999998</v>
      </c>
      <c r="H11">
        <v>0.06</v>
      </c>
      <c r="I11" t="s">
        <v>68</v>
      </c>
      <c r="J11">
        <v>10</v>
      </c>
      <c r="K11">
        <v>4.5</v>
      </c>
      <c r="L11" s="2">
        <v>1025.3900000000001</v>
      </c>
      <c r="M11">
        <v>2022</v>
      </c>
      <c r="N11">
        <v>1</v>
      </c>
      <c r="O11" t="s">
        <v>65</v>
      </c>
      <c r="P11" s="2">
        <v>1090.8399999999999</v>
      </c>
      <c r="Q11" s="2">
        <v>65.45</v>
      </c>
      <c r="R11" t="s">
        <v>69</v>
      </c>
      <c r="S11">
        <v>0</v>
      </c>
      <c r="T11">
        <v>0</v>
      </c>
      <c r="U11">
        <f>IF(AND(OR(Dashboard!$D$4="Semua",D11=Dashboard!$D$4),OR(Dashboard!$H$4="Semua",E11=Dashboard!$H$4)),1,0)</f>
        <v>1</v>
      </c>
      <c r="V11">
        <f>IF(U11=1,IF(COUNTIFS($C$2:C11,C11,$U$2:U11,1)=1,1,0),0)</f>
        <v>1</v>
      </c>
    </row>
    <row r="12" spans="1:22" x14ac:dyDescent="0.35">
      <c r="A12">
        <v>10011</v>
      </c>
      <c r="B12" s="1">
        <v>44572</v>
      </c>
      <c r="C12">
        <v>1466</v>
      </c>
      <c r="D12" t="s">
        <v>67</v>
      </c>
      <c r="E12" t="s">
        <v>74</v>
      </c>
      <c r="F12">
        <v>6</v>
      </c>
      <c r="G12" s="2">
        <v>318.88</v>
      </c>
      <c r="H12">
        <v>0.02</v>
      </c>
      <c r="I12" t="s">
        <v>71</v>
      </c>
      <c r="J12">
        <v>7</v>
      </c>
      <c r="K12">
        <v>1.4</v>
      </c>
      <c r="L12" s="2">
        <v>1875.01</v>
      </c>
      <c r="M12">
        <v>2022</v>
      </c>
      <c r="N12">
        <v>1</v>
      </c>
      <c r="O12" t="s">
        <v>65</v>
      </c>
      <c r="P12" s="2">
        <v>1913.28</v>
      </c>
      <c r="Q12" s="2">
        <v>38.270000000000003</v>
      </c>
      <c r="R12" t="s">
        <v>75</v>
      </c>
      <c r="S12">
        <v>0</v>
      </c>
      <c r="T12">
        <v>0</v>
      </c>
      <c r="U12">
        <f>IF(AND(OR(Dashboard!$D$4="Semua",D12=Dashboard!$D$4),OR(Dashboard!$H$4="Semua",E12=Dashboard!$H$4)),1,0)</f>
        <v>1</v>
      </c>
      <c r="V12">
        <f>IF(U12=1,IF(COUNTIFS($C$2:C12,C12,$U$2:U12,1)=1,1,0),0)</f>
        <v>1</v>
      </c>
    </row>
    <row r="13" spans="1:22" x14ac:dyDescent="0.35">
      <c r="A13">
        <v>10012</v>
      </c>
      <c r="B13" s="1">
        <v>44573</v>
      </c>
      <c r="C13">
        <v>1214</v>
      </c>
      <c r="D13" t="s">
        <v>73</v>
      </c>
      <c r="E13" t="s">
        <v>74</v>
      </c>
      <c r="F13">
        <v>3</v>
      </c>
      <c r="G13" s="2">
        <v>384.71</v>
      </c>
      <c r="H13">
        <v>0.14000000000000001</v>
      </c>
      <c r="I13" t="s">
        <v>71</v>
      </c>
      <c r="J13">
        <v>11</v>
      </c>
      <c r="K13">
        <v>1.9</v>
      </c>
      <c r="L13" s="2">
        <v>992.55</v>
      </c>
      <c r="M13">
        <v>2022</v>
      </c>
      <c r="N13">
        <v>1</v>
      </c>
      <c r="O13" t="s">
        <v>65</v>
      </c>
      <c r="P13" s="2">
        <v>1154.1300000000001</v>
      </c>
      <c r="Q13" s="2">
        <v>161.58000000000001</v>
      </c>
      <c r="R13" t="s">
        <v>79</v>
      </c>
      <c r="S13">
        <v>0</v>
      </c>
      <c r="T13">
        <v>0</v>
      </c>
      <c r="U13">
        <f>IF(AND(OR(Dashboard!$D$4="Semua",D13=Dashboard!$D$4),OR(Dashboard!$H$4="Semua",E13=Dashboard!$H$4)),1,0)</f>
        <v>1</v>
      </c>
      <c r="V13">
        <f>IF(U13=1,IF(COUNTIFS($C$2:C13,C13,$U$2:U13,1)=1,1,0),0)</f>
        <v>1</v>
      </c>
    </row>
    <row r="14" spans="1:22" x14ac:dyDescent="0.35">
      <c r="A14">
        <v>10013</v>
      </c>
      <c r="B14" s="1">
        <v>44574</v>
      </c>
      <c r="C14">
        <v>1330</v>
      </c>
      <c r="D14" t="s">
        <v>62</v>
      </c>
      <c r="E14" t="s">
        <v>63</v>
      </c>
      <c r="F14">
        <v>7</v>
      </c>
      <c r="G14" s="2">
        <v>483.41</v>
      </c>
      <c r="H14">
        <v>0.3</v>
      </c>
      <c r="I14" t="s">
        <v>71</v>
      </c>
      <c r="J14">
        <v>6</v>
      </c>
      <c r="K14">
        <v>1.4</v>
      </c>
      <c r="L14" s="2">
        <v>2368.71</v>
      </c>
      <c r="M14">
        <v>2022</v>
      </c>
      <c r="N14">
        <v>1</v>
      </c>
      <c r="O14" t="s">
        <v>65</v>
      </c>
      <c r="P14" s="2">
        <v>3383.87</v>
      </c>
      <c r="Q14" s="2">
        <v>1015.16</v>
      </c>
      <c r="R14" t="s">
        <v>66</v>
      </c>
      <c r="S14">
        <v>0</v>
      </c>
      <c r="T14">
        <v>0</v>
      </c>
      <c r="U14">
        <f>IF(AND(OR(Dashboard!$D$4="Semua",D14=Dashboard!$D$4),OR(Dashboard!$H$4="Semua",E14=Dashboard!$H$4)),1,0)</f>
        <v>1</v>
      </c>
      <c r="V14">
        <f>IF(U14=1,IF(COUNTIFS($C$2:C14,C14,$U$2:U14,1)=1,1,0),0)</f>
        <v>1</v>
      </c>
    </row>
    <row r="15" spans="1:22" x14ac:dyDescent="0.35">
      <c r="A15">
        <v>10014</v>
      </c>
      <c r="B15" s="1">
        <v>44575</v>
      </c>
      <c r="C15">
        <v>1458</v>
      </c>
      <c r="D15" t="s">
        <v>67</v>
      </c>
      <c r="E15" t="s">
        <v>74</v>
      </c>
      <c r="F15">
        <v>7</v>
      </c>
      <c r="G15" s="2">
        <v>279.48</v>
      </c>
      <c r="H15">
        <v>0.26</v>
      </c>
      <c r="I15" t="s">
        <v>71</v>
      </c>
      <c r="J15">
        <v>8</v>
      </c>
      <c r="K15">
        <v>1.4</v>
      </c>
      <c r="L15" s="2">
        <v>1447.71</v>
      </c>
      <c r="M15">
        <v>2022</v>
      </c>
      <c r="N15">
        <v>1</v>
      </c>
      <c r="O15" t="s">
        <v>65</v>
      </c>
      <c r="P15" s="2">
        <v>1956.36</v>
      </c>
      <c r="Q15" s="2">
        <v>508.65</v>
      </c>
      <c r="R15" t="s">
        <v>66</v>
      </c>
      <c r="S15">
        <v>0</v>
      </c>
      <c r="T15">
        <v>0</v>
      </c>
      <c r="U15">
        <f>IF(AND(OR(Dashboard!$D$4="Semua",D15=Dashboard!$D$4),OR(Dashboard!$H$4="Semua",E15=Dashboard!$H$4)),1,0)</f>
        <v>1</v>
      </c>
      <c r="V15">
        <f>IF(U15=1,IF(COUNTIFS($C$2:C15,C15,$U$2:U15,1)=1,1,0),0)</f>
        <v>1</v>
      </c>
    </row>
    <row r="16" spans="1:22" x14ac:dyDescent="0.35">
      <c r="A16">
        <v>10015</v>
      </c>
      <c r="B16" s="1">
        <v>44576</v>
      </c>
      <c r="C16">
        <v>1087</v>
      </c>
      <c r="D16" t="s">
        <v>67</v>
      </c>
      <c r="E16" t="s">
        <v>70</v>
      </c>
      <c r="F16">
        <v>4</v>
      </c>
      <c r="G16" s="2">
        <v>493.23</v>
      </c>
      <c r="H16">
        <v>0.18</v>
      </c>
      <c r="I16" t="s">
        <v>68</v>
      </c>
      <c r="J16">
        <v>9</v>
      </c>
      <c r="K16">
        <v>3.1</v>
      </c>
      <c r="L16" s="2">
        <v>1617.79</v>
      </c>
      <c r="M16">
        <v>2022</v>
      </c>
      <c r="N16">
        <v>1</v>
      </c>
      <c r="O16" t="s">
        <v>65</v>
      </c>
      <c r="P16" s="2">
        <v>1972.92</v>
      </c>
      <c r="Q16" s="2">
        <v>355.13</v>
      </c>
      <c r="R16" t="s">
        <v>76</v>
      </c>
      <c r="S16">
        <v>0</v>
      </c>
      <c r="T16">
        <v>0</v>
      </c>
      <c r="U16">
        <f>IF(AND(OR(Dashboard!$D$4="Semua",D16=Dashboard!$D$4),OR(Dashboard!$H$4="Semua",E16=Dashboard!$H$4)),1,0)</f>
        <v>1</v>
      </c>
      <c r="V16">
        <f>IF(U16=1,IF(COUNTIFS($C$2:C16,C16,$U$2:U16,1)=1,1,0),0)</f>
        <v>1</v>
      </c>
    </row>
    <row r="17" spans="1:22" x14ac:dyDescent="0.35">
      <c r="A17">
        <v>10016</v>
      </c>
      <c r="B17" s="1">
        <v>44577</v>
      </c>
      <c r="C17">
        <v>1372</v>
      </c>
      <c r="D17" t="s">
        <v>67</v>
      </c>
      <c r="E17" t="s">
        <v>74</v>
      </c>
      <c r="F17">
        <v>2</v>
      </c>
      <c r="G17" s="2">
        <v>327.23</v>
      </c>
      <c r="H17">
        <v>0.2</v>
      </c>
      <c r="I17" t="s">
        <v>64</v>
      </c>
      <c r="J17">
        <v>5</v>
      </c>
      <c r="K17">
        <v>3.7</v>
      </c>
      <c r="L17" s="2">
        <v>523.57000000000005</v>
      </c>
      <c r="M17">
        <v>2022</v>
      </c>
      <c r="N17">
        <v>1</v>
      </c>
      <c r="O17" t="s">
        <v>65</v>
      </c>
      <c r="P17" s="2">
        <v>654.46</v>
      </c>
      <c r="Q17" s="2">
        <v>130.88999999999999</v>
      </c>
      <c r="R17" t="s">
        <v>76</v>
      </c>
      <c r="S17">
        <v>0</v>
      </c>
      <c r="T17">
        <v>0</v>
      </c>
      <c r="U17">
        <f>IF(AND(OR(Dashboard!$D$4="Semua",D17=Dashboard!$D$4),OR(Dashboard!$H$4="Semua",E17=Dashboard!$H$4)),1,0)</f>
        <v>1</v>
      </c>
      <c r="V17">
        <f>IF(U17=1,IF(COUNTIFS($C$2:C17,C17,$U$2:U17,1)=1,1,0),0)</f>
        <v>1</v>
      </c>
    </row>
    <row r="18" spans="1:22" x14ac:dyDescent="0.35">
      <c r="A18">
        <v>10017</v>
      </c>
      <c r="B18" s="1">
        <v>44578</v>
      </c>
      <c r="C18">
        <v>1099</v>
      </c>
      <c r="D18" t="s">
        <v>67</v>
      </c>
      <c r="E18" t="s">
        <v>78</v>
      </c>
      <c r="F18">
        <v>3</v>
      </c>
      <c r="G18" s="2">
        <v>213.01</v>
      </c>
      <c r="H18">
        <v>0.05</v>
      </c>
      <c r="I18" t="s">
        <v>64</v>
      </c>
      <c r="J18">
        <v>11</v>
      </c>
      <c r="K18">
        <v>4.2</v>
      </c>
      <c r="L18" s="2">
        <v>607.08000000000004</v>
      </c>
      <c r="M18">
        <v>2022</v>
      </c>
      <c r="N18">
        <v>1</v>
      </c>
      <c r="O18" t="s">
        <v>65</v>
      </c>
      <c r="P18" s="2">
        <v>639.03</v>
      </c>
      <c r="Q18" s="2">
        <v>31.95</v>
      </c>
      <c r="R18" t="s">
        <v>75</v>
      </c>
      <c r="S18">
        <v>0</v>
      </c>
      <c r="T18">
        <v>0</v>
      </c>
      <c r="U18">
        <f>IF(AND(OR(Dashboard!$D$4="Semua",D18=Dashboard!$D$4),OR(Dashboard!$H$4="Semua",E18=Dashboard!$H$4)),1,0)</f>
        <v>1</v>
      </c>
      <c r="V18">
        <f>IF(U18=1,IF(COUNTIFS($C$2:C18,C18,$U$2:U18,1)=1,1,0),0)</f>
        <v>1</v>
      </c>
    </row>
    <row r="19" spans="1:22" x14ac:dyDescent="0.35">
      <c r="A19">
        <v>10018</v>
      </c>
      <c r="B19" s="1">
        <v>44579</v>
      </c>
      <c r="C19">
        <v>1871</v>
      </c>
      <c r="D19" t="s">
        <v>73</v>
      </c>
      <c r="E19" t="s">
        <v>70</v>
      </c>
      <c r="F19">
        <v>7</v>
      </c>
      <c r="G19" s="2">
        <v>399.9</v>
      </c>
      <c r="H19">
        <v>0.28999999999999998</v>
      </c>
      <c r="I19" t="s">
        <v>71</v>
      </c>
      <c r="J19">
        <v>3</v>
      </c>
      <c r="K19">
        <v>3.8</v>
      </c>
      <c r="L19" s="2">
        <v>1987.5</v>
      </c>
      <c r="M19">
        <v>2022</v>
      </c>
      <c r="N19">
        <v>1</v>
      </c>
      <c r="O19" t="s">
        <v>65</v>
      </c>
      <c r="P19" s="2">
        <v>2799.3</v>
      </c>
      <c r="Q19" s="2">
        <v>811.8</v>
      </c>
      <c r="R19" t="s">
        <v>66</v>
      </c>
      <c r="S19">
        <v>0</v>
      </c>
      <c r="T19">
        <v>0</v>
      </c>
      <c r="U19">
        <f>IF(AND(OR(Dashboard!$D$4="Semua",D19=Dashboard!$D$4),OR(Dashboard!$H$4="Semua",E19=Dashboard!$H$4)),1,0)</f>
        <v>1</v>
      </c>
      <c r="V19">
        <f>IF(U19=1,IF(COUNTIFS($C$2:C19,C19,$U$2:U19,1)=1,1,0),0)</f>
        <v>1</v>
      </c>
    </row>
    <row r="20" spans="1:22" x14ac:dyDescent="0.35">
      <c r="A20">
        <v>10019</v>
      </c>
      <c r="B20" s="1">
        <v>44580</v>
      </c>
      <c r="C20">
        <v>1663</v>
      </c>
      <c r="D20" t="s">
        <v>80</v>
      </c>
      <c r="E20" t="s">
        <v>74</v>
      </c>
      <c r="F20">
        <v>3</v>
      </c>
      <c r="G20" s="2">
        <v>434.87</v>
      </c>
      <c r="H20">
        <v>0.28000000000000003</v>
      </c>
      <c r="I20" t="s">
        <v>64</v>
      </c>
      <c r="J20">
        <v>4</v>
      </c>
      <c r="K20">
        <v>2.5</v>
      </c>
      <c r="L20" s="2">
        <v>939.32</v>
      </c>
      <c r="M20">
        <v>2022</v>
      </c>
      <c r="N20">
        <v>1</v>
      </c>
      <c r="O20" t="s">
        <v>65</v>
      </c>
      <c r="P20" s="2">
        <v>1304.6099999999999</v>
      </c>
      <c r="Q20" s="2">
        <v>365.29</v>
      </c>
      <c r="R20" t="s">
        <v>66</v>
      </c>
      <c r="S20">
        <v>0</v>
      </c>
      <c r="T20">
        <v>0</v>
      </c>
      <c r="U20">
        <f>IF(AND(OR(Dashboard!$D$4="Semua",D20=Dashboard!$D$4),OR(Dashboard!$H$4="Semua",E20=Dashboard!$H$4)),1,0)</f>
        <v>1</v>
      </c>
      <c r="V20">
        <f>IF(U20=1,IF(COUNTIFS($C$2:C20,C20,$U$2:U20,1)=1,1,0),0)</f>
        <v>1</v>
      </c>
    </row>
    <row r="21" spans="1:22" x14ac:dyDescent="0.35">
      <c r="A21">
        <v>10020</v>
      </c>
      <c r="B21" s="1">
        <v>44581</v>
      </c>
      <c r="C21">
        <v>1130</v>
      </c>
      <c r="D21" t="s">
        <v>73</v>
      </c>
      <c r="E21" t="s">
        <v>70</v>
      </c>
      <c r="F21">
        <v>7</v>
      </c>
      <c r="G21" s="2">
        <v>341.46</v>
      </c>
      <c r="H21">
        <v>0.23</v>
      </c>
      <c r="I21" t="s">
        <v>68</v>
      </c>
      <c r="J21">
        <v>11</v>
      </c>
      <c r="K21">
        <v>3.2</v>
      </c>
      <c r="L21" s="2">
        <v>1840.47</v>
      </c>
      <c r="M21">
        <v>2022</v>
      </c>
      <c r="N21">
        <v>1</v>
      </c>
      <c r="O21" t="s">
        <v>65</v>
      </c>
      <c r="P21" s="2">
        <v>2390.2199999999998</v>
      </c>
      <c r="Q21" s="2">
        <v>549.75</v>
      </c>
      <c r="R21" t="s">
        <v>77</v>
      </c>
      <c r="S21">
        <v>0</v>
      </c>
      <c r="T21">
        <v>0</v>
      </c>
      <c r="U21">
        <f>IF(AND(OR(Dashboard!$D$4="Semua",D21=Dashboard!$D$4),OR(Dashboard!$H$4="Semua",E21=Dashboard!$H$4)),1,0)</f>
        <v>1</v>
      </c>
      <c r="V21">
        <f>IF(U21=1,IF(COUNTIFS($C$2:C21,C21,$U$2:U21,1)=1,1,0),0)</f>
        <v>1</v>
      </c>
    </row>
    <row r="22" spans="1:22" x14ac:dyDescent="0.35">
      <c r="A22">
        <v>10021</v>
      </c>
      <c r="B22" s="1">
        <v>44582</v>
      </c>
      <c r="C22">
        <v>1661</v>
      </c>
      <c r="D22" t="s">
        <v>80</v>
      </c>
      <c r="E22" t="s">
        <v>74</v>
      </c>
      <c r="F22">
        <v>1</v>
      </c>
      <c r="G22" s="2">
        <v>48.12</v>
      </c>
      <c r="H22">
        <v>0.16</v>
      </c>
      <c r="I22" t="s">
        <v>71</v>
      </c>
      <c r="J22">
        <v>8</v>
      </c>
      <c r="K22">
        <v>4.7</v>
      </c>
      <c r="L22" s="2">
        <v>40.42</v>
      </c>
      <c r="M22">
        <v>2022</v>
      </c>
      <c r="N22">
        <v>1</v>
      </c>
      <c r="O22" t="s">
        <v>65</v>
      </c>
      <c r="P22" s="2">
        <v>48.12</v>
      </c>
      <c r="Q22" s="2">
        <v>7.7</v>
      </c>
      <c r="R22" t="s">
        <v>76</v>
      </c>
      <c r="S22">
        <v>0</v>
      </c>
      <c r="T22">
        <v>0</v>
      </c>
      <c r="U22">
        <f>IF(AND(OR(Dashboard!$D$4="Semua",D22=Dashboard!$D$4),OR(Dashboard!$H$4="Semua",E22=Dashboard!$H$4)),1,0)</f>
        <v>1</v>
      </c>
      <c r="V22">
        <f>IF(U22=1,IF(COUNTIFS($C$2:C22,C22,$U$2:U22,1)=1,1,0),0)</f>
        <v>1</v>
      </c>
    </row>
    <row r="23" spans="1:22" x14ac:dyDescent="0.35">
      <c r="A23">
        <v>10022</v>
      </c>
      <c r="B23" s="1">
        <v>44583</v>
      </c>
      <c r="C23">
        <v>1308</v>
      </c>
      <c r="D23" t="s">
        <v>80</v>
      </c>
      <c r="E23" t="s">
        <v>78</v>
      </c>
      <c r="F23">
        <v>2</v>
      </c>
      <c r="G23" s="2">
        <v>114.38</v>
      </c>
      <c r="H23">
        <v>0.34</v>
      </c>
      <c r="I23" t="s">
        <v>68</v>
      </c>
      <c r="J23">
        <v>3</v>
      </c>
      <c r="K23">
        <v>2.6</v>
      </c>
      <c r="L23" s="2">
        <v>150.97999999999999</v>
      </c>
      <c r="M23">
        <v>2022</v>
      </c>
      <c r="N23">
        <v>1</v>
      </c>
      <c r="O23" t="s">
        <v>65</v>
      </c>
      <c r="P23" s="2">
        <v>228.76</v>
      </c>
      <c r="Q23" s="2">
        <v>77.78</v>
      </c>
      <c r="R23" t="s">
        <v>72</v>
      </c>
      <c r="S23">
        <v>0</v>
      </c>
      <c r="T23">
        <v>0</v>
      </c>
      <c r="U23">
        <f>IF(AND(OR(Dashboard!$D$4="Semua",D23=Dashboard!$D$4),OR(Dashboard!$H$4="Semua",E23=Dashboard!$H$4)),1,0)</f>
        <v>1</v>
      </c>
      <c r="V23">
        <f>IF(U23=1,IF(COUNTIFS($C$2:C23,C23,$U$2:U23,1)=1,1,0),0)</f>
        <v>1</v>
      </c>
    </row>
    <row r="24" spans="1:22" x14ac:dyDescent="0.35">
      <c r="A24">
        <v>10023</v>
      </c>
      <c r="B24" s="1">
        <v>44584</v>
      </c>
      <c r="C24">
        <v>1769</v>
      </c>
      <c r="D24" t="s">
        <v>80</v>
      </c>
      <c r="E24" t="s">
        <v>74</v>
      </c>
      <c r="F24">
        <v>2</v>
      </c>
      <c r="G24" s="2">
        <v>181.9</v>
      </c>
      <c r="H24">
        <v>0.31</v>
      </c>
      <c r="I24" t="s">
        <v>68</v>
      </c>
      <c r="J24">
        <v>2</v>
      </c>
      <c r="K24">
        <v>2</v>
      </c>
      <c r="L24" s="2">
        <v>251.02</v>
      </c>
      <c r="M24">
        <v>2022</v>
      </c>
      <c r="N24">
        <v>1</v>
      </c>
      <c r="O24" t="s">
        <v>65</v>
      </c>
      <c r="P24" s="2">
        <v>363.8</v>
      </c>
      <c r="Q24" s="2">
        <v>112.78</v>
      </c>
      <c r="R24" t="s">
        <v>72</v>
      </c>
      <c r="S24">
        <v>0</v>
      </c>
      <c r="T24">
        <v>0</v>
      </c>
      <c r="U24">
        <f>IF(AND(OR(Dashboard!$D$4="Semua",D24=Dashboard!$D$4),OR(Dashboard!$H$4="Semua",E24=Dashboard!$H$4)),1,0)</f>
        <v>1</v>
      </c>
      <c r="V24">
        <f>IF(U24=1,IF(COUNTIFS($C$2:C24,C24,$U$2:U24,1)=1,1,0),0)</f>
        <v>1</v>
      </c>
    </row>
    <row r="25" spans="1:22" x14ac:dyDescent="0.35">
      <c r="A25">
        <v>10024</v>
      </c>
      <c r="B25" s="1">
        <v>44585</v>
      </c>
      <c r="C25">
        <v>1343</v>
      </c>
      <c r="D25" t="s">
        <v>67</v>
      </c>
      <c r="E25" t="s">
        <v>70</v>
      </c>
      <c r="F25">
        <v>1</v>
      </c>
      <c r="G25" s="2">
        <v>180.34</v>
      </c>
      <c r="H25">
        <v>0.23</v>
      </c>
      <c r="I25" t="s">
        <v>68</v>
      </c>
      <c r="J25">
        <v>7</v>
      </c>
      <c r="K25">
        <v>3.1</v>
      </c>
      <c r="L25" s="2">
        <v>138.86000000000001</v>
      </c>
      <c r="M25">
        <v>2022</v>
      </c>
      <c r="N25">
        <v>1</v>
      </c>
      <c r="O25" t="s">
        <v>65</v>
      </c>
      <c r="P25" s="2">
        <v>180.34</v>
      </c>
      <c r="Q25" s="2">
        <v>41.48</v>
      </c>
      <c r="R25" t="s">
        <v>77</v>
      </c>
      <c r="S25">
        <v>0</v>
      </c>
      <c r="T25">
        <v>0</v>
      </c>
      <c r="U25">
        <f>IF(AND(OR(Dashboard!$D$4="Semua",D25=Dashboard!$D$4),OR(Dashboard!$H$4="Semua",E25=Dashboard!$H$4)),1,0)</f>
        <v>1</v>
      </c>
      <c r="V25">
        <f>IF(U25=1,IF(COUNTIFS($C$2:C25,C25,$U$2:U25,1)=1,1,0),0)</f>
        <v>1</v>
      </c>
    </row>
    <row r="26" spans="1:22" x14ac:dyDescent="0.35">
      <c r="A26">
        <v>10025</v>
      </c>
      <c r="B26" s="1">
        <v>44586</v>
      </c>
      <c r="C26">
        <v>1491</v>
      </c>
      <c r="D26" t="s">
        <v>67</v>
      </c>
      <c r="E26" t="s">
        <v>78</v>
      </c>
      <c r="F26">
        <v>4</v>
      </c>
      <c r="G26" s="2">
        <v>408.95</v>
      </c>
      <c r="H26">
        <v>0.13</v>
      </c>
      <c r="I26" t="s">
        <v>71</v>
      </c>
      <c r="J26">
        <v>4</v>
      </c>
      <c r="K26">
        <v>2.2000000000000002</v>
      </c>
      <c r="L26" s="2">
        <v>1423.15</v>
      </c>
      <c r="M26">
        <v>2022</v>
      </c>
      <c r="N26">
        <v>1</v>
      </c>
      <c r="O26" t="s">
        <v>65</v>
      </c>
      <c r="P26" s="2">
        <v>1635.8</v>
      </c>
      <c r="Q26" s="2">
        <v>212.65</v>
      </c>
      <c r="R26" t="s">
        <v>79</v>
      </c>
      <c r="S26">
        <v>0</v>
      </c>
      <c r="T26">
        <v>0</v>
      </c>
      <c r="U26">
        <f>IF(AND(OR(Dashboard!$D$4="Semua",D26=Dashboard!$D$4),OR(Dashboard!$H$4="Semua",E26=Dashboard!$H$4)),1,0)</f>
        <v>1</v>
      </c>
      <c r="V26">
        <f>IF(U26=1,IF(COUNTIFS($C$2:C26,C26,$U$2:U26,1)=1,1,0),0)</f>
        <v>1</v>
      </c>
    </row>
    <row r="27" spans="1:22" x14ac:dyDescent="0.35">
      <c r="A27">
        <v>10026</v>
      </c>
      <c r="B27" s="1">
        <v>44587</v>
      </c>
      <c r="C27">
        <v>1413</v>
      </c>
      <c r="D27" t="s">
        <v>73</v>
      </c>
      <c r="E27" t="s">
        <v>63</v>
      </c>
      <c r="F27">
        <v>7</v>
      </c>
      <c r="G27" s="2">
        <v>25.73</v>
      </c>
      <c r="H27">
        <v>0.22</v>
      </c>
      <c r="I27" t="s">
        <v>68</v>
      </c>
      <c r="J27">
        <v>8</v>
      </c>
      <c r="K27">
        <v>2</v>
      </c>
      <c r="L27" s="2">
        <v>140.49</v>
      </c>
      <c r="M27">
        <v>2022</v>
      </c>
      <c r="N27">
        <v>1</v>
      </c>
      <c r="O27" t="s">
        <v>65</v>
      </c>
      <c r="P27" s="2">
        <v>180.11</v>
      </c>
      <c r="Q27" s="2">
        <v>39.619999999999997</v>
      </c>
      <c r="R27" t="s">
        <v>77</v>
      </c>
      <c r="S27">
        <v>0</v>
      </c>
      <c r="T27">
        <v>0</v>
      </c>
      <c r="U27">
        <f>IF(AND(OR(Dashboard!$D$4="Semua",D27=Dashboard!$D$4),OR(Dashboard!$H$4="Semua",E27=Dashboard!$H$4)),1,0)</f>
        <v>1</v>
      </c>
      <c r="V27">
        <f>IF(U27=1,IF(COUNTIFS($C$2:C27,C27,$U$2:U27,1)=1,1,0),0)</f>
        <v>1</v>
      </c>
    </row>
    <row r="28" spans="1:22" x14ac:dyDescent="0.35">
      <c r="A28">
        <v>10027</v>
      </c>
      <c r="B28" s="1">
        <v>44588</v>
      </c>
      <c r="C28">
        <v>1805</v>
      </c>
      <c r="D28" t="s">
        <v>80</v>
      </c>
      <c r="E28" t="s">
        <v>78</v>
      </c>
      <c r="F28">
        <v>7</v>
      </c>
      <c r="G28" s="2">
        <v>457.07</v>
      </c>
      <c r="H28">
        <v>0.2</v>
      </c>
      <c r="I28" t="s">
        <v>71</v>
      </c>
      <c r="J28">
        <v>1</v>
      </c>
      <c r="K28">
        <v>4.0999999999999996</v>
      </c>
      <c r="L28" s="2">
        <v>2559.59</v>
      </c>
      <c r="M28">
        <v>2022</v>
      </c>
      <c r="N28">
        <v>1</v>
      </c>
      <c r="O28" t="s">
        <v>65</v>
      </c>
      <c r="P28" s="2">
        <v>3199.49</v>
      </c>
      <c r="Q28" s="2">
        <v>639.9</v>
      </c>
      <c r="R28" t="s">
        <v>76</v>
      </c>
      <c r="S28">
        <v>0</v>
      </c>
      <c r="T28">
        <v>0</v>
      </c>
      <c r="U28">
        <f>IF(AND(OR(Dashboard!$D$4="Semua",D28=Dashboard!$D$4),OR(Dashboard!$H$4="Semua",E28=Dashboard!$H$4)),1,0)</f>
        <v>1</v>
      </c>
      <c r="V28">
        <f>IF(U28=1,IF(COUNTIFS($C$2:C28,C28,$U$2:U28,1)=1,1,0),0)</f>
        <v>1</v>
      </c>
    </row>
    <row r="29" spans="1:22" x14ac:dyDescent="0.35">
      <c r="A29">
        <v>10028</v>
      </c>
      <c r="B29" s="1">
        <v>44589</v>
      </c>
      <c r="C29">
        <v>1385</v>
      </c>
      <c r="D29" t="s">
        <v>73</v>
      </c>
      <c r="E29" t="s">
        <v>78</v>
      </c>
      <c r="F29">
        <v>7</v>
      </c>
      <c r="G29" s="2">
        <v>170.23</v>
      </c>
      <c r="H29">
        <v>0.14000000000000001</v>
      </c>
      <c r="I29" t="s">
        <v>68</v>
      </c>
      <c r="J29">
        <v>8</v>
      </c>
      <c r="K29">
        <v>4.5999999999999996</v>
      </c>
      <c r="L29" s="2">
        <v>1024.78</v>
      </c>
      <c r="M29">
        <v>2022</v>
      </c>
      <c r="N29">
        <v>1</v>
      </c>
      <c r="O29" t="s">
        <v>65</v>
      </c>
      <c r="P29" s="2">
        <v>1191.6099999999999</v>
      </c>
      <c r="Q29" s="2">
        <v>166.83</v>
      </c>
      <c r="R29" t="s">
        <v>79</v>
      </c>
      <c r="S29">
        <v>0</v>
      </c>
      <c r="T29">
        <v>0</v>
      </c>
      <c r="U29">
        <f>IF(AND(OR(Dashboard!$D$4="Semua",D29=Dashboard!$D$4),OR(Dashboard!$H$4="Semua",E29=Dashboard!$H$4)),1,0)</f>
        <v>1</v>
      </c>
      <c r="V29">
        <f>IF(U29=1,IF(COUNTIFS($C$2:C29,C29,$U$2:U29,1)=1,1,0),0)</f>
        <v>1</v>
      </c>
    </row>
    <row r="30" spans="1:22" x14ac:dyDescent="0.35">
      <c r="A30">
        <v>10029</v>
      </c>
      <c r="B30" s="1">
        <v>44590</v>
      </c>
      <c r="C30">
        <v>1191</v>
      </c>
      <c r="D30" t="s">
        <v>67</v>
      </c>
      <c r="E30" t="s">
        <v>78</v>
      </c>
      <c r="F30">
        <v>6</v>
      </c>
      <c r="G30" s="2">
        <v>196.36</v>
      </c>
      <c r="H30">
        <v>0.11</v>
      </c>
      <c r="I30" t="s">
        <v>64</v>
      </c>
      <c r="J30">
        <v>5</v>
      </c>
      <c r="K30">
        <v>3</v>
      </c>
      <c r="L30" s="2">
        <v>1048.56</v>
      </c>
      <c r="M30">
        <v>2022</v>
      </c>
      <c r="N30">
        <v>1</v>
      </c>
      <c r="O30" t="s">
        <v>65</v>
      </c>
      <c r="P30" s="2">
        <v>1178.1600000000001</v>
      </c>
      <c r="Q30" s="2">
        <v>129.6</v>
      </c>
      <c r="R30" t="s">
        <v>79</v>
      </c>
      <c r="S30">
        <v>0</v>
      </c>
      <c r="T30">
        <v>0</v>
      </c>
      <c r="U30">
        <f>IF(AND(OR(Dashboard!$D$4="Semua",D30=Dashboard!$D$4),OR(Dashboard!$H$4="Semua",E30=Dashboard!$H$4)),1,0)</f>
        <v>1</v>
      </c>
      <c r="V30">
        <f>IF(U30=1,IF(COUNTIFS($C$2:C30,C30,$U$2:U30,1)=1,1,0),0)</f>
        <v>1</v>
      </c>
    </row>
    <row r="31" spans="1:22" x14ac:dyDescent="0.35">
      <c r="A31">
        <v>10030</v>
      </c>
      <c r="B31" s="1">
        <v>44591</v>
      </c>
      <c r="C31">
        <v>1955</v>
      </c>
      <c r="D31" t="s">
        <v>73</v>
      </c>
      <c r="E31" t="s">
        <v>70</v>
      </c>
      <c r="F31">
        <v>6</v>
      </c>
      <c r="G31" s="2">
        <v>323.83</v>
      </c>
      <c r="H31">
        <v>0.14000000000000001</v>
      </c>
      <c r="I31" t="s">
        <v>71</v>
      </c>
      <c r="J31">
        <v>2</v>
      </c>
      <c r="K31">
        <v>4.0999999999999996</v>
      </c>
      <c r="L31" s="2">
        <v>1670.96</v>
      </c>
      <c r="M31">
        <v>2022</v>
      </c>
      <c r="N31">
        <v>1</v>
      </c>
      <c r="O31" t="s">
        <v>65</v>
      </c>
      <c r="P31" s="2">
        <v>1942.98</v>
      </c>
      <c r="Q31" s="2">
        <v>272.02</v>
      </c>
      <c r="R31" t="s">
        <v>79</v>
      </c>
      <c r="S31">
        <v>0</v>
      </c>
      <c r="T31">
        <v>0</v>
      </c>
      <c r="U31">
        <f>IF(AND(OR(Dashboard!$D$4="Semua",D31=Dashboard!$D$4),OR(Dashboard!$H$4="Semua",E31=Dashboard!$H$4)),1,0)</f>
        <v>1</v>
      </c>
      <c r="V31">
        <f>IF(U31=1,IF(COUNTIFS($C$2:C31,C31,$U$2:U31,1)=1,1,0),0)</f>
        <v>1</v>
      </c>
    </row>
    <row r="32" spans="1:22" x14ac:dyDescent="0.35">
      <c r="A32">
        <v>10031</v>
      </c>
      <c r="B32" s="1">
        <v>44592</v>
      </c>
      <c r="C32">
        <v>1276</v>
      </c>
      <c r="D32" t="s">
        <v>73</v>
      </c>
      <c r="E32" t="s">
        <v>78</v>
      </c>
      <c r="F32">
        <v>6</v>
      </c>
      <c r="G32" s="2">
        <v>141.32</v>
      </c>
      <c r="H32">
        <v>0.2</v>
      </c>
      <c r="I32" t="s">
        <v>68</v>
      </c>
      <c r="J32">
        <v>1</v>
      </c>
      <c r="K32">
        <v>1.7</v>
      </c>
      <c r="L32" s="2">
        <v>678.34</v>
      </c>
      <c r="M32">
        <v>2022</v>
      </c>
      <c r="N32">
        <v>1</v>
      </c>
      <c r="O32" t="s">
        <v>65</v>
      </c>
      <c r="P32" s="2">
        <v>847.92</v>
      </c>
      <c r="Q32" s="2">
        <v>169.58</v>
      </c>
      <c r="R32" t="s">
        <v>76</v>
      </c>
      <c r="S32">
        <v>0</v>
      </c>
      <c r="T32">
        <v>0</v>
      </c>
      <c r="U32">
        <f>IF(AND(OR(Dashboard!$D$4="Semua",D32=Dashboard!$D$4),OR(Dashboard!$H$4="Semua",E32=Dashboard!$H$4)),1,0)</f>
        <v>1</v>
      </c>
      <c r="V32">
        <f>IF(U32=1,IF(COUNTIFS($C$2:C32,C32,$U$2:U32,1)=1,1,0),0)</f>
        <v>1</v>
      </c>
    </row>
    <row r="33" spans="1:22" x14ac:dyDescent="0.35">
      <c r="A33">
        <v>10032</v>
      </c>
      <c r="B33" s="1">
        <v>44593</v>
      </c>
      <c r="C33">
        <v>1160</v>
      </c>
      <c r="D33" t="s">
        <v>67</v>
      </c>
      <c r="E33" t="s">
        <v>74</v>
      </c>
      <c r="F33">
        <v>6</v>
      </c>
      <c r="G33" s="2">
        <v>532.41999999999996</v>
      </c>
      <c r="H33">
        <v>0.15</v>
      </c>
      <c r="I33" t="s">
        <v>68</v>
      </c>
      <c r="J33">
        <v>6</v>
      </c>
      <c r="K33">
        <v>3.2</v>
      </c>
      <c r="L33" s="2">
        <v>2715.34</v>
      </c>
      <c r="M33">
        <v>2022</v>
      </c>
      <c r="N33">
        <v>2</v>
      </c>
      <c r="O33" t="s">
        <v>81</v>
      </c>
      <c r="P33" s="2">
        <v>3194.52</v>
      </c>
      <c r="Q33" s="2">
        <v>479.18</v>
      </c>
      <c r="R33" t="s">
        <v>79</v>
      </c>
      <c r="S33">
        <v>0</v>
      </c>
      <c r="T33">
        <v>0</v>
      </c>
      <c r="U33">
        <f>IF(AND(OR(Dashboard!$D$4="Semua",D33=Dashboard!$D$4),OR(Dashboard!$H$4="Semua",E33=Dashboard!$H$4)),1,0)</f>
        <v>1</v>
      </c>
      <c r="V33">
        <f>IF(U33=1,IF(COUNTIFS($C$2:C33,C33,$U$2:U33,1)=1,1,0),0)</f>
        <v>1</v>
      </c>
    </row>
    <row r="34" spans="1:22" x14ac:dyDescent="0.35">
      <c r="A34">
        <v>10033</v>
      </c>
      <c r="B34" s="1">
        <v>44594</v>
      </c>
      <c r="C34">
        <v>1459</v>
      </c>
      <c r="D34" t="s">
        <v>73</v>
      </c>
      <c r="E34" t="s">
        <v>78</v>
      </c>
      <c r="F34">
        <v>6</v>
      </c>
      <c r="G34" s="2">
        <v>64.94</v>
      </c>
      <c r="H34">
        <v>0.09</v>
      </c>
      <c r="I34" t="s">
        <v>64</v>
      </c>
      <c r="J34">
        <v>9</v>
      </c>
      <c r="K34">
        <v>3.5</v>
      </c>
      <c r="L34" s="2">
        <v>354.57</v>
      </c>
      <c r="M34">
        <v>2022</v>
      </c>
      <c r="N34">
        <v>2</v>
      </c>
      <c r="O34" t="s">
        <v>81</v>
      </c>
      <c r="P34" s="2">
        <v>389.64</v>
      </c>
      <c r="Q34" s="2">
        <v>35.07</v>
      </c>
      <c r="R34" t="s">
        <v>69</v>
      </c>
      <c r="S34">
        <v>0</v>
      </c>
      <c r="T34">
        <v>0</v>
      </c>
      <c r="U34">
        <f>IF(AND(OR(Dashboard!$D$4="Semua",D34=Dashboard!$D$4),OR(Dashboard!$H$4="Semua",E34=Dashboard!$H$4)),1,0)</f>
        <v>1</v>
      </c>
      <c r="V34">
        <f>IF(U34=1,IF(COUNTIFS($C$2:C34,C34,$U$2:U34,1)=1,1,0),0)</f>
        <v>1</v>
      </c>
    </row>
    <row r="35" spans="1:22" x14ac:dyDescent="0.35">
      <c r="A35">
        <v>10034</v>
      </c>
      <c r="B35" s="1">
        <v>44595</v>
      </c>
      <c r="C35">
        <v>1313</v>
      </c>
      <c r="D35" t="s">
        <v>80</v>
      </c>
      <c r="E35" t="s">
        <v>78</v>
      </c>
      <c r="F35">
        <v>1</v>
      </c>
      <c r="G35" s="2">
        <v>274.95999999999998</v>
      </c>
      <c r="H35">
        <v>0.27</v>
      </c>
      <c r="I35" t="s">
        <v>68</v>
      </c>
      <c r="J35">
        <v>9</v>
      </c>
      <c r="K35">
        <v>3</v>
      </c>
      <c r="L35" s="2">
        <v>200.72</v>
      </c>
      <c r="M35">
        <v>2022</v>
      </c>
      <c r="N35">
        <v>2</v>
      </c>
      <c r="O35" t="s">
        <v>81</v>
      </c>
      <c r="P35" s="2">
        <v>274.95999999999998</v>
      </c>
      <c r="Q35" s="2">
        <v>74.239999999999995</v>
      </c>
      <c r="R35" t="s">
        <v>66</v>
      </c>
      <c r="S35">
        <v>0</v>
      </c>
      <c r="T35">
        <v>0</v>
      </c>
      <c r="U35">
        <f>IF(AND(OR(Dashboard!$D$4="Semua",D35=Dashboard!$D$4),OR(Dashboard!$H$4="Semua",E35=Dashboard!$H$4)),1,0)</f>
        <v>1</v>
      </c>
      <c r="V35">
        <f>IF(U35=1,IF(COUNTIFS($C$2:C35,C35,$U$2:U35,1)=1,1,0),0)</f>
        <v>1</v>
      </c>
    </row>
    <row r="36" spans="1:22" x14ac:dyDescent="0.35">
      <c r="A36">
        <v>10035</v>
      </c>
      <c r="B36" s="1">
        <v>44596</v>
      </c>
      <c r="C36">
        <v>1021</v>
      </c>
      <c r="D36" t="s">
        <v>73</v>
      </c>
      <c r="E36" t="s">
        <v>74</v>
      </c>
      <c r="F36">
        <v>2</v>
      </c>
      <c r="G36" s="2">
        <v>511.91</v>
      </c>
      <c r="H36">
        <v>0.19</v>
      </c>
      <c r="I36" t="s">
        <v>71</v>
      </c>
      <c r="J36">
        <v>9</v>
      </c>
      <c r="K36">
        <v>1.5</v>
      </c>
      <c r="L36" s="2">
        <v>829.29</v>
      </c>
      <c r="M36">
        <v>2022</v>
      </c>
      <c r="N36">
        <v>2</v>
      </c>
      <c r="O36" t="s">
        <v>81</v>
      </c>
      <c r="P36" s="2">
        <v>1023.82</v>
      </c>
      <c r="Q36" s="2">
        <v>194.53</v>
      </c>
      <c r="R36" t="s">
        <v>76</v>
      </c>
      <c r="S36">
        <v>0</v>
      </c>
      <c r="T36">
        <v>0</v>
      </c>
      <c r="U36">
        <f>IF(AND(OR(Dashboard!$D$4="Semua",D36=Dashboard!$D$4),OR(Dashboard!$H$4="Semua",E36=Dashboard!$H$4)),1,0)</f>
        <v>1</v>
      </c>
      <c r="V36">
        <f>IF(U36=1,IF(COUNTIFS($C$2:C36,C36,$U$2:U36,1)=1,1,0),0)</f>
        <v>1</v>
      </c>
    </row>
    <row r="37" spans="1:22" x14ac:dyDescent="0.35">
      <c r="A37">
        <v>10036</v>
      </c>
      <c r="B37" s="1">
        <v>44597</v>
      </c>
      <c r="C37">
        <v>1252</v>
      </c>
      <c r="D37" t="s">
        <v>73</v>
      </c>
      <c r="E37" t="s">
        <v>74</v>
      </c>
      <c r="F37">
        <v>4</v>
      </c>
      <c r="G37" s="2">
        <v>375.27</v>
      </c>
      <c r="H37">
        <v>0.02</v>
      </c>
      <c r="I37" t="s">
        <v>71</v>
      </c>
      <c r="J37">
        <v>11</v>
      </c>
      <c r="K37">
        <v>3.9</v>
      </c>
      <c r="L37" s="2">
        <v>1471.06</v>
      </c>
      <c r="M37">
        <v>2022</v>
      </c>
      <c r="N37">
        <v>2</v>
      </c>
      <c r="O37" t="s">
        <v>81</v>
      </c>
      <c r="P37" s="2">
        <v>1501.08</v>
      </c>
      <c r="Q37" s="2">
        <v>30.02</v>
      </c>
      <c r="R37" t="s">
        <v>75</v>
      </c>
      <c r="S37">
        <v>0</v>
      </c>
      <c r="T37">
        <v>0</v>
      </c>
      <c r="U37">
        <f>IF(AND(OR(Dashboard!$D$4="Semua",D37=Dashboard!$D$4),OR(Dashboard!$H$4="Semua",E37=Dashboard!$H$4)),1,0)</f>
        <v>1</v>
      </c>
      <c r="V37">
        <f>IF(U37=1,IF(COUNTIFS($C$2:C37,C37,$U$2:U37,1)=1,1,0),0)</f>
        <v>1</v>
      </c>
    </row>
    <row r="38" spans="1:22" x14ac:dyDescent="0.35">
      <c r="A38">
        <v>10037</v>
      </c>
      <c r="B38" s="1">
        <v>44598</v>
      </c>
      <c r="C38">
        <v>1747</v>
      </c>
      <c r="D38" t="s">
        <v>67</v>
      </c>
      <c r="E38" t="s">
        <v>63</v>
      </c>
      <c r="F38">
        <v>3</v>
      </c>
      <c r="G38" s="2">
        <v>186.01</v>
      </c>
      <c r="H38">
        <v>0.13</v>
      </c>
      <c r="I38" t="s">
        <v>68</v>
      </c>
      <c r="J38">
        <v>4</v>
      </c>
      <c r="K38">
        <v>4.4000000000000004</v>
      </c>
      <c r="L38" s="2">
        <v>485.49</v>
      </c>
      <c r="M38">
        <v>2022</v>
      </c>
      <c r="N38">
        <v>2</v>
      </c>
      <c r="O38" t="s">
        <v>81</v>
      </c>
      <c r="P38" s="2">
        <v>558.03</v>
      </c>
      <c r="Q38" s="2">
        <v>72.540000000000006</v>
      </c>
      <c r="R38" t="s">
        <v>79</v>
      </c>
      <c r="S38">
        <v>0</v>
      </c>
      <c r="T38">
        <v>0</v>
      </c>
      <c r="U38">
        <f>IF(AND(OR(Dashboard!$D$4="Semua",D38=Dashboard!$D$4),OR(Dashboard!$H$4="Semua",E38=Dashboard!$H$4)),1,0)</f>
        <v>1</v>
      </c>
      <c r="V38">
        <f>IF(U38=1,IF(COUNTIFS($C$2:C38,C38,$U$2:U38,1)=1,1,0),0)</f>
        <v>1</v>
      </c>
    </row>
    <row r="39" spans="1:22" x14ac:dyDescent="0.35">
      <c r="A39">
        <v>10038</v>
      </c>
      <c r="B39" s="1">
        <v>44599</v>
      </c>
      <c r="C39">
        <v>1856</v>
      </c>
      <c r="D39" t="s">
        <v>73</v>
      </c>
      <c r="E39" t="s">
        <v>78</v>
      </c>
      <c r="F39">
        <v>6</v>
      </c>
      <c r="G39" s="2">
        <v>261.14</v>
      </c>
      <c r="H39">
        <v>0.31</v>
      </c>
      <c r="I39" t="s">
        <v>68</v>
      </c>
      <c r="J39">
        <v>6</v>
      </c>
      <c r="K39">
        <v>3.5</v>
      </c>
      <c r="L39" s="2">
        <v>1081.1199999999999</v>
      </c>
      <c r="M39">
        <v>2022</v>
      </c>
      <c r="N39">
        <v>2</v>
      </c>
      <c r="O39" t="s">
        <v>81</v>
      </c>
      <c r="P39" s="2">
        <v>1566.84</v>
      </c>
      <c r="Q39" s="2">
        <v>485.72</v>
      </c>
      <c r="R39" t="s">
        <v>72</v>
      </c>
      <c r="S39">
        <v>0</v>
      </c>
      <c r="T39">
        <v>0</v>
      </c>
      <c r="U39">
        <f>IF(AND(OR(Dashboard!$D$4="Semua",D39=Dashboard!$D$4),OR(Dashboard!$H$4="Semua",E39=Dashboard!$H$4)),1,0)</f>
        <v>1</v>
      </c>
      <c r="V39">
        <f>IF(U39=1,IF(COUNTIFS($C$2:C39,C39,$U$2:U39,1)=1,1,0),0)</f>
        <v>1</v>
      </c>
    </row>
    <row r="40" spans="1:22" x14ac:dyDescent="0.35">
      <c r="A40">
        <v>10039</v>
      </c>
      <c r="B40" s="1">
        <v>44600</v>
      </c>
      <c r="C40">
        <v>1560</v>
      </c>
      <c r="D40" t="s">
        <v>73</v>
      </c>
      <c r="E40" t="s">
        <v>70</v>
      </c>
      <c r="F40">
        <v>1</v>
      </c>
      <c r="G40" s="2">
        <v>428.42</v>
      </c>
      <c r="H40">
        <v>0.26</v>
      </c>
      <c r="I40" t="s">
        <v>71</v>
      </c>
      <c r="J40">
        <v>10</v>
      </c>
      <c r="K40">
        <v>1.7</v>
      </c>
      <c r="L40" s="2">
        <v>317.02999999999997</v>
      </c>
      <c r="M40">
        <v>2022</v>
      </c>
      <c r="N40">
        <v>2</v>
      </c>
      <c r="O40" t="s">
        <v>81</v>
      </c>
      <c r="P40" s="2">
        <v>428.42</v>
      </c>
      <c r="Q40" s="2">
        <v>111.39</v>
      </c>
      <c r="R40" t="s">
        <v>66</v>
      </c>
      <c r="S40">
        <v>0</v>
      </c>
      <c r="T40">
        <v>0</v>
      </c>
      <c r="U40">
        <f>IF(AND(OR(Dashboard!$D$4="Semua",D40=Dashboard!$D$4),OR(Dashboard!$H$4="Semua",E40=Dashboard!$H$4)),1,0)</f>
        <v>1</v>
      </c>
      <c r="V40">
        <f>IF(U40=1,IF(COUNTIFS($C$2:C40,C40,$U$2:U40,1)=1,1,0),0)</f>
        <v>1</v>
      </c>
    </row>
    <row r="41" spans="1:22" x14ac:dyDescent="0.35">
      <c r="A41">
        <v>10040</v>
      </c>
      <c r="B41" s="1">
        <v>44601</v>
      </c>
      <c r="C41">
        <v>1474</v>
      </c>
      <c r="D41" t="s">
        <v>80</v>
      </c>
      <c r="E41" t="s">
        <v>78</v>
      </c>
      <c r="F41">
        <v>7</v>
      </c>
      <c r="G41" s="2">
        <v>584.36</v>
      </c>
      <c r="H41">
        <v>0.11</v>
      </c>
      <c r="I41" t="s">
        <v>68</v>
      </c>
      <c r="J41">
        <v>6</v>
      </c>
      <c r="K41">
        <v>1.3</v>
      </c>
      <c r="L41" s="2">
        <v>3640.56</v>
      </c>
      <c r="M41">
        <v>2022</v>
      </c>
      <c r="N41">
        <v>2</v>
      </c>
      <c r="O41" t="s">
        <v>81</v>
      </c>
      <c r="P41" s="2">
        <v>4090.52</v>
      </c>
      <c r="Q41" s="2">
        <v>449.96</v>
      </c>
      <c r="R41" t="s">
        <v>79</v>
      </c>
      <c r="S41">
        <v>0</v>
      </c>
      <c r="T41">
        <v>1</v>
      </c>
      <c r="U41">
        <f>IF(AND(OR(Dashboard!$D$4="Semua",D41=Dashboard!$D$4),OR(Dashboard!$H$4="Semua",E41=Dashboard!$H$4)),1,0)</f>
        <v>1</v>
      </c>
      <c r="V41">
        <f>IF(U41=1,IF(COUNTIFS($C$2:C41,C41,$U$2:U41,1)=1,1,0),0)</f>
        <v>1</v>
      </c>
    </row>
    <row r="42" spans="1:22" x14ac:dyDescent="0.35">
      <c r="A42">
        <v>10041</v>
      </c>
      <c r="B42" s="1">
        <v>44602</v>
      </c>
      <c r="C42">
        <v>1058</v>
      </c>
      <c r="D42" t="s">
        <v>73</v>
      </c>
      <c r="E42" t="s">
        <v>78</v>
      </c>
      <c r="F42">
        <v>4</v>
      </c>
      <c r="G42" s="2">
        <v>537.49</v>
      </c>
      <c r="H42">
        <v>0.33</v>
      </c>
      <c r="I42" t="s">
        <v>68</v>
      </c>
      <c r="J42">
        <v>5</v>
      </c>
      <c r="K42">
        <v>2.2000000000000002</v>
      </c>
      <c r="L42" s="2">
        <v>1440.47</v>
      </c>
      <c r="M42">
        <v>2022</v>
      </c>
      <c r="N42">
        <v>2</v>
      </c>
      <c r="O42" t="s">
        <v>81</v>
      </c>
      <c r="P42" s="2">
        <v>2149.96</v>
      </c>
      <c r="Q42" s="2">
        <v>709.49</v>
      </c>
      <c r="R42" t="s">
        <v>72</v>
      </c>
      <c r="S42">
        <v>0</v>
      </c>
      <c r="T42">
        <v>0</v>
      </c>
      <c r="U42">
        <f>IF(AND(OR(Dashboard!$D$4="Semua",D42=Dashboard!$D$4),OR(Dashboard!$H$4="Semua",E42=Dashboard!$H$4)),1,0)</f>
        <v>1</v>
      </c>
      <c r="V42">
        <f>IF(U42=1,IF(COUNTIFS($C$2:C42,C42,$U$2:U42,1)=1,1,0),0)</f>
        <v>1</v>
      </c>
    </row>
    <row r="43" spans="1:22" x14ac:dyDescent="0.35">
      <c r="A43">
        <v>10042</v>
      </c>
      <c r="B43" s="1">
        <v>44603</v>
      </c>
      <c r="C43">
        <v>1510</v>
      </c>
      <c r="D43" t="s">
        <v>80</v>
      </c>
      <c r="E43" t="s">
        <v>74</v>
      </c>
      <c r="F43">
        <v>4</v>
      </c>
      <c r="G43" s="2">
        <v>215.32</v>
      </c>
      <c r="H43">
        <v>0.03</v>
      </c>
      <c r="I43" t="s">
        <v>68</v>
      </c>
      <c r="J43">
        <v>2</v>
      </c>
      <c r="K43">
        <v>1.1000000000000001</v>
      </c>
      <c r="L43" s="2">
        <v>835.44</v>
      </c>
      <c r="M43">
        <v>2022</v>
      </c>
      <c r="N43">
        <v>2</v>
      </c>
      <c r="O43" t="s">
        <v>81</v>
      </c>
      <c r="P43" s="2">
        <v>861.28</v>
      </c>
      <c r="Q43" s="2">
        <v>25.84</v>
      </c>
      <c r="R43" t="s">
        <v>75</v>
      </c>
      <c r="S43">
        <v>0</v>
      </c>
      <c r="T43">
        <v>0</v>
      </c>
      <c r="U43">
        <f>IF(AND(OR(Dashboard!$D$4="Semua",D43=Dashboard!$D$4),OR(Dashboard!$H$4="Semua",E43=Dashboard!$H$4)),1,0)</f>
        <v>1</v>
      </c>
      <c r="V43">
        <f>IF(U43=1,IF(COUNTIFS($C$2:C43,C43,$U$2:U43,1)=1,1,0),0)</f>
        <v>1</v>
      </c>
    </row>
    <row r="44" spans="1:22" x14ac:dyDescent="0.35">
      <c r="A44">
        <v>10043</v>
      </c>
      <c r="B44" s="1">
        <v>44604</v>
      </c>
      <c r="C44">
        <v>1681</v>
      </c>
      <c r="D44" t="s">
        <v>73</v>
      </c>
      <c r="E44" t="s">
        <v>63</v>
      </c>
      <c r="F44">
        <v>4</v>
      </c>
      <c r="G44" s="2">
        <v>598.95000000000005</v>
      </c>
      <c r="H44">
        <v>0.34</v>
      </c>
      <c r="I44" t="s">
        <v>68</v>
      </c>
      <c r="J44">
        <v>7</v>
      </c>
      <c r="K44">
        <v>4.4000000000000004</v>
      </c>
      <c r="L44" s="2">
        <v>1581.23</v>
      </c>
      <c r="M44">
        <v>2022</v>
      </c>
      <c r="N44">
        <v>2</v>
      </c>
      <c r="O44" t="s">
        <v>81</v>
      </c>
      <c r="P44" s="2">
        <v>2395.8000000000002</v>
      </c>
      <c r="Q44" s="2">
        <v>814.57</v>
      </c>
      <c r="R44" t="s">
        <v>72</v>
      </c>
      <c r="S44">
        <v>0</v>
      </c>
      <c r="T44">
        <v>0</v>
      </c>
      <c r="U44">
        <f>IF(AND(OR(Dashboard!$D$4="Semua",D44=Dashboard!$D$4),OR(Dashboard!$H$4="Semua",E44=Dashboard!$H$4)),1,0)</f>
        <v>1</v>
      </c>
      <c r="V44">
        <f>IF(U44=1,IF(COUNTIFS($C$2:C44,C44,$U$2:U44,1)=1,1,0),0)</f>
        <v>1</v>
      </c>
    </row>
    <row r="45" spans="1:22" x14ac:dyDescent="0.35">
      <c r="A45">
        <v>10044</v>
      </c>
      <c r="B45" s="1">
        <v>44605</v>
      </c>
      <c r="C45">
        <v>1475</v>
      </c>
      <c r="D45" t="s">
        <v>73</v>
      </c>
      <c r="E45" t="s">
        <v>78</v>
      </c>
      <c r="F45">
        <v>1</v>
      </c>
      <c r="G45" s="2">
        <v>17.05</v>
      </c>
      <c r="H45">
        <v>0.09</v>
      </c>
      <c r="I45" t="s">
        <v>68</v>
      </c>
      <c r="J45">
        <v>1</v>
      </c>
      <c r="K45">
        <v>3.8</v>
      </c>
      <c r="L45" s="2">
        <v>15.52</v>
      </c>
      <c r="M45">
        <v>2022</v>
      </c>
      <c r="N45">
        <v>2</v>
      </c>
      <c r="O45" t="s">
        <v>81</v>
      </c>
      <c r="P45" s="2">
        <v>17.05</v>
      </c>
      <c r="Q45" s="2">
        <v>1.53</v>
      </c>
      <c r="R45" t="s">
        <v>69</v>
      </c>
      <c r="S45">
        <v>0</v>
      </c>
      <c r="T45">
        <v>0</v>
      </c>
      <c r="U45">
        <f>IF(AND(OR(Dashboard!$D$4="Semua",D45=Dashboard!$D$4),OR(Dashboard!$H$4="Semua",E45=Dashboard!$H$4)),1,0)</f>
        <v>1</v>
      </c>
      <c r="V45">
        <f>IF(U45=1,IF(COUNTIFS($C$2:C45,C45,$U$2:U45,1)=1,1,0),0)</f>
        <v>1</v>
      </c>
    </row>
    <row r="46" spans="1:22" x14ac:dyDescent="0.35">
      <c r="A46">
        <v>10045</v>
      </c>
      <c r="B46" s="1">
        <v>44606</v>
      </c>
      <c r="C46">
        <v>1699</v>
      </c>
      <c r="D46" t="s">
        <v>80</v>
      </c>
      <c r="E46" t="s">
        <v>70</v>
      </c>
      <c r="F46">
        <v>3</v>
      </c>
      <c r="G46" s="2">
        <v>31.16</v>
      </c>
      <c r="H46">
        <v>0</v>
      </c>
      <c r="I46" t="s">
        <v>64</v>
      </c>
      <c r="J46">
        <v>6</v>
      </c>
      <c r="K46">
        <v>3.3</v>
      </c>
      <c r="L46" s="2">
        <v>93.48</v>
      </c>
      <c r="M46">
        <v>2022</v>
      </c>
      <c r="N46">
        <v>2</v>
      </c>
      <c r="O46" t="s">
        <v>81</v>
      </c>
      <c r="P46" s="2">
        <v>93.48</v>
      </c>
      <c r="Q46" s="2">
        <v>0</v>
      </c>
      <c r="R46" t="s">
        <v>75</v>
      </c>
      <c r="S46">
        <v>0</v>
      </c>
      <c r="T46">
        <v>0</v>
      </c>
      <c r="U46">
        <f>IF(AND(OR(Dashboard!$D$4="Semua",D46=Dashboard!$D$4),OR(Dashboard!$H$4="Semua",E46=Dashboard!$H$4)),1,0)</f>
        <v>1</v>
      </c>
      <c r="V46">
        <f>IF(U46=1,IF(COUNTIFS($C$2:C46,C46,$U$2:U46,1)=1,1,0),0)</f>
        <v>1</v>
      </c>
    </row>
    <row r="47" spans="1:22" x14ac:dyDescent="0.35">
      <c r="A47">
        <v>10046</v>
      </c>
      <c r="B47" s="1">
        <v>44607</v>
      </c>
      <c r="C47">
        <v>1975</v>
      </c>
      <c r="D47" t="s">
        <v>73</v>
      </c>
      <c r="E47" t="s">
        <v>78</v>
      </c>
      <c r="F47">
        <v>6</v>
      </c>
      <c r="G47" s="2">
        <v>496.95</v>
      </c>
      <c r="H47">
        <v>0.15</v>
      </c>
      <c r="I47" t="s">
        <v>71</v>
      </c>
      <c r="J47">
        <v>5</v>
      </c>
      <c r="K47">
        <v>4.5999999999999996</v>
      </c>
      <c r="L47" s="2">
        <v>2534.44</v>
      </c>
      <c r="M47">
        <v>2022</v>
      </c>
      <c r="N47">
        <v>2</v>
      </c>
      <c r="O47" t="s">
        <v>81</v>
      </c>
      <c r="P47" s="2">
        <v>2981.7</v>
      </c>
      <c r="Q47" s="2">
        <v>447.26</v>
      </c>
      <c r="R47" t="s">
        <v>79</v>
      </c>
      <c r="S47">
        <v>0</v>
      </c>
      <c r="T47">
        <v>0</v>
      </c>
      <c r="U47">
        <f>IF(AND(OR(Dashboard!$D$4="Semua",D47=Dashboard!$D$4),OR(Dashboard!$H$4="Semua",E47=Dashboard!$H$4)),1,0)</f>
        <v>1</v>
      </c>
      <c r="V47">
        <f>IF(U47=1,IF(COUNTIFS($C$2:C47,C47,$U$2:U47,1)=1,1,0),0)</f>
        <v>1</v>
      </c>
    </row>
    <row r="48" spans="1:22" x14ac:dyDescent="0.35">
      <c r="A48">
        <v>10047</v>
      </c>
      <c r="B48" s="1">
        <v>44608</v>
      </c>
      <c r="C48">
        <v>1782</v>
      </c>
      <c r="D48" t="s">
        <v>73</v>
      </c>
      <c r="E48" t="s">
        <v>70</v>
      </c>
      <c r="F48">
        <v>4</v>
      </c>
      <c r="G48" s="2">
        <v>131.69</v>
      </c>
      <c r="H48">
        <v>0.13</v>
      </c>
      <c r="I48" t="s">
        <v>71</v>
      </c>
      <c r="J48">
        <v>5</v>
      </c>
      <c r="K48">
        <v>1.4</v>
      </c>
      <c r="L48" s="2">
        <v>458.28</v>
      </c>
      <c r="M48">
        <v>2022</v>
      </c>
      <c r="N48">
        <v>2</v>
      </c>
      <c r="O48" t="s">
        <v>81</v>
      </c>
      <c r="P48" s="2">
        <v>526.76</v>
      </c>
      <c r="Q48" s="2">
        <v>68.48</v>
      </c>
      <c r="R48" t="s">
        <v>79</v>
      </c>
      <c r="S48">
        <v>0</v>
      </c>
      <c r="T48">
        <v>0</v>
      </c>
      <c r="U48">
        <f>IF(AND(OR(Dashboard!$D$4="Semua",D48=Dashboard!$D$4),OR(Dashboard!$H$4="Semua",E48=Dashboard!$H$4)),1,0)</f>
        <v>1</v>
      </c>
      <c r="V48">
        <f>IF(U48=1,IF(COUNTIFS($C$2:C48,C48,$U$2:U48,1)=1,1,0),0)</f>
        <v>1</v>
      </c>
    </row>
    <row r="49" spans="1:22" x14ac:dyDescent="0.35">
      <c r="A49">
        <v>10048</v>
      </c>
      <c r="B49" s="1">
        <v>44609</v>
      </c>
      <c r="C49">
        <v>1189</v>
      </c>
      <c r="D49" t="s">
        <v>67</v>
      </c>
      <c r="E49" t="s">
        <v>74</v>
      </c>
      <c r="F49">
        <v>1</v>
      </c>
      <c r="G49" s="2">
        <v>50.55</v>
      </c>
      <c r="H49">
        <v>0.19</v>
      </c>
      <c r="I49" t="s">
        <v>68</v>
      </c>
      <c r="J49">
        <v>8</v>
      </c>
      <c r="K49">
        <v>3.9</v>
      </c>
      <c r="L49" s="2">
        <v>40.950000000000003</v>
      </c>
      <c r="M49">
        <v>2022</v>
      </c>
      <c r="N49">
        <v>2</v>
      </c>
      <c r="O49" t="s">
        <v>81</v>
      </c>
      <c r="P49" s="2">
        <v>50.55</v>
      </c>
      <c r="Q49" s="2">
        <v>9.6</v>
      </c>
      <c r="R49" t="s">
        <v>76</v>
      </c>
      <c r="S49">
        <v>0</v>
      </c>
      <c r="T49">
        <v>0</v>
      </c>
      <c r="U49">
        <f>IF(AND(OR(Dashboard!$D$4="Semua",D49=Dashboard!$D$4),OR(Dashboard!$H$4="Semua",E49=Dashboard!$H$4)),1,0)</f>
        <v>1</v>
      </c>
      <c r="V49">
        <f>IF(U49=1,IF(COUNTIFS($C$2:C49,C49,$U$2:U49,1)=1,1,0),0)</f>
        <v>1</v>
      </c>
    </row>
    <row r="50" spans="1:22" x14ac:dyDescent="0.35">
      <c r="A50">
        <v>10049</v>
      </c>
      <c r="B50" s="1">
        <v>44610</v>
      </c>
      <c r="C50">
        <v>1957</v>
      </c>
      <c r="D50" t="s">
        <v>73</v>
      </c>
      <c r="E50" t="s">
        <v>63</v>
      </c>
      <c r="F50">
        <v>7</v>
      </c>
      <c r="G50" s="2">
        <v>153.72999999999999</v>
      </c>
      <c r="H50">
        <v>0.28000000000000003</v>
      </c>
      <c r="I50" t="s">
        <v>68</v>
      </c>
      <c r="J50">
        <v>9</v>
      </c>
      <c r="K50">
        <v>1.6</v>
      </c>
      <c r="L50" s="2">
        <v>774.8</v>
      </c>
      <c r="M50">
        <v>2022</v>
      </c>
      <c r="N50">
        <v>2</v>
      </c>
      <c r="O50" t="s">
        <v>81</v>
      </c>
      <c r="P50" s="2">
        <v>1076.1099999999999</v>
      </c>
      <c r="Q50" s="2">
        <v>301.31</v>
      </c>
      <c r="R50" t="s">
        <v>66</v>
      </c>
      <c r="S50">
        <v>0</v>
      </c>
      <c r="T50">
        <v>0</v>
      </c>
      <c r="U50">
        <f>IF(AND(OR(Dashboard!$D$4="Semua",D50=Dashboard!$D$4),OR(Dashboard!$H$4="Semua",E50=Dashboard!$H$4)),1,0)</f>
        <v>1</v>
      </c>
      <c r="V50">
        <f>IF(U50=1,IF(COUNTIFS($C$2:C50,C50,$U$2:U50,1)=1,1,0),0)</f>
        <v>1</v>
      </c>
    </row>
    <row r="51" spans="1:22" x14ac:dyDescent="0.35">
      <c r="A51">
        <v>10050</v>
      </c>
      <c r="B51" s="1">
        <v>44611</v>
      </c>
      <c r="C51">
        <v>1686</v>
      </c>
      <c r="D51" t="s">
        <v>80</v>
      </c>
      <c r="E51" t="s">
        <v>78</v>
      </c>
      <c r="F51">
        <v>2</v>
      </c>
      <c r="G51" s="2">
        <v>264.27</v>
      </c>
      <c r="H51">
        <v>0.28999999999999998</v>
      </c>
      <c r="I51" t="s">
        <v>64</v>
      </c>
      <c r="J51">
        <v>7</v>
      </c>
      <c r="K51">
        <v>1.2</v>
      </c>
      <c r="L51" s="2">
        <v>375.26</v>
      </c>
      <c r="M51">
        <v>2022</v>
      </c>
      <c r="N51">
        <v>2</v>
      </c>
      <c r="O51" t="s">
        <v>81</v>
      </c>
      <c r="P51" s="2">
        <v>528.54</v>
      </c>
      <c r="Q51" s="2">
        <v>153.28</v>
      </c>
      <c r="R51" t="s">
        <v>66</v>
      </c>
      <c r="S51">
        <v>0</v>
      </c>
      <c r="T51">
        <v>0</v>
      </c>
      <c r="U51">
        <f>IF(AND(OR(Dashboard!$D$4="Semua",D51=Dashboard!$D$4),OR(Dashboard!$H$4="Semua",E51=Dashboard!$H$4)),1,0)</f>
        <v>1</v>
      </c>
      <c r="V51">
        <f>IF(U51=1,IF(COUNTIFS($C$2:C51,C51,$U$2:U51,1)=1,1,0),0)</f>
        <v>1</v>
      </c>
    </row>
    <row r="52" spans="1:22" x14ac:dyDescent="0.35">
      <c r="A52">
        <v>10051</v>
      </c>
      <c r="B52" s="1">
        <v>44612</v>
      </c>
      <c r="C52">
        <v>1957</v>
      </c>
      <c r="D52" t="s">
        <v>73</v>
      </c>
      <c r="E52" t="s">
        <v>63</v>
      </c>
      <c r="F52">
        <v>7</v>
      </c>
      <c r="G52" s="2">
        <v>442.38</v>
      </c>
      <c r="H52">
        <v>0.14000000000000001</v>
      </c>
      <c r="I52" t="s">
        <v>71</v>
      </c>
      <c r="J52">
        <v>10</v>
      </c>
      <c r="K52">
        <v>1.5</v>
      </c>
      <c r="L52" s="2">
        <v>2663.13</v>
      </c>
      <c r="M52">
        <v>2022</v>
      </c>
      <c r="N52">
        <v>2</v>
      </c>
      <c r="O52" t="s">
        <v>81</v>
      </c>
      <c r="P52" s="2">
        <v>3096.66</v>
      </c>
      <c r="Q52" s="2">
        <v>433.53</v>
      </c>
      <c r="R52" t="s">
        <v>79</v>
      </c>
      <c r="S52">
        <v>0</v>
      </c>
      <c r="T52">
        <v>0</v>
      </c>
      <c r="U52">
        <f>IF(AND(OR(Dashboard!$D$4="Semua",D52=Dashboard!$D$4),OR(Dashboard!$H$4="Semua",E52=Dashboard!$H$4)),1,0)</f>
        <v>1</v>
      </c>
      <c r="V52">
        <f>IF(U52=1,IF(COUNTIFS($C$2:C52,C52,$U$2:U52,1)=1,1,0),0)</f>
        <v>0</v>
      </c>
    </row>
    <row r="53" spans="1:22" x14ac:dyDescent="0.35">
      <c r="A53">
        <v>10052</v>
      </c>
      <c r="B53" s="1">
        <v>44613</v>
      </c>
      <c r="C53">
        <v>1562</v>
      </c>
      <c r="D53" t="s">
        <v>80</v>
      </c>
      <c r="E53" t="s">
        <v>78</v>
      </c>
      <c r="F53">
        <v>1</v>
      </c>
      <c r="G53" s="2">
        <v>380.24</v>
      </c>
      <c r="H53">
        <v>0.15</v>
      </c>
      <c r="I53" t="s">
        <v>68</v>
      </c>
      <c r="J53">
        <v>8</v>
      </c>
      <c r="K53">
        <v>4.8</v>
      </c>
      <c r="L53" s="2">
        <v>323.2</v>
      </c>
      <c r="M53">
        <v>2022</v>
      </c>
      <c r="N53">
        <v>2</v>
      </c>
      <c r="O53" t="s">
        <v>81</v>
      </c>
      <c r="P53" s="2">
        <v>380.24</v>
      </c>
      <c r="Q53" s="2">
        <v>57.04</v>
      </c>
      <c r="R53" t="s">
        <v>79</v>
      </c>
      <c r="S53">
        <v>0</v>
      </c>
      <c r="T53">
        <v>0</v>
      </c>
      <c r="U53">
        <f>IF(AND(OR(Dashboard!$D$4="Semua",D53=Dashboard!$D$4),OR(Dashboard!$H$4="Semua",E53=Dashboard!$H$4)),1,0)</f>
        <v>1</v>
      </c>
      <c r="V53">
        <f>IF(U53=1,IF(COUNTIFS($C$2:C53,C53,$U$2:U53,1)=1,1,0),0)</f>
        <v>1</v>
      </c>
    </row>
    <row r="54" spans="1:22" x14ac:dyDescent="0.35">
      <c r="A54">
        <v>10053</v>
      </c>
      <c r="B54" s="1">
        <v>44614</v>
      </c>
      <c r="C54">
        <v>1875</v>
      </c>
      <c r="D54" t="s">
        <v>62</v>
      </c>
      <c r="E54" t="s">
        <v>70</v>
      </c>
      <c r="F54">
        <v>1</v>
      </c>
      <c r="G54" s="2">
        <v>154.01</v>
      </c>
      <c r="H54">
        <v>0.05</v>
      </c>
      <c r="I54" t="s">
        <v>68</v>
      </c>
      <c r="J54">
        <v>2</v>
      </c>
      <c r="K54">
        <v>2.8</v>
      </c>
      <c r="L54" s="2">
        <v>146.31</v>
      </c>
      <c r="M54">
        <v>2022</v>
      </c>
      <c r="N54">
        <v>2</v>
      </c>
      <c r="O54" t="s">
        <v>81</v>
      </c>
      <c r="P54" s="2">
        <v>154.01</v>
      </c>
      <c r="Q54" s="2">
        <v>7.7</v>
      </c>
      <c r="R54" t="s">
        <v>75</v>
      </c>
      <c r="S54">
        <v>0</v>
      </c>
      <c r="T54">
        <v>0</v>
      </c>
      <c r="U54">
        <f>IF(AND(OR(Dashboard!$D$4="Semua",D54=Dashboard!$D$4),OR(Dashboard!$H$4="Semua",E54=Dashboard!$H$4)),1,0)</f>
        <v>1</v>
      </c>
      <c r="V54">
        <f>IF(U54=1,IF(COUNTIFS($C$2:C54,C54,$U$2:U54,1)=1,1,0),0)</f>
        <v>1</v>
      </c>
    </row>
    <row r="55" spans="1:22" x14ac:dyDescent="0.35">
      <c r="A55">
        <v>10054</v>
      </c>
      <c r="B55" s="1">
        <v>44615</v>
      </c>
      <c r="C55">
        <v>1566</v>
      </c>
      <c r="D55" t="s">
        <v>67</v>
      </c>
      <c r="E55" t="s">
        <v>63</v>
      </c>
      <c r="F55">
        <v>1</v>
      </c>
      <c r="G55" s="2">
        <v>309.41000000000003</v>
      </c>
      <c r="H55">
        <v>0.02</v>
      </c>
      <c r="I55" t="s">
        <v>71</v>
      </c>
      <c r="J55">
        <v>2</v>
      </c>
      <c r="K55">
        <v>1.2</v>
      </c>
      <c r="L55" s="2">
        <v>303.22000000000003</v>
      </c>
      <c r="M55">
        <v>2022</v>
      </c>
      <c r="N55">
        <v>2</v>
      </c>
      <c r="O55" t="s">
        <v>81</v>
      </c>
      <c r="P55" s="2">
        <v>309.41000000000003</v>
      </c>
      <c r="Q55" s="2">
        <v>6.19</v>
      </c>
      <c r="R55" t="s">
        <v>75</v>
      </c>
      <c r="S55">
        <v>0</v>
      </c>
      <c r="T55">
        <v>0</v>
      </c>
      <c r="U55">
        <f>IF(AND(OR(Dashboard!$D$4="Semua",D55=Dashboard!$D$4),OR(Dashboard!$H$4="Semua",E55=Dashboard!$H$4)),1,0)</f>
        <v>1</v>
      </c>
      <c r="V55">
        <f>IF(U55=1,IF(COUNTIFS($C$2:C55,C55,$U$2:U55,1)=1,1,0),0)</f>
        <v>1</v>
      </c>
    </row>
    <row r="56" spans="1:22" x14ac:dyDescent="0.35">
      <c r="A56">
        <v>10055</v>
      </c>
      <c r="B56" s="1">
        <v>44616</v>
      </c>
      <c r="C56">
        <v>1243</v>
      </c>
      <c r="D56" t="s">
        <v>62</v>
      </c>
      <c r="E56" t="s">
        <v>78</v>
      </c>
      <c r="F56">
        <v>4</v>
      </c>
      <c r="G56" s="2">
        <v>556.84</v>
      </c>
      <c r="H56">
        <v>0.22</v>
      </c>
      <c r="I56" t="s">
        <v>64</v>
      </c>
      <c r="J56">
        <v>8</v>
      </c>
      <c r="K56">
        <v>3.3</v>
      </c>
      <c r="L56" s="2">
        <v>1737.34</v>
      </c>
      <c r="M56">
        <v>2022</v>
      </c>
      <c r="N56">
        <v>2</v>
      </c>
      <c r="O56" t="s">
        <v>81</v>
      </c>
      <c r="P56" s="2">
        <v>2227.36</v>
      </c>
      <c r="Q56" s="2">
        <v>490.02</v>
      </c>
      <c r="R56" t="s">
        <v>77</v>
      </c>
      <c r="S56">
        <v>0</v>
      </c>
      <c r="T56">
        <v>0</v>
      </c>
      <c r="U56">
        <f>IF(AND(OR(Dashboard!$D$4="Semua",D56=Dashboard!$D$4),OR(Dashboard!$H$4="Semua",E56=Dashboard!$H$4)),1,0)</f>
        <v>1</v>
      </c>
      <c r="V56">
        <f>IF(U56=1,IF(COUNTIFS($C$2:C56,C56,$U$2:U56,1)=1,1,0),0)</f>
        <v>1</v>
      </c>
    </row>
    <row r="57" spans="1:22" x14ac:dyDescent="0.35">
      <c r="A57">
        <v>10056</v>
      </c>
      <c r="B57" s="1">
        <v>44617</v>
      </c>
      <c r="C57">
        <v>1831</v>
      </c>
      <c r="D57" t="s">
        <v>67</v>
      </c>
      <c r="E57" t="s">
        <v>74</v>
      </c>
      <c r="F57">
        <v>1</v>
      </c>
      <c r="G57" s="2">
        <v>491.78</v>
      </c>
      <c r="H57">
        <v>0.02</v>
      </c>
      <c r="I57" t="s">
        <v>68</v>
      </c>
      <c r="J57">
        <v>6</v>
      </c>
      <c r="K57">
        <v>1.8</v>
      </c>
      <c r="L57" s="2">
        <v>481.94</v>
      </c>
      <c r="M57">
        <v>2022</v>
      </c>
      <c r="N57">
        <v>2</v>
      </c>
      <c r="O57" t="s">
        <v>81</v>
      </c>
      <c r="P57" s="2">
        <v>491.78</v>
      </c>
      <c r="Q57" s="2">
        <v>9.84</v>
      </c>
      <c r="R57" t="s">
        <v>75</v>
      </c>
      <c r="S57">
        <v>0</v>
      </c>
      <c r="T57">
        <v>0</v>
      </c>
      <c r="U57">
        <f>IF(AND(OR(Dashboard!$D$4="Semua",D57=Dashboard!$D$4),OR(Dashboard!$H$4="Semua",E57=Dashboard!$H$4)),1,0)</f>
        <v>1</v>
      </c>
      <c r="V57">
        <f>IF(U57=1,IF(COUNTIFS($C$2:C57,C57,$U$2:U57,1)=1,1,0),0)</f>
        <v>1</v>
      </c>
    </row>
    <row r="58" spans="1:22" x14ac:dyDescent="0.35">
      <c r="A58">
        <v>10057</v>
      </c>
      <c r="B58" s="1">
        <v>44618</v>
      </c>
      <c r="C58">
        <v>1504</v>
      </c>
      <c r="D58" t="s">
        <v>62</v>
      </c>
      <c r="E58" t="s">
        <v>70</v>
      </c>
      <c r="F58">
        <v>2</v>
      </c>
      <c r="G58" s="2">
        <v>204.07</v>
      </c>
      <c r="H58">
        <v>0.26</v>
      </c>
      <c r="I58" t="s">
        <v>71</v>
      </c>
      <c r="J58">
        <v>8</v>
      </c>
      <c r="K58">
        <v>1</v>
      </c>
      <c r="L58" s="2">
        <v>302.02</v>
      </c>
      <c r="M58">
        <v>2022</v>
      </c>
      <c r="N58">
        <v>2</v>
      </c>
      <c r="O58" t="s">
        <v>81</v>
      </c>
      <c r="P58" s="2">
        <v>408.14</v>
      </c>
      <c r="Q58" s="2">
        <v>106.12</v>
      </c>
      <c r="R58" t="s">
        <v>66</v>
      </c>
      <c r="S58">
        <v>0</v>
      </c>
      <c r="T58">
        <v>0</v>
      </c>
      <c r="U58">
        <f>IF(AND(OR(Dashboard!$D$4="Semua",D58=Dashboard!$D$4),OR(Dashboard!$H$4="Semua",E58=Dashboard!$H$4)),1,0)</f>
        <v>1</v>
      </c>
      <c r="V58">
        <f>IF(U58=1,IF(COUNTIFS($C$2:C58,C58,$U$2:U58,1)=1,1,0),0)</f>
        <v>1</v>
      </c>
    </row>
    <row r="59" spans="1:22" x14ac:dyDescent="0.35">
      <c r="A59">
        <v>10058</v>
      </c>
      <c r="B59" s="1">
        <v>44619</v>
      </c>
      <c r="C59">
        <v>1130</v>
      </c>
      <c r="D59" t="s">
        <v>73</v>
      </c>
      <c r="E59" t="s">
        <v>63</v>
      </c>
      <c r="F59">
        <v>4</v>
      </c>
      <c r="G59" s="2">
        <v>589.62</v>
      </c>
      <c r="H59">
        <v>0.19</v>
      </c>
      <c r="I59" t="s">
        <v>71</v>
      </c>
      <c r="J59">
        <v>9</v>
      </c>
      <c r="K59">
        <v>4</v>
      </c>
      <c r="L59" s="2">
        <v>1910.37</v>
      </c>
      <c r="M59">
        <v>2022</v>
      </c>
      <c r="N59">
        <v>2</v>
      </c>
      <c r="O59" t="s">
        <v>81</v>
      </c>
      <c r="P59" s="2">
        <v>2358.48</v>
      </c>
      <c r="Q59" s="2">
        <v>448.11</v>
      </c>
      <c r="R59" t="s">
        <v>76</v>
      </c>
      <c r="S59">
        <v>0</v>
      </c>
      <c r="T59">
        <v>0</v>
      </c>
      <c r="U59">
        <f>IF(AND(OR(Dashboard!$D$4="Semua",D59=Dashboard!$D$4),OR(Dashboard!$H$4="Semua",E59=Dashboard!$H$4)),1,0)</f>
        <v>1</v>
      </c>
      <c r="V59">
        <f>IF(U59=1,IF(COUNTIFS($C$2:C59,C59,$U$2:U59,1)=1,1,0),0)</f>
        <v>0</v>
      </c>
    </row>
    <row r="60" spans="1:22" x14ac:dyDescent="0.35">
      <c r="A60">
        <v>10059</v>
      </c>
      <c r="B60" s="1">
        <v>44620</v>
      </c>
      <c r="C60">
        <v>1484</v>
      </c>
      <c r="D60" t="s">
        <v>80</v>
      </c>
      <c r="E60" t="s">
        <v>78</v>
      </c>
      <c r="F60">
        <v>7</v>
      </c>
      <c r="G60" s="2">
        <v>429.54</v>
      </c>
      <c r="H60">
        <v>7.0000000000000007E-2</v>
      </c>
      <c r="I60" t="s">
        <v>64</v>
      </c>
      <c r="J60">
        <v>9</v>
      </c>
      <c r="K60">
        <v>1.6</v>
      </c>
      <c r="L60" s="2">
        <v>2796.31</v>
      </c>
      <c r="M60">
        <v>2022</v>
      </c>
      <c r="N60">
        <v>2</v>
      </c>
      <c r="O60" t="s">
        <v>81</v>
      </c>
      <c r="P60" s="2">
        <v>3006.78</v>
      </c>
      <c r="Q60" s="2">
        <v>210.47</v>
      </c>
      <c r="R60" t="s">
        <v>69</v>
      </c>
      <c r="S60">
        <v>0</v>
      </c>
      <c r="T60">
        <v>0</v>
      </c>
      <c r="U60">
        <f>IF(AND(OR(Dashboard!$D$4="Semua",D60=Dashboard!$D$4),OR(Dashboard!$H$4="Semua",E60=Dashboard!$H$4)),1,0)</f>
        <v>1</v>
      </c>
      <c r="V60">
        <f>IF(U60=1,IF(COUNTIFS($C$2:C60,C60,$U$2:U60,1)=1,1,0),0)</f>
        <v>1</v>
      </c>
    </row>
    <row r="61" spans="1:22" x14ac:dyDescent="0.35">
      <c r="A61">
        <v>10060</v>
      </c>
      <c r="B61" s="1">
        <v>44621</v>
      </c>
      <c r="C61">
        <v>1818</v>
      </c>
      <c r="D61" t="s">
        <v>67</v>
      </c>
      <c r="E61" t="s">
        <v>63</v>
      </c>
      <c r="F61">
        <v>2</v>
      </c>
      <c r="G61" s="2">
        <v>51.53</v>
      </c>
      <c r="H61">
        <v>0.19</v>
      </c>
      <c r="I61" t="s">
        <v>64</v>
      </c>
      <c r="J61">
        <v>11</v>
      </c>
      <c r="K61">
        <v>4.8</v>
      </c>
      <c r="L61" s="2">
        <v>83.48</v>
      </c>
      <c r="M61">
        <v>2022</v>
      </c>
      <c r="N61">
        <v>3</v>
      </c>
      <c r="O61" t="s">
        <v>82</v>
      </c>
      <c r="P61" s="2">
        <v>103.06</v>
      </c>
      <c r="Q61" s="2">
        <v>19.579999999999998</v>
      </c>
      <c r="R61" t="s">
        <v>76</v>
      </c>
      <c r="S61">
        <v>0</v>
      </c>
      <c r="T61">
        <v>0</v>
      </c>
      <c r="U61">
        <f>IF(AND(OR(Dashboard!$D$4="Semua",D61=Dashboard!$D$4),OR(Dashboard!$H$4="Semua",E61=Dashboard!$H$4)),1,0)</f>
        <v>1</v>
      </c>
      <c r="V61">
        <f>IF(U61=1,IF(COUNTIFS($C$2:C61,C61,$U$2:U61,1)=1,1,0),0)</f>
        <v>1</v>
      </c>
    </row>
    <row r="62" spans="1:22" x14ac:dyDescent="0.35">
      <c r="A62">
        <v>10061</v>
      </c>
      <c r="B62" s="1">
        <v>44622</v>
      </c>
      <c r="C62">
        <v>1646</v>
      </c>
      <c r="D62" t="s">
        <v>67</v>
      </c>
      <c r="E62" t="s">
        <v>78</v>
      </c>
      <c r="F62">
        <v>5</v>
      </c>
      <c r="G62" s="2">
        <v>35.57</v>
      </c>
      <c r="H62">
        <v>0.06</v>
      </c>
      <c r="I62" t="s">
        <v>68</v>
      </c>
      <c r="J62">
        <v>6</v>
      </c>
      <c r="K62">
        <v>3.4</v>
      </c>
      <c r="L62" s="2">
        <v>167.18</v>
      </c>
      <c r="M62">
        <v>2022</v>
      </c>
      <c r="N62">
        <v>3</v>
      </c>
      <c r="O62" t="s">
        <v>82</v>
      </c>
      <c r="P62" s="2">
        <v>177.85</v>
      </c>
      <c r="Q62" s="2">
        <v>10.67</v>
      </c>
      <c r="R62" t="s">
        <v>69</v>
      </c>
      <c r="S62">
        <v>0</v>
      </c>
      <c r="T62">
        <v>0</v>
      </c>
      <c r="U62">
        <f>IF(AND(OR(Dashboard!$D$4="Semua",D62=Dashboard!$D$4),OR(Dashboard!$H$4="Semua",E62=Dashboard!$H$4)),1,0)</f>
        <v>1</v>
      </c>
      <c r="V62">
        <f>IF(U62=1,IF(COUNTIFS($C$2:C62,C62,$U$2:U62,1)=1,1,0),0)</f>
        <v>1</v>
      </c>
    </row>
    <row r="63" spans="1:22" x14ac:dyDescent="0.35">
      <c r="A63">
        <v>10062</v>
      </c>
      <c r="B63" s="1">
        <v>44623</v>
      </c>
      <c r="C63">
        <v>1020</v>
      </c>
      <c r="D63" t="s">
        <v>67</v>
      </c>
      <c r="E63" t="s">
        <v>70</v>
      </c>
      <c r="F63">
        <v>7</v>
      </c>
      <c r="G63" s="2">
        <v>113.52</v>
      </c>
      <c r="H63">
        <v>0.15</v>
      </c>
      <c r="I63" t="s">
        <v>71</v>
      </c>
      <c r="J63">
        <v>8</v>
      </c>
      <c r="K63">
        <v>1.3</v>
      </c>
      <c r="L63" s="2">
        <v>675.44</v>
      </c>
      <c r="M63">
        <v>2022</v>
      </c>
      <c r="N63">
        <v>3</v>
      </c>
      <c r="O63" t="s">
        <v>82</v>
      </c>
      <c r="P63" s="2">
        <v>794.64</v>
      </c>
      <c r="Q63" s="2">
        <v>119.2</v>
      </c>
      <c r="R63" t="s">
        <v>79</v>
      </c>
      <c r="S63">
        <v>0</v>
      </c>
      <c r="T63">
        <v>0</v>
      </c>
      <c r="U63">
        <f>IF(AND(OR(Dashboard!$D$4="Semua",D63=Dashboard!$D$4),OR(Dashboard!$H$4="Semua",E63=Dashboard!$H$4)),1,0)</f>
        <v>1</v>
      </c>
      <c r="V63">
        <f>IF(U63=1,IF(COUNTIFS($C$2:C63,C63,$U$2:U63,1)=1,1,0),0)</f>
        <v>0</v>
      </c>
    </row>
    <row r="64" spans="1:22" x14ac:dyDescent="0.35">
      <c r="A64">
        <v>10063</v>
      </c>
      <c r="B64" s="1">
        <v>44624</v>
      </c>
      <c r="C64">
        <v>1840</v>
      </c>
      <c r="D64" t="s">
        <v>80</v>
      </c>
      <c r="E64" t="s">
        <v>74</v>
      </c>
      <c r="F64">
        <v>1</v>
      </c>
      <c r="G64" s="2">
        <v>440.8</v>
      </c>
      <c r="H64">
        <v>0.28000000000000003</v>
      </c>
      <c r="I64" t="s">
        <v>71</v>
      </c>
      <c r="J64">
        <v>2</v>
      </c>
      <c r="K64">
        <v>1.9</v>
      </c>
      <c r="L64" s="2">
        <v>317.38</v>
      </c>
      <c r="M64">
        <v>2022</v>
      </c>
      <c r="N64">
        <v>3</v>
      </c>
      <c r="O64" t="s">
        <v>82</v>
      </c>
      <c r="P64" s="2">
        <v>440.8</v>
      </c>
      <c r="Q64" s="2">
        <v>123.42</v>
      </c>
      <c r="R64" t="s">
        <v>66</v>
      </c>
      <c r="S64">
        <v>0</v>
      </c>
      <c r="T64">
        <v>0</v>
      </c>
      <c r="U64">
        <f>IF(AND(OR(Dashboard!$D$4="Semua",D64=Dashboard!$D$4),OR(Dashboard!$H$4="Semua",E64=Dashboard!$H$4)),1,0)</f>
        <v>1</v>
      </c>
      <c r="V64">
        <f>IF(U64=1,IF(COUNTIFS($C$2:C64,C64,$U$2:U64,1)=1,1,0),0)</f>
        <v>1</v>
      </c>
    </row>
    <row r="65" spans="1:22" x14ac:dyDescent="0.35">
      <c r="A65">
        <v>10064</v>
      </c>
      <c r="B65" s="1">
        <v>44625</v>
      </c>
      <c r="C65">
        <v>1166</v>
      </c>
      <c r="D65" t="s">
        <v>73</v>
      </c>
      <c r="E65" t="s">
        <v>70</v>
      </c>
      <c r="F65">
        <v>6</v>
      </c>
      <c r="G65" s="2">
        <v>122.49</v>
      </c>
      <c r="H65">
        <v>0.16</v>
      </c>
      <c r="I65" t="s">
        <v>71</v>
      </c>
      <c r="J65">
        <v>8</v>
      </c>
      <c r="K65">
        <v>3.4</v>
      </c>
      <c r="L65" s="2">
        <v>617.35</v>
      </c>
      <c r="M65">
        <v>2022</v>
      </c>
      <c r="N65">
        <v>3</v>
      </c>
      <c r="O65" t="s">
        <v>82</v>
      </c>
      <c r="P65" s="2">
        <v>734.94</v>
      </c>
      <c r="Q65" s="2">
        <v>117.59</v>
      </c>
      <c r="R65" t="s">
        <v>76</v>
      </c>
      <c r="S65">
        <v>0</v>
      </c>
      <c r="T65">
        <v>0</v>
      </c>
      <c r="U65">
        <f>IF(AND(OR(Dashboard!$D$4="Semua",D65=Dashboard!$D$4),OR(Dashboard!$H$4="Semua",E65=Dashboard!$H$4)),1,0)</f>
        <v>1</v>
      </c>
      <c r="V65">
        <f>IF(U65=1,IF(COUNTIFS($C$2:C65,C65,$U$2:U65,1)=1,1,0),0)</f>
        <v>1</v>
      </c>
    </row>
    <row r="66" spans="1:22" x14ac:dyDescent="0.35">
      <c r="A66">
        <v>10065</v>
      </c>
      <c r="B66" s="1">
        <v>44626</v>
      </c>
      <c r="C66">
        <v>1273</v>
      </c>
      <c r="D66" t="s">
        <v>73</v>
      </c>
      <c r="E66" t="s">
        <v>63</v>
      </c>
      <c r="F66">
        <v>6</v>
      </c>
      <c r="G66" s="2">
        <v>314.22000000000003</v>
      </c>
      <c r="H66">
        <v>0.05</v>
      </c>
      <c r="I66" t="s">
        <v>64</v>
      </c>
      <c r="J66">
        <v>3</v>
      </c>
      <c r="K66">
        <v>2.4</v>
      </c>
      <c r="L66" s="2">
        <v>1791.05</v>
      </c>
      <c r="M66">
        <v>2022</v>
      </c>
      <c r="N66">
        <v>3</v>
      </c>
      <c r="O66" t="s">
        <v>82</v>
      </c>
      <c r="P66" s="2">
        <v>1885.32</v>
      </c>
      <c r="Q66" s="2">
        <v>94.27</v>
      </c>
      <c r="R66" t="s">
        <v>75</v>
      </c>
      <c r="S66">
        <v>0</v>
      </c>
      <c r="T66">
        <v>0</v>
      </c>
      <c r="U66">
        <f>IF(AND(OR(Dashboard!$D$4="Semua",D66=Dashboard!$D$4),OR(Dashboard!$H$4="Semua",E66=Dashboard!$H$4)),1,0)</f>
        <v>1</v>
      </c>
      <c r="V66">
        <f>IF(U66=1,IF(COUNTIFS($C$2:C66,C66,$U$2:U66,1)=1,1,0),0)</f>
        <v>1</v>
      </c>
    </row>
    <row r="67" spans="1:22" x14ac:dyDescent="0.35">
      <c r="A67">
        <v>10066</v>
      </c>
      <c r="B67" s="1">
        <v>44627</v>
      </c>
      <c r="C67">
        <v>1387</v>
      </c>
      <c r="D67" t="s">
        <v>80</v>
      </c>
      <c r="E67" t="s">
        <v>63</v>
      </c>
      <c r="F67">
        <v>4</v>
      </c>
      <c r="G67" s="2">
        <v>69.56</v>
      </c>
      <c r="H67">
        <v>0.25</v>
      </c>
      <c r="I67" t="s">
        <v>64</v>
      </c>
      <c r="J67">
        <v>1</v>
      </c>
      <c r="K67">
        <v>3.1</v>
      </c>
      <c r="L67" s="2">
        <v>208.68</v>
      </c>
      <c r="M67">
        <v>2022</v>
      </c>
      <c r="N67">
        <v>3</v>
      </c>
      <c r="O67" t="s">
        <v>82</v>
      </c>
      <c r="P67" s="2">
        <v>278.24</v>
      </c>
      <c r="Q67" s="2">
        <v>69.56</v>
      </c>
      <c r="R67" t="s">
        <v>77</v>
      </c>
      <c r="S67">
        <v>0</v>
      </c>
      <c r="T67">
        <v>0</v>
      </c>
      <c r="U67">
        <f>IF(AND(OR(Dashboard!$D$4="Semua",D67=Dashboard!$D$4),OR(Dashboard!$H$4="Semua",E67=Dashboard!$H$4)),1,0)</f>
        <v>1</v>
      </c>
      <c r="V67">
        <f>IF(U67=1,IF(COUNTIFS($C$2:C67,C67,$U$2:U67,1)=1,1,0),0)</f>
        <v>1</v>
      </c>
    </row>
    <row r="68" spans="1:22" x14ac:dyDescent="0.35">
      <c r="A68">
        <v>10067</v>
      </c>
      <c r="B68" s="1">
        <v>44628</v>
      </c>
      <c r="C68">
        <v>1600</v>
      </c>
      <c r="D68" t="s">
        <v>80</v>
      </c>
      <c r="E68" t="s">
        <v>78</v>
      </c>
      <c r="F68">
        <v>6</v>
      </c>
      <c r="G68" s="2">
        <v>553.72</v>
      </c>
      <c r="H68">
        <v>7.0000000000000007E-2</v>
      </c>
      <c r="I68" t="s">
        <v>68</v>
      </c>
      <c r="J68">
        <v>7</v>
      </c>
      <c r="K68">
        <v>4.2</v>
      </c>
      <c r="L68" s="2">
        <v>3089.76</v>
      </c>
      <c r="M68">
        <v>2022</v>
      </c>
      <c r="N68">
        <v>3</v>
      </c>
      <c r="O68" t="s">
        <v>82</v>
      </c>
      <c r="P68" s="2">
        <v>3322.32</v>
      </c>
      <c r="Q68" s="2">
        <v>232.56</v>
      </c>
      <c r="R68" t="s">
        <v>69</v>
      </c>
      <c r="S68">
        <v>0</v>
      </c>
      <c r="T68">
        <v>0</v>
      </c>
      <c r="U68">
        <f>IF(AND(OR(Dashboard!$D$4="Semua",D68=Dashboard!$D$4),OR(Dashboard!$H$4="Semua",E68=Dashboard!$H$4)),1,0)</f>
        <v>1</v>
      </c>
      <c r="V68">
        <f>IF(U68=1,IF(COUNTIFS($C$2:C68,C68,$U$2:U68,1)=1,1,0),0)</f>
        <v>1</v>
      </c>
    </row>
    <row r="69" spans="1:22" x14ac:dyDescent="0.35">
      <c r="A69">
        <v>10068</v>
      </c>
      <c r="B69" s="1">
        <v>44629</v>
      </c>
      <c r="C69">
        <v>1315</v>
      </c>
      <c r="D69" t="s">
        <v>62</v>
      </c>
      <c r="E69" t="s">
        <v>70</v>
      </c>
      <c r="F69">
        <v>7</v>
      </c>
      <c r="G69" s="2">
        <v>216.22</v>
      </c>
      <c r="H69">
        <v>0.26</v>
      </c>
      <c r="I69" t="s">
        <v>68</v>
      </c>
      <c r="J69">
        <v>1</v>
      </c>
      <c r="K69">
        <v>4.2</v>
      </c>
      <c r="L69" s="2">
        <v>1120.02</v>
      </c>
      <c r="M69">
        <v>2022</v>
      </c>
      <c r="N69">
        <v>3</v>
      </c>
      <c r="O69" t="s">
        <v>82</v>
      </c>
      <c r="P69" s="2">
        <v>1513.54</v>
      </c>
      <c r="Q69" s="2">
        <v>393.52</v>
      </c>
      <c r="R69" t="s">
        <v>66</v>
      </c>
      <c r="S69">
        <v>0</v>
      </c>
      <c r="T69">
        <v>0</v>
      </c>
      <c r="U69">
        <f>IF(AND(OR(Dashboard!$D$4="Semua",D69=Dashboard!$D$4),OR(Dashboard!$H$4="Semua",E69=Dashboard!$H$4)),1,0)</f>
        <v>1</v>
      </c>
      <c r="V69">
        <f>IF(U69=1,IF(COUNTIFS($C$2:C69,C69,$U$2:U69,1)=1,1,0),0)</f>
        <v>1</v>
      </c>
    </row>
    <row r="70" spans="1:22" x14ac:dyDescent="0.35">
      <c r="A70">
        <v>10069</v>
      </c>
      <c r="B70" s="1">
        <v>44630</v>
      </c>
      <c r="C70">
        <v>1013</v>
      </c>
      <c r="D70" t="s">
        <v>80</v>
      </c>
      <c r="E70" t="s">
        <v>78</v>
      </c>
      <c r="F70">
        <v>4</v>
      </c>
      <c r="G70" s="2">
        <v>546.26</v>
      </c>
      <c r="H70">
        <v>0.17</v>
      </c>
      <c r="I70" t="s">
        <v>71</v>
      </c>
      <c r="J70">
        <v>11</v>
      </c>
      <c r="K70">
        <v>3.8</v>
      </c>
      <c r="L70" s="2">
        <v>1813.58</v>
      </c>
      <c r="M70">
        <v>2022</v>
      </c>
      <c r="N70">
        <v>3</v>
      </c>
      <c r="O70" t="s">
        <v>82</v>
      </c>
      <c r="P70" s="2">
        <v>2185.04</v>
      </c>
      <c r="Q70" s="2">
        <v>371.46</v>
      </c>
      <c r="R70" t="s">
        <v>76</v>
      </c>
      <c r="S70">
        <v>0</v>
      </c>
      <c r="T70">
        <v>0</v>
      </c>
      <c r="U70">
        <f>IF(AND(OR(Dashboard!$D$4="Semua",D70=Dashboard!$D$4),OR(Dashboard!$H$4="Semua",E70=Dashboard!$H$4)),1,0)</f>
        <v>1</v>
      </c>
      <c r="V70">
        <f>IF(U70=1,IF(COUNTIFS($C$2:C70,C70,$U$2:U70,1)=1,1,0),0)</f>
        <v>1</v>
      </c>
    </row>
    <row r="71" spans="1:22" x14ac:dyDescent="0.35">
      <c r="A71">
        <v>10070</v>
      </c>
      <c r="B71" s="1">
        <v>44631</v>
      </c>
      <c r="C71">
        <v>1241</v>
      </c>
      <c r="D71" t="s">
        <v>62</v>
      </c>
      <c r="E71" t="s">
        <v>70</v>
      </c>
      <c r="F71">
        <v>7</v>
      </c>
      <c r="G71" s="2">
        <v>567.75</v>
      </c>
      <c r="H71">
        <v>0.16</v>
      </c>
      <c r="I71" t="s">
        <v>68</v>
      </c>
      <c r="J71">
        <v>1</v>
      </c>
      <c r="K71">
        <v>4.5</v>
      </c>
      <c r="L71" s="2">
        <v>3338.37</v>
      </c>
      <c r="M71">
        <v>2022</v>
      </c>
      <c r="N71">
        <v>3</v>
      </c>
      <c r="O71" t="s">
        <v>82</v>
      </c>
      <c r="P71" s="2">
        <v>3974.25</v>
      </c>
      <c r="Q71" s="2">
        <v>635.88</v>
      </c>
      <c r="R71" t="s">
        <v>76</v>
      </c>
      <c r="S71">
        <v>0</v>
      </c>
      <c r="T71">
        <v>1</v>
      </c>
      <c r="U71">
        <f>IF(AND(OR(Dashboard!$D$4="Semua",D71=Dashboard!$D$4),OR(Dashboard!$H$4="Semua",E71=Dashboard!$H$4)),1,0)</f>
        <v>1</v>
      </c>
      <c r="V71">
        <f>IF(U71=1,IF(COUNTIFS($C$2:C71,C71,$U$2:U71,1)=1,1,0),0)</f>
        <v>1</v>
      </c>
    </row>
    <row r="72" spans="1:22" x14ac:dyDescent="0.35">
      <c r="A72">
        <v>10071</v>
      </c>
      <c r="B72" s="1">
        <v>44632</v>
      </c>
      <c r="C72">
        <v>1776</v>
      </c>
      <c r="D72" t="s">
        <v>80</v>
      </c>
      <c r="E72" t="s">
        <v>63</v>
      </c>
      <c r="F72">
        <v>1</v>
      </c>
      <c r="G72" s="2">
        <v>18.59</v>
      </c>
      <c r="H72">
        <v>0.3</v>
      </c>
      <c r="I72" t="s">
        <v>68</v>
      </c>
      <c r="J72">
        <v>1</v>
      </c>
      <c r="K72">
        <v>1.8</v>
      </c>
      <c r="L72" s="2">
        <v>13.01</v>
      </c>
      <c r="M72">
        <v>2022</v>
      </c>
      <c r="N72">
        <v>3</v>
      </c>
      <c r="O72" t="s">
        <v>82</v>
      </c>
      <c r="P72" s="2">
        <v>18.59</v>
      </c>
      <c r="Q72" s="2">
        <v>5.58</v>
      </c>
      <c r="R72" t="s">
        <v>66</v>
      </c>
      <c r="S72">
        <v>0</v>
      </c>
      <c r="T72">
        <v>0</v>
      </c>
      <c r="U72">
        <f>IF(AND(OR(Dashboard!$D$4="Semua",D72=Dashboard!$D$4),OR(Dashboard!$H$4="Semua",E72=Dashboard!$H$4)),1,0)</f>
        <v>1</v>
      </c>
      <c r="V72">
        <f>IF(U72=1,IF(COUNTIFS($C$2:C72,C72,$U$2:U72,1)=1,1,0),0)</f>
        <v>1</v>
      </c>
    </row>
    <row r="73" spans="1:22" x14ac:dyDescent="0.35">
      <c r="A73">
        <v>10072</v>
      </c>
      <c r="B73" s="1">
        <v>44633</v>
      </c>
      <c r="C73">
        <v>1345</v>
      </c>
      <c r="D73" t="s">
        <v>73</v>
      </c>
      <c r="E73" t="s">
        <v>78</v>
      </c>
      <c r="F73">
        <v>3</v>
      </c>
      <c r="G73" s="2">
        <v>286.52</v>
      </c>
      <c r="H73">
        <v>0.25</v>
      </c>
      <c r="I73" t="s">
        <v>68</v>
      </c>
      <c r="J73">
        <v>4</v>
      </c>
      <c r="K73">
        <v>1.7</v>
      </c>
      <c r="L73" s="2">
        <v>644.66999999999996</v>
      </c>
      <c r="M73">
        <v>2022</v>
      </c>
      <c r="N73">
        <v>3</v>
      </c>
      <c r="O73" t="s">
        <v>82</v>
      </c>
      <c r="P73" s="2">
        <v>859.56</v>
      </c>
      <c r="Q73" s="2">
        <v>214.89</v>
      </c>
      <c r="R73" t="s">
        <v>77</v>
      </c>
      <c r="S73">
        <v>0</v>
      </c>
      <c r="T73">
        <v>0</v>
      </c>
      <c r="U73">
        <f>IF(AND(OR(Dashboard!$D$4="Semua",D73=Dashboard!$D$4),OR(Dashboard!$H$4="Semua",E73=Dashboard!$H$4)),1,0)</f>
        <v>1</v>
      </c>
      <c r="V73">
        <f>IF(U73=1,IF(COUNTIFS($C$2:C73,C73,$U$2:U73,1)=1,1,0),0)</f>
        <v>1</v>
      </c>
    </row>
    <row r="74" spans="1:22" x14ac:dyDescent="0.35">
      <c r="A74">
        <v>10073</v>
      </c>
      <c r="B74" s="1">
        <v>44634</v>
      </c>
      <c r="C74">
        <v>1564</v>
      </c>
      <c r="D74" t="s">
        <v>73</v>
      </c>
      <c r="E74" t="s">
        <v>78</v>
      </c>
      <c r="F74">
        <v>3</v>
      </c>
      <c r="G74" s="2">
        <v>29.42</v>
      </c>
      <c r="H74">
        <v>0.01</v>
      </c>
      <c r="I74" t="s">
        <v>64</v>
      </c>
      <c r="J74">
        <v>4</v>
      </c>
      <c r="K74">
        <v>4.2</v>
      </c>
      <c r="L74" s="2">
        <v>87.38</v>
      </c>
      <c r="M74">
        <v>2022</v>
      </c>
      <c r="N74">
        <v>3</v>
      </c>
      <c r="O74" t="s">
        <v>82</v>
      </c>
      <c r="P74" s="2">
        <v>88.26</v>
      </c>
      <c r="Q74" s="2">
        <v>0.88</v>
      </c>
      <c r="R74" t="s">
        <v>75</v>
      </c>
      <c r="S74">
        <v>0</v>
      </c>
      <c r="T74">
        <v>0</v>
      </c>
      <c r="U74">
        <f>IF(AND(OR(Dashboard!$D$4="Semua",D74=Dashboard!$D$4),OR(Dashboard!$H$4="Semua",E74=Dashboard!$H$4)),1,0)</f>
        <v>1</v>
      </c>
      <c r="V74">
        <f>IF(U74=1,IF(COUNTIFS($C$2:C74,C74,$U$2:U74,1)=1,1,0),0)</f>
        <v>1</v>
      </c>
    </row>
    <row r="75" spans="1:22" x14ac:dyDescent="0.35">
      <c r="A75">
        <v>10074</v>
      </c>
      <c r="B75" s="1">
        <v>44635</v>
      </c>
      <c r="C75">
        <v>1897</v>
      </c>
      <c r="D75" t="s">
        <v>80</v>
      </c>
      <c r="E75" t="s">
        <v>70</v>
      </c>
      <c r="F75">
        <v>2</v>
      </c>
      <c r="G75" s="2">
        <v>546.59</v>
      </c>
      <c r="H75">
        <v>0.1</v>
      </c>
      <c r="I75" t="s">
        <v>68</v>
      </c>
      <c r="J75">
        <v>10</v>
      </c>
      <c r="K75">
        <v>2.2999999999999998</v>
      </c>
      <c r="L75" s="2">
        <v>983.86</v>
      </c>
      <c r="M75">
        <v>2022</v>
      </c>
      <c r="N75">
        <v>3</v>
      </c>
      <c r="O75" t="s">
        <v>82</v>
      </c>
      <c r="P75" s="2">
        <v>1093.18</v>
      </c>
      <c r="Q75" s="2">
        <v>109.32</v>
      </c>
      <c r="R75" t="s">
        <v>69</v>
      </c>
      <c r="S75">
        <v>0</v>
      </c>
      <c r="T75">
        <v>0</v>
      </c>
      <c r="U75">
        <f>IF(AND(OR(Dashboard!$D$4="Semua",D75=Dashboard!$D$4),OR(Dashboard!$H$4="Semua",E75=Dashboard!$H$4)),1,0)</f>
        <v>1</v>
      </c>
      <c r="V75">
        <f>IF(U75=1,IF(COUNTIFS($C$2:C75,C75,$U$2:U75,1)=1,1,0),0)</f>
        <v>1</v>
      </c>
    </row>
    <row r="76" spans="1:22" x14ac:dyDescent="0.35">
      <c r="A76">
        <v>10075</v>
      </c>
      <c r="B76" s="1">
        <v>44636</v>
      </c>
      <c r="C76">
        <v>1339</v>
      </c>
      <c r="D76" t="s">
        <v>67</v>
      </c>
      <c r="E76" t="s">
        <v>74</v>
      </c>
      <c r="F76">
        <v>1</v>
      </c>
      <c r="G76" s="2">
        <v>318.27</v>
      </c>
      <c r="H76">
        <v>0.3</v>
      </c>
      <c r="I76" t="s">
        <v>71</v>
      </c>
      <c r="J76">
        <v>11</v>
      </c>
      <c r="K76">
        <v>3</v>
      </c>
      <c r="L76" s="2">
        <v>222.79</v>
      </c>
      <c r="M76">
        <v>2022</v>
      </c>
      <c r="N76">
        <v>3</v>
      </c>
      <c r="O76" t="s">
        <v>82</v>
      </c>
      <c r="P76" s="2">
        <v>318.27</v>
      </c>
      <c r="Q76" s="2">
        <v>95.48</v>
      </c>
      <c r="R76" t="s">
        <v>66</v>
      </c>
      <c r="S76">
        <v>0</v>
      </c>
      <c r="T76">
        <v>0</v>
      </c>
      <c r="U76">
        <f>IF(AND(OR(Dashboard!$D$4="Semua",D76=Dashboard!$D$4),OR(Dashboard!$H$4="Semua",E76=Dashboard!$H$4)),1,0)</f>
        <v>1</v>
      </c>
      <c r="V76">
        <f>IF(U76=1,IF(COUNTIFS($C$2:C76,C76,$U$2:U76,1)=1,1,0),0)</f>
        <v>1</v>
      </c>
    </row>
    <row r="77" spans="1:22" x14ac:dyDescent="0.35">
      <c r="A77">
        <v>10076</v>
      </c>
      <c r="B77" s="1">
        <v>44637</v>
      </c>
      <c r="C77">
        <v>1091</v>
      </c>
      <c r="D77" t="s">
        <v>73</v>
      </c>
      <c r="E77" t="s">
        <v>70</v>
      </c>
      <c r="F77">
        <v>6</v>
      </c>
      <c r="G77" s="2">
        <v>58.84</v>
      </c>
      <c r="H77">
        <v>0.01</v>
      </c>
      <c r="I77" t="s">
        <v>68</v>
      </c>
      <c r="J77">
        <v>6</v>
      </c>
      <c r="K77">
        <v>4</v>
      </c>
      <c r="L77" s="2">
        <v>349.51</v>
      </c>
      <c r="M77">
        <v>2022</v>
      </c>
      <c r="N77">
        <v>3</v>
      </c>
      <c r="O77" t="s">
        <v>82</v>
      </c>
      <c r="P77" s="2">
        <v>353.04</v>
      </c>
      <c r="Q77" s="2">
        <v>3.53</v>
      </c>
      <c r="R77" t="s">
        <v>75</v>
      </c>
      <c r="S77">
        <v>0</v>
      </c>
      <c r="T77">
        <v>0</v>
      </c>
      <c r="U77">
        <f>IF(AND(OR(Dashboard!$D$4="Semua",D77=Dashboard!$D$4),OR(Dashboard!$H$4="Semua",E77=Dashboard!$H$4)),1,0)</f>
        <v>1</v>
      </c>
      <c r="V77">
        <f>IF(U77=1,IF(COUNTIFS($C$2:C77,C77,$U$2:U77,1)=1,1,0),0)</f>
        <v>1</v>
      </c>
    </row>
    <row r="78" spans="1:22" x14ac:dyDescent="0.35">
      <c r="A78">
        <v>10077</v>
      </c>
      <c r="B78" s="1">
        <v>44638</v>
      </c>
      <c r="C78">
        <v>1366</v>
      </c>
      <c r="D78" t="s">
        <v>67</v>
      </c>
      <c r="E78" t="s">
        <v>74</v>
      </c>
      <c r="F78">
        <v>1</v>
      </c>
      <c r="G78" s="2">
        <v>79.510000000000005</v>
      </c>
      <c r="H78">
        <v>0.19</v>
      </c>
      <c r="I78" t="s">
        <v>68</v>
      </c>
      <c r="J78">
        <v>10</v>
      </c>
      <c r="K78">
        <v>2.6</v>
      </c>
      <c r="L78" s="2">
        <v>64.400000000000006</v>
      </c>
      <c r="M78">
        <v>2022</v>
      </c>
      <c r="N78">
        <v>3</v>
      </c>
      <c r="O78" t="s">
        <v>82</v>
      </c>
      <c r="P78" s="2">
        <v>79.510000000000005</v>
      </c>
      <c r="Q78" s="2">
        <v>15.11</v>
      </c>
      <c r="R78" t="s">
        <v>76</v>
      </c>
      <c r="S78">
        <v>0</v>
      </c>
      <c r="T78">
        <v>0</v>
      </c>
      <c r="U78">
        <f>IF(AND(OR(Dashboard!$D$4="Semua",D78=Dashboard!$D$4),OR(Dashboard!$H$4="Semua",E78=Dashboard!$H$4)),1,0)</f>
        <v>1</v>
      </c>
      <c r="V78">
        <f>IF(U78=1,IF(COUNTIFS($C$2:C78,C78,$U$2:U78,1)=1,1,0),0)</f>
        <v>1</v>
      </c>
    </row>
    <row r="79" spans="1:22" x14ac:dyDescent="0.35">
      <c r="A79">
        <v>10078</v>
      </c>
      <c r="B79" s="1">
        <v>44639</v>
      </c>
      <c r="C79">
        <v>1955</v>
      </c>
      <c r="D79" t="s">
        <v>62</v>
      </c>
      <c r="E79" t="s">
        <v>70</v>
      </c>
      <c r="F79">
        <v>5</v>
      </c>
      <c r="G79" s="2">
        <v>239.35</v>
      </c>
      <c r="H79">
        <v>0.25</v>
      </c>
      <c r="I79" t="s">
        <v>68</v>
      </c>
      <c r="J79">
        <v>3</v>
      </c>
      <c r="K79">
        <v>1.5</v>
      </c>
      <c r="L79" s="2">
        <v>897.56</v>
      </c>
      <c r="M79">
        <v>2022</v>
      </c>
      <c r="N79">
        <v>3</v>
      </c>
      <c r="O79" t="s">
        <v>82</v>
      </c>
      <c r="P79" s="2">
        <v>1196.75</v>
      </c>
      <c r="Q79" s="2">
        <v>299.19</v>
      </c>
      <c r="R79" t="s">
        <v>77</v>
      </c>
      <c r="S79">
        <v>0</v>
      </c>
      <c r="T79">
        <v>0</v>
      </c>
      <c r="U79">
        <f>IF(AND(OR(Dashboard!$D$4="Semua",D79=Dashboard!$D$4),OR(Dashboard!$H$4="Semua",E79=Dashboard!$H$4)),1,0)</f>
        <v>1</v>
      </c>
      <c r="V79">
        <f>IF(U79=1,IF(COUNTIFS($C$2:C79,C79,$U$2:U79,1)=1,1,0),0)</f>
        <v>0</v>
      </c>
    </row>
    <row r="80" spans="1:22" x14ac:dyDescent="0.35">
      <c r="A80">
        <v>10079</v>
      </c>
      <c r="B80" s="1">
        <v>44640</v>
      </c>
      <c r="C80">
        <v>1454</v>
      </c>
      <c r="D80" t="s">
        <v>67</v>
      </c>
      <c r="E80" t="s">
        <v>63</v>
      </c>
      <c r="F80">
        <v>3</v>
      </c>
      <c r="G80" s="2">
        <v>565.04</v>
      </c>
      <c r="H80">
        <v>0.22</v>
      </c>
      <c r="I80" t="s">
        <v>68</v>
      </c>
      <c r="J80">
        <v>10</v>
      </c>
      <c r="K80">
        <v>3.7</v>
      </c>
      <c r="L80" s="2">
        <v>1322.19</v>
      </c>
      <c r="M80">
        <v>2022</v>
      </c>
      <c r="N80">
        <v>3</v>
      </c>
      <c r="O80" t="s">
        <v>82</v>
      </c>
      <c r="P80" s="2">
        <v>1695.12</v>
      </c>
      <c r="Q80" s="2">
        <v>372.93</v>
      </c>
      <c r="R80" t="s">
        <v>77</v>
      </c>
      <c r="S80">
        <v>0</v>
      </c>
      <c r="T80">
        <v>0</v>
      </c>
      <c r="U80">
        <f>IF(AND(OR(Dashboard!$D$4="Semua",D80=Dashboard!$D$4),OR(Dashboard!$H$4="Semua",E80=Dashboard!$H$4)),1,0)</f>
        <v>1</v>
      </c>
      <c r="V80">
        <f>IF(U80=1,IF(COUNTIFS($C$2:C80,C80,$U$2:U80,1)=1,1,0),0)</f>
        <v>1</v>
      </c>
    </row>
    <row r="81" spans="1:22" x14ac:dyDescent="0.35">
      <c r="A81">
        <v>10080</v>
      </c>
      <c r="B81" s="1">
        <v>44641</v>
      </c>
      <c r="C81">
        <v>1427</v>
      </c>
      <c r="D81" t="s">
        <v>67</v>
      </c>
      <c r="E81" t="s">
        <v>78</v>
      </c>
      <c r="F81">
        <v>6</v>
      </c>
      <c r="G81" s="2">
        <v>420.35</v>
      </c>
      <c r="H81">
        <v>0.27</v>
      </c>
      <c r="I81" t="s">
        <v>64</v>
      </c>
      <c r="J81">
        <v>6</v>
      </c>
      <c r="K81">
        <v>4.3</v>
      </c>
      <c r="L81" s="2">
        <v>1841.13</v>
      </c>
      <c r="M81">
        <v>2022</v>
      </c>
      <c r="N81">
        <v>3</v>
      </c>
      <c r="O81" t="s">
        <v>82</v>
      </c>
      <c r="P81" s="2">
        <v>2522.1</v>
      </c>
      <c r="Q81" s="2">
        <v>680.97</v>
      </c>
      <c r="R81" t="s">
        <v>66</v>
      </c>
      <c r="S81">
        <v>0</v>
      </c>
      <c r="T81">
        <v>0</v>
      </c>
      <c r="U81">
        <f>IF(AND(OR(Dashboard!$D$4="Semua",D81=Dashboard!$D$4),OR(Dashboard!$H$4="Semua",E81=Dashboard!$H$4)),1,0)</f>
        <v>1</v>
      </c>
      <c r="V81">
        <f>IF(U81=1,IF(COUNTIFS($C$2:C81,C81,$U$2:U81,1)=1,1,0),0)</f>
        <v>1</v>
      </c>
    </row>
    <row r="82" spans="1:22" x14ac:dyDescent="0.35">
      <c r="A82">
        <v>10081</v>
      </c>
      <c r="B82" s="1">
        <v>44642</v>
      </c>
      <c r="C82">
        <v>1508</v>
      </c>
      <c r="D82" t="s">
        <v>67</v>
      </c>
      <c r="E82" t="s">
        <v>70</v>
      </c>
      <c r="F82">
        <v>7</v>
      </c>
      <c r="G82" s="2">
        <v>522.55999999999995</v>
      </c>
      <c r="H82">
        <v>0.25</v>
      </c>
      <c r="I82" t="s">
        <v>64</v>
      </c>
      <c r="J82">
        <v>7</v>
      </c>
      <c r="K82">
        <v>1.1000000000000001</v>
      </c>
      <c r="L82" s="2">
        <v>2743.44</v>
      </c>
      <c r="M82">
        <v>2022</v>
      </c>
      <c r="N82">
        <v>3</v>
      </c>
      <c r="O82" t="s">
        <v>82</v>
      </c>
      <c r="P82" s="2">
        <v>3657.92</v>
      </c>
      <c r="Q82" s="2">
        <v>914.48</v>
      </c>
      <c r="R82" t="s">
        <v>77</v>
      </c>
      <c r="S82">
        <v>0</v>
      </c>
      <c r="T82">
        <v>0</v>
      </c>
      <c r="U82">
        <f>IF(AND(OR(Dashboard!$D$4="Semua",D82=Dashboard!$D$4),OR(Dashboard!$H$4="Semua",E82=Dashboard!$H$4)),1,0)</f>
        <v>1</v>
      </c>
      <c r="V82">
        <f>IF(U82=1,IF(COUNTIFS($C$2:C82,C82,$U$2:U82,1)=1,1,0),0)</f>
        <v>1</v>
      </c>
    </row>
    <row r="83" spans="1:22" x14ac:dyDescent="0.35">
      <c r="A83">
        <v>10082</v>
      </c>
      <c r="B83" s="1">
        <v>44643</v>
      </c>
      <c r="C83">
        <v>1775</v>
      </c>
      <c r="D83" t="s">
        <v>73</v>
      </c>
      <c r="E83" t="s">
        <v>63</v>
      </c>
      <c r="F83">
        <v>7</v>
      </c>
      <c r="G83" s="2">
        <v>229.38</v>
      </c>
      <c r="H83">
        <v>0.24</v>
      </c>
      <c r="I83" t="s">
        <v>71</v>
      </c>
      <c r="J83">
        <v>11</v>
      </c>
      <c r="K83">
        <v>3.3</v>
      </c>
      <c r="L83" s="2">
        <v>1220.3</v>
      </c>
      <c r="M83">
        <v>2022</v>
      </c>
      <c r="N83">
        <v>3</v>
      </c>
      <c r="O83" t="s">
        <v>82</v>
      </c>
      <c r="P83" s="2">
        <v>1605.66</v>
      </c>
      <c r="Q83" s="2">
        <v>385.36</v>
      </c>
      <c r="R83" t="s">
        <v>77</v>
      </c>
      <c r="S83">
        <v>0</v>
      </c>
      <c r="T83">
        <v>0</v>
      </c>
      <c r="U83">
        <f>IF(AND(OR(Dashboard!$D$4="Semua",D83=Dashboard!$D$4),OR(Dashboard!$H$4="Semua",E83=Dashboard!$H$4)),1,0)</f>
        <v>1</v>
      </c>
      <c r="V83">
        <f>IF(U83=1,IF(COUNTIFS($C$2:C83,C83,$U$2:U83,1)=1,1,0),0)</f>
        <v>1</v>
      </c>
    </row>
    <row r="84" spans="1:22" x14ac:dyDescent="0.35">
      <c r="A84">
        <v>10083</v>
      </c>
      <c r="B84" s="1">
        <v>44644</v>
      </c>
      <c r="C84">
        <v>1942</v>
      </c>
      <c r="D84" t="s">
        <v>67</v>
      </c>
      <c r="E84" t="s">
        <v>70</v>
      </c>
      <c r="F84">
        <v>3</v>
      </c>
      <c r="G84" s="2">
        <v>40.28</v>
      </c>
      <c r="H84">
        <v>0.28999999999999998</v>
      </c>
      <c r="I84" t="s">
        <v>68</v>
      </c>
      <c r="J84">
        <v>1</v>
      </c>
      <c r="K84">
        <v>2.9</v>
      </c>
      <c r="L84" s="2">
        <v>85.8</v>
      </c>
      <c r="M84">
        <v>2022</v>
      </c>
      <c r="N84">
        <v>3</v>
      </c>
      <c r="O84" t="s">
        <v>82</v>
      </c>
      <c r="P84" s="2">
        <v>120.84</v>
      </c>
      <c r="Q84" s="2">
        <v>35.04</v>
      </c>
      <c r="R84" t="s">
        <v>66</v>
      </c>
      <c r="S84">
        <v>0</v>
      </c>
      <c r="T84">
        <v>0</v>
      </c>
      <c r="U84">
        <f>IF(AND(OR(Dashboard!$D$4="Semua",D84=Dashboard!$D$4),OR(Dashboard!$H$4="Semua",E84=Dashboard!$H$4)),1,0)</f>
        <v>1</v>
      </c>
      <c r="V84">
        <f>IF(U84=1,IF(COUNTIFS($C$2:C84,C84,$U$2:U84,1)=1,1,0),0)</f>
        <v>1</v>
      </c>
    </row>
    <row r="85" spans="1:22" x14ac:dyDescent="0.35">
      <c r="A85">
        <v>10084</v>
      </c>
      <c r="B85" s="1">
        <v>44645</v>
      </c>
      <c r="C85">
        <v>1034</v>
      </c>
      <c r="D85" t="s">
        <v>67</v>
      </c>
      <c r="E85" t="s">
        <v>78</v>
      </c>
      <c r="F85">
        <v>1</v>
      </c>
      <c r="G85" s="2">
        <v>584.98</v>
      </c>
      <c r="H85">
        <v>0.23</v>
      </c>
      <c r="I85" t="s">
        <v>71</v>
      </c>
      <c r="J85">
        <v>6</v>
      </c>
      <c r="K85">
        <v>2</v>
      </c>
      <c r="L85" s="2">
        <v>450.43</v>
      </c>
      <c r="M85">
        <v>2022</v>
      </c>
      <c r="N85">
        <v>3</v>
      </c>
      <c r="O85" t="s">
        <v>82</v>
      </c>
      <c r="P85" s="2">
        <v>584.98</v>
      </c>
      <c r="Q85" s="2">
        <v>134.55000000000001</v>
      </c>
      <c r="R85" t="s">
        <v>77</v>
      </c>
      <c r="S85">
        <v>0</v>
      </c>
      <c r="T85">
        <v>0</v>
      </c>
      <c r="U85">
        <f>IF(AND(OR(Dashboard!$D$4="Semua",D85=Dashboard!$D$4),OR(Dashboard!$H$4="Semua",E85=Dashboard!$H$4)),1,0)</f>
        <v>1</v>
      </c>
      <c r="V85">
        <f>IF(U85=1,IF(COUNTIFS($C$2:C85,C85,$U$2:U85,1)=1,1,0),0)</f>
        <v>1</v>
      </c>
    </row>
    <row r="86" spans="1:22" x14ac:dyDescent="0.35">
      <c r="A86">
        <v>10085</v>
      </c>
      <c r="B86" s="1">
        <v>44646</v>
      </c>
      <c r="C86">
        <v>1205</v>
      </c>
      <c r="D86" t="s">
        <v>73</v>
      </c>
      <c r="E86" t="s">
        <v>70</v>
      </c>
      <c r="F86">
        <v>6</v>
      </c>
      <c r="G86" s="2">
        <v>25.05</v>
      </c>
      <c r="H86">
        <v>0.14000000000000001</v>
      </c>
      <c r="I86" t="s">
        <v>68</v>
      </c>
      <c r="J86">
        <v>10</v>
      </c>
      <c r="K86">
        <v>1.6</v>
      </c>
      <c r="L86" s="2">
        <v>129.26</v>
      </c>
      <c r="M86">
        <v>2022</v>
      </c>
      <c r="N86">
        <v>3</v>
      </c>
      <c r="O86" t="s">
        <v>82</v>
      </c>
      <c r="P86" s="2">
        <v>150.30000000000001</v>
      </c>
      <c r="Q86" s="2">
        <v>21.04</v>
      </c>
      <c r="R86" t="s">
        <v>79</v>
      </c>
      <c r="S86">
        <v>0</v>
      </c>
      <c r="T86">
        <v>0</v>
      </c>
      <c r="U86">
        <f>IF(AND(OR(Dashboard!$D$4="Semua",D86=Dashboard!$D$4),OR(Dashboard!$H$4="Semua",E86=Dashboard!$H$4)),1,0)</f>
        <v>1</v>
      </c>
      <c r="V86">
        <f>IF(U86=1,IF(COUNTIFS($C$2:C86,C86,$U$2:U86,1)=1,1,0),0)</f>
        <v>1</v>
      </c>
    </row>
    <row r="87" spans="1:22" x14ac:dyDescent="0.35">
      <c r="A87">
        <v>10086</v>
      </c>
      <c r="B87" s="1">
        <v>44647</v>
      </c>
      <c r="C87">
        <v>1080</v>
      </c>
      <c r="D87" t="s">
        <v>80</v>
      </c>
      <c r="E87" t="s">
        <v>74</v>
      </c>
      <c r="F87">
        <v>2</v>
      </c>
      <c r="G87" s="2">
        <v>569.38</v>
      </c>
      <c r="H87">
        <v>0.17</v>
      </c>
      <c r="I87" t="s">
        <v>68</v>
      </c>
      <c r="J87">
        <v>1</v>
      </c>
      <c r="K87">
        <v>1.8</v>
      </c>
      <c r="L87" s="2">
        <v>945.17</v>
      </c>
      <c r="M87">
        <v>2022</v>
      </c>
      <c r="N87">
        <v>3</v>
      </c>
      <c r="O87" t="s">
        <v>82</v>
      </c>
      <c r="P87" s="2">
        <v>1138.76</v>
      </c>
      <c r="Q87" s="2">
        <v>193.59</v>
      </c>
      <c r="R87" t="s">
        <v>76</v>
      </c>
      <c r="S87">
        <v>0</v>
      </c>
      <c r="T87">
        <v>0</v>
      </c>
      <c r="U87">
        <f>IF(AND(OR(Dashboard!$D$4="Semua",D87=Dashboard!$D$4),OR(Dashboard!$H$4="Semua",E87=Dashboard!$H$4)),1,0)</f>
        <v>1</v>
      </c>
      <c r="V87">
        <f>IF(U87=1,IF(COUNTIFS($C$2:C87,C87,$U$2:U87,1)=1,1,0),0)</f>
        <v>1</v>
      </c>
    </row>
    <row r="88" spans="1:22" x14ac:dyDescent="0.35">
      <c r="A88">
        <v>10087</v>
      </c>
      <c r="B88" s="1">
        <v>44648</v>
      </c>
      <c r="C88">
        <v>1931</v>
      </c>
      <c r="D88" t="s">
        <v>67</v>
      </c>
      <c r="E88" t="s">
        <v>78</v>
      </c>
      <c r="F88">
        <v>7</v>
      </c>
      <c r="G88" s="2">
        <v>230.68</v>
      </c>
      <c r="H88">
        <v>0.25</v>
      </c>
      <c r="I88" t="s">
        <v>71</v>
      </c>
      <c r="J88">
        <v>7</v>
      </c>
      <c r="K88">
        <v>3.9</v>
      </c>
      <c r="L88" s="2">
        <v>1211.07</v>
      </c>
      <c r="M88">
        <v>2022</v>
      </c>
      <c r="N88">
        <v>3</v>
      </c>
      <c r="O88" t="s">
        <v>82</v>
      </c>
      <c r="P88" s="2">
        <v>1614.76</v>
      </c>
      <c r="Q88" s="2">
        <v>403.69</v>
      </c>
      <c r="R88" t="s">
        <v>77</v>
      </c>
      <c r="S88">
        <v>0</v>
      </c>
      <c r="T88">
        <v>0</v>
      </c>
      <c r="U88">
        <f>IF(AND(OR(Dashboard!$D$4="Semua",D88=Dashboard!$D$4),OR(Dashboard!$H$4="Semua",E88=Dashboard!$H$4)),1,0)</f>
        <v>1</v>
      </c>
      <c r="V88">
        <f>IF(U88=1,IF(COUNTIFS($C$2:C88,C88,$U$2:U88,1)=1,1,0),0)</f>
        <v>1</v>
      </c>
    </row>
    <row r="89" spans="1:22" x14ac:dyDescent="0.35">
      <c r="A89">
        <v>10088</v>
      </c>
      <c r="B89" s="1">
        <v>44649</v>
      </c>
      <c r="C89">
        <v>1561</v>
      </c>
      <c r="D89" t="s">
        <v>80</v>
      </c>
      <c r="E89" t="s">
        <v>74</v>
      </c>
      <c r="F89">
        <v>1</v>
      </c>
      <c r="G89" s="2">
        <v>20.9</v>
      </c>
      <c r="H89">
        <v>0.31</v>
      </c>
      <c r="I89" t="s">
        <v>71</v>
      </c>
      <c r="J89">
        <v>10</v>
      </c>
      <c r="K89">
        <v>3.1</v>
      </c>
      <c r="L89" s="2">
        <v>14.42</v>
      </c>
      <c r="M89">
        <v>2022</v>
      </c>
      <c r="N89">
        <v>3</v>
      </c>
      <c r="O89" t="s">
        <v>82</v>
      </c>
      <c r="P89" s="2">
        <v>20.9</v>
      </c>
      <c r="Q89" s="2">
        <v>6.48</v>
      </c>
      <c r="R89" t="s">
        <v>72</v>
      </c>
      <c r="S89">
        <v>0</v>
      </c>
      <c r="T89">
        <v>0</v>
      </c>
      <c r="U89">
        <f>IF(AND(OR(Dashboard!$D$4="Semua",D89=Dashboard!$D$4),OR(Dashboard!$H$4="Semua",E89=Dashboard!$H$4)),1,0)</f>
        <v>1</v>
      </c>
      <c r="V89">
        <f>IF(U89=1,IF(COUNTIFS($C$2:C89,C89,$U$2:U89,1)=1,1,0),0)</f>
        <v>1</v>
      </c>
    </row>
    <row r="90" spans="1:22" x14ac:dyDescent="0.35">
      <c r="A90">
        <v>10089</v>
      </c>
      <c r="B90" s="1">
        <v>44650</v>
      </c>
      <c r="C90">
        <v>1871</v>
      </c>
      <c r="D90" t="s">
        <v>62</v>
      </c>
      <c r="E90" t="s">
        <v>63</v>
      </c>
      <c r="F90">
        <v>2</v>
      </c>
      <c r="G90" s="2">
        <v>418.16</v>
      </c>
      <c r="H90">
        <v>0.1</v>
      </c>
      <c r="I90" t="s">
        <v>68</v>
      </c>
      <c r="J90">
        <v>5</v>
      </c>
      <c r="K90">
        <v>4.9000000000000004</v>
      </c>
      <c r="L90" s="2">
        <v>752.69</v>
      </c>
      <c r="M90">
        <v>2022</v>
      </c>
      <c r="N90">
        <v>3</v>
      </c>
      <c r="O90" t="s">
        <v>82</v>
      </c>
      <c r="P90" s="2">
        <v>836.32</v>
      </c>
      <c r="Q90" s="2">
        <v>83.63</v>
      </c>
      <c r="R90" t="s">
        <v>69</v>
      </c>
      <c r="S90">
        <v>0</v>
      </c>
      <c r="T90">
        <v>0</v>
      </c>
      <c r="U90">
        <f>IF(AND(OR(Dashboard!$D$4="Semua",D90=Dashboard!$D$4),OR(Dashboard!$H$4="Semua",E90=Dashboard!$H$4)),1,0)</f>
        <v>1</v>
      </c>
      <c r="V90">
        <f>IF(U90=1,IF(COUNTIFS($C$2:C90,C90,$U$2:U90,1)=1,1,0),0)</f>
        <v>0</v>
      </c>
    </row>
    <row r="91" spans="1:22" x14ac:dyDescent="0.35">
      <c r="A91">
        <v>10090</v>
      </c>
      <c r="B91" s="1">
        <v>44651</v>
      </c>
      <c r="C91">
        <v>1387</v>
      </c>
      <c r="D91" t="s">
        <v>73</v>
      </c>
      <c r="E91" t="s">
        <v>63</v>
      </c>
      <c r="F91">
        <v>6</v>
      </c>
      <c r="G91" s="2">
        <v>588.62</v>
      </c>
      <c r="H91">
        <v>0.12</v>
      </c>
      <c r="I91" t="s">
        <v>68</v>
      </c>
      <c r="J91">
        <v>10</v>
      </c>
      <c r="K91">
        <v>2</v>
      </c>
      <c r="L91" s="2">
        <v>3107.91</v>
      </c>
      <c r="M91">
        <v>2022</v>
      </c>
      <c r="N91">
        <v>3</v>
      </c>
      <c r="O91" t="s">
        <v>82</v>
      </c>
      <c r="P91" s="2">
        <v>3531.72</v>
      </c>
      <c r="Q91" s="2">
        <v>423.81</v>
      </c>
      <c r="R91" t="s">
        <v>79</v>
      </c>
      <c r="S91">
        <v>0</v>
      </c>
      <c r="T91">
        <v>0</v>
      </c>
      <c r="U91">
        <f>IF(AND(OR(Dashboard!$D$4="Semua",D91=Dashboard!$D$4),OR(Dashboard!$H$4="Semua",E91=Dashboard!$H$4)),1,0)</f>
        <v>1</v>
      </c>
      <c r="V91">
        <f>IF(U91=1,IF(COUNTIFS($C$2:C91,C91,$U$2:U91,1)=1,1,0),0)</f>
        <v>0</v>
      </c>
    </row>
    <row r="92" spans="1:22" x14ac:dyDescent="0.35">
      <c r="A92">
        <v>10091</v>
      </c>
      <c r="B92" s="1">
        <v>44652</v>
      </c>
      <c r="C92">
        <v>1001</v>
      </c>
      <c r="D92" t="s">
        <v>80</v>
      </c>
      <c r="E92" t="s">
        <v>70</v>
      </c>
      <c r="F92">
        <v>3</v>
      </c>
      <c r="G92" s="2">
        <v>579.89</v>
      </c>
      <c r="H92">
        <v>0.33</v>
      </c>
      <c r="I92" t="s">
        <v>64</v>
      </c>
      <c r="J92">
        <v>4</v>
      </c>
      <c r="K92">
        <v>4.8</v>
      </c>
      <c r="L92" s="2">
        <v>1165.58</v>
      </c>
      <c r="M92">
        <v>2022</v>
      </c>
      <c r="N92">
        <v>4</v>
      </c>
      <c r="O92" t="s">
        <v>83</v>
      </c>
      <c r="P92" s="2">
        <v>1739.67</v>
      </c>
      <c r="Q92" s="2">
        <v>574.09</v>
      </c>
      <c r="R92" t="s">
        <v>72</v>
      </c>
      <c r="S92">
        <v>0</v>
      </c>
      <c r="T92">
        <v>0</v>
      </c>
      <c r="U92">
        <f>IF(AND(OR(Dashboard!$D$4="Semua",D92=Dashboard!$D$4),OR(Dashboard!$H$4="Semua",E92=Dashboard!$H$4)),1,0)</f>
        <v>1</v>
      </c>
      <c r="V92">
        <f>IF(U92=1,IF(COUNTIFS($C$2:C92,C92,$U$2:U92,1)=1,1,0),0)</f>
        <v>1</v>
      </c>
    </row>
    <row r="93" spans="1:22" x14ac:dyDescent="0.35">
      <c r="A93">
        <v>10092</v>
      </c>
      <c r="B93" s="1">
        <v>44653</v>
      </c>
      <c r="C93">
        <v>1389</v>
      </c>
      <c r="D93" t="s">
        <v>67</v>
      </c>
      <c r="E93" t="s">
        <v>74</v>
      </c>
      <c r="F93">
        <v>5</v>
      </c>
      <c r="G93" s="2">
        <v>109.15</v>
      </c>
      <c r="H93">
        <v>0.2</v>
      </c>
      <c r="I93" t="s">
        <v>68</v>
      </c>
      <c r="J93">
        <v>1</v>
      </c>
      <c r="K93">
        <v>3.1</v>
      </c>
      <c r="L93" s="2">
        <v>436.6</v>
      </c>
      <c r="M93">
        <v>2022</v>
      </c>
      <c r="N93">
        <v>4</v>
      </c>
      <c r="O93" t="s">
        <v>83</v>
      </c>
      <c r="P93" s="2">
        <v>545.75</v>
      </c>
      <c r="Q93" s="2">
        <v>109.15</v>
      </c>
      <c r="R93" t="s">
        <v>76</v>
      </c>
      <c r="S93">
        <v>0</v>
      </c>
      <c r="T93">
        <v>0</v>
      </c>
      <c r="U93">
        <f>IF(AND(OR(Dashboard!$D$4="Semua",D93=Dashboard!$D$4),OR(Dashboard!$H$4="Semua",E93=Dashboard!$H$4)),1,0)</f>
        <v>1</v>
      </c>
      <c r="V93">
        <f>IF(U93=1,IF(COUNTIFS($C$2:C93,C93,$U$2:U93,1)=1,1,0),0)</f>
        <v>1</v>
      </c>
    </row>
    <row r="94" spans="1:22" x14ac:dyDescent="0.35">
      <c r="A94">
        <v>10093</v>
      </c>
      <c r="B94" s="1">
        <v>44654</v>
      </c>
      <c r="C94">
        <v>1565</v>
      </c>
      <c r="D94" t="s">
        <v>62</v>
      </c>
      <c r="E94" t="s">
        <v>74</v>
      </c>
      <c r="F94">
        <v>4</v>
      </c>
      <c r="G94" s="2">
        <v>121.03</v>
      </c>
      <c r="H94">
        <v>0.06</v>
      </c>
      <c r="I94" t="s">
        <v>64</v>
      </c>
      <c r="J94">
        <v>9</v>
      </c>
      <c r="K94">
        <v>1.6</v>
      </c>
      <c r="L94" s="2">
        <v>455.07</v>
      </c>
      <c r="M94">
        <v>2022</v>
      </c>
      <c r="N94">
        <v>4</v>
      </c>
      <c r="O94" t="s">
        <v>83</v>
      </c>
      <c r="P94" s="2">
        <v>484.12</v>
      </c>
      <c r="Q94" s="2">
        <v>29.05</v>
      </c>
      <c r="R94" t="s">
        <v>69</v>
      </c>
      <c r="S94">
        <v>0</v>
      </c>
      <c r="T94">
        <v>0</v>
      </c>
      <c r="U94">
        <f>IF(AND(OR(Dashboard!$D$4="Semua",D94=Dashboard!$D$4),OR(Dashboard!$H$4="Semua",E94=Dashboard!$H$4)),1,0)</f>
        <v>1</v>
      </c>
      <c r="V94">
        <f>IF(U94=1,IF(COUNTIFS($C$2:C94,C94,$U$2:U94,1)=1,1,0),0)</f>
        <v>1</v>
      </c>
    </row>
    <row r="95" spans="1:22" x14ac:dyDescent="0.35">
      <c r="A95">
        <v>10094</v>
      </c>
      <c r="B95" s="1">
        <v>44655</v>
      </c>
      <c r="C95">
        <v>1105</v>
      </c>
      <c r="D95" t="s">
        <v>73</v>
      </c>
      <c r="E95" t="s">
        <v>78</v>
      </c>
      <c r="F95">
        <v>3</v>
      </c>
      <c r="G95" s="2">
        <v>345.84</v>
      </c>
      <c r="H95">
        <v>0.23</v>
      </c>
      <c r="I95" t="s">
        <v>64</v>
      </c>
      <c r="J95">
        <v>7</v>
      </c>
      <c r="K95">
        <v>1.6</v>
      </c>
      <c r="L95" s="2">
        <v>798.89</v>
      </c>
      <c r="M95">
        <v>2022</v>
      </c>
      <c r="N95">
        <v>4</v>
      </c>
      <c r="O95" t="s">
        <v>83</v>
      </c>
      <c r="P95" s="2">
        <v>1037.52</v>
      </c>
      <c r="Q95" s="2">
        <v>238.63</v>
      </c>
      <c r="R95" t="s">
        <v>77</v>
      </c>
      <c r="S95">
        <v>0</v>
      </c>
      <c r="T95">
        <v>0</v>
      </c>
      <c r="U95">
        <f>IF(AND(OR(Dashboard!$D$4="Semua",D95=Dashboard!$D$4),OR(Dashboard!$H$4="Semua",E95=Dashboard!$H$4)),1,0)</f>
        <v>1</v>
      </c>
      <c r="V95">
        <f>IF(U95=1,IF(COUNTIFS($C$2:C95,C95,$U$2:U95,1)=1,1,0),0)</f>
        <v>1</v>
      </c>
    </row>
    <row r="96" spans="1:22" x14ac:dyDescent="0.35">
      <c r="A96">
        <v>10095</v>
      </c>
      <c r="B96" s="1">
        <v>44656</v>
      </c>
      <c r="C96">
        <v>1771</v>
      </c>
      <c r="D96" t="s">
        <v>80</v>
      </c>
      <c r="E96" t="s">
        <v>74</v>
      </c>
      <c r="F96">
        <v>2</v>
      </c>
      <c r="G96" s="2">
        <v>387.82</v>
      </c>
      <c r="H96">
        <v>0.35</v>
      </c>
      <c r="I96" t="s">
        <v>71</v>
      </c>
      <c r="J96">
        <v>2</v>
      </c>
      <c r="K96">
        <v>3.4</v>
      </c>
      <c r="L96" s="2">
        <v>504.17</v>
      </c>
      <c r="M96">
        <v>2022</v>
      </c>
      <c r="N96">
        <v>4</v>
      </c>
      <c r="O96" t="s">
        <v>83</v>
      </c>
      <c r="P96" s="2">
        <v>775.64</v>
      </c>
      <c r="Q96" s="2">
        <v>271.47000000000003</v>
      </c>
      <c r="R96" t="s">
        <v>72</v>
      </c>
      <c r="S96">
        <v>0</v>
      </c>
      <c r="T96">
        <v>0</v>
      </c>
      <c r="U96">
        <f>IF(AND(OR(Dashboard!$D$4="Semua",D96=Dashboard!$D$4),OR(Dashboard!$H$4="Semua",E96=Dashboard!$H$4)),1,0)</f>
        <v>1</v>
      </c>
      <c r="V96">
        <f>IF(U96=1,IF(COUNTIFS($C$2:C96,C96,$U$2:U96,1)=1,1,0),0)</f>
        <v>1</v>
      </c>
    </row>
    <row r="97" spans="1:22" x14ac:dyDescent="0.35">
      <c r="A97">
        <v>10096</v>
      </c>
      <c r="B97" s="1">
        <v>44657</v>
      </c>
      <c r="C97">
        <v>1821</v>
      </c>
      <c r="D97" t="s">
        <v>67</v>
      </c>
      <c r="E97" t="s">
        <v>74</v>
      </c>
      <c r="F97">
        <v>1</v>
      </c>
      <c r="G97" s="2">
        <v>447.56</v>
      </c>
      <c r="H97">
        <v>0.28999999999999998</v>
      </c>
      <c r="I97" t="s">
        <v>68</v>
      </c>
      <c r="J97">
        <v>4</v>
      </c>
      <c r="K97">
        <v>4.3</v>
      </c>
      <c r="L97" s="2">
        <v>317.77</v>
      </c>
      <c r="M97">
        <v>2022</v>
      </c>
      <c r="N97">
        <v>4</v>
      </c>
      <c r="O97" t="s">
        <v>83</v>
      </c>
      <c r="P97" s="2">
        <v>447.56</v>
      </c>
      <c r="Q97" s="2">
        <v>129.79</v>
      </c>
      <c r="R97" t="s">
        <v>66</v>
      </c>
      <c r="S97">
        <v>0</v>
      </c>
      <c r="T97">
        <v>0</v>
      </c>
      <c r="U97">
        <f>IF(AND(OR(Dashboard!$D$4="Semua",D97=Dashboard!$D$4),OR(Dashboard!$H$4="Semua",E97=Dashboard!$H$4)),1,0)</f>
        <v>1</v>
      </c>
      <c r="V97">
        <f>IF(U97=1,IF(COUNTIFS($C$2:C97,C97,$U$2:U97,1)=1,1,0),0)</f>
        <v>1</v>
      </c>
    </row>
    <row r="98" spans="1:22" x14ac:dyDescent="0.35">
      <c r="A98">
        <v>10097</v>
      </c>
      <c r="B98" s="1">
        <v>44658</v>
      </c>
      <c r="C98">
        <v>1476</v>
      </c>
      <c r="D98" t="s">
        <v>73</v>
      </c>
      <c r="E98" t="s">
        <v>78</v>
      </c>
      <c r="F98">
        <v>7</v>
      </c>
      <c r="G98" s="2">
        <v>120.91</v>
      </c>
      <c r="H98">
        <v>0.26</v>
      </c>
      <c r="I98" t="s">
        <v>71</v>
      </c>
      <c r="J98">
        <v>4</v>
      </c>
      <c r="K98">
        <v>4</v>
      </c>
      <c r="L98" s="2">
        <v>626.30999999999995</v>
      </c>
      <c r="M98">
        <v>2022</v>
      </c>
      <c r="N98">
        <v>4</v>
      </c>
      <c r="O98" t="s">
        <v>83</v>
      </c>
      <c r="P98" s="2">
        <v>846.37</v>
      </c>
      <c r="Q98" s="2">
        <v>220.06</v>
      </c>
      <c r="R98" t="s">
        <v>66</v>
      </c>
      <c r="S98">
        <v>0</v>
      </c>
      <c r="T98">
        <v>0</v>
      </c>
      <c r="U98">
        <f>IF(AND(OR(Dashboard!$D$4="Semua",D98=Dashboard!$D$4),OR(Dashboard!$H$4="Semua",E98=Dashboard!$H$4)),1,0)</f>
        <v>1</v>
      </c>
      <c r="V98">
        <f>IF(U98=1,IF(COUNTIFS($C$2:C98,C98,$U$2:U98,1)=1,1,0),0)</f>
        <v>1</v>
      </c>
    </row>
    <row r="99" spans="1:22" x14ac:dyDescent="0.35">
      <c r="A99">
        <v>10098</v>
      </c>
      <c r="B99" s="1">
        <v>44659</v>
      </c>
      <c r="C99">
        <v>1702</v>
      </c>
      <c r="D99" t="s">
        <v>73</v>
      </c>
      <c r="E99" t="s">
        <v>78</v>
      </c>
      <c r="F99">
        <v>6</v>
      </c>
      <c r="G99" s="2">
        <v>576.02</v>
      </c>
      <c r="H99">
        <v>7.0000000000000007E-2</v>
      </c>
      <c r="I99" t="s">
        <v>68</v>
      </c>
      <c r="J99">
        <v>8</v>
      </c>
      <c r="K99">
        <v>3.6</v>
      </c>
      <c r="L99" s="2">
        <v>3214.19</v>
      </c>
      <c r="M99">
        <v>2022</v>
      </c>
      <c r="N99">
        <v>4</v>
      </c>
      <c r="O99" t="s">
        <v>83</v>
      </c>
      <c r="P99" s="2">
        <v>3456.12</v>
      </c>
      <c r="Q99" s="2">
        <v>241.93</v>
      </c>
      <c r="R99" t="s">
        <v>69</v>
      </c>
      <c r="S99">
        <v>0</v>
      </c>
      <c r="T99">
        <v>0</v>
      </c>
      <c r="U99">
        <f>IF(AND(OR(Dashboard!$D$4="Semua",D99=Dashboard!$D$4),OR(Dashboard!$H$4="Semua",E99=Dashboard!$H$4)),1,0)</f>
        <v>1</v>
      </c>
      <c r="V99">
        <f>IF(U99=1,IF(COUNTIFS($C$2:C99,C99,$U$2:U99,1)=1,1,0),0)</f>
        <v>1</v>
      </c>
    </row>
    <row r="100" spans="1:22" x14ac:dyDescent="0.35">
      <c r="A100">
        <v>10099</v>
      </c>
      <c r="B100" s="1">
        <v>44660</v>
      </c>
      <c r="C100">
        <v>1401</v>
      </c>
      <c r="D100" t="s">
        <v>80</v>
      </c>
      <c r="E100" t="s">
        <v>74</v>
      </c>
      <c r="F100">
        <v>3</v>
      </c>
      <c r="G100" s="2">
        <v>388.66</v>
      </c>
      <c r="H100">
        <v>0.31</v>
      </c>
      <c r="I100" t="s">
        <v>68</v>
      </c>
      <c r="J100">
        <v>2</v>
      </c>
      <c r="K100">
        <v>1.7</v>
      </c>
      <c r="L100" s="2">
        <v>804.53</v>
      </c>
      <c r="M100">
        <v>2022</v>
      </c>
      <c r="N100">
        <v>4</v>
      </c>
      <c r="O100" t="s">
        <v>83</v>
      </c>
      <c r="P100" s="2">
        <v>1165.98</v>
      </c>
      <c r="Q100" s="2">
        <v>361.45</v>
      </c>
      <c r="R100" t="s">
        <v>72</v>
      </c>
      <c r="S100">
        <v>0</v>
      </c>
      <c r="T100">
        <v>0</v>
      </c>
      <c r="U100">
        <f>IF(AND(OR(Dashboard!$D$4="Semua",D100=Dashboard!$D$4),OR(Dashboard!$H$4="Semua",E100=Dashboard!$H$4)),1,0)</f>
        <v>1</v>
      </c>
      <c r="V100">
        <f>IF(U100=1,IF(COUNTIFS($C$2:C100,C100,$U$2:U100,1)=1,1,0),0)</f>
        <v>1</v>
      </c>
    </row>
    <row r="101" spans="1:22" x14ac:dyDescent="0.35">
      <c r="A101">
        <v>10100</v>
      </c>
      <c r="B101" s="1">
        <v>44661</v>
      </c>
      <c r="C101">
        <v>1729</v>
      </c>
      <c r="D101" t="s">
        <v>80</v>
      </c>
      <c r="E101" t="s">
        <v>70</v>
      </c>
      <c r="F101">
        <v>7</v>
      </c>
      <c r="G101" s="2">
        <v>510.52</v>
      </c>
      <c r="H101">
        <v>0.18</v>
      </c>
      <c r="I101" t="s">
        <v>71</v>
      </c>
      <c r="J101">
        <v>11</v>
      </c>
      <c r="K101">
        <v>1.4</v>
      </c>
      <c r="L101" s="2">
        <v>2930.38</v>
      </c>
      <c r="M101">
        <v>2022</v>
      </c>
      <c r="N101">
        <v>4</v>
      </c>
      <c r="O101" t="s">
        <v>83</v>
      </c>
      <c r="P101" s="2">
        <v>3573.64</v>
      </c>
      <c r="Q101" s="2">
        <v>643.26</v>
      </c>
      <c r="R101" t="s">
        <v>76</v>
      </c>
      <c r="S101">
        <v>0</v>
      </c>
      <c r="T101">
        <v>0</v>
      </c>
      <c r="U101">
        <f>IF(AND(OR(Dashboard!$D$4="Semua",D101=Dashboard!$D$4),OR(Dashboard!$H$4="Semua",E101=Dashboard!$H$4)),1,0)</f>
        <v>1</v>
      </c>
      <c r="V101">
        <f>IF(U101=1,IF(COUNTIFS($C$2:C101,C101,$U$2:U101,1)=1,1,0),0)</f>
        <v>1</v>
      </c>
    </row>
    <row r="102" spans="1:22" x14ac:dyDescent="0.35">
      <c r="A102">
        <v>10101</v>
      </c>
      <c r="B102" s="1">
        <v>44662</v>
      </c>
      <c r="C102">
        <v>1555</v>
      </c>
      <c r="D102" t="s">
        <v>73</v>
      </c>
      <c r="E102" t="s">
        <v>78</v>
      </c>
      <c r="F102">
        <v>7</v>
      </c>
      <c r="G102" s="2">
        <v>330.94</v>
      </c>
      <c r="H102">
        <v>0.31</v>
      </c>
      <c r="I102" t="s">
        <v>68</v>
      </c>
      <c r="J102">
        <v>5</v>
      </c>
      <c r="K102">
        <v>1</v>
      </c>
      <c r="L102" s="2">
        <v>1598.44</v>
      </c>
      <c r="M102">
        <v>2022</v>
      </c>
      <c r="N102">
        <v>4</v>
      </c>
      <c r="O102" t="s">
        <v>83</v>
      </c>
      <c r="P102" s="2">
        <v>2316.58</v>
      </c>
      <c r="Q102" s="2">
        <v>718.14</v>
      </c>
      <c r="R102" t="s">
        <v>72</v>
      </c>
      <c r="S102">
        <v>0</v>
      </c>
      <c r="T102">
        <v>0</v>
      </c>
      <c r="U102">
        <f>IF(AND(OR(Dashboard!$D$4="Semua",D102=Dashboard!$D$4),OR(Dashboard!$H$4="Semua",E102=Dashboard!$H$4)),1,0)</f>
        <v>1</v>
      </c>
      <c r="V102">
        <f>IF(U102=1,IF(COUNTIFS($C$2:C102,C102,$U$2:U102,1)=1,1,0),0)</f>
        <v>1</v>
      </c>
    </row>
    <row r="103" spans="1:22" x14ac:dyDescent="0.35">
      <c r="A103">
        <v>10102</v>
      </c>
      <c r="B103" s="1">
        <v>44663</v>
      </c>
      <c r="C103">
        <v>1161</v>
      </c>
      <c r="D103" t="s">
        <v>67</v>
      </c>
      <c r="E103" t="s">
        <v>78</v>
      </c>
      <c r="F103">
        <v>5</v>
      </c>
      <c r="G103" s="2">
        <v>257.35000000000002</v>
      </c>
      <c r="H103">
        <v>0.12</v>
      </c>
      <c r="I103" t="s">
        <v>68</v>
      </c>
      <c r="J103">
        <v>10</v>
      </c>
      <c r="K103">
        <v>1.4</v>
      </c>
      <c r="L103" s="2">
        <v>1132.3399999999999</v>
      </c>
      <c r="M103">
        <v>2022</v>
      </c>
      <c r="N103">
        <v>4</v>
      </c>
      <c r="O103" t="s">
        <v>83</v>
      </c>
      <c r="P103" s="2">
        <v>1286.75</v>
      </c>
      <c r="Q103" s="2">
        <v>154.41</v>
      </c>
      <c r="R103" t="s">
        <v>79</v>
      </c>
      <c r="S103">
        <v>0</v>
      </c>
      <c r="T103">
        <v>0</v>
      </c>
      <c r="U103">
        <f>IF(AND(OR(Dashboard!$D$4="Semua",D103=Dashboard!$D$4),OR(Dashboard!$H$4="Semua",E103=Dashboard!$H$4)),1,0)</f>
        <v>1</v>
      </c>
      <c r="V103">
        <f>IF(U103=1,IF(COUNTIFS($C$2:C103,C103,$U$2:U103,1)=1,1,0),0)</f>
        <v>1</v>
      </c>
    </row>
    <row r="104" spans="1:22" x14ac:dyDescent="0.35">
      <c r="A104">
        <v>10103</v>
      </c>
      <c r="B104" s="1">
        <v>44664</v>
      </c>
      <c r="C104">
        <v>1201</v>
      </c>
      <c r="D104" t="s">
        <v>67</v>
      </c>
      <c r="E104" t="s">
        <v>74</v>
      </c>
      <c r="F104">
        <v>6</v>
      </c>
      <c r="G104" s="2">
        <v>586.65</v>
      </c>
      <c r="H104">
        <v>0.02</v>
      </c>
      <c r="I104" t="s">
        <v>71</v>
      </c>
      <c r="J104">
        <v>8</v>
      </c>
      <c r="K104">
        <v>4.0999999999999996</v>
      </c>
      <c r="L104" s="2">
        <v>3449.5</v>
      </c>
      <c r="M104">
        <v>2022</v>
      </c>
      <c r="N104">
        <v>4</v>
      </c>
      <c r="O104" t="s">
        <v>83</v>
      </c>
      <c r="P104" s="2">
        <v>3519.9</v>
      </c>
      <c r="Q104" s="2">
        <v>70.400000000000006</v>
      </c>
      <c r="R104" t="s">
        <v>75</v>
      </c>
      <c r="S104">
        <v>0</v>
      </c>
      <c r="T104">
        <v>1</v>
      </c>
      <c r="U104">
        <f>IF(AND(OR(Dashboard!$D$4="Semua",D104=Dashboard!$D$4),OR(Dashboard!$H$4="Semua",E104=Dashboard!$H$4)),1,0)</f>
        <v>1</v>
      </c>
      <c r="V104">
        <f>IF(U104=1,IF(COUNTIFS($C$2:C104,C104,$U$2:U104,1)=1,1,0),0)</f>
        <v>1</v>
      </c>
    </row>
    <row r="105" spans="1:22" x14ac:dyDescent="0.35">
      <c r="A105">
        <v>10104</v>
      </c>
      <c r="B105" s="1">
        <v>44665</v>
      </c>
      <c r="C105">
        <v>1957</v>
      </c>
      <c r="D105" t="s">
        <v>80</v>
      </c>
      <c r="E105" t="s">
        <v>74</v>
      </c>
      <c r="F105">
        <v>2</v>
      </c>
      <c r="G105" s="2">
        <v>355.54</v>
      </c>
      <c r="H105">
        <v>0.17</v>
      </c>
      <c r="I105" t="s">
        <v>71</v>
      </c>
      <c r="J105">
        <v>6</v>
      </c>
      <c r="K105">
        <v>4.5999999999999996</v>
      </c>
      <c r="L105" s="2">
        <v>590.20000000000005</v>
      </c>
      <c r="M105">
        <v>2022</v>
      </c>
      <c r="N105">
        <v>4</v>
      </c>
      <c r="O105" t="s">
        <v>83</v>
      </c>
      <c r="P105" s="2">
        <v>711.08</v>
      </c>
      <c r="Q105" s="2">
        <v>120.88</v>
      </c>
      <c r="R105" t="s">
        <v>76</v>
      </c>
      <c r="S105">
        <v>0</v>
      </c>
      <c r="T105">
        <v>0</v>
      </c>
      <c r="U105">
        <f>IF(AND(OR(Dashboard!$D$4="Semua",D105=Dashboard!$D$4),OR(Dashboard!$H$4="Semua",E105=Dashboard!$H$4)),1,0)</f>
        <v>1</v>
      </c>
      <c r="V105">
        <f>IF(U105=1,IF(COUNTIFS($C$2:C105,C105,$U$2:U105,1)=1,1,0),0)</f>
        <v>0</v>
      </c>
    </row>
    <row r="106" spans="1:22" x14ac:dyDescent="0.35">
      <c r="A106">
        <v>10105</v>
      </c>
      <c r="B106" s="1">
        <v>44666</v>
      </c>
      <c r="C106">
        <v>1995</v>
      </c>
      <c r="D106" t="s">
        <v>73</v>
      </c>
      <c r="E106" t="s">
        <v>78</v>
      </c>
      <c r="F106">
        <v>6</v>
      </c>
      <c r="G106" s="2">
        <v>522.12</v>
      </c>
      <c r="H106">
        <v>0.09</v>
      </c>
      <c r="I106" t="s">
        <v>68</v>
      </c>
      <c r="J106">
        <v>4</v>
      </c>
      <c r="K106">
        <v>2</v>
      </c>
      <c r="L106" s="2">
        <v>2850.78</v>
      </c>
      <c r="M106">
        <v>2022</v>
      </c>
      <c r="N106">
        <v>4</v>
      </c>
      <c r="O106" t="s">
        <v>83</v>
      </c>
      <c r="P106" s="2">
        <v>3132.72</v>
      </c>
      <c r="Q106" s="2">
        <v>281.94</v>
      </c>
      <c r="R106" t="s">
        <v>69</v>
      </c>
      <c r="S106">
        <v>0</v>
      </c>
      <c r="T106">
        <v>0</v>
      </c>
      <c r="U106">
        <f>IF(AND(OR(Dashboard!$D$4="Semua",D106=Dashboard!$D$4),OR(Dashboard!$H$4="Semua",E106=Dashboard!$H$4)),1,0)</f>
        <v>1</v>
      </c>
      <c r="V106">
        <f>IF(U106=1,IF(COUNTIFS($C$2:C106,C106,$U$2:U106,1)=1,1,0),0)</f>
        <v>1</v>
      </c>
    </row>
    <row r="107" spans="1:22" x14ac:dyDescent="0.35">
      <c r="A107">
        <v>10106</v>
      </c>
      <c r="B107" s="1">
        <v>44667</v>
      </c>
      <c r="C107">
        <v>1269</v>
      </c>
      <c r="D107" t="s">
        <v>62</v>
      </c>
      <c r="E107" t="s">
        <v>74</v>
      </c>
      <c r="F107">
        <v>6</v>
      </c>
      <c r="G107" s="2">
        <v>572.67999999999995</v>
      </c>
      <c r="H107">
        <v>0.25</v>
      </c>
      <c r="I107" t="s">
        <v>68</v>
      </c>
      <c r="J107">
        <v>5</v>
      </c>
      <c r="K107">
        <v>4.2</v>
      </c>
      <c r="L107" s="2">
        <v>2577.06</v>
      </c>
      <c r="M107">
        <v>2022</v>
      </c>
      <c r="N107">
        <v>4</v>
      </c>
      <c r="O107" t="s">
        <v>83</v>
      </c>
      <c r="P107" s="2">
        <v>3436.08</v>
      </c>
      <c r="Q107" s="2">
        <v>859.02</v>
      </c>
      <c r="R107" t="s">
        <v>77</v>
      </c>
      <c r="S107">
        <v>0</v>
      </c>
      <c r="T107">
        <v>0</v>
      </c>
      <c r="U107">
        <f>IF(AND(OR(Dashboard!$D$4="Semua",D107=Dashboard!$D$4),OR(Dashboard!$H$4="Semua",E107=Dashboard!$H$4)),1,0)</f>
        <v>1</v>
      </c>
      <c r="V107">
        <f>IF(U107=1,IF(COUNTIFS($C$2:C107,C107,$U$2:U107,1)=1,1,0),0)</f>
        <v>1</v>
      </c>
    </row>
    <row r="108" spans="1:22" x14ac:dyDescent="0.35">
      <c r="A108">
        <v>10107</v>
      </c>
      <c r="B108" s="1">
        <v>44668</v>
      </c>
      <c r="C108">
        <v>1862</v>
      </c>
      <c r="D108" t="s">
        <v>73</v>
      </c>
      <c r="E108" t="s">
        <v>78</v>
      </c>
      <c r="F108">
        <v>1</v>
      </c>
      <c r="G108" s="2">
        <v>410.08</v>
      </c>
      <c r="H108">
        <v>0.33</v>
      </c>
      <c r="I108" t="s">
        <v>68</v>
      </c>
      <c r="J108">
        <v>2</v>
      </c>
      <c r="K108">
        <v>1.8</v>
      </c>
      <c r="L108" s="2">
        <v>274.75</v>
      </c>
      <c r="M108">
        <v>2022</v>
      </c>
      <c r="N108">
        <v>4</v>
      </c>
      <c r="O108" t="s">
        <v>83</v>
      </c>
      <c r="P108" s="2">
        <v>410.08</v>
      </c>
      <c r="Q108" s="2">
        <v>135.33000000000001</v>
      </c>
      <c r="R108" t="s">
        <v>72</v>
      </c>
      <c r="S108">
        <v>0</v>
      </c>
      <c r="T108">
        <v>0</v>
      </c>
      <c r="U108">
        <f>IF(AND(OR(Dashboard!$D$4="Semua",D108=Dashboard!$D$4),OR(Dashboard!$H$4="Semua",E108=Dashboard!$H$4)),1,0)</f>
        <v>1</v>
      </c>
      <c r="V108">
        <f>IF(U108=1,IF(COUNTIFS($C$2:C108,C108,$U$2:U108,1)=1,1,0),0)</f>
        <v>1</v>
      </c>
    </row>
    <row r="109" spans="1:22" x14ac:dyDescent="0.35">
      <c r="A109">
        <v>10108</v>
      </c>
      <c r="B109" s="1">
        <v>44669</v>
      </c>
      <c r="C109">
        <v>1815</v>
      </c>
      <c r="D109" t="s">
        <v>67</v>
      </c>
      <c r="E109" t="s">
        <v>70</v>
      </c>
      <c r="F109">
        <v>4</v>
      </c>
      <c r="G109" s="2">
        <v>336.13</v>
      </c>
      <c r="H109">
        <v>0.24</v>
      </c>
      <c r="I109" t="s">
        <v>68</v>
      </c>
      <c r="J109">
        <v>5</v>
      </c>
      <c r="K109">
        <v>2</v>
      </c>
      <c r="L109" s="2">
        <v>1021.84</v>
      </c>
      <c r="M109">
        <v>2022</v>
      </c>
      <c r="N109">
        <v>4</v>
      </c>
      <c r="O109" t="s">
        <v>83</v>
      </c>
      <c r="P109" s="2">
        <v>1344.52</v>
      </c>
      <c r="Q109" s="2">
        <v>322.68</v>
      </c>
      <c r="R109" t="s">
        <v>77</v>
      </c>
      <c r="S109">
        <v>0</v>
      </c>
      <c r="T109">
        <v>0</v>
      </c>
      <c r="U109">
        <f>IF(AND(OR(Dashboard!$D$4="Semua",D109=Dashboard!$D$4),OR(Dashboard!$H$4="Semua",E109=Dashboard!$H$4)),1,0)</f>
        <v>1</v>
      </c>
      <c r="V109">
        <f>IF(U109=1,IF(COUNTIFS($C$2:C109,C109,$U$2:U109,1)=1,1,0),0)</f>
        <v>1</v>
      </c>
    </row>
    <row r="110" spans="1:22" x14ac:dyDescent="0.35">
      <c r="A110">
        <v>10109</v>
      </c>
      <c r="B110" s="1">
        <v>44670</v>
      </c>
      <c r="C110">
        <v>1270</v>
      </c>
      <c r="D110" t="s">
        <v>73</v>
      </c>
      <c r="E110" t="s">
        <v>70</v>
      </c>
      <c r="F110">
        <v>7</v>
      </c>
      <c r="G110" s="2">
        <v>17.05</v>
      </c>
      <c r="H110">
        <v>0.31</v>
      </c>
      <c r="I110" t="s">
        <v>71</v>
      </c>
      <c r="J110">
        <v>3</v>
      </c>
      <c r="K110">
        <v>1.9</v>
      </c>
      <c r="L110" s="2">
        <v>82.35</v>
      </c>
      <c r="M110">
        <v>2022</v>
      </c>
      <c r="N110">
        <v>4</v>
      </c>
      <c r="O110" t="s">
        <v>83</v>
      </c>
      <c r="P110" s="2">
        <v>119.35</v>
      </c>
      <c r="Q110" s="2">
        <v>37</v>
      </c>
      <c r="R110" t="s">
        <v>72</v>
      </c>
      <c r="S110">
        <v>0</v>
      </c>
      <c r="T110">
        <v>0</v>
      </c>
      <c r="U110">
        <f>IF(AND(OR(Dashboard!$D$4="Semua",D110=Dashboard!$D$4),OR(Dashboard!$H$4="Semua",E110=Dashboard!$H$4)),1,0)</f>
        <v>1</v>
      </c>
      <c r="V110">
        <f>IF(U110=1,IF(COUNTIFS($C$2:C110,C110,$U$2:U110,1)=1,1,0),0)</f>
        <v>0</v>
      </c>
    </row>
    <row r="111" spans="1:22" x14ac:dyDescent="0.35">
      <c r="A111">
        <v>10110</v>
      </c>
      <c r="B111" s="1">
        <v>44671</v>
      </c>
      <c r="C111">
        <v>1455</v>
      </c>
      <c r="D111" t="s">
        <v>73</v>
      </c>
      <c r="E111" t="s">
        <v>78</v>
      </c>
      <c r="F111">
        <v>2</v>
      </c>
      <c r="G111" s="2">
        <v>38.409999999999997</v>
      </c>
      <c r="H111">
        <v>0.16</v>
      </c>
      <c r="I111" t="s">
        <v>71</v>
      </c>
      <c r="J111">
        <v>3</v>
      </c>
      <c r="K111">
        <v>1.2</v>
      </c>
      <c r="L111" s="2">
        <v>64.53</v>
      </c>
      <c r="M111">
        <v>2022</v>
      </c>
      <c r="N111">
        <v>4</v>
      </c>
      <c r="O111" t="s">
        <v>83</v>
      </c>
      <c r="P111" s="2">
        <v>76.819999999999993</v>
      </c>
      <c r="Q111" s="2">
        <v>12.29</v>
      </c>
      <c r="R111" t="s">
        <v>76</v>
      </c>
      <c r="S111">
        <v>0</v>
      </c>
      <c r="T111">
        <v>0</v>
      </c>
      <c r="U111">
        <f>IF(AND(OR(Dashboard!$D$4="Semua",D111=Dashboard!$D$4),OR(Dashboard!$H$4="Semua",E111=Dashboard!$H$4)),1,0)</f>
        <v>1</v>
      </c>
      <c r="V111">
        <f>IF(U111=1,IF(COUNTIFS($C$2:C111,C111,$U$2:U111,1)=1,1,0),0)</f>
        <v>1</v>
      </c>
    </row>
    <row r="112" spans="1:22" x14ac:dyDescent="0.35">
      <c r="A112">
        <v>10111</v>
      </c>
      <c r="B112" s="1">
        <v>44672</v>
      </c>
      <c r="C112">
        <v>1461</v>
      </c>
      <c r="D112" t="s">
        <v>67</v>
      </c>
      <c r="E112" t="s">
        <v>78</v>
      </c>
      <c r="F112">
        <v>1</v>
      </c>
      <c r="G112" s="2">
        <v>132.5</v>
      </c>
      <c r="H112">
        <v>0.27</v>
      </c>
      <c r="I112" t="s">
        <v>71</v>
      </c>
      <c r="J112">
        <v>7</v>
      </c>
      <c r="K112">
        <v>1.8</v>
      </c>
      <c r="L112" s="2">
        <v>96.72</v>
      </c>
      <c r="M112">
        <v>2022</v>
      </c>
      <c r="N112">
        <v>4</v>
      </c>
      <c r="O112" t="s">
        <v>83</v>
      </c>
      <c r="P112" s="2">
        <v>132.5</v>
      </c>
      <c r="Q112" s="2">
        <v>35.78</v>
      </c>
      <c r="R112" t="s">
        <v>66</v>
      </c>
      <c r="S112">
        <v>0</v>
      </c>
      <c r="T112">
        <v>0</v>
      </c>
      <c r="U112">
        <f>IF(AND(OR(Dashboard!$D$4="Semua",D112=Dashboard!$D$4),OR(Dashboard!$H$4="Semua",E112=Dashboard!$H$4)),1,0)</f>
        <v>1</v>
      </c>
      <c r="V112">
        <f>IF(U112=1,IF(COUNTIFS($C$2:C112,C112,$U$2:U112,1)=1,1,0),0)</f>
        <v>1</v>
      </c>
    </row>
    <row r="113" spans="1:22" x14ac:dyDescent="0.35">
      <c r="A113">
        <v>10112</v>
      </c>
      <c r="B113" s="1">
        <v>44673</v>
      </c>
      <c r="C113">
        <v>1726</v>
      </c>
      <c r="D113" t="s">
        <v>73</v>
      </c>
      <c r="E113" t="s">
        <v>63</v>
      </c>
      <c r="F113">
        <v>7</v>
      </c>
      <c r="G113" s="2">
        <v>123.81</v>
      </c>
      <c r="H113">
        <v>0.3</v>
      </c>
      <c r="I113" t="s">
        <v>68</v>
      </c>
      <c r="J113">
        <v>3</v>
      </c>
      <c r="K113">
        <v>2.5</v>
      </c>
      <c r="L113" s="2">
        <v>606.66999999999996</v>
      </c>
      <c r="M113">
        <v>2022</v>
      </c>
      <c r="N113">
        <v>4</v>
      </c>
      <c r="O113" t="s">
        <v>83</v>
      </c>
      <c r="P113" s="2">
        <v>866.67</v>
      </c>
      <c r="Q113" s="2">
        <v>260</v>
      </c>
      <c r="R113" t="s">
        <v>66</v>
      </c>
      <c r="S113">
        <v>0</v>
      </c>
      <c r="T113">
        <v>0</v>
      </c>
      <c r="U113">
        <f>IF(AND(OR(Dashboard!$D$4="Semua",D113=Dashboard!$D$4),OR(Dashboard!$H$4="Semua",E113=Dashboard!$H$4)),1,0)</f>
        <v>1</v>
      </c>
      <c r="V113">
        <f>IF(U113=1,IF(COUNTIFS($C$2:C113,C113,$U$2:U113,1)=1,1,0),0)</f>
        <v>1</v>
      </c>
    </row>
    <row r="114" spans="1:22" x14ac:dyDescent="0.35">
      <c r="A114">
        <v>10113</v>
      </c>
      <c r="B114" s="1">
        <v>44674</v>
      </c>
      <c r="C114">
        <v>1251</v>
      </c>
      <c r="D114" t="s">
        <v>80</v>
      </c>
      <c r="E114" t="s">
        <v>63</v>
      </c>
      <c r="F114">
        <v>4</v>
      </c>
      <c r="G114" s="2">
        <v>164.03</v>
      </c>
      <c r="H114">
        <v>0.25</v>
      </c>
      <c r="I114" t="s">
        <v>68</v>
      </c>
      <c r="J114">
        <v>4</v>
      </c>
      <c r="K114">
        <v>2.6</v>
      </c>
      <c r="L114" s="2">
        <v>492.09</v>
      </c>
      <c r="M114">
        <v>2022</v>
      </c>
      <c r="N114">
        <v>4</v>
      </c>
      <c r="O114" t="s">
        <v>83</v>
      </c>
      <c r="P114" s="2">
        <v>656.12</v>
      </c>
      <c r="Q114" s="2">
        <v>164.03</v>
      </c>
      <c r="R114" t="s">
        <v>77</v>
      </c>
      <c r="S114">
        <v>0</v>
      </c>
      <c r="T114">
        <v>0</v>
      </c>
      <c r="U114">
        <f>IF(AND(OR(Dashboard!$D$4="Semua",D114=Dashboard!$D$4),OR(Dashboard!$H$4="Semua",E114=Dashboard!$H$4)),1,0)</f>
        <v>1</v>
      </c>
      <c r="V114">
        <f>IF(U114=1,IF(COUNTIFS($C$2:C114,C114,$U$2:U114,1)=1,1,0),0)</f>
        <v>1</v>
      </c>
    </row>
    <row r="115" spans="1:22" x14ac:dyDescent="0.35">
      <c r="A115">
        <v>10114</v>
      </c>
      <c r="B115" s="1">
        <v>44675</v>
      </c>
      <c r="C115">
        <v>1701</v>
      </c>
      <c r="D115" t="s">
        <v>73</v>
      </c>
      <c r="E115" t="s">
        <v>74</v>
      </c>
      <c r="F115">
        <v>1</v>
      </c>
      <c r="G115" s="2">
        <v>193.39</v>
      </c>
      <c r="H115">
        <v>0.18</v>
      </c>
      <c r="I115" t="s">
        <v>68</v>
      </c>
      <c r="J115">
        <v>7</v>
      </c>
      <c r="K115">
        <v>2.2000000000000002</v>
      </c>
      <c r="L115" s="2">
        <v>158.58000000000001</v>
      </c>
      <c r="M115">
        <v>2022</v>
      </c>
      <c r="N115">
        <v>4</v>
      </c>
      <c r="O115" t="s">
        <v>83</v>
      </c>
      <c r="P115" s="2">
        <v>193.39</v>
      </c>
      <c r="Q115" s="2">
        <v>34.81</v>
      </c>
      <c r="R115" t="s">
        <v>76</v>
      </c>
      <c r="S115">
        <v>0</v>
      </c>
      <c r="T115">
        <v>0</v>
      </c>
      <c r="U115">
        <f>IF(AND(OR(Dashboard!$D$4="Semua",D115=Dashboard!$D$4),OR(Dashboard!$H$4="Semua",E115=Dashboard!$H$4)),1,0)</f>
        <v>1</v>
      </c>
      <c r="V115">
        <f>IF(U115=1,IF(COUNTIFS($C$2:C115,C115,$U$2:U115,1)=1,1,0),0)</f>
        <v>1</v>
      </c>
    </row>
    <row r="116" spans="1:22" x14ac:dyDescent="0.35">
      <c r="A116">
        <v>10115</v>
      </c>
      <c r="B116" s="1">
        <v>44676</v>
      </c>
      <c r="C116">
        <v>1295</v>
      </c>
      <c r="D116" t="s">
        <v>67</v>
      </c>
      <c r="E116" t="s">
        <v>74</v>
      </c>
      <c r="F116">
        <v>4</v>
      </c>
      <c r="G116" s="2">
        <v>225.64</v>
      </c>
      <c r="H116">
        <v>0.22</v>
      </c>
      <c r="I116" t="s">
        <v>68</v>
      </c>
      <c r="J116">
        <v>3</v>
      </c>
      <c r="K116">
        <v>3.1</v>
      </c>
      <c r="L116" s="2">
        <v>704</v>
      </c>
      <c r="M116">
        <v>2022</v>
      </c>
      <c r="N116">
        <v>4</v>
      </c>
      <c r="O116" t="s">
        <v>83</v>
      </c>
      <c r="P116" s="2">
        <v>902.56</v>
      </c>
      <c r="Q116" s="2">
        <v>198.56</v>
      </c>
      <c r="R116" t="s">
        <v>77</v>
      </c>
      <c r="S116">
        <v>0</v>
      </c>
      <c r="T116">
        <v>0</v>
      </c>
      <c r="U116">
        <f>IF(AND(OR(Dashboard!$D$4="Semua",D116=Dashboard!$D$4),OR(Dashboard!$H$4="Semua",E116=Dashboard!$H$4)),1,0)</f>
        <v>1</v>
      </c>
      <c r="V116">
        <f>IF(U116=1,IF(COUNTIFS($C$2:C116,C116,$U$2:U116,1)=1,1,0),0)</f>
        <v>1</v>
      </c>
    </row>
    <row r="117" spans="1:22" x14ac:dyDescent="0.35">
      <c r="A117">
        <v>10116</v>
      </c>
      <c r="B117" s="1">
        <v>44677</v>
      </c>
      <c r="C117">
        <v>1724</v>
      </c>
      <c r="D117" t="s">
        <v>73</v>
      </c>
      <c r="E117" t="s">
        <v>78</v>
      </c>
      <c r="F117">
        <v>4</v>
      </c>
      <c r="G117" s="2">
        <v>261.01</v>
      </c>
      <c r="H117">
        <v>0.25</v>
      </c>
      <c r="I117" t="s">
        <v>68</v>
      </c>
      <c r="J117">
        <v>10</v>
      </c>
      <c r="K117">
        <v>2.5</v>
      </c>
      <c r="L117" s="2">
        <v>783.03</v>
      </c>
      <c r="M117">
        <v>2022</v>
      </c>
      <c r="N117">
        <v>4</v>
      </c>
      <c r="O117" t="s">
        <v>83</v>
      </c>
      <c r="P117" s="2">
        <v>1044.04</v>
      </c>
      <c r="Q117" s="2">
        <v>261.01</v>
      </c>
      <c r="R117" t="s">
        <v>77</v>
      </c>
      <c r="S117">
        <v>0</v>
      </c>
      <c r="T117">
        <v>0</v>
      </c>
      <c r="U117">
        <f>IF(AND(OR(Dashboard!$D$4="Semua",D117=Dashboard!$D$4),OR(Dashboard!$H$4="Semua",E117=Dashboard!$H$4)),1,0)</f>
        <v>1</v>
      </c>
      <c r="V117">
        <f>IF(U117=1,IF(COUNTIFS($C$2:C117,C117,$U$2:U117,1)=1,1,0),0)</f>
        <v>1</v>
      </c>
    </row>
    <row r="118" spans="1:22" x14ac:dyDescent="0.35">
      <c r="A118">
        <v>10117</v>
      </c>
      <c r="B118" s="1">
        <v>44678</v>
      </c>
      <c r="C118">
        <v>1719</v>
      </c>
      <c r="D118" t="s">
        <v>73</v>
      </c>
      <c r="E118" t="s">
        <v>78</v>
      </c>
      <c r="F118">
        <v>4</v>
      </c>
      <c r="G118" s="2">
        <v>72.84</v>
      </c>
      <c r="H118">
        <v>0.09</v>
      </c>
      <c r="I118" t="s">
        <v>68</v>
      </c>
      <c r="J118">
        <v>10</v>
      </c>
      <c r="K118">
        <v>4.9000000000000004</v>
      </c>
      <c r="L118" s="2">
        <v>265.14</v>
      </c>
      <c r="M118">
        <v>2022</v>
      </c>
      <c r="N118">
        <v>4</v>
      </c>
      <c r="O118" t="s">
        <v>83</v>
      </c>
      <c r="P118" s="2">
        <v>291.36</v>
      </c>
      <c r="Q118" s="2">
        <v>26.22</v>
      </c>
      <c r="R118" t="s">
        <v>69</v>
      </c>
      <c r="S118">
        <v>0</v>
      </c>
      <c r="T118">
        <v>0</v>
      </c>
      <c r="U118">
        <f>IF(AND(OR(Dashboard!$D$4="Semua",D118=Dashboard!$D$4),OR(Dashboard!$H$4="Semua",E118=Dashboard!$H$4)),1,0)</f>
        <v>1</v>
      </c>
      <c r="V118">
        <f>IF(U118=1,IF(COUNTIFS($C$2:C118,C118,$U$2:U118,1)=1,1,0),0)</f>
        <v>1</v>
      </c>
    </row>
    <row r="119" spans="1:22" x14ac:dyDescent="0.35">
      <c r="A119">
        <v>10118</v>
      </c>
      <c r="B119" s="1">
        <v>44679</v>
      </c>
      <c r="C119">
        <v>1748</v>
      </c>
      <c r="D119" t="s">
        <v>73</v>
      </c>
      <c r="E119" t="s">
        <v>63</v>
      </c>
      <c r="F119">
        <v>1</v>
      </c>
      <c r="G119" s="2">
        <v>39.78</v>
      </c>
      <c r="H119">
        <v>0.28000000000000003</v>
      </c>
      <c r="I119" t="s">
        <v>68</v>
      </c>
      <c r="J119">
        <v>2</v>
      </c>
      <c r="K119">
        <v>4.2</v>
      </c>
      <c r="L119" s="2">
        <v>28.64</v>
      </c>
      <c r="M119">
        <v>2022</v>
      </c>
      <c r="N119">
        <v>4</v>
      </c>
      <c r="O119" t="s">
        <v>83</v>
      </c>
      <c r="P119" s="2">
        <v>39.78</v>
      </c>
      <c r="Q119" s="2">
        <v>11.14</v>
      </c>
      <c r="R119" t="s">
        <v>66</v>
      </c>
      <c r="S119">
        <v>0</v>
      </c>
      <c r="T119">
        <v>0</v>
      </c>
      <c r="U119">
        <f>IF(AND(OR(Dashboard!$D$4="Semua",D119=Dashboard!$D$4),OR(Dashboard!$H$4="Semua",E119=Dashboard!$H$4)),1,0)</f>
        <v>1</v>
      </c>
      <c r="V119">
        <f>IF(U119=1,IF(COUNTIFS($C$2:C119,C119,$U$2:U119,1)=1,1,0),0)</f>
        <v>1</v>
      </c>
    </row>
    <row r="120" spans="1:22" x14ac:dyDescent="0.35">
      <c r="A120">
        <v>10119</v>
      </c>
      <c r="B120" s="1">
        <v>44680</v>
      </c>
      <c r="C120">
        <v>1337</v>
      </c>
      <c r="D120" t="s">
        <v>67</v>
      </c>
      <c r="E120" t="s">
        <v>63</v>
      </c>
      <c r="F120">
        <v>6</v>
      </c>
      <c r="G120" s="2">
        <v>409.26</v>
      </c>
      <c r="H120">
        <v>0.33</v>
      </c>
      <c r="I120" t="s">
        <v>71</v>
      </c>
      <c r="J120">
        <v>10</v>
      </c>
      <c r="K120">
        <v>4.7</v>
      </c>
      <c r="L120" s="2">
        <v>1645.23</v>
      </c>
      <c r="M120">
        <v>2022</v>
      </c>
      <c r="N120">
        <v>4</v>
      </c>
      <c r="O120" t="s">
        <v>83</v>
      </c>
      <c r="P120" s="2">
        <v>2455.56</v>
      </c>
      <c r="Q120" s="2">
        <v>810.33</v>
      </c>
      <c r="R120" t="s">
        <v>72</v>
      </c>
      <c r="S120">
        <v>0</v>
      </c>
      <c r="T120">
        <v>0</v>
      </c>
      <c r="U120">
        <f>IF(AND(OR(Dashboard!$D$4="Semua",D120=Dashboard!$D$4),OR(Dashboard!$H$4="Semua",E120=Dashboard!$H$4)),1,0)</f>
        <v>1</v>
      </c>
      <c r="V120">
        <f>IF(U120=1,IF(COUNTIFS($C$2:C120,C120,$U$2:U120,1)=1,1,0),0)</f>
        <v>1</v>
      </c>
    </row>
    <row r="121" spans="1:22" x14ac:dyDescent="0.35">
      <c r="A121">
        <v>10120</v>
      </c>
      <c r="B121" s="1">
        <v>44681</v>
      </c>
      <c r="C121">
        <v>1878</v>
      </c>
      <c r="D121" t="s">
        <v>67</v>
      </c>
      <c r="E121" t="s">
        <v>78</v>
      </c>
      <c r="F121">
        <v>4</v>
      </c>
      <c r="G121" s="2">
        <v>329.34</v>
      </c>
      <c r="H121">
        <v>0.16</v>
      </c>
      <c r="I121" t="s">
        <v>71</v>
      </c>
      <c r="J121">
        <v>7</v>
      </c>
      <c r="K121">
        <v>3.2</v>
      </c>
      <c r="L121" s="2">
        <v>1106.58</v>
      </c>
      <c r="M121">
        <v>2022</v>
      </c>
      <c r="N121">
        <v>4</v>
      </c>
      <c r="O121" t="s">
        <v>83</v>
      </c>
      <c r="P121" s="2">
        <v>1317.36</v>
      </c>
      <c r="Q121" s="2">
        <v>210.78</v>
      </c>
      <c r="R121" t="s">
        <v>76</v>
      </c>
      <c r="S121">
        <v>0</v>
      </c>
      <c r="T121">
        <v>0</v>
      </c>
      <c r="U121">
        <f>IF(AND(OR(Dashboard!$D$4="Semua",D121=Dashboard!$D$4),OR(Dashboard!$H$4="Semua",E121=Dashboard!$H$4)),1,0)</f>
        <v>1</v>
      </c>
      <c r="V121">
        <f>IF(U121=1,IF(COUNTIFS($C$2:C121,C121,$U$2:U121,1)=1,1,0),0)</f>
        <v>1</v>
      </c>
    </row>
    <row r="122" spans="1:22" x14ac:dyDescent="0.35">
      <c r="A122">
        <v>10121</v>
      </c>
      <c r="B122" s="1">
        <v>44682</v>
      </c>
      <c r="C122">
        <v>1052</v>
      </c>
      <c r="D122" t="s">
        <v>67</v>
      </c>
      <c r="E122" t="s">
        <v>70</v>
      </c>
      <c r="F122">
        <v>6</v>
      </c>
      <c r="G122" s="2">
        <v>274.82</v>
      </c>
      <c r="H122">
        <v>0.25</v>
      </c>
      <c r="I122" t="s">
        <v>71</v>
      </c>
      <c r="J122">
        <v>5</v>
      </c>
      <c r="K122">
        <v>3.7</v>
      </c>
      <c r="L122" s="2">
        <v>1236.69</v>
      </c>
      <c r="M122">
        <v>2022</v>
      </c>
      <c r="N122">
        <v>5</v>
      </c>
      <c r="O122" t="s">
        <v>84</v>
      </c>
      <c r="P122" s="2">
        <v>1648.92</v>
      </c>
      <c r="Q122" s="2">
        <v>412.23</v>
      </c>
      <c r="R122" t="s">
        <v>77</v>
      </c>
      <c r="S122">
        <v>0</v>
      </c>
      <c r="T122">
        <v>0</v>
      </c>
      <c r="U122">
        <f>IF(AND(OR(Dashboard!$D$4="Semua",D122=Dashboard!$D$4),OR(Dashboard!$H$4="Semua",E122=Dashboard!$H$4)),1,0)</f>
        <v>1</v>
      </c>
      <c r="V122">
        <f>IF(U122=1,IF(COUNTIFS($C$2:C122,C122,$U$2:U122,1)=1,1,0),0)</f>
        <v>1</v>
      </c>
    </row>
    <row r="123" spans="1:22" x14ac:dyDescent="0.35">
      <c r="A123">
        <v>10122</v>
      </c>
      <c r="B123" s="1">
        <v>44683</v>
      </c>
      <c r="C123">
        <v>1791</v>
      </c>
      <c r="D123" t="s">
        <v>67</v>
      </c>
      <c r="E123" t="s">
        <v>70</v>
      </c>
      <c r="F123">
        <v>7</v>
      </c>
      <c r="G123" s="2">
        <v>386.15</v>
      </c>
      <c r="H123">
        <v>0.26</v>
      </c>
      <c r="I123" t="s">
        <v>68</v>
      </c>
      <c r="J123">
        <v>1</v>
      </c>
      <c r="K123">
        <v>1.7</v>
      </c>
      <c r="L123" s="2">
        <v>2000.26</v>
      </c>
      <c r="M123">
        <v>2022</v>
      </c>
      <c r="N123">
        <v>5</v>
      </c>
      <c r="O123" t="s">
        <v>84</v>
      </c>
      <c r="P123" s="2">
        <v>2703.05</v>
      </c>
      <c r="Q123" s="2">
        <v>702.79</v>
      </c>
      <c r="R123" t="s">
        <v>66</v>
      </c>
      <c r="S123">
        <v>0</v>
      </c>
      <c r="T123">
        <v>0</v>
      </c>
      <c r="U123">
        <f>IF(AND(OR(Dashboard!$D$4="Semua",D123=Dashboard!$D$4),OR(Dashboard!$H$4="Semua",E123=Dashboard!$H$4)),1,0)</f>
        <v>1</v>
      </c>
      <c r="V123">
        <f>IF(U123=1,IF(COUNTIFS($C$2:C123,C123,$U$2:U123,1)=1,1,0),0)</f>
        <v>1</v>
      </c>
    </row>
    <row r="124" spans="1:22" x14ac:dyDescent="0.35">
      <c r="A124">
        <v>10123</v>
      </c>
      <c r="B124" s="1">
        <v>44684</v>
      </c>
      <c r="C124">
        <v>1921</v>
      </c>
      <c r="D124" t="s">
        <v>67</v>
      </c>
      <c r="E124" t="s">
        <v>74</v>
      </c>
      <c r="F124">
        <v>7</v>
      </c>
      <c r="G124" s="2">
        <v>499.19</v>
      </c>
      <c r="H124">
        <v>0.23</v>
      </c>
      <c r="I124" t="s">
        <v>64</v>
      </c>
      <c r="J124">
        <v>10</v>
      </c>
      <c r="K124">
        <v>4</v>
      </c>
      <c r="L124" s="2">
        <v>2690.63</v>
      </c>
      <c r="M124">
        <v>2022</v>
      </c>
      <c r="N124">
        <v>5</v>
      </c>
      <c r="O124" t="s">
        <v>84</v>
      </c>
      <c r="P124" s="2">
        <v>3494.33</v>
      </c>
      <c r="Q124" s="2">
        <v>803.7</v>
      </c>
      <c r="R124" t="s">
        <v>77</v>
      </c>
      <c r="S124">
        <v>0</v>
      </c>
      <c r="T124">
        <v>0</v>
      </c>
      <c r="U124">
        <f>IF(AND(OR(Dashboard!$D$4="Semua",D124=Dashboard!$D$4),OR(Dashboard!$H$4="Semua",E124=Dashboard!$H$4)),1,0)</f>
        <v>1</v>
      </c>
      <c r="V124">
        <f>IF(U124=1,IF(COUNTIFS($C$2:C124,C124,$U$2:U124,1)=1,1,0),0)</f>
        <v>1</v>
      </c>
    </row>
    <row r="125" spans="1:22" x14ac:dyDescent="0.35">
      <c r="A125">
        <v>10124</v>
      </c>
      <c r="B125" s="1">
        <v>44685</v>
      </c>
      <c r="C125">
        <v>1216</v>
      </c>
      <c r="D125" t="s">
        <v>73</v>
      </c>
      <c r="E125" t="s">
        <v>78</v>
      </c>
      <c r="F125">
        <v>2</v>
      </c>
      <c r="G125" s="2">
        <v>265.2</v>
      </c>
      <c r="H125">
        <v>0.19</v>
      </c>
      <c r="I125" t="s">
        <v>64</v>
      </c>
      <c r="J125">
        <v>8</v>
      </c>
      <c r="K125">
        <v>1.9</v>
      </c>
      <c r="L125" s="2">
        <v>429.62</v>
      </c>
      <c r="M125">
        <v>2022</v>
      </c>
      <c r="N125">
        <v>5</v>
      </c>
      <c r="O125" t="s">
        <v>84</v>
      </c>
      <c r="P125" s="2">
        <v>530.4</v>
      </c>
      <c r="Q125" s="2">
        <v>100.78</v>
      </c>
      <c r="R125" t="s">
        <v>76</v>
      </c>
      <c r="S125">
        <v>0</v>
      </c>
      <c r="T125">
        <v>0</v>
      </c>
      <c r="U125">
        <f>IF(AND(OR(Dashboard!$D$4="Semua",D125=Dashboard!$D$4),OR(Dashboard!$H$4="Semua",E125=Dashboard!$H$4)),1,0)</f>
        <v>1</v>
      </c>
      <c r="V125">
        <f>IF(U125=1,IF(COUNTIFS($C$2:C125,C125,$U$2:U125,1)=1,1,0),0)</f>
        <v>1</v>
      </c>
    </row>
    <row r="126" spans="1:22" x14ac:dyDescent="0.35">
      <c r="A126">
        <v>10125</v>
      </c>
      <c r="B126" s="1">
        <v>44686</v>
      </c>
      <c r="C126">
        <v>1763</v>
      </c>
      <c r="D126" t="s">
        <v>67</v>
      </c>
      <c r="E126" t="s">
        <v>78</v>
      </c>
      <c r="F126">
        <v>5</v>
      </c>
      <c r="G126" s="2">
        <v>390.05</v>
      </c>
      <c r="H126">
        <v>0.31</v>
      </c>
      <c r="I126" t="s">
        <v>68</v>
      </c>
      <c r="J126">
        <v>3</v>
      </c>
      <c r="K126">
        <v>1.6</v>
      </c>
      <c r="L126" s="2">
        <v>1345.67</v>
      </c>
      <c r="M126">
        <v>2022</v>
      </c>
      <c r="N126">
        <v>5</v>
      </c>
      <c r="O126" t="s">
        <v>84</v>
      </c>
      <c r="P126" s="2">
        <v>1950.25</v>
      </c>
      <c r="Q126" s="2">
        <v>604.58000000000004</v>
      </c>
      <c r="R126" t="s">
        <v>72</v>
      </c>
      <c r="S126">
        <v>0</v>
      </c>
      <c r="T126">
        <v>0</v>
      </c>
      <c r="U126">
        <f>IF(AND(OR(Dashboard!$D$4="Semua",D126=Dashboard!$D$4),OR(Dashboard!$H$4="Semua",E126=Dashboard!$H$4)),1,0)</f>
        <v>1</v>
      </c>
      <c r="V126">
        <f>IF(U126=1,IF(COUNTIFS($C$2:C126,C126,$U$2:U126,1)=1,1,0),0)</f>
        <v>1</v>
      </c>
    </row>
    <row r="127" spans="1:22" x14ac:dyDescent="0.35">
      <c r="A127">
        <v>10126</v>
      </c>
      <c r="B127" s="1">
        <v>44687</v>
      </c>
      <c r="C127">
        <v>1187</v>
      </c>
      <c r="D127" t="s">
        <v>62</v>
      </c>
      <c r="E127" t="s">
        <v>74</v>
      </c>
      <c r="F127">
        <v>6</v>
      </c>
      <c r="G127" s="2">
        <v>572.84</v>
      </c>
      <c r="H127">
        <v>0.16</v>
      </c>
      <c r="I127" t="s">
        <v>71</v>
      </c>
      <c r="J127">
        <v>11</v>
      </c>
      <c r="K127">
        <v>1.2</v>
      </c>
      <c r="L127" s="2">
        <v>2887.11</v>
      </c>
      <c r="M127">
        <v>2022</v>
      </c>
      <c r="N127">
        <v>5</v>
      </c>
      <c r="O127" t="s">
        <v>84</v>
      </c>
      <c r="P127" s="2">
        <v>3437.04</v>
      </c>
      <c r="Q127" s="2">
        <v>549.92999999999995</v>
      </c>
      <c r="R127" t="s">
        <v>76</v>
      </c>
      <c r="S127">
        <v>0</v>
      </c>
      <c r="T127">
        <v>0</v>
      </c>
      <c r="U127">
        <f>IF(AND(OR(Dashboard!$D$4="Semua",D127=Dashboard!$D$4),OR(Dashboard!$H$4="Semua",E127=Dashboard!$H$4)),1,0)</f>
        <v>1</v>
      </c>
      <c r="V127">
        <f>IF(U127=1,IF(COUNTIFS($C$2:C127,C127,$U$2:U127,1)=1,1,0),0)</f>
        <v>1</v>
      </c>
    </row>
    <row r="128" spans="1:22" x14ac:dyDescent="0.35">
      <c r="A128">
        <v>10127</v>
      </c>
      <c r="B128" s="1">
        <v>44688</v>
      </c>
      <c r="C128">
        <v>1379</v>
      </c>
      <c r="D128" t="s">
        <v>67</v>
      </c>
      <c r="E128" t="s">
        <v>63</v>
      </c>
      <c r="F128">
        <v>7</v>
      </c>
      <c r="G128" s="2">
        <v>506.18</v>
      </c>
      <c r="H128">
        <v>0.02</v>
      </c>
      <c r="I128" t="s">
        <v>64</v>
      </c>
      <c r="J128">
        <v>7</v>
      </c>
      <c r="K128">
        <v>2.9</v>
      </c>
      <c r="L128" s="2">
        <v>3472.39</v>
      </c>
      <c r="M128">
        <v>2022</v>
      </c>
      <c r="N128">
        <v>5</v>
      </c>
      <c r="O128" t="s">
        <v>84</v>
      </c>
      <c r="P128" s="2">
        <v>3543.26</v>
      </c>
      <c r="Q128" s="2">
        <v>70.87</v>
      </c>
      <c r="R128" t="s">
        <v>75</v>
      </c>
      <c r="S128">
        <v>0</v>
      </c>
      <c r="T128">
        <v>1</v>
      </c>
      <c r="U128">
        <f>IF(AND(OR(Dashboard!$D$4="Semua",D128=Dashboard!$D$4),OR(Dashboard!$H$4="Semua",E128=Dashboard!$H$4)),1,0)</f>
        <v>1</v>
      </c>
      <c r="V128">
        <f>IF(U128=1,IF(COUNTIFS($C$2:C128,C128,$U$2:U128,1)=1,1,0),0)</f>
        <v>1</v>
      </c>
    </row>
    <row r="129" spans="1:22" x14ac:dyDescent="0.35">
      <c r="A129">
        <v>10128</v>
      </c>
      <c r="B129" s="1">
        <v>44689</v>
      </c>
      <c r="C129">
        <v>1492</v>
      </c>
      <c r="D129" t="s">
        <v>80</v>
      </c>
      <c r="E129" t="s">
        <v>63</v>
      </c>
      <c r="F129">
        <v>5</v>
      </c>
      <c r="G129" s="2">
        <v>264.20999999999998</v>
      </c>
      <c r="H129">
        <v>0.3</v>
      </c>
      <c r="I129" t="s">
        <v>71</v>
      </c>
      <c r="J129">
        <v>6</v>
      </c>
      <c r="K129">
        <v>2.1</v>
      </c>
      <c r="L129" s="2">
        <v>924.73</v>
      </c>
      <c r="M129">
        <v>2022</v>
      </c>
      <c r="N129">
        <v>5</v>
      </c>
      <c r="O129" t="s">
        <v>84</v>
      </c>
      <c r="P129" s="2">
        <v>1321.05</v>
      </c>
      <c r="Q129" s="2">
        <v>396.32</v>
      </c>
      <c r="R129" t="s">
        <v>66</v>
      </c>
      <c r="S129">
        <v>0</v>
      </c>
      <c r="T129">
        <v>0</v>
      </c>
      <c r="U129">
        <f>IF(AND(OR(Dashboard!$D$4="Semua",D129=Dashboard!$D$4),OR(Dashboard!$H$4="Semua",E129=Dashboard!$H$4)),1,0)</f>
        <v>1</v>
      </c>
      <c r="V129">
        <f>IF(U129=1,IF(COUNTIFS($C$2:C129,C129,$U$2:U129,1)=1,1,0),0)</f>
        <v>1</v>
      </c>
    </row>
    <row r="130" spans="1:22" x14ac:dyDescent="0.35">
      <c r="A130">
        <v>10129</v>
      </c>
      <c r="B130" s="1">
        <v>44690</v>
      </c>
      <c r="C130">
        <v>1040</v>
      </c>
      <c r="D130" t="s">
        <v>73</v>
      </c>
      <c r="E130" t="s">
        <v>70</v>
      </c>
      <c r="F130">
        <v>4</v>
      </c>
      <c r="G130" s="2">
        <v>392.16</v>
      </c>
      <c r="H130">
        <v>0.24</v>
      </c>
      <c r="I130" t="s">
        <v>68</v>
      </c>
      <c r="J130">
        <v>10</v>
      </c>
      <c r="K130">
        <v>4.9000000000000004</v>
      </c>
      <c r="L130" s="2">
        <v>1192.17</v>
      </c>
      <c r="M130">
        <v>2022</v>
      </c>
      <c r="N130">
        <v>5</v>
      </c>
      <c r="O130" t="s">
        <v>84</v>
      </c>
      <c r="P130" s="2">
        <v>1568.64</v>
      </c>
      <c r="Q130" s="2">
        <v>376.47</v>
      </c>
      <c r="R130" t="s">
        <v>77</v>
      </c>
      <c r="S130">
        <v>0</v>
      </c>
      <c r="T130">
        <v>0</v>
      </c>
      <c r="U130">
        <f>IF(AND(OR(Dashboard!$D$4="Semua",D130=Dashboard!$D$4),OR(Dashboard!$H$4="Semua",E130=Dashboard!$H$4)),1,0)</f>
        <v>1</v>
      </c>
      <c r="V130">
        <f>IF(U130=1,IF(COUNTIFS($C$2:C130,C130,$U$2:U130,1)=1,1,0),0)</f>
        <v>1</v>
      </c>
    </row>
    <row r="131" spans="1:22" x14ac:dyDescent="0.35">
      <c r="A131">
        <v>10130</v>
      </c>
      <c r="B131" s="1">
        <v>44691</v>
      </c>
      <c r="C131">
        <v>1156</v>
      </c>
      <c r="D131" t="s">
        <v>80</v>
      </c>
      <c r="E131" t="s">
        <v>78</v>
      </c>
      <c r="F131">
        <v>5</v>
      </c>
      <c r="G131" s="2">
        <v>118.59</v>
      </c>
      <c r="H131">
        <v>0.3</v>
      </c>
      <c r="I131" t="s">
        <v>71</v>
      </c>
      <c r="J131">
        <v>6</v>
      </c>
      <c r="K131">
        <v>2</v>
      </c>
      <c r="L131" s="2">
        <v>415.06</v>
      </c>
      <c r="M131">
        <v>2022</v>
      </c>
      <c r="N131">
        <v>5</v>
      </c>
      <c r="O131" t="s">
        <v>84</v>
      </c>
      <c r="P131" s="2">
        <v>592.95000000000005</v>
      </c>
      <c r="Q131" s="2">
        <v>177.89</v>
      </c>
      <c r="R131" t="s">
        <v>66</v>
      </c>
      <c r="S131">
        <v>0</v>
      </c>
      <c r="T131">
        <v>0</v>
      </c>
      <c r="U131">
        <f>IF(AND(OR(Dashboard!$D$4="Semua",D131=Dashboard!$D$4),OR(Dashboard!$H$4="Semua",E131=Dashboard!$H$4)),1,0)</f>
        <v>1</v>
      </c>
      <c r="V131">
        <f>IF(U131=1,IF(COUNTIFS($C$2:C131,C131,$U$2:U131,1)=1,1,0),0)</f>
        <v>1</v>
      </c>
    </row>
    <row r="132" spans="1:22" x14ac:dyDescent="0.35">
      <c r="A132">
        <v>10131</v>
      </c>
      <c r="B132" s="1">
        <v>44692</v>
      </c>
      <c r="C132">
        <v>1014</v>
      </c>
      <c r="D132" t="s">
        <v>80</v>
      </c>
      <c r="E132" t="s">
        <v>63</v>
      </c>
      <c r="F132">
        <v>5</v>
      </c>
      <c r="G132" s="2">
        <v>342.91</v>
      </c>
      <c r="H132">
        <v>0.05</v>
      </c>
      <c r="I132" t="s">
        <v>71</v>
      </c>
      <c r="J132">
        <v>8</v>
      </c>
      <c r="K132">
        <v>4.5</v>
      </c>
      <c r="L132" s="2">
        <v>1628.82</v>
      </c>
      <c r="M132">
        <v>2022</v>
      </c>
      <c r="N132">
        <v>5</v>
      </c>
      <c r="O132" t="s">
        <v>84</v>
      </c>
      <c r="P132" s="2">
        <v>1714.55</v>
      </c>
      <c r="Q132" s="2">
        <v>85.73</v>
      </c>
      <c r="R132" t="s">
        <v>75</v>
      </c>
      <c r="S132">
        <v>0</v>
      </c>
      <c r="T132">
        <v>0</v>
      </c>
      <c r="U132">
        <f>IF(AND(OR(Dashboard!$D$4="Semua",D132=Dashboard!$D$4),OR(Dashboard!$H$4="Semua",E132=Dashboard!$H$4)),1,0)</f>
        <v>1</v>
      </c>
      <c r="V132">
        <f>IF(U132=1,IF(COUNTIFS($C$2:C132,C132,$U$2:U132,1)=1,1,0),0)</f>
        <v>1</v>
      </c>
    </row>
    <row r="133" spans="1:22" x14ac:dyDescent="0.35">
      <c r="A133">
        <v>10132</v>
      </c>
      <c r="B133" s="1">
        <v>44693</v>
      </c>
      <c r="C133">
        <v>1812</v>
      </c>
      <c r="D133" t="s">
        <v>67</v>
      </c>
      <c r="E133" t="s">
        <v>70</v>
      </c>
      <c r="F133">
        <v>4</v>
      </c>
      <c r="G133" s="2">
        <v>589.08000000000004</v>
      </c>
      <c r="H133">
        <v>0.01</v>
      </c>
      <c r="I133" t="s">
        <v>68</v>
      </c>
      <c r="J133">
        <v>4</v>
      </c>
      <c r="K133">
        <v>2.2999999999999998</v>
      </c>
      <c r="L133" s="2">
        <v>2332.7600000000002</v>
      </c>
      <c r="M133">
        <v>2022</v>
      </c>
      <c r="N133">
        <v>5</v>
      </c>
      <c r="O133" t="s">
        <v>84</v>
      </c>
      <c r="P133" s="2">
        <v>2356.3200000000002</v>
      </c>
      <c r="Q133" s="2">
        <v>23.56</v>
      </c>
      <c r="R133" t="s">
        <v>75</v>
      </c>
      <c r="S133">
        <v>0</v>
      </c>
      <c r="T133">
        <v>0</v>
      </c>
      <c r="U133">
        <f>IF(AND(OR(Dashboard!$D$4="Semua",D133=Dashboard!$D$4),OR(Dashboard!$H$4="Semua",E133=Dashboard!$H$4)),1,0)</f>
        <v>1</v>
      </c>
      <c r="V133">
        <f>IF(U133=1,IF(COUNTIFS($C$2:C133,C133,$U$2:U133,1)=1,1,0),0)</f>
        <v>1</v>
      </c>
    </row>
    <row r="134" spans="1:22" x14ac:dyDescent="0.35">
      <c r="A134">
        <v>10133</v>
      </c>
      <c r="B134" s="1">
        <v>44694</v>
      </c>
      <c r="C134">
        <v>1064</v>
      </c>
      <c r="D134" t="s">
        <v>62</v>
      </c>
      <c r="E134" t="s">
        <v>70</v>
      </c>
      <c r="F134">
        <v>6</v>
      </c>
      <c r="G134" s="2">
        <v>318.20999999999998</v>
      </c>
      <c r="H134">
        <v>0.33</v>
      </c>
      <c r="I134" t="s">
        <v>64</v>
      </c>
      <c r="J134">
        <v>4</v>
      </c>
      <c r="K134">
        <v>4</v>
      </c>
      <c r="L134" s="2">
        <v>1279.2</v>
      </c>
      <c r="M134">
        <v>2022</v>
      </c>
      <c r="N134">
        <v>5</v>
      </c>
      <c r="O134" t="s">
        <v>84</v>
      </c>
      <c r="P134" s="2">
        <v>1909.26</v>
      </c>
      <c r="Q134" s="2">
        <v>630.05999999999995</v>
      </c>
      <c r="R134" t="s">
        <v>72</v>
      </c>
      <c r="S134">
        <v>0</v>
      </c>
      <c r="T134">
        <v>0</v>
      </c>
      <c r="U134">
        <f>IF(AND(OR(Dashboard!$D$4="Semua",D134=Dashboard!$D$4),OR(Dashboard!$H$4="Semua",E134=Dashboard!$H$4)),1,0)</f>
        <v>1</v>
      </c>
      <c r="V134">
        <f>IF(U134=1,IF(COUNTIFS($C$2:C134,C134,$U$2:U134,1)=1,1,0),0)</f>
        <v>1</v>
      </c>
    </row>
    <row r="135" spans="1:22" x14ac:dyDescent="0.35">
      <c r="A135">
        <v>10134</v>
      </c>
      <c r="B135" s="1">
        <v>44695</v>
      </c>
      <c r="C135">
        <v>1856</v>
      </c>
      <c r="D135" t="s">
        <v>73</v>
      </c>
      <c r="E135" t="s">
        <v>70</v>
      </c>
      <c r="F135">
        <v>4</v>
      </c>
      <c r="G135" s="2">
        <v>557.66999999999996</v>
      </c>
      <c r="H135">
        <v>0.05</v>
      </c>
      <c r="I135" t="s">
        <v>71</v>
      </c>
      <c r="J135">
        <v>3</v>
      </c>
      <c r="K135">
        <v>3.6</v>
      </c>
      <c r="L135" s="2">
        <v>2119.15</v>
      </c>
      <c r="M135">
        <v>2022</v>
      </c>
      <c r="N135">
        <v>5</v>
      </c>
      <c r="O135" t="s">
        <v>84</v>
      </c>
      <c r="P135" s="2">
        <v>2230.6799999999998</v>
      </c>
      <c r="Q135" s="2">
        <v>111.53</v>
      </c>
      <c r="R135" t="s">
        <v>75</v>
      </c>
      <c r="S135">
        <v>0</v>
      </c>
      <c r="T135">
        <v>0</v>
      </c>
      <c r="U135">
        <f>IF(AND(OR(Dashboard!$D$4="Semua",D135=Dashboard!$D$4),OR(Dashboard!$H$4="Semua",E135=Dashboard!$H$4)),1,0)</f>
        <v>1</v>
      </c>
      <c r="V135">
        <f>IF(U135=1,IF(COUNTIFS($C$2:C135,C135,$U$2:U135,1)=1,1,0),0)</f>
        <v>0</v>
      </c>
    </row>
    <row r="136" spans="1:22" x14ac:dyDescent="0.35">
      <c r="A136">
        <v>10135</v>
      </c>
      <c r="B136" s="1">
        <v>44696</v>
      </c>
      <c r="C136">
        <v>1838</v>
      </c>
      <c r="D136" t="s">
        <v>73</v>
      </c>
      <c r="E136" t="s">
        <v>63</v>
      </c>
      <c r="F136">
        <v>2</v>
      </c>
      <c r="G136" s="2">
        <v>253.29</v>
      </c>
      <c r="H136">
        <v>0.28000000000000003</v>
      </c>
      <c r="I136" t="s">
        <v>68</v>
      </c>
      <c r="J136">
        <v>1</v>
      </c>
      <c r="K136">
        <v>3.2</v>
      </c>
      <c r="L136" s="2">
        <v>364.74</v>
      </c>
      <c r="M136">
        <v>2022</v>
      </c>
      <c r="N136">
        <v>5</v>
      </c>
      <c r="O136" t="s">
        <v>84</v>
      </c>
      <c r="P136" s="2">
        <v>506.58</v>
      </c>
      <c r="Q136" s="2">
        <v>141.84</v>
      </c>
      <c r="R136" t="s">
        <v>66</v>
      </c>
      <c r="S136">
        <v>0</v>
      </c>
      <c r="T136">
        <v>0</v>
      </c>
      <c r="U136">
        <f>IF(AND(OR(Dashboard!$D$4="Semua",D136=Dashboard!$D$4),OR(Dashboard!$H$4="Semua",E136=Dashboard!$H$4)),1,0)</f>
        <v>1</v>
      </c>
      <c r="V136">
        <f>IF(U136=1,IF(COUNTIFS($C$2:C136,C136,$U$2:U136,1)=1,1,0),0)</f>
        <v>1</v>
      </c>
    </row>
    <row r="137" spans="1:22" x14ac:dyDescent="0.35">
      <c r="A137">
        <v>10136</v>
      </c>
      <c r="B137" s="1">
        <v>44697</v>
      </c>
      <c r="C137">
        <v>1520</v>
      </c>
      <c r="D137" t="s">
        <v>80</v>
      </c>
      <c r="E137" t="s">
        <v>63</v>
      </c>
      <c r="F137">
        <v>3</v>
      </c>
      <c r="G137" s="2">
        <v>599.32000000000005</v>
      </c>
      <c r="H137">
        <v>0.28999999999999998</v>
      </c>
      <c r="I137" t="s">
        <v>71</v>
      </c>
      <c r="J137">
        <v>10</v>
      </c>
      <c r="K137">
        <v>2.7</v>
      </c>
      <c r="L137" s="2">
        <v>1276.55</v>
      </c>
      <c r="M137">
        <v>2022</v>
      </c>
      <c r="N137">
        <v>5</v>
      </c>
      <c r="O137" t="s">
        <v>84</v>
      </c>
      <c r="P137" s="2">
        <v>1797.96</v>
      </c>
      <c r="Q137" s="2">
        <v>521.41</v>
      </c>
      <c r="R137" t="s">
        <v>66</v>
      </c>
      <c r="S137">
        <v>0</v>
      </c>
      <c r="T137">
        <v>0</v>
      </c>
      <c r="U137">
        <f>IF(AND(OR(Dashboard!$D$4="Semua",D137=Dashboard!$D$4),OR(Dashboard!$H$4="Semua",E137=Dashboard!$H$4)),1,0)</f>
        <v>1</v>
      </c>
      <c r="V137">
        <f>IF(U137=1,IF(COUNTIFS($C$2:C137,C137,$U$2:U137,1)=1,1,0),0)</f>
        <v>1</v>
      </c>
    </row>
    <row r="138" spans="1:22" x14ac:dyDescent="0.35">
      <c r="A138">
        <v>10137</v>
      </c>
      <c r="B138" s="1">
        <v>44698</v>
      </c>
      <c r="C138">
        <v>1343</v>
      </c>
      <c r="D138" t="s">
        <v>80</v>
      </c>
      <c r="E138" t="s">
        <v>78</v>
      </c>
      <c r="F138">
        <v>1</v>
      </c>
      <c r="G138" s="2">
        <v>353.84</v>
      </c>
      <c r="H138">
        <v>0.25</v>
      </c>
      <c r="I138" t="s">
        <v>71</v>
      </c>
      <c r="J138">
        <v>3</v>
      </c>
      <c r="K138">
        <v>3.7</v>
      </c>
      <c r="L138" s="2">
        <v>265.38</v>
      </c>
      <c r="M138">
        <v>2022</v>
      </c>
      <c r="N138">
        <v>5</v>
      </c>
      <c r="O138" t="s">
        <v>84</v>
      </c>
      <c r="P138" s="2">
        <v>353.84</v>
      </c>
      <c r="Q138" s="2">
        <v>88.46</v>
      </c>
      <c r="R138" t="s">
        <v>77</v>
      </c>
      <c r="S138">
        <v>0</v>
      </c>
      <c r="T138">
        <v>0</v>
      </c>
      <c r="U138">
        <f>IF(AND(OR(Dashboard!$D$4="Semua",D138=Dashboard!$D$4),OR(Dashboard!$H$4="Semua",E138=Dashboard!$H$4)),1,0)</f>
        <v>1</v>
      </c>
      <c r="V138">
        <f>IF(U138=1,IF(COUNTIFS($C$2:C138,C138,$U$2:U138,1)=1,1,0),0)</f>
        <v>0</v>
      </c>
    </row>
    <row r="139" spans="1:22" x14ac:dyDescent="0.35">
      <c r="A139">
        <v>10138</v>
      </c>
      <c r="B139" s="1">
        <v>44699</v>
      </c>
      <c r="C139">
        <v>1128</v>
      </c>
      <c r="D139" t="s">
        <v>73</v>
      </c>
      <c r="E139" t="s">
        <v>78</v>
      </c>
      <c r="F139">
        <v>4</v>
      </c>
      <c r="G139" s="2">
        <v>39.729999999999997</v>
      </c>
      <c r="H139">
        <v>0.05</v>
      </c>
      <c r="I139" t="s">
        <v>68</v>
      </c>
      <c r="J139">
        <v>1</v>
      </c>
      <c r="K139">
        <v>2.6</v>
      </c>
      <c r="L139" s="2">
        <v>150.97</v>
      </c>
      <c r="M139">
        <v>2022</v>
      </c>
      <c r="N139">
        <v>5</v>
      </c>
      <c r="O139" t="s">
        <v>84</v>
      </c>
      <c r="P139" s="2">
        <v>158.91999999999999</v>
      </c>
      <c r="Q139" s="2">
        <v>7.95</v>
      </c>
      <c r="R139" t="s">
        <v>75</v>
      </c>
      <c r="S139">
        <v>0</v>
      </c>
      <c r="T139">
        <v>0</v>
      </c>
      <c r="U139">
        <f>IF(AND(OR(Dashboard!$D$4="Semua",D139=Dashboard!$D$4),OR(Dashboard!$H$4="Semua",E139=Dashboard!$H$4)),1,0)</f>
        <v>1</v>
      </c>
      <c r="V139">
        <f>IF(U139=1,IF(COUNTIFS($C$2:C139,C139,$U$2:U139,1)=1,1,0),0)</f>
        <v>1</v>
      </c>
    </row>
    <row r="140" spans="1:22" x14ac:dyDescent="0.35">
      <c r="A140">
        <v>10139</v>
      </c>
      <c r="B140" s="1">
        <v>44700</v>
      </c>
      <c r="C140">
        <v>1647</v>
      </c>
      <c r="D140" t="s">
        <v>73</v>
      </c>
      <c r="E140" t="s">
        <v>70</v>
      </c>
      <c r="F140">
        <v>4</v>
      </c>
      <c r="G140" s="2">
        <v>358.25</v>
      </c>
      <c r="H140">
        <v>0.23</v>
      </c>
      <c r="I140" t="s">
        <v>68</v>
      </c>
      <c r="J140">
        <v>6</v>
      </c>
      <c r="K140">
        <v>3.2</v>
      </c>
      <c r="L140" s="2">
        <v>1103.4100000000001</v>
      </c>
      <c r="M140">
        <v>2022</v>
      </c>
      <c r="N140">
        <v>5</v>
      </c>
      <c r="O140" t="s">
        <v>84</v>
      </c>
      <c r="P140" s="2">
        <v>1433</v>
      </c>
      <c r="Q140" s="2">
        <v>329.59</v>
      </c>
      <c r="R140" t="s">
        <v>77</v>
      </c>
      <c r="S140">
        <v>0</v>
      </c>
      <c r="T140">
        <v>0</v>
      </c>
      <c r="U140">
        <f>IF(AND(OR(Dashboard!$D$4="Semua",D140=Dashboard!$D$4),OR(Dashboard!$H$4="Semua",E140=Dashboard!$H$4)),1,0)</f>
        <v>1</v>
      </c>
      <c r="V140">
        <f>IF(U140=1,IF(COUNTIFS($C$2:C140,C140,$U$2:U140,1)=1,1,0),0)</f>
        <v>1</v>
      </c>
    </row>
    <row r="141" spans="1:22" x14ac:dyDescent="0.35">
      <c r="A141">
        <v>10140</v>
      </c>
      <c r="B141" s="1">
        <v>44701</v>
      </c>
      <c r="C141">
        <v>1471</v>
      </c>
      <c r="D141" t="s">
        <v>73</v>
      </c>
      <c r="E141" t="s">
        <v>70</v>
      </c>
      <c r="F141">
        <v>5</v>
      </c>
      <c r="G141" s="2">
        <v>175.63</v>
      </c>
      <c r="H141">
        <v>0.31</v>
      </c>
      <c r="I141" t="s">
        <v>64</v>
      </c>
      <c r="J141">
        <v>8</v>
      </c>
      <c r="K141">
        <v>3.4</v>
      </c>
      <c r="L141" s="2">
        <v>605.91999999999996</v>
      </c>
      <c r="M141">
        <v>2022</v>
      </c>
      <c r="N141">
        <v>5</v>
      </c>
      <c r="O141" t="s">
        <v>84</v>
      </c>
      <c r="P141" s="2">
        <v>878.15</v>
      </c>
      <c r="Q141" s="2">
        <v>272.23</v>
      </c>
      <c r="R141" t="s">
        <v>72</v>
      </c>
      <c r="S141">
        <v>0</v>
      </c>
      <c r="T141">
        <v>0</v>
      </c>
      <c r="U141">
        <f>IF(AND(OR(Dashboard!$D$4="Semua",D141=Dashboard!$D$4),OR(Dashboard!$H$4="Semua",E141=Dashboard!$H$4)),1,0)</f>
        <v>1</v>
      </c>
      <c r="V141">
        <f>IF(U141=1,IF(COUNTIFS($C$2:C141,C141,$U$2:U141,1)=1,1,0),0)</f>
        <v>1</v>
      </c>
    </row>
    <row r="142" spans="1:22" x14ac:dyDescent="0.35">
      <c r="A142">
        <v>10141</v>
      </c>
      <c r="B142" s="1">
        <v>44702</v>
      </c>
      <c r="C142">
        <v>1062</v>
      </c>
      <c r="D142" t="s">
        <v>73</v>
      </c>
      <c r="E142" t="s">
        <v>63</v>
      </c>
      <c r="F142">
        <v>2</v>
      </c>
      <c r="G142" s="2">
        <v>34</v>
      </c>
      <c r="H142">
        <v>0.15</v>
      </c>
      <c r="I142" t="s">
        <v>71</v>
      </c>
      <c r="J142">
        <v>3</v>
      </c>
      <c r="K142">
        <v>2.1</v>
      </c>
      <c r="L142" s="2">
        <v>57.8</v>
      </c>
      <c r="M142">
        <v>2022</v>
      </c>
      <c r="N142">
        <v>5</v>
      </c>
      <c r="O142" t="s">
        <v>84</v>
      </c>
      <c r="P142" s="2">
        <v>68</v>
      </c>
      <c r="Q142" s="2">
        <v>10.199999999999999</v>
      </c>
      <c r="R142" t="s">
        <v>79</v>
      </c>
      <c r="S142">
        <v>0</v>
      </c>
      <c r="T142">
        <v>0</v>
      </c>
      <c r="U142">
        <f>IF(AND(OR(Dashboard!$D$4="Semua",D142=Dashboard!$D$4),OR(Dashboard!$H$4="Semua",E142=Dashboard!$H$4)),1,0)</f>
        <v>1</v>
      </c>
      <c r="V142">
        <f>IF(U142=1,IF(COUNTIFS($C$2:C142,C142,$U$2:U142,1)=1,1,0),0)</f>
        <v>1</v>
      </c>
    </row>
    <row r="143" spans="1:22" x14ac:dyDescent="0.35">
      <c r="A143">
        <v>10142</v>
      </c>
      <c r="B143" s="1">
        <v>44703</v>
      </c>
      <c r="C143">
        <v>1138</v>
      </c>
      <c r="D143" t="s">
        <v>80</v>
      </c>
      <c r="E143" t="s">
        <v>63</v>
      </c>
      <c r="F143">
        <v>7</v>
      </c>
      <c r="G143" s="2">
        <v>495.2</v>
      </c>
      <c r="H143">
        <v>0.14000000000000001</v>
      </c>
      <c r="I143" t="s">
        <v>68</v>
      </c>
      <c r="J143">
        <v>4</v>
      </c>
      <c r="K143">
        <v>2.4</v>
      </c>
      <c r="L143" s="2">
        <v>2981.1</v>
      </c>
      <c r="M143">
        <v>2022</v>
      </c>
      <c r="N143">
        <v>5</v>
      </c>
      <c r="O143" t="s">
        <v>84</v>
      </c>
      <c r="P143" s="2">
        <v>3466.4</v>
      </c>
      <c r="Q143" s="2">
        <v>485.3</v>
      </c>
      <c r="R143" t="s">
        <v>79</v>
      </c>
      <c r="S143">
        <v>0</v>
      </c>
      <c r="T143">
        <v>0</v>
      </c>
      <c r="U143">
        <f>IF(AND(OR(Dashboard!$D$4="Semua",D143=Dashboard!$D$4),OR(Dashboard!$H$4="Semua",E143=Dashboard!$H$4)),1,0)</f>
        <v>1</v>
      </c>
      <c r="V143">
        <f>IF(U143=1,IF(COUNTIFS($C$2:C143,C143,$U$2:U143,1)=1,1,0),0)</f>
        <v>1</v>
      </c>
    </row>
    <row r="144" spans="1:22" x14ac:dyDescent="0.35">
      <c r="A144">
        <v>10143</v>
      </c>
      <c r="B144" s="1">
        <v>44704</v>
      </c>
      <c r="C144">
        <v>1498</v>
      </c>
      <c r="D144" t="s">
        <v>67</v>
      </c>
      <c r="E144" t="s">
        <v>78</v>
      </c>
      <c r="F144">
        <v>7</v>
      </c>
      <c r="G144" s="2">
        <v>176.3</v>
      </c>
      <c r="H144">
        <v>0.16</v>
      </c>
      <c r="I144" t="s">
        <v>68</v>
      </c>
      <c r="J144">
        <v>5</v>
      </c>
      <c r="K144">
        <v>1.1000000000000001</v>
      </c>
      <c r="L144" s="2">
        <v>1036.6400000000001</v>
      </c>
      <c r="M144">
        <v>2022</v>
      </c>
      <c r="N144">
        <v>5</v>
      </c>
      <c r="O144" t="s">
        <v>84</v>
      </c>
      <c r="P144" s="2">
        <v>1234.0999999999999</v>
      </c>
      <c r="Q144" s="2">
        <v>197.46</v>
      </c>
      <c r="R144" t="s">
        <v>76</v>
      </c>
      <c r="S144">
        <v>0</v>
      </c>
      <c r="T144">
        <v>0</v>
      </c>
      <c r="U144">
        <f>IF(AND(OR(Dashboard!$D$4="Semua",D144=Dashboard!$D$4),OR(Dashboard!$H$4="Semua",E144=Dashboard!$H$4)),1,0)</f>
        <v>1</v>
      </c>
      <c r="V144">
        <f>IF(U144=1,IF(COUNTIFS($C$2:C144,C144,$U$2:U144,1)=1,1,0),0)</f>
        <v>1</v>
      </c>
    </row>
    <row r="145" spans="1:22" x14ac:dyDescent="0.35">
      <c r="A145">
        <v>10144</v>
      </c>
      <c r="B145" s="1">
        <v>44705</v>
      </c>
      <c r="C145">
        <v>1592</v>
      </c>
      <c r="D145" t="s">
        <v>73</v>
      </c>
      <c r="E145" t="s">
        <v>78</v>
      </c>
      <c r="F145">
        <v>5</v>
      </c>
      <c r="G145" s="2">
        <v>480.98</v>
      </c>
      <c r="H145">
        <v>0.03</v>
      </c>
      <c r="I145" t="s">
        <v>71</v>
      </c>
      <c r="J145">
        <v>7</v>
      </c>
      <c r="K145">
        <v>4.4000000000000004</v>
      </c>
      <c r="L145" s="2">
        <v>2332.75</v>
      </c>
      <c r="M145">
        <v>2022</v>
      </c>
      <c r="N145">
        <v>5</v>
      </c>
      <c r="O145" t="s">
        <v>84</v>
      </c>
      <c r="P145" s="2">
        <v>2404.9</v>
      </c>
      <c r="Q145" s="2">
        <v>72.150000000000006</v>
      </c>
      <c r="R145" t="s">
        <v>75</v>
      </c>
      <c r="S145">
        <v>0</v>
      </c>
      <c r="T145">
        <v>0</v>
      </c>
      <c r="U145">
        <f>IF(AND(OR(Dashboard!$D$4="Semua",D145=Dashboard!$D$4),OR(Dashboard!$H$4="Semua",E145=Dashboard!$H$4)),1,0)</f>
        <v>1</v>
      </c>
      <c r="V145">
        <f>IF(U145=1,IF(COUNTIFS($C$2:C145,C145,$U$2:U145,1)=1,1,0),0)</f>
        <v>1</v>
      </c>
    </row>
    <row r="146" spans="1:22" x14ac:dyDescent="0.35">
      <c r="A146">
        <v>10145</v>
      </c>
      <c r="B146" s="1">
        <v>44706</v>
      </c>
      <c r="C146">
        <v>1391</v>
      </c>
      <c r="D146" t="s">
        <v>67</v>
      </c>
      <c r="E146" t="s">
        <v>74</v>
      </c>
      <c r="F146">
        <v>6</v>
      </c>
      <c r="G146" s="2">
        <v>183.61</v>
      </c>
      <c r="H146">
        <v>0.31</v>
      </c>
      <c r="I146" t="s">
        <v>71</v>
      </c>
      <c r="J146">
        <v>11</v>
      </c>
      <c r="K146">
        <v>4</v>
      </c>
      <c r="L146" s="2">
        <v>760.15</v>
      </c>
      <c r="M146">
        <v>2022</v>
      </c>
      <c r="N146">
        <v>5</v>
      </c>
      <c r="O146" t="s">
        <v>84</v>
      </c>
      <c r="P146" s="2">
        <v>1101.6600000000001</v>
      </c>
      <c r="Q146" s="2">
        <v>341.51</v>
      </c>
      <c r="R146" t="s">
        <v>72</v>
      </c>
      <c r="S146">
        <v>0</v>
      </c>
      <c r="T146">
        <v>0</v>
      </c>
      <c r="U146">
        <f>IF(AND(OR(Dashboard!$D$4="Semua",D146=Dashboard!$D$4),OR(Dashboard!$H$4="Semua",E146=Dashboard!$H$4)),1,0)</f>
        <v>1</v>
      </c>
      <c r="V146">
        <f>IF(U146=1,IF(COUNTIFS($C$2:C146,C146,$U$2:U146,1)=1,1,0),0)</f>
        <v>1</v>
      </c>
    </row>
    <row r="147" spans="1:22" x14ac:dyDescent="0.35">
      <c r="A147">
        <v>10146</v>
      </c>
      <c r="B147" s="1">
        <v>44707</v>
      </c>
      <c r="C147">
        <v>1674</v>
      </c>
      <c r="D147" t="s">
        <v>73</v>
      </c>
      <c r="E147" t="s">
        <v>78</v>
      </c>
      <c r="F147">
        <v>4</v>
      </c>
      <c r="G147" s="2">
        <v>128.68</v>
      </c>
      <c r="H147">
        <v>0.3</v>
      </c>
      <c r="I147" t="s">
        <v>68</v>
      </c>
      <c r="J147">
        <v>6</v>
      </c>
      <c r="K147">
        <v>1.7</v>
      </c>
      <c r="L147" s="2">
        <v>360.3</v>
      </c>
      <c r="M147">
        <v>2022</v>
      </c>
      <c r="N147">
        <v>5</v>
      </c>
      <c r="O147" t="s">
        <v>84</v>
      </c>
      <c r="P147" s="2">
        <v>514.72</v>
      </c>
      <c r="Q147" s="2">
        <v>154.41999999999999</v>
      </c>
      <c r="R147" t="s">
        <v>66</v>
      </c>
      <c r="S147">
        <v>0</v>
      </c>
      <c r="T147">
        <v>0</v>
      </c>
      <c r="U147">
        <f>IF(AND(OR(Dashboard!$D$4="Semua",D147=Dashboard!$D$4),OR(Dashboard!$H$4="Semua",E147=Dashboard!$H$4)),1,0)</f>
        <v>1</v>
      </c>
      <c r="V147">
        <f>IF(U147=1,IF(COUNTIFS($C$2:C147,C147,$U$2:U147,1)=1,1,0),0)</f>
        <v>1</v>
      </c>
    </row>
    <row r="148" spans="1:22" x14ac:dyDescent="0.35">
      <c r="A148">
        <v>10147</v>
      </c>
      <c r="B148" s="1">
        <v>44708</v>
      </c>
      <c r="C148">
        <v>1418</v>
      </c>
      <c r="D148" t="s">
        <v>73</v>
      </c>
      <c r="E148" t="s">
        <v>63</v>
      </c>
      <c r="F148">
        <v>4</v>
      </c>
      <c r="G148" s="2">
        <v>584.75</v>
      </c>
      <c r="H148">
        <v>0.35</v>
      </c>
      <c r="I148" t="s">
        <v>71</v>
      </c>
      <c r="J148">
        <v>2</v>
      </c>
      <c r="K148">
        <v>2.4</v>
      </c>
      <c r="L148" s="2">
        <v>1520.35</v>
      </c>
      <c r="M148">
        <v>2022</v>
      </c>
      <c r="N148">
        <v>5</v>
      </c>
      <c r="O148" t="s">
        <v>84</v>
      </c>
      <c r="P148" s="2">
        <v>2339</v>
      </c>
      <c r="Q148" s="2">
        <v>818.65</v>
      </c>
      <c r="R148" t="s">
        <v>72</v>
      </c>
      <c r="S148">
        <v>0</v>
      </c>
      <c r="T148">
        <v>0</v>
      </c>
      <c r="U148">
        <f>IF(AND(OR(Dashboard!$D$4="Semua",D148=Dashboard!$D$4),OR(Dashboard!$H$4="Semua",E148=Dashboard!$H$4)),1,0)</f>
        <v>1</v>
      </c>
      <c r="V148">
        <f>IF(U148=1,IF(COUNTIFS($C$2:C148,C148,$U$2:U148,1)=1,1,0),0)</f>
        <v>1</v>
      </c>
    </row>
    <row r="149" spans="1:22" x14ac:dyDescent="0.35">
      <c r="A149">
        <v>10148</v>
      </c>
      <c r="B149" s="1">
        <v>44709</v>
      </c>
      <c r="C149">
        <v>1288</v>
      </c>
      <c r="D149" t="s">
        <v>67</v>
      </c>
      <c r="E149" t="s">
        <v>70</v>
      </c>
      <c r="F149">
        <v>5</v>
      </c>
      <c r="G149" s="2">
        <v>226.56</v>
      </c>
      <c r="H149">
        <v>0.2</v>
      </c>
      <c r="I149" t="s">
        <v>68</v>
      </c>
      <c r="J149">
        <v>7</v>
      </c>
      <c r="K149">
        <v>2.7</v>
      </c>
      <c r="L149" s="2">
        <v>906.24</v>
      </c>
      <c r="M149">
        <v>2022</v>
      </c>
      <c r="N149">
        <v>5</v>
      </c>
      <c r="O149" t="s">
        <v>84</v>
      </c>
      <c r="P149" s="2">
        <v>1132.8</v>
      </c>
      <c r="Q149" s="2">
        <v>226.56</v>
      </c>
      <c r="R149" t="s">
        <v>76</v>
      </c>
      <c r="S149">
        <v>0</v>
      </c>
      <c r="T149">
        <v>0</v>
      </c>
      <c r="U149">
        <f>IF(AND(OR(Dashboard!$D$4="Semua",D149=Dashboard!$D$4),OR(Dashboard!$H$4="Semua",E149=Dashboard!$H$4)),1,0)</f>
        <v>1</v>
      </c>
      <c r="V149">
        <f>IF(U149=1,IF(COUNTIFS($C$2:C149,C149,$U$2:U149,1)=1,1,0),0)</f>
        <v>1</v>
      </c>
    </row>
    <row r="150" spans="1:22" x14ac:dyDescent="0.35">
      <c r="A150">
        <v>10149</v>
      </c>
      <c r="B150" s="1">
        <v>44710</v>
      </c>
      <c r="C150">
        <v>1378</v>
      </c>
      <c r="D150" t="s">
        <v>62</v>
      </c>
      <c r="E150" t="s">
        <v>74</v>
      </c>
      <c r="F150">
        <v>4</v>
      </c>
      <c r="G150" s="2">
        <v>366.81</v>
      </c>
      <c r="H150">
        <v>0.26</v>
      </c>
      <c r="I150" t="s">
        <v>68</v>
      </c>
      <c r="J150">
        <v>8</v>
      </c>
      <c r="K150">
        <v>2.2999999999999998</v>
      </c>
      <c r="L150" s="2">
        <v>1085.76</v>
      </c>
      <c r="M150">
        <v>2022</v>
      </c>
      <c r="N150">
        <v>5</v>
      </c>
      <c r="O150" t="s">
        <v>84</v>
      </c>
      <c r="P150" s="2">
        <v>1467.24</v>
      </c>
      <c r="Q150" s="2">
        <v>381.48</v>
      </c>
      <c r="R150" t="s">
        <v>66</v>
      </c>
      <c r="S150">
        <v>0</v>
      </c>
      <c r="T150">
        <v>0</v>
      </c>
      <c r="U150">
        <f>IF(AND(OR(Dashboard!$D$4="Semua",D150=Dashboard!$D$4),OR(Dashboard!$H$4="Semua",E150=Dashboard!$H$4)),1,0)</f>
        <v>1</v>
      </c>
      <c r="V150">
        <f>IF(U150=1,IF(COUNTIFS($C$2:C150,C150,$U$2:U150,1)=1,1,0),0)</f>
        <v>1</v>
      </c>
    </row>
    <row r="151" spans="1:22" x14ac:dyDescent="0.35">
      <c r="A151">
        <v>10150</v>
      </c>
      <c r="B151" s="1">
        <v>44711</v>
      </c>
      <c r="C151">
        <v>1772</v>
      </c>
      <c r="D151" t="s">
        <v>80</v>
      </c>
      <c r="E151" t="s">
        <v>78</v>
      </c>
      <c r="F151">
        <v>6</v>
      </c>
      <c r="G151" s="2">
        <v>371.84</v>
      </c>
      <c r="H151">
        <v>7.0000000000000007E-2</v>
      </c>
      <c r="I151" t="s">
        <v>71</v>
      </c>
      <c r="J151">
        <v>1</v>
      </c>
      <c r="K151">
        <v>4.2</v>
      </c>
      <c r="L151" s="2">
        <v>2074.87</v>
      </c>
      <c r="M151">
        <v>2022</v>
      </c>
      <c r="N151">
        <v>5</v>
      </c>
      <c r="O151" t="s">
        <v>84</v>
      </c>
      <c r="P151" s="2">
        <v>2231.04</v>
      </c>
      <c r="Q151" s="2">
        <v>156.16999999999999</v>
      </c>
      <c r="R151" t="s">
        <v>69</v>
      </c>
      <c r="S151">
        <v>0</v>
      </c>
      <c r="T151">
        <v>0</v>
      </c>
      <c r="U151">
        <f>IF(AND(OR(Dashboard!$D$4="Semua",D151=Dashboard!$D$4),OR(Dashboard!$H$4="Semua",E151=Dashboard!$H$4)),1,0)</f>
        <v>1</v>
      </c>
      <c r="V151">
        <f>IF(U151=1,IF(COUNTIFS($C$2:C151,C151,$U$2:U151,1)=1,1,0),0)</f>
        <v>1</v>
      </c>
    </row>
    <row r="152" spans="1:22" x14ac:dyDescent="0.35">
      <c r="A152">
        <v>10151</v>
      </c>
      <c r="B152" s="1">
        <v>44712</v>
      </c>
      <c r="C152">
        <v>1489</v>
      </c>
      <c r="D152" t="s">
        <v>73</v>
      </c>
      <c r="E152" t="s">
        <v>78</v>
      </c>
      <c r="F152">
        <v>3</v>
      </c>
      <c r="G152" s="2">
        <v>342.88</v>
      </c>
      <c r="H152">
        <v>0.23</v>
      </c>
      <c r="I152" t="s">
        <v>68</v>
      </c>
      <c r="J152">
        <v>6</v>
      </c>
      <c r="K152">
        <v>3.9</v>
      </c>
      <c r="L152" s="2">
        <v>792.05</v>
      </c>
      <c r="M152">
        <v>2022</v>
      </c>
      <c r="N152">
        <v>5</v>
      </c>
      <c r="O152" t="s">
        <v>84</v>
      </c>
      <c r="P152" s="2">
        <v>1028.6400000000001</v>
      </c>
      <c r="Q152" s="2">
        <v>236.59</v>
      </c>
      <c r="R152" t="s">
        <v>77</v>
      </c>
      <c r="S152">
        <v>0</v>
      </c>
      <c r="T152">
        <v>0</v>
      </c>
      <c r="U152">
        <f>IF(AND(OR(Dashboard!$D$4="Semua",D152=Dashboard!$D$4),OR(Dashboard!$H$4="Semua",E152=Dashboard!$H$4)),1,0)</f>
        <v>1</v>
      </c>
      <c r="V152">
        <f>IF(U152=1,IF(COUNTIFS($C$2:C152,C152,$U$2:U152,1)=1,1,0),0)</f>
        <v>1</v>
      </c>
    </row>
    <row r="153" spans="1:22" x14ac:dyDescent="0.35">
      <c r="A153">
        <v>10152</v>
      </c>
      <c r="B153" s="1">
        <v>44713</v>
      </c>
      <c r="C153">
        <v>1230</v>
      </c>
      <c r="D153" t="s">
        <v>62</v>
      </c>
      <c r="E153" t="s">
        <v>63</v>
      </c>
      <c r="F153">
        <v>1</v>
      </c>
      <c r="G153" s="2">
        <v>550.1</v>
      </c>
      <c r="H153">
        <v>0.23</v>
      </c>
      <c r="I153" t="s">
        <v>64</v>
      </c>
      <c r="J153">
        <v>11</v>
      </c>
      <c r="K153">
        <v>4.0999999999999996</v>
      </c>
      <c r="L153" s="2">
        <v>423.58</v>
      </c>
      <c r="M153">
        <v>2022</v>
      </c>
      <c r="N153">
        <v>6</v>
      </c>
      <c r="O153" t="s">
        <v>85</v>
      </c>
      <c r="P153" s="2">
        <v>550.1</v>
      </c>
      <c r="Q153" s="2">
        <v>126.52</v>
      </c>
      <c r="R153" t="s">
        <v>77</v>
      </c>
      <c r="S153">
        <v>0</v>
      </c>
      <c r="T153">
        <v>0</v>
      </c>
      <c r="U153">
        <f>IF(AND(OR(Dashboard!$D$4="Semua",D153=Dashboard!$D$4),OR(Dashboard!$H$4="Semua",E153=Dashboard!$H$4)),1,0)</f>
        <v>1</v>
      </c>
      <c r="V153">
        <f>IF(U153=1,IF(COUNTIFS($C$2:C153,C153,$U$2:U153,1)=1,1,0),0)</f>
        <v>1</v>
      </c>
    </row>
    <row r="154" spans="1:22" x14ac:dyDescent="0.35">
      <c r="A154">
        <v>10153</v>
      </c>
      <c r="B154" s="1">
        <v>44714</v>
      </c>
      <c r="C154">
        <v>1040</v>
      </c>
      <c r="D154" t="s">
        <v>80</v>
      </c>
      <c r="E154" t="s">
        <v>74</v>
      </c>
      <c r="F154">
        <v>1</v>
      </c>
      <c r="G154" s="2">
        <v>409.55</v>
      </c>
      <c r="H154">
        <v>0.32</v>
      </c>
      <c r="I154" t="s">
        <v>68</v>
      </c>
      <c r="J154">
        <v>9</v>
      </c>
      <c r="K154">
        <v>4.5999999999999996</v>
      </c>
      <c r="L154" s="2">
        <v>278.49</v>
      </c>
      <c r="M154">
        <v>2022</v>
      </c>
      <c r="N154">
        <v>6</v>
      </c>
      <c r="O154" t="s">
        <v>85</v>
      </c>
      <c r="P154" s="2">
        <v>409.55</v>
      </c>
      <c r="Q154" s="2">
        <v>131.06</v>
      </c>
      <c r="R154" t="s">
        <v>72</v>
      </c>
      <c r="S154">
        <v>0</v>
      </c>
      <c r="T154">
        <v>0</v>
      </c>
      <c r="U154">
        <f>IF(AND(OR(Dashboard!$D$4="Semua",D154=Dashboard!$D$4),OR(Dashboard!$H$4="Semua",E154=Dashboard!$H$4)),1,0)</f>
        <v>1</v>
      </c>
      <c r="V154">
        <f>IF(U154=1,IF(COUNTIFS($C$2:C154,C154,$U$2:U154,1)=1,1,0),0)</f>
        <v>0</v>
      </c>
    </row>
    <row r="155" spans="1:22" x14ac:dyDescent="0.35">
      <c r="A155">
        <v>10154</v>
      </c>
      <c r="B155" s="1">
        <v>44715</v>
      </c>
      <c r="C155">
        <v>1027</v>
      </c>
      <c r="D155" t="s">
        <v>80</v>
      </c>
      <c r="E155" t="s">
        <v>78</v>
      </c>
      <c r="F155">
        <v>1</v>
      </c>
      <c r="G155" s="2">
        <v>251.18</v>
      </c>
      <c r="H155">
        <v>0.28999999999999998</v>
      </c>
      <c r="I155" t="s">
        <v>71</v>
      </c>
      <c r="J155">
        <v>7</v>
      </c>
      <c r="K155">
        <v>3.4</v>
      </c>
      <c r="L155" s="2">
        <v>178.34</v>
      </c>
      <c r="M155">
        <v>2022</v>
      </c>
      <c r="N155">
        <v>6</v>
      </c>
      <c r="O155" t="s">
        <v>85</v>
      </c>
      <c r="P155" s="2">
        <v>251.18</v>
      </c>
      <c r="Q155" s="2">
        <v>72.84</v>
      </c>
      <c r="R155" t="s">
        <v>66</v>
      </c>
      <c r="S155">
        <v>0</v>
      </c>
      <c r="T155">
        <v>0</v>
      </c>
      <c r="U155">
        <f>IF(AND(OR(Dashboard!$D$4="Semua",D155=Dashboard!$D$4),OR(Dashboard!$H$4="Semua",E155=Dashboard!$H$4)),1,0)</f>
        <v>1</v>
      </c>
      <c r="V155">
        <f>IF(U155=1,IF(COUNTIFS($C$2:C155,C155,$U$2:U155,1)=1,1,0),0)</f>
        <v>1</v>
      </c>
    </row>
    <row r="156" spans="1:22" x14ac:dyDescent="0.35">
      <c r="A156">
        <v>10155</v>
      </c>
      <c r="B156" s="1">
        <v>44716</v>
      </c>
      <c r="C156">
        <v>1134</v>
      </c>
      <c r="D156" t="s">
        <v>67</v>
      </c>
      <c r="E156" t="s">
        <v>70</v>
      </c>
      <c r="F156">
        <v>3</v>
      </c>
      <c r="G156" s="2">
        <v>519.49</v>
      </c>
      <c r="H156">
        <v>0.33</v>
      </c>
      <c r="I156" t="s">
        <v>68</v>
      </c>
      <c r="J156">
        <v>5</v>
      </c>
      <c r="K156">
        <v>3.5</v>
      </c>
      <c r="L156" s="2">
        <v>1044.17</v>
      </c>
      <c r="M156">
        <v>2022</v>
      </c>
      <c r="N156">
        <v>6</v>
      </c>
      <c r="O156" t="s">
        <v>85</v>
      </c>
      <c r="P156" s="2">
        <v>1558.47</v>
      </c>
      <c r="Q156" s="2">
        <v>514.29999999999995</v>
      </c>
      <c r="R156" t="s">
        <v>72</v>
      </c>
      <c r="S156">
        <v>0</v>
      </c>
      <c r="T156">
        <v>0</v>
      </c>
      <c r="U156">
        <f>IF(AND(OR(Dashboard!$D$4="Semua",D156=Dashboard!$D$4),OR(Dashboard!$H$4="Semua",E156=Dashboard!$H$4)),1,0)</f>
        <v>1</v>
      </c>
      <c r="V156">
        <f>IF(U156=1,IF(COUNTIFS($C$2:C156,C156,$U$2:U156,1)=1,1,0),0)</f>
        <v>1</v>
      </c>
    </row>
    <row r="157" spans="1:22" x14ac:dyDescent="0.35">
      <c r="A157">
        <v>10156</v>
      </c>
      <c r="B157" s="1">
        <v>44717</v>
      </c>
      <c r="C157">
        <v>1200</v>
      </c>
      <c r="D157" t="s">
        <v>67</v>
      </c>
      <c r="E157" t="s">
        <v>63</v>
      </c>
      <c r="F157">
        <v>4</v>
      </c>
      <c r="G157" s="2">
        <v>120.92</v>
      </c>
      <c r="H157">
        <v>0.3</v>
      </c>
      <c r="I157" t="s">
        <v>68</v>
      </c>
      <c r="J157">
        <v>10</v>
      </c>
      <c r="K157">
        <v>3.9</v>
      </c>
      <c r="L157" s="2">
        <v>338.58</v>
      </c>
      <c r="M157">
        <v>2022</v>
      </c>
      <c r="N157">
        <v>6</v>
      </c>
      <c r="O157" t="s">
        <v>85</v>
      </c>
      <c r="P157" s="2">
        <v>483.68</v>
      </c>
      <c r="Q157" s="2">
        <v>145.1</v>
      </c>
      <c r="R157" t="s">
        <v>66</v>
      </c>
      <c r="S157">
        <v>0</v>
      </c>
      <c r="T157">
        <v>0</v>
      </c>
      <c r="U157">
        <f>IF(AND(OR(Dashboard!$D$4="Semua",D157=Dashboard!$D$4),OR(Dashboard!$H$4="Semua",E157=Dashboard!$H$4)),1,0)</f>
        <v>1</v>
      </c>
      <c r="V157">
        <f>IF(U157=1,IF(COUNTIFS($C$2:C157,C157,$U$2:U157,1)=1,1,0),0)</f>
        <v>1</v>
      </c>
    </row>
    <row r="158" spans="1:22" x14ac:dyDescent="0.35">
      <c r="A158">
        <v>10157</v>
      </c>
      <c r="B158" s="1">
        <v>44718</v>
      </c>
      <c r="C158">
        <v>1839</v>
      </c>
      <c r="D158" t="s">
        <v>73</v>
      </c>
      <c r="E158" t="s">
        <v>74</v>
      </c>
      <c r="F158">
        <v>5</v>
      </c>
      <c r="G158" s="2">
        <v>333.38</v>
      </c>
      <c r="H158">
        <v>0.3</v>
      </c>
      <c r="I158" t="s">
        <v>71</v>
      </c>
      <c r="J158">
        <v>11</v>
      </c>
      <c r="K158">
        <v>3.7</v>
      </c>
      <c r="L158" s="2">
        <v>1166.83</v>
      </c>
      <c r="M158">
        <v>2022</v>
      </c>
      <c r="N158">
        <v>6</v>
      </c>
      <c r="O158" t="s">
        <v>85</v>
      </c>
      <c r="P158" s="2">
        <v>1666.9</v>
      </c>
      <c r="Q158" s="2">
        <v>500.07</v>
      </c>
      <c r="R158" t="s">
        <v>66</v>
      </c>
      <c r="S158">
        <v>0</v>
      </c>
      <c r="T158">
        <v>0</v>
      </c>
      <c r="U158">
        <f>IF(AND(OR(Dashboard!$D$4="Semua",D158=Dashboard!$D$4),OR(Dashboard!$H$4="Semua",E158=Dashboard!$H$4)),1,0)</f>
        <v>1</v>
      </c>
      <c r="V158">
        <f>IF(U158=1,IF(COUNTIFS($C$2:C158,C158,$U$2:U158,1)=1,1,0),0)</f>
        <v>1</v>
      </c>
    </row>
    <row r="159" spans="1:22" x14ac:dyDescent="0.35">
      <c r="A159">
        <v>10158</v>
      </c>
      <c r="B159" s="1">
        <v>44719</v>
      </c>
      <c r="C159">
        <v>1779</v>
      </c>
      <c r="D159" t="s">
        <v>73</v>
      </c>
      <c r="E159" t="s">
        <v>78</v>
      </c>
      <c r="F159">
        <v>7</v>
      </c>
      <c r="G159" s="2">
        <v>571.07000000000005</v>
      </c>
      <c r="H159">
        <v>0.02</v>
      </c>
      <c r="I159" t="s">
        <v>71</v>
      </c>
      <c r="J159">
        <v>10</v>
      </c>
      <c r="K159">
        <v>4.5</v>
      </c>
      <c r="L159" s="2">
        <v>3917.54</v>
      </c>
      <c r="M159">
        <v>2022</v>
      </c>
      <c r="N159">
        <v>6</v>
      </c>
      <c r="O159" t="s">
        <v>85</v>
      </c>
      <c r="P159" s="2">
        <v>3997.49</v>
      </c>
      <c r="Q159" s="2">
        <v>79.95</v>
      </c>
      <c r="R159" t="s">
        <v>75</v>
      </c>
      <c r="S159">
        <v>0</v>
      </c>
      <c r="T159">
        <v>1</v>
      </c>
      <c r="U159">
        <f>IF(AND(OR(Dashboard!$D$4="Semua",D159=Dashboard!$D$4),OR(Dashboard!$H$4="Semua",E159=Dashboard!$H$4)),1,0)</f>
        <v>1</v>
      </c>
      <c r="V159">
        <f>IF(U159=1,IF(COUNTIFS($C$2:C159,C159,$U$2:U159,1)=1,1,0),0)</f>
        <v>1</v>
      </c>
    </row>
    <row r="160" spans="1:22" x14ac:dyDescent="0.35">
      <c r="A160">
        <v>10159</v>
      </c>
      <c r="B160" s="1">
        <v>44720</v>
      </c>
      <c r="C160">
        <v>1929</v>
      </c>
      <c r="D160" t="s">
        <v>73</v>
      </c>
      <c r="E160" t="s">
        <v>78</v>
      </c>
      <c r="F160">
        <v>2</v>
      </c>
      <c r="G160" s="2">
        <v>380.86</v>
      </c>
      <c r="H160">
        <v>0.3</v>
      </c>
      <c r="I160" t="s">
        <v>71</v>
      </c>
      <c r="J160">
        <v>9</v>
      </c>
      <c r="K160">
        <v>4.0999999999999996</v>
      </c>
      <c r="L160" s="2">
        <v>533.20000000000005</v>
      </c>
      <c r="M160">
        <v>2022</v>
      </c>
      <c r="N160">
        <v>6</v>
      </c>
      <c r="O160" t="s">
        <v>85</v>
      </c>
      <c r="P160" s="2">
        <v>761.72</v>
      </c>
      <c r="Q160" s="2">
        <v>228.52</v>
      </c>
      <c r="R160" t="s">
        <v>66</v>
      </c>
      <c r="S160">
        <v>0</v>
      </c>
      <c r="T160">
        <v>0</v>
      </c>
      <c r="U160">
        <f>IF(AND(OR(Dashboard!$D$4="Semua",D160=Dashboard!$D$4),OR(Dashboard!$H$4="Semua",E160=Dashboard!$H$4)),1,0)</f>
        <v>1</v>
      </c>
      <c r="V160">
        <f>IF(U160=1,IF(COUNTIFS($C$2:C160,C160,$U$2:U160,1)=1,1,0),0)</f>
        <v>1</v>
      </c>
    </row>
    <row r="161" spans="1:22" x14ac:dyDescent="0.35">
      <c r="A161">
        <v>10160</v>
      </c>
      <c r="B161" s="1">
        <v>44721</v>
      </c>
      <c r="C161">
        <v>1032</v>
      </c>
      <c r="D161" t="s">
        <v>73</v>
      </c>
      <c r="E161" t="s">
        <v>74</v>
      </c>
      <c r="F161">
        <v>4</v>
      </c>
      <c r="G161" s="2">
        <v>492.93</v>
      </c>
      <c r="H161">
        <v>0.21</v>
      </c>
      <c r="I161" t="s">
        <v>71</v>
      </c>
      <c r="J161">
        <v>2</v>
      </c>
      <c r="K161">
        <v>1.5</v>
      </c>
      <c r="L161" s="2">
        <v>1557.66</v>
      </c>
      <c r="M161">
        <v>2022</v>
      </c>
      <c r="N161">
        <v>6</v>
      </c>
      <c r="O161" t="s">
        <v>85</v>
      </c>
      <c r="P161" s="2">
        <v>1971.72</v>
      </c>
      <c r="Q161" s="2">
        <v>414.06</v>
      </c>
      <c r="R161" t="s">
        <v>77</v>
      </c>
      <c r="S161">
        <v>0</v>
      </c>
      <c r="T161">
        <v>0</v>
      </c>
      <c r="U161">
        <f>IF(AND(OR(Dashboard!$D$4="Semua",D161=Dashboard!$D$4),OR(Dashboard!$H$4="Semua",E161=Dashboard!$H$4)),1,0)</f>
        <v>1</v>
      </c>
      <c r="V161">
        <f>IF(U161=1,IF(COUNTIFS($C$2:C161,C161,$U$2:U161,1)=1,1,0),0)</f>
        <v>1</v>
      </c>
    </row>
    <row r="162" spans="1:22" x14ac:dyDescent="0.35">
      <c r="A162">
        <v>10161</v>
      </c>
      <c r="B162" s="1">
        <v>44722</v>
      </c>
      <c r="C162">
        <v>1047</v>
      </c>
      <c r="D162" t="s">
        <v>67</v>
      </c>
      <c r="E162" t="s">
        <v>63</v>
      </c>
      <c r="F162">
        <v>3</v>
      </c>
      <c r="G162" s="2">
        <v>397.33</v>
      </c>
      <c r="H162">
        <v>0.13</v>
      </c>
      <c r="I162" t="s">
        <v>71</v>
      </c>
      <c r="J162">
        <v>7</v>
      </c>
      <c r="K162">
        <v>4.7</v>
      </c>
      <c r="L162" s="2">
        <v>1037.03</v>
      </c>
      <c r="M162">
        <v>2022</v>
      </c>
      <c r="N162">
        <v>6</v>
      </c>
      <c r="O162" t="s">
        <v>85</v>
      </c>
      <c r="P162" s="2">
        <v>1191.99</v>
      </c>
      <c r="Q162" s="2">
        <v>154.96</v>
      </c>
      <c r="R162" t="s">
        <v>79</v>
      </c>
      <c r="S162">
        <v>0</v>
      </c>
      <c r="T162">
        <v>0</v>
      </c>
      <c r="U162">
        <f>IF(AND(OR(Dashboard!$D$4="Semua",D162=Dashboard!$D$4),OR(Dashboard!$H$4="Semua",E162=Dashboard!$H$4)),1,0)</f>
        <v>1</v>
      </c>
      <c r="V162">
        <f>IF(U162=1,IF(COUNTIFS($C$2:C162,C162,$U$2:U162,1)=1,1,0),0)</f>
        <v>1</v>
      </c>
    </row>
    <row r="163" spans="1:22" x14ac:dyDescent="0.35">
      <c r="A163">
        <v>10162</v>
      </c>
      <c r="B163" s="1">
        <v>44723</v>
      </c>
      <c r="C163">
        <v>1502</v>
      </c>
      <c r="D163" t="s">
        <v>80</v>
      </c>
      <c r="E163" t="s">
        <v>74</v>
      </c>
      <c r="F163">
        <v>6</v>
      </c>
      <c r="G163" s="2">
        <v>506.03</v>
      </c>
      <c r="H163">
        <v>0.02</v>
      </c>
      <c r="I163" t="s">
        <v>71</v>
      </c>
      <c r="J163">
        <v>9</v>
      </c>
      <c r="K163">
        <v>3.7</v>
      </c>
      <c r="L163" s="2">
        <v>2975.46</v>
      </c>
      <c r="M163">
        <v>2022</v>
      </c>
      <c r="N163">
        <v>6</v>
      </c>
      <c r="O163" t="s">
        <v>85</v>
      </c>
      <c r="P163" s="2">
        <v>3036.18</v>
      </c>
      <c r="Q163" s="2">
        <v>60.72</v>
      </c>
      <c r="R163" t="s">
        <v>75</v>
      </c>
      <c r="S163">
        <v>0</v>
      </c>
      <c r="T163">
        <v>0</v>
      </c>
      <c r="U163">
        <f>IF(AND(OR(Dashboard!$D$4="Semua",D163=Dashboard!$D$4),OR(Dashboard!$H$4="Semua",E163=Dashboard!$H$4)),1,0)</f>
        <v>1</v>
      </c>
      <c r="V163">
        <f>IF(U163=1,IF(COUNTIFS($C$2:C163,C163,$U$2:U163,1)=1,1,0),0)</f>
        <v>1</v>
      </c>
    </row>
    <row r="164" spans="1:22" x14ac:dyDescent="0.35">
      <c r="A164">
        <v>10163</v>
      </c>
      <c r="B164" s="1">
        <v>44724</v>
      </c>
      <c r="C164">
        <v>1406</v>
      </c>
      <c r="D164" t="s">
        <v>67</v>
      </c>
      <c r="E164" t="s">
        <v>74</v>
      </c>
      <c r="F164">
        <v>3</v>
      </c>
      <c r="G164" s="2">
        <v>567.53</v>
      </c>
      <c r="H164">
        <v>0.24</v>
      </c>
      <c r="I164" t="s">
        <v>71</v>
      </c>
      <c r="J164">
        <v>2</v>
      </c>
      <c r="K164">
        <v>1.5</v>
      </c>
      <c r="L164" s="2">
        <v>1293.97</v>
      </c>
      <c r="M164">
        <v>2022</v>
      </c>
      <c r="N164">
        <v>6</v>
      </c>
      <c r="O164" t="s">
        <v>85</v>
      </c>
      <c r="P164" s="2">
        <v>1702.59</v>
      </c>
      <c r="Q164" s="2">
        <v>408.62</v>
      </c>
      <c r="R164" t="s">
        <v>77</v>
      </c>
      <c r="S164">
        <v>0</v>
      </c>
      <c r="T164">
        <v>0</v>
      </c>
      <c r="U164">
        <f>IF(AND(OR(Dashboard!$D$4="Semua",D164=Dashboard!$D$4),OR(Dashboard!$H$4="Semua",E164=Dashboard!$H$4)),1,0)</f>
        <v>1</v>
      </c>
      <c r="V164">
        <f>IF(U164=1,IF(COUNTIFS($C$2:C164,C164,$U$2:U164,1)=1,1,0),0)</f>
        <v>1</v>
      </c>
    </row>
    <row r="165" spans="1:22" x14ac:dyDescent="0.35">
      <c r="A165">
        <v>10164</v>
      </c>
      <c r="B165" s="1">
        <v>44725</v>
      </c>
      <c r="C165">
        <v>1573</v>
      </c>
      <c r="D165" t="s">
        <v>73</v>
      </c>
      <c r="E165" t="s">
        <v>63</v>
      </c>
      <c r="F165">
        <v>7</v>
      </c>
      <c r="G165" s="2">
        <v>174.66</v>
      </c>
      <c r="H165">
        <v>0.11</v>
      </c>
      <c r="I165" t="s">
        <v>71</v>
      </c>
      <c r="J165">
        <v>11</v>
      </c>
      <c r="K165">
        <v>4.0999999999999996</v>
      </c>
      <c r="L165" s="2">
        <v>1088.1300000000001</v>
      </c>
      <c r="M165">
        <v>2022</v>
      </c>
      <c r="N165">
        <v>6</v>
      </c>
      <c r="O165" t="s">
        <v>85</v>
      </c>
      <c r="P165" s="2">
        <v>1222.6199999999999</v>
      </c>
      <c r="Q165" s="2">
        <v>134.49</v>
      </c>
      <c r="R165" t="s">
        <v>79</v>
      </c>
      <c r="S165">
        <v>0</v>
      </c>
      <c r="T165">
        <v>0</v>
      </c>
      <c r="U165">
        <f>IF(AND(OR(Dashboard!$D$4="Semua",D165=Dashboard!$D$4),OR(Dashboard!$H$4="Semua",E165=Dashboard!$H$4)),1,0)</f>
        <v>1</v>
      </c>
      <c r="V165">
        <f>IF(U165=1,IF(COUNTIFS($C$2:C165,C165,$U$2:U165,1)=1,1,0),0)</f>
        <v>1</v>
      </c>
    </row>
    <row r="166" spans="1:22" x14ac:dyDescent="0.35">
      <c r="A166">
        <v>10165</v>
      </c>
      <c r="B166" s="1">
        <v>44726</v>
      </c>
      <c r="C166">
        <v>1727</v>
      </c>
      <c r="D166" t="s">
        <v>62</v>
      </c>
      <c r="E166" t="s">
        <v>78</v>
      </c>
      <c r="F166">
        <v>1</v>
      </c>
      <c r="G166" s="2">
        <v>114.25</v>
      </c>
      <c r="H166">
        <v>0.16</v>
      </c>
      <c r="I166" t="s">
        <v>71</v>
      </c>
      <c r="J166">
        <v>10</v>
      </c>
      <c r="K166">
        <v>2.4</v>
      </c>
      <c r="L166" s="2">
        <v>95.97</v>
      </c>
      <c r="M166">
        <v>2022</v>
      </c>
      <c r="N166">
        <v>6</v>
      </c>
      <c r="O166" t="s">
        <v>85</v>
      </c>
      <c r="P166" s="2">
        <v>114.25</v>
      </c>
      <c r="Q166" s="2">
        <v>18.28</v>
      </c>
      <c r="R166" t="s">
        <v>76</v>
      </c>
      <c r="S166">
        <v>0</v>
      </c>
      <c r="T166">
        <v>0</v>
      </c>
      <c r="U166">
        <f>IF(AND(OR(Dashboard!$D$4="Semua",D166=Dashboard!$D$4),OR(Dashboard!$H$4="Semua",E166=Dashboard!$H$4)),1,0)</f>
        <v>1</v>
      </c>
      <c r="V166">
        <f>IF(U166=1,IF(COUNTIFS($C$2:C166,C166,$U$2:U166,1)=1,1,0),0)</f>
        <v>1</v>
      </c>
    </row>
    <row r="167" spans="1:22" x14ac:dyDescent="0.35">
      <c r="A167">
        <v>10166</v>
      </c>
      <c r="B167" s="1">
        <v>44727</v>
      </c>
      <c r="C167">
        <v>1804</v>
      </c>
      <c r="D167" t="s">
        <v>62</v>
      </c>
      <c r="E167" t="s">
        <v>70</v>
      </c>
      <c r="F167">
        <v>4</v>
      </c>
      <c r="G167" s="2">
        <v>298.13</v>
      </c>
      <c r="H167">
        <v>0.24</v>
      </c>
      <c r="I167" t="s">
        <v>64</v>
      </c>
      <c r="J167">
        <v>6</v>
      </c>
      <c r="K167">
        <v>4.2</v>
      </c>
      <c r="L167" s="2">
        <v>906.32</v>
      </c>
      <c r="M167">
        <v>2022</v>
      </c>
      <c r="N167">
        <v>6</v>
      </c>
      <c r="O167" t="s">
        <v>85</v>
      </c>
      <c r="P167" s="2">
        <v>1192.52</v>
      </c>
      <c r="Q167" s="2">
        <v>286.2</v>
      </c>
      <c r="R167" t="s">
        <v>77</v>
      </c>
      <c r="S167">
        <v>0</v>
      </c>
      <c r="T167">
        <v>0</v>
      </c>
      <c r="U167">
        <f>IF(AND(OR(Dashboard!$D$4="Semua",D167=Dashboard!$D$4),OR(Dashboard!$H$4="Semua",E167=Dashboard!$H$4)),1,0)</f>
        <v>1</v>
      </c>
      <c r="V167">
        <f>IF(U167=1,IF(COUNTIFS($C$2:C167,C167,$U$2:U167,1)=1,1,0),0)</f>
        <v>1</v>
      </c>
    </row>
    <row r="168" spans="1:22" x14ac:dyDescent="0.35">
      <c r="A168">
        <v>10167</v>
      </c>
      <c r="B168" s="1">
        <v>44728</v>
      </c>
      <c r="C168">
        <v>1098</v>
      </c>
      <c r="D168" t="s">
        <v>80</v>
      </c>
      <c r="E168" t="s">
        <v>63</v>
      </c>
      <c r="F168">
        <v>7</v>
      </c>
      <c r="G168" s="2">
        <v>425.59</v>
      </c>
      <c r="H168">
        <v>0.32</v>
      </c>
      <c r="I168" t="s">
        <v>68</v>
      </c>
      <c r="J168">
        <v>9</v>
      </c>
      <c r="K168">
        <v>4.8</v>
      </c>
      <c r="L168" s="2">
        <v>2025.81</v>
      </c>
      <c r="M168">
        <v>2022</v>
      </c>
      <c r="N168">
        <v>6</v>
      </c>
      <c r="O168" t="s">
        <v>85</v>
      </c>
      <c r="P168" s="2">
        <v>2979.13</v>
      </c>
      <c r="Q168" s="2">
        <v>953.32</v>
      </c>
      <c r="R168" t="s">
        <v>72</v>
      </c>
      <c r="S168">
        <v>0</v>
      </c>
      <c r="T168">
        <v>0</v>
      </c>
      <c r="U168">
        <f>IF(AND(OR(Dashboard!$D$4="Semua",D168=Dashboard!$D$4),OR(Dashboard!$H$4="Semua",E168=Dashboard!$H$4)),1,0)</f>
        <v>1</v>
      </c>
      <c r="V168">
        <f>IF(U168=1,IF(COUNTIFS($C$2:C168,C168,$U$2:U168,1)=1,1,0),0)</f>
        <v>1</v>
      </c>
    </row>
    <row r="169" spans="1:22" x14ac:dyDescent="0.35">
      <c r="A169">
        <v>10168</v>
      </c>
      <c r="B169" s="1">
        <v>44729</v>
      </c>
      <c r="C169">
        <v>1683</v>
      </c>
      <c r="D169" t="s">
        <v>62</v>
      </c>
      <c r="E169" t="s">
        <v>70</v>
      </c>
      <c r="F169">
        <v>1</v>
      </c>
      <c r="G169" s="2">
        <v>147.91</v>
      </c>
      <c r="H169">
        <v>0.28999999999999998</v>
      </c>
      <c r="I169" t="s">
        <v>71</v>
      </c>
      <c r="J169">
        <v>3</v>
      </c>
      <c r="K169">
        <v>2</v>
      </c>
      <c r="L169" s="2">
        <v>105.02</v>
      </c>
      <c r="M169">
        <v>2022</v>
      </c>
      <c r="N169">
        <v>6</v>
      </c>
      <c r="O169" t="s">
        <v>85</v>
      </c>
      <c r="P169" s="2">
        <v>147.91</v>
      </c>
      <c r="Q169" s="2">
        <v>42.89</v>
      </c>
      <c r="R169" t="s">
        <v>66</v>
      </c>
      <c r="S169">
        <v>0</v>
      </c>
      <c r="T169">
        <v>0</v>
      </c>
      <c r="U169">
        <f>IF(AND(OR(Dashboard!$D$4="Semua",D169=Dashboard!$D$4),OR(Dashboard!$H$4="Semua",E169=Dashboard!$H$4)),1,0)</f>
        <v>1</v>
      </c>
      <c r="V169">
        <f>IF(U169=1,IF(COUNTIFS($C$2:C169,C169,$U$2:U169,1)=1,1,0),0)</f>
        <v>1</v>
      </c>
    </row>
    <row r="170" spans="1:22" x14ac:dyDescent="0.35">
      <c r="A170">
        <v>10169</v>
      </c>
      <c r="B170" s="1">
        <v>44730</v>
      </c>
      <c r="C170">
        <v>1871</v>
      </c>
      <c r="D170" t="s">
        <v>67</v>
      </c>
      <c r="E170" t="s">
        <v>78</v>
      </c>
      <c r="F170">
        <v>2</v>
      </c>
      <c r="G170" s="2">
        <v>17.399999999999999</v>
      </c>
      <c r="H170">
        <v>0.16</v>
      </c>
      <c r="I170" t="s">
        <v>68</v>
      </c>
      <c r="J170">
        <v>8</v>
      </c>
      <c r="K170">
        <v>4.4000000000000004</v>
      </c>
      <c r="L170" s="2">
        <v>29.23</v>
      </c>
      <c r="M170">
        <v>2022</v>
      </c>
      <c r="N170">
        <v>6</v>
      </c>
      <c r="O170" t="s">
        <v>85</v>
      </c>
      <c r="P170" s="2">
        <v>34.799999999999997</v>
      </c>
      <c r="Q170" s="2">
        <v>5.57</v>
      </c>
      <c r="R170" t="s">
        <v>76</v>
      </c>
      <c r="S170">
        <v>0</v>
      </c>
      <c r="T170">
        <v>0</v>
      </c>
      <c r="U170">
        <f>IF(AND(OR(Dashboard!$D$4="Semua",D170=Dashboard!$D$4),OR(Dashboard!$H$4="Semua",E170=Dashboard!$H$4)),1,0)</f>
        <v>1</v>
      </c>
      <c r="V170">
        <f>IF(U170=1,IF(COUNTIFS($C$2:C170,C170,$U$2:U170,1)=1,1,0),0)</f>
        <v>0</v>
      </c>
    </row>
    <row r="171" spans="1:22" x14ac:dyDescent="0.35">
      <c r="A171">
        <v>10170</v>
      </c>
      <c r="B171" s="1">
        <v>44731</v>
      </c>
      <c r="C171">
        <v>1725</v>
      </c>
      <c r="D171" t="s">
        <v>62</v>
      </c>
      <c r="E171" t="s">
        <v>74</v>
      </c>
      <c r="F171">
        <v>6</v>
      </c>
      <c r="G171" s="2">
        <v>215.62</v>
      </c>
      <c r="H171">
        <v>0.14000000000000001</v>
      </c>
      <c r="I171" t="s">
        <v>68</v>
      </c>
      <c r="J171">
        <v>5</v>
      </c>
      <c r="K171">
        <v>4.0999999999999996</v>
      </c>
      <c r="L171" s="2">
        <v>1112.5999999999999</v>
      </c>
      <c r="M171">
        <v>2022</v>
      </c>
      <c r="N171">
        <v>6</v>
      </c>
      <c r="O171" t="s">
        <v>85</v>
      </c>
      <c r="P171" s="2">
        <v>1293.72</v>
      </c>
      <c r="Q171" s="2">
        <v>181.12</v>
      </c>
      <c r="R171" t="s">
        <v>79</v>
      </c>
      <c r="S171">
        <v>0</v>
      </c>
      <c r="T171">
        <v>0</v>
      </c>
      <c r="U171">
        <f>IF(AND(OR(Dashboard!$D$4="Semua",D171=Dashboard!$D$4),OR(Dashboard!$H$4="Semua",E171=Dashboard!$H$4)),1,0)</f>
        <v>1</v>
      </c>
      <c r="V171">
        <f>IF(U171=1,IF(COUNTIFS($C$2:C171,C171,$U$2:U171,1)=1,1,0),0)</f>
        <v>1</v>
      </c>
    </row>
    <row r="172" spans="1:22" x14ac:dyDescent="0.35">
      <c r="A172">
        <v>10171</v>
      </c>
      <c r="B172" s="1">
        <v>44732</v>
      </c>
      <c r="C172">
        <v>1986</v>
      </c>
      <c r="D172" t="s">
        <v>73</v>
      </c>
      <c r="E172" t="s">
        <v>70</v>
      </c>
      <c r="F172">
        <v>1</v>
      </c>
      <c r="G172" s="2">
        <v>581.78</v>
      </c>
      <c r="H172">
        <v>0.08</v>
      </c>
      <c r="I172" t="s">
        <v>68</v>
      </c>
      <c r="J172">
        <v>7</v>
      </c>
      <c r="K172">
        <v>3.7</v>
      </c>
      <c r="L172" s="2">
        <v>535.24</v>
      </c>
      <c r="M172">
        <v>2022</v>
      </c>
      <c r="N172">
        <v>6</v>
      </c>
      <c r="O172" t="s">
        <v>85</v>
      </c>
      <c r="P172" s="2">
        <v>581.78</v>
      </c>
      <c r="Q172" s="2">
        <v>46.54</v>
      </c>
      <c r="R172" t="s">
        <v>69</v>
      </c>
      <c r="S172">
        <v>0</v>
      </c>
      <c r="T172">
        <v>0</v>
      </c>
      <c r="U172">
        <f>IF(AND(OR(Dashboard!$D$4="Semua",D172=Dashboard!$D$4),OR(Dashboard!$H$4="Semua",E172=Dashboard!$H$4)),1,0)</f>
        <v>1</v>
      </c>
      <c r="V172">
        <f>IF(U172=1,IF(COUNTIFS($C$2:C172,C172,$U$2:U172,1)=1,1,0),0)</f>
        <v>1</v>
      </c>
    </row>
    <row r="173" spans="1:22" x14ac:dyDescent="0.35">
      <c r="A173">
        <v>10172</v>
      </c>
      <c r="B173" s="1">
        <v>44733</v>
      </c>
      <c r="C173">
        <v>1546</v>
      </c>
      <c r="D173" t="s">
        <v>67</v>
      </c>
      <c r="E173" t="s">
        <v>78</v>
      </c>
      <c r="F173">
        <v>2</v>
      </c>
      <c r="G173" s="2">
        <v>421.56</v>
      </c>
      <c r="H173">
        <v>0.13</v>
      </c>
      <c r="I173" t="s">
        <v>64</v>
      </c>
      <c r="J173">
        <v>3</v>
      </c>
      <c r="K173">
        <v>2.5</v>
      </c>
      <c r="L173" s="2">
        <v>733.51</v>
      </c>
      <c r="M173">
        <v>2022</v>
      </c>
      <c r="N173">
        <v>6</v>
      </c>
      <c r="O173" t="s">
        <v>85</v>
      </c>
      <c r="P173" s="2">
        <v>843.12</v>
      </c>
      <c r="Q173" s="2">
        <v>109.61</v>
      </c>
      <c r="R173" t="s">
        <v>79</v>
      </c>
      <c r="S173">
        <v>0</v>
      </c>
      <c r="T173">
        <v>0</v>
      </c>
      <c r="U173">
        <f>IF(AND(OR(Dashboard!$D$4="Semua",D173=Dashboard!$D$4),OR(Dashboard!$H$4="Semua",E173=Dashboard!$H$4)),1,0)</f>
        <v>1</v>
      </c>
      <c r="V173">
        <f>IF(U173=1,IF(COUNTIFS($C$2:C173,C173,$U$2:U173,1)=1,1,0),0)</f>
        <v>1</v>
      </c>
    </row>
    <row r="174" spans="1:22" x14ac:dyDescent="0.35">
      <c r="A174">
        <v>10173</v>
      </c>
      <c r="B174" s="1">
        <v>44734</v>
      </c>
      <c r="C174">
        <v>1960</v>
      </c>
      <c r="D174" t="s">
        <v>73</v>
      </c>
      <c r="E174" t="s">
        <v>78</v>
      </c>
      <c r="F174">
        <v>3</v>
      </c>
      <c r="G174" s="2">
        <v>249.78</v>
      </c>
      <c r="H174">
        <v>0.04</v>
      </c>
      <c r="I174" t="s">
        <v>71</v>
      </c>
      <c r="J174">
        <v>8</v>
      </c>
      <c r="K174">
        <v>1.4</v>
      </c>
      <c r="L174" s="2">
        <v>719.37</v>
      </c>
      <c r="M174">
        <v>2022</v>
      </c>
      <c r="N174">
        <v>6</v>
      </c>
      <c r="O174" t="s">
        <v>85</v>
      </c>
      <c r="P174" s="2">
        <v>749.34</v>
      </c>
      <c r="Q174" s="2">
        <v>29.97</v>
      </c>
      <c r="R174" t="s">
        <v>75</v>
      </c>
      <c r="S174">
        <v>0</v>
      </c>
      <c r="T174">
        <v>0</v>
      </c>
      <c r="U174">
        <f>IF(AND(OR(Dashboard!$D$4="Semua",D174=Dashboard!$D$4),OR(Dashboard!$H$4="Semua",E174=Dashboard!$H$4)),1,0)</f>
        <v>1</v>
      </c>
      <c r="V174">
        <f>IF(U174=1,IF(COUNTIFS($C$2:C174,C174,$U$2:U174,1)=1,1,0),0)</f>
        <v>1</v>
      </c>
    </row>
    <row r="175" spans="1:22" x14ac:dyDescent="0.35">
      <c r="A175">
        <v>10174</v>
      </c>
      <c r="B175" s="1">
        <v>44735</v>
      </c>
      <c r="C175">
        <v>1738</v>
      </c>
      <c r="D175" t="s">
        <v>73</v>
      </c>
      <c r="E175" t="s">
        <v>74</v>
      </c>
      <c r="F175">
        <v>1</v>
      </c>
      <c r="G175" s="2">
        <v>127.66</v>
      </c>
      <c r="H175">
        <v>0.34</v>
      </c>
      <c r="I175" t="s">
        <v>71</v>
      </c>
      <c r="J175">
        <v>2</v>
      </c>
      <c r="K175">
        <v>2.9</v>
      </c>
      <c r="L175" s="2">
        <v>84.26</v>
      </c>
      <c r="M175">
        <v>2022</v>
      </c>
      <c r="N175">
        <v>6</v>
      </c>
      <c r="O175" t="s">
        <v>85</v>
      </c>
      <c r="P175" s="2">
        <v>127.66</v>
      </c>
      <c r="Q175" s="2">
        <v>43.4</v>
      </c>
      <c r="R175" t="s">
        <v>72</v>
      </c>
      <c r="S175">
        <v>0</v>
      </c>
      <c r="T175">
        <v>0</v>
      </c>
      <c r="U175">
        <f>IF(AND(OR(Dashboard!$D$4="Semua",D175=Dashboard!$D$4),OR(Dashboard!$H$4="Semua",E175=Dashboard!$H$4)),1,0)</f>
        <v>1</v>
      </c>
      <c r="V175">
        <f>IF(U175=1,IF(COUNTIFS($C$2:C175,C175,$U$2:U175,1)=1,1,0),0)</f>
        <v>1</v>
      </c>
    </row>
    <row r="176" spans="1:22" x14ac:dyDescent="0.35">
      <c r="A176">
        <v>10175</v>
      </c>
      <c r="B176" s="1">
        <v>44736</v>
      </c>
      <c r="C176">
        <v>1612</v>
      </c>
      <c r="D176" t="s">
        <v>73</v>
      </c>
      <c r="E176" t="s">
        <v>74</v>
      </c>
      <c r="F176">
        <v>1</v>
      </c>
      <c r="G176" s="2">
        <v>223.31</v>
      </c>
      <c r="H176">
        <v>0.2</v>
      </c>
      <c r="I176" t="s">
        <v>68</v>
      </c>
      <c r="J176">
        <v>8</v>
      </c>
      <c r="K176">
        <v>1.4</v>
      </c>
      <c r="L176" s="2">
        <v>178.65</v>
      </c>
      <c r="M176">
        <v>2022</v>
      </c>
      <c r="N176">
        <v>6</v>
      </c>
      <c r="O176" t="s">
        <v>85</v>
      </c>
      <c r="P176" s="2">
        <v>223.31</v>
      </c>
      <c r="Q176" s="2">
        <v>44.66</v>
      </c>
      <c r="R176" t="s">
        <v>76</v>
      </c>
      <c r="S176">
        <v>0</v>
      </c>
      <c r="T176">
        <v>0</v>
      </c>
      <c r="U176">
        <f>IF(AND(OR(Dashboard!$D$4="Semua",D176=Dashboard!$D$4),OR(Dashboard!$H$4="Semua",E176=Dashboard!$H$4)),1,0)</f>
        <v>1</v>
      </c>
      <c r="V176">
        <f>IF(U176=1,IF(COUNTIFS($C$2:C176,C176,$U$2:U176,1)=1,1,0),0)</f>
        <v>1</v>
      </c>
    </row>
    <row r="177" spans="1:22" x14ac:dyDescent="0.35">
      <c r="A177">
        <v>10176</v>
      </c>
      <c r="B177" s="1">
        <v>44737</v>
      </c>
      <c r="C177">
        <v>1942</v>
      </c>
      <c r="D177" t="s">
        <v>67</v>
      </c>
      <c r="E177" t="s">
        <v>78</v>
      </c>
      <c r="F177">
        <v>5</v>
      </c>
      <c r="G177" s="2">
        <v>114.36</v>
      </c>
      <c r="H177">
        <v>0.04</v>
      </c>
      <c r="I177" t="s">
        <v>71</v>
      </c>
      <c r="J177">
        <v>2</v>
      </c>
      <c r="K177">
        <v>3</v>
      </c>
      <c r="L177" s="2">
        <v>548.92999999999995</v>
      </c>
      <c r="M177">
        <v>2022</v>
      </c>
      <c r="N177">
        <v>6</v>
      </c>
      <c r="O177" t="s">
        <v>85</v>
      </c>
      <c r="P177" s="2">
        <v>571.79999999999995</v>
      </c>
      <c r="Q177" s="2">
        <v>22.87</v>
      </c>
      <c r="R177" t="s">
        <v>75</v>
      </c>
      <c r="S177">
        <v>0</v>
      </c>
      <c r="T177">
        <v>0</v>
      </c>
      <c r="U177">
        <f>IF(AND(OR(Dashboard!$D$4="Semua",D177=Dashboard!$D$4),OR(Dashboard!$H$4="Semua",E177=Dashboard!$H$4)),1,0)</f>
        <v>1</v>
      </c>
      <c r="V177">
        <f>IF(U177=1,IF(COUNTIFS($C$2:C177,C177,$U$2:U177,1)=1,1,0),0)</f>
        <v>0</v>
      </c>
    </row>
    <row r="178" spans="1:22" x14ac:dyDescent="0.35">
      <c r="A178">
        <v>10177</v>
      </c>
      <c r="B178" s="1">
        <v>44738</v>
      </c>
      <c r="C178">
        <v>1461</v>
      </c>
      <c r="D178" t="s">
        <v>80</v>
      </c>
      <c r="E178" t="s">
        <v>78</v>
      </c>
      <c r="F178">
        <v>6</v>
      </c>
      <c r="G178" s="2">
        <v>77.19</v>
      </c>
      <c r="H178">
        <v>0.12</v>
      </c>
      <c r="I178" t="s">
        <v>64</v>
      </c>
      <c r="J178">
        <v>7</v>
      </c>
      <c r="K178">
        <v>4.3</v>
      </c>
      <c r="L178" s="2">
        <v>407.56</v>
      </c>
      <c r="M178">
        <v>2022</v>
      </c>
      <c r="N178">
        <v>6</v>
      </c>
      <c r="O178" t="s">
        <v>85</v>
      </c>
      <c r="P178" s="2">
        <v>463.14</v>
      </c>
      <c r="Q178" s="2">
        <v>55.58</v>
      </c>
      <c r="R178" t="s">
        <v>79</v>
      </c>
      <c r="S178">
        <v>0</v>
      </c>
      <c r="T178">
        <v>0</v>
      </c>
      <c r="U178">
        <f>IF(AND(OR(Dashboard!$D$4="Semua",D178=Dashboard!$D$4),OR(Dashboard!$H$4="Semua",E178=Dashboard!$H$4)),1,0)</f>
        <v>1</v>
      </c>
      <c r="V178">
        <f>IF(U178=1,IF(COUNTIFS($C$2:C178,C178,$U$2:U178,1)=1,1,0),0)</f>
        <v>0</v>
      </c>
    </row>
    <row r="179" spans="1:22" x14ac:dyDescent="0.35">
      <c r="A179">
        <v>10178</v>
      </c>
      <c r="B179" s="1">
        <v>44739</v>
      </c>
      <c r="C179">
        <v>1642</v>
      </c>
      <c r="D179" t="s">
        <v>67</v>
      </c>
      <c r="E179" t="s">
        <v>70</v>
      </c>
      <c r="F179">
        <v>6</v>
      </c>
      <c r="G179" s="2">
        <v>545.44000000000005</v>
      </c>
      <c r="H179">
        <v>0.19</v>
      </c>
      <c r="I179" t="s">
        <v>68</v>
      </c>
      <c r="J179">
        <v>2</v>
      </c>
      <c r="K179">
        <v>5</v>
      </c>
      <c r="L179" s="2">
        <v>2650.84</v>
      </c>
      <c r="M179">
        <v>2022</v>
      </c>
      <c r="N179">
        <v>6</v>
      </c>
      <c r="O179" t="s">
        <v>85</v>
      </c>
      <c r="P179" s="2">
        <v>3272.64</v>
      </c>
      <c r="Q179" s="2">
        <v>621.79999999999995</v>
      </c>
      <c r="R179" t="s">
        <v>76</v>
      </c>
      <c r="S179">
        <v>0</v>
      </c>
      <c r="T179">
        <v>0</v>
      </c>
      <c r="U179">
        <f>IF(AND(OR(Dashboard!$D$4="Semua",D179=Dashboard!$D$4),OR(Dashboard!$H$4="Semua",E179=Dashboard!$H$4)),1,0)</f>
        <v>1</v>
      </c>
      <c r="V179">
        <f>IF(U179=1,IF(COUNTIFS($C$2:C179,C179,$U$2:U179,1)=1,1,0),0)</f>
        <v>1</v>
      </c>
    </row>
    <row r="180" spans="1:22" x14ac:dyDescent="0.35">
      <c r="A180">
        <v>10179</v>
      </c>
      <c r="B180" s="1">
        <v>44740</v>
      </c>
      <c r="C180">
        <v>1768</v>
      </c>
      <c r="D180" t="s">
        <v>73</v>
      </c>
      <c r="E180" t="s">
        <v>78</v>
      </c>
      <c r="F180">
        <v>7</v>
      </c>
      <c r="G180" s="2">
        <v>598.63</v>
      </c>
      <c r="H180">
        <v>0.19</v>
      </c>
      <c r="I180" t="s">
        <v>68</v>
      </c>
      <c r="J180">
        <v>7</v>
      </c>
      <c r="K180">
        <v>1.8</v>
      </c>
      <c r="L180" s="2">
        <v>3394.23</v>
      </c>
      <c r="M180">
        <v>2022</v>
      </c>
      <c r="N180">
        <v>6</v>
      </c>
      <c r="O180" t="s">
        <v>85</v>
      </c>
      <c r="P180" s="2">
        <v>4190.41</v>
      </c>
      <c r="Q180" s="2">
        <v>796.18</v>
      </c>
      <c r="R180" t="s">
        <v>76</v>
      </c>
      <c r="S180">
        <v>0</v>
      </c>
      <c r="T180">
        <v>1</v>
      </c>
      <c r="U180">
        <f>IF(AND(OR(Dashboard!$D$4="Semua",D180=Dashboard!$D$4),OR(Dashboard!$H$4="Semua",E180=Dashboard!$H$4)),1,0)</f>
        <v>1</v>
      </c>
      <c r="V180">
        <f>IF(U180=1,IF(COUNTIFS($C$2:C180,C180,$U$2:U180,1)=1,1,0),0)</f>
        <v>1</v>
      </c>
    </row>
    <row r="181" spans="1:22" x14ac:dyDescent="0.35">
      <c r="A181">
        <v>10180</v>
      </c>
      <c r="B181" s="1">
        <v>44741</v>
      </c>
      <c r="C181">
        <v>1004</v>
      </c>
      <c r="D181" t="s">
        <v>80</v>
      </c>
      <c r="E181" t="s">
        <v>78</v>
      </c>
      <c r="F181">
        <v>3</v>
      </c>
      <c r="G181" s="2">
        <v>111.01</v>
      </c>
      <c r="H181">
        <v>0.01</v>
      </c>
      <c r="I181" t="s">
        <v>68</v>
      </c>
      <c r="J181">
        <v>1</v>
      </c>
      <c r="K181">
        <v>1.8</v>
      </c>
      <c r="L181" s="2">
        <v>329.7</v>
      </c>
      <c r="M181">
        <v>2022</v>
      </c>
      <c r="N181">
        <v>6</v>
      </c>
      <c r="O181" t="s">
        <v>85</v>
      </c>
      <c r="P181" s="2">
        <v>333.03</v>
      </c>
      <c r="Q181" s="2">
        <v>3.33</v>
      </c>
      <c r="R181" t="s">
        <v>75</v>
      </c>
      <c r="S181">
        <v>0</v>
      </c>
      <c r="T181">
        <v>0</v>
      </c>
      <c r="U181">
        <f>IF(AND(OR(Dashboard!$D$4="Semua",D181=Dashboard!$D$4),OR(Dashboard!$H$4="Semua",E181=Dashboard!$H$4)),1,0)</f>
        <v>1</v>
      </c>
      <c r="V181">
        <f>IF(U181=1,IF(COUNTIFS($C$2:C181,C181,$U$2:U181,1)=1,1,0),0)</f>
        <v>1</v>
      </c>
    </row>
    <row r="182" spans="1:22" x14ac:dyDescent="0.35">
      <c r="A182">
        <v>10181</v>
      </c>
      <c r="B182" s="1">
        <v>44742</v>
      </c>
      <c r="C182">
        <v>1217</v>
      </c>
      <c r="D182" t="s">
        <v>67</v>
      </c>
      <c r="E182" t="s">
        <v>70</v>
      </c>
      <c r="F182">
        <v>5</v>
      </c>
      <c r="G182" s="2">
        <v>46.9</v>
      </c>
      <c r="H182">
        <v>0.33</v>
      </c>
      <c r="I182" t="s">
        <v>71</v>
      </c>
      <c r="J182">
        <v>6</v>
      </c>
      <c r="K182">
        <v>4.2</v>
      </c>
      <c r="L182" s="2">
        <v>157.11000000000001</v>
      </c>
      <c r="M182">
        <v>2022</v>
      </c>
      <c r="N182">
        <v>6</v>
      </c>
      <c r="O182" t="s">
        <v>85</v>
      </c>
      <c r="P182" s="2">
        <v>234.5</v>
      </c>
      <c r="Q182" s="2">
        <v>77.39</v>
      </c>
      <c r="R182" t="s">
        <v>72</v>
      </c>
      <c r="S182">
        <v>0</v>
      </c>
      <c r="T182">
        <v>0</v>
      </c>
      <c r="U182">
        <f>IF(AND(OR(Dashboard!$D$4="Semua",D182=Dashboard!$D$4),OR(Dashboard!$H$4="Semua",E182=Dashboard!$H$4)),1,0)</f>
        <v>1</v>
      </c>
      <c r="V182">
        <f>IF(U182=1,IF(COUNTIFS($C$2:C182,C182,$U$2:U182,1)=1,1,0),0)</f>
        <v>1</v>
      </c>
    </row>
    <row r="183" spans="1:22" x14ac:dyDescent="0.35">
      <c r="A183">
        <v>10182</v>
      </c>
      <c r="B183" s="1">
        <v>44743</v>
      </c>
      <c r="C183">
        <v>1502</v>
      </c>
      <c r="D183" t="s">
        <v>67</v>
      </c>
      <c r="E183" t="s">
        <v>63</v>
      </c>
      <c r="F183">
        <v>7</v>
      </c>
      <c r="G183" s="2">
        <v>207.89</v>
      </c>
      <c r="H183">
        <v>0.1</v>
      </c>
      <c r="I183" t="s">
        <v>71</v>
      </c>
      <c r="J183">
        <v>10</v>
      </c>
      <c r="K183">
        <v>2.9</v>
      </c>
      <c r="L183" s="2">
        <v>1309.71</v>
      </c>
      <c r="M183">
        <v>2022</v>
      </c>
      <c r="N183">
        <v>7</v>
      </c>
      <c r="O183" t="s">
        <v>86</v>
      </c>
      <c r="P183" s="2">
        <v>1455.23</v>
      </c>
      <c r="Q183" s="2">
        <v>145.52000000000001</v>
      </c>
      <c r="R183" t="s">
        <v>69</v>
      </c>
      <c r="S183">
        <v>0</v>
      </c>
      <c r="T183">
        <v>0</v>
      </c>
      <c r="U183">
        <f>IF(AND(OR(Dashboard!$D$4="Semua",D183=Dashboard!$D$4),OR(Dashboard!$H$4="Semua",E183=Dashboard!$H$4)),1,0)</f>
        <v>1</v>
      </c>
      <c r="V183">
        <f>IF(U183=1,IF(COUNTIFS($C$2:C183,C183,$U$2:U183,1)=1,1,0),0)</f>
        <v>0</v>
      </c>
    </row>
    <row r="184" spans="1:22" x14ac:dyDescent="0.35">
      <c r="A184">
        <v>10183</v>
      </c>
      <c r="B184" s="1">
        <v>44744</v>
      </c>
      <c r="C184">
        <v>1766</v>
      </c>
      <c r="D184" t="s">
        <v>80</v>
      </c>
      <c r="E184" t="s">
        <v>70</v>
      </c>
      <c r="F184">
        <v>2</v>
      </c>
      <c r="G184" s="2">
        <v>285.07</v>
      </c>
      <c r="H184">
        <v>0.01</v>
      </c>
      <c r="I184" t="s">
        <v>71</v>
      </c>
      <c r="J184">
        <v>7</v>
      </c>
      <c r="K184">
        <v>4.7</v>
      </c>
      <c r="L184" s="2">
        <v>564.44000000000005</v>
      </c>
      <c r="M184">
        <v>2022</v>
      </c>
      <c r="N184">
        <v>7</v>
      </c>
      <c r="O184" t="s">
        <v>86</v>
      </c>
      <c r="P184" s="2">
        <v>570.14</v>
      </c>
      <c r="Q184" s="2">
        <v>5.7</v>
      </c>
      <c r="R184" t="s">
        <v>75</v>
      </c>
      <c r="S184">
        <v>0</v>
      </c>
      <c r="T184">
        <v>0</v>
      </c>
      <c r="U184">
        <f>IF(AND(OR(Dashboard!$D$4="Semua",D184=Dashboard!$D$4),OR(Dashboard!$H$4="Semua",E184=Dashboard!$H$4)),1,0)</f>
        <v>1</v>
      </c>
      <c r="V184">
        <f>IF(U184=1,IF(COUNTIFS($C$2:C184,C184,$U$2:U184,1)=1,1,0),0)</f>
        <v>1</v>
      </c>
    </row>
    <row r="185" spans="1:22" x14ac:dyDescent="0.35">
      <c r="A185">
        <v>10184</v>
      </c>
      <c r="B185" s="1">
        <v>44745</v>
      </c>
      <c r="C185">
        <v>1397</v>
      </c>
      <c r="D185" t="s">
        <v>73</v>
      </c>
      <c r="E185" t="s">
        <v>70</v>
      </c>
      <c r="F185">
        <v>7</v>
      </c>
      <c r="G185" s="2">
        <v>134.82</v>
      </c>
      <c r="H185">
        <v>0.03</v>
      </c>
      <c r="I185" t="s">
        <v>71</v>
      </c>
      <c r="J185">
        <v>4</v>
      </c>
      <c r="K185">
        <v>4.0999999999999996</v>
      </c>
      <c r="L185" s="2">
        <v>915.43</v>
      </c>
      <c r="M185">
        <v>2022</v>
      </c>
      <c r="N185">
        <v>7</v>
      </c>
      <c r="O185" t="s">
        <v>86</v>
      </c>
      <c r="P185" s="2">
        <v>943.74</v>
      </c>
      <c r="Q185" s="2">
        <v>28.31</v>
      </c>
      <c r="R185" t="s">
        <v>75</v>
      </c>
      <c r="S185">
        <v>0</v>
      </c>
      <c r="T185">
        <v>0</v>
      </c>
      <c r="U185">
        <f>IF(AND(OR(Dashboard!$D$4="Semua",D185=Dashboard!$D$4),OR(Dashboard!$H$4="Semua",E185=Dashboard!$H$4)),1,0)</f>
        <v>1</v>
      </c>
      <c r="V185">
        <f>IF(U185=1,IF(COUNTIFS($C$2:C185,C185,$U$2:U185,1)=1,1,0),0)</f>
        <v>1</v>
      </c>
    </row>
    <row r="186" spans="1:22" x14ac:dyDescent="0.35">
      <c r="A186">
        <v>10185</v>
      </c>
      <c r="B186" s="1">
        <v>44746</v>
      </c>
      <c r="C186">
        <v>1870</v>
      </c>
      <c r="D186" t="s">
        <v>73</v>
      </c>
      <c r="E186" t="s">
        <v>74</v>
      </c>
      <c r="F186">
        <v>2</v>
      </c>
      <c r="G186" s="2">
        <v>191.33</v>
      </c>
      <c r="H186">
        <v>0.2</v>
      </c>
      <c r="I186" t="s">
        <v>68</v>
      </c>
      <c r="J186">
        <v>11</v>
      </c>
      <c r="K186">
        <v>3.9</v>
      </c>
      <c r="L186" s="2">
        <v>306.13</v>
      </c>
      <c r="M186">
        <v>2022</v>
      </c>
      <c r="N186">
        <v>7</v>
      </c>
      <c r="O186" t="s">
        <v>86</v>
      </c>
      <c r="P186" s="2">
        <v>382.66</v>
      </c>
      <c r="Q186" s="2">
        <v>76.53</v>
      </c>
      <c r="R186" t="s">
        <v>76</v>
      </c>
      <c r="S186">
        <v>0</v>
      </c>
      <c r="T186">
        <v>0</v>
      </c>
      <c r="U186">
        <f>IF(AND(OR(Dashboard!$D$4="Semua",D186=Dashboard!$D$4),OR(Dashboard!$H$4="Semua",E186=Dashboard!$H$4)),1,0)</f>
        <v>1</v>
      </c>
      <c r="V186">
        <f>IF(U186=1,IF(COUNTIFS($C$2:C186,C186,$U$2:U186,1)=1,1,0),0)</f>
        <v>1</v>
      </c>
    </row>
    <row r="187" spans="1:22" x14ac:dyDescent="0.35">
      <c r="A187">
        <v>10186</v>
      </c>
      <c r="B187" s="1">
        <v>44747</v>
      </c>
      <c r="C187">
        <v>1794</v>
      </c>
      <c r="D187" t="s">
        <v>62</v>
      </c>
      <c r="E187" t="s">
        <v>70</v>
      </c>
      <c r="F187">
        <v>3</v>
      </c>
      <c r="G187" s="2">
        <v>132.51</v>
      </c>
      <c r="H187">
        <v>0.05</v>
      </c>
      <c r="I187" t="s">
        <v>71</v>
      </c>
      <c r="J187">
        <v>11</v>
      </c>
      <c r="K187">
        <v>1.4</v>
      </c>
      <c r="L187" s="2">
        <v>377.65</v>
      </c>
      <c r="M187">
        <v>2022</v>
      </c>
      <c r="N187">
        <v>7</v>
      </c>
      <c r="O187" t="s">
        <v>86</v>
      </c>
      <c r="P187" s="2">
        <v>397.53</v>
      </c>
      <c r="Q187" s="2">
        <v>19.88</v>
      </c>
      <c r="R187" t="s">
        <v>75</v>
      </c>
      <c r="S187">
        <v>0</v>
      </c>
      <c r="T187">
        <v>0</v>
      </c>
      <c r="U187">
        <f>IF(AND(OR(Dashboard!$D$4="Semua",D187=Dashboard!$D$4),OR(Dashboard!$H$4="Semua",E187=Dashboard!$H$4)),1,0)</f>
        <v>1</v>
      </c>
      <c r="V187">
        <f>IF(U187=1,IF(COUNTIFS($C$2:C187,C187,$U$2:U187,1)=1,1,0),0)</f>
        <v>1</v>
      </c>
    </row>
    <row r="188" spans="1:22" x14ac:dyDescent="0.35">
      <c r="A188">
        <v>10187</v>
      </c>
      <c r="B188" s="1">
        <v>44748</v>
      </c>
      <c r="C188">
        <v>1392</v>
      </c>
      <c r="D188" t="s">
        <v>73</v>
      </c>
      <c r="E188" t="s">
        <v>78</v>
      </c>
      <c r="F188">
        <v>6</v>
      </c>
      <c r="G188" s="2">
        <v>467.94</v>
      </c>
      <c r="H188">
        <v>0.01</v>
      </c>
      <c r="I188" t="s">
        <v>68</v>
      </c>
      <c r="J188">
        <v>1</v>
      </c>
      <c r="K188">
        <v>1.1000000000000001</v>
      </c>
      <c r="L188" s="2">
        <v>2779.56</v>
      </c>
      <c r="M188">
        <v>2022</v>
      </c>
      <c r="N188">
        <v>7</v>
      </c>
      <c r="O188" t="s">
        <v>86</v>
      </c>
      <c r="P188" s="2">
        <v>2807.64</v>
      </c>
      <c r="Q188" s="2">
        <v>28.08</v>
      </c>
      <c r="R188" t="s">
        <v>75</v>
      </c>
      <c r="S188">
        <v>0</v>
      </c>
      <c r="T188">
        <v>0</v>
      </c>
      <c r="U188">
        <f>IF(AND(OR(Dashboard!$D$4="Semua",D188=Dashboard!$D$4),OR(Dashboard!$H$4="Semua",E188=Dashboard!$H$4)),1,0)</f>
        <v>1</v>
      </c>
      <c r="V188">
        <f>IF(U188=1,IF(COUNTIFS($C$2:C188,C188,$U$2:U188,1)=1,1,0),0)</f>
        <v>1</v>
      </c>
    </row>
    <row r="189" spans="1:22" x14ac:dyDescent="0.35">
      <c r="A189">
        <v>10188</v>
      </c>
      <c r="B189" s="1">
        <v>44749</v>
      </c>
      <c r="C189">
        <v>1206</v>
      </c>
      <c r="D189" t="s">
        <v>67</v>
      </c>
      <c r="E189" t="s">
        <v>78</v>
      </c>
      <c r="F189">
        <v>2</v>
      </c>
      <c r="G189" s="2">
        <v>431.86</v>
      </c>
      <c r="H189">
        <v>0.13</v>
      </c>
      <c r="I189" t="s">
        <v>68</v>
      </c>
      <c r="J189">
        <v>6</v>
      </c>
      <c r="K189">
        <v>2.2999999999999998</v>
      </c>
      <c r="L189" s="2">
        <v>751.44</v>
      </c>
      <c r="M189">
        <v>2022</v>
      </c>
      <c r="N189">
        <v>7</v>
      </c>
      <c r="O189" t="s">
        <v>86</v>
      </c>
      <c r="P189" s="2">
        <v>863.72</v>
      </c>
      <c r="Q189" s="2">
        <v>112.28</v>
      </c>
      <c r="R189" t="s">
        <v>79</v>
      </c>
      <c r="S189">
        <v>0</v>
      </c>
      <c r="T189">
        <v>0</v>
      </c>
      <c r="U189">
        <f>IF(AND(OR(Dashboard!$D$4="Semua",D189=Dashboard!$D$4),OR(Dashboard!$H$4="Semua",E189=Dashboard!$H$4)),1,0)</f>
        <v>1</v>
      </c>
      <c r="V189">
        <f>IF(U189=1,IF(COUNTIFS($C$2:C189,C189,$U$2:U189,1)=1,1,0),0)</f>
        <v>1</v>
      </c>
    </row>
    <row r="190" spans="1:22" x14ac:dyDescent="0.35">
      <c r="A190">
        <v>10189</v>
      </c>
      <c r="B190" s="1">
        <v>44750</v>
      </c>
      <c r="C190">
        <v>1014</v>
      </c>
      <c r="D190" t="s">
        <v>62</v>
      </c>
      <c r="E190" t="s">
        <v>78</v>
      </c>
      <c r="F190">
        <v>3</v>
      </c>
      <c r="G190" s="2">
        <v>386.45</v>
      </c>
      <c r="H190">
        <v>0.22</v>
      </c>
      <c r="I190" t="s">
        <v>71</v>
      </c>
      <c r="J190">
        <v>4</v>
      </c>
      <c r="K190">
        <v>1.9</v>
      </c>
      <c r="L190" s="2">
        <v>904.29</v>
      </c>
      <c r="M190">
        <v>2022</v>
      </c>
      <c r="N190">
        <v>7</v>
      </c>
      <c r="O190" t="s">
        <v>86</v>
      </c>
      <c r="P190" s="2">
        <v>1159.3499999999999</v>
      </c>
      <c r="Q190" s="2">
        <v>255.06</v>
      </c>
      <c r="R190" t="s">
        <v>77</v>
      </c>
      <c r="S190">
        <v>0</v>
      </c>
      <c r="T190">
        <v>0</v>
      </c>
      <c r="U190">
        <f>IF(AND(OR(Dashboard!$D$4="Semua",D190=Dashboard!$D$4),OR(Dashboard!$H$4="Semua",E190=Dashboard!$H$4)),1,0)</f>
        <v>1</v>
      </c>
      <c r="V190">
        <f>IF(U190=1,IF(COUNTIFS($C$2:C190,C190,$U$2:U190,1)=1,1,0),0)</f>
        <v>0</v>
      </c>
    </row>
    <row r="191" spans="1:22" x14ac:dyDescent="0.35">
      <c r="A191">
        <v>10190</v>
      </c>
      <c r="B191" s="1">
        <v>44751</v>
      </c>
      <c r="C191">
        <v>1857</v>
      </c>
      <c r="D191" t="s">
        <v>80</v>
      </c>
      <c r="E191" t="s">
        <v>63</v>
      </c>
      <c r="F191">
        <v>7</v>
      </c>
      <c r="G191" s="2">
        <v>241.52</v>
      </c>
      <c r="H191">
        <v>0.04</v>
      </c>
      <c r="I191" t="s">
        <v>64</v>
      </c>
      <c r="J191">
        <v>3</v>
      </c>
      <c r="K191">
        <v>3.8</v>
      </c>
      <c r="L191" s="2">
        <v>1623.01</v>
      </c>
      <c r="M191">
        <v>2022</v>
      </c>
      <c r="N191">
        <v>7</v>
      </c>
      <c r="O191" t="s">
        <v>86</v>
      </c>
      <c r="P191" s="2">
        <v>1690.64</v>
      </c>
      <c r="Q191" s="2">
        <v>67.63</v>
      </c>
      <c r="R191" t="s">
        <v>75</v>
      </c>
      <c r="S191">
        <v>0</v>
      </c>
      <c r="T191">
        <v>0</v>
      </c>
      <c r="U191">
        <f>IF(AND(OR(Dashboard!$D$4="Semua",D191=Dashboard!$D$4),OR(Dashboard!$H$4="Semua",E191=Dashboard!$H$4)),1,0)</f>
        <v>1</v>
      </c>
      <c r="V191">
        <f>IF(U191=1,IF(COUNTIFS($C$2:C191,C191,$U$2:U191,1)=1,1,0),0)</f>
        <v>1</v>
      </c>
    </row>
    <row r="192" spans="1:22" x14ac:dyDescent="0.35">
      <c r="A192">
        <v>10191</v>
      </c>
      <c r="B192" s="1">
        <v>44752</v>
      </c>
      <c r="C192">
        <v>1553</v>
      </c>
      <c r="D192" t="s">
        <v>73</v>
      </c>
      <c r="E192" t="s">
        <v>78</v>
      </c>
      <c r="F192">
        <v>2</v>
      </c>
      <c r="G192" s="2">
        <v>546.79</v>
      </c>
      <c r="H192">
        <v>0.11</v>
      </c>
      <c r="I192" t="s">
        <v>71</v>
      </c>
      <c r="J192">
        <v>4</v>
      </c>
      <c r="K192">
        <v>2.8</v>
      </c>
      <c r="L192" s="2">
        <v>973.29</v>
      </c>
      <c r="M192">
        <v>2022</v>
      </c>
      <c r="N192">
        <v>7</v>
      </c>
      <c r="O192" t="s">
        <v>86</v>
      </c>
      <c r="P192" s="2">
        <v>1093.58</v>
      </c>
      <c r="Q192" s="2">
        <v>120.29</v>
      </c>
      <c r="R192" t="s">
        <v>79</v>
      </c>
      <c r="S192">
        <v>0</v>
      </c>
      <c r="T192">
        <v>0</v>
      </c>
      <c r="U192">
        <f>IF(AND(OR(Dashboard!$D$4="Semua",D192=Dashboard!$D$4),OR(Dashboard!$H$4="Semua",E192=Dashboard!$H$4)),1,0)</f>
        <v>1</v>
      </c>
      <c r="V192">
        <f>IF(U192=1,IF(COUNTIFS($C$2:C192,C192,$U$2:U192,1)=1,1,0),0)</f>
        <v>1</v>
      </c>
    </row>
    <row r="193" spans="1:22" x14ac:dyDescent="0.35">
      <c r="A193">
        <v>10192</v>
      </c>
      <c r="B193" s="1">
        <v>44753</v>
      </c>
      <c r="C193">
        <v>1891</v>
      </c>
      <c r="D193" t="s">
        <v>73</v>
      </c>
      <c r="E193" t="s">
        <v>63</v>
      </c>
      <c r="F193">
        <v>4</v>
      </c>
      <c r="G193" s="2">
        <v>582.17999999999995</v>
      </c>
      <c r="H193">
        <v>0.15</v>
      </c>
      <c r="I193" t="s">
        <v>71</v>
      </c>
      <c r="J193">
        <v>6</v>
      </c>
      <c r="K193">
        <v>3.1</v>
      </c>
      <c r="L193" s="2">
        <v>1979.41</v>
      </c>
      <c r="M193">
        <v>2022</v>
      </c>
      <c r="N193">
        <v>7</v>
      </c>
      <c r="O193" t="s">
        <v>86</v>
      </c>
      <c r="P193" s="2">
        <v>2328.7199999999998</v>
      </c>
      <c r="Q193" s="2">
        <v>349.31</v>
      </c>
      <c r="R193" t="s">
        <v>79</v>
      </c>
      <c r="S193">
        <v>0</v>
      </c>
      <c r="T193">
        <v>0</v>
      </c>
      <c r="U193">
        <f>IF(AND(OR(Dashboard!$D$4="Semua",D193=Dashboard!$D$4),OR(Dashboard!$H$4="Semua",E193=Dashboard!$H$4)),1,0)</f>
        <v>1</v>
      </c>
      <c r="V193">
        <f>IF(U193=1,IF(COUNTIFS($C$2:C193,C193,$U$2:U193,1)=1,1,0),0)</f>
        <v>1</v>
      </c>
    </row>
    <row r="194" spans="1:22" x14ac:dyDescent="0.35">
      <c r="A194">
        <v>10193</v>
      </c>
      <c r="B194" s="1">
        <v>44754</v>
      </c>
      <c r="C194">
        <v>1460</v>
      </c>
      <c r="D194" t="s">
        <v>73</v>
      </c>
      <c r="E194" t="s">
        <v>78</v>
      </c>
      <c r="F194">
        <v>1</v>
      </c>
      <c r="G194" s="2">
        <v>116.58</v>
      </c>
      <c r="H194">
        <v>0.06</v>
      </c>
      <c r="I194" t="s">
        <v>68</v>
      </c>
      <c r="J194">
        <v>5</v>
      </c>
      <c r="K194">
        <v>4.3</v>
      </c>
      <c r="L194" s="2">
        <v>109.59</v>
      </c>
      <c r="M194">
        <v>2022</v>
      </c>
      <c r="N194">
        <v>7</v>
      </c>
      <c r="O194" t="s">
        <v>86</v>
      </c>
      <c r="P194" s="2">
        <v>116.58</v>
      </c>
      <c r="Q194" s="2">
        <v>6.99</v>
      </c>
      <c r="R194" t="s">
        <v>69</v>
      </c>
      <c r="S194">
        <v>0</v>
      </c>
      <c r="T194">
        <v>0</v>
      </c>
      <c r="U194">
        <f>IF(AND(OR(Dashboard!$D$4="Semua",D194=Dashboard!$D$4),OR(Dashboard!$H$4="Semua",E194=Dashboard!$H$4)),1,0)</f>
        <v>1</v>
      </c>
      <c r="V194">
        <f>IF(U194=1,IF(COUNTIFS($C$2:C194,C194,$U$2:U194,1)=1,1,0),0)</f>
        <v>1</v>
      </c>
    </row>
    <row r="195" spans="1:22" x14ac:dyDescent="0.35">
      <c r="A195">
        <v>10194</v>
      </c>
      <c r="B195" s="1">
        <v>44755</v>
      </c>
      <c r="C195">
        <v>1690</v>
      </c>
      <c r="D195" t="s">
        <v>67</v>
      </c>
      <c r="E195" t="s">
        <v>70</v>
      </c>
      <c r="F195">
        <v>7</v>
      </c>
      <c r="G195" s="2">
        <v>145.46</v>
      </c>
      <c r="H195">
        <v>0.18</v>
      </c>
      <c r="I195" t="s">
        <v>68</v>
      </c>
      <c r="J195">
        <v>2</v>
      </c>
      <c r="K195">
        <v>2.9</v>
      </c>
      <c r="L195" s="2">
        <v>834.94</v>
      </c>
      <c r="M195">
        <v>2022</v>
      </c>
      <c r="N195">
        <v>7</v>
      </c>
      <c r="O195" t="s">
        <v>86</v>
      </c>
      <c r="P195" s="2">
        <v>1018.22</v>
      </c>
      <c r="Q195" s="2">
        <v>183.28</v>
      </c>
      <c r="R195" t="s">
        <v>76</v>
      </c>
      <c r="S195">
        <v>0</v>
      </c>
      <c r="T195">
        <v>0</v>
      </c>
      <c r="U195">
        <f>IF(AND(OR(Dashboard!$D$4="Semua",D195=Dashboard!$D$4),OR(Dashboard!$H$4="Semua",E195=Dashboard!$H$4)),1,0)</f>
        <v>1</v>
      </c>
      <c r="V195">
        <f>IF(U195=1,IF(COUNTIFS($C$2:C195,C195,$U$2:U195,1)=1,1,0),0)</f>
        <v>1</v>
      </c>
    </row>
    <row r="196" spans="1:22" x14ac:dyDescent="0.35">
      <c r="A196">
        <v>10195</v>
      </c>
      <c r="B196" s="1">
        <v>44756</v>
      </c>
      <c r="C196">
        <v>1574</v>
      </c>
      <c r="D196" t="s">
        <v>67</v>
      </c>
      <c r="E196" t="s">
        <v>74</v>
      </c>
      <c r="F196">
        <v>6</v>
      </c>
      <c r="G196" s="2">
        <v>322.49</v>
      </c>
      <c r="H196">
        <v>0.03</v>
      </c>
      <c r="I196" t="s">
        <v>68</v>
      </c>
      <c r="J196">
        <v>2</v>
      </c>
      <c r="K196">
        <v>3.2</v>
      </c>
      <c r="L196" s="2">
        <v>1876.89</v>
      </c>
      <c r="M196">
        <v>2022</v>
      </c>
      <c r="N196">
        <v>7</v>
      </c>
      <c r="O196" t="s">
        <v>86</v>
      </c>
      <c r="P196" s="2">
        <v>1934.94</v>
      </c>
      <c r="Q196" s="2">
        <v>58.05</v>
      </c>
      <c r="R196" t="s">
        <v>75</v>
      </c>
      <c r="S196">
        <v>0</v>
      </c>
      <c r="T196">
        <v>0</v>
      </c>
      <c r="U196">
        <f>IF(AND(OR(Dashboard!$D$4="Semua",D196=Dashboard!$D$4),OR(Dashboard!$H$4="Semua",E196=Dashboard!$H$4)),1,0)</f>
        <v>1</v>
      </c>
      <c r="V196">
        <f>IF(U196=1,IF(COUNTIFS($C$2:C196,C196,$U$2:U196,1)=1,1,0),0)</f>
        <v>1</v>
      </c>
    </row>
    <row r="197" spans="1:22" x14ac:dyDescent="0.35">
      <c r="A197">
        <v>10196</v>
      </c>
      <c r="B197" s="1">
        <v>44757</v>
      </c>
      <c r="C197">
        <v>1863</v>
      </c>
      <c r="D197" t="s">
        <v>73</v>
      </c>
      <c r="E197" t="s">
        <v>78</v>
      </c>
      <c r="F197">
        <v>7</v>
      </c>
      <c r="G197" s="2">
        <v>68.38</v>
      </c>
      <c r="H197">
        <v>0.02</v>
      </c>
      <c r="I197" t="s">
        <v>64</v>
      </c>
      <c r="J197">
        <v>3</v>
      </c>
      <c r="K197">
        <v>4.4000000000000004</v>
      </c>
      <c r="L197" s="2">
        <v>469.09</v>
      </c>
      <c r="M197">
        <v>2022</v>
      </c>
      <c r="N197">
        <v>7</v>
      </c>
      <c r="O197" t="s">
        <v>86</v>
      </c>
      <c r="P197" s="2">
        <v>478.66</v>
      </c>
      <c r="Q197" s="2">
        <v>9.57</v>
      </c>
      <c r="R197" t="s">
        <v>75</v>
      </c>
      <c r="S197">
        <v>0</v>
      </c>
      <c r="T197">
        <v>0</v>
      </c>
      <c r="U197">
        <f>IF(AND(OR(Dashboard!$D$4="Semua",D197=Dashboard!$D$4),OR(Dashboard!$H$4="Semua",E197=Dashboard!$H$4)),1,0)</f>
        <v>1</v>
      </c>
      <c r="V197">
        <f>IF(U197=1,IF(COUNTIFS($C$2:C197,C197,$U$2:U197,1)=1,1,0),0)</f>
        <v>1</v>
      </c>
    </row>
    <row r="198" spans="1:22" x14ac:dyDescent="0.35">
      <c r="A198">
        <v>10197</v>
      </c>
      <c r="B198" s="1">
        <v>44758</v>
      </c>
      <c r="C198">
        <v>1742</v>
      </c>
      <c r="D198" t="s">
        <v>62</v>
      </c>
      <c r="E198" t="s">
        <v>63</v>
      </c>
      <c r="F198">
        <v>4</v>
      </c>
      <c r="G198" s="2">
        <v>270.32</v>
      </c>
      <c r="H198">
        <v>0.18</v>
      </c>
      <c r="I198" t="s">
        <v>64</v>
      </c>
      <c r="J198">
        <v>11</v>
      </c>
      <c r="K198">
        <v>2.7</v>
      </c>
      <c r="L198" s="2">
        <v>886.65</v>
      </c>
      <c r="M198">
        <v>2022</v>
      </c>
      <c r="N198">
        <v>7</v>
      </c>
      <c r="O198" t="s">
        <v>86</v>
      </c>
      <c r="P198" s="2">
        <v>1081.28</v>
      </c>
      <c r="Q198" s="2">
        <v>194.63</v>
      </c>
      <c r="R198" t="s">
        <v>76</v>
      </c>
      <c r="S198">
        <v>0</v>
      </c>
      <c r="T198">
        <v>0</v>
      </c>
      <c r="U198">
        <f>IF(AND(OR(Dashboard!$D$4="Semua",D198=Dashboard!$D$4),OR(Dashboard!$H$4="Semua",E198=Dashboard!$H$4)),1,0)</f>
        <v>1</v>
      </c>
      <c r="V198">
        <f>IF(U198=1,IF(COUNTIFS($C$2:C198,C198,$U$2:U198,1)=1,1,0),0)</f>
        <v>1</v>
      </c>
    </row>
    <row r="199" spans="1:22" x14ac:dyDescent="0.35">
      <c r="A199">
        <v>10198</v>
      </c>
      <c r="B199" s="1">
        <v>44759</v>
      </c>
      <c r="C199">
        <v>1240</v>
      </c>
      <c r="D199" t="s">
        <v>67</v>
      </c>
      <c r="E199" t="s">
        <v>63</v>
      </c>
      <c r="F199">
        <v>3</v>
      </c>
      <c r="G199" s="2">
        <v>355.35</v>
      </c>
      <c r="H199">
        <v>0.09</v>
      </c>
      <c r="I199" t="s">
        <v>64</v>
      </c>
      <c r="J199">
        <v>6</v>
      </c>
      <c r="K199">
        <v>1.3</v>
      </c>
      <c r="L199" s="2">
        <v>970.11</v>
      </c>
      <c r="M199">
        <v>2022</v>
      </c>
      <c r="N199">
        <v>7</v>
      </c>
      <c r="O199" t="s">
        <v>86</v>
      </c>
      <c r="P199" s="2">
        <v>1066.05</v>
      </c>
      <c r="Q199" s="2">
        <v>95.94</v>
      </c>
      <c r="R199" t="s">
        <v>69</v>
      </c>
      <c r="S199">
        <v>0</v>
      </c>
      <c r="T199">
        <v>0</v>
      </c>
      <c r="U199">
        <f>IF(AND(OR(Dashboard!$D$4="Semua",D199=Dashboard!$D$4),OR(Dashboard!$H$4="Semua",E199=Dashboard!$H$4)),1,0)</f>
        <v>1</v>
      </c>
      <c r="V199">
        <f>IF(U199=1,IF(COUNTIFS($C$2:C199,C199,$U$2:U199,1)=1,1,0),0)</f>
        <v>1</v>
      </c>
    </row>
    <row r="200" spans="1:22" x14ac:dyDescent="0.35">
      <c r="A200">
        <v>10199</v>
      </c>
      <c r="B200" s="1">
        <v>44760</v>
      </c>
      <c r="C200">
        <v>1563</v>
      </c>
      <c r="D200" t="s">
        <v>73</v>
      </c>
      <c r="E200" t="s">
        <v>74</v>
      </c>
      <c r="F200">
        <v>3</v>
      </c>
      <c r="G200" s="2">
        <v>320.41000000000003</v>
      </c>
      <c r="H200">
        <v>0.03</v>
      </c>
      <c r="I200" t="s">
        <v>68</v>
      </c>
      <c r="J200">
        <v>1</v>
      </c>
      <c r="K200">
        <v>3.1</v>
      </c>
      <c r="L200" s="2">
        <v>932.39</v>
      </c>
      <c r="M200">
        <v>2022</v>
      </c>
      <c r="N200">
        <v>7</v>
      </c>
      <c r="O200" t="s">
        <v>86</v>
      </c>
      <c r="P200" s="2">
        <v>961.23</v>
      </c>
      <c r="Q200" s="2">
        <v>28.84</v>
      </c>
      <c r="R200" t="s">
        <v>75</v>
      </c>
      <c r="S200">
        <v>0</v>
      </c>
      <c r="T200">
        <v>0</v>
      </c>
      <c r="U200">
        <f>IF(AND(OR(Dashboard!$D$4="Semua",D200=Dashboard!$D$4),OR(Dashboard!$H$4="Semua",E200=Dashboard!$H$4)),1,0)</f>
        <v>1</v>
      </c>
      <c r="V200">
        <f>IF(U200=1,IF(COUNTIFS($C$2:C200,C200,$U$2:U200,1)=1,1,0),0)</f>
        <v>1</v>
      </c>
    </row>
    <row r="201" spans="1:22" x14ac:dyDescent="0.35">
      <c r="A201">
        <v>10200</v>
      </c>
      <c r="B201" s="1">
        <v>44761</v>
      </c>
      <c r="C201">
        <v>1095</v>
      </c>
      <c r="D201" t="s">
        <v>67</v>
      </c>
      <c r="E201" t="s">
        <v>78</v>
      </c>
      <c r="F201">
        <v>7</v>
      </c>
      <c r="G201" s="2">
        <v>208.58</v>
      </c>
      <c r="H201">
        <v>0.15</v>
      </c>
      <c r="I201" t="s">
        <v>71</v>
      </c>
      <c r="J201">
        <v>11</v>
      </c>
      <c r="K201">
        <v>3.3</v>
      </c>
      <c r="L201" s="2">
        <v>1241.05</v>
      </c>
      <c r="M201">
        <v>2022</v>
      </c>
      <c r="N201">
        <v>7</v>
      </c>
      <c r="O201" t="s">
        <v>86</v>
      </c>
      <c r="P201" s="2">
        <v>1460.06</v>
      </c>
      <c r="Q201" s="2">
        <v>219.01</v>
      </c>
      <c r="R201" t="s">
        <v>79</v>
      </c>
      <c r="S201">
        <v>0</v>
      </c>
      <c r="T201">
        <v>0</v>
      </c>
      <c r="U201">
        <f>IF(AND(OR(Dashboard!$D$4="Semua",D201=Dashboard!$D$4),OR(Dashboard!$H$4="Semua",E201=Dashboard!$H$4)),1,0)</f>
        <v>1</v>
      </c>
      <c r="V201">
        <f>IF(U201=1,IF(COUNTIFS($C$2:C201,C201,$U$2:U201,1)=1,1,0),0)</f>
        <v>1</v>
      </c>
    </row>
    <row r="202" spans="1:22" x14ac:dyDescent="0.35">
      <c r="A202">
        <v>10201</v>
      </c>
      <c r="B202" s="1">
        <v>44762</v>
      </c>
      <c r="C202">
        <v>1899</v>
      </c>
      <c r="D202" t="s">
        <v>80</v>
      </c>
      <c r="E202" t="s">
        <v>70</v>
      </c>
      <c r="F202">
        <v>4</v>
      </c>
      <c r="G202" s="2">
        <v>332.33</v>
      </c>
      <c r="H202">
        <v>0.32</v>
      </c>
      <c r="I202" t="s">
        <v>71</v>
      </c>
      <c r="J202">
        <v>7</v>
      </c>
      <c r="K202">
        <v>3</v>
      </c>
      <c r="L202" s="2">
        <v>903.94</v>
      </c>
      <c r="M202">
        <v>2022</v>
      </c>
      <c r="N202">
        <v>7</v>
      </c>
      <c r="O202" t="s">
        <v>86</v>
      </c>
      <c r="P202" s="2">
        <v>1329.32</v>
      </c>
      <c r="Q202" s="2">
        <v>425.38</v>
      </c>
      <c r="R202" t="s">
        <v>72</v>
      </c>
      <c r="S202">
        <v>0</v>
      </c>
      <c r="T202">
        <v>0</v>
      </c>
      <c r="U202">
        <f>IF(AND(OR(Dashboard!$D$4="Semua",D202=Dashboard!$D$4),OR(Dashboard!$H$4="Semua",E202=Dashboard!$H$4)),1,0)</f>
        <v>1</v>
      </c>
      <c r="V202">
        <f>IF(U202=1,IF(COUNTIFS($C$2:C202,C202,$U$2:U202,1)=1,1,0),0)</f>
        <v>1</v>
      </c>
    </row>
    <row r="203" spans="1:22" x14ac:dyDescent="0.35">
      <c r="A203">
        <v>10202</v>
      </c>
      <c r="B203" s="1">
        <v>44763</v>
      </c>
      <c r="C203">
        <v>1733</v>
      </c>
      <c r="D203" t="s">
        <v>73</v>
      </c>
      <c r="E203" t="s">
        <v>78</v>
      </c>
      <c r="F203">
        <v>7</v>
      </c>
      <c r="G203" s="2">
        <v>575.9</v>
      </c>
      <c r="H203">
        <v>0.25</v>
      </c>
      <c r="I203" t="s">
        <v>71</v>
      </c>
      <c r="J203">
        <v>8</v>
      </c>
      <c r="K203">
        <v>2</v>
      </c>
      <c r="L203" s="2">
        <v>3023.48</v>
      </c>
      <c r="M203">
        <v>2022</v>
      </c>
      <c r="N203">
        <v>7</v>
      </c>
      <c r="O203" t="s">
        <v>86</v>
      </c>
      <c r="P203" s="2">
        <v>4031.3</v>
      </c>
      <c r="Q203" s="2">
        <v>1007.82</v>
      </c>
      <c r="R203" t="s">
        <v>77</v>
      </c>
      <c r="S203">
        <v>0</v>
      </c>
      <c r="T203">
        <v>0</v>
      </c>
      <c r="U203">
        <f>IF(AND(OR(Dashboard!$D$4="Semua",D203=Dashboard!$D$4),OR(Dashboard!$H$4="Semua",E203=Dashboard!$H$4)),1,0)</f>
        <v>1</v>
      </c>
      <c r="V203">
        <f>IF(U203=1,IF(COUNTIFS($C$2:C203,C203,$U$2:U203,1)=1,1,0),0)</f>
        <v>1</v>
      </c>
    </row>
    <row r="204" spans="1:22" x14ac:dyDescent="0.35">
      <c r="A204">
        <v>10203</v>
      </c>
      <c r="B204" s="1">
        <v>44764</v>
      </c>
      <c r="C204">
        <v>1484</v>
      </c>
      <c r="D204" t="s">
        <v>73</v>
      </c>
      <c r="E204" t="s">
        <v>78</v>
      </c>
      <c r="F204">
        <v>1</v>
      </c>
      <c r="G204" s="2">
        <v>135.52000000000001</v>
      </c>
      <c r="H204">
        <v>0.28999999999999998</v>
      </c>
      <c r="I204" t="s">
        <v>71</v>
      </c>
      <c r="J204">
        <v>7</v>
      </c>
      <c r="K204">
        <v>1.9</v>
      </c>
      <c r="L204" s="2">
        <v>96.22</v>
      </c>
      <c r="M204">
        <v>2022</v>
      </c>
      <c r="N204">
        <v>7</v>
      </c>
      <c r="O204" t="s">
        <v>86</v>
      </c>
      <c r="P204" s="2">
        <v>135.52000000000001</v>
      </c>
      <c r="Q204" s="2">
        <v>39.299999999999997</v>
      </c>
      <c r="R204" t="s">
        <v>66</v>
      </c>
      <c r="S204">
        <v>0</v>
      </c>
      <c r="T204">
        <v>0</v>
      </c>
      <c r="U204">
        <f>IF(AND(OR(Dashboard!$D$4="Semua",D204=Dashboard!$D$4),OR(Dashboard!$H$4="Semua",E204=Dashboard!$H$4)),1,0)</f>
        <v>1</v>
      </c>
      <c r="V204">
        <f>IF(U204=1,IF(COUNTIFS($C$2:C204,C204,$U$2:U204,1)=1,1,0),0)</f>
        <v>0</v>
      </c>
    </row>
    <row r="205" spans="1:22" x14ac:dyDescent="0.35">
      <c r="A205">
        <v>10204</v>
      </c>
      <c r="B205" s="1">
        <v>44765</v>
      </c>
      <c r="C205">
        <v>1406</v>
      </c>
      <c r="D205" t="s">
        <v>80</v>
      </c>
      <c r="E205" t="s">
        <v>74</v>
      </c>
      <c r="F205">
        <v>1</v>
      </c>
      <c r="G205" s="2">
        <v>398.08</v>
      </c>
      <c r="H205">
        <v>0.31</v>
      </c>
      <c r="I205" t="s">
        <v>71</v>
      </c>
      <c r="J205">
        <v>11</v>
      </c>
      <c r="K205">
        <v>2.5</v>
      </c>
      <c r="L205" s="2">
        <v>274.68</v>
      </c>
      <c r="M205">
        <v>2022</v>
      </c>
      <c r="N205">
        <v>7</v>
      </c>
      <c r="O205" t="s">
        <v>86</v>
      </c>
      <c r="P205" s="2">
        <v>398.08</v>
      </c>
      <c r="Q205" s="2">
        <v>123.4</v>
      </c>
      <c r="R205" t="s">
        <v>72</v>
      </c>
      <c r="S205">
        <v>0</v>
      </c>
      <c r="T205">
        <v>0</v>
      </c>
      <c r="U205">
        <f>IF(AND(OR(Dashboard!$D$4="Semua",D205=Dashboard!$D$4),OR(Dashboard!$H$4="Semua",E205=Dashboard!$H$4)),1,0)</f>
        <v>1</v>
      </c>
      <c r="V205">
        <f>IF(U205=1,IF(COUNTIFS($C$2:C205,C205,$U$2:U205,1)=1,1,0),0)</f>
        <v>0</v>
      </c>
    </row>
    <row r="206" spans="1:22" x14ac:dyDescent="0.35">
      <c r="A206">
        <v>10205</v>
      </c>
      <c r="B206" s="1">
        <v>44766</v>
      </c>
      <c r="C206">
        <v>1230</v>
      </c>
      <c r="D206" t="s">
        <v>67</v>
      </c>
      <c r="E206" t="s">
        <v>78</v>
      </c>
      <c r="F206">
        <v>5</v>
      </c>
      <c r="G206" s="2">
        <v>40.39</v>
      </c>
      <c r="H206">
        <v>0.34</v>
      </c>
      <c r="I206" t="s">
        <v>68</v>
      </c>
      <c r="J206">
        <v>3</v>
      </c>
      <c r="K206">
        <v>1.7</v>
      </c>
      <c r="L206" s="2">
        <v>133.29</v>
      </c>
      <c r="M206">
        <v>2022</v>
      </c>
      <c r="N206">
        <v>7</v>
      </c>
      <c r="O206" t="s">
        <v>86</v>
      </c>
      <c r="P206" s="2">
        <v>201.95</v>
      </c>
      <c r="Q206" s="2">
        <v>68.66</v>
      </c>
      <c r="R206" t="s">
        <v>72</v>
      </c>
      <c r="S206">
        <v>0</v>
      </c>
      <c r="T206">
        <v>0</v>
      </c>
      <c r="U206">
        <f>IF(AND(OR(Dashboard!$D$4="Semua",D206=Dashboard!$D$4),OR(Dashboard!$H$4="Semua",E206=Dashboard!$H$4)),1,0)</f>
        <v>1</v>
      </c>
      <c r="V206">
        <f>IF(U206=1,IF(COUNTIFS($C$2:C206,C206,$U$2:U206,1)=1,1,0),0)</f>
        <v>0</v>
      </c>
    </row>
    <row r="207" spans="1:22" x14ac:dyDescent="0.35">
      <c r="A207">
        <v>10206</v>
      </c>
      <c r="B207" s="1">
        <v>44767</v>
      </c>
      <c r="C207">
        <v>1748</v>
      </c>
      <c r="D207" t="s">
        <v>67</v>
      </c>
      <c r="E207" t="s">
        <v>70</v>
      </c>
      <c r="F207">
        <v>2</v>
      </c>
      <c r="G207" s="2">
        <v>53.85</v>
      </c>
      <c r="H207">
        <v>0.27</v>
      </c>
      <c r="I207" t="s">
        <v>68</v>
      </c>
      <c r="J207">
        <v>6</v>
      </c>
      <c r="K207">
        <v>3.7</v>
      </c>
      <c r="L207" s="2">
        <v>78.62</v>
      </c>
      <c r="M207">
        <v>2022</v>
      </c>
      <c r="N207">
        <v>7</v>
      </c>
      <c r="O207" t="s">
        <v>86</v>
      </c>
      <c r="P207" s="2">
        <v>107.7</v>
      </c>
      <c r="Q207" s="2">
        <v>29.08</v>
      </c>
      <c r="R207" t="s">
        <v>66</v>
      </c>
      <c r="S207">
        <v>0</v>
      </c>
      <c r="T207">
        <v>0</v>
      </c>
      <c r="U207">
        <f>IF(AND(OR(Dashboard!$D$4="Semua",D207=Dashboard!$D$4),OR(Dashboard!$H$4="Semua",E207=Dashboard!$H$4)),1,0)</f>
        <v>1</v>
      </c>
      <c r="V207">
        <f>IF(U207=1,IF(COUNTIFS($C$2:C207,C207,$U$2:U207,1)=1,1,0),0)</f>
        <v>0</v>
      </c>
    </row>
    <row r="208" spans="1:22" x14ac:dyDescent="0.35">
      <c r="A208">
        <v>10207</v>
      </c>
      <c r="B208" s="1">
        <v>44768</v>
      </c>
      <c r="C208">
        <v>1654</v>
      </c>
      <c r="D208" t="s">
        <v>67</v>
      </c>
      <c r="E208" t="s">
        <v>63</v>
      </c>
      <c r="F208">
        <v>5</v>
      </c>
      <c r="G208" s="2">
        <v>337.82</v>
      </c>
      <c r="H208">
        <v>0.21</v>
      </c>
      <c r="I208" t="s">
        <v>68</v>
      </c>
      <c r="J208">
        <v>4</v>
      </c>
      <c r="K208">
        <v>3.5</v>
      </c>
      <c r="L208" s="2">
        <v>1334.39</v>
      </c>
      <c r="M208">
        <v>2022</v>
      </c>
      <c r="N208">
        <v>7</v>
      </c>
      <c r="O208" t="s">
        <v>86</v>
      </c>
      <c r="P208" s="2">
        <v>1689.1</v>
      </c>
      <c r="Q208" s="2">
        <v>354.71</v>
      </c>
      <c r="R208" t="s">
        <v>77</v>
      </c>
      <c r="S208">
        <v>0</v>
      </c>
      <c r="T208">
        <v>0</v>
      </c>
      <c r="U208">
        <f>IF(AND(OR(Dashboard!$D$4="Semua",D208=Dashboard!$D$4),OR(Dashboard!$H$4="Semua",E208=Dashboard!$H$4)),1,0)</f>
        <v>1</v>
      </c>
      <c r="V208">
        <f>IF(U208=1,IF(COUNTIFS($C$2:C208,C208,$U$2:U208,1)=1,1,0),0)</f>
        <v>1</v>
      </c>
    </row>
    <row r="209" spans="1:22" x14ac:dyDescent="0.35">
      <c r="A209">
        <v>10208</v>
      </c>
      <c r="B209" s="1">
        <v>44769</v>
      </c>
      <c r="C209">
        <v>1170</v>
      </c>
      <c r="D209" t="s">
        <v>73</v>
      </c>
      <c r="E209" t="s">
        <v>74</v>
      </c>
      <c r="F209">
        <v>1</v>
      </c>
      <c r="G209" s="2">
        <v>76.39</v>
      </c>
      <c r="H209">
        <v>0.13</v>
      </c>
      <c r="I209" t="s">
        <v>68</v>
      </c>
      <c r="J209">
        <v>5</v>
      </c>
      <c r="K209">
        <v>3.5</v>
      </c>
      <c r="L209" s="2">
        <v>66.459999999999994</v>
      </c>
      <c r="M209">
        <v>2022</v>
      </c>
      <c r="N209">
        <v>7</v>
      </c>
      <c r="O209" t="s">
        <v>86</v>
      </c>
      <c r="P209" s="2">
        <v>76.39</v>
      </c>
      <c r="Q209" s="2">
        <v>9.93</v>
      </c>
      <c r="R209" t="s">
        <v>79</v>
      </c>
      <c r="S209">
        <v>0</v>
      </c>
      <c r="T209">
        <v>0</v>
      </c>
      <c r="U209">
        <f>IF(AND(OR(Dashboard!$D$4="Semua",D209=Dashboard!$D$4),OR(Dashboard!$H$4="Semua",E209=Dashboard!$H$4)),1,0)</f>
        <v>1</v>
      </c>
      <c r="V209">
        <f>IF(U209=1,IF(COUNTIFS($C$2:C209,C209,$U$2:U209,1)=1,1,0),0)</f>
        <v>1</v>
      </c>
    </row>
    <row r="210" spans="1:22" x14ac:dyDescent="0.35">
      <c r="A210">
        <v>10209</v>
      </c>
      <c r="B210" s="1">
        <v>44770</v>
      </c>
      <c r="C210">
        <v>1540</v>
      </c>
      <c r="D210" t="s">
        <v>73</v>
      </c>
      <c r="E210" t="s">
        <v>70</v>
      </c>
      <c r="F210">
        <v>4</v>
      </c>
      <c r="G210" s="2">
        <v>28.07</v>
      </c>
      <c r="H210">
        <v>0.06</v>
      </c>
      <c r="I210" t="s">
        <v>68</v>
      </c>
      <c r="J210">
        <v>3</v>
      </c>
      <c r="K210">
        <v>1.9</v>
      </c>
      <c r="L210" s="2">
        <v>105.54</v>
      </c>
      <c r="M210">
        <v>2022</v>
      </c>
      <c r="N210">
        <v>7</v>
      </c>
      <c r="O210" t="s">
        <v>86</v>
      </c>
      <c r="P210" s="2">
        <v>112.28</v>
      </c>
      <c r="Q210" s="2">
        <v>6.74</v>
      </c>
      <c r="R210" t="s">
        <v>69</v>
      </c>
      <c r="S210">
        <v>0</v>
      </c>
      <c r="T210">
        <v>0</v>
      </c>
      <c r="U210">
        <f>IF(AND(OR(Dashboard!$D$4="Semua",D210=Dashboard!$D$4),OR(Dashboard!$H$4="Semua",E210=Dashboard!$H$4)),1,0)</f>
        <v>1</v>
      </c>
      <c r="V210">
        <f>IF(U210=1,IF(COUNTIFS($C$2:C210,C210,$U$2:U210,1)=1,1,0),0)</f>
        <v>1</v>
      </c>
    </row>
    <row r="211" spans="1:22" x14ac:dyDescent="0.35">
      <c r="A211">
        <v>10210</v>
      </c>
      <c r="B211" s="1">
        <v>44771</v>
      </c>
      <c r="C211">
        <v>1035</v>
      </c>
      <c r="D211" t="s">
        <v>67</v>
      </c>
      <c r="E211" t="s">
        <v>63</v>
      </c>
      <c r="F211">
        <v>2</v>
      </c>
      <c r="G211" s="2">
        <v>115.34</v>
      </c>
      <c r="H211">
        <v>0.24</v>
      </c>
      <c r="I211" t="s">
        <v>68</v>
      </c>
      <c r="J211">
        <v>5</v>
      </c>
      <c r="K211">
        <v>2</v>
      </c>
      <c r="L211" s="2">
        <v>175.32</v>
      </c>
      <c r="M211">
        <v>2022</v>
      </c>
      <c r="N211">
        <v>7</v>
      </c>
      <c r="O211" t="s">
        <v>86</v>
      </c>
      <c r="P211" s="2">
        <v>230.68</v>
      </c>
      <c r="Q211" s="2">
        <v>55.36</v>
      </c>
      <c r="R211" t="s">
        <v>77</v>
      </c>
      <c r="S211">
        <v>0</v>
      </c>
      <c r="T211">
        <v>0</v>
      </c>
      <c r="U211">
        <f>IF(AND(OR(Dashboard!$D$4="Semua",D211=Dashboard!$D$4),OR(Dashboard!$H$4="Semua",E211=Dashboard!$H$4)),1,0)</f>
        <v>1</v>
      </c>
      <c r="V211">
        <f>IF(U211=1,IF(COUNTIFS($C$2:C211,C211,$U$2:U211,1)=1,1,0),0)</f>
        <v>1</v>
      </c>
    </row>
    <row r="212" spans="1:22" x14ac:dyDescent="0.35">
      <c r="A212">
        <v>10211</v>
      </c>
      <c r="B212" s="1">
        <v>44772</v>
      </c>
      <c r="C212">
        <v>1524</v>
      </c>
      <c r="D212" t="s">
        <v>73</v>
      </c>
      <c r="E212" t="s">
        <v>74</v>
      </c>
      <c r="F212">
        <v>4</v>
      </c>
      <c r="G212" s="2">
        <v>345.44</v>
      </c>
      <c r="H212">
        <v>0.35</v>
      </c>
      <c r="I212" t="s">
        <v>68</v>
      </c>
      <c r="J212">
        <v>6</v>
      </c>
      <c r="K212">
        <v>4.0999999999999996</v>
      </c>
      <c r="L212" s="2">
        <v>898.14</v>
      </c>
      <c r="M212">
        <v>2022</v>
      </c>
      <c r="N212">
        <v>7</v>
      </c>
      <c r="O212" t="s">
        <v>86</v>
      </c>
      <c r="P212" s="2">
        <v>1381.76</v>
      </c>
      <c r="Q212" s="2">
        <v>483.62</v>
      </c>
      <c r="R212" t="s">
        <v>72</v>
      </c>
      <c r="S212">
        <v>0</v>
      </c>
      <c r="T212">
        <v>0</v>
      </c>
      <c r="U212">
        <f>IF(AND(OR(Dashboard!$D$4="Semua",D212=Dashboard!$D$4),OR(Dashboard!$H$4="Semua",E212=Dashboard!$H$4)),1,0)</f>
        <v>1</v>
      </c>
      <c r="V212">
        <f>IF(U212=1,IF(COUNTIFS($C$2:C212,C212,$U$2:U212,1)=1,1,0),0)</f>
        <v>1</v>
      </c>
    </row>
    <row r="213" spans="1:22" x14ac:dyDescent="0.35">
      <c r="A213">
        <v>10212</v>
      </c>
      <c r="B213" s="1">
        <v>44773</v>
      </c>
      <c r="C213">
        <v>1159</v>
      </c>
      <c r="D213" t="s">
        <v>73</v>
      </c>
      <c r="E213" t="s">
        <v>74</v>
      </c>
      <c r="F213">
        <v>5</v>
      </c>
      <c r="G213" s="2">
        <v>426.45</v>
      </c>
      <c r="H213">
        <v>0.16</v>
      </c>
      <c r="I213" t="s">
        <v>71</v>
      </c>
      <c r="J213">
        <v>8</v>
      </c>
      <c r="K213">
        <v>3.8</v>
      </c>
      <c r="L213" s="2">
        <v>1791.09</v>
      </c>
      <c r="M213">
        <v>2022</v>
      </c>
      <c r="N213">
        <v>7</v>
      </c>
      <c r="O213" t="s">
        <v>86</v>
      </c>
      <c r="P213" s="2">
        <v>2132.25</v>
      </c>
      <c r="Q213" s="2">
        <v>341.16</v>
      </c>
      <c r="R213" t="s">
        <v>76</v>
      </c>
      <c r="S213">
        <v>0</v>
      </c>
      <c r="T213">
        <v>0</v>
      </c>
      <c r="U213">
        <f>IF(AND(OR(Dashboard!$D$4="Semua",D213=Dashboard!$D$4),OR(Dashboard!$H$4="Semua",E213=Dashboard!$H$4)),1,0)</f>
        <v>1</v>
      </c>
      <c r="V213">
        <f>IF(U213=1,IF(COUNTIFS($C$2:C213,C213,$U$2:U213,1)=1,1,0),0)</f>
        <v>1</v>
      </c>
    </row>
    <row r="214" spans="1:22" x14ac:dyDescent="0.35">
      <c r="A214">
        <v>10213</v>
      </c>
      <c r="B214" s="1">
        <v>44774</v>
      </c>
      <c r="C214">
        <v>1838</v>
      </c>
      <c r="D214" t="s">
        <v>80</v>
      </c>
      <c r="E214" t="s">
        <v>63</v>
      </c>
      <c r="F214">
        <v>3</v>
      </c>
      <c r="G214" s="2">
        <v>133.44999999999999</v>
      </c>
      <c r="H214">
        <v>0.25</v>
      </c>
      <c r="I214" t="s">
        <v>64</v>
      </c>
      <c r="J214">
        <v>6</v>
      </c>
      <c r="K214">
        <v>4.5</v>
      </c>
      <c r="L214" s="2">
        <v>300.26</v>
      </c>
      <c r="M214">
        <v>2022</v>
      </c>
      <c r="N214">
        <v>8</v>
      </c>
      <c r="O214" t="s">
        <v>87</v>
      </c>
      <c r="P214" s="2">
        <v>400.35</v>
      </c>
      <c r="Q214" s="2">
        <v>100.09</v>
      </c>
      <c r="R214" t="s">
        <v>77</v>
      </c>
      <c r="S214">
        <v>0</v>
      </c>
      <c r="T214">
        <v>0</v>
      </c>
      <c r="U214">
        <f>IF(AND(OR(Dashboard!$D$4="Semua",D214=Dashboard!$D$4),OR(Dashboard!$H$4="Semua",E214=Dashboard!$H$4)),1,0)</f>
        <v>1</v>
      </c>
      <c r="V214">
        <f>IF(U214=1,IF(COUNTIFS($C$2:C214,C214,$U$2:U214,1)=1,1,0),0)</f>
        <v>0</v>
      </c>
    </row>
    <row r="215" spans="1:22" x14ac:dyDescent="0.35">
      <c r="A215">
        <v>10214</v>
      </c>
      <c r="B215" s="1">
        <v>44775</v>
      </c>
      <c r="C215">
        <v>1698</v>
      </c>
      <c r="D215" t="s">
        <v>62</v>
      </c>
      <c r="E215" t="s">
        <v>63</v>
      </c>
      <c r="F215">
        <v>4</v>
      </c>
      <c r="G215" s="2">
        <v>405.93</v>
      </c>
      <c r="H215">
        <v>0.17</v>
      </c>
      <c r="I215" t="s">
        <v>64</v>
      </c>
      <c r="J215">
        <v>9</v>
      </c>
      <c r="K215">
        <v>2.6</v>
      </c>
      <c r="L215" s="2">
        <v>1347.69</v>
      </c>
      <c r="M215">
        <v>2022</v>
      </c>
      <c r="N215">
        <v>8</v>
      </c>
      <c r="O215" t="s">
        <v>87</v>
      </c>
      <c r="P215" s="2">
        <v>1623.72</v>
      </c>
      <c r="Q215" s="2">
        <v>276.02999999999997</v>
      </c>
      <c r="R215" t="s">
        <v>76</v>
      </c>
      <c r="S215">
        <v>0</v>
      </c>
      <c r="T215">
        <v>0</v>
      </c>
      <c r="U215">
        <f>IF(AND(OR(Dashboard!$D$4="Semua",D215=Dashboard!$D$4),OR(Dashboard!$H$4="Semua",E215=Dashboard!$H$4)),1,0)</f>
        <v>1</v>
      </c>
      <c r="V215">
        <f>IF(U215=1,IF(COUNTIFS($C$2:C215,C215,$U$2:U215,1)=1,1,0),0)</f>
        <v>1</v>
      </c>
    </row>
    <row r="216" spans="1:22" x14ac:dyDescent="0.35">
      <c r="A216">
        <v>10215</v>
      </c>
      <c r="B216" s="1">
        <v>44776</v>
      </c>
      <c r="C216">
        <v>1242</v>
      </c>
      <c r="D216" t="s">
        <v>80</v>
      </c>
      <c r="E216" t="s">
        <v>70</v>
      </c>
      <c r="F216">
        <v>5</v>
      </c>
      <c r="G216" s="2">
        <v>121.75</v>
      </c>
      <c r="H216">
        <v>0.15</v>
      </c>
      <c r="I216" t="s">
        <v>68</v>
      </c>
      <c r="J216">
        <v>10</v>
      </c>
      <c r="K216">
        <v>3.2</v>
      </c>
      <c r="L216" s="2">
        <v>517.44000000000005</v>
      </c>
      <c r="M216">
        <v>2022</v>
      </c>
      <c r="N216">
        <v>8</v>
      </c>
      <c r="O216" t="s">
        <v>87</v>
      </c>
      <c r="P216" s="2">
        <v>608.75</v>
      </c>
      <c r="Q216" s="2">
        <v>91.31</v>
      </c>
      <c r="R216" t="s">
        <v>79</v>
      </c>
      <c r="S216">
        <v>0</v>
      </c>
      <c r="T216">
        <v>0</v>
      </c>
      <c r="U216">
        <f>IF(AND(OR(Dashboard!$D$4="Semua",D216=Dashboard!$D$4),OR(Dashboard!$H$4="Semua",E216=Dashboard!$H$4)),1,0)</f>
        <v>1</v>
      </c>
      <c r="V216">
        <f>IF(U216=1,IF(COUNTIFS($C$2:C216,C216,$U$2:U216,1)=1,1,0),0)</f>
        <v>1</v>
      </c>
    </row>
    <row r="217" spans="1:22" x14ac:dyDescent="0.35">
      <c r="A217">
        <v>10216</v>
      </c>
      <c r="B217" s="1">
        <v>44777</v>
      </c>
      <c r="C217">
        <v>1085</v>
      </c>
      <c r="D217" t="s">
        <v>62</v>
      </c>
      <c r="E217" t="s">
        <v>78</v>
      </c>
      <c r="F217">
        <v>5</v>
      </c>
      <c r="G217" s="2">
        <v>373.87</v>
      </c>
      <c r="H217">
        <v>0.14000000000000001</v>
      </c>
      <c r="I217" t="s">
        <v>68</v>
      </c>
      <c r="J217">
        <v>10</v>
      </c>
      <c r="K217">
        <v>4</v>
      </c>
      <c r="L217" s="2">
        <v>1607.64</v>
      </c>
      <c r="M217">
        <v>2022</v>
      </c>
      <c r="N217">
        <v>8</v>
      </c>
      <c r="O217" t="s">
        <v>87</v>
      </c>
      <c r="P217" s="2">
        <v>1869.35</v>
      </c>
      <c r="Q217" s="2">
        <v>261.70999999999998</v>
      </c>
      <c r="R217" t="s">
        <v>79</v>
      </c>
      <c r="S217">
        <v>0</v>
      </c>
      <c r="T217">
        <v>0</v>
      </c>
      <c r="U217">
        <f>IF(AND(OR(Dashboard!$D$4="Semua",D217=Dashboard!$D$4),OR(Dashboard!$H$4="Semua",E217=Dashboard!$H$4)),1,0)</f>
        <v>1</v>
      </c>
      <c r="V217">
        <f>IF(U217=1,IF(COUNTIFS($C$2:C217,C217,$U$2:U217,1)=1,1,0),0)</f>
        <v>1</v>
      </c>
    </row>
    <row r="218" spans="1:22" x14ac:dyDescent="0.35">
      <c r="A218">
        <v>10217</v>
      </c>
      <c r="B218" s="1">
        <v>44778</v>
      </c>
      <c r="C218">
        <v>1795</v>
      </c>
      <c r="D218" t="s">
        <v>73</v>
      </c>
      <c r="E218" t="s">
        <v>78</v>
      </c>
      <c r="F218">
        <v>5</v>
      </c>
      <c r="G218" s="2">
        <v>256</v>
      </c>
      <c r="H218">
        <v>0.18</v>
      </c>
      <c r="I218" t="s">
        <v>68</v>
      </c>
      <c r="J218">
        <v>10</v>
      </c>
      <c r="K218">
        <v>4.9000000000000004</v>
      </c>
      <c r="L218" s="2">
        <v>1049.5999999999999</v>
      </c>
      <c r="M218">
        <v>2022</v>
      </c>
      <c r="N218">
        <v>8</v>
      </c>
      <c r="O218" t="s">
        <v>87</v>
      </c>
      <c r="P218" s="2">
        <v>1280</v>
      </c>
      <c r="Q218" s="2">
        <v>230.4</v>
      </c>
      <c r="R218" t="s">
        <v>76</v>
      </c>
      <c r="S218">
        <v>0</v>
      </c>
      <c r="T218">
        <v>0</v>
      </c>
      <c r="U218">
        <f>IF(AND(OR(Dashboard!$D$4="Semua",D218=Dashboard!$D$4),OR(Dashboard!$H$4="Semua",E218=Dashboard!$H$4)),1,0)</f>
        <v>1</v>
      </c>
      <c r="V218">
        <f>IF(U218=1,IF(COUNTIFS($C$2:C218,C218,$U$2:U218,1)=1,1,0),0)</f>
        <v>1</v>
      </c>
    </row>
    <row r="219" spans="1:22" x14ac:dyDescent="0.35">
      <c r="A219">
        <v>10218</v>
      </c>
      <c r="B219" s="1">
        <v>44779</v>
      </c>
      <c r="C219">
        <v>1577</v>
      </c>
      <c r="D219" t="s">
        <v>62</v>
      </c>
      <c r="E219" t="s">
        <v>78</v>
      </c>
      <c r="F219">
        <v>3</v>
      </c>
      <c r="G219" s="2">
        <v>397.47</v>
      </c>
      <c r="H219">
        <v>0.13</v>
      </c>
      <c r="I219" t="s">
        <v>64</v>
      </c>
      <c r="J219">
        <v>10</v>
      </c>
      <c r="K219">
        <v>5</v>
      </c>
      <c r="L219" s="2">
        <v>1037.4000000000001</v>
      </c>
      <c r="M219">
        <v>2022</v>
      </c>
      <c r="N219">
        <v>8</v>
      </c>
      <c r="O219" t="s">
        <v>87</v>
      </c>
      <c r="P219" s="2">
        <v>1192.4100000000001</v>
      </c>
      <c r="Q219" s="2">
        <v>155.01</v>
      </c>
      <c r="R219" t="s">
        <v>79</v>
      </c>
      <c r="S219">
        <v>0</v>
      </c>
      <c r="T219">
        <v>0</v>
      </c>
      <c r="U219">
        <f>IF(AND(OR(Dashboard!$D$4="Semua",D219=Dashboard!$D$4),OR(Dashboard!$H$4="Semua",E219=Dashboard!$H$4)),1,0)</f>
        <v>1</v>
      </c>
      <c r="V219">
        <f>IF(U219=1,IF(COUNTIFS($C$2:C219,C219,$U$2:U219,1)=1,1,0),0)</f>
        <v>1</v>
      </c>
    </row>
    <row r="220" spans="1:22" x14ac:dyDescent="0.35">
      <c r="A220">
        <v>10219</v>
      </c>
      <c r="B220" s="1">
        <v>44780</v>
      </c>
      <c r="C220">
        <v>1681</v>
      </c>
      <c r="D220" t="s">
        <v>73</v>
      </c>
      <c r="E220" t="s">
        <v>78</v>
      </c>
      <c r="F220">
        <v>3</v>
      </c>
      <c r="G220" s="2">
        <v>597.11</v>
      </c>
      <c r="H220">
        <v>0.26</v>
      </c>
      <c r="I220" t="s">
        <v>71</v>
      </c>
      <c r="J220">
        <v>4</v>
      </c>
      <c r="K220">
        <v>5</v>
      </c>
      <c r="L220" s="2">
        <v>1325.58</v>
      </c>
      <c r="M220">
        <v>2022</v>
      </c>
      <c r="N220">
        <v>8</v>
      </c>
      <c r="O220" t="s">
        <v>87</v>
      </c>
      <c r="P220" s="2">
        <v>1791.33</v>
      </c>
      <c r="Q220" s="2">
        <v>465.75</v>
      </c>
      <c r="R220" t="s">
        <v>66</v>
      </c>
      <c r="S220">
        <v>0</v>
      </c>
      <c r="T220">
        <v>0</v>
      </c>
      <c r="U220">
        <f>IF(AND(OR(Dashboard!$D$4="Semua",D220=Dashboard!$D$4),OR(Dashboard!$H$4="Semua",E220=Dashboard!$H$4)),1,0)</f>
        <v>1</v>
      </c>
      <c r="V220">
        <f>IF(U220=1,IF(COUNTIFS($C$2:C220,C220,$U$2:U220,1)=1,1,0),0)</f>
        <v>0</v>
      </c>
    </row>
    <row r="221" spans="1:22" x14ac:dyDescent="0.35">
      <c r="A221">
        <v>10220</v>
      </c>
      <c r="B221" s="1">
        <v>44781</v>
      </c>
      <c r="C221">
        <v>1556</v>
      </c>
      <c r="D221" t="s">
        <v>62</v>
      </c>
      <c r="E221" t="s">
        <v>78</v>
      </c>
      <c r="F221">
        <v>7</v>
      </c>
      <c r="G221" s="2">
        <v>563.62</v>
      </c>
      <c r="H221">
        <v>0.31</v>
      </c>
      <c r="I221" t="s">
        <v>68</v>
      </c>
      <c r="J221">
        <v>2</v>
      </c>
      <c r="K221">
        <v>4.5999999999999996</v>
      </c>
      <c r="L221" s="2">
        <v>2722.28</v>
      </c>
      <c r="M221">
        <v>2022</v>
      </c>
      <c r="N221">
        <v>8</v>
      </c>
      <c r="O221" t="s">
        <v>87</v>
      </c>
      <c r="P221" s="2">
        <v>3945.34</v>
      </c>
      <c r="Q221" s="2">
        <v>1223.06</v>
      </c>
      <c r="R221" t="s">
        <v>72</v>
      </c>
      <c r="S221">
        <v>0</v>
      </c>
      <c r="T221">
        <v>0</v>
      </c>
      <c r="U221">
        <f>IF(AND(OR(Dashboard!$D$4="Semua",D221=Dashboard!$D$4),OR(Dashboard!$H$4="Semua",E221=Dashboard!$H$4)),1,0)</f>
        <v>1</v>
      </c>
      <c r="V221">
        <f>IF(U221=1,IF(COUNTIFS($C$2:C221,C221,$U$2:U221,1)=1,1,0),0)</f>
        <v>1</v>
      </c>
    </row>
    <row r="222" spans="1:22" x14ac:dyDescent="0.35">
      <c r="A222">
        <v>10221</v>
      </c>
      <c r="B222" s="1">
        <v>44782</v>
      </c>
      <c r="C222">
        <v>1573</v>
      </c>
      <c r="D222" t="s">
        <v>62</v>
      </c>
      <c r="E222" t="s">
        <v>70</v>
      </c>
      <c r="F222">
        <v>3</v>
      </c>
      <c r="G222" s="2">
        <v>17.5</v>
      </c>
      <c r="H222">
        <v>0.31</v>
      </c>
      <c r="I222" t="s">
        <v>64</v>
      </c>
      <c r="J222">
        <v>9</v>
      </c>
      <c r="K222">
        <v>3.6</v>
      </c>
      <c r="L222" s="2">
        <v>36.22</v>
      </c>
      <c r="M222">
        <v>2022</v>
      </c>
      <c r="N222">
        <v>8</v>
      </c>
      <c r="O222" t="s">
        <v>87</v>
      </c>
      <c r="P222" s="2">
        <v>52.5</v>
      </c>
      <c r="Q222" s="2">
        <v>16.28</v>
      </c>
      <c r="R222" t="s">
        <v>72</v>
      </c>
      <c r="S222">
        <v>0</v>
      </c>
      <c r="T222">
        <v>0</v>
      </c>
      <c r="U222">
        <f>IF(AND(OR(Dashboard!$D$4="Semua",D222=Dashboard!$D$4),OR(Dashboard!$H$4="Semua",E222=Dashboard!$H$4)),1,0)</f>
        <v>1</v>
      </c>
      <c r="V222">
        <f>IF(U222=1,IF(COUNTIFS($C$2:C222,C222,$U$2:U222,1)=1,1,0),0)</f>
        <v>0</v>
      </c>
    </row>
    <row r="223" spans="1:22" x14ac:dyDescent="0.35">
      <c r="A223">
        <v>10222</v>
      </c>
      <c r="B223" s="1">
        <v>44783</v>
      </c>
      <c r="C223">
        <v>1952</v>
      </c>
      <c r="D223" t="s">
        <v>80</v>
      </c>
      <c r="E223" t="s">
        <v>74</v>
      </c>
      <c r="F223">
        <v>2</v>
      </c>
      <c r="G223" s="2">
        <v>532.98</v>
      </c>
      <c r="H223">
        <v>0.08</v>
      </c>
      <c r="I223" t="s">
        <v>68</v>
      </c>
      <c r="J223">
        <v>11</v>
      </c>
      <c r="K223">
        <v>1</v>
      </c>
      <c r="L223" s="2">
        <v>980.68</v>
      </c>
      <c r="M223">
        <v>2022</v>
      </c>
      <c r="N223">
        <v>8</v>
      </c>
      <c r="O223" t="s">
        <v>87</v>
      </c>
      <c r="P223" s="2">
        <v>1065.96</v>
      </c>
      <c r="Q223" s="2">
        <v>85.28</v>
      </c>
      <c r="R223" t="s">
        <v>69</v>
      </c>
      <c r="S223">
        <v>0</v>
      </c>
      <c r="T223">
        <v>0</v>
      </c>
      <c r="U223">
        <f>IF(AND(OR(Dashboard!$D$4="Semua",D223=Dashboard!$D$4),OR(Dashboard!$H$4="Semua",E223=Dashboard!$H$4)),1,0)</f>
        <v>1</v>
      </c>
      <c r="V223">
        <f>IF(U223=1,IF(COUNTIFS($C$2:C223,C223,$U$2:U223,1)=1,1,0),0)</f>
        <v>1</v>
      </c>
    </row>
    <row r="224" spans="1:22" x14ac:dyDescent="0.35">
      <c r="A224">
        <v>10223</v>
      </c>
      <c r="B224" s="1">
        <v>44784</v>
      </c>
      <c r="C224">
        <v>1645</v>
      </c>
      <c r="D224" t="s">
        <v>62</v>
      </c>
      <c r="E224" t="s">
        <v>70</v>
      </c>
      <c r="F224">
        <v>3</v>
      </c>
      <c r="G224" s="2">
        <v>53.9</v>
      </c>
      <c r="H224">
        <v>0.31</v>
      </c>
      <c r="I224" t="s">
        <v>64</v>
      </c>
      <c r="J224">
        <v>3</v>
      </c>
      <c r="K224">
        <v>3.8</v>
      </c>
      <c r="L224" s="2">
        <v>111.57</v>
      </c>
      <c r="M224">
        <v>2022</v>
      </c>
      <c r="N224">
        <v>8</v>
      </c>
      <c r="O224" t="s">
        <v>87</v>
      </c>
      <c r="P224" s="2">
        <v>161.69999999999999</v>
      </c>
      <c r="Q224" s="2">
        <v>50.13</v>
      </c>
      <c r="R224" t="s">
        <v>72</v>
      </c>
      <c r="S224">
        <v>0</v>
      </c>
      <c r="T224">
        <v>0</v>
      </c>
      <c r="U224">
        <f>IF(AND(OR(Dashboard!$D$4="Semua",D224=Dashboard!$D$4),OR(Dashboard!$H$4="Semua",E224=Dashboard!$H$4)),1,0)</f>
        <v>1</v>
      </c>
      <c r="V224">
        <f>IF(U224=1,IF(COUNTIFS($C$2:C224,C224,$U$2:U224,1)=1,1,0),0)</f>
        <v>1</v>
      </c>
    </row>
    <row r="225" spans="1:22" x14ac:dyDescent="0.35">
      <c r="A225">
        <v>10224</v>
      </c>
      <c r="B225" s="1">
        <v>44785</v>
      </c>
      <c r="C225">
        <v>1795</v>
      </c>
      <c r="D225" t="s">
        <v>67</v>
      </c>
      <c r="E225" t="s">
        <v>70</v>
      </c>
      <c r="F225">
        <v>3</v>
      </c>
      <c r="G225" s="2">
        <v>572.53</v>
      </c>
      <c r="H225">
        <v>0.12</v>
      </c>
      <c r="I225" t="s">
        <v>68</v>
      </c>
      <c r="J225">
        <v>11</v>
      </c>
      <c r="K225">
        <v>2</v>
      </c>
      <c r="L225" s="2">
        <v>1511.48</v>
      </c>
      <c r="M225">
        <v>2022</v>
      </c>
      <c r="N225">
        <v>8</v>
      </c>
      <c r="O225" t="s">
        <v>87</v>
      </c>
      <c r="P225" s="2">
        <v>1717.59</v>
      </c>
      <c r="Q225" s="2">
        <v>206.11</v>
      </c>
      <c r="R225" t="s">
        <v>79</v>
      </c>
      <c r="S225">
        <v>0</v>
      </c>
      <c r="T225">
        <v>0</v>
      </c>
      <c r="U225">
        <f>IF(AND(OR(Dashboard!$D$4="Semua",D225=Dashboard!$D$4),OR(Dashboard!$H$4="Semua",E225=Dashboard!$H$4)),1,0)</f>
        <v>1</v>
      </c>
      <c r="V225">
        <f>IF(U225=1,IF(COUNTIFS($C$2:C225,C225,$U$2:U225,1)=1,1,0),0)</f>
        <v>0</v>
      </c>
    </row>
    <row r="226" spans="1:22" x14ac:dyDescent="0.35">
      <c r="A226">
        <v>10225</v>
      </c>
      <c r="B226" s="1">
        <v>44786</v>
      </c>
      <c r="C226">
        <v>1027</v>
      </c>
      <c r="D226" t="s">
        <v>73</v>
      </c>
      <c r="E226" t="s">
        <v>70</v>
      </c>
      <c r="F226">
        <v>3</v>
      </c>
      <c r="G226" s="2">
        <v>179.87</v>
      </c>
      <c r="H226">
        <v>0.11</v>
      </c>
      <c r="I226" t="s">
        <v>68</v>
      </c>
      <c r="J226">
        <v>7</v>
      </c>
      <c r="K226">
        <v>1.2</v>
      </c>
      <c r="L226" s="2">
        <v>480.25</v>
      </c>
      <c r="M226">
        <v>2022</v>
      </c>
      <c r="N226">
        <v>8</v>
      </c>
      <c r="O226" t="s">
        <v>87</v>
      </c>
      <c r="P226" s="2">
        <v>539.61</v>
      </c>
      <c r="Q226" s="2">
        <v>59.36</v>
      </c>
      <c r="R226" t="s">
        <v>79</v>
      </c>
      <c r="S226">
        <v>0</v>
      </c>
      <c r="T226">
        <v>0</v>
      </c>
      <c r="U226">
        <f>IF(AND(OR(Dashboard!$D$4="Semua",D226=Dashboard!$D$4),OR(Dashboard!$H$4="Semua",E226=Dashboard!$H$4)),1,0)</f>
        <v>1</v>
      </c>
      <c r="V226">
        <f>IF(U226=1,IF(COUNTIFS($C$2:C226,C226,$U$2:U226,1)=1,1,0),0)</f>
        <v>0</v>
      </c>
    </row>
    <row r="227" spans="1:22" x14ac:dyDescent="0.35">
      <c r="A227">
        <v>10226</v>
      </c>
      <c r="B227" s="1">
        <v>44787</v>
      </c>
      <c r="C227">
        <v>1619</v>
      </c>
      <c r="D227" t="s">
        <v>67</v>
      </c>
      <c r="E227" t="s">
        <v>74</v>
      </c>
      <c r="F227">
        <v>4</v>
      </c>
      <c r="G227" s="2">
        <v>238.49</v>
      </c>
      <c r="H227">
        <v>0.25</v>
      </c>
      <c r="I227" t="s">
        <v>71</v>
      </c>
      <c r="J227">
        <v>4</v>
      </c>
      <c r="K227">
        <v>3.8</v>
      </c>
      <c r="L227" s="2">
        <v>715.47</v>
      </c>
      <c r="M227">
        <v>2022</v>
      </c>
      <c r="N227">
        <v>8</v>
      </c>
      <c r="O227" t="s">
        <v>87</v>
      </c>
      <c r="P227" s="2">
        <v>953.96</v>
      </c>
      <c r="Q227" s="2">
        <v>238.49</v>
      </c>
      <c r="R227" t="s">
        <v>77</v>
      </c>
      <c r="S227">
        <v>0</v>
      </c>
      <c r="T227">
        <v>0</v>
      </c>
      <c r="U227">
        <f>IF(AND(OR(Dashboard!$D$4="Semua",D227=Dashboard!$D$4),OR(Dashboard!$H$4="Semua",E227=Dashboard!$H$4)),1,0)</f>
        <v>1</v>
      </c>
      <c r="V227">
        <f>IF(U227=1,IF(COUNTIFS($C$2:C227,C227,$U$2:U227,1)=1,1,0),0)</f>
        <v>1</v>
      </c>
    </row>
    <row r="228" spans="1:22" x14ac:dyDescent="0.35">
      <c r="A228">
        <v>10227</v>
      </c>
      <c r="B228" s="1">
        <v>44788</v>
      </c>
      <c r="C228">
        <v>1555</v>
      </c>
      <c r="D228" t="s">
        <v>67</v>
      </c>
      <c r="E228" t="s">
        <v>70</v>
      </c>
      <c r="F228">
        <v>3</v>
      </c>
      <c r="G228" s="2">
        <v>68.61</v>
      </c>
      <c r="H228">
        <v>0.11</v>
      </c>
      <c r="I228" t="s">
        <v>64</v>
      </c>
      <c r="J228">
        <v>1</v>
      </c>
      <c r="K228">
        <v>4</v>
      </c>
      <c r="L228" s="2">
        <v>183.19</v>
      </c>
      <c r="M228">
        <v>2022</v>
      </c>
      <c r="N228">
        <v>8</v>
      </c>
      <c r="O228" t="s">
        <v>87</v>
      </c>
      <c r="P228" s="2">
        <v>205.83</v>
      </c>
      <c r="Q228" s="2">
        <v>22.64</v>
      </c>
      <c r="R228" t="s">
        <v>79</v>
      </c>
      <c r="S228">
        <v>0</v>
      </c>
      <c r="T228">
        <v>0</v>
      </c>
      <c r="U228">
        <f>IF(AND(OR(Dashboard!$D$4="Semua",D228=Dashboard!$D$4),OR(Dashboard!$H$4="Semua",E228=Dashboard!$H$4)),1,0)</f>
        <v>1</v>
      </c>
      <c r="V228">
        <f>IF(U228=1,IF(COUNTIFS($C$2:C228,C228,$U$2:U228,1)=1,1,0),0)</f>
        <v>0</v>
      </c>
    </row>
    <row r="229" spans="1:22" x14ac:dyDescent="0.35">
      <c r="A229">
        <v>10228</v>
      </c>
      <c r="B229" s="1">
        <v>44789</v>
      </c>
      <c r="C229">
        <v>1339</v>
      </c>
      <c r="D229" t="s">
        <v>73</v>
      </c>
      <c r="E229" t="s">
        <v>70</v>
      </c>
      <c r="F229">
        <v>2</v>
      </c>
      <c r="G229" s="2">
        <v>80.680000000000007</v>
      </c>
      <c r="H229">
        <v>0.02</v>
      </c>
      <c r="I229" t="s">
        <v>64</v>
      </c>
      <c r="J229">
        <v>8</v>
      </c>
      <c r="K229">
        <v>3.6</v>
      </c>
      <c r="L229" s="2">
        <v>158.13</v>
      </c>
      <c r="M229">
        <v>2022</v>
      </c>
      <c r="N229">
        <v>8</v>
      </c>
      <c r="O229" t="s">
        <v>87</v>
      </c>
      <c r="P229" s="2">
        <v>161.36000000000001</v>
      </c>
      <c r="Q229" s="2">
        <v>3.23</v>
      </c>
      <c r="R229" t="s">
        <v>75</v>
      </c>
      <c r="S229">
        <v>0</v>
      </c>
      <c r="T229">
        <v>0</v>
      </c>
      <c r="U229">
        <f>IF(AND(OR(Dashboard!$D$4="Semua",D229=Dashboard!$D$4),OR(Dashboard!$H$4="Semua",E229=Dashboard!$H$4)),1,0)</f>
        <v>1</v>
      </c>
      <c r="V229">
        <f>IF(U229=1,IF(COUNTIFS($C$2:C229,C229,$U$2:U229,1)=1,1,0),0)</f>
        <v>0</v>
      </c>
    </row>
    <row r="230" spans="1:22" x14ac:dyDescent="0.35">
      <c r="A230">
        <v>10229</v>
      </c>
      <c r="B230" s="1">
        <v>44790</v>
      </c>
      <c r="C230">
        <v>1797</v>
      </c>
      <c r="D230" t="s">
        <v>67</v>
      </c>
      <c r="E230" t="s">
        <v>74</v>
      </c>
      <c r="F230">
        <v>5</v>
      </c>
      <c r="G230" s="2">
        <v>440.14</v>
      </c>
      <c r="H230">
        <v>0.13</v>
      </c>
      <c r="I230" t="s">
        <v>71</v>
      </c>
      <c r="J230">
        <v>4</v>
      </c>
      <c r="K230">
        <v>2.5</v>
      </c>
      <c r="L230" s="2">
        <v>1914.61</v>
      </c>
      <c r="M230">
        <v>2022</v>
      </c>
      <c r="N230">
        <v>8</v>
      </c>
      <c r="O230" t="s">
        <v>87</v>
      </c>
      <c r="P230" s="2">
        <v>2200.6999999999998</v>
      </c>
      <c r="Q230" s="2">
        <v>286.08999999999997</v>
      </c>
      <c r="R230" t="s">
        <v>79</v>
      </c>
      <c r="S230">
        <v>0</v>
      </c>
      <c r="T230">
        <v>0</v>
      </c>
      <c r="U230">
        <f>IF(AND(OR(Dashboard!$D$4="Semua",D230=Dashboard!$D$4),OR(Dashboard!$H$4="Semua",E230=Dashboard!$H$4)),1,0)</f>
        <v>1</v>
      </c>
      <c r="V230">
        <f>IF(U230=1,IF(COUNTIFS($C$2:C230,C230,$U$2:U230,1)=1,1,0),0)</f>
        <v>1</v>
      </c>
    </row>
    <row r="231" spans="1:22" x14ac:dyDescent="0.35">
      <c r="A231">
        <v>10230</v>
      </c>
      <c r="B231" s="1">
        <v>44791</v>
      </c>
      <c r="C231">
        <v>1957</v>
      </c>
      <c r="D231" t="s">
        <v>62</v>
      </c>
      <c r="E231" t="s">
        <v>70</v>
      </c>
      <c r="F231">
        <v>4</v>
      </c>
      <c r="G231" s="2">
        <v>567.42999999999995</v>
      </c>
      <c r="H231">
        <v>0.25</v>
      </c>
      <c r="I231" t="s">
        <v>68</v>
      </c>
      <c r="J231">
        <v>11</v>
      </c>
      <c r="K231">
        <v>3</v>
      </c>
      <c r="L231" s="2">
        <v>1702.29</v>
      </c>
      <c r="M231">
        <v>2022</v>
      </c>
      <c r="N231">
        <v>8</v>
      </c>
      <c r="O231" t="s">
        <v>87</v>
      </c>
      <c r="P231" s="2">
        <v>2269.7199999999998</v>
      </c>
      <c r="Q231" s="2">
        <v>567.42999999999995</v>
      </c>
      <c r="R231" t="s">
        <v>77</v>
      </c>
      <c r="S231">
        <v>0</v>
      </c>
      <c r="T231">
        <v>0</v>
      </c>
      <c r="U231">
        <f>IF(AND(OR(Dashboard!$D$4="Semua",D231=Dashboard!$D$4),OR(Dashboard!$H$4="Semua",E231=Dashboard!$H$4)),1,0)</f>
        <v>1</v>
      </c>
      <c r="V231">
        <f>IF(U231=1,IF(COUNTIFS($C$2:C231,C231,$U$2:U231,1)=1,1,0),0)</f>
        <v>0</v>
      </c>
    </row>
    <row r="232" spans="1:22" x14ac:dyDescent="0.35">
      <c r="A232">
        <v>10231</v>
      </c>
      <c r="B232" s="1">
        <v>44792</v>
      </c>
      <c r="C232">
        <v>1330</v>
      </c>
      <c r="D232" t="s">
        <v>73</v>
      </c>
      <c r="E232" t="s">
        <v>78</v>
      </c>
      <c r="F232">
        <v>1</v>
      </c>
      <c r="G232" s="2">
        <v>372.29</v>
      </c>
      <c r="H232">
        <v>0.11</v>
      </c>
      <c r="I232" t="s">
        <v>68</v>
      </c>
      <c r="J232">
        <v>6</v>
      </c>
      <c r="K232">
        <v>4.7</v>
      </c>
      <c r="L232" s="2">
        <v>331.34</v>
      </c>
      <c r="M232">
        <v>2022</v>
      </c>
      <c r="N232">
        <v>8</v>
      </c>
      <c r="O232" t="s">
        <v>87</v>
      </c>
      <c r="P232" s="2">
        <v>372.29</v>
      </c>
      <c r="Q232" s="2">
        <v>40.950000000000003</v>
      </c>
      <c r="R232" t="s">
        <v>79</v>
      </c>
      <c r="S232">
        <v>0</v>
      </c>
      <c r="T232">
        <v>0</v>
      </c>
      <c r="U232">
        <f>IF(AND(OR(Dashboard!$D$4="Semua",D232=Dashboard!$D$4),OR(Dashboard!$H$4="Semua",E232=Dashboard!$H$4)),1,0)</f>
        <v>1</v>
      </c>
      <c r="V232">
        <f>IF(U232=1,IF(COUNTIFS($C$2:C232,C232,$U$2:U232,1)=1,1,0),0)</f>
        <v>0</v>
      </c>
    </row>
    <row r="233" spans="1:22" x14ac:dyDescent="0.35">
      <c r="A233">
        <v>10232</v>
      </c>
      <c r="B233" s="1">
        <v>44793</v>
      </c>
      <c r="C233">
        <v>1639</v>
      </c>
      <c r="D233" t="s">
        <v>80</v>
      </c>
      <c r="E233" t="s">
        <v>63</v>
      </c>
      <c r="F233">
        <v>3</v>
      </c>
      <c r="G233" s="2">
        <v>433.77</v>
      </c>
      <c r="H233">
        <v>0.22</v>
      </c>
      <c r="I233" t="s">
        <v>64</v>
      </c>
      <c r="J233">
        <v>7</v>
      </c>
      <c r="K233">
        <v>3.9</v>
      </c>
      <c r="L233" s="2">
        <v>1015.02</v>
      </c>
      <c r="M233">
        <v>2022</v>
      </c>
      <c r="N233">
        <v>8</v>
      </c>
      <c r="O233" t="s">
        <v>87</v>
      </c>
      <c r="P233" s="2">
        <v>1301.31</v>
      </c>
      <c r="Q233" s="2">
        <v>286.29000000000002</v>
      </c>
      <c r="R233" t="s">
        <v>77</v>
      </c>
      <c r="S233">
        <v>0</v>
      </c>
      <c r="T233">
        <v>0</v>
      </c>
      <c r="U233">
        <f>IF(AND(OR(Dashboard!$D$4="Semua",D233=Dashboard!$D$4),OR(Dashboard!$H$4="Semua",E233=Dashboard!$H$4)),1,0)</f>
        <v>1</v>
      </c>
      <c r="V233">
        <f>IF(U233=1,IF(COUNTIFS($C$2:C233,C233,$U$2:U233,1)=1,1,0),0)</f>
        <v>1</v>
      </c>
    </row>
    <row r="234" spans="1:22" x14ac:dyDescent="0.35">
      <c r="A234">
        <v>10233</v>
      </c>
      <c r="B234" s="1">
        <v>44794</v>
      </c>
      <c r="C234">
        <v>1505</v>
      </c>
      <c r="D234" t="s">
        <v>62</v>
      </c>
      <c r="E234" t="s">
        <v>70</v>
      </c>
      <c r="F234">
        <v>7</v>
      </c>
      <c r="G234" s="2">
        <v>460.75</v>
      </c>
      <c r="H234">
        <v>0.23</v>
      </c>
      <c r="I234" t="s">
        <v>71</v>
      </c>
      <c r="J234">
        <v>8</v>
      </c>
      <c r="K234">
        <v>3</v>
      </c>
      <c r="L234" s="2">
        <v>2483.44</v>
      </c>
      <c r="M234">
        <v>2022</v>
      </c>
      <c r="N234">
        <v>8</v>
      </c>
      <c r="O234" t="s">
        <v>87</v>
      </c>
      <c r="P234" s="2">
        <v>3225.25</v>
      </c>
      <c r="Q234" s="2">
        <v>741.81</v>
      </c>
      <c r="R234" t="s">
        <v>77</v>
      </c>
      <c r="S234">
        <v>0</v>
      </c>
      <c r="T234">
        <v>0</v>
      </c>
      <c r="U234">
        <f>IF(AND(OR(Dashboard!$D$4="Semua",D234=Dashboard!$D$4),OR(Dashboard!$H$4="Semua",E234=Dashboard!$H$4)),1,0)</f>
        <v>1</v>
      </c>
      <c r="V234">
        <f>IF(U234=1,IF(COUNTIFS($C$2:C234,C234,$U$2:U234,1)=1,1,0),0)</f>
        <v>1</v>
      </c>
    </row>
    <row r="235" spans="1:22" x14ac:dyDescent="0.35">
      <c r="A235">
        <v>10234</v>
      </c>
      <c r="B235" s="1">
        <v>44795</v>
      </c>
      <c r="C235">
        <v>1347</v>
      </c>
      <c r="D235" t="s">
        <v>62</v>
      </c>
      <c r="E235" t="s">
        <v>63</v>
      </c>
      <c r="F235">
        <v>7</v>
      </c>
      <c r="G235" s="2">
        <v>168.75</v>
      </c>
      <c r="H235">
        <v>0.26</v>
      </c>
      <c r="I235" t="s">
        <v>71</v>
      </c>
      <c r="J235">
        <v>10</v>
      </c>
      <c r="K235">
        <v>3.4</v>
      </c>
      <c r="L235" s="2">
        <v>874.12</v>
      </c>
      <c r="M235">
        <v>2022</v>
      </c>
      <c r="N235">
        <v>8</v>
      </c>
      <c r="O235" t="s">
        <v>87</v>
      </c>
      <c r="P235" s="2">
        <v>1181.25</v>
      </c>
      <c r="Q235" s="2">
        <v>307.13</v>
      </c>
      <c r="R235" t="s">
        <v>66</v>
      </c>
      <c r="S235">
        <v>0</v>
      </c>
      <c r="T235">
        <v>0</v>
      </c>
      <c r="U235">
        <f>IF(AND(OR(Dashboard!$D$4="Semua",D235=Dashboard!$D$4),OR(Dashboard!$H$4="Semua",E235=Dashboard!$H$4)),1,0)</f>
        <v>1</v>
      </c>
      <c r="V235">
        <f>IF(U235=1,IF(COUNTIFS($C$2:C235,C235,$U$2:U235,1)=1,1,0),0)</f>
        <v>1</v>
      </c>
    </row>
    <row r="236" spans="1:22" x14ac:dyDescent="0.35">
      <c r="A236">
        <v>10235</v>
      </c>
      <c r="B236" s="1">
        <v>44796</v>
      </c>
      <c r="C236">
        <v>1472</v>
      </c>
      <c r="D236" t="s">
        <v>62</v>
      </c>
      <c r="E236" t="s">
        <v>70</v>
      </c>
      <c r="F236">
        <v>5</v>
      </c>
      <c r="G236" s="2">
        <v>41.46</v>
      </c>
      <c r="H236">
        <v>0.31</v>
      </c>
      <c r="I236" t="s">
        <v>68</v>
      </c>
      <c r="J236">
        <v>2</v>
      </c>
      <c r="K236">
        <v>4.7</v>
      </c>
      <c r="L236" s="2">
        <v>143.04</v>
      </c>
      <c r="M236">
        <v>2022</v>
      </c>
      <c r="N236">
        <v>8</v>
      </c>
      <c r="O236" t="s">
        <v>87</v>
      </c>
      <c r="P236" s="2">
        <v>207.3</v>
      </c>
      <c r="Q236" s="2">
        <v>64.260000000000005</v>
      </c>
      <c r="R236" t="s">
        <v>72</v>
      </c>
      <c r="S236">
        <v>0</v>
      </c>
      <c r="T236">
        <v>0</v>
      </c>
      <c r="U236">
        <f>IF(AND(OR(Dashboard!$D$4="Semua",D236=Dashboard!$D$4),OR(Dashboard!$H$4="Semua",E236=Dashboard!$H$4)),1,0)</f>
        <v>1</v>
      </c>
      <c r="V236">
        <f>IF(U236=1,IF(COUNTIFS($C$2:C236,C236,$U$2:U236,1)=1,1,0),0)</f>
        <v>1</v>
      </c>
    </row>
    <row r="237" spans="1:22" x14ac:dyDescent="0.35">
      <c r="A237">
        <v>10236</v>
      </c>
      <c r="B237" s="1">
        <v>44797</v>
      </c>
      <c r="C237">
        <v>1230</v>
      </c>
      <c r="D237" t="s">
        <v>67</v>
      </c>
      <c r="E237" t="s">
        <v>70</v>
      </c>
      <c r="F237">
        <v>5</v>
      </c>
      <c r="G237" s="2">
        <v>16.100000000000001</v>
      </c>
      <c r="H237">
        <v>0.15</v>
      </c>
      <c r="I237" t="s">
        <v>71</v>
      </c>
      <c r="J237">
        <v>9</v>
      </c>
      <c r="K237">
        <v>2.6</v>
      </c>
      <c r="L237" s="2">
        <v>68.42</v>
      </c>
      <c r="M237">
        <v>2022</v>
      </c>
      <c r="N237">
        <v>8</v>
      </c>
      <c r="O237" t="s">
        <v>87</v>
      </c>
      <c r="P237" s="2">
        <v>80.5</v>
      </c>
      <c r="Q237" s="2">
        <v>12.08</v>
      </c>
      <c r="R237" t="s">
        <v>79</v>
      </c>
      <c r="S237">
        <v>0</v>
      </c>
      <c r="T237">
        <v>0</v>
      </c>
      <c r="U237">
        <f>IF(AND(OR(Dashboard!$D$4="Semua",D237=Dashboard!$D$4),OR(Dashboard!$H$4="Semua",E237=Dashboard!$H$4)),1,0)</f>
        <v>1</v>
      </c>
      <c r="V237">
        <f>IF(U237=1,IF(COUNTIFS($C$2:C237,C237,$U$2:U237,1)=1,1,0),0)</f>
        <v>0</v>
      </c>
    </row>
    <row r="238" spans="1:22" x14ac:dyDescent="0.35">
      <c r="A238">
        <v>10237</v>
      </c>
      <c r="B238" s="1">
        <v>44798</v>
      </c>
      <c r="C238">
        <v>1189</v>
      </c>
      <c r="D238" t="s">
        <v>62</v>
      </c>
      <c r="E238" t="s">
        <v>78</v>
      </c>
      <c r="F238">
        <v>4</v>
      </c>
      <c r="G238" s="2">
        <v>220.13</v>
      </c>
      <c r="H238">
        <v>0.06</v>
      </c>
      <c r="I238" t="s">
        <v>68</v>
      </c>
      <c r="J238">
        <v>10</v>
      </c>
      <c r="K238">
        <v>1.4</v>
      </c>
      <c r="L238" s="2">
        <v>827.69</v>
      </c>
      <c r="M238">
        <v>2022</v>
      </c>
      <c r="N238">
        <v>8</v>
      </c>
      <c r="O238" t="s">
        <v>87</v>
      </c>
      <c r="P238" s="2">
        <v>880.52</v>
      </c>
      <c r="Q238" s="2">
        <v>52.83</v>
      </c>
      <c r="R238" t="s">
        <v>69</v>
      </c>
      <c r="S238">
        <v>0</v>
      </c>
      <c r="T238">
        <v>0</v>
      </c>
      <c r="U238">
        <f>IF(AND(OR(Dashboard!$D$4="Semua",D238=Dashboard!$D$4),OR(Dashboard!$H$4="Semua",E238=Dashboard!$H$4)),1,0)</f>
        <v>1</v>
      </c>
      <c r="V238">
        <f>IF(U238=1,IF(COUNTIFS($C$2:C238,C238,$U$2:U238,1)=1,1,0),0)</f>
        <v>0</v>
      </c>
    </row>
    <row r="239" spans="1:22" x14ac:dyDescent="0.35">
      <c r="A239">
        <v>10238</v>
      </c>
      <c r="B239" s="1">
        <v>44799</v>
      </c>
      <c r="C239">
        <v>1224</v>
      </c>
      <c r="D239" t="s">
        <v>80</v>
      </c>
      <c r="E239" t="s">
        <v>74</v>
      </c>
      <c r="F239">
        <v>7</v>
      </c>
      <c r="G239" s="2">
        <v>156.26</v>
      </c>
      <c r="H239">
        <v>0.11</v>
      </c>
      <c r="I239" t="s">
        <v>71</v>
      </c>
      <c r="J239">
        <v>3</v>
      </c>
      <c r="K239">
        <v>2.2999999999999998</v>
      </c>
      <c r="L239" s="2">
        <v>973.5</v>
      </c>
      <c r="M239">
        <v>2022</v>
      </c>
      <c r="N239">
        <v>8</v>
      </c>
      <c r="O239" t="s">
        <v>87</v>
      </c>
      <c r="P239" s="2">
        <v>1093.82</v>
      </c>
      <c r="Q239" s="2">
        <v>120.32</v>
      </c>
      <c r="R239" t="s">
        <v>79</v>
      </c>
      <c r="S239">
        <v>0</v>
      </c>
      <c r="T239">
        <v>0</v>
      </c>
      <c r="U239">
        <f>IF(AND(OR(Dashboard!$D$4="Semua",D239=Dashboard!$D$4),OR(Dashboard!$H$4="Semua",E239=Dashboard!$H$4)),1,0)</f>
        <v>1</v>
      </c>
      <c r="V239">
        <f>IF(U239=1,IF(COUNTIFS($C$2:C239,C239,$U$2:U239,1)=1,1,0),0)</f>
        <v>1</v>
      </c>
    </row>
    <row r="240" spans="1:22" x14ac:dyDescent="0.35">
      <c r="A240">
        <v>10239</v>
      </c>
      <c r="B240" s="1">
        <v>44800</v>
      </c>
      <c r="C240">
        <v>1384</v>
      </c>
      <c r="D240" t="s">
        <v>73</v>
      </c>
      <c r="E240" t="s">
        <v>63</v>
      </c>
      <c r="F240">
        <v>1</v>
      </c>
      <c r="G240" s="2">
        <v>51.46</v>
      </c>
      <c r="H240">
        <v>0.15</v>
      </c>
      <c r="I240" t="s">
        <v>64</v>
      </c>
      <c r="J240">
        <v>1</v>
      </c>
      <c r="K240">
        <v>2.7</v>
      </c>
      <c r="L240" s="2">
        <v>43.74</v>
      </c>
      <c r="M240">
        <v>2022</v>
      </c>
      <c r="N240">
        <v>8</v>
      </c>
      <c r="O240" t="s">
        <v>87</v>
      </c>
      <c r="P240" s="2">
        <v>51.46</v>
      </c>
      <c r="Q240" s="2">
        <v>7.72</v>
      </c>
      <c r="R240" t="s">
        <v>79</v>
      </c>
      <c r="S240">
        <v>0</v>
      </c>
      <c r="T240">
        <v>0</v>
      </c>
      <c r="U240">
        <f>IF(AND(OR(Dashboard!$D$4="Semua",D240=Dashboard!$D$4),OR(Dashboard!$H$4="Semua",E240=Dashboard!$H$4)),1,0)</f>
        <v>1</v>
      </c>
      <c r="V240">
        <f>IF(U240=1,IF(COUNTIFS($C$2:C240,C240,$U$2:U240,1)=1,1,0),0)</f>
        <v>1</v>
      </c>
    </row>
    <row r="241" spans="1:22" x14ac:dyDescent="0.35">
      <c r="A241">
        <v>10240</v>
      </c>
      <c r="B241" s="1">
        <v>44801</v>
      </c>
      <c r="C241">
        <v>1376</v>
      </c>
      <c r="D241" t="s">
        <v>67</v>
      </c>
      <c r="E241" t="s">
        <v>74</v>
      </c>
      <c r="F241">
        <v>6</v>
      </c>
      <c r="G241" s="2">
        <v>120.02</v>
      </c>
      <c r="H241">
        <v>0.25</v>
      </c>
      <c r="I241" t="s">
        <v>71</v>
      </c>
      <c r="J241">
        <v>2</v>
      </c>
      <c r="K241">
        <v>2.1</v>
      </c>
      <c r="L241" s="2">
        <v>540.09</v>
      </c>
      <c r="M241">
        <v>2022</v>
      </c>
      <c r="N241">
        <v>8</v>
      </c>
      <c r="O241" t="s">
        <v>87</v>
      </c>
      <c r="P241" s="2">
        <v>720.12</v>
      </c>
      <c r="Q241" s="2">
        <v>180.03</v>
      </c>
      <c r="R241" t="s">
        <v>77</v>
      </c>
      <c r="S241">
        <v>0</v>
      </c>
      <c r="T241">
        <v>0</v>
      </c>
      <c r="U241">
        <f>IF(AND(OR(Dashboard!$D$4="Semua",D241=Dashboard!$D$4),OR(Dashboard!$H$4="Semua",E241=Dashboard!$H$4)),1,0)</f>
        <v>1</v>
      </c>
      <c r="V241">
        <f>IF(U241=1,IF(COUNTIFS($C$2:C241,C241,$U$2:U241,1)=1,1,0),0)</f>
        <v>1</v>
      </c>
    </row>
    <row r="242" spans="1:22" x14ac:dyDescent="0.35">
      <c r="A242">
        <v>10241</v>
      </c>
      <c r="B242" s="1">
        <v>44802</v>
      </c>
      <c r="C242">
        <v>1282</v>
      </c>
      <c r="D242" t="s">
        <v>80</v>
      </c>
      <c r="E242" t="s">
        <v>78</v>
      </c>
      <c r="F242">
        <v>7</v>
      </c>
      <c r="G242" s="2">
        <v>87.83</v>
      </c>
      <c r="H242">
        <v>0</v>
      </c>
      <c r="I242" t="s">
        <v>71</v>
      </c>
      <c r="J242">
        <v>8</v>
      </c>
      <c r="K242">
        <v>3.1</v>
      </c>
      <c r="L242" s="2">
        <v>614.80999999999995</v>
      </c>
      <c r="M242">
        <v>2022</v>
      </c>
      <c r="N242">
        <v>8</v>
      </c>
      <c r="O242" t="s">
        <v>87</v>
      </c>
      <c r="P242" s="2">
        <v>614.80999999999995</v>
      </c>
      <c r="Q242" s="2">
        <v>0</v>
      </c>
      <c r="R242" t="s">
        <v>75</v>
      </c>
      <c r="S242">
        <v>0</v>
      </c>
      <c r="T242">
        <v>0</v>
      </c>
      <c r="U242">
        <f>IF(AND(OR(Dashboard!$D$4="Semua",D242=Dashboard!$D$4),OR(Dashboard!$H$4="Semua",E242=Dashboard!$H$4)),1,0)</f>
        <v>1</v>
      </c>
      <c r="V242">
        <f>IF(U242=1,IF(COUNTIFS($C$2:C242,C242,$U$2:U242,1)=1,1,0),0)</f>
        <v>1</v>
      </c>
    </row>
    <row r="243" spans="1:22" x14ac:dyDescent="0.35">
      <c r="A243">
        <v>10242</v>
      </c>
      <c r="B243" s="1">
        <v>44803</v>
      </c>
      <c r="C243">
        <v>1957</v>
      </c>
      <c r="D243" t="s">
        <v>73</v>
      </c>
      <c r="E243" t="s">
        <v>78</v>
      </c>
      <c r="F243">
        <v>7</v>
      </c>
      <c r="G243" s="2">
        <v>550.20000000000005</v>
      </c>
      <c r="H243">
        <v>0.11</v>
      </c>
      <c r="I243" t="s">
        <v>68</v>
      </c>
      <c r="J243">
        <v>10</v>
      </c>
      <c r="K243">
        <v>2.2000000000000002</v>
      </c>
      <c r="L243" s="2">
        <v>3427.75</v>
      </c>
      <c r="M243">
        <v>2022</v>
      </c>
      <c r="N243">
        <v>8</v>
      </c>
      <c r="O243" t="s">
        <v>87</v>
      </c>
      <c r="P243" s="2">
        <v>3851.4</v>
      </c>
      <c r="Q243" s="2">
        <v>423.65</v>
      </c>
      <c r="R243" t="s">
        <v>79</v>
      </c>
      <c r="S243">
        <v>0</v>
      </c>
      <c r="T243">
        <v>1</v>
      </c>
      <c r="U243">
        <f>IF(AND(OR(Dashboard!$D$4="Semua",D243=Dashboard!$D$4),OR(Dashboard!$H$4="Semua",E243=Dashboard!$H$4)),1,0)</f>
        <v>1</v>
      </c>
      <c r="V243">
        <f>IF(U243=1,IF(COUNTIFS($C$2:C243,C243,$U$2:U243,1)=1,1,0),0)</f>
        <v>0</v>
      </c>
    </row>
    <row r="244" spans="1:22" x14ac:dyDescent="0.35">
      <c r="A244">
        <v>10243</v>
      </c>
      <c r="B244" s="1">
        <v>44804</v>
      </c>
      <c r="C244">
        <v>1632</v>
      </c>
      <c r="D244" t="s">
        <v>67</v>
      </c>
      <c r="E244" t="s">
        <v>63</v>
      </c>
      <c r="F244">
        <v>2</v>
      </c>
      <c r="G244" s="2">
        <v>97.06</v>
      </c>
      <c r="H244">
        <v>0.27</v>
      </c>
      <c r="I244" t="s">
        <v>68</v>
      </c>
      <c r="J244">
        <v>6</v>
      </c>
      <c r="K244">
        <v>1.4</v>
      </c>
      <c r="L244" s="2">
        <v>141.71</v>
      </c>
      <c r="M244">
        <v>2022</v>
      </c>
      <c r="N244">
        <v>8</v>
      </c>
      <c r="O244" t="s">
        <v>87</v>
      </c>
      <c r="P244" s="2">
        <v>194.12</v>
      </c>
      <c r="Q244" s="2">
        <v>52.41</v>
      </c>
      <c r="R244" t="s">
        <v>66</v>
      </c>
      <c r="S244">
        <v>0</v>
      </c>
      <c r="T244">
        <v>0</v>
      </c>
      <c r="U244">
        <f>IF(AND(OR(Dashboard!$D$4="Semua",D244=Dashboard!$D$4),OR(Dashboard!$H$4="Semua",E244=Dashboard!$H$4)),1,0)</f>
        <v>1</v>
      </c>
      <c r="V244">
        <f>IF(U244=1,IF(COUNTIFS($C$2:C244,C244,$U$2:U244,1)=1,1,0),0)</f>
        <v>1</v>
      </c>
    </row>
    <row r="245" spans="1:22" x14ac:dyDescent="0.35">
      <c r="A245">
        <v>10244</v>
      </c>
      <c r="B245" s="1">
        <v>44805</v>
      </c>
      <c r="C245">
        <v>1627</v>
      </c>
      <c r="D245" t="s">
        <v>80</v>
      </c>
      <c r="E245" t="s">
        <v>74</v>
      </c>
      <c r="F245">
        <v>6</v>
      </c>
      <c r="G245" s="2">
        <v>329.52</v>
      </c>
      <c r="H245">
        <v>0.23</v>
      </c>
      <c r="I245" t="s">
        <v>64</v>
      </c>
      <c r="J245">
        <v>11</v>
      </c>
      <c r="K245">
        <v>1.8</v>
      </c>
      <c r="L245" s="2">
        <v>1522.38</v>
      </c>
      <c r="M245">
        <v>2022</v>
      </c>
      <c r="N245">
        <v>9</v>
      </c>
      <c r="O245" t="s">
        <v>88</v>
      </c>
      <c r="P245" s="2">
        <v>1977.12</v>
      </c>
      <c r="Q245" s="2">
        <v>454.74</v>
      </c>
      <c r="R245" t="s">
        <v>77</v>
      </c>
      <c r="S245">
        <v>0</v>
      </c>
      <c r="T245">
        <v>0</v>
      </c>
      <c r="U245">
        <f>IF(AND(OR(Dashboard!$D$4="Semua",D245=Dashboard!$D$4),OR(Dashboard!$H$4="Semua",E245=Dashboard!$H$4)),1,0)</f>
        <v>1</v>
      </c>
      <c r="V245">
        <f>IF(U245=1,IF(COUNTIFS($C$2:C245,C245,$U$2:U245,1)=1,1,0),0)</f>
        <v>1</v>
      </c>
    </row>
    <row r="246" spans="1:22" x14ac:dyDescent="0.35">
      <c r="A246">
        <v>10245</v>
      </c>
      <c r="B246" s="1">
        <v>44806</v>
      </c>
      <c r="C246">
        <v>1972</v>
      </c>
      <c r="D246" t="s">
        <v>73</v>
      </c>
      <c r="E246" t="s">
        <v>78</v>
      </c>
      <c r="F246">
        <v>5</v>
      </c>
      <c r="G246" s="2">
        <v>361.97</v>
      </c>
      <c r="H246">
        <v>0.26</v>
      </c>
      <c r="I246" t="s">
        <v>68</v>
      </c>
      <c r="J246">
        <v>1</v>
      </c>
      <c r="K246">
        <v>4.7</v>
      </c>
      <c r="L246" s="2">
        <v>1339.29</v>
      </c>
      <c r="M246">
        <v>2022</v>
      </c>
      <c r="N246">
        <v>9</v>
      </c>
      <c r="O246" t="s">
        <v>88</v>
      </c>
      <c r="P246" s="2">
        <v>1809.85</v>
      </c>
      <c r="Q246" s="2">
        <v>470.56</v>
      </c>
      <c r="R246" t="s">
        <v>66</v>
      </c>
      <c r="S246">
        <v>0</v>
      </c>
      <c r="T246">
        <v>0</v>
      </c>
      <c r="U246">
        <f>IF(AND(OR(Dashboard!$D$4="Semua",D246=Dashboard!$D$4),OR(Dashboard!$H$4="Semua",E246=Dashboard!$H$4)),1,0)</f>
        <v>1</v>
      </c>
      <c r="V246">
        <f>IF(U246=1,IF(COUNTIFS($C$2:C246,C246,$U$2:U246,1)=1,1,0),0)</f>
        <v>1</v>
      </c>
    </row>
    <row r="247" spans="1:22" x14ac:dyDescent="0.35">
      <c r="A247">
        <v>10246</v>
      </c>
      <c r="B247" s="1">
        <v>44807</v>
      </c>
      <c r="C247">
        <v>1744</v>
      </c>
      <c r="D247" t="s">
        <v>67</v>
      </c>
      <c r="E247" t="s">
        <v>70</v>
      </c>
      <c r="F247">
        <v>6</v>
      </c>
      <c r="G247" s="2">
        <v>332.94</v>
      </c>
      <c r="H247">
        <v>0.28000000000000003</v>
      </c>
      <c r="I247" t="s">
        <v>64</v>
      </c>
      <c r="J247">
        <v>11</v>
      </c>
      <c r="K247">
        <v>3.5</v>
      </c>
      <c r="L247" s="2">
        <v>1438.3</v>
      </c>
      <c r="M247">
        <v>2022</v>
      </c>
      <c r="N247">
        <v>9</v>
      </c>
      <c r="O247" t="s">
        <v>88</v>
      </c>
      <c r="P247" s="2">
        <v>1997.64</v>
      </c>
      <c r="Q247" s="2">
        <v>559.34</v>
      </c>
      <c r="R247" t="s">
        <v>66</v>
      </c>
      <c r="S247">
        <v>0</v>
      </c>
      <c r="T247">
        <v>0</v>
      </c>
      <c r="U247">
        <f>IF(AND(OR(Dashboard!$D$4="Semua",D247=Dashboard!$D$4),OR(Dashboard!$H$4="Semua",E247=Dashboard!$H$4)),1,0)</f>
        <v>1</v>
      </c>
      <c r="V247">
        <f>IF(U247=1,IF(COUNTIFS($C$2:C247,C247,$U$2:U247,1)=1,1,0),0)</f>
        <v>1</v>
      </c>
    </row>
    <row r="248" spans="1:22" x14ac:dyDescent="0.35">
      <c r="A248">
        <v>10247</v>
      </c>
      <c r="B248" s="1">
        <v>44808</v>
      </c>
      <c r="C248">
        <v>1258</v>
      </c>
      <c r="D248" t="s">
        <v>80</v>
      </c>
      <c r="E248" t="s">
        <v>70</v>
      </c>
      <c r="F248">
        <v>7</v>
      </c>
      <c r="G248" s="2">
        <v>72.95</v>
      </c>
      <c r="H248">
        <v>0.27</v>
      </c>
      <c r="I248" t="s">
        <v>71</v>
      </c>
      <c r="J248">
        <v>9</v>
      </c>
      <c r="K248">
        <v>2.2999999999999998</v>
      </c>
      <c r="L248" s="2">
        <v>372.77</v>
      </c>
      <c r="M248">
        <v>2022</v>
      </c>
      <c r="N248">
        <v>9</v>
      </c>
      <c r="O248" t="s">
        <v>88</v>
      </c>
      <c r="P248" s="2">
        <v>510.65</v>
      </c>
      <c r="Q248" s="2">
        <v>137.88</v>
      </c>
      <c r="R248" t="s">
        <v>66</v>
      </c>
      <c r="S248">
        <v>0</v>
      </c>
      <c r="T248">
        <v>0</v>
      </c>
      <c r="U248">
        <f>IF(AND(OR(Dashboard!$D$4="Semua",D248=Dashboard!$D$4),OR(Dashboard!$H$4="Semua",E248=Dashboard!$H$4)),1,0)</f>
        <v>1</v>
      </c>
      <c r="V248">
        <f>IF(U248=1,IF(COUNTIFS($C$2:C248,C248,$U$2:U248,1)=1,1,0),0)</f>
        <v>1</v>
      </c>
    </row>
    <row r="249" spans="1:22" x14ac:dyDescent="0.35">
      <c r="A249">
        <v>10248</v>
      </c>
      <c r="B249" s="1">
        <v>44809</v>
      </c>
      <c r="C249">
        <v>1358</v>
      </c>
      <c r="D249" t="s">
        <v>67</v>
      </c>
      <c r="E249" t="s">
        <v>70</v>
      </c>
      <c r="F249">
        <v>5</v>
      </c>
      <c r="G249" s="2">
        <v>201.5</v>
      </c>
      <c r="H249">
        <v>0.24</v>
      </c>
      <c r="I249" t="s">
        <v>71</v>
      </c>
      <c r="J249">
        <v>7</v>
      </c>
      <c r="K249">
        <v>2.5</v>
      </c>
      <c r="L249" s="2">
        <v>765.7</v>
      </c>
      <c r="M249">
        <v>2022</v>
      </c>
      <c r="N249">
        <v>9</v>
      </c>
      <c r="O249" t="s">
        <v>88</v>
      </c>
      <c r="P249" s="2">
        <v>1007.5</v>
      </c>
      <c r="Q249" s="2">
        <v>241.8</v>
      </c>
      <c r="R249" t="s">
        <v>77</v>
      </c>
      <c r="S249">
        <v>0</v>
      </c>
      <c r="T249">
        <v>0</v>
      </c>
      <c r="U249">
        <f>IF(AND(OR(Dashboard!$D$4="Semua",D249=Dashboard!$D$4),OR(Dashboard!$H$4="Semua",E249=Dashboard!$H$4)),1,0)</f>
        <v>1</v>
      </c>
      <c r="V249">
        <f>IF(U249=1,IF(COUNTIFS($C$2:C249,C249,$U$2:U249,1)=1,1,0),0)</f>
        <v>1</v>
      </c>
    </row>
    <row r="250" spans="1:22" x14ac:dyDescent="0.35">
      <c r="A250">
        <v>10249</v>
      </c>
      <c r="B250" s="1">
        <v>44810</v>
      </c>
      <c r="C250">
        <v>1709</v>
      </c>
      <c r="D250" t="s">
        <v>73</v>
      </c>
      <c r="E250" t="s">
        <v>74</v>
      </c>
      <c r="F250">
        <v>6</v>
      </c>
      <c r="G250" s="2">
        <v>44.99</v>
      </c>
      <c r="H250">
        <v>0.15</v>
      </c>
      <c r="I250" t="s">
        <v>64</v>
      </c>
      <c r="J250">
        <v>10</v>
      </c>
      <c r="K250">
        <v>3</v>
      </c>
      <c r="L250" s="2">
        <v>229.45</v>
      </c>
      <c r="M250">
        <v>2022</v>
      </c>
      <c r="N250">
        <v>9</v>
      </c>
      <c r="O250" t="s">
        <v>88</v>
      </c>
      <c r="P250" s="2">
        <v>269.94</v>
      </c>
      <c r="Q250" s="2">
        <v>40.49</v>
      </c>
      <c r="R250" t="s">
        <v>79</v>
      </c>
      <c r="S250">
        <v>0</v>
      </c>
      <c r="T250">
        <v>0</v>
      </c>
      <c r="U250">
        <f>IF(AND(OR(Dashboard!$D$4="Semua",D250=Dashboard!$D$4),OR(Dashboard!$H$4="Semua",E250=Dashboard!$H$4)),1,0)</f>
        <v>1</v>
      </c>
      <c r="V250">
        <f>IF(U250=1,IF(COUNTIFS($C$2:C250,C250,$U$2:U250,1)=1,1,0),0)</f>
        <v>1</v>
      </c>
    </row>
    <row r="251" spans="1:22" x14ac:dyDescent="0.35">
      <c r="A251">
        <v>10250</v>
      </c>
      <c r="B251" s="1">
        <v>44811</v>
      </c>
      <c r="C251">
        <v>1455</v>
      </c>
      <c r="D251" t="s">
        <v>73</v>
      </c>
      <c r="E251" t="s">
        <v>70</v>
      </c>
      <c r="F251">
        <v>5</v>
      </c>
      <c r="G251" s="2">
        <v>246.47</v>
      </c>
      <c r="H251">
        <v>0.34</v>
      </c>
      <c r="I251" t="s">
        <v>71</v>
      </c>
      <c r="J251">
        <v>11</v>
      </c>
      <c r="K251">
        <v>3.7</v>
      </c>
      <c r="L251" s="2">
        <v>813.35</v>
      </c>
      <c r="M251">
        <v>2022</v>
      </c>
      <c r="N251">
        <v>9</v>
      </c>
      <c r="O251" t="s">
        <v>88</v>
      </c>
      <c r="P251" s="2">
        <v>1232.3499999999999</v>
      </c>
      <c r="Q251" s="2">
        <v>419</v>
      </c>
      <c r="R251" t="s">
        <v>72</v>
      </c>
      <c r="S251">
        <v>0</v>
      </c>
      <c r="T251">
        <v>0</v>
      </c>
      <c r="U251">
        <f>IF(AND(OR(Dashboard!$D$4="Semua",D251=Dashboard!$D$4),OR(Dashboard!$H$4="Semua",E251=Dashboard!$H$4)),1,0)</f>
        <v>1</v>
      </c>
      <c r="V251">
        <f>IF(U251=1,IF(COUNTIFS($C$2:C251,C251,$U$2:U251,1)=1,1,0),0)</f>
        <v>0</v>
      </c>
    </row>
    <row r="252" spans="1:22" x14ac:dyDescent="0.35">
      <c r="A252">
        <v>10251</v>
      </c>
      <c r="B252" s="1">
        <v>44812</v>
      </c>
      <c r="C252">
        <v>1410</v>
      </c>
      <c r="D252" t="s">
        <v>67</v>
      </c>
      <c r="E252" t="s">
        <v>70</v>
      </c>
      <c r="F252">
        <v>5</v>
      </c>
      <c r="G252" s="2">
        <v>125.33</v>
      </c>
      <c r="H252">
        <v>0.2</v>
      </c>
      <c r="I252" t="s">
        <v>64</v>
      </c>
      <c r="J252">
        <v>3</v>
      </c>
      <c r="K252">
        <v>3.3</v>
      </c>
      <c r="L252" s="2">
        <v>501.32</v>
      </c>
      <c r="M252">
        <v>2022</v>
      </c>
      <c r="N252">
        <v>9</v>
      </c>
      <c r="O252" t="s">
        <v>88</v>
      </c>
      <c r="P252" s="2">
        <v>626.65</v>
      </c>
      <c r="Q252" s="2">
        <v>125.33</v>
      </c>
      <c r="R252" t="s">
        <v>76</v>
      </c>
      <c r="S252">
        <v>0</v>
      </c>
      <c r="T252">
        <v>0</v>
      </c>
      <c r="U252">
        <f>IF(AND(OR(Dashboard!$D$4="Semua",D252=Dashboard!$D$4),OR(Dashboard!$H$4="Semua",E252=Dashboard!$H$4)),1,0)</f>
        <v>1</v>
      </c>
      <c r="V252">
        <f>IF(U252=1,IF(COUNTIFS($C$2:C252,C252,$U$2:U252,1)=1,1,0),0)</f>
        <v>1</v>
      </c>
    </row>
    <row r="253" spans="1:22" x14ac:dyDescent="0.35">
      <c r="A253">
        <v>10252</v>
      </c>
      <c r="B253" s="1">
        <v>44813</v>
      </c>
      <c r="C253">
        <v>1648</v>
      </c>
      <c r="D253" t="s">
        <v>62</v>
      </c>
      <c r="E253" t="s">
        <v>78</v>
      </c>
      <c r="F253">
        <v>4</v>
      </c>
      <c r="G253" s="2">
        <v>343.56</v>
      </c>
      <c r="H253">
        <v>7.0000000000000007E-2</v>
      </c>
      <c r="I253" t="s">
        <v>68</v>
      </c>
      <c r="J253">
        <v>7</v>
      </c>
      <c r="K253">
        <v>4.7</v>
      </c>
      <c r="L253" s="2">
        <v>1278.04</v>
      </c>
      <c r="M253">
        <v>2022</v>
      </c>
      <c r="N253">
        <v>9</v>
      </c>
      <c r="O253" t="s">
        <v>88</v>
      </c>
      <c r="P253" s="2">
        <v>1374.24</v>
      </c>
      <c r="Q253" s="2">
        <v>96.2</v>
      </c>
      <c r="R253" t="s">
        <v>69</v>
      </c>
      <c r="S253">
        <v>0</v>
      </c>
      <c r="T253">
        <v>0</v>
      </c>
      <c r="U253">
        <f>IF(AND(OR(Dashboard!$D$4="Semua",D253=Dashboard!$D$4),OR(Dashboard!$H$4="Semua",E253=Dashboard!$H$4)),1,0)</f>
        <v>1</v>
      </c>
      <c r="V253">
        <f>IF(U253=1,IF(COUNTIFS($C$2:C253,C253,$U$2:U253,1)=1,1,0),0)</f>
        <v>1</v>
      </c>
    </row>
    <row r="254" spans="1:22" x14ac:dyDescent="0.35">
      <c r="A254">
        <v>10253</v>
      </c>
      <c r="B254" s="1">
        <v>44814</v>
      </c>
      <c r="C254">
        <v>1317</v>
      </c>
      <c r="D254" t="s">
        <v>73</v>
      </c>
      <c r="E254" t="s">
        <v>78</v>
      </c>
      <c r="F254">
        <v>1</v>
      </c>
      <c r="G254" s="2">
        <v>420.29</v>
      </c>
      <c r="H254">
        <v>0.1</v>
      </c>
      <c r="I254" t="s">
        <v>71</v>
      </c>
      <c r="J254">
        <v>6</v>
      </c>
      <c r="K254">
        <v>3.5</v>
      </c>
      <c r="L254" s="2">
        <v>378.26</v>
      </c>
      <c r="M254">
        <v>2022</v>
      </c>
      <c r="N254">
        <v>9</v>
      </c>
      <c r="O254" t="s">
        <v>88</v>
      </c>
      <c r="P254" s="2">
        <v>420.29</v>
      </c>
      <c r="Q254" s="2">
        <v>42.03</v>
      </c>
      <c r="R254" t="s">
        <v>69</v>
      </c>
      <c r="S254">
        <v>0</v>
      </c>
      <c r="T254">
        <v>0</v>
      </c>
      <c r="U254">
        <f>IF(AND(OR(Dashboard!$D$4="Semua",D254=Dashboard!$D$4),OR(Dashboard!$H$4="Semua",E254=Dashboard!$H$4)),1,0)</f>
        <v>1</v>
      </c>
      <c r="V254">
        <f>IF(U254=1,IF(COUNTIFS($C$2:C254,C254,$U$2:U254,1)=1,1,0),0)</f>
        <v>1</v>
      </c>
    </row>
    <row r="255" spans="1:22" x14ac:dyDescent="0.35">
      <c r="A255">
        <v>10254</v>
      </c>
      <c r="B255" s="1">
        <v>44815</v>
      </c>
      <c r="C255">
        <v>1676</v>
      </c>
      <c r="D255" t="s">
        <v>67</v>
      </c>
      <c r="E255" t="s">
        <v>70</v>
      </c>
      <c r="F255">
        <v>5</v>
      </c>
      <c r="G255" s="2">
        <v>326.29000000000002</v>
      </c>
      <c r="H255">
        <v>0.24</v>
      </c>
      <c r="I255" t="s">
        <v>71</v>
      </c>
      <c r="J255">
        <v>3</v>
      </c>
      <c r="K255">
        <v>4.5999999999999996</v>
      </c>
      <c r="L255" s="2">
        <v>1239.9000000000001</v>
      </c>
      <c r="M255">
        <v>2022</v>
      </c>
      <c r="N255">
        <v>9</v>
      </c>
      <c r="O255" t="s">
        <v>88</v>
      </c>
      <c r="P255" s="2">
        <v>1631.45</v>
      </c>
      <c r="Q255" s="2">
        <v>391.55</v>
      </c>
      <c r="R255" t="s">
        <v>77</v>
      </c>
      <c r="S255">
        <v>0</v>
      </c>
      <c r="T255">
        <v>0</v>
      </c>
      <c r="U255">
        <f>IF(AND(OR(Dashboard!$D$4="Semua",D255=Dashboard!$D$4),OR(Dashboard!$H$4="Semua",E255=Dashboard!$H$4)),1,0)</f>
        <v>1</v>
      </c>
      <c r="V255">
        <f>IF(U255=1,IF(COUNTIFS($C$2:C255,C255,$U$2:U255,1)=1,1,0),0)</f>
        <v>1</v>
      </c>
    </row>
    <row r="256" spans="1:22" x14ac:dyDescent="0.35">
      <c r="A256">
        <v>10255</v>
      </c>
      <c r="B256" s="1">
        <v>44816</v>
      </c>
      <c r="C256">
        <v>1224</v>
      </c>
      <c r="D256" t="s">
        <v>73</v>
      </c>
      <c r="E256" t="s">
        <v>70</v>
      </c>
      <c r="F256">
        <v>2</v>
      </c>
      <c r="G256" s="2">
        <v>269.02999999999997</v>
      </c>
      <c r="H256">
        <v>0.32</v>
      </c>
      <c r="I256" t="s">
        <v>68</v>
      </c>
      <c r="J256">
        <v>8</v>
      </c>
      <c r="K256">
        <v>1</v>
      </c>
      <c r="L256" s="2">
        <v>365.88</v>
      </c>
      <c r="M256">
        <v>2022</v>
      </c>
      <c r="N256">
        <v>9</v>
      </c>
      <c r="O256" t="s">
        <v>88</v>
      </c>
      <c r="P256" s="2">
        <v>538.05999999999995</v>
      </c>
      <c r="Q256" s="2">
        <v>172.18</v>
      </c>
      <c r="R256" t="s">
        <v>72</v>
      </c>
      <c r="S256">
        <v>0</v>
      </c>
      <c r="T256">
        <v>0</v>
      </c>
      <c r="U256">
        <f>IF(AND(OR(Dashboard!$D$4="Semua",D256=Dashboard!$D$4),OR(Dashboard!$H$4="Semua",E256=Dashboard!$H$4)),1,0)</f>
        <v>1</v>
      </c>
      <c r="V256">
        <f>IF(U256=1,IF(COUNTIFS($C$2:C256,C256,$U$2:U256,1)=1,1,0),0)</f>
        <v>0</v>
      </c>
    </row>
    <row r="257" spans="1:22" x14ac:dyDescent="0.35">
      <c r="A257">
        <v>10256</v>
      </c>
      <c r="B257" s="1">
        <v>44817</v>
      </c>
      <c r="C257">
        <v>1818</v>
      </c>
      <c r="D257" t="s">
        <v>73</v>
      </c>
      <c r="E257" t="s">
        <v>78</v>
      </c>
      <c r="F257">
        <v>7</v>
      </c>
      <c r="G257" s="2">
        <v>241.59</v>
      </c>
      <c r="H257">
        <v>0.06</v>
      </c>
      <c r="I257" t="s">
        <v>71</v>
      </c>
      <c r="J257">
        <v>1</v>
      </c>
      <c r="K257">
        <v>4.5999999999999996</v>
      </c>
      <c r="L257" s="2">
        <v>1589.66</v>
      </c>
      <c r="M257">
        <v>2022</v>
      </c>
      <c r="N257">
        <v>9</v>
      </c>
      <c r="O257" t="s">
        <v>88</v>
      </c>
      <c r="P257" s="2">
        <v>1691.13</v>
      </c>
      <c r="Q257" s="2">
        <v>101.47</v>
      </c>
      <c r="R257" t="s">
        <v>69</v>
      </c>
      <c r="S257">
        <v>0</v>
      </c>
      <c r="T257">
        <v>0</v>
      </c>
      <c r="U257">
        <f>IF(AND(OR(Dashboard!$D$4="Semua",D257=Dashboard!$D$4),OR(Dashboard!$H$4="Semua",E257=Dashboard!$H$4)),1,0)</f>
        <v>1</v>
      </c>
      <c r="V257">
        <f>IF(U257=1,IF(COUNTIFS($C$2:C257,C257,$U$2:U257,1)=1,1,0),0)</f>
        <v>0</v>
      </c>
    </row>
    <row r="258" spans="1:22" x14ac:dyDescent="0.35">
      <c r="A258">
        <v>10257</v>
      </c>
      <c r="B258" s="1">
        <v>44818</v>
      </c>
      <c r="C258">
        <v>1233</v>
      </c>
      <c r="D258" t="s">
        <v>80</v>
      </c>
      <c r="E258" t="s">
        <v>63</v>
      </c>
      <c r="F258">
        <v>7</v>
      </c>
      <c r="G258" s="2">
        <v>507.39</v>
      </c>
      <c r="H258">
        <v>0.03</v>
      </c>
      <c r="I258" t="s">
        <v>71</v>
      </c>
      <c r="J258">
        <v>5</v>
      </c>
      <c r="K258">
        <v>3.9</v>
      </c>
      <c r="L258" s="2">
        <v>3445.18</v>
      </c>
      <c r="M258">
        <v>2022</v>
      </c>
      <c r="N258">
        <v>9</v>
      </c>
      <c r="O258" t="s">
        <v>88</v>
      </c>
      <c r="P258" s="2">
        <v>3551.73</v>
      </c>
      <c r="Q258" s="2">
        <v>106.55</v>
      </c>
      <c r="R258" t="s">
        <v>75</v>
      </c>
      <c r="S258">
        <v>0</v>
      </c>
      <c r="T258">
        <v>1</v>
      </c>
      <c r="U258">
        <f>IF(AND(OR(Dashboard!$D$4="Semua",D258=Dashboard!$D$4),OR(Dashboard!$H$4="Semua",E258=Dashboard!$H$4)),1,0)</f>
        <v>1</v>
      </c>
      <c r="V258">
        <f>IF(U258=1,IF(COUNTIFS($C$2:C258,C258,$U$2:U258,1)=1,1,0),0)</f>
        <v>1</v>
      </c>
    </row>
    <row r="259" spans="1:22" x14ac:dyDescent="0.35">
      <c r="A259">
        <v>10258</v>
      </c>
      <c r="B259" s="1">
        <v>44819</v>
      </c>
      <c r="C259">
        <v>1683</v>
      </c>
      <c r="D259" t="s">
        <v>80</v>
      </c>
      <c r="E259" t="s">
        <v>74</v>
      </c>
      <c r="F259">
        <v>2</v>
      </c>
      <c r="G259" s="2">
        <v>143.33000000000001</v>
      </c>
      <c r="H259">
        <v>0.31</v>
      </c>
      <c r="I259" t="s">
        <v>64</v>
      </c>
      <c r="J259">
        <v>8</v>
      </c>
      <c r="K259">
        <v>1.7</v>
      </c>
      <c r="L259" s="2">
        <v>197.8</v>
      </c>
      <c r="M259">
        <v>2022</v>
      </c>
      <c r="N259">
        <v>9</v>
      </c>
      <c r="O259" t="s">
        <v>88</v>
      </c>
      <c r="P259" s="2">
        <v>286.66000000000003</v>
      </c>
      <c r="Q259" s="2">
        <v>88.86</v>
      </c>
      <c r="R259" t="s">
        <v>72</v>
      </c>
      <c r="S259">
        <v>0</v>
      </c>
      <c r="T259">
        <v>0</v>
      </c>
      <c r="U259">
        <f>IF(AND(OR(Dashboard!$D$4="Semua",D259=Dashboard!$D$4),OR(Dashboard!$H$4="Semua",E259=Dashboard!$H$4)),1,0)</f>
        <v>1</v>
      </c>
      <c r="V259">
        <f>IF(U259=1,IF(COUNTIFS($C$2:C259,C259,$U$2:U259,1)=1,1,0),0)</f>
        <v>0</v>
      </c>
    </row>
    <row r="260" spans="1:22" x14ac:dyDescent="0.35">
      <c r="A260">
        <v>10259</v>
      </c>
      <c r="B260" s="1">
        <v>44820</v>
      </c>
      <c r="C260">
        <v>1663</v>
      </c>
      <c r="D260" t="s">
        <v>73</v>
      </c>
      <c r="E260" t="s">
        <v>74</v>
      </c>
      <c r="F260">
        <v>3</v>
      </c>
      <c r="G260" s="2">
        <v>444.52</v>
      </c>
      <c r="H260">
        <v>0.32</v>
      </c>
      <c r="I260" t="s">
        <v>68</v>
      </c>
      <c r="J260">
        <v>3</v>
      </c>
      <c r="K260">
        <v>2.1</v>
      </c>
      <c r="L260" s="2">
        <v>906.82</v>
      </c>
      <c r="M260">
        <v>2022</v>
      </c>
      <c r="N260">
        <v>9</v>
      </c>
      <c r="O260" t="s">
        <v>88</v>
      </c>
      <c r="P260" s="2">
        <v>1333.56</v>
      </c>
      <c r="Q260" s="2">
        <v>426.74</v>
      </c>
      <c r="R260" t="s">
        <v>72</v>
      </c>
      <c r="S260">
        <v>0</v>
      </c>
      <c r="T260">
        <v>0</v>
      </c>
      <c r="U260">
        <f>IF(AND(OR(Dashboard!$D$4="Semua",D260=Dashboard!$D$4),OR(Dashboard!$H$4="Semua",E260=Dashboard!$H$4)),1,0)</f>
        <v>1</v>
      </c>
      <c r="V260">
        <f>IF(U260=1,IF(COUNTIFS($C$2:C260,C260,$U$2:U260,1)=1,1,0),0)</f>
        <v>0</v>
      </c>
    </row>
    <row r="261" spans="1:22" x14ac:dyDescent="0.35">
      <c r="A261">
        <v>10260</v>
      </c>
      <c r="B261" s="1">
        <v>44821</v>
      </c>
      <c r="C261">
        <v>1974</v>
      </c>
      <c r="D261" t="s">
        <v>67</v>
      </c>
      <c r="E261" t="s">
        <v>78</v>
      </c>
      <c r="F261">
        <v>5</v>
      </c>
      <c r="G261" s="2">
        <v>458.13</v>
      </c>
      <c r="H261">
        <v>0.1</v>
      </c>
      <c r="I261" t="s">
        <v>71</v>
      </c>
      <c r="J261">
        <v>11</v>
      </c>
      <c r="K261">
        <v>3.2</v>
      </c>
      <c r="L261" s="2">
        <v>2061.58</v>
      </c>
      <c r="M261">
        <v>2022</v>
      </c>
      <c r="N261">
        <v>9</v>
      </c>
      <c r="O261" t="s">
        <v>88</v>
      </c>
      <c r="P261" s="2">
        <v>2290.65</v>
      </c>
      <c r="Q261" s="2">
        <v>229.07</v>
      </c>
      <c r="R261" t="s">
        <v>69</v>
      </c>
      <c r="S261">
        <v>0</v>
      </c>
      <c r="T261">
        <v>0</v>
      </c>
      <c r="U261">
        <f>IF(AND(OR(Dashboard!$D$4="Semua",D261=Dashboard!$D$4),OR(Dashboard!$H$4="Semua",E261=Dashboard!$H$4)),1,0)</f>
        <v>1</v>
      </c>
      <c r="V261">
        <f>IF(U261=1,IF(COUNTIFS($C$2:C261,C261,$U$2:U261,1)=1,1,0),0)</f>
        <v>1</v>
      </c>
    </row>
    <row r="262" spans="1:22" x14ac:dyDescent="0.35">
      <c r="A262">
        <v>10261</v>
      </c>
      <c r="B262" s="1">
        <v>44822</v>
      </c>
      <c r="C262">
        <v>1826</v>
      </c>
      <c r="D262" t="s">
        <v>73</v>
      </c>
      <c r="E262" t="s">
        <v>74</v>
      </c>
      <c r="F262">
        <v>5</v>
      </c>
      <c r="G262" s="2">
        <v>260.23</v>
      </c>
      <c r="H262">
        <v>0.13</v>
      </c>
      <c r="I262" t="s">
        <v>68</v>
      </c>
      <c r="J262">
        <v>10</v>
      </c>
      <c r="K262">
        <v>1.5</v>
      </c>
      <c r="L262" s="2">
        <v>1132</v>
      </c>
      <c r="M262">
        <v>2022</v>
      </c>
      <c r="N262">
        <v>9</v>
      </c>
      <c r="O262" t="s">
        <v>88</v>
      </c>
      <c r="P262" s="2">
        <v>1301.1500000000001</v>
      </c>
      <c r="Q262" s="2">
        <v>169.15</v>
      </c>
      <c r="R262" t="s">
        <v>79</v>
      </c>
      <c r="S262">
        <v>0</v>
      </c>
      <c r="T262">
        <v>0</v>
      </c>
      <c r="U262">
        <f>IF(AND(OR(Dashboard!$D$4="Semua",D262=Dashboard!$D$4),OR(Dashboard!$H$4="Semua",E262=Dashboard!$H$4)),1,0)</f>
        <v>1</v>
      </c>
      <c r="V262">
        <f>IF(U262=1,IF(COUNTIFS($C$2:C262,C262,$U$2:U262,1)=1,1,0),0)</f>
        <v>1</v>
      </c>
    </row>
    <row r="263" spans="1:22" x14ac:dyDescent="0.35">
      <c r="A263">
        <v>10262</v>
      </c>
      <c r="B263" s="1">
        <v>44823</v>
      </c>
      <c r="C263">
        <v>1373</v>
      </c>
      <c r="D263" t="s">
        <v>67</v>
      </c>
      <c r="E263" t="s">
        <v>78</v>
      </c>
      <c r="F263">
        <v>5</v>
      </c>
      <c r="G263" s="2">
        <v>188.92</v>
      </c>
      <c r="H263">
        <v>0.23</v>
      </c>
      <c r="I263" t="s">
        <v>71</v>
      </c>
      <c r="J263">
        <v>11</v>
      </c>
      <c r="K263">
        <v>4.0999999999999996</v>
      </c>
      <c r="L263" s="2">
        <v>727.34</v>
      </c>
      <c r="M263">
        <v>2022</v>
      </c>
      <c r="N263">
        <v>9</v>
      </c>
      <c r="O263" t="s">
        <v>88</v>
      </c>
      <c r="P263" s="2">
        <v>944.6</v>
      </c>
      <c r="Q263" s="2">
        <v>217.26</v>
      </c>
      <c r="R263" t="s">
        <v>77</v>
      </c>
      <c r="S263">
        <v>0</v>
      </c>
      <c r="T263">
        <v>0</v>
      </c>
      <c r="U263">
        <f>IF(AND(OR(Dashboard!$D$4="Semua",D263=Dashboard!$D$4),OR(Dashboard!$H$4="Semua",E263=Dashboard!$H$4)),1,0)</f>
        <v>1</v>
      </c>
      <c r="V263">
        <f>IF(U263=1,IF(COUNTIFS($C$2:C263,C263,$U$2:U263,1)=1,1,0),0)</f>
        <v>1</v>
      </c>
    </row>
    <row r="264" spans="1:22" x14ac:dyDescent="0.35">
      <c r="A264">
        <v>10263</v>
      </c>
      <c r="B264" s="1">
        <v>44824</v>
      </c>
      <c r="C264">
        <v>1671</v>
      </c>
      <c r="D264" t="s">
        <v>80</v>
      </c>
      <c r="E264" t="s">
        <v>78</v>
      </c>
      <c r="F264">
        <v>6</v>
      </c>
      <c r="G264" s="2">
        <v>290.27</v>
      </c>
      <c r="H264">
        <v>0.12</v>
      </c>
      <c r="I264" t="s">
        <v>71</v>
      </c>
      <c r="J264">
        <v>6</v>
      </c>
      <c r="K264">
        <v>4.2</v>
      </c>
      <c r="L264" s="2">
        <v>1532.63</v>
      </c>
      <c r="M264">
        <v>2022</v>
      </c>
      <c r="N264">
        <v>9</v>
      </c>
      <c r="O264" t="s">
        <v>88</v>
      </c>
      <c r="P264" s="2">
        <v>1741.62</v>
      </c>
      <c r="Q264" s="2">
        <v>208.99</v>
      </c>
      <c r="R264" t="s">
        <v>79</v>
      </c>
      <c r="S264">
        <v>0</v>
      </c>
      <c r="T264">
        <v>0</v>
      </c>
      <c r="U264">
        <f>IF(AND(OR(Dashboard!$D$4="Semua",D264=Dashboard!$D$4),OR(Dashboard!$H$4="Semua",E264=Dashboard!$H$4)),1,0)</f>
        <v>1</v>
      </c>
      <c r="V264">
        <f>IF(U264=1,IF(COUNTIFS($C$2:C264,C264,$U$2:U264,1)=1,1,0),0)</f>
        <v>1</v>
      </c>
    </row>
    <row r="265" spans="1:22" x14ac:dyDescent="0.35">
      <c r="A265">
        <v>10264</v>
      </c>
      <c r="B265" s="1">
        <v>44825</v>
      </c>
      <c r="C265">
        <v>1607</v>
      </c>
      <c r="D265" t="s">
        <v>73</v>
      </c>
      <c r="E265" t="s">
        <v>78</v>
      </c>
      <c r="F265">
        <v>5</v>
      </c>
      <c r="G265" s="2">
        <v>69.53</v>
      </c>
      <c r="H265">
        <v>0.31</v>
      </c>
      <c r="I265" t="s">
        <v>71</v>
      </c>
      <c r="J265">
        <v>10</v>
      </c>
      <c r="K265">
        <v>2.2000000000000002</v>
      </c>
      <c r="L265" s="2">
        <v>239.88</v>
      </c>
      <c r="M265">
        <v>2022</v>
      </c>
      <c r="N265">
        <v>9</v>
      </c>
      <c r="O265" t="s">
        <v>88</v>
      </c>
      <c r="P265" s="2">
        <v>347.65</v>
      </c>
      <c r="Q265" s="2">
        <v>107.77</v>
      </c>
      <c r="R265" t="s">
        <v>72</v>
      </c>
      <c r="S265">
        <v>0</v>
      </c>
      <c r="T265">
        <v>0</v>
      </c>
      <c r="U265">
        <f>IF(AND(OR(Dashboard!$D$4="Semua",D265=Dashboard!$D$4),OR(Dashboard!$H$4="Semua",E265=Dashboard!$H$4)),1,0)</f>
        <v>1</v>
      </c>
      <c r="V265">
        <f>IF(U265=1,IF(COUNTIFS($C$2:C265,C265,$U$2:U265,1)=1,1,0),0)</f>
        <v>1</v>
      </c>
    </row>
    <row r="266" spans="1:22" x14ac:dyDescent="0.35">
      <c r="A266">
        <v>10265</v>
      </c>
      <c r="B266" s="1">
        <v>44826</v>
      </c>
      <c r="C266">
        <v>1471</v>
      </c>
      <c r="D266" t="s">
        <v>73</v>
      </c>
      <c r="E266" t="s">
        <v>78</v>
      </c>
      <c r="F266">
        <v>5</v>
      </c>
      <c r="G266" s="2">
        <v>41.87</v>
      </c>
      <c r="H266">
        <v>0.04</v>
      </c>
      <c r="I266" t="s">
        <v>68</v>
      </c>
      <c r="J266">
        <v>11</v>
      </c>
      <c r="K266">
        <v>1.3</v>
      </c>
      <c r="L266" s="2">
        <v>200.98</v>
      </c>
      <c r="M266">
        <v>2022</v>
      </c>
      <c r="N266">
        <v>9</v>
      </c>
      <c r="O266" t="s">
        <v>88</v>
      </c>
      <c r="P266" s="2">
        <v>209.35</v>
      </c>
      <c r="Q266" s="2">
        <v>8.3699999999999992</v>
      </c>
      <c r="R266" t="s">
        <v>75</v>
      </c>
      <c r="S266">
        <v>0</v>
      </c>
      <c r="T266">
        <v>0</v>
      </c>
      <c r="U266">
        <f>IF(AND(OR(Dashboard!$D$4="Semua",D266=Dashboard!$D$4),OR(Dashboard!$H$4="Semua",E266=Dashboard!$H$4)),1,0)</f>
        <v>1</v>
      </c>
      <c r="V266">
        <f>IF(U266=1,IF(COUNTIFS($C$2:C266,C266,$U$2:U266,1)=1,1,0),0)</f>
        <v>0</v>
      </c>
    </row>
    <row r="267" spans="1:22" x14ac:dyDescent="0.35">
      <c r="A267">
        <v>10266</v>
      </c>
      <c r="B267" s="1">
        <v>44827</v>
      </c>
      <c r="C267">
        <v>1232</v>
      </c>
      <c r="D267" t="s">
        <v>67</v>
      </c>
      <c r="E267" t="s">
        <v>63</v>
      </c>
      <c r="F267">
        <v>2</v>
      </c>
      <c r="G267" s="2">
        <v>80.290000000000006</v>
      </c>
      <c r="H267">
        <v>0.01</v>
      </c>
      <c r="I267" t="s">
        <v>68</v>
      </c>
      <c r="J267">
        <v>2</v>
      </c>
      <c r="K267">
        <v>5</v>
      </c>
      <c r="L267" s="2">
        <v>158.97</v>
      </c>
      <c r="M267">
        <v>2022</v>
      </c>
      <c r="N267">
        <v>9</v>
      </c>
      <c r="O267" t="s">
        <v>88</v>
      </c>
      <c r="P267" s="2">
        <v>160.58000000000001</v>
      </c>
      <c r="Q267" s="2">
        <v>1.61</v>
      </c>
      <c r="R267" t="s">
        <v>75</v>
      </c>
      <c r="S267">
        <v>0</v>
      </c>
      <c r="T267">
        <v>0</v>
      </c>
      <c r="U267">
        <f>IF(AND(OR(Dashboard!$D$4="Semua",D267=Dashboard!$D$4),OR(Dashboard!$H$4="Semua",E267=Dashboard!$H$4)),1,0)</f>
        <v>1</v>
      </c>
      <c r="V267">
        <f>IF(U267=1,IF(COUNTIFS($C$2:C267,C267,$U$2:U267,1)=1,1,0),0)</f>
        <v>1</v>
      </c>
    </row>
    <row r="268" spans="1:22" x14ac:dyDescent="0.35">
      <c r="A268">
        <v>10267</v>
      </c>
      <c r="B268" s="1">
        <v>44828</v>
      </c>
      <c r="C268">
        <v>1691</v>
      </c>
      <c r="D268" t="s">
        <v>62</v>
      </c>
      <c r="E268" t="s">
        <v>70</v>
      </c>
      <c r="F268">
        <v>1</v>
      </c>
      <c r="G268" s="2">
        <v>124.48</v>
      </c>
      <c r="H268">
        <v>7.0000000000000007E-2</v>
      </c>
      <c r="I268" t="s">
        <v>68</v>
      </c>
      <c r="J268">
        <v>9</v>
      </c>
      <c r="K268">
        <v>2</v>
      </c>
      <c r="L268" s="2">
        <v>115.77</v>
      </c>
      <c r="M268">
        <v>2022</v>
      </c>
      <c r="N268">
        <v>9</v>
      </c>
      <c r="O268" t="s">
        <v>88</v>
      </c>
      <c r="P268" s="2">
        <v>124.48</v>
      </c>
      <c r="Q268" s="2">
        <v>8.7100000000000009</v>
      </c>
      <c r="R268" t="s">
        <v>69</v>
      </c>
      <c r="S268">
        <v>0</v>
      </c>
      <c r="T268">
        <v>0</v>
      </c>
      <c r="U268">
        <f>IF(AND(OR(Dashboard!$D$4="Semua",D268=Dashboard!$D$4),OR(Dashboard!$H$4="Semua",E268=Dashboard!$H$4)),1,0)</f>
        <v>1</v>
      </c>
      <c r="V268">
        <f>IF(U268=1,IF(COUNTIFS($C$2:C268,C268,$U$2:U268,1)=1,1,0),0)</f>
        <v>1</v>
      </c>
    </row>
    <row r="269" spans="1:22" x14ac:dyDescent="0.35">
      <c r="A269">
        <v>10268</v>
      </c>
      <c r="B269" s="1">
        <v>44829</v>
      </c>
      <c r="C269">
        <v>1112</v>
      </c>
      <c r="D269" t="s">
        <v>62</v>
      </c>
      <c r="E269" t="s">
        <v>70</v>
      </c>
      <c r="F269">
        <v>1</v>
      </c>
      <c r="G269" s="2">
        <v>309.94</v>
      </c>
      <c r="H269">
        <v>0.1</v>
      </c>
      <c r="I269" t="s">
        <v>68</v>
      </c>
      <c r="J269">
        <v>2</v>
      </c>
      <c r="K269">
        <v>1.3</v>
      </c>
      <c r="L269" s="2">
        <v>278.95</v>
      </c>
      <c r="M269">
        <v>2022</v>
      </c>
      <c r="N269">
        <v>9</v>
      </c>
      <c r="O269" t="s">
        <v>88</v>
      </c>
      <c r="P269" s="2">
        <v>309.94</v>
      </c>
      <c r="Q269" s="2">
        <v>30.99</v>
      </c>
      <c r="R269" t="s">
        <v>69</v>
      </c>
      <c r="S269">
        <v>0</v>
      </c>
      <c r="T269">
        <v>0</v>
      </c>
      <c r="U269">
        <f>IF(AND(OR(Dashboard!$D$4="Semua",D269=Dashboard!$D$4),OR(Dashboard!$H$4="Semua",E269=Dashboard!$H$4)),1,0)</f>
        <v>1</v>
      </c>
      <c r="V269">
        <f>IF(U269=1,IF(COUNTIFS($C$2:C269,C269,$U$2:U269,1)=1,1,0),0)</f>
        <v>1</v>
      </c>
    </row>
    <row r="270" spans="1:22" x14ac:dyDescent="0.35">
      <c r="A270">
        <v>10269</v>
      </c>
      <c r="B270" s="1">
        <v>44830</v>
      </c>
      <c r="C270">
        <v>1829</v>
      </c>
      <c r="D270" t="s">
        <v>73</v>
      </c>
      <c r="E270" t="s">
        <v>63</v>
      </c>
      <c r="F270">
        <v>3</v>
      </c>
      <c r="G270" s="2">
        <v>511.74</v>
      </c>
      <c r="H270">
        <v>0.04</v>
      </c>
      <c r="I270" t="s">
        <v>71</v>
      </c>
      <c r="J270">
        <v>5</v>
      </c>
      <c r="K270">
        <v>2.2999999999999998</v>
      </c>
      <c r="L270" s="2">
        <v>1473.81</v>
      </c>
      <c r="M270">
        <v>2022</v>
      </c>
      <c r="N270">
        <v>9</v>
      </c>
      <c r="O270" t="s">
        <v>88</v>
      </c>
      <c r="P270" s="2">
        <v>1535.22</v>
      </c>
      <c r="Q270" s="2">
        <v>61.41</v>
      </c>
      <c r="R270" t="s">
        <v>75</v>
      </c>
      <c r="S270">
        <v>0</v>
      </c>
      <c r="T270">
        <v>0</v>
      </c>
      <c r="U270">
        <f>IF(AND(OR(Dashboard!$D$4="Semua",D270=Dashboard!$D$4),OR(Dashboard!$H$4="Semua",E270=Dashboard!$H$4)),1,0)</f>
        <v>1</v>
      </c>
      <c r="V270">
        <f>IF(U270=1,IF(COUNTIFS($C$2:C270,C270,$U$2:U270,1)=1,1,0),0)</f>
        <v>1</v>
      </c>
    </row>
    <row r="271" spans="1:22" x14ac:dyDescent="0.35">
      <c r="A271">
        <v>10270</v>
      </c>
      <c r="B271" s="1">
        <v>44831</v>
      </c>
      <c r="C271">
        <v>1496</v>
      </c>
      <c r="D271" t="s">
        <v>80</v>
      </c>
      <c r="E271" t="s">
        <v>74</v>
      </c>
      <c r="F271">
        <v>2</v>
      </c>
      <c r="G271" s="2">
        <v>152.85</v>
      </c>
      <c r="H271">
        <v>0.02</v>
      </c>
      <c r="I271" t="s">
        <v>64</v>
      </c>
      <c r="J271">
        <v>3</v>
      </c>
      <c r="K271">
        <v>4.9000000000000004</v>
      </c>
      <c r="L271" s="2">
        <v>299.58999999999997</v>
      </c>
      <c r="M271">
        <v>2022</v>
      </c>
      <c r="N271">
        <v>9</v>
      </c>
      <c r="O271" t="s">
        <v>88</v>
      </c>
      <c r="P271" s="2">
        <v>305.7</v>
      </c>
      <c r="Q271" s="2">
        <v>6.11</v>
      </c>
      <c r="R271" t="s">
        <v>75</v>
      </c>
      <c r="S271">
        <v>0</v>
      </c>
      <c r="T271">
        <v>0</v>
      </c>
      <c r="U271">
        <f>IF(AND(OR(Dashboard!$D$4="Semua",D271=Dashboard!$D$4),OR(Dashboard!$H$4="Semua",E271=Dashboard!$H$4)),1,0)</f>
        <v>1</v>
      </c>
      <c r="V271">
        <f>IF(U271=1,IF(COUNTIFS($C$2:C271,C271,$U$2:U271,1)=1,1,0),0)</f>
        <v>1</v>
      </c>
    </row>
    <row r="272" spans="1:22" x14ac:dyDescent="0.35">
      <c r="A272">
        <v>10271</v>
      </c>
      <c r="B272" s="1">
        <v>44832</v>
      </c>
      <c r="C272">
        <v>1441</v>
      </c>
      <c r="D272" t="s">
        <v>67</v>
      </c>
      <c r="E272" t="s">
        <v>74</v>
      </c>
      <c r="F272">
        <v>5</v>
      </c>
      <c r="G272" s="2">
        <v>562.07000000000005</v>
      </c>
      <c r="H272">
        <v>0.26</v>
      </c>
      <c r="I272" t="s">
        <v>68</v>
      </c>
      <c r="J272">
        <v>10</v>
      </c>
      <c r="K272">
        <v>4.2</v>
      </c>
      <c r="L272" s="2">
        <v>2079.66</v>
      </c>
      <c r="M272">
        <v>2022</v>
      </c>
      <c r="N272">
        <v>9</v>
      </c>
      <c r="O272" t="s">
        <v>88</v>
      </c>
      <c r="P272" s="2">
        <v>2810.35</v>
      </c>
      <c r="Q272" s="2">
        <v>730.69</v>
      </c>
      <c r="R272" t="s">
        <v>66</v>
      </c>
      <c r="S272">
        <v>0</v>
      </c>
      <c r="T272">
        <v>0</v>
      </c>
      <c r="U272">
        <f>IF(AND(OR(Dashboard!$D$4="Semua",D272=Dashboard!$D$4),OR(Dashboard!$H$4="Semua",E272=Dashboard!$H$4)),1,0)</f>
        <v>1</v>
      </c>
      <c r="V272">
        <f>IF(U272=1,IF(COUNTIFS($C$2:C272,C272,$U$2:U272,1)=1,1,0),0)</f>
        <v>1</v>
      </c>
    </row>
    <row r="273" spans="1:22" x14ac:dyDescent="0.35">
      <c r="A273">
        <v>10272</v>
      </c>
      <c r="B273" s="1">
        <v>44833</v>
      </c>
      <c r="C273">
        <v>1563</v>
      </c>
      <c r="D273" t="s">
        <v>67</v>
      </c>
      <c r="E273" t="s">
        <v>70</v>
      </c>
      <c r="F273">
        <v>1</v>
      </c>
      <c r="G273" s="2">
        <v>573.62</v>
      </c>
      <c r="H273">
        <v>0.06</v>
      </c>
      <c r="I273" t="s">
        <v>68</v>
      </c>
      <c r="J273">
        <v>9</v>
      </c>
      <c r="K273">
        <v>2.9</v>
      </c>
      <c r="L273" s="2">
        <v>539.20000000000005</v>
      </c>
      <c r="M273">
        <v>2022</v>
      </c>
      <c r="N273">
        <v>9</v>
      </c>
      <c r="O273" t="s">
        <v>88</v>
      </c>
      <c r="P273" s="2">
        <v>573.62</v>
      </c>
      <c r="Q273" s="2">
        <v>34.42</v>
      </c>
      <c r="R273" t="s">
        <v>69</v>
      </c>
      <c r="S273">
        <v>0</v>
      </c>
      <c r="T273">
        <v>0</v>
      </c>
      <c r="U273">
        <f>IF(AND(OR(Dashboard!$D$4="Semua",D273=Dashboard!$D$4),OR(Dashboard!$H$4="Semua",E273=Dashboard!$H$4)),1,0)</f>
        <v>1</v>
      </c>
      <c r="V273">
        <f>IF(U273=1,IF(COUNTIFS($C$2:C273,C273,$U$2:U273,1)=1,1,0),0)</f>
        <v>0</v>
      </c>
    </row>
    <row r="274" spans="1:22" x14ac:dyDescent="0.35">
      <c r="A274">
        <v>10273</v>
      </c>
      <c r="B274" s="1">
        <v>44834</v>
      </c>
      <c r="C274">
        <v>1267</v>
      </c>
      <c r="D274" t="s">
        <v>80</v>
      </c>
      <c r="E274" t="s">
        <v>74</v>
      </c>
      <c r="F274">
        <v>4</v>
      </c>
      <c r="G274" s="2">
        <v>575.96</v>
      </c>
      <c r="H274">
        <v>0.32</v>
      </c>
      <c r="I274" t="s">
        <v>71</v>
      </c>
      <c r="J274">
        <v>9</v>
      </c>
      <c r="K274">
        <v>2.2000000000000002</v>
      </c>
      <c r="L274" s="2">
        <v>1566.61</v>
      </c>
      <c r="M274">
        <v>2022</v>
      </c>
      <c r="N274">
        <v>9</v>
      </c>
      <c r="O274" t="s">
        <v>88</v>
      </c>
      <c r="P274" s="2">
        <v>2303.84</v>
      </c>
      <c r="Q274" s="2">
        <v>737.23</v>
      </c>
      <c r="R274" t="s">
        <v>72</v>
      </c>
      <c r="S274">
        <v>0</v>
      </c>
      <c r="T274">
        <v>0</v>
      </c>
      <c r="U274">
        <f>IF(AND(OR(Dashboard!$D$4="Semua",D274=Dashboard!$D$4),OR(Dashboard!$H$4="Semua",E274=Dashboard!$H$4)),1,0)</f>
        <v>1</v>
      </c>
      <c r="V274">
        <f>IF(U274=1,IF(COUNTIFS($C$2:C274,C274,$U$2:U274,1)=1,1,0),0)</f>
        <v>1</v>
      </c>
    </row>
    <row r="275" spans="1:22" x14ac:dyDescent="0.35">
      <c r="A275">
        <v>10274</v>
      </c>
      <c r="B275" s="1">
        <v>44835</v>
      </c>
      <c r="C275">
        <v>1509</v>
      </c>
      <c r="D275" t="s">
        <v>62</v>
      </c>
      <c r="E275" t="s">
        <v>70</v>
      </c>
      <c r="F275">
        <v>4</v>
      </c>
      <c r="G275" s="2">
        <v>504.97</v>
      </c>
      <c r="H275">
        <v>0.13</v>
      </c>
      <c r="I275" t="s">
        <v>71</v>
      </c>
      <c r="J275">
        <v>7</v>
      </c>
      <c r="K275">
        <v>2.7</v>
      </c>
      <c r="L275" s="2">
        <v>1757.3</v>
      </c>
      <c r="M275">
        <v>2022</v>
      </c>
      <c r="N275">
        <v>10</v>
      </c>
      <c r="O275" t="s">
        <v>89</v>
      </c>
      <c r="P275" s="2">
        <v>2019.88</v>
      </c>
      <c r="Q275" s="2">
        <v>262.58</v>
      </c>
      <c r="R275" t="s">
        <v>79</v>
      </c>
      <c r="S275">
        <v>0</v>
      </c>
      <c r="T275">
        <v>0</v>
      </c>
      <c r="U275">
        <f>IF(AND(OR(Dashboard!$D$4="Semua",D275=Dashboard!$D$4),OR(Dashboard!$H$4="Semua",E275=Dashboard!$H$4)),1,0)</f>
        <v>1</v>
      </c>
      <c r="V275">
        <f>IF(U275=1,IF(COUNTIFS($C$2:C275,C275,$U$2:U275,1)=1,1,0),0)</f>
        <v>1</v>
      </c>
    </row>
    <row r="276" spans="1:22" x14ac:dyDescent="0.35">
      <c r="A276">
        <v>10275</v>
      </c>
      <c r="B276" s="1">
        <v>44836</v>
      </c>
      <c r="C276">
        <v>1806</v>
      </c>
      <c r="D276" t="s">
        <v>62</v>
      </c>
      <c r="E276" t="s">
        <v>70</v>
      </c>
      <c r="F276">
        <v>4</v>
      </c>
      <c r="G276" s="2">
        <v>227.84</v>
      </c>
      <c r="H276">
        <v>0.23</v>
      </c>
      <c r="I276" t="s">
        <v>68</v>
      </c>
      <c r="J276">
        <v>10</v>
      </c>
      <c r="K276">
        <v>1.1000000000000001</v>
      </c>
      <c r="L276" s="2">
        <v>701.75</v>
      </c>
      <c r="M276">
        <v>2022</v>
      </c>
      <c r="N276">
        <v>10</v>
      </c>
      <c r="O276" t="s">
        <v>89</v>
      </c>
      <c r="P276" s="2">
        <v>911.36</v>
      </c>
      <c r="Q276" s="2">
        <v>209.61</v>
      </c>
      <c r="R276" t="s">
        <v>77</v>
      </c>
      <c r="S276">
        <v>0</v>
      </c>
      <c r="T276">
        <v>0</v>
      </c>
      <c r="U276">
        <f>IF(AND(OR(Dashboard!$D$4="Semua",D276=Dashboard!$D$4),OR(Dashboard!$H$4="Semua",E276=Dashboard!$H$4)),1,0)</f>
        <v>1</v>
      </c>
      <c r="V276">
        <f>IF(U276=1,IF(COUNTIFS($C$2:C276,C276,$U$2:U276,1)=1,1,0),0)</f>
        <v>1</v>
      </c>
    </row>
    <row r="277" spans="1:22" x14ac:dyDescent="0.35">
      <c r="A277">
        <v>10276</v>
      </c>
      <c r="B277" s="1">
        <v>44837</v>
      </c>
      <c r="C277">
        <v>1385</v>
      </c>
      <c r="D277" t="s">
        <v>67</v>
      </c>
      <c r="E277" t="s">
        <v>63</v>
      </c>
      <c r="F277">
        <v>5</v>
      </c>
      <c r="G277" s="2">
        <v>57.52</v>
      </c>
      <c r="H277">
        <v>0.08</v>
      </c>
      <c r="I277" t="s">
        <v>68</v>
      </c>
      <c r="J277">
        <v>5</v>
      </c>
      <c r="K277">
        <v>3.9</v>
      </c>
      <c r="L277" s="2">
        <v>264.58999999999997</v>
      </c>
      <c r="M277">
        <v>2022</v>
      </c>
      <c r="N277">
        <v>10</v>
      </c>
      <c r="O277" t="s">
        <v>89</v>
      </c>
      <c r="P277" s="2">
        <v>287.60000000000002</v>
      </c>
      <c r="Q277" s="2">
        <v>23.01</v>
      </c>
      <c r="R277" t="s">
        <v>69</v>
      </c>
      <c r="S277">
        <v>0</v>
      </c>
      <c r="T277">
        <v>0</v>
      </c>
      <c r="U277">
        <f>IF(AND(OR(Dashboard!$D$4="Semua",D277=Dashboard!$D$4),OR(Dashboard!$H$4="Semua",E277=Dashboard!$H$4)),1,0)</f>
        <v>1</v>
      </c>
      <c r="V277">
        <f>IF(U277=1,IF(COUNTIFS($C$2:C277,C277,$U$2:U277,1)=1,1,0),0)</f>
        <v>0</v>
      </c>
    </row>
    <row r="278" spans="1:22" x14ac:dyDescent="0.35">
      <c r="A278">
        <v>10277</v>
      </c>
      <c r="B278" s="1">
        <v>44838</v>
      </c>
      <c r="C278">
        <v>1386</v>
      </c>
      <c r="D278" t="s">
        <v>67</v>
      </c>
      <c r="E278" t="s">
        <v>74</v>
      </c>
      <c r="F278">
        <v>5</v>
      </c>
      <c r="G278" s="2">
        <v>347.76</v>
      </c>
      <c r="H278">
        <v>0.08</v>
      </c>
      <c r="I278" t="s">
        <v>68</v>
      </c>
      <c r="J278">
        <v>9</v>
      </c>
      <c r="K278">
        <v>1.4</v>
      </c>
      <c r="L278" s="2">
        <v>1599.7</v>
      </c>
      <c r="M278">
        <v>2022</v>
      </c>
      <c r="N278">
        <v>10</v>
      </c>
      <c r="O278" t="s">
        <v>89</v>
      </c>
      <c r="P278" s="2">
        <v>1738.8</v>
      </c>
      <c r="Q278" s="2">
        <v>139.1</v>
      </c>
      <c r="R278" t="s">
        <v>69</v>
      </c>
      <c r="S278">
        <v>0</v>
      </c>
      <c r="T278">
        <v>0</v>
      </c>
      <c r="U278">
        <f>IF(AND(OR(Dashboard!$D$4="Semua",D278=Dashboard!$D$4),OR(Dashboard!$H$4="Semua",E278=Dashboard!$H$4)),1,0)</f>
        <v>1</v>
      </c>
      <c r="V278">
        <f>IF(U278=1,IF(COUNTIFS($C$2:C278,C278,$U$2:U278,1)=1,1,0),0)</f>
        <v>1</v>
      </c>
    </row>
    <row r="279" spans="1:22" x14ac:dyDescent="0.35">
      <c r="A279">
        <v>10278</v>
      </c>
      <c r="B279" s="1">
        <v>44839</v>
      </c>
      <c r="C279">
        <v>1112</v>
      </c>
      <c r="D279" t="s">
        <v>80</v>
      </c>
      <c r="E279" t="s">
        <v>63</v>
      </c>
      <c r="F279">
        <v>3</v>
      </c>
      <c r="G279" s="2">
        <v>341.83</v>
      </c>
      <c r="H279">
        <v>0.2</v>
      </c>
      <c r="I279" t="s">
        <v>68</v>
      </c>
      <c r="J279">
        <v>7</v>
      </c>
      <c r="K279">
        <v>3.1</v>
      </c>
      <c r="L279" s="2">
        <v>820.39</v>
      </c>
      <c r="M279">
        <v>2022</v>
      </c>
      <c r="N279">
        <v>10</v>
      </c>
      <c r="O279" t="s">
        <v>89</v>
      </c>
      <c r="P279" s="2">
        <v>1025.49</v>
      </c>
      <c r="Q279" s="2">
        <v>205.1</v>
      </c>
      <c r="R279" t="s">
        <v>76</v>
      </c>
      <c r="S279">
        <v>0</v>
      </c>
      <c r="T279">
        <v>0</v>
      </c>
      <c r="U279">
        <f>IF(AND(OR(Dashboard!$D$4="Semua",D279=Dashboard!$D$4),OR(Dashboard!$H$4="Semua",E279=Dashboard!$H$4)),1,0)</f>
        <v>1</v>
      </c>
      <c r="V279">
        <f>IF(U279=1,IF(COUNTIFS($C$2:C279,C279,$U$2:U279,1)=1,1,0),0)</f>
        <v>0</v>
      </c>
    </row>
    <row r="280" spans="1:22" x14ac:dyDescent="0.35">
      <c r="A280">
        <v>10279</v>
      </c>
      <c r="B280" s="1">
        <v>44840</v>
      </c>
      <c r="C280">
        <v>1612</v>
      </c>
      <c r="D280" t="s">
        <v>73</v>
      </c>
      <c r="E280" t="s">
        <v>70</v>
      </c>
      <c r="F280">
        <v>7</v>
      </c>
      <c r="G280" s="2">
        <v>512.24</v>
      </c>
      <c r="H280">
        <v>0.2</v>
      </c>
      <c r="I280" t="s">
        <v>68</v>
      </c>
      <c r="J280">
        <v>2</v>
      </c>
      <c r="K280">
        <v>3.3</v>
      </c>
      <c r="L280" s="2">
        <v>2868.54</v>
      </c>
      <c r="M280">
        <v>2022</v>
      </c>
      <c r="N280">
        <v>10</v>
      </c>
      <c r="O280" t="s">
        <v>89</v>
      </c>
      <c r="P280" s="2">
        <v>3585.68</v>
      </c>
      <c r="Q280" s="2">
        <v>717.14</v>
      </c>
      <c r="R280" t="s">
        <v>76</v>
      </c>
      <c r="S280">
        <v>0</v>
      </c>
      <c r="T280">
        <v>0</v>
      </c>
      <c r="U280">
        <f>IF(AND(OR(Dashboard!$D$4="Semua",D280=Dashboard!$D$4),OR(Dashboard!$H$4="Semua",E280=Dashboard!$H$4)),1,0)</f>
        <v>1</v>
      </c>
      <c r="V280">
        <f>IF(U280=1,IF(COUNTIFS($C$2:C280,C280,$U$2:U280,1)=1,1,0),0)</f>
        <v>0</v>
      </c>
    </row>
    <row r="281" spans="1:22" x14ac:dyDescent="0.35">
      <c r="A281">
        <v>10280</v>
      </c>
      <c r="B281" s="1">
        <v>44841</v>
      </c>
      <c r="C281">
        <v>1624</v>
      </c>
      <c r="D281" t="s">
        <v>67</v>
      </c>
      <c r="E281" t="s">
        <v>70</v>
      </c>
      <c r="F281">
        <v>3</v>
      </c>
      <c r="G281" s="2">
        <v>597.65</v>
      </c>
      <c r="H281">
        <v>0.27</v>
      </c>
      <c r="I281" t="s">
        <v>68</v>
      </c>
      <c r="J281">
        <v>10</v>
      </c>
      <c r="K281">
        <v>1</v>
      </c>
      <c r="L281" s="2">
        <v>1308.8499999999999</v>
      </c>
      <c r="M281">
        <v>2022</v>
      </c>
      <c r="N281">
        <v>10</v>
      </c>
      <c r="O281" t="s">
        <v>89</v>
      </c>
      <c r="P281" s="2">
        <v>1792.95</v>
      </c>
      <c r="Q281" s="2">
        <v>484.1</v>
      </c>
      <c r="R281" t="s">
        <v>66</v>
      </c>
      <c r="S281">
        <v>0</v>
      </c>
      <c r="T281">
        <v>0</v>
      </c>
      <c r="U281">
        <f>IF(AND(OR(Dashboard!$D$4="Semua",D281=Dashboard!$D$4),OR(Dashboard!$H$4="Semua",E281=Dashboard!$H$4)),1,0)</f>
        <v>1</v>
      </c>
      <c r="V281">
        <f>IF(U281=1,IF(COUNTIFS($C$2:C281,C281,$U$2:U281,1)=1,1,0),0)</f>
        <v>1</v>
      </c>
    </row>
    <row r="282" spans="1:22" x14ac:dyDescent="0.35">
      <c r="A282">
        <v>10281</v>
      </c>
      <c r="B282" s="1">
        <v>44842</v>
      </c>
      <c r="C282">
        <v>1951</v>
      </c>
      <c r="D282" t="s">
        <v>67</v>
      </c>
      <c r="E282" t="s">
        <v>70</v>
      </c>
      <c r="F282">
        <v>3</v>
      </c>
      <c r="G282" s="2">
        <v>312.27</v>
      </c>
      <c r="H282">
        <v>0.27</v>
      </c>
      <c r="I282" t="s">
        <v>71</v>
      </c>
      <c r="J282">
        <v>1</v>
      </c>
      <c r="K282">
        <v>4.9000000000000004</v>
      </c>
      <c r="L282" s="2">
        <v>683.87</v>
      </c>
      <c r="M282">
        <v>2022</v>
      </c>
      <c r="N282">
        <v>10</v>
      </c>
      <c r="O282" t="s">
        <v>89</v>
      </c>
      <c r="P282" s="2">
        <v>936.81</v>
      </c>
      <c r="Q282" s="2">
        <v>252.94</v>
      </c>
      <c r="R282" t="s">
        <v>66</v>
      </c>
      <c r="S282">
        <v>0</v>
      </c>
      <c r="T282">
        <v>0</v>
      </c>
      <c r="U282">
        <f>IF(AND(OR(Dashboard!$D$4="Semua",D282=Dashboard!$D$4),OR(Dashboard!$H$4="Semua",E282=Dashboard!$H$4)),1,0)</f>
        <v>1</v>
      </c>
      <c r="V282">
        <f>IF(U282=1,IF(COUNTIFS($C$2:C282,C282,$U$2:U282,1)=1,1,0),0)</f>
        <v>1</v>
      </c>
    </row>
    <row r="283" spans="1:22" x14ac:dyDescent="0.35">
      <c r="A283">
        <v>10282</v>
      </c>
      <c r="B283" s="1">
        <v>44843</v>
      </c>
      <c r="C283">
        <v>1080</v>
      </c>
      <c r="D283" t="s">
        <v>80</v>
      </c>
      <c r="E283" t="s">
        <v>78</v>
      </c>
      <c r="F283">
        <v>6</v>
      </c>
      <c r="G283" s="2">
        <v>216.94</v>
      </c>
      <c r="H283">
        <v>0.23</v>
      </c>
      <c r="I283" t="s">
        <v>71</v>
      </c>
      <c r="J283">
        <v>10</v>
      </c>
      <c r="K283">
        <v>2.2000000000000002</v>
      </c>
      <c r="L283" s="2">
        <v>1002.26</v>
      </c>
      <c r="M283">
        <v>2022</v>
      </c>
      <c r="N283">
        <v>10</v>
      </c>
      <c r="O283" t="s">
        <v>89</v>
      </c>
      <c r="P283" s="2">
        <v>1301.6400000000001</v>
      </c>
      <c r="Q283" s="2">
        <v>299.38</v>
      </c>
      <c r="R283" t="s">
        <v>77</v>
      </c>
      <c r="S283">
        <v>0</v>
      </c>
      <c r="T283">
        <v>0</v>
      </c>
      <c r="U283">
        <f>IF(AND(OR(Dashboard!$D$4="Semua",D283=Dashboard!$D$4),OR(Dashboard!$H$4="Semua",E283=Dashboard!$H$4)),1,0)</f>
        <v>1</v>
      </c>
      <c r="V283">
        <f>IF(U283=1,IF(COUNTIFS($C$2:C283,C283,$U$2:U283,1)=1,1,0),0)</f>
        <v>0</v>
      </c>
    </row>
    <row r="284" spans="1:22" x14ac:dyDescent="0.35">
      <c r="A284">
        <v>10283</v>
      </c>
      <c r="B284" s="1">
        <v>44844</v>
      </c>
      <c r="C284">
        <v>1698</v>
      </c>
      <c r="D284" t="s">
        <v>73</v>
      </c>
      <c r="E284" t="s">
        <v>78</v>
      </c>
      <c r="F284">
        <v>4</v>
      </c>
      <c r="G284" s="2">
        <v>123.75</v>
      </c>
      <c r="H284">
        <v>0.16</v>
      </c>
      <c r="I284" t="s">
        <v>68</v>
      </c>
      <c r="J284">
        <v>10</v>
      </c>
      <c r="K284">
        <v>1.3</v>
      </c>
      <c r="L284" s="2">
        <v>415.8</v>
      </c>
      <c r="M284">
        <v>2022</v>
      </c>
      <c r="N284">
        <v>10</v>
      </c>
      <c r="O284" t="s">
        <v>89</v>
      </c>
      <c r="P284" s="2">
        <v>495</v>
      </c>
      <c r="Q284" s="2">
        <v>79.2</v>
      </c>
      <c r="R284" t="s">
        <v>76</v>
      </c>
      <c r="S284">
        <v>0</v>
      </c>
      <c r="T284">
        <v>0</v>
      </c>
      <c r="U284">
        <f>IF(AND(OR(Dashboard!$D$4="Semua",D284=Dashboard!$D$4),OR(Dashboard!$H$4="Semua",E284=Dashboard!$H$4)),1,0)</f>
        <v>1</v>
      </c>
      <c r="V284">
        <f>IF(U284=1,IF(COUNTIFS($C$2:C284,C284,$U$2:U284,1)=1,1,0),0)</f>
        <v>0</v>
      </c>
    </row>
    <row r="285" spans="1:22" x14ac:dyDescent="0.35">
      <c r="A285">
        <v>10284</v>
      </c>
      <c r="B285" s="1">
        <v>44845</v>
      </c>
      <c r="C285">
        <v>1112</v>
      </c>
      <c r="D285" t="s">
        <v>73</v>
      </c>
      <c r="E285" t="s">
        <v>78</v>
      </c>
      <c r="F285">
        <v>5</v>
      </c>
      <c r="G285" s="2">
        <v>17.809999999999999</v>
      </c>
      <c r="H285">
        <v>0.31</v>
      </c>
      <c r="I285" t="s">
        <v>71</v>
      </c>
      <c r="J285">
        <v>4</v>
      </c>
      <c r="K285">
        <v>4.4000000000000004</v>
      </c>
      <c r="L285" s="2">
        <v>61.44</v>
      </c>
      <c r="M285">
        <v>2022</v>
      </c>
      <c r="N285">
        <v>10</v>
      </c>
      <c r="O285" t="s">
        <v>89</v>
      </c>
      <c r="P285" s="2">
        <v>89.05</v>
      </c>
      <c r="Q285" s="2">
        <v>27.61</v>
      </c>
      <c r="R285" t="s">
        <v>72</v>
      </c>
      <c r="S285">
        <v>0</v>
      </c>
      <c r="T285">
        <v>0</v>
      </c>
      <c r="U285">
        <f>IF(AND(OR(Dashboard!$D$4="Semua",D285=Dashboard!$D$4),OR(Dashboard!$H$4="Semua",E285=Dashboard!$H$4)),1,0)</f>
        <v>1</v>
      </c>
      <c r="V285">
        <f>IF(U285=1,IF(COUNTIFS($C$2:C285,C285,$U$2:U285,1)=1,1,0),0)</f>
        <v>0</v>
      </c>
    </row>
    <row r="286" spans="1:22" x14ac:dyDescent="0.35">
      <c r="A286">
        <v>10285</v>
      </c>
      <c r="B286" s="1">
        <v>44846</v>
      </c>
      <c r="C286">
        <v>1001</v>
      </c>
      <c r="D286" t="s">
        <v>62</v>
      </c>
      <c r="E286" t="s">
        <v>63</v>
      </c>
      <c r="F286">
        <v>4</v>
      </c>
      <c r="G286" s="2">
        <v>312.83</v>
      </c>
      <c r="H286">
        <v>0.22</v>
      </c>
      <c r="I286" t="s">
        <v>71</v>
      </c>
      <c r="J286">
        <v>10</v>
      </c>
      <c r="K286">
        <v>1.6</v>
      </c>
      <c r="L286" s="2">
        <v>976.03</v>
      </c>
      <c r="M286">
        <v>2022</v>
      </c>
      <c r="N286">
        <v>10</v>
      </c>
      <c r="O286" t="s">
        <v>89</v>
      </c>
      <c r="P286" s="2">
        <v>1251.32</v>
      </c>
      <c r="Q286" s="2">
        <v>275.29000000000002</v>
      </c>
      <c r="R286" t="s">
        <v>77</v>
      </c>
      <c r="S286">
        <v>0</v>
      </c>
      <c r="T286">
        <v>0</v>
      </c>
      <c r="U286">
        <f>IF(AND(OR(Dashboard!$D$4="Semua",D286=Dashboard!$D$4),OR(Dashboard!$H$4="Semua",E286=Dashboard!$H$4)),1,0)</f>
        <v>1</v>
      </c>
      <c r="V286">
        <f>IF(U286=1,IF(COUNTIFS($C$2:C286,C286,$U$2:U286,1)=1,1,0),0)</f>
        <v>0</v>
      </c>
    </row>
    <row r="287" spans="1:22" x14ac:dyDescent="0.35">
      <c r="A287">
        <v>10286</v>
      </c>
      <c r="B287" s="1">
        <v>44847</v>
      </c>
      <c r="C287">
        <v>1641</v>
      </c>
      <c r="D287" t="s">
        <v>73</v>
      </c>
      <c r="E287" t="s">
        <v>70</v>
      </c>
      <c r="F287">
        <v>3</v>
      </c>
      <c r="G287" s="2">
        <v>339.98</v>
      </c>
      <c r="H287">
        <v>0.35</v>
      </c>
      <c r="I287" t="s">
        <v>64</v>
      </c>
      <c r="J287">
        <v>8</v>
      </c>
      <c r="K287">
        <v>1.1000000000000001</v>
      </c>
      <c r="L287" s="2">
        <v>662.96</v>
      </c>
      <c r="M287">
        <v>2022</v>
      </c>
      <c r="N287">
        <v>10</v>
      </c>
      <c r="O287" t="s">
        <v>89</v>
      </c>
      <c r="P287" s="2">
        <v>1019.94</v>
      </c>
      <c r="Q287" s="2">
        <v>356.98</v>
      </c>
      <c r="R287" t="s">
        <v>72</v>
      </c>
      <c r="S287">
        <v>0</v>
      </c>
      <c r="T287">
        <v>0</v>
      </c>
      <c r="U287">
        <f>IF(AND(OR(Dashboard!$D$4="Semua",D287=Dashboard!$D$4),OR(Dashboard!$H$4="Semua",E287=Dashboard!$H$4)),1,0)</f>
        <v>1</v>
      </c>
      <c r="V287">
        <f>IF(U287=1,IF(COUNTIFS($C$2:C287,C287,$U$2:U287,1)=1,1,0),0)</f>
        <v>1</v>
      </c>
    </row>
    <row r="288" spans="1:22" x14ac:dyDescent="0.35">
      <c r="A288">
        <v>10287</v>
      </c>
      <c r="B288" s="1">
        <v>44848</v>
      </c>
      <c r="C288">
        <v>1219</v>
      </c>
      <c r="D288" t="s">
        <v>67</v>
      </c>
      <c r="E288" t="s">
        <v>74</v>
      </c>
      <c r="F288">
        <v>5</v>
      </c>
      <c r="G288" s="2">
        <v>497.59</v>
      </c>
      <c r="H288">
        <v>0.28999999999999998</v>
      </c>
      <c r="I288" t="s">
        <v>68</v>
      </c>
      <c r="J288">
        <v>6</v>
      </c>
      <c r="K288">
        <v>3</v>
      </c>
      <c r="L288" s="2">
        <v>1766.44</v>
      </c>
      <c r="M288">
        <v>2022</v>
      </c>
      <c r="N288">
        <v>10</v>
      </c>
      <c r="O288" t="s">
        <v>89</v>
      </c>
      <c r="P288" s="2">
        <v>2487.9499999999998</v>
      </c>
      <c r="Q288" s="2">
        <v>721.51</v>
      </c>
      <c r="R288" t="s">
        <v>66</v>
      </c>
      <c r="S288">
        <v>0</v>
      </c>
      <c r="T288">
        <v>0</v>
      </c>
      <c r="U288">
        <f>IF(AND(OR(Dashboard!$D$4="Semua",D288=Dashboard!$D$4),OR(Dashboard!$H$4="Semua",E288=Dashboard!$H$4)),1,0)</f>
        <v>1</v>
      </c>
      <c r="V288">
        <f>IF(U288=1,IF(COUNTIFS($C$2:C288,C288,$U$2:U288,1)=1,1,0),0)</f>
        <v>1</v>
      </c>
    </row>
    <row r="289" spans="1:22" x14ac:dyDescent="0.35">
      <c r="A289">
        <v>10288</v>
      </c>
      <c r="B289" s="1">
        <v>44849</v>
      </c>
      <c r="C289">
        <v>1565</v>
      </c>
      <c r="D289" t="s">
        <v>73</v>
      </c>
      <c r="E289" t="s">
        <v>63</v>
      </c>
      <c r="F289">
        <v>2</v>
      </c>
      <c r="G289" s="2">
        <v>310.18</v>
      </c>
      <c r="H289">
        <v>0.02</v>
      </c>
      <c r="I289" t="s">
        <v>71</v>
      </c>
      <c r="J289">
        <v>2</v>
      </c>
      <c r="K289">
        <v>1.5</v>
      </c>
      <c r="L289" s="2">
        <v>607.95000000000005</v>
      </c>
      <c r="M289">
        <v>2022</v>
      </c>
      <c r="N289">
        <v>10</v>
      </c>
      <c r="O289" t="s">
        <v>89</v>
      </c>
      <c r="P289" s="2">
        <v>620.36</v>
      </c>
      <c r="Q289" s="2">
        <v>12.41</v>
      </c>
      <c r="R289" t="s">
        <v>75</v>
      </c>
      <c r="S289">
        <v>0</v>
      </c>
      <c r="T289">
        <v>0</v>
      </c>
      <c r="U289">
        <f>IF(AND(OR(Dashboard!$D$4="Semua",D289=Dashboard!$D$4),OR(Dashboard!$H$4="Semua",E289=Dashboard!$H$4)),1,0)</f>
        <v>1</v>
      </c>
      <c r="V289">
        <f>IF(U289=1,IF(COUNTIFS($C$2:C289,C289,$U$2:U289,1)=1,1,0),0)</f>
        <v>0</v>
      </c>
    </row>
    <row r="290" spans="1:22" x14ac:dyDescent="0.35">
      <c r="A290">
        <v>10289</v>
      </c>
      <c r="B290" s="1">
        <v>44850</v>
      </c>
      <c r="C290">
        <v>1854</v>
      </c>
      <c r="D290" t="s">
        <v>73</v>
      </c>
      <c r="E290" t="s">
        <v>63</v>
      </c>
      <c r="F290">
        <v>1</v>
      </c>
      <c r="G290" s="2">
        <v>551.13</v>
      </c>
      <c r="H290">
        <v>0.11</v>
      </c>
      <c r="I290" t="s">
        <v>71</v>
      </c>
      <c r="J290">
        <v>5</v>
      </c>
      <c r="K290">
        <v>4.9000000000000004</v>
      </c>
      <c r="L290" s="2">
        <v>490.51</v>
      </c>
      <c r="M290">
        <v>2022</v>
      </c>
      <c r="N290">
        <v>10</v>
      </c>
      <c r="O290" t="s">
        <v>89</v>
      </c>
      <c r="P290" s="2">
        <v>551.13</v>
      </c>
      <c r="Q290" s="2">
        <v>60.62</v>
      </c>
      <c r="R290" t="s">
        <v>79</v>
      </c>
      <c r="S290">
        <v>0</v>
      </c>
      <c r="T290">
        <v>0</v>
      </c>
      <c r="U290">
        <f>IF(AND(OR(Dashboard!$D$4="Semua",D290=Dashboard!$D$4),OR(Dashboard!$H$4="Semua",E290=Dashboard!$H$4)),1,0)</f>
        <v>1</v>
      </c>
      <c r="V290">
        <f>IF(U290=1,IF(COUNTIFS($C$2:C290,C290,$U$2:U290,1)=1,1,0),0)</f>
        <v>1</v>
      </c>
    </row>
    <row r="291" spans="1:22" x14ac:dyDescent="0.35">
      <c r="A291">
        <v>10290</v>
      </c>
      <c r="B291" s="1">
        <v>44851</v>
      </c>
      <c r="C291">
        <v>1996</v>
      </c>
      <c r="D291" t="s">
        <v>73</v>
      </c>
      <c r="E291" t="s">
        <v>63</v>
      </c>
      <c r="F291">
        <v>1</v>
      </c>
      <c r="G291" s="2">
        <v>382.43</v>
      </c>
      <c r="H291">
        <v>0.2</v>
      </c>
      <c r="I291" t="s">
        <v>68</v>
      </c>
      <c r="J291">
        <v>9</v>
      </c>
      <c r="K291">
        <v>1</v>
      </c>
      <c r="L291" s="2">
        <v>305.94</v>
      </c>
      <c r="M291">
        <v>2022</v>
      </c>
      <c r="N291">
        <v>10</v>
      </c>
      <c r="O291" t="s">
        <v>89</v>
      </c>
      <c r="P291" s="2">
        <v>382.43</v>
      </c>
      <c r="Q291" s="2">
        <v>76.489999999999995</v>
      </c>
      <c r="R291" t="s">
        <v>76</v>
      </c>
      <c r="S291">
        <v>0</v>
      </c>
      <c r="T291">
        <v>0</v>
      </c>
      <c r="U291">
        <f>IF(AND(OR(Dashboard!$D$4="Semua",D291=Dashboard!$D$4),OR(Dashboard!$H$4="Semua",E291=Dashboard!$H$4)),1,0)</f>
        <v>1</v>
      </c>
      <c r="V291">
        <f>IF(U291=1,IF(COUNTIFS($C$2:C291,C291,$U$2:U291,1)=1,1,0),0)</f>
        <v>1</v>
      </c>
    </row>
    <row r="292" spans="1:22" x14ac:dyDescent="0.35">
      <c r="A292">
        <v>10291</v>
      </c>
      <c r="B292" s="1">
        <v>44852</v>
      </c>
      <c r="C292">
        <v>1735</v>
      </c>
      <c r="D292" t="s">
        <v>73</v>
      </c>
      <c r="E292" t="s">
        <v>74</v>
      </c>
      <c r="F292">
        <v>3</v>
      </c>
      <c r="G292" s="2">
        <v>506.6</v>
      </c>
      <c r="H292">
        <v>0.25</v>
      </c>
      <c r="I292" t="s">
        <v>64</v>
      </c>
      <c r="J292">
        <v>6</v>
      </c>
      <c r="K292">
        <v>1.2</v>
      </c>
      <c r="L292" s="2">
        <v>1139.8499999999999</v>
      </c>
      <c r="M292">
        <v>2022</v>
      </c>
      <c r="N292">
        <v>10</v>
      </c>
      <c r="O292" t="s">
        <v>89</v>
      </c>
      <c r="P292" s="2">
        <v>1519.8</v>
      </c>
      <c r="Q292" s="2">
        <v>379.95</v>
      </c>
      <c r="R292" t="s">
        <v>77</v>
      </c>
      <c r="S292">
        <v>0</v>
      </c>
      <c r="T292">
        <v>0</v>
      </c>
      <c r="U292">
        <f>IF(AND(OR(Dashboard!$D$4="Semua",D292=Dashboard!$D$4),OR(Dashboard!$H$4="Semua",E292=Dashboard!$H$4)),1,0)</f>
        <v>1</v>
      </c>
      <c r="V292">
        <f>IF(U292=1,IF(COUNTIFS($C$2:C292,C292,$U$2:U292,1)=1,1,0),0)</f>
        <v>1</v>
      </c>
    </row>
    <row r="293" spans="1:22" x14ac:dyDescent="0.35">
      <c r="A293">
        <v>10292</v>
      </c>
      <c r="B293" s="1">
        <v>44853</v>
      </c>
      <c r="C293">
        <v>1224</v>
      </c>
      <c r="D293" t="s">
        <v>62</v>
      </c>
      <c r="E293" t="s">
        <v>70</v>
      </c>
      <c r="F293">
        <v>7</v>
      </c>
      <c r="G293" s="2">
        <v>101.76</v>
      </c>
      <c r="H293">
        <v>0.19</v>
      </c>
      <c r="I293" t="s">
        <v>71</v>
      </c>
      <c r="J293">
        <v>6</v>
      </c>
      <c r="K293">
        <v>4.3</v>
      </c>
      <c r="L293" s="2">
        <v>576.98</v>
      </c>
      <c r="M293">
        <v>2022</v>
      </c>
      <c r="N293">
        <v>10</v>
      </c>
      <c r="O293" t="s">
        <v>89</v>
      </c>
      <c r="P293" s="2">
        <v>712.32</v>
      </c>
      <c r="Q293" s="2">
        <v>135.34</v>
      </c>
      <c r="R293" t="s">
        <v>76</v>
      </c>
      <c r="S293">
        <v>0</v>
      </c>
      <c r="T293">
        <v>0</v>
      </c>
      <c r="U293">
        <f>IF(AND(OR(Dashboard!$D$4="Semua",D293=Dashboard!$D$4),OR(Dashboard!$H$4="Semua",E293=Dashboard!$H$4)),1,0)</f>
        <v>1</v>
      </c>
      <c r="V293">
        <f>IF(U293=1,IF(COUNTIFS($C$2:C293,C293,$U$2:U293,1)=1,1,0),0)</f>
        <v>0</v>
      </c>
    </row>
    <row r="294" spans="1:22" x14ac:dyDescent="0.35">
      <c r="A294">
        <v>10293</v>
      </c>
      <c r="B294" s="1">
        <v>44854</v>
      </c>
      <c r="C294">
        <v>1384</v>
      </c>
      <c r="D294" t="s">
        <v>73</v>
      </c>
      <c r="E294" t="s">
        <v>78</v>
      </c>
      <c r="F294">
        <v>4</v>
      </c>
      <c r="G294" s="2">
        <v>515.37</v>
      </c>
      <c r="H294">
        <v>0.28000000000000003</v>
      </c>
      <c r="I294" t="s">
        <v>71</v>
      </c>
      <c r="J294">
        <v>7</v>
      </c>
      <c r="K294">
        <v>2</v>
      </c>
      <c r="L294" s="2">
        <v>1484.27</v>
      </c>
      <c r="M294">
        <v>2022</v>
      </c>
      <c r="N294">
        <v>10</v>
      </c>
      <c r="O294" t="s">
        <v>89</v>
      </c>
      <c r="P294" s="2">
        <v>2061.48</v>
      </c>
      <c r="Q294" s="2">
        <v>577.21</v>
      </c>
      <c r="R294" t="s">
        <v>66</v>
      </c>
      <c r="S294">
        <v>0</v>
      </c>
      <c r="T294">
        <v>0</v>
      </c>
      <c r="U294">
        <f>IF(AND(OR(Dashboard!$D$4="Semua",D294=Dashboard!$D$4),OR(Dashboard!$H$4="Semua",E294=Dashboard!$H$4)),1,0)</f>
        <v>1</v>
      </c>
      <c r="V294">
        <f>IF(U294=1,IF(COUNTIFS($C$2:C294,C294,$U$2:U294,1)=1,1,0),0)</f>
        <v>0</v>
      </c>
    </row>
    <row r="295" spans="1:22" x14ac:dyDescent="0.35">
      <c r="A295">
        <v>10294</v>
      </c>
      <c r="B295" s="1">
        <v>44855</v>
      </c>
      <c r="C295">
        <v>1402</v>
      </c>
      <c r="D295" t="s">
        <v>62</v>
      </c>
      <c r="E295" t="s">
        <v>70</v>
      </c>
      <c r="F295">
        <v>2</v>
      </c>
      <c r="G295" s="2">
        <v>409.96</v>
      </c>
      <c r="H295">
        <v>0.1</v>
      </c>
      <c r="I295" t="s">
        <v>68</v>
      </c>
      <c r="J295">
        <v>11</v>
      </c>
      <c r="K295">
        <v>4.5999999999999996</v>
      </c>
      <c r="L295" s="2">
        <v>737.93</v>
      </c>
      <c r="M295">
        <v>2022</v>
      </c>
      <c r="N295">
        <v>10</v>
      </c>
      <c r="O295" t="s">
        <v>89</v>
      </c>
      <c r="P295" s="2">
        <v>819.92</v>
      </c>
      <c r="Q295" s="2">
        <v>81.99</v>
      </c>
      <c r="R295" t="s">
        <v>69</v>
      </c>
      <c r="S295">
        <v>0</v>
      </c>
      <c r="T295">
        <v>0</v>
      </c>
      <c r="U295">
        <f>IF(AND(OR(Dashboard!$D$4="Semua",D295=Dashboard!$D$4),OR(Dashboard!$H$4="Semua",E295=Dashboard!$H$4)),1,0)</f>
        <v>1</v>
      </c>
      <c r="V295">
        <f>IF(U295=1,IF(COUNTIFS($C$2:C295,C295,$U$2:U295,1)=1,1,0),0)</f>
        <v>1</v>
      </c>
    </row>
    <row r="296" spans="1:22" x14ac:dyDescent="0.35">
      <c r="A296">
        <v>10295</v>
      </c>
      <c r="B296" s="1">
        <v>44856</v>
      </c>
      <c r="C296">
        <v>1637</v>
      </c>
      <c r="D296" t="s">
        <v>67</v>
      </c>
      <c r="E296" t="s">
        <v>70</v>
      </c>
      <c r="F296">
        <v>5</v>
      </c>
      <c r="G296" s="2">
        <v>114.59</v>
      </c>
      <c r="H296">
        <v>0.06</v>
      </c>
      <c r="I296" t="s">
        <v>68</v>
      </c>
      <c r="J296">
        <v>5</v>
      </c>
      <c r="K296">
        <v>2.2000000000000002</v>
      </c>
      <c r="L296" s="2">
        <v>538.57000000000005</v>
      </c>
      <c r="M296">
        <v>2022</v>
      </c>
      <c r="N296">
        <v>10</v>
      </c>
      <c r="O296" t="s">
        <v>89</v>
      </c>
      <c r="P296" s="2">
        <v>572.95000000000005</v>
      </c>
      <c r="Q296" s="2">
        <v>34.380000000000003</v>
      </c>
      <c r="R296" t="s">
        <v>69</v>
      </c>
      <c r="S296">
        <v>0</v>
      </c>
      <c r="T296">
        <v>0</v>
      </c>
      <c r="U296">
        <f>IF(AND(OR(Dashboard!$D$4="Semua",D296=Dashboard!$D$4),OR(Dashboard!$H$4="Semua",E296=Dashboard!$H$4)),1,0)</f>
        <v>1</v>
      </c>
      <c r="V296">
        <f>IF(U296=1,IF(COUNTIFS($C$2:C296,C296,$U$2:U296,1)=1,1,0),0)</f>
        <v>1</v>
      </c>
    </row>
    <row r="297" spans="1:22" x14ac:dyDescent="0.35">
      <c r="A297">
        <v>10296</v>
      </c>
      <c r="B297" s="1">
        <v>44857</v>
      </c>
      <c r="C297">
        <v>1129</v>
      </c>
      <c r="D297" t="s">
        <v>67</v>
      </c>
      <c r="E297" t="s">
        <v>63</v>
      </c>
      <c r="F297">
        <v>7</v>
      </c>
      <c r="G297" s="2">
        <v>126.01</v>
      </c>
      <c r="H297">
        <v>0.02</v>
      </c>
      <c r="I297" t="s">
        <v>71</v>
      </c>
      <c r="J297">
        <v>3</v>
      </c>
      <c r="K297">
        <v>1.3</v>
      </c>
      <c r="L297" s="2">
        <v>864.43</v>
      </c>
      <c r="M297">
        <v>2022</v>
      </c>
      <c r="N297">
        <v>10</v>
      </c>
      <c r="O297" t="s">
        <v>89</v>
      </c>
      <c r="P297" s="2">
        <v>882.07</v>
      </c>
      <c r="Q297" s="2">
        <v>17.64</v>
      </c>
      <c r="R297" t="s">
        <v>75</v>
      </c>
      <c r="S297">
        <v>0</v>
      </c>
      <c r="T297">
        <v>0</v>
      </c>
      <c r="U297">
        <f>IF(AND(OR(Dashboard!$D$4="Semua",D297=Dashboard!$D$4),OR(Dashboard!$H$4="Semua",E297=Dashboard!$H$4)),1,0)</f>
        <v>1</v>
      </c>
      <c r="V297">
        <f>IF(U297=1,IF(COUNTIFS($C$2:C297,C297,$U$2:U297,1)=1,1,0),0)</f>
        <v>1</v>
      </c>
    </row>
    <row r="298" spans="1:22" x14ac:dyDescent="0.35">
      <c r="A298">
        <v>10297</v>
      </c>
      <c r="B298" s="1">
        <v>44858</v>
      </c>
      <c r="C298">
        <v>1052</v>
      </c>
      <c r="D298" t="s">
        <v>67</v>
      </c>
      <c r="E298" t="s">
        <v>63</v>
      </c>
      <c r="F298">
        <v>4</v>
      </c>
      <c r="G298" s="2">
        <v>557</v>
      </c>
      <c r="H298">
        <v>0.2</v>
      </c>
      <c r="I298" t="s">
        <v>68</v>
      </c>
      <c r="J298">
        <v>3</v>
      </c>
      <c r="K298">
        <v>1</v>
      </c>
      <c r="L298" s="2">
        <v>1782.4</v>
      </c>
      <c r="M298">
        <v>2022</v>
      </c>
      <c r="N298">
        <v>10</v>
      </c>
      <c r="O298" t="s">
        <v>89</v>
      </c>
      <c r="P298" s="2">
        <v>2228</v>
      </c>
      <c r="Q298" s="2">
        <v>445.6</v>
      </c>
      <c r="R298" t="s">
        <v>76</v>
      </c>
      <c r="S298">
        <v>0</v>
      </c>
      <c r="T298">
        <v>0</v>
      </c>
      <c r="U298">
        <f>IF(AND(OR(Dashboard!$D$4="Semua",D298=Dashboard!$D$4),OR(Dashboard!$H$4="Semua",E298=Dashboard!$H$4)),1,0)</f>
        <v>1</v>
      </c>
      <c r="V298">
        <f>IF(U298=1,IF(COUNTIFS($C$2:C298,C298,$U$2:U298,1)=1,1,0),0)</f>
        <v>0</v>
      </c>
    </row>
    <row r="299" spans="1:22" x14ac:dyDescent="0.35">
      <c r="A299">
        <v>10298</v>
      </c>
      <c r="B299" s="1">
        <v>44859</v>
      </c>
      <c r="C299">
        <v>1683</v>
      </c>
      <c r="D299" t="s">
        <v>67</v>
      </c>
      <c r="E299" t="s">
        <v>63</v>
      </c>
      <c r="F299">
        <v>3</v>
      </c>
      <c r="G299" s="2">
        <v>33.85</v>
      </c>
      <c r="H299">
        <v>0.24</v>
      </c>
      <c r="I299" t="s">
        <v>71</v>
      </c>
      <c r="J299">
        <v>5</v>
      </c>
      <c r="K299">
        <v>2.1</v>
      </c>
      <c r="L299" s="2">
        <v>77.180000000000007</v>
      </c>
      <c r="M299">
        <v>2022</v>
      </c>
      <c r="N299">
        <v>10</v>
      </c>
      <c r="O299" t="s">
        <v>89</v>
      </c>
      <c r="P299" s="2">
        <v>101.55</v>
      </c>
      <c r="Q299" s="2">
        <v>24.37</v>
      </c>
      <c r="R299" t="s">
        <v>77</v>
      </c>
      <c r="S299">
        <v>0</v>
      </c>
      <c r="T299">
        <v>0</v>
      </c>
      <c r="U299">
        <f>IF(AND(OR(Dashboard!$D$4="Semua",D299=Dashboard!$D$4),OR(Dashboard!$H$4="Semua",E299=Dashboard!$H$4)),1,0)</f>
        <v>1</v>
      </c>
      <c r="V299">
        <f>IF(U299=1,IF(COUNTIFS($C$2:C299,C299,$U$2:U299,1)=1,1,0),0)</f>
        <v>0</v>
      </c>
    </row>
    <row r="300" spans="1:22" x14ac:dyDescent="0.35">
      <c r="A300">
        <v>10299</v>
      </c>
      <c r="B300" s="1">
        <v>44860</v>
      </c>
      <c r="C300">
        <v>1729</v>
      </c>
      <c r="D300" t="s">
        <v>80</v>
      </c>
      <c r="E300" t="s">
        <v>78</v>
      </c>
      <c r="F300">
        <v>4</v>
      </c>
      <c r="G300" s="2">
        <v>285.58</v>
      </c>
      <c r="H300">
        <v>0.11</v>
      </c>
      <c r="I300" t="s">
        <v>68</v>
      </c>
      <c r="J300">
        <v>4</v>
      </c>
      <c r="K300">
        <v>2.9</v>
      </c>
      <c r="L300" s="2">
        <v>1016.66</v>
      </c>
      <c r="M300">
        <v>2022</v>
      </c>
      <c r="N300">
        <v>10</v>
      </c>
      <c r="O300" t="s">
        <v>89</v>
      </c>
      <c r="P300" s="2">
        <v>1142.32</v>
      </c>
      <c r="Q300" s="2">
        <v>125.66</v>
      </c>
      <c r="R300" t="s">
        <v>79</v>
      </c>
      <c r="S300">
        <v>0</v>
      </c>
      <c r="T300">
        <v>0</v>
      </c>
      <c r="U300">
        <f>IF(AND(OR(Dashboard!$D$4="Semua",D300=Dashboard!$D$4),OR(Dashboard!$H$4="Semua",E300=Dashboard!$H$4)),1,0)</f>
        <v>1</v>
      </c>
      <c r="V300">
        <f>IF(U300=1,IF(COUNTIFS($C$2:C300,C300,$U$2:U300,1)=1,1,0),0)</f>
        <v>0</v>
      </c>
    </row>
    <row r="301" spans="1:22" x14ac:dyDescent="0.35">
      <c r="A301">
        <v>10300</v>
      </c>
      <c r="B301" s="1">
        <v>44861</v>
      </c>
      <c r="C301">
        <v>1671</v>
      </c>
      <c r="D301" t="s">
        <v>73</v>
      </c>
      <c r="E301" t="s">
        <v>78</v>
      </c>
      <c r="F301">
        <v>3</v>
      </c>
      <c r="G301" s="2">
        <v>198.38</v>
      </c>
      <c r="H301">
        <v>0.21</v>
      </c>
      <c r="I301" t="s">
        <v>71</v>
      </c>
      <c r="J301">
        <v>5</v>
      </c>
      <c r="K301">
        <v>1</v>
      </c>
      <c r="L301" s="2">
        <v>470.16</v>
      </c>
      <c r="M301">
        <v>2022</v>
      </c>
      <c r="N301">
        <v>10</v>
      </c>
      <c r="O301" t="s">
        <v>89</v>
      </c>
      <c r="P301" s="2">
        <v>595.14</v>
      </c>
      <c r="Q301" s="2">
        <v>124.98</v>
      </c>
      <c r="R301" t="s">
        <v>77</v>
      </c>
      <c r="S301">
        <v>0</v>
      </c>
      <c r="T301">
        <v>0</v>
      </c>
      <c r="U301">
        <f>IF(AND(OR(Dashboard!$D$4="Semua",D301=Dashboard!$D$4),OR(Dashboard!$H$4="Semua",E301=Dashboard!$H$4)),1,0)</f>
        <v>1</v>
      </c>
      <c r="V301">
        <f>IF(U301=1,IF(COUNTIFS($C$2:C301,C301,$U$2:U301,1)=1,1,0),0)</f>
        <v>0</v>
      </c>
    </row>
    <row r="302" spans="1:22" x14ac:dyDescent="0.35">
      <c r="A302">
        <v>10301</v>
      </c>
      <c r="B302" s="1">
        <v>44862</v>
      </c>
      <c r="C302">
        <v>1709</v>
      </c>
      <c r="D302" t="s">
        <v>67</v>
      </c>
      <c r="E302" t="s">
        <v>78</v>
      </c>
      <c r="F302">
        <v>6</v>
      </c>
      <c r="G302" s="2">
        <v>404.07</v>
      </c>
      <c r="H302">
        <v>0.02</v>
      </c>
      <c r="I302" t="s">
        <v>71</v>
      </c>
      <c r="J302">
        <v>9</v>
      </c>
      <c r="K302">
        <v>3.3</v>
      </c>
      <c r="L302" s="2">
        <v>2375.9299999999998</v>
      </c>
      <c r="M302">
        <v>2022</v>
      </c>
      <c r="N302">
        <v>10</v>
      </c>
      <c r="O302" t="s">
        <v>89</v>
      </c>
      <c r="P302" s="2">
        <v>2424.42</v>
      </c>
      <c r="Q302" s="2">
        <v>48.49</v>
      </c>
      <c r="R302" t="s">
        <v>75</v>
      </c>
      <c r="S302">
        <v>0</v>
      </c>
      <c r="T302">
        <v>0</v>
      </c>
      <c r="U302">
        <f>IF(AND(OR(Dashboard!$D$4="Semua",D302=Dashboard!$D$4),OR(Dashboard!$H$4="Semua",E302=Dashboard!$H$4)),1,0)</f>
        <v>1</v>
      </c>
      <c r="V302">
        <f>IF(U302=1,IF(COUNTIFS($C$2:C302,C302,$U$2:U302,1)=1,1,0),0)</f>
        <v>0</v>
      </c>
    </row>
    <row r="303" spans="1:22" x14ac:dyDescent="0.35">
      <c r="A303">
        <v>10302</v>
      </c>
      <c r="B303" s="1">
        <v>44863</v>
      </c>
      <c r="C303">
        <v>1415</v>
      </c>
      <c r="D303" t="s">
        <v>62</v>
      </c>
      <c r="E303" t="s">
        <v>70</v>
      </c>
      <c r="F303">
        <v>1</v>
      </c>
      <c r="G303" s="2">
        <v>506.18</v>
      </c>
      <c r="H303">
        <v>0.03</v>
      </c>
      <c r="I303" t="s">
        <v>68</v>
      </c>
      <c r="J303">
        <v>5</v>
      </c>
      <c r="K303">
        <v>2.2999999999999998</v>
      </c>
      <c r="L303" s="2">
        <v>490.99</v>
      </c>
      <c r="M303">
        <v>2022</v>
      </c>
      <c r="N303">
        <v>10</v>
      </c>
      <c r="O303" t="s">
        <v>89</v>
      </c>
      <c r="P303" s="2">
        <v>506.18</v>
      </c>
      <c r="Q303" s="2">
        <v>15.19</v>
      </c>
      <c r="R303" t="s">
        <v>75</v>
      </c>
      <c r="S303">
        <v>0</v>
      </c>
      <c r="T303">
        <v>0</v>
      </c>
      <c r="U303">
        <f>IF(AND(OR(Dashboard!$D$4="Semua",D303=Dashboard!$D$4),OR(Dashboard!$H$4="Semua",E303=Dashboard!$H$4)),1,0)</f>
        <v>1</v>
      </c>
      <c r="V303">
        <f>IF(U303=1,IF(COUNTIFS($C$2:C303,C303,$U$2:U303,1)=1,1,0),0)</f>
        <v>1</v>
      </c>
    </row>
    <row r="304" spans="1:22" x14ac:dyDescent="0.35">
      <c r="A304">
        <v>10303</v>
      </c>
      <c r="B304" s="1">
        <v>44864</v>
      </c>
      <c r="C304">
        <v>1246</v>
      </c>
      <c r="D304" t="s">
        <v>62</v>
      </c>
      <c r="E304" t="s">
        <v>63</v>
      </c>
      <c r="F304">
        <v>7</v>
      </c>
      <c r="G304" s="2">
        <v>225.82</v>
      </c>
      <c r="H304">
        <v>0.25</v>
      </c>
      <c r="I304" t="s">
        <v>71</v>
      </c>
      <c r="J304">
        <v>4</v>
      </c>
      <c r="K304">
        <v>2.6</v>
      </c>
      <c r="L304" s="2">
        <v>1185.56</v>
      </c>
      <c r="M304">
        <v>2022</v>
      </c>
      <c r="N304">
        <v>10</v>
      </c>
      <c r="O304" t="s">
        <v>89</v>
      </c>
      <c r="P304" s="2">
        <v>1580.74</v>
      </c>
      <c r="Q304" s="2">
        <v>395.18</v>
      </c>
      <c r="R304" t="s">
        <v>77</v>
      </c>
      <c r="S304">
        <v>0</v>
      </c>
      <c r="T304">
        <v>0</v>
      </c>
      <c r="U304">
        <f>IF(AND(OR(Dashboard!$D$4="Semua",D304=Dashboard!$D$4),OR(Dashboard!$H$4="Semua",E304=Dashboard!$H$4)),1,0)</f>
        <v>1</v>
      </c>
      <c r="V304">
        <f>IF(U304=1,IF(COUNTIFS($C$2:C304,C304,$U$2:U304,1)=1,1,0),0)</f>
        <v>1</v>
      </c>
    </row>
    <row r="305" spans="1:22" x14ac:dyDescent="0.35">
      <c r="A305">
        <v>10304</v>
      </c>
      <c r="B305" s="1">
        <v>44865</v>
      </c>
      <c r="C305">
        <v>1835</v>
      </c>
      <c r="D305" t="s">
        <v>62</v>
      </c>
      <c r="E305" t="s">
        <v>74</v>
      </c>
      <c r="F305">
        <v>1</v>
      </c>
      <c r="G305" s="2">
        <v>264.74</v>
      </c>
      <c r="H305">
        <v>0.13</v>
      </c>
      <c r="I305" t="s">
        <v>68</v>
      </c>
      <c r="J305">
        <v>4</v>
      </c>
      <c r="K305">
        <v>2</v>
      </c>
      <c r="L305" s="2">
        <v>230.32</v>
      </c>
      <c r="M305">
        <v>2022</v>
      </c>
      <c r="N305">
        <v>10</v>
      </c>
      <c r="O305" t="s">
        <v>89</v>
      </c>
      <c r="P305" s="2">
        <v>264.74</v>
      </c>
      <c r="Q305" s="2">
        <v>34.42</v>
      </c>
      <c r="R305" t="s">
        <v>79</v>
      </c>
      <c r="S305">
        <v>0</v>
      </c>
      <c r="T305">
        <v>0</v>
      </c>
      <c r="U305">
        <f>IF(AND(OR(Dashboard!$D$4="Semua",D305=Dashboard!$D$4),OR(Dashboard!$H$4="Semua",E305=Dashboard!$H$4)),1,0)</f>
        <v>1</v>
      </c>
      <c r="V305">
        <f>IF(U305=1,IF(COUNTIFS($C$2:C305,C305,$U$2:U305,1)=1,1,0),0)</f>
        <v>1</v>
      </c>
    </row>
    <row r="306" spans="1:22" x14ac:dyDescent="0.35">
      <c r="A306">
        <v>10305</v>
      </c>
      <c r="B306" s="1">
        <v>44866</v>
      </c>
      <c r="C306">
        <v>1438</v>
      </c>
      <c r="D306" t="s">
        <v>67</v>
      </c>
      <c r="E306" t="s">
        <v>70</v>
      </c>
      <c r="F306">
        <v>4</v>
      </c>
      <c r="G306" s="2">
        <v>589.41999999999996</v>
      </c>
      <c r="H306">
        <v>0.23</v>
      </c>
      <c r="I306" t="s">
        <v>68</v>
      </c>
      <c r="J306">
        <v>1</v>
      </c>
      <c r="K306">
        <v>3.1</v>
      </c>
      <c r="L306" s="2">
        <v>1815.41</v>
      </c>
      <c r="M306">
        <v>2022</v>
      </c>
      <c r="N306">
        <v>11</v>
      </c>
      <c r="O306" t="s">
        <v>90</v>
      </c>
      <c r="P306" s="2">
        <v>2357.6799999999998</v>
      </c>
      <c r="Q306" s="2">
        <v>542.27</v>
      </c>
      <c r="R306" t="s">
        <v>77</v>
      </c>
      <c r="S306">
        <v>0</v>
      </c>
      <c r="T306">
        <v>0</v>
      </c>
      <c r="U306">
        <f>IF(AND(OR(Dashboard!$D$4="Semua",D306=Dashboard!$D$4),OR(Dashboard!$H$4="Semua",E306=Dashboard!$H$4)),1,0)</f>
        <v>1</v>
      </c>
      <c r="V306">
        <f>IF(U306=1,IF(COUNTIFS($C$2:C306,C306,$U$2:U306,1)=1,1,0),0)</f>
        <v>1</v>
      </c>
    </row>
    <row r="307" spans="1:22" x14ac:dyDescent="0.35">
      <c r="A307">
        <v>10306</v>
      </c>
      <c r="B307" s="1">
        <v>44867</v>
      </c>
      <c r="C307">
        <v>1202</v>
      </c>
      <c r="D307" t="s">
        <v>80</v>
      </c>
      <c r="E307" t="s">
        <v>78</v>
      </c>
      <c r="F307">
        <v>2</v>
      </c>
      <c r="G307" s="2">
        <v>473.59</v>
      </c>
      <c r="H307">
        <v>0.28999999999999998</v>
      </c>
      <c r="I307" t="s">
        <v>68</v>
      </c>
      <c r="J307">
        <v>10</v>
      </c>
      <c r="K307">
        <v>1.9</v>
      </c>
      <c r="L307" s="2">
        <v>672.5</v>
      </c>
      <c r="M307">
        <v>2022</v>
      </c>
      <c r="N307">
        <v>11</v>
      </c>
      <c r="O307" t="s">
        <v>90</v>
      </c>
      <c r="P307" s="2">
        <v>947.18</v>
      </c>
      <c r="Q307" s="2">
        <v>274.68</v>
      </c>
      <c r="R307" t="s">
        <v>66</v>
      </c>
      <c r="S307">
        <v>0</v>
      </c>
      <c r="T307">
        <v>0</v>
      </c>
      <c r="U307">
        <f>IF(AND(OR(Dashboard!$D$4="Semua",D307=Dashboard!$D$4),OR(Dashboard!$H$4="Semua",E307=Dashboard!$H$4)),1,0)</f>
        <v>1</v>
      </c>
      <c r="V307">
        <f>IF(U307=1,IF(COUNTIFS($C$2:C307,C307,$U$2:U307,1)=1,1,0),0)</f>
        <v>1</v>
      </c>
    </row>
    <row r="308" spans="1:22" x14ac:dyDescent="0.35">
      <c r="A308">
        <v>10307</v>
      </c>
      <c r="B308" s="1">
        <v>44868</v>
      </c>
      <c r="C308">
        <v>1183</v>
      </c>
      <c r="D308" t="s">
        <v>67</v>
      </c>
      <c r="E308" t="s">
        <v>74</v>
      </c>
      <c r="F308">
        <v>5</v>
      </c>
      <c r="G308" s="2">
        <v>539.86</v>
      </c>
      <c r="H308">
        <v>0.3</v>
      </c>
      <c r="I308" t="s">
        <v>68</v>
      </c>
      <c r="J308">
        <v>4</v>
      </c>
      <c r="K308">
        <v>1.5</v>
      </c>
      <c r="L308" s="2">
        <v>1889.51</v>
      </c>
      <c r="M308">
        <v>2022</v>
      </c>
      <c r="N308">
        <v>11</v>
      </c>
      <c r="O308" t="s">
        <v>90</v>
      </c>
      <c r="P308" s="2">
        <v>2699.3</v>
      </c>
      <c r="Q308" s="2">
        <v>809.79</v>
      </c>
      <c r="R308" t="s">
        <v>66</v>
      </c>
      <c r="S308">
        <v>0</v>
      </c>
      <c r="T308">
        <v>0</v>
      </c>
      <c r="U308">
        <f>IF(AND(OR(Dashboard!$D$4="Semua",D308=Dashboard!$D$4),OR(Dashboard!$H$4="Semua",E308=Dashboard!$H$4)),1,0)</f>
        <v>1</v>
      </c>
      <c r="V308">
        <f>IF(U308=1,IF(COUNTIFS($C$2:C308,C308,$U$2:U308,1)=1,1,0),0)</f>
        <v>1</v>
      </c>
    </row>
    <row r="309" spans="1:22" x14ac:dyDescent="0.35">
      <c r="A309">
        <v>10308</v>
      </c>
      <c r="B309" s="1">
        <v>44869</v>
      </c>
      <c r="C309">
        <v>1122</v>
      </c>
      <c r="D309" t="s">
        <v>67</v>
      </c>
      <c r="E309" t="s">
        <v>74</v>
      </c>
      <c r="F309">
        <v>3</v>
      </c>
      <c r="G309" s="2">
        <v>271.68</v>
      </c>
      <c r="H309">
        <v>0.06</v>
      </c>
      <c r="I309" t="s">
        <v>68</v>
      </c>
      <c r="J309">
        <v>4</v>
      </c>
      <c r="K309">
        <v>4.5999999999999996</v>
      </c>
      <c r="L309" s="2">
        <v>766.14</v>
      </c>
      <c r="M309">
        <v>2022</v>
      </c>
      <c r="N309">
        <v>11</v>
      </c>
      <c r="O309" t="s">
        <v>90</v>
      </c>
      <c r="P309" s="2">
        <v>815.04</v>
      </c>
      <c r="Q309" s="2">
        <v>48.9</v>
      </c>
      <c r="R309" t="s">
        <v>69</v>
      </c>
      <c r="S309">
        <v>0</v>
      </c>
      <c r="T309">
        <v>0</v>
      </c>
      <c r="U309">
        <f>IF(AND(OR(Dashboard!$D$4="Semua",D309=Dashboard!$D$4),OR(Dashboard!$H$4="Semua",E309=Dashboard!$H$4)),1,0)</f>
        <v>1</v>
      </c>
      <c r="V309">
        <f>IF(U309=1,IF(COUNTIFS($C$2:C309,C309,$U$2:U309,1)=1,1,0),0)</f>
        <v>1</v>
      </c>
    </row>
    <row r="310" spans="1:22" x14ac:dyDescent="0.35">
      <c r="A310">
        <v>10309</v>
      </c>
      <c r="B310" s="1">
        <v>44870</v>
      </c>
      <c r="C310">
        <v>1400</v>
      </c>
      <c r="D310" t="s">
        <v>73</v>
      </c>
      <c r="E310" t="s">
        <v>63</v>
      </c>
      <c r="F310">
        <v>5</v>
      </c>
      <c r="G310" s="2">
        <v>151.93</v>
      </c>
      <c r="H310">
        <v>0.17</v>
      </c>
      <c r="I310" t="s">
        <v>64</v>
      </c>
      <c r="J310">
        <v>9</v>
      </c>
      <c r="K310">
        <v>2.6</v>
      </c>
      <c r="L310" s="2">
        <v>630.51</v>
      </c>
      <c r="M310">
        <v>2022</v>
      </c>
      <c r="N310">
        <v>11</v>
      </c>
      <c r="O310" t="s">
        <v>90</v>
      </c>
      <c r="P310" s="2">
        <v>759.65</v>
      </c>
      <c r="Q310" s="2">
        <v>129.13999999999999</v>
      </c>
      <c r="R310" t="s">
        <v>76</v>
      </c>
      <c r="S310">
        <v>0</v>
      </c>
      <c r="T310">
        <v>0</v>
      </c>
      <c r="U310">
        <f>IF(AND(OR(Dashboard!$D$4="Semua",D310=Dashboard!$D$4),OR(Dashboard!$H$4="Semua",E310=Dashboard!$H$4)),1,0)</f>
        <v>1</v>
      </c>
      <c r="V310">
        <f>IF(U310=1,IF(COUNTIFS($C$2:C310,C310,$U$2:U310,1)=1,1,0),0)</f>
        <v>1</v>
      </c>
    </row>
    <row r="311" spans="1:22" x14ac:dyDescent="0.35">
      <c r="A311">
        <v>10310</v>
      </c>
      <c r="B311" s="1">
        <v>44871</v>
      </c>
      <c r="C311">
        <v>1766</v>
      </c>
      <c r="D311" t="s">
        <v>67</v>
      </c>
      <c r="E311" t="s">
        <v>74</v>
      </c>
      <c r="F311">
        <v>1</v>
      </c>
      <c r="G311" s="2">
        <v>255.94</v>
      </c>
      <c r="H311">
        <v>0.26</v>
      </c>
      <c r="I311" t="s">
        <v>68</v>
      </c>
      <c r="J311">
        <v>11</v>
      </c>
      <c r="K311">
        <v>1.3</v>
      </c>
      <c r="L311" s="2">
        <v>189.4</v>
      </c>
      <c r="M311">
        <v>2022</v>
      </c>
      <c r="N311">
        <v>11</v>
      </c>
      <c r="O311" t="s">
        <v>90</v>
      </c>
      <c r="P311" s="2">
        <v>255.94</v>
      </c>
      <c r="Q311" s="2">
        <v>66.540000000000006</v>
      </c>
      <c r="R311" t="s">
        <v>66</v>
      </c>
      <c r="S311">
        <v>0</v>
      </c>
      <c r="T311">
        <v>0</v>
      </c>
      <c r="U311">
        <f>IF(AND(OR(Dashboard!$D$4="Semua",D311=Dashboard!$D$4),OR(Dashboard!$H$4="Semua",E311=Dashboard!$H$4)),1,0)</f>
        <v>1</v>
      </c>
      <c r="V311">
        <f>IF(U311=1,IF(COUNTIFS($C$2:C311,C311,$U$2:U311,1)=1,1,0),0)</f>
        <v>0</v>
      </c>
    </row>
    <row r="312" spans="1:22" x14ac:dyDescent="0.35">
      <c r="A312">
        <v>10311</v>
      </c>
      <c r="B312" s="1">
        <v>44872</v>
      </c>
      <c r="C312">
        <v>1293</v>
      </c>
      <c r="D312" t="s">
        <v>73</v>
      </c>
      <c r="E312" t="s">
        <v>78</v>
      </c>
      <c r="F312">
        <v>2</v>
      </c>
      <c r="G312" s="2">
        <v>433.91</v>
      </c>
      <c r="H312">
        <v>0.27</v>
      </c>
      <c r="I312" t="s">
        <v>68</v>
      </c>
      <c r="J312">
        <v>4</v>
      </c>
      <c r="K312">
        <v>1.9</v>
      </c>
      <c r="L312" s="2">
        <v>633.51</v>
      </c>
      <c r="M312">
        <v>2022</v>
      </c>
      <c r="N312">
        <v>11</v>
      </c>
      <c r="O312" t="s">
        <v>90</v>
      </c>
      <c r="P312" s="2">
        <v>867.82</v>
      </c>
      <c r="Q312" s="2">
        <v>234.31</v>
      </c>
      <c r="R312" t="s">
        <v>66</v>
      </c>
      <c r="S312">
        <v>0</v>
      </c>
      <c r="T312">
        <v>0</v>
      </c>
      <c r="U312">
        <f>IF(AND(OR(Dashboard!$D$4="Semua",D312=Dashboard!$D$4),OR(Dashboard!$H$4="Semua",E312=Dashboard!$H$4)),1,0)</f>
        <v>1</v>
      </c>
      <c r="V312">
        <f>IF(U312=1,IF(COUNTIFS($C$2:C312,C312,$U$2:U312,1)=1,1,0),0)</f>
        <v>1</v>
      </c>
    </row>
    <row r="313" spans="1:22" x14ac:dyDescent="0.35">
      <c r="A313">
        <v>10312</v>
      </c>
      <c r="B313" s="1">
        <v>44873</v>
      </c>
      <c r="C313">
        <v>1279</v>
      </c>
      <c r="D313" t="s">
        <v>73</v>
      </c>
      <c r="E313" t="s">
        <v>63</v>
      </c>
      <c r="F313">
        <v>2</v>
      </c>
      <c r="G313" s="2">
        <v>79.02</v>
      </c>
      <c r="H313">
        <v>0.27</v>
      </c>
      <c r="I313" t="s">
        <v>68</v>
      </c>
      <c r="J313">
        <v>7</v>
      </c>
      <c r="K313">
        <v>2.2000000000000002</v>
      </c>
      <c r="L313" s="2">
        <v>115.37</v>
      </c>
      <c r="M313">
        <v>2022</v>
      </c>
      <c r="N313">
        <v>11</v>
      </c>
      <c r="O313" t="s">
        <v>90</v>
      </c>
      <c r="P313" s="2">
        <v>158.04</v>
      </c>
      <c r="Q313" s="2">
        <v>42.67</v>
      </c>
      <c r="R313" t="s">
        <v>66</v>
      </c>
      <c r="S313">
        <v>0</v>
      </c>
      <c r="T313">
        <v>0</v>
      </c>
      <c r="U313">
        <f>IF(AND(OR(Dashboard!$D$4="Semua",D313=Dashboard!$D$4),OR(Dashboard!$H$4="Semua",E313=Dashboard!$H$4)),1,0)</f>
        <v>1</v>
      </c>
      <c r="V313">
        <f>IF(U313=1,IF(COUNTIFS($C$2:C313,C313,$U$2:U313,1)=1,1,0),0)</f>
        <v>1</v>
      </c>
    </row>
    <row r="314" spans="1:22" x14ac:dyDescent="0.35">
      <c r="A314">
        <v>10313</v>
      </c>
      <c r="B314" s="1">
        <v>44874</v>
      </c>
      <c r="C314">
        <v>1836</v>
      </c>
      <c r="D314" t="s">
        <v>62</v>
      </c>
      <c r="E314" t="s">
        <v>74</v>
      </c>
      <c r="F314">
        <v>5</v>
      </c>
      <c r="G314" s="2">
        <v>173.22</v>
      </c>
      <c r="H314">
        <v>0.08</v>
      </c>
      <c r="I314" t="s">
        <v>68</v>
      </c>
      <c r="J314">
        <v>1</v>
      </c>
      <c r="K314">
        <v>4.0999999999999996</v>
      </c>
      <c r="L314" s="2">
        <v>796.81</v>
      </c>
      <c r="M314">
        <v>2022</v>
      </c>
      <c r="N314">
        <v>11</v>
      </c>
      <c r="O314" t="s">
        <v>90</v>
      </c>
      <c r="P314" s="2">
        <v>866.1</v>
      </c>
      <c r="Q314" s="2">
        <v>69.290000000000006</v>
      </c>
      <c r="R314" t="s">
        <v>69</v>
      </c>
      <c r="S314">
        <v>0</v>
      </c>
      <c r="T314">
        <v>0</v>
      </c>
      <c r="U314">
        <f>IF(AND(OR(Dashboard!$D$4="Semua",D314=Dashboard!$D$4),OR(Dashboard!$H$4="Semua",E314=Dashboard!$H$4)),1,0)</f>
        <v>1</v>
      </c>
      <c r="V314">
        <f>IF(U314=1,IF(COUNTIFS($C$2:C314,C314,$U$2:U314,1)=1,1,0),0)</f>
        <v>1</v>
      </c>
    </row>
    <row r="315" spans="1:22" x14ac:dyDescent="0.35">
      <c r="A315">
        <v>10314</v>
      </c>
      <c r="B315" s="1">
        <v>44875</v>
      </c>
      <c r="C315">
        <v>1883</v>
      </c>
      <c r="D315" t="s">
        <v>73</v>
      </c>
      <c r="E315" t="s">
        <v>63</v>
      </c>
      <c r="F315">
        <v>1</v>
      </c>
      <c r="G315" s="2">
        <v>42.28</v>
      </c>
      <c r="H315">
        <v>7.0000000000000007E-2</v>
      </c>
      <c r="I315" t="s">
        <v>71</v>
      </c>
      <c r="J315">
        <v>7</v>
      </c>
      <c r="K315">
        <v>1.1000000000000001</v>
      </c>
      <c r="L315" s="2">
        <v>39.32</v>
      </c>
      <c r="M315">
        <v>2022</v>
      </c>
      <c r="N315">
        <v>11</v>
      </c>
      <c r="O315" t="s">
        <v>90</v>
      </c>
      <c r="P315" s="2">
        <v>42.28</v>
      </c>
      <c r="Q315" s="2">
        <v>2.96</v>
      </c>
      <c r="R315" t="s">
        <v>69</v>
      </c>
      <c r="S315">
        <v>0</v>
      </c>
      <c r="T315">
        <v>0</v>
      </c>
      <c r="U315">
        <f>IF(AND(OR(Dashboard!$D$4="Semua",D315=Dashboard!$D$4),OR(Dashboard!$H$4="Semua",E315=Dashboard!$H$4)),1,0)</f>
        <v>1</v>
      </c>
      <c r="V315">
        <f>IF(U315=1,IF(COUNTIFS($C$2:C315,C315,$U$2:U315,1)=1,1,0),0)</f>
        <v>1</v>
      </c>
    </row>
    <row r="316" spans="1:22" x14ac:dyDescent="0.35">
      <c r="A316">
        <v>10315</v>
      </c>
      <c r="B316" s="1">
        <v>44876</v>
      </c>
      <c r="C316">
        <v>1609</v>
      </c>
      <c r="D316" t="s">
        <v>73</v>
      </c>
      <c r="E316" t="s">
        <v>74</v>
      </c>
      <c r="F316">
        <v>5</v>
      </c>
      <c r="G316" s="2">
        <v>267.92</v>
      </c>
      <c r="H316">
        <v>0.21</v>
      </c>
      <c r="I316" t="s">
        <v>68</v>
      </c>
      <c r="J316">
        <v>2</v>
      </c>
      <c r="K316">
        <v>2.9</v>
      </c>
      <c r="L316" s="2">
        <v>1058.28</v>
      </c>
      <c r="M316">
        <v>2022</v>
      </c>
      <c r="N316">
        <v>11</v>
      </c>
      <c r="O316" t="s">
        <v>90</v>
      </c>
      <c r="P316" s="2">
        <v>1339.6</v>
      </c>
      <c r="Q316" s="2">
        <v>281.32</v>
      </c>
      <c r="R316" t="s">
        <v>77</v>
      </c>
      <c r="S316">
        <v>0</v>
      </c>
      <c r="T316">
        <v>0</v>
      </c>
      <c r="U316">
        <f>IF(AND(OR(Dashboard!$D$4="Semua",D316=Dashboard!$D$4),OR(Dashboard!$H$4="Semua",E316=Dashboard!$H$4)),1,0)</f>
        <v>1</v>
      </c>
      <c r="V316">
        <f>IF(U316=1,IF(COUNTIFS($C$2:C316,C316,$U$2:U316,1)=1,1,0),0)</f>
        <v>1</v>
      </c>
    </row>
    <row r="317" spans="1:22" x14ac:dyDescent="0.35">
      <c r="A317">
        <v>10316</v>
      </c>
      <c r="B317" s="1">
        <v>44877</v>
      </c>
      <c r="C317">
        <v>1197</v>
      </c>
      <c r="D317" t="s">
        <v>73</v>
      </c>
      <c r="E317" t="s">
        <v>70</v>
      </c>
      <c r="F317">
        <v>4</v>
      </c>
      <c r="G317" s="2">
        <v>499.06</v>
      </c>
      <c r="H317">
        <v>0.26</v>
      </c>
      <c r="I317" t="s">
        <v>71</v>
      </c>
      <c r="J317">
        <v>11</v>
      </c>
      <c r="K317">
        <v>2.6</v>
      </c>
      <c r="L317" s="2">
        <v>1477.22</v>
      </c>
      <c r="M317">
        <v>2022</v>
      </c>
      <c r="N317">
        <v>11</v>
      </c>
      <c r="O317" t="s">
        <v>90</v>
      </c>
      <c r="P317" s="2">
        <v>1996.24</v>
      </c>
      <c r="Q317" s="2">
        <v>519.02</v>
      </c>
      <c r="R317" t="s">
        <v>66</v>
      </c>
      <c r="S317">
        <v>0</v>
      </c>
      <c r="T317">
        <v>0</v>
      </c>
      <c r="U317">
        <f>IF(AND(OR(Dashboard!$D$4="Semua",D317=Dashboard!$D$4),OR(Dashboard!$H$4="Semua",E317=Dashboard!$H$4)),1,0)</f>
        <v>1</v>
      </c>
      <c r="V317">
        <f>IF(U317=1,IF(COUNTIFS($C$2:C317,C317,$U$2:U317,1)=1,1,0),0)</f>
        <v>1</v>
      </c>
    </row>
    <row r="318" spans="1:22" x14ac:dyDescent="0.35">
      <c r="A318">
        <v>10317</v>
      </c>
      <c r="B318" s="1">
        <v>44878</v>
      </c>
      <c r="C318">
        <v>1981</v>
      </c>
      <c r="D318" t="s">
        <v>62</v>
      </c>
      <c r="E318" t="s">
        <v>70</v>
      </c>
      <c r="F318">
        <v>2</v>
      </c>
      <c r="G318" s="2">
        <v>29.43</v>
      </c>
      <c r="H318">
        <v>0.11</v>
      </c>
      <c r="I318" t="s">
        <v>68</v>
      </c>
      <c r="J318">
        <v>8</v>
      </c>
      <c r="K318">
        <v>4.9000000000000004</v>
      </c>
      <c r="L318" s="2">
        <v>52.39</v>
      </c>
      <c r="M318">
        <v>2022</v>
      </c>
      <c r="N318">
        <v>11</v>
      </c>
      <c r="O318" t="s">
        <v>90</v>
      </c>
      <c r="P318" s="2">
        <v>58.86</v>
      </c>
      <c r="Q318" s="2">
        <v>6.47</v>
      </c>
      <c r="R318" t="s">
        <v>79</v>
      </c>
      <c r="S318">
        <v>0</v>
      </c>
      <c r="T318">
        <v>0</v>
      </c>
      <c r="U318">
        <f>IF(AND(OR(Dashboard!$D$4="Semua",D318=Dashboard!$D$4),OR(Dashboard!$H$4="Semua",E318=Dashboard!$H$4)),1,0)</f>
        <v>1</v>
      </c>
      <c r="V318">
        <f>IF(U318=1,IF(COUNTIFS($C$2:C318,C318,$U$2:U318,1)=1,1,0),0)</f>
        <v>1</v>
      </c>
    </row>
    <row r="319" spans="1:22" x14ac:dyDescent="0.35">
      <c r="A319">
        <v>10318</v>
      </c>
      <c r="B319" s="1">
        <v>44879</v>
      </c>
      <c r="C319">
        <v>1906</v>
      </c>
      <c r="D319" t="s">
        <v>67</v>
      </c>
      <c r="E319" t="s">
        <v>78</v>
      </c>
      <c r="F319">
        <v>2</v>
      </c>
      <c r="G319" s="2">
        <v>410.06</v>
      </c>
      <c r="H319">
        <v>0.04</v>
      </c>
      <c r="I319" t="s">
        <v>64</v>
      </c>
      <c r="J319">
        <v>1</v>
      </c>
      <c r="K319">
        <v>1.7</v>
      </c>
      <c r="L319" s="2">
        <v>787.32</v>
      </c>
      <c r="M319">
        <v>2022</v>
      </c>
      <c r="N319">
        <v>11</v>
      </c>
      <c r="O319" t="s">
        <v>90</v>
      </c>
      <c r="P319" s="2">
        <v>820.12</v>
      </c>
      <c r="Q319" s="2">
        <v>32.799999999999997</v>
      </c>
      <c r="R319" t="s">
        <v>75</v>
      </c>
      <c r="S319">
        <v>0</v>
      </c>
      <c r="T319">
        <v>0</v>
      </c>
      <c r="U319">
        <f>IF(AND(OR(Dashboard!$D$4="Semua",D319=Dashboard!$D$4),OR(Dashboard!$H$4="Semua",E319=Dashboard!$H$4)),1,0)</f>
        <v>1</v>
      </c>
      <c r="V319">
        <f>IF(U319=1,IF(COUNTIFS($C$2:C319,C319,$U$2:U319,1)=1,1,0),0)</f>
        <v>1</v>
      </c>
    </row>
    <row r="320" spans="1:22" x14ac:dyDescent="0.35">
      <c r="A320">
        <v>10319</v>
      </c>
      <c r="B320" s="1">
        <v>44880</v>
      </c>
      <c r="C320">
        <v>1510</v>
      </c>
      <c r="D320" t="s">
        <v>67</v>
      </c>
      <c r="E320" t="s">
        <v>70</v>
      </c>
      <c r="F320">
        <v>4</v>
      </c>
      <c r="G320" s="2">
        <v>560.51</v>
      </c>
      <c r="H320">
        <v>0.25</v>
      </c>
      <c r="I320" t="s">
        <v>68</v>
      </c>
      <c r="J320">
        <v>10</v>
      </c>
      <c r="K320">
        <v>3.5</v>
      </c>
      <c r="L320" s="2">
        <v>1681.53</v>
      </c>
      <c r="M320">
        <v>2022</v>
      </c>
      <c r="N320">
        <v>11</v>
      </c>
      <c r="O320" t="s">
        <v>90</v>
      </c>
      <c r="P320" s="2">
        <v>2242.04</v>
      </c>
      <c r="Q320" s="2">
        <v>560.51</v>
      </c>
      <c r="R320" t="s">
        <v>77</v>
      </c>
      <c r="S320">
        <v>0</v>
      </c>
      <c r="T320">
        <v>0</v>
      </c>
      <c r="U320">
        <f>IF(AND(OR(Dashboard!$D$4="Semua",D320=Dashboard!$D$4),OR(Dashboard!$H$4="Semua",E320=Dashboard!$H$4)),1,0)</f>
        <v>1</v>
      </c>
      <c r="V320">
        <f>IF(U320=1,IF(COUNTIFS($C$2:C320,C320,$U$2:U320,1)=1,1,0),0)</f>
        <v>0</v>
      </c>
    </row>
    <row r="321" spans="1:22" x14ac:dyDescent="0.35">
      <c r="A321">
        <v>10320</v>
      </c>
      <c r="B321" s="1">
        <v>44881</v>
      </c>
      <c r="C321">
        <v>1751</v>
      </c>
      <c r="D321" t="s">
        <v>80</v>
      </c>
      <c r="E321" t="s">
        <v>70</v>
      </c>
      <c r="F321">
        <v>1</v>
      </c>
      <c r="G321" s="2">
        <v>153.6</v>
      </c>
      <c r="H321">
        <v>0.1</v>
      </c>
      <c r="I321" t="s">
        <v>71</v>
      </c>
      <c r="J321">
        <v>3</v>
      </c>
      <c r="K321">
        <v>1.8</v>
      </c>
      <c r="L321" s="2">
        <v>138.24</v>
      </c>
      <c r="M321">
        <v>2022</v>
      </c>
      <c r="N321">
        <v>11</v>
      </c>
      <c r="O321" t="s">
        <v>90</v>
      </c>
      <c r="P321" s="2">
        <v>153.6</v>
      </c>
      <c r="Q321" s="2">
        <v>15.36</v>
      </c>
      <c r="R321" t="s">
        <v>69</v>
      </c>
      <c r="S321">
        <v>0</v>
      </c>
      <c r="T321">
        <v>0</v>
      </c>
      <c r="U321">
        <f>IF(AND(OR(Dashboard!$D$4="Semua",D321=Dashboard!$D$4),OR(Dashboard!$H$4="Semua",E321=Dashboard!$H$4)),1,0)</f>
        <v>1</v>
      </c>
      <c r="V321">
        <f>IF(U321=1,IF(COUNTIFS($C$2:C321,C321,$U$2:U321,1)=1,1,0),0)</f>
        <v>1</v>
      </c>
    </row>
    <row r="322" spans="1:22" x14ac:dyDescent="0.35">
      <c r="A322">
        <v>10321</v>
      </c>
      <c r="B322" s="1">
        <v>44882</v>
      </c>
      <c r="C322">
        <v>1143</v>
      </c>
      <c r="D322" t="s">
        <v>80</v>
      </c>
      <c r="E322" t="s">
        <v>70</v>
      </c>
      <c r="F322">
        <v>2</v>
      </c>
      <c r="G322" s="2">
        <v>420.78</v>
      </c>
      <c r="H322">
        <v>0.06</v>
      </c>
      <c r="I322" t="s">
        <v>71</v>
      </c>
      <c r="J322">
        <v>8</v>
      </c>
      <c r="K322">
        <v>3.2</v>
      </c>
      <c r="L322" s="2">
        <v>791.07</v>
      </c>
      <c r="M322">
        <v>2022</v>
      </c>
      <c r="N322">
        <v>11</v>
      </c>
      <c r="O322" t="s">
        <v>90</v>
      </c>
      <c r="P322" s="2">
        <v>841.56</v>
      </c>
      <c r="Q322" s="2">
        <v>50.49</v>
      </c>
      <c r="R322" t="s">
        <v>69</v>
      </c>
      <c r="S322">
        <v>0</v>
      </c>
      <c r="T322">
        <v>0</v>
      </c>
      <c r="U322">
        <f>IF(AND(OR(Dashboard!$D$4="Semua",D322=Dashboard!$D$4),OR(Dashboard!$H$4="Semua",E322=Dashboard!$H$4)),1,0)</f>
        <v>1</v>
      </c>
      <c r="V322">
        <f>IF(U322=1,IF(COUNTIFS($C$2:C322,C322,$U$2:U322,1)=1,1,0),0)</f>
        <v>1</v>
      </c>
    </row>
    <row r="323" spans="1:22" x14ac:dyDescent="0.35">
      <c r="A323">
        <v>10322</v>
      </c>
      <c r="B323" s="1">
        <v>44883</v>
      </c>
      <c r="C323">
        <v>1608</v>
      </c>
      <c r="D323" t="s">
        <v>73</v>
      </c>
      <c r="E323" t="s">
        <v>74</v>
      </c>
      <c r="F323">
        <v>7</v>
      </c>
      <c r="G323" s="2">
        <v>585.42999999999995</v>
      </c>
      <c r="H323">
        <v>0.05</v>
      </c>
      <c r="I323" t="s">
        <v>68</v>
      </c>
      <c r="J323">
        <v>10</v>
      </c>
      <c r="K323">
        <v>3.2</v>
      </c>
      <c r="L323" s="2">
        <v>3893.11</v>
      </c>
      <c r="M323">
        <v>2022</v>
      </c>
      <c r="N323">
        <v>11</v>
      </c>
      <c r="O323" t="s">
        <v>90</v>
      </c>
      <c r="P323" s="2">
        <v>4098.01</v>
      </c>
      <c r="Q323" s="2">
        <v>204.9</v>
      </c>
      <c r="R323" t="s">
        <v>75</v>
      </c>
      <c r="S323">
        <v>0</v>
      </c>
      <c r="T323">
        <v>1</v>
      </c>
      <c r="U323">
        <f>IF(AND(OR(Dashboard!$D$4="Semua",D323=Dashboard!$D$4),OR(Dashboard!$H$4="Semua",E323=Dashboard!$H$4)),1,0)</f>
        <v>1</v>
      </c>
      <c r="V323">
        <f>IF(U323=1,IF(COUNTIFS($C$2:C323,C323,$U$2:U323,1)=1,1,0),0)</f>
        <v>1</v>
      </c>
    </row>
    <row r="324" spans="1:22" x14ac:dyDescent="0.35">
      <c r="A324">
        <v>10323</v>
      </c>
      <c r="B324" s="1">
        <v>44884</v>
      </c>
      <c r="C324">
        <v>1200</v>
      </c>
      <c r="D324" t="s">
        <v>80</v>
      </c>
      <c r="E324" t="s">
        <v>74</v>
      </c>
      <c r="F324">
        <v>6</v>
      </c>
      <c r="G324" s="2">
        <v>577.92999999999995</v>
      </c>
      <c r="H324">
        <v>0.11</v>
      </c>
      <c r="I324" t="s">
        <v>71</v>
      </c>
      <c r="J324">
        <v>8</v>
      </c>
      <c r="K324">
        <v>1.3</v>
      </c>
      <c r="L324" s="2">
        <v>3086.15</v>
      </c>
      <c r="M324">
        <v>2022</v>
      </c>
      <c r="N324">
        <v>11</v>
      </c>
      <c r="O324" t="s">
        <v>90</v>
      </c>
      <c r="P324" s="2">
        <v>3467.58</v>
      </c>
      <c r="Q324" s="2">
        <v>381.43</v>
      </c>
      <c r="R324" t="s">
        <v>79</v>
      </c>
      <c r="S324">
        <v>0</v>
      </c>
      <c r="T324">
        <v>0</v>
      </c>
      <c r="U324">
        <f>IF(AND(OR(Dashboard!$D$4="Semua",D324=Dashboard!$D$4),OR(Dashboard!$H$4="Semua",E324=Dashboard!$H$4)),1,0)</f>
        <v>1</v>
      </c>
      <c r="V324">
        <f>IF(U324=1,IF(COUNTIFS($C$2:C324,C324,$U$2:U324,1)=1,1,0),0)</f>
        <v>0</v>
      </c>
    </row>
    <row r="325" spans="1:22" x14ac:dyDescent="0.35">
      <c r="A325">
        <v>10324</v>
      </c>
      <c r="B325" s="1">
        <v>44885</v>
      </c>
      <c r="C325">
        <v>1123</v>
      </c>
      <c r="D325" t="s">
        <v>80</v>
      </c>
      <c r="E325" t="s">
        <v>63</v>
      </c>
      <c r="F325">
        <v>6</v>
      </c>
      <c r="G325" s="2">
        <v>152.43</v>
      </c>
      <c r="H325">
        <v>0.21</v>
      </c>
      <c r="I325" t="s">
        <v>71</v>
      </c>
      <c r="J325">
        <v>11</v>
      </c>
      <c r="K325">
        <v>2.8</v>
      </c>
      <c r="L325" s="2">
        <v>722.52</v>
      </c>
      <c r="M325">
        <v>2022</v>
      </c>
      <c r="N325">
        <v>11</v>
      </c>
      <c r="O325" t="s">
        <v>90</v>
      </c>
      <c r="P325" s="2">
        <v>914.58</v>
      </c>
      <c r="Q325" s="2">
        <v>192.06</v>
      </c>
      <c r="R325" t="s">
        <v>77</v>
      </c>
      <c r="S325">
        <v>0</v>
      </c>
      <c r="T325">
        <v>0</v>
      </c>
      <c r="U325">
        <f>IF(AND(OR(Dashboard!$D$4="Semua",D325=Dashboard!$D$4),OR(Dashboard!$H$4="Semua",E325=Dashboard!$H$4)),1,0)</f>
        <v>1</v>
      </c>
      <c r="V325">
        <f>IF(U325=1,IF(COUNTIFS($C$2:C325,C325,$U$2:U325,1)=1,1,0),0)</f>
        <v>1</v>
      </c>
    </row>
    <row r="326" spans="1:22" x14ac:dyDescent="0.35">
      <c r="A326">
        <v>10325</v>
      </c>
      <c r="B326" s="1">
        <v>44886</v>
      </c>
      <c r="C326">
        <v>1186</v>
      </c>
      <c r="D326" t="s">
        <v>80</v>
      </c>
      <c r="E326" t="s">
        <v>74</v>
      </c>
      <c r="F326">
        <v>6</v>
      </c>
      <c r="G326" s="2">
        <v>73.69</v>
      </c>
      <c r="H326">
        <v>0.13</v>
      </c>
      <c r="I326" t="s">
        <v>68</v>
      </c>
      <c r="J326">
        <v>5</v>
      </c>
      <c r="K326">
        <v>2.8</v>
      </c>
      <c r="L326" s="2">
        <v>384.66</v>
      </c>
      <c r="M326">
        <v>2022</v>
      </c>
      <c r="N326">
        <v>11</v>
      </c>
      <c r="O326" t="s">
        <v>90</v>
      </c>
      <c r="P326" s="2">
        <v>442.14</v>
      </c>
      <c r="Q326" s="2">
        <v>57.48</v>
      </c>
      <c r="R326" t="s">
        <v>79</v>
      </c>
      <c r="S326">
        <v>0</v>
      </c>
      <c r="T326">
        <v>0</v>
      </c>
      <c r="U326">
        <f>IF(AND(OR(Dashboard!$D$4="Semua",D326=Dashboard!$D$4),OR(Dashboard!$H$4="Semua",E326=Dashboard!$H$4)),1,0)</f>
        <v>1</v>
      </c>
      <c r="V326">
        <f>IF(U326=1,IF(COUNTIFS($C$2:C326,C326,$U$2:U326,1)=1,1,0),0)</f>
        <v>1</v>
      </c>
    </row>
    <row r="327" spans="1:22" x14ac:dyDescent="0.35">
      <c r="A327">
        <v>10326</v>
      </c>
      <c r="B327" s="1">
        <v>44887</v>
      </c>
      <c r="C327">
        <v>1325</v>
      </c>
      <c r="D327" t="s">
        <v>73</v>
      </c>
      <c r="E327" t="s">
        <v>70</v>
      </c>
      <c r="F327">
        <v>3</v>
      </c>
      <c r="G327" s="2">
        <v>101.75</v>
      </c>
      <c r="H327">
        <v>0.01</v>
      </c>
      <c r="I327" t="s">
        <v>71</v>
      </c>
      <c r="J327">
        <v>5</v>
      </c>
      <c r="K327">
        <v>2.2999999999999998</v>
      </c>
      <c r="L327" s="2">
        <v>302.2</v>
      </c>
      <c r="M327">
        <v>2022</v>
      </c>
      <c r="N327">
        <v>11</v>
      </c>
      <c r="O327" t="s">
        <v>90</v>
      </c>
      <c r="P327" s="2">
        <v>305.25</v>
      </c>
      <c r="Q327" s="2">
        <v>3.05</v>
      </c>
      <c r="R327" t="s">
        <v>75</v>
      </c>
      <c r="S327">
        <v>0</v>
      </c>
      <c r="T327">
        <v>0</v>
      </c>
      <c r="U327">
        <f>IF(AND(OR(Dashboard!$D$4="Semua",D327=Dashboard!$D$4),OR(Dashboard!$H$4="Semua",E327=Dashboard!$H$4)),1,0)</f>
        <v>1</v>
      </c>
      <c r="V327">
        <f>IF(U327=1,IF(COUNTIFS($C$2:C327,C327,$U$2:U327,1)=1,1,0),0)</f>
        <v>1</v>
      </c>
    </row>
    <row r="328" spans="1:22" x14ac:dyDescent="0.35">
      <c r="A328">
        <v>10327</v>
      </c>
      <c r="B328" s="1">
        <v>44888</v>
      </c>
      <c r="C328">
        <v>1463</v>
      </c>
      <c r="D328" t="s">
        <v>62</v>
      </c>
      <c r="E328" t="s">
        <v>74</v>
      </c>
      <c r="F328">
        <v>7</v>
      </c>
      <c r="G328" s="2">
        <v>425.69</v>
      </c>
      <c r="H328">
        <v>0.03</v>
      </c>
      <c r="I328" t="s">
        <v>64</v>
      </c>
      <c r="J328">
        <v>8</v>
      </c>
      <c r="K328">
        <v>2.1</v>
      </c>
      <c r="L328" s="2">
        <v>2890.44</v>
      </c>
      <c r="M328">
        <v>2022</v>
      </c>
      <c r="N328">
        <v>11</v>
      </c>
      <c r="O328" t="s">
        <v>90</v>
      </c>
      <c r="P328" s="2">
        <v>2979.83</v>
      </c>
      <c r="Q328" s="2">
        <v>89.39</v>
      </c>
      <c r="R328" t="s">
        <v>75</v>
      </c>
      <c r="S328">
        <v>0</v>
      </c>
      <c r="T328">
        <v>0</v>
      </c>
      <c r="U328">
        <f>IF(AND(OR(Dashboard!$D$4="Semua",D328=Dashboard!$D$4),OR(Dashboard!$H$4="Semua",E328=Dashboard!$H$4)),1,0)</f>
        <v>1</v>
      </c>
      <c r="V328">
        <f>IF(U328=1,IF(COUNTIFS($C$2:C328,C328,$U$2:U328,1)=1,1,0),0)</f>
        <v>1</v>
      </c>
    </row>
    <row r="329" spans="1:22" x14ac:dyDescent="0.35">
      <c r="A329">
        <v>10328</v>
      </c>
      <c r="B329" s="1">
        <v>44889</v>
      </c>
      <c r="C329">
        <v>1348</v>
      </c>
      <c r="D329" t="s">
        <v>67</v>
      </c>
      <c r="E329" t="s">
        <v>78</v>
      </c>
      <c r="F329">
        <v>3</v>
      </c>
      <c r="G329" s="2">
        <v>439.57</v>
      </c>
      <c r="H329">
        <v>0.1</v>
      </c>
      <c r="I329" t="s">
        <v>71</v>
      </c>
      <c r="J329">
        <v>10</v>
      </c>
      <c r="K329">
        <v>1.9</v>
      </c>
      <c r="L329" s="2">
        <v>1186.8399999999999</v>
      </c>
      <c r="M329">
        <v>2022</v>
      </c>
      <c r="N329">
        <v>11</v>
      </c>
      <c r="O329" t="s">
        <v>90</v>
      </c>
      <c r="P329" s="2">
        <v>1318.71</v>
      </c>
      <c r="Q329" s="2">
        <v>131.87</v>
      </c>
      <c r="R329" t="s">
        <v>69</v>
      </c>
      <c r="S329">
        <v>0</v>
      </c>
      <c r="T329">
        <v>0</v>
      </c>
      <c r="U329">
        <f>IF(AND(OR(Dashboard!$D$4="Semua",D329=Dashboard!$D$4),OR(Dashboard!$H$4="Semua",E329=Dashboard!$H$4)),1,0)</f>
        <v>1</v>
      </c>
      <c r="V329">
        <f>IF(U329=1,IF(COUNTIFS($C$2:C329,C329,$U$2:U329,1)=1,1,0),0)</f>
        <v>1</v>
      </c>
    </row>
    <row r="330" spans="1:22" x14ac:dyDescent="0.35">
      <c r="A330">
        <v>10329</v>
      </c>
      <c r="B330" s="1">
        <v>44890</v>
      </c>
      <c r="C330">
        <v>1770</v>
      </c>
      <c r="D330" t="s">
        <v>73</v>
      </c>
      <c r="E330" t="s">
        <v>63</v>
      </c>
      <c r="F330">
        <v>1</v>
      </c>
      <c r="G330" s="2">
        <v>409.43</v>
      </c>
      <c r="H330">
        <v>0.23</v>
      </c>
      <c r="I330" t="s">
        <v>64</v>
      </c>
      <c r="J330">
        <v>5</v>
      </c>
      <c r="K330">
        <v>1</v>
      </c>
      <c r="L330" s="2">
        <v>315.26</v>
      </c>
      <c r="M330">
        <v>2022</v>
      </c>
      <c r="N330">
        <v>11</v>
      </c>
      <c r="O330" t="s">
        <v>90</v>
      </c>
      <c r="P330" s="2">
        <v>409.43</v>
      </c>
      <c r="Q330" s="2">
        <v>94.17</v>
      </c>
      <c r="R330" t="s">
        <v>77</v>
      </c>
      <c r="S330">
        <v>0</v>
      </c>
      <c r="T330">
        <v>0</v>
      </c>
      <c r="U330">
        <f>IF(AND(OR(Dashboard!$D$4="Semua",D330=Dashboard!$D$4),OR(Dashboard!$H$4="Semua",E330=Dashboard!$H$4)),1,0)</f>
        <v>1</v>
      </c>
      <c r="V330">
        <f>IF(U330=1,IF(COUNTIFS($C$2:C330,C330,$U$2:U330,1)=1,1,0),0)</f>
        <v>1</v>
      </c>
    </row>
    <row r="331" spans="1:22" x14ac:dyDescent="0.35">
      <c r="A331">
        <v>10330</v>
      </c>
      <c r="B331" s="1">
        <v>44891</v>
      </c>
      <c r="C331">
        <v>1659</v>
      </c>
      <c r="D331" t="s">
        <v>67</v>
      </c>
      <c r="E331" t="s">
        <v>63</v>
      </c>
      <c r="F331">
        <v>4</v>
      </c>
      <c r="G331" s="2">
        <v>211.61</v>
      </c>
      <c r="H331">
        <v>0.03</v>
      </c>
      <c r="I331" t="s">
        <v>68</v>
      </c>
      <c r="J331">
        <v>9</v>
      </c>
      <c r="K331">
        <v>1</v>
      </c>
      <c r="L331" s="2">
        <v>821.05</v>
      </c>
      <c r="M331">
        <v>2022</v>
      </c>
      <c r="N331">
        <v>11</v>
      </c>
      <c r="O331" t="s">
        <v>90</v>
      </c>
      <c r="P331" s="2">
        <v>846.44</v>
      </c>
      <c r="Q331" s="2">
        <v>25.39</v>
      </c>
      <c r="R331" t="s">
        <v>75</v>
      </c>
      <c r="S331">
        <v>0</v>
      </c>
      <c r="T331">
        <v>0</v>
      </c>
      <c r="U331">
        <f>IF(AND(OR(Dashboard!$D$4="Semua",D331=Dashboard!$D$4),OR(Dashboard!$H$4="Semua",E331=Dashboard!$H$4)),1,0)</f>
        <v>1</v>
      </c>
      <c r="V331">
        <f>IF(U331=1,IF(COUNTIFS($C$2:C331,C331,$U$2:U331,1)=1,1,0),0)</f>
        <v>1</v>
      </c>
    </row>
    <row r="332" spans="1:22" x14ac:dyDescent="0.35">
      <c r="A332">
        <v>10331</v>
      </c>
      <c r="B332" s="1">
        <v>44892</v>
      </c>
      <c r="C332">
        <v>1763</v>
      </c>
      <c r="D332" t="s">
        <v>73</v>
      </c>
      <c r="E332" t="s">
        <v>74</v>
      </c>
      <c r="F332">
        <v>5</v>
      </c>
      <c r="G332" s="2">
        <v>114.32</v>
      </c>
      <c r="H332">
        <v>0.2</v>
      </c>
      <c r="I332" t="s">
        <v>71</v>
      </c>
      <c r="J332">
        <v>1</v>
      </c>
      <c r="K332">
        <v>3.4</v>
      </c>
      <c r="L332" s="2">
        <v>457.28</v>
      </c>
      <c r="M332">
        <v>2022</v>
      </c>
      <c r="N332">
        <v>11</v>
      </c>
      <c r="O332" t="s">
        <v>90</v>
      </c>
      <c r="P332" s="2">
        <v>571.6</v>
      </c>
      <c r="Q332" s="2">
        <v>114.32</v>
      </c>
      <c r="R332" t="s">
        <v>76</v>
      </c>
      <c r="S332">
        <v>0</v>
      </c>
      <c r="T332">
        <v>0</v>
      </c>
      <c r="U332">
        <f>IF(AND(OR(Dashboard!$D$4="Semua",D332=Dashboard!$D$4),OR(Dashboard!$H$4="Semua",E332=Dashboard!$H$4)),1,0)</f>
        <v>1</v>
      </c>
      <c r="V332">
        <f>IF(U332=1,IF(COUNTIFS($C$2:C332,C332,$U$2:U332,1)=1,1,0),0)</f>
        <v>0</v>
      </c>
    </row>
    <row r="333" spans="1:22" x14ac:dyDescent="0.35">
      <c r="A333">
        <v>10332</v>
      </c>
      <c r="B333" s="1">
        <v>44893</v>
      </c>
      <c r="C333">
        <v>1954</v>
      </c>
      <c r="D333" t="s">
        <v>73</v>
      </c>
      <c r="E333" t="s">
        <v>70</v>
      </c>
      <c r="F333">
        <v>7</v>
      </c>
      <c r="G333" s="2">
        <v>354.75</v>
      </c>
      <c r="H333">
        <v>0.04</v>
      </c>
      <c r="I333" t="s">
        <v>64</v>
      </c>
      <c r="J333">
        <v>5</v>
      </c>
      <c r="K333">
        <v>2.2000000000000002</v>
      </c>
      <c r="L333" s="2">
        <v>2383.92</v>
      </c>
      <c r="M333">
        <v>2022</v>
      </c>
      <c r="N333">
        <v>11</v>
      </c>
      <c r="O333" t="s">
        <v>90</v>
      </c>
      <c r="P333" s="2">
        <v>2483.25</v>
      </c>
      <c r="Q333" s="2">
        <v>99.33</v>
      </c>
      <c r="R333" t="s">
        <v>75</v>
      </c>
      <c r="S333">
        <v>0</v>
      </c>
      <c r="T333">
        <v>0</v>
      </c>
      <c r="U333">
        <f>IF(AND(OR(Dashboard!$D$4="Semua",D333=Dashboard!$D$4),OR(Dashboard!$H$4="Semua",E333=Dashboard!$H$4)),1,0)</f>
        <v>1</v>
      </c>
      <c r="V333">
        <f>IF(U333=1,IF(COUNTIFS($C$2:C333,C333,$U$2:U333,1)=1,1,0),0)</f>
        <v>1</v>
      </c>
    </row>
    <row r="334" spans="1:22" x14ac:dyDescent="0.35">
      <c r="A334">
        <v>10333</v>
      </c>
      <c r="B334" s="1">
        <v>44894</v>
      </c>
      <c r="C334">
        <v>1931</v>
      </c>
      <c r="D334" t="s">
        <v>80</v>
      </c>
      <c r="E334" t="s">
        <v>63</v>
      </c>
      <c r="F334">
        <v>1</v>
      </c>
      <c r="G334" s="2">
        <v>297.95</v>
      </c>
      <c r="H334">
        <v>7.0000000000000007E-2</v>
      </c>
      <c r="I334" t="s">
        <v>68</v>
      </c>
      <c r="J334">
        <v>3</v>
      </c>
      <c r="K334">
        <v>1.7</v>
      </c>
      <c r="L334" s="2">
        <v>277.08999999999997</v>
      </c>
      <c r="M334">
        <v>2022</v>
      </c>
      <c r="N334">
        <v>11</v>
      </c>
      <c r="O334" t="s">
        <v>90</v>
      </c>
      <c r="P334" s="2">
        <v>297.95</v>
      </c>
      <c r="Q334" s="2">
        <v>20.86</v>
      </c>
      <c r="R334" t="s">
        <v>69</v>
      </c>
      <c r="S334">
        <v>0</v>
      </c>
      <c r="T334">
        <v>0</v>
      </c>
      <c r="U334">
        <f>IF(AND(OR(Dashboard!$D$4="Semua",D334=Dashboard!$D$4),OR(Dashboard!$H$4="Semua",E334=Dashboard!$H$4)),1,0)</f>
        <v>1</v>
      </c>
      <c r="V334">
        <f>IF(U334=1,IF(COUNTIFS($C$2:C334,C334,$U$2:U334,1)=1,1,0),0)</f>
        <v>0</v>
      </c>
    </row>
    <row r="335" spans="1:22" x14ac:dyDescent="0.35">
      <c r="A335">
        <v>10334</v>
      </c>
      <c r="B335" s="1">
        <v>44895</v>
      </c>
      <c r="C335">
        <v>1402</v>
      </c>
      <c r="D335" t="s">
        <v>73</v>
      </c>
      <c r="E335" t="s">
        <v>78</v>
      </c>
      <c r="F335">
        <v>5</v>
      </c>
      <c r="G335" s="2">
        <v>441.37</v>
      </c>
      <c r="H335">
        <v>0.06</v>
      </c>
      <c r="I335" t="s">
        <v>64</v>
      </c>
      <c r="J335">
        <v>3</v>
      </c>
      <c r="K335">
        <v>3.7</v>
      </c>
      <c r="L335" s="2">
        <v>2074.44</v>
      </c>
      <c r="M335">
        <v>2022</v>
      </c>
      <c r="N335">
        <v>11</v>
      </c>
      <c r="O335" t="s">
        <v>90</v>
      </c>
      <c r="P335" s="2">
        <v>2206.85</v>
      </c>
      <c r="Q335" s="2">
        <v>132.41</v>
      </c>
      <c r="R335" t="s">
        <v>69</v>
      </c>
      <c r="S335">
        <v>0</v>
      </c>
      <c r="T335">
        <v>0</v>
      </c>
      <c r="U335">
        <f>IF(AND(OR(Dashboard!$D$4="Semua",D335=Dashboard!$D$4),OR(Dashboard!$H$4="Semua",E335=Dashboard!$H$4)),1,0)</f>
        <v>1</v>
      </c>
      <c r="V335">
        <f>IF(U335=1,IF(COUNTIFS($C$2:C335,C335,$U$2:U335,1)=1,1,0),0)</f>
        <v>0</v>
      </c>
    </row>
    <row r="336" spans="1:22" x14ac:dyDescent="0.35">
      <c r="A336">
        <v>10335</v>
      </c>
      <c r="B336" s="1">
        <v>44896</v>
      </c>
      <c r="C336">
        <v>1345</v>
      </c>
      <c r="D336" t="s">
        <v>67</v>
      </c>
      <c r="E336" t="s">
        <v>78</v>
      </c>
      <c r="F336">
        <v>1</v>
      </c>
      <c r="G336" s="2">
        <v>273.2</v>
      </c>
      <c r="H336">
        <v>0.02</v>
      </c>
      <c r="I336" t="s">
        <v>68</v>
      </c>
      <c r="J336">
        <v>2</v>
      </c>
      <c r="K336">
        <v>3.1</v>
      </c>
      <c r="L336" s="2">
        <v>267.74</v>
      </c>
      <c r="M336">
        <v>2022</v>
      </c>
      <c r="N336">
        <v>12</v>
      </c>
      <c r="O336" t="s">
        <v>91</v>
      </c>
      <c r="P336" s="2">
        <v>273.2</v>
      </c>
      <c r="Q336" s="2">
        <v>5.46</v>
      </c>
      <c r="R336" t="s">
        <v>75</v>
      </c>
      <c r="S336">
        <v>0</v>
      </c>
      <c r="T336">
        <v>0</v>
      </c>
      <c r="U336">
        <f>IF(AND(OR(Dashboard!$D$4="Semua",D336=Dashboard!$D$4),OR(Dashboard!$H$4="Semua",E336=Dashboard!$H$4)),1,0)</f>
        <v>1</v>
      </c>
      <c r="V336">
        <f>IF(U336=1,IF(COUNTIFS($C$2:C336,C336,$U$2:U336,1)=1,1,0),0)</f>
        <v>0</v>
      </c>
    </row>
    <row r="337" spans="1:22" x14ac:dyDescent="0.35">
      <c r="A337">
        <v>10336</v>
      </c>
      <c r="B337" s="1">
        <v>44897</v>
      </c>
      <c r="C337">
        <v>1962</v>
      </c>
      <c r="D337" t="s">
        <v>67</v>
      </c>
      <c r="E337" t="s">
        <v>63</v>
      </c>
      <c r="F337">
        <v>3</v>
      </c>
      <c r="G337" s="2">
        <v>213.1</v>
      </c>
      <c r="H337">
        <v>0.23</v>
      </c>
      <c r="I337" t="s">
        <v>64</v>
      </c>
      <c r="J337">
        <v>3</v>
      </c>
      <c r="K337">
        <v>4.7</v>
      </c>
      <c r="L337" s="2">
        <v>492.26</v>
      </c>
      <c r="M337">
        <v>2022</v>
      </c>
      <c r="N337">
        <v>12</v>
      </c>
      <c r="O337" t="s">
        <v>91</v>
      </c>
      <c r="P337" s="2">
        <v>639.29999999999995</v>
      </c>
      <c r="Q337" s="2">
        <v>147.04</v>
      </c>
      <c r="R337" t="s">
        <v>77</v>
      </c>
      <c r="S337">
        <v>0</v>
      </c>
      <c r="T337">
        <v>0</v>
      </c>
      <c r="U337">
        <f>IF(AND(OR(Dashboard!$D$4="Semua",D337=Dashboard!$D$4),OR(Dashboard!$H$4="Semua",E337=Dashboard!$H$4)),1,0)</f>
        <v>1</v>
      </c>
      <c r="V337">
        <f>IF(U337=1,IF(COUNTIFS($C$2:C337,C337,$U$2:U337,1)=1,1,0),0)</f>
        <v>1</v>
      </c>
    </row>
    <row r="338" spans="1:22" x14ac:dyDescent="0.35">
      <c r="A338">
        <v>10337</v>
      </c>
      <c r="B338" s="1">
        <v>44898</v>
      </c>
      <c r="C338">
        <v>1510</v>
      </c>
      <c r="D338" t="s">
        <v>73</v>
      </c>
      <c r="E338" t="s">
        <v>70</v>
      </c>
      <c r="F338">
        <v>6</v>
      </c>
      <c r="G338" s="2">
        <v>186.68</v>
      </c>
      <c r="H338">
        <v>0.16</v>
      </c>
      <c r="I338" t="s">
        <v>68</v>
      </c>
      <c r="J338">
        <v>7</v>
      </c>
      <c r="K338">
        <v>4.3</v>
      </c>
      <c r="L338" s="2">
        <v>940.87</v>
      </c>
      <c r="M338">
        <v>2022</v>
      </c>
      <c r="N338">
        <v>12</v>
      </c>
      <c r="O338" t="s">
        <v>91</v>
      </c>
      <c r="P338" s="2">
        <v>1120.08</v>
      </c>
      <c r="Q338" s="2">
        <v>179.21</v>
      </c>
      <c r="R338" t="s">
        <v>76</v>
      </c>
      <c r="S338">
        <v>0</v>
      </c>
      <c r="T338">
        <v>0</v>
      </c>
      <c r="U338">
        <f>IF(AND(OR(Dashboard!$D$4="Semua",D338=Dashboard!$D$4),OR(Dashboard!$H$4="Semua",E338=Dashboard!$H$4)),1,0)</f>
        <v>1</v>
      </c>
      <c r="V338">
        <f>IF(U338=1,IF(COUNTIFS($C$2:C338,C338,$U$2:U338,1)=1,1,0),0)</f>
        <v>0</v>
      </c>
    </row>
    <row r="339" spans="1:22" x14ac:dyDescent="0.35">
      <c r="A339">
        <v>10338</v>
      </c>
      <c r="B339" s="1">
        <v>44899</v>
      </c>
      <c r="C339">
        <v>1146</v>
      </c>
      <c r="D339" t="s">
        <v>62</v>
      </c>
      <c r="E339" t="s">
        <v>70</v>
      </c>
      <c r="F339">
        <v>4</v>
      </c>
      <c r="G339" s="2">
        <v>138.71</v>
      </c>
      <c r="H339">
        <v>0.28999999999999998</v>
      </c>
      <c r="I339" t="s">
        <v>68</v>
      </c>
      <c r="J339">
        <v>8</v>
      </c>
      <c r="K339">
        <v>3.9</v>
      </c>
      <c r="L339" s="2">
        <v>393.94</v>
      </c>
      <c r="M339">
        <v>2022</v>
      </c>
      <c r="N339">
        <v>12</v>
      </c>
      <c r="O339" t="s">
        <v>91</v>
      </c>
      <c r="P339" s="2">
        <v>554.84</v>
      </c>
      <c r="Q339" s="2">
        <v>160.9</v>
      </c>
      <c r="R339" t="s">
        <v>66</v>
      </c>
      <c r="S339">
        <v>0</v>
      </c>
      <c r="T339">
        <v>0</v>
      </c>
      <c r="U339">
        <f>IF(AND(OR(Dashboard!$D$4="Semua",D339=Dashboard!$D$4),OR(Dashboard!$H$4="Semua",E339=Dashboard!$H$4)),1,0)</f>
        <v>1</v>
      </c>
      <c r="V339">
        <f>IF(U339=1,IF(COUNTIFS($C$2:C339,C339,$U$2:U339,1)=1,1,0),0)</f>
        <v>1</v>
      </c>
    </row>
    <row r="340" spans="1:22" x14ac:dyDescent="0.35">
      <c r="A340">
        <v>10339</v>
      </c>
      <c r="B340" s="1">
        <v>44900</v>
      </c>
      <c r="C340">
        <v>1147</v>
      </c>
      <c r="D340" t="s">
        <v>73</v>
      </c>
      <c r="E340" t="s">
        <v>74</v>
      </c>
      <c r="F340">
        <v>3</v>
      </c>
      <c r="G340" s="2">
        <v>170.46</v>
      </c>
      <c r="H340">
        <v>0.03</v>
      </c>
      <c r="I340" t="s">
        <v>64</v>
      </c>
      <c r="J340">
        <v>8</v>
      </c>
      <c r="K340">
        <v>1.5</v>
      </c>
      <c r="L340" s="2">
        <v>496.04</v>
      </c>
      <c r="M340">
        <v>2022</v>
      </c>
      <c r="N340">
        <v>12</v>
      </c>
      <c r="O340" t="s">
        <v>91</v>
      </c>
      <c r="P340" s="2">
        <v>511.38</v>
      </c>
      <c r="Q340" s="2">
        <v>15.34</v>
      </c>
      <c r="R340" t="s">
        <v>75</v>
      </c>
      <c r="S340">
        <v>0</v>
      </c>
      <c r="T340">
        <v>0</v>
      </c>
      <c r="U340">
        <f>IF(AND(OR(Dashboard!$D$4="Semua",D340=Dashboard!$D$4),OR(Dashboard!$H$4="Semua",E340=Dashboard!$H$4)),1,0)</f>
        <v>1</v>
      </c>
      <c r="V340">
        <f>IF(U340=1,IF(COUNTIFS($C$2:C340,C340,$U$2:U340,1)=1,1,0),0)</f>
        <v>1</v>
      </c>
    </row>
    <row r="341" spans="1:22" x14ac:dyDescent="0.35">
      <c r="A341">
        <v>10340</v>
      </c>
      <c r="B341" s="1">
        <v>44901</v>
      </c>
      <c r="C341">
        <v>1863</v>
      </c>
      <c r="D341" t="s">
        <v>73</v>
      </c>
      <c r="E341" t="s">
        <v>74</v>
      </c>
      <c r="F341">
        <v>4</v>
      </c>
      <c r="G341" s="2">
        <v>70.48</v>
      </c>
      <c r="H341">
        <v>0.05</v>
      </c>
      <c r="I341" t="s">
        <v>68</v>
      </c>
      <c r="J341">
        <v>11</v>
      </c>
      <c r="K341">
        <v>3.7</v>
      </c>
      <c r="L341" s="2">
        <v>267.82</v>
      </c>
      <c r="M341">
        <v>2022</v>
      </c>
      <c r="N341">
        <v>12</v>
      </c>
      <c r="O341" t="s">
        <v>91</v>
      </c>
      <c r="P341" s="2">
        <v>281.92</v>
      </c>
      <c r="Q341" s="2">
        <v>14.1</v>
      </c>
      <c r="R341" t="s">
        <v>75</v>
      </c>
      <c r="S341">
        <v>0</v>
      </c>
      <c r="T341">
        <v>0</v>
      </c>
      <c r="U341">
        <f>IF(AND(OR(Dashboard!$D$4="Semua",D341=Dashboard!$D$4),OR(Dashboard!$H$4="Semua",E341=Dashboard!$H$4)),1,0)</f>
        <v>1</v>
      </c>
      <c r="V341">
        <f>IF(U341=1,IF(COUNTIFS($C$2:C341,C341,$U$2:U341,1)=1,1,0),0)</f>
        <v>0</v>
      </c>
    </row>
    <row r="342" spans="1:22" x14ac:dyDescent="0.35">
      <c r="A342">
        <v>10341</v>
      </c>
      <c r="B342" s="1">
        <v>44902</v>
      </c>
      <c r="C342">
        <v>1710</v>
      </c>
      <c r="D342" t="s">
        <v>73</v>
      </c>
      <c r="E342" t="s">
        <v>63</v>
      </c>
      <c r="F342">
        <v>7</v>
      </c>
      <c r="G342" s="2">
        <v>217.91</v>
      </c>
      <c r="H342">
        <v>0.11</v>
      </c>
      <c r="I342" t="s">
        <v>68</v>
      </c>
      <c r="J342">
        <v>8</v>
      </c>
      <c r="K342">
        <v>3.8</v>
      </c>
      <c r="L342" s="2">
        <v>1357.58</v>
      </c>
      <c r="M342">
        <v>2022</v>
      </c>
      <c r="N342">
        <v>12</v>
      </c>
      <c r="O342" t="s">
        <v>91</v>
      </c>
      <c r="P342" s="2">
        <v>1525.37</v>
      </c>
      <c r="Q342" s="2">
        <v>167.79</v>
      </c>
      <c r="R342" t="s">
        <v>79</v>
      </c>
      <c r="S342">
        <v>0</v>
      </c>
      <c r="T342">
        <v>0</v>
      </c>
      <c r="U342">
        <f>IF(AND(OR(Dashboard!$D$4="Semua",D342=Dashboard!$D$4),OR(Dashboard!$H$4="Semua",E342=Dashboard!$H$4)),1,0)</f>
        <v>1</v>
      </c>
      <c r="V342">
        <f>IF(U342=1,IF(COUNTIFS($C$2:C342,C342,$U$2:U342,1)=1,1,0),0)</f>
        <v>1</v>
      </c>
    </row>
    <row r="343" spans="1:22" x14ac:dyDescent="0.35">
      <c r="A343">
        <v>10342</v>
      </c>
      <c r="B343" s="1">
        <v>44903</v>
      </c>
      <c r="C343">
        <v>1819</v>
      </c>
      <c r="D343" t="s">
        <v>73</v>
      </c>
      <c r="E343" t="s">
        <v>74</v>
      </c>
      <c r="F343">
        <v>5</v>
      </c>
      <c r="G343" s="2">
        <v>36.39</v>
      </c>
      <c r="H343">
        <v>0.27</v>
      </c>
      <c r="I343" t="s">
        <v>68</v>
      </c>
      <c r="J343">
        <v>1</v>
      </c>
      <c r="K343">
        <v>4.0999999999999996</v>
      </c>
      <c r="L343" s="2">
        <v>132.82</v>
      </c>
      <c r="M343">
        <v>2022</v>
      </c>
      <c r="N343">
        <v>12</v>
      </c>
      <c r="O343" t="s">
        <v>91</v>
      </c>
      <c r="P343" s="2">
        <v>181.95</v>
      </c>
      <c r="Q343" s="2">
        <v>49.13</v>
      </c>
      <c r="R343" t="s">
        <v>66</v>
      </c>
      <c r="S343">
        <v>0</v>
      </c>
      <c r="T343">
        <v>0</v>
      </c>
      <c r="U343">
        <f>IF(AND(OR(Dashboard!$D$4="Semua",D343=Dashboard!$D$4),OR(Dashboard!$H$4="Semua",E343=Dashboard!$H$4)),1,0)</f>
        <v>1</v>
      </c>
      <c r="V343">
        <f>IF(U343=1,IF(COUNTIFS($C$2:C343,C343,$U$2:U343,1)=1,1,0),0)</f>
        <v>1</v>
      </c>
    </row>
    <row r="344" spans="1:22" x14ac:dyDescent="0.35">
      <c r="A344">
        <v>10343</v>
      </c>
      <c r="B344" s="1">
        <v>44904</v>
      </c>
      <c r="C344">
        <v>1488</v>
      </c>
      <c r="D344" t="s">
        <v>73</v>
      </c>
      <c r="E344" t="s">
        <v>74</v>
      </c>
      <c r="F344">
        <v>1</v>
      </c>
      <c r="G344" s="2">
        <v>124.05</v>
      </c>
      <c r="H344">
        <v>0.11</v>
      </c>
      <c r="I344" t="s">
        <v>71</v>
      </c>
      <c r="J344">
        <v>11</v>
      </c>
      <c r="K344">
        <v>2.1</v>
      </c>
      <c r="L344" s="2">
        <v>110.4</v>
      </c>
      <c r="M344">
        <v>2022</v>
      </c>
      <c r="N344">
        <v>12</v>
      </c>
      <c r="O344" t="s">
        <v>91</v>
      </c>
      <c r="P344" s="2">
        <v>124.05</v>
      </c>
      <c r="Q344" s="2">
        <v>13.65</v>
      </c>
      <c r="R344" t="s">
        <v>79</v>
      </c>
      <c r="S344">
        <v>0</v>
      </c>
      <c r="T344">
        <v>0</v>
      </c>
      <c r="U344">
        <f>IF(AND(OR(Dashboard!$D$4="Semua",D344=Dashboard!$D$4),OR(Dashboard!$H$4="Semua",E344=Dashboard!$H$4)),1,0)</f>
        <v>1</v>
      </c>
      <c r="V344">
        <f>IF(U344=1,IF(COUNTIFS($C$2:C344,C344,$U$2:U344,1)=1,1,0),0)</f>
        <v>1</v>
      </c>
    </row>
    <row r="345" spans="1:22" x14ac:dyDescent="0.35">
      <c r="A345">
        <v>10344</v>
      </c>
      <c r="B345" s="1">
        <v>44905</v>
      </c>
      <c r="C345">
        <v>1928</v>
      </c>
      <c r="D345" t="s">
        <v>80</v>
      </c>
      <c r="E345" t="s">
        <v>74</v>
      </c>
      <c r="F345">
        <v>2</v>
      </c>
      <c r="G345" s="2">
        <v>451.86</v>
      </c>
      <c r="H345">
        <v>0.14000000000000001</v>
      </c>
      <c r="I345" t="s">
        <v>64</v>
      </c>
      <c r="J345">
        <v>7</v>
      </c>
      <c r="K345">
        <v>3.6</v>
      </c>
      <c r="L345" s="2">
        <v>777.2</v>
      </c>
      <c r="M345">
        <v>2022</v>
      </c>
      <c r="N345">
        <v>12</v>
      </c>
      <c r="O345" t="s">
        <v>91</v>
      </c>
      <c r="P345" s="2">
        <v>903.72</v>
      </c>
      <c r="Q345" s="2">
        <v>126.52</v>
      </c>
      <c r="R345" t="s">
        <v>79</v>
      </c>
      <c r="S345">
        <v>0</v>
      </c>
      <c r="T345">
        <v>0</v>
      </c>
      <c r="U345">
        <f>IF(AND(OR(Dashboard!$D$4="Semua",D345=Dashboard!$D$4),OR(Dashboard!$H$4="Semua",E345=Dashboard!$H$4)),1,0)</f>
        <v>1</v>
      </c>
      <c r="V345">
        <f>IF(U345=1,IF(COUNTIFS($C$2:C345,C345,$U$2:U345,1)=1,1,0),0)</f>
        <v>1</v>
      </c>
    </row>
    <row r="346" spans="1:22" x14ac:dyDescent="0.35">
      <c r="A346">
        <v>10345</v>
      </c>
      <c r="B346" s="1">
        <v>44906</v>
      </c>
      <c r="C346">
        <v>1935</v>
      </c>
      <c r="D346" t="s">
        <v>62</v>
      </c>
      <c r="E346" t="s">
        <v>78</v>
      </c>
      <c r="F346">
        <v>2</v>
      </c>
      <c r="G346" s="2">
        <v>205.4</v>
      </c>
      <c r="H346">
        <v>0.11</v>
      </c>
      <c r="I346" t="s">
        <v>68</v>
      </c>
      <c r="J346">
        <v>2</v>
      </c>
      <c r="K346">
        <v>3.5</v>
      </c>
      <c r="L346" s="2">
        <v>365.61</v>
      </c>
      <c r="M346">
        <v>2022</v>
      </c>
      <c r="N346">
        <v>12</v>
      </c>
      <c r="O346" t="s">
        <v>91</v>
      </c>
      <c r="P346" s="2">
        <v>410.8</v>
      </c>
      <c r="Q346" s="2">
        <v>45.19</v>
      </c>
      <c r="R346" t="s">
        <v>79</v>
      </c>
      <c r="S346">
        <v>0</v>
      </c>
      <c r="T346">
        <v>0</v>
      </c>
      <c r="U346">
        <f>IF(AND(OR(Dashboard!$D$4="Semua",D346=Dashboard!$D$4),OR(Dashboard!$H$4="Semua",E346=Dashboard!$H$4)),1,0)</f>
        <v>1</v>
      </c>
      <c r="V346">
        <f>IF(U346=1,IF(COUNTIFS($C$2:C346,C346,$U$2:U346,1)=1,1,0),0)</f>
        <v>1</v>
      </c>
    </row>
    <row r="347" spans="1:22" x14ac:dyDescent="0.35">
      <c r="A347">
        <v>10346</v>
      </c>
      <c r="B347" s="1">
        <v>44907</v>
      </c>
      <c r="C347">
        <v>1639</v>
      </c>
      <c r="D347" t="s">
        <v>73</v>
      </c>
      <c r="E347" t="s">
        <v>74</v>
      </c>
      <c r="F347">
        <v>4</v>
      </c>
      <c r="G347" s="2">
        <v>405.92</v>
      </c>
      <c r="H347">
        <v>0.03</v>
      </c>
      <c r="I347" t="s">
        <v>71</v>
      </c>
      <c r="J347">
        <v>11</v>
      </c>
      <c r="K347">
        <v>2.5</v>
      </c>
      <c r="L347" s="2">
        <v>1574.97</v>
      </c>
      <c r="M347">
        <v>2022</v>
      </c>
      <c r="N347">
        <v>12</v>
      </c>
      <c r="O347" t="s">
        <v>91</v>
      </c>
      <c r="P347" s="2">
        <v>1623.68</v>
      </c>
      <c r="Q347" s="2">
        <v>48.71</v>
      </c>
      <c r="R347" t="s">
        <v>75</v>
      </c>
      <c r="S347">
        <v>0</v>
      </c>
      <c r="T347">
        <v>0</v>
      </c>
      <c r="U347">
        <f>IF(AND(OR(Dashboard!$D$4="Semua",D347=Dashboard!$D$4),OR(Dashboard!$H$4="Semua",E347=Dashboard!$H$4)),1,0)</f>
        <v>1</v>
      </c>
      <c r="V347">
        <f>IF(U347=1,IF(COUNTIFS($C$2:C347,C347,$U$2:U347,1)=1,1,0),0)</f>
        <v>0</v>
      </c>
    </row>
    <row r="348" spans="1:22" x14ac:dyDescent="0.35">
      <c r="A348">
        <v>10347</v>
      </c>
      <c r="B348" s="1">
        <v>44908</v>
      </c>
      <c r="C348">
        <v>1550</v>
      </c>
      <c r="D348" t="s">
        <v>80</v>
      </c>
      <c r="E348" t="s">
        <v>63</v>
      </c>
      <c r="F348">
        <v>6</v>
      </c>
      <c r="G348" s="2">
        <v>434.38</v>
      </c>
      <c r="H348">
        <v>0.33</v>
      </c>
      <c r="I348" t="s">
        <v>68</v>
      </c>
      <c r="J348">
        <v>10</v>
      </c>
      <c r="K348">
        <v>3.7</v>
      </c>
      <c r="L348" s="2">
        <v>1746.21</v>
      </c>
      <c r="M348">
        <v>2022</v>
      </c>
      <c r="N348">
        <v>12</v>
      </c>
      <c r="O348" t="s">
        <v>91</v>
      </c>
      <c r="P348" s="2">
        <v>2606.2800000000002</v>
      </c>
      <c r="Q348" s="2">
        <v>860.07</v>
      </c>
      <c r="R348" t="s">
        <v>72</v>
      </c>
      <c r="S348">
        <v>0</v>
      </c>
      <c r="T348">
        <v>0</v>
      </c>
      <c r="U348">
        <f>IF(AND(OR(Dashboard!$D$4="Semua",D348=Dashboard!$D$4),OR(Dashboard!$H$4="Semua",E348=Dashboard!$H$4)),1,0)</f>
        <v>1</v>
      </c>
      <c r="V348">
        <f>IF(U348=1,IF(COUNTIFS($C$2:C348,C348,$U$2:U348,1)=1,1,0),0)</f>
        <v>1</v>
      </c>
    </row>
    <row r="349" spans="1:22" x14ac:dyDescent="0.35">
      <c r="A349">
        <v>10348</v>
      </c>
      <c r="B349" s="1">
        <v>44909</v>
      </c>
      <c r="C349">
        <v>1337</v>
      </c>
      <c r="D349" t="s">
        <v>80</v>
      </c>
      <c r="E349" t="s">
        <v>70</v>
      </c>
      <c r="F349">
        <v>6</v>
      </c>
      <c r="G349" s="2">
        <v>354.99</v>
      </c>
      <c r="H349">
        <v>0.19</v>
      </c>
      <c r="I349" t="s">
        <v>71</v>
      </c>
      <c r="J349">
        <v>4</v>
      </c>
      <c r="K349">
        <v>1.3</v>
      </c>
      <c r="L349" s="2">
        <v>1725.25</v>
      </c>
      <c r="M349">
        <v>2022</v>
      </c>
      <c r="N349">
        <v>12</v>
      </c>
      <c r="O349" t="s">
        <v>91</v>
      </c>
      <c r="P349" s="2">
        <v>2129.94</v>
      </c>
      <c r="Q349" s="2">
        <v>404.69</v>
      </c>
      <c r="R349" t="s">
        <v>76</v>
      </c>
      <c r="S349">
        <v>0</v>
      </c>
      <c r="T349">
        <v>0</v>
      </c>
      <c r="U349">
        <f>IF(AND(OR(Dashboard!$D$4="Semua",D349=Dashboard!$D$4),OR(Dashboard!$H$4="Semua",E349=Dashboard!$H$4)),1,0)</f>
        <v>1</v>
      </c>
      <c r="V349">
        <f>IF(U349=1,IF(COUNTIFS($C$2:C349,C349,$U$2:U349,1)=1,1,0),0)</f>
        <v>0</v>
      </c>
    </row>
    <row r="350" spans="1:22" x14ac:dyDescent="0.35">
      <c r="A350">
        <v>10349</v>
      </c>
      <c r="B350" s="1">
        <v>44910</v>
      </c>
      <c r="C350">
        <v>1871</v>
      </c>
      <c r="D350" t="s">
        <v>80</v>
      </c>
      <c r="E350" t="s">
        <v>74</v>
      </c>
      <c r="F350">
        <v>4</v>
      </c>
      <c r="G350" s="2">
        <v>575.84</v>
      </c>
      <c r="H350">
        <v>0.28000000000000003</v>
      </c>
      <c r="I350" t="s">
        <v>68</v>
      </c>
      <c r="J350">
        <v>5</v>
      </c>
      <c r="K350">
        <v>3.6</v>
      </c>
      <c r="L350" s="2">
        <v>1658.42</v>
      </c>
      <c r="M350">
        <v>2022</v>
      </c>
      <c r="N350">
        <v>12</v>
      </c>
      <c r="O350" t="s">
        <v>91</v>
      </c>
      <c r="P350" s="2">
        <v>2303.36</v>
      </c>
      <c r="Q350" s="2">
        <v>644.94000000000005</v>
      </c>
      <c r="R350" t="s">
        <v>66</v>
      </c>
      <c r="S350">
        <v>0</v>
      </c>
      <c r="T350">
        <v>0</v>
      </c>
      <c r="U350">
        <f>IF(AND(OR(Dashboard!$D$4="Semua",D350=Dashboard!$D$4),OR(Dashboard!$H$4="Semua",E350=Dashboard!$H$4)),1,0)</f>
        <v>1</v>
      </c>
      <c r="V350">
        <f>IF(U350=1,IF(COUNTIFS($C$2:C350,C350,$U$2:U350,1)=1,1,0),0)</f>
        <v>0</v>
      </c>
    </row>
    <row r="351" spans="1:22" x14ac:dyDescent="0.35">
      <c r="A351">
        <v>10350</v>
      </c>
      <c r="B351" s="1">
        <v>44911</v>
      </c>
      <c r="C351">
        <v>1640</v>
      </c>
      <c r="D351" t="s">
        <v>67</v>
      </c>
      <c r="E351" t="s">
        <v>70</v>
      </c>
      <c r="F351">
        <v>3</v>
      </c>
      <c r="G351" s="2">
        <v>27.54</v>
      </c>
      <c r="H351">
        <v>0.23</v>
      </c>
      <c r="I351" t="s">
        <v>68</v>
      </c>
      <c r="J351">
        <v>1</v>
      </c>
      <c r="K351">
        <v>3.4</v>
      </c>
      <c r="L351" s="2">
        <v>63.62</v>
      </c>
      <c r="M351">
        <v>2022</v>
      </c>
      <c r="N351">
        <v>12</v>
      </c>
      <c r="O351" t="s">
        <v>91</v>
      </c>
      <c r="P351" s="2">
        <v>82.62</v>
      </c>
      <c r="Q351" s="2">
        <v>19</v>
      </c>
      <c r="R351" t="s">
        <v>77</v>
      </c>
      <c r="S351">
        <v>0</v>
      </c>
      <c r="T351">
        <v>0</v>
      </c>
      <c r="U351">
        <f>IF(AND(OR(Dashboard!$D$4="Semua",D351=Dashboard!$D$4),OR(Dashboard!$H$4="Semua",E351=Dashboard!$H$4)),1,0)</f>
        <v>1</v>
      </c>
      <c r="V351">
        <f>IF(U351=1,IF(COUNTIFS($C$2:C351,C351,$U$2:U351,1)=1,1,0),0)</f>
        <v>1</v>
      </c>
    </row>
    <row r="352" spans="1:22" x14ac:dyDescent="0.35">
      <c r="A352">
        <v>10351</v>
      </c>
      <c r="B352" s="1">
        <v>44912</v>
      </c>
      <c r="C352">
        <v>1778</v>
      </c>
      <c r="D352" t="s">
        <v>73</v>
      </c>
      <c r="E352" t="s">
        <v>74</v>
      </c>
      <c r="F352">
        <v>2</v>
      </c>
      <c r="G352" s="2">
        <v>447.11</v>
      </c>
      <c r="H352">
        <v>0.18</v>
      </c>
      <c r="I352" t="s">
        <v>68</v>
      </c>
      <c r="J352">
        <v>4</v>
      </c>
      <c r="K352">
        <v>1.8</v>
      </c>
      <c r="L352" s="2">
        <v>733.26</v>
      </c>
      <c r="M352">
        <v>2022</v>
      </c>
      <c r="N352">
        <v>12</v>
      </c>
      <c r="O352" t="s">
        <v>91</v>
      </c>
      <c r="P352" s="2">
        <v>894.22</v>
      </c>
      <c r="Q352" s="2">
        <v>160.96</v>
      </c>
      <c r="R352" t="s">
        <v>76</v>
      </c>
      <c r="S352">
        <v>0</v>
      </c>
      <c r="T352">
        <v>0</v>
      </c>
      <c r="U352">
        <f>IF(AND(OR(Dashboard!$D$4="Semua",D352=Dashboard!$D$4),OR(Dashboard!$H$4="Semua",E352=Dashboard!$H$4)),1,0)</f>
        <v>1</v>
      </c>
      <c r="V352">
        <f>IF(U352=1,IF(COUNTIFS($C$2:C352,C352,$U$2:U352,1)=1,1,0),0)</f>
        <v>1</v>
      </c>
    </row>
    <row r="353" spans="1:22" x14ac:dyDescent="0.35">
      <c r="A353">
        <v>10352</v>
      </c>
      <c r="B353" s="1">
        <v>44913</v>
      </c>
      <c r="C353">
        <v>1987</v>
      </c>
      <c r="D353" t="s">
        <v>73</v>
      </c>
      <c r="E353" t="s">
        <v>63</v>
      </c>
      <c r="F353">
        <v>3</v>
      </c>
      <c r="G353" s="2">
        <v>575.89</v>
      </c>
      <c r="H353">
        <v>0.03</v>
      </c>
      <c r="I353" t="s">
        <v>71</v>
      </c>
      <c r="J353">
        <v>4</v>
      </c>
      <c r="K353">
        <v>4.3</v>
      </c>
      <c r="L353" s="2">
        <v>1675.84</v>
      </c>
      <c r="M353">
        <v>2022</v>
      </c>
      <c r="N353">
        <v>12</v>
      </c>
      <c r="O353" t="s">
        <v>91</v>
      </c>
      <c r="P353" s="2">
        <v>1727.67</v>
      </c>
      <c r="Q353" s="2">
        <v>51.83</v>
      </c>
      <c r="R353" t="s">
        <v>75</v>
      </c>
      <c r="S353">
        <v>0</v>
      </c>
      <c r="T353">
        <v>0</v>
      </c>
      <c r="U353">
        <f>IF(AND(OR(Dashboard!$D$4="Semua",D353=Dashboard!$D$4),OR(Dashboard!$H$4="Semua",E353=Dashboard!$H$4)),1,0)</f>
        <v>1</v>
      </c>
      <c r="V353">
        <f>IF(U353=1,IF(COUNTIFS($C$2:C353,C353,$U$2:U353,1)=1,1,0),0)</f>
        <v>1</v>
      </c>
    </row>
    <row r="354" spans="1:22" x14ac:dyDescent="0.35">
      <c r="A354">
        <v>10353</v>
      </c>
      <c r="B354" s="1">
        <v>44914</v>
      </c>
      <c r="C354">
        <v>1952</v>
      </c>
      <c r="D354" t="s">
        <v>80</v>
      </c>
      <c r="E354" t="s">
        <v>78</v>
      </c>
      <c r="F354">
        <v>5</v>
      </c>
      <c r="G354" s="2">
        <v>519.42999999999995</v>
      </c>
      <c r="H354">
        <v>0.22</v>
      </c>
      <c r="I354" t="s">
        <v>64</v>
      </c>
      <c r="J354">
        <v>9</v>
      </c>
      <c r="K354">
        <v>4.5</v>
      </c>
      <c r="L354" s="2">
        <v>2025.78</v>
      </c>
      <c r="M354">
        <v>2022</v>
      </c>
      <c r="N354">
        <v>12</v>
      </c>
      <c r="O354" t="s">
        <v>91</v>
      </c>
      <c r="P354" s="2">
        <v>2597.15</v>
      </c>
      <c r="Q354" s="2">
        <v>571.37</v>
      </c>
      <c r="R354" t="s">
        <v>77</v>
      </c>
      <c r="S354">
        <v>0</v>
      </c>
      <c r="T354">
        <v>0</v>
      </c>
      <c r="U354">
        <f>IF(AND(OR(Dashboard!$D$4="Semua",D354=Dashboard!$D$4),OR(Dashboard!$H$4="Semua",E354=Dashboard!$H$4)),1,0)</f>
        <v>1</v>
      </c>
      <c r="V354">
        <f>IF(U354=1,IF(COUNTIFS($C$2:C354,C354,$U$2:U354,1)=1,1,0),0)</f>
        <v>0</v>
      </c>
    </row>
    <row r="355" spans="1:22" x14ac:dyDescent="0.35">
      <c r="A355">
        <v>10354</v>
      </c>
      <c r="B355" s="1">
        <v>44915</v>
      </c>
      <c r="C355">
        <v>1472</v>
      </c>
      <c r="D355" t="s">
        <v>80</v>
      </c>
      <c r="E355" t="s">
        <v>63</v>
      </c>
      <c r="F355">
        <v>2</v>
      </c>
      <c r="G355" s="2">
        <v>113.22</v>
      </c>
      <c r="H355">
        <v>0.05</v>
      </c>
      <c r="I355" t="s">
        <v>71</v>
      </c>
      <c r="J355">
        <v>9</v>
      </c>
      <c r="K355">
        <v>1.8</v>
      </c>
      <c r="L355" s="2">
        <v>215.12</v>
      </c>
      <c r="M355">
        <v>2022</v>
      </c>
      <c r="N355">
        <v>12</v>
      </c>
      <c r="O355" t="s">
        <v>91</v>
      </c>
      <c r="P355" s="2">
        <v>226.44</v>
      </c>
      <c r="Q355" s="2">
        <v>11.32</v>
      </c>
      <c r="R355" t="s">
        <v>75</v>
      </c>
      <c r="S355">
        <v>0</v>
      </c>
      <c r="T355">
        <v>0</v>
      </c>
      <c r="U355">
        <f>IF(AND(OR(Dashboard!$D$4="Semua",D355=Dashboard!$D$4),OR(Dashboard!$H$4="Semua",E355=Dashboard!$H$4)),1,0)</f>
        <v>1</v>
      </c>
      <c r="V355">
        <f>IF(U355=1,IF(COUNTIFS($C$2:C355,C355,$U$2:U355,1)=1,1,0),0)</f>
        <v>0</v>
      </c>
    </row>
    <row r="356" spans="1:22" x14ac:dyDescent="0.35">
      <c r="A356">
        <v>10355</v>
      </c>
      <c r="B356" s="1">
        <v>44916</v>
      </c>
      <c r="C356">
        <v>1945</v>
      </c>
      <c r="D356" t="s">
        <v>73</v>
      </c>
      <c r="E356" t="s">
        <v>78</v>
      </c>
      <c r="F356">
        <v>5</v>
      </c>
      <c r="G356" s="2">
        <v>206.19</v>
      </c>
      <c r="H356">
        <v>0.15</v>
      </c>
      <c r="I356" t="s">
        <v>68</v>
      </c>
      <c r="J356">
        <v>11</v>
      </c>
      <c r="K356">
        <v>1.3</v>
      </c>
      <c r="L356" s="2">
        <v>876.31</v>
      </c>
      <c r="M356">
        <v>2022</v>
      </c>
      <c r="N356">
        <v>12</v>
      </c>
      <c r="O356" t="s">
        <v>91</v>
      </c>
      <c r="P356" s="2">
        <v>1030.95</v>
      </c>
      <c r="Q356" s="2">
        <v>154.63999999999999</v>
      </c>
      <c r="R356" t="s">
        <v>79</v>
      </c>
      <c r="S356">
        <v>0</v>
      </c>
      <c r="T356">
        <v>0</v>
      </c>
      <c r="U356">
        <f>IF(AND(OR(Dashboard!$D$4="Semua",D356=Dashboard!$D$4),OR(Dashboard!$H$4="Semua",E356=Dashboard!$H$4)),1,0)</f>
        <v>1</v>
      </c>
      <c r="V356">
        <f>IF(U356=1,IF(COUNTIFS($C$2:C356,C356,$U$2:U356,1)=1,1,0),0)</f>
        <v>1</v>
      </c>
    </row>
    <row r="357" spans="1:22" x14ac:dyDescent="0.35">
      <c r="A357">
        <v>10356</v>
      </c>
      <c r="B357" s="1">
        <v>44917</v>
      </c>
      <c r="C357">
        <v>1150</v>
      </c>
      <c r="D357" t="s">
        <v>67</v>
      </c>
      <c r="E357" t="s">
        <v>74</v>
      </c>
      <c r="F357">
        <v>1</v>
      </c>
      <c r="G357" s="2">
        <v>115.88</v>
      </c>
      <c r="H357">
        <v>0.22</v>
      </c>
      <c r="I357" t="s">
        <v>71</v>
      </c>
      <c r="J357">
        <v>10</v>
      </c>
      <c r="K357">
        <v>3.4</v>
      </c>
      <c r="L357" s="2">
        <v>90.39</v>
      </c>
      <c r="M357">
        <v>2022</v>
      </c>
      <c r="N357">
        <v>12</v>
      </c>
      <c r="O357" t="s">
        <v>91</v>
      </c>
      <c r="P357" s="2">
        <v>115.88</v>
      </c>
      <c r="Q357" s="2">
        <v>25.49</v>
      </c>
      <c r="R357" t="s">
        <v>77</v>
      </c>
      <c r="S357">
        <v>0</v>
      </c>
      <c r="T357">
        <v>0</v>
      </c>
      <c r="U357">
        <f>IF(AND(OR(Dashboard!$D$4="Semua",D357=Dashboard!$D$4),OR(Dashboard!$H$4="Semua",E357=Dashboard!$H$4)),1,0)</f>
        <v>1</v>
      </c>
      <c r="V357">
        <f>IF(U357=1,IF(COUNTIFS($C$2:C357,C357,$U$2:U357,1)=1,1,0),0)</f>
        <v>1</v>
      </c>
    </row>
    <row r="358" spans="1:22" x14ac:dyDescent="0.35">
      <c r="A358">
        <v>10357</v>
      </c>
      <c r="B358" s="1">
        <v>44918</v>
      </c>
      <c r="C358">
        <v>1414</v>
      </c>
      <c r="D358" t="s">
        <v>62</v>
      </c>
      <c r="E358" t="s">
        <v>74</v>
      </c>
      <c r="F358">
        <v>3</v>
      </c>
      <c r="G358" s="2">
        <v>366.77</v>
      </c>
      <c r="H358">
        <v>0.27</v>
      </c>
      <c r="I358" t="s">
        <v>71</v>
      </c>
      <c r="J358">
        <v>1</v>
      </c>
      <c r="K358">
        <v>2.9</v>
      </c>
      <c r="L358" s="2">
        <v>803.23</v>
      </c>
      <c r="M358">
        <v>2022</v>
      </c>
      <c r="N358">
        <v>12</v>
      </c>
      <c r="O358" t="s">
        <v>91</v>
      </c>
      <c r="P358" s="2">
        <v>1100.31</v>
      </c>
      <c r="Q358" s="2">
        <v>297.08</v>
      </c>
      <c r="R358" t="s">
        <v>66</v>
      </c>
      <c r="S358">
        <v>0</v>
      </c>
      <c r="T358">
        <v>0</v>
      </c>
      <c r="U358">
        <f>IF(AND(OR(Dashboard!$D$4="Semua",D358=Dashboard!$D$4),OR(Dashboard!$H$4="Semua",E358=Dashboard!$H$4)),1,0)</f>
        <v>1</v>
      </c>
      <c r="V358">
        <f>IF(U358=1,IF(COUNTIFS($C$2:C358,C358,$U$2:U358,1)=1,1,0),0)</f>
        <v>1</v>
      </c>
    </row>
    <row r="359" spans="1:22" x14ac:dyDescent="0.35">
      <c r="A359">
        <v>10358</v>
      </c>
      <c r="B359" s="1">
        <v>44919</v>
      </c>
      <c r="C359">
        <v>1989</v>
      </c>
      <c r="D359" t="s">
        <v>80</v>
      </c>
      <c r="E359" t="s">
        <v>78</v>
      </c>
      <c r="F359">
        <v>4</v>
      </c>
      <c r="G359" s="2">
        <v>431.63</v>
      </c>
      <c r="H359">
        <v>0.24</v>
      </c>
      <c r="I359" t="s">
        <v>68</v>
      </c>
      <c r="J359">
        <v>8</v>
      </c>
      <c r="K359">
        <v>2.7</v>
      </c>
      <c r="L359" s="2">
        <v>1312.16</v>
      </c>
      <c r="M359">
        <v>2022</v>
      </c>
      <c r="N359">
        <v>12</v>
      </c>
      <c r="O359" t="s">
        <v>91</v>
      </c>
      <c r="P359" s="2">
        <v>1726.52</v>
      </c>
      <c r="Q359" s="2">
        <v>414.36</v>
      </c>
      <c r="R359" t="s">
        <v>77</v>
      </c>
      <c r="S359">
        <v>0</v>
      </c>
      <c r="T359">
        <v>0</v>
      </c>
      <c r="U359">
        <f>IF(AND(OR(Dashboard!$D$4="Semua",D359=Dashboard!$D$4),OR(Dashboard!$H$4="Semua",E359=Dashboard!$H$4)),1,0)</f>
        <v>1</v>
      </c>
      <c r="V359">
        <f>IF(U359=1,IF(COUNTIFS($C$2:C359,C359,$U$2:U359,1)=1,1,0),0)</f>
        <v>1</v>
      </c>
    </row>
    <row r="360" spans="1:22" x14ac:dyDescent="0.35">
      <c r="A360">
        <v>10359</v>
      </c>
      <c r="B360" s="1">
        <v>44920</v>
      </c>
      <c r="C360">
        <v>1297</v>
      </c>
      <c r="D360" t="s">
        <v>62</v>
      </c>
      <c r="E360" t="s">
        <v>63</v>
      </c>
      <c r="F360">
        <v>2</v>
      </c>
      <c r="G360" s="2">
        <v>200.49</v>
      </c>
      <c r="H360">
        <v>0.24</v>
      </c>
      <c r="I360" t="s">
        <v>68</v>
      </c>
      <c r="J360">
        <v>4</v>
      </c>
      <c r="K360">
        <v>4</v>
      </c>
      <c r="L360" s="2">
        <v>304.74</v>
      </c>
      <c r="M360">
        <v>2022</v>
      </c>
      <c r="N360">
        <v>12</v>
      </c>
      <c r="O360" t="s">
        <v>91</v>
      </c>
      <c r="P360" s="2">
        <v>400.98</v>
      </c>
      <c r="Q360" s="2">
        <v>96.24</v>
      </c>
      <c r="R360" t="s">
        <v>77</v>
      </c>
      <c r="S360">
        <v>0</v>
      </c>
      <c r="T360">
        <v>0</v>
      </c>
      <c r="U360">
        <f>IF(AND(OR(Dashboard!$D$4="Semua",D360=Dashboard!$D$4),OR(Dashboard!$H$4="Semua",E360=Dashboard!$H$4)),1,0)</f>
        <v>1</v>
      </c>
      <c r="V360">
        <f>IF(U360=1,IF(COUNTIFS($C$2:C360,C360,$U$2:U360,1)=1,1,0),0)</f>
        <v>1</v>
      </c>
    </row>
    <row r="361" spans="1:22" x14ac:dyDescent="0.35">
      <c r="A361">
        <v>10360</v>
      </c>
      <c r="B361" s="1">
        <v>44921</v>
      </c>
      <c r="C361">
        <v>1610</v>
      </c>
      <c r="D361" t="s">
        <v>80</v>
      </c>
      <c r="E361" t="s">
        <v>63</v>
      </c>
      <c r="F361">
        <v>3</v>
      </c>
      <c r="G361" s="2">
        <v>330.61</v>
      </c>
      <c r="H361">
        <v>0.05</v>
      </c>
      <c r="I361" t="s">
        <v>68</v>
      </c>
      <c r="J361">
        <v>4</v>
      </c>
      <c r="K361">
        <v>4.9000000000000004</v>
      </c>
      <c r="L361" s="2">
        <v>942.24</v>
      </c>
      <c r="M361">
        <v>2022</v>
      </c>
      <c r="N361">
        <v>12</v>
      </c>
      <c r="O361" t="s">
        <v>91</v>
      </c>
      <c r="P361" s="2">
        <v>991.83</v>
      </c>
      <c r="Q361" s="2">
        <v>49.59</v>
      </c>
      <c r="R361" t="s">
        <v>75</v>
      </c>
      <c r="S361">
        <v>0</v>
      </c>
      <c r="T361">
        <v>0</v>
      </c>
      <c r="U361">
        <f>IF(AND(OR(Dashboard!$D$4="Semua",D361=Dashboard!$D$4),OR(Dashboard!$H$4="Semua",E361=Dashboard!$H$4)),1,0)</f>
        <v>1</v>
      </c>
      <c r="V361">
        <f>IF(U361=1,IF(COUNTIFS($C$2:C361,C361,$U$2:U361,1)=1,1,0),0)</f>
        <v>1</v>
      </c>
    </row>
    <row r="362" spans="1:22" x14ac:dyDescent="0.35">
      <c r="A362">
        <v>10361</v>
      </c>
      <c r="B362" s="1">
        <v>44922</v>
      </c>
      <c r="C362">
        <v>1262</v>
      </c>
      <c r="D362" t="s">
        <v>67</v>
      </c>
      <c r="E362" t="s">
        <v>78</v>
      </c>
      <c r="F362">
        <v>4</v>
      </c>
      <c r="G362" s="2">
        <v>419.19</v>
      </c>
      <c r="H362">
        <v>0.12</v>
      </c>
      <c r="I362" t="s">
        <v>71</v>
      </c>
      <c r="J362">
        <v>5</v>
      </c>
      <c r="K362">
        <v>2.9</v>
      </c>
      <c r="L362" s="2">
        <v>1475.55</v>
      </c>
      <c r="M362">
        <v>2022</v>
      </c>
      <c r="N362">
        <v>12</v>
      </c>
      <c r="O362" t="s">
        <v>91</v>
      </c>
      <c r="P362" s="2">
        <v>1676.76</v>
      </c>
      <c r="Q362" s="2">
        <v>201.21</v>
      </c>
      <c r="R362" t="s">
        <v>79</v>
      </c>
      <c r="S362">
        <v>0</v>
      </c>
      <c r="T362">
        <v>0</v>
      </c>
      <c r="U362">
        <f>IF(AND(OR(Dashboard!$D$4="Semua",D362=Dashboard!$D$4),OR(Dashboard!$H$4="Semua",E362=Dashboard!$H$4)),1,0)</f>
        <v>1</v>
      </c>
      <c r="V362">
        <f>IF(U362=1,IF(COUNTIFS($C$2:C362,C362,$U$2:U362,1)=1,1,0),0)</f>
        <v>1</v>
      </c>
    </row>
    <row r="363" spans="1:22" x14ac:dyDescent="0.35">
      <c r="A363">
        <v>10362</v>
      </c>
      <c r="B363" s="1">
        <v>44923</v>
      </c>
      <c r="C363">
        <v>1763</v>
      </c>
      <c r="D363" t="s">
        <v>67</v>
      </c>
      <c r="E363" t="s">
        <v>74</v>
      </c>
      <c r="F363">
        <v>1</v>
      </c>
      <c r="G363" s="2">
        <v>261.48</v>
      </c>
      <c r="H363">
        <v>0.02</v>
      </c>
      <c r="I363" t="s">
        <v>71</v>
      </c>
      <c r="J363">
        <v>2</v>
      </c>
      <c r="K363">
        <v>1</v>
      </c>
      <c r="L363" s="2">
        <v>256.25</v>
      </c>
      <c r="M363">
        <v>2022</v>
      </c>
      <c r="N363">
        <v>12</v>
      </c>
      <c r="O363" t="s">
        <v>91</v>
      </c>
      <c r="P363" s="2">
        <v>261.48</v>
      </c>
      <c r="Q363" s="2">
        <v>5.23</v>
      </c>
      <c r="R363" t="s">
        <v>75</v>
      </c>
      <c r="S363">
        <v>0</v>
      </c>
      <c r="T363">
        <v>0</v>
      </c>
      <c r="U363">
        <f>IF(AND(OR(Dashboard!$D$4="Semua",D363=Dashboard!$D$4),OR(Dashboard!$H$4="Semua",E363=Dashboard!$H$4)),1,0)</f>
        <v>1</v>
      </c>
      <c r="V363">
        <f>IF(U363=1,IF(COUNTIFS($C$2:C363,C363,$U$2:U363,1)=1,1,0),0)</f>
        <v>0</v>
      </c>
    </row>
    <row r="364" spans="1:22" x14ac:dyDescent="0.35">
      <c r="A364">
        <v>10363</v>
      </c>
      <c r="B364" s="1">
        <v>44924</v>
      </c>
      <c r="C364">
        <v>1143</v>
      </c>
      <c r="D364" t="s">
        <v>80</v>
      </c>
      <c r="E364" t="s">
        <v>78</v>
      </c>
      <c r="F364">
        <v>2</v>
      </c>
      <c r="G364" s="2">
        <v>514.6</v>
      </c>
      <c r="H364">
        <v>0.25</v>
      </c>
      <c r="I364" t="s">
        <v>71</v>
      </c>
      <c r="J364">
        <v>1</v>
      </c>
      <c r="K364">
        <v>3.4</v>
      </c>
      <c r="L364" s="2">
        <v>771.9</v>
      </c>
      <c r="M364">
        <v>2022</v>
      </c>
      <c r="N364">
        <v>12</v>
      </c>
      <c r="O364" t="s">
        <v>91</v>
      </c>
      <c r="P364" s="2">
        <v>1029.2</v>
      </c>
      <c r="Q364" s="2">
        <v>257.3</v>
      </c>
      <c r="R364" t="s">
        <v>77</v>
      </c>
      <c r="S364">
        <v>0</v>
      </c>
      <c r="T364">
        <v>0</v>
      </c>
      <c r="U364">
        <f>IF(AND(OR(Dashboard!$D$4="Semua",D364=Dashboard!$D$4),OR(Dashboard!$H$4="Semua",E364=Dashboard!$H$4)),1,0)</f>
        <v>1</v>
      </c>
      <c r="V364">
        <f>IF(U364=1,IF(COUNTIFS($C$2:C364,C364,$U$2:U364,1)=1,1,0),0)</f>
        <v>0</v>
      </c>
    </row>
    <row r="365" spans="1:22" x14ac:dyDescent="0.35">
      <c r="A365">
        <v>10364</v>
      </c>
      <c r="B365" s="1">
        <v>44925</v>
      </c>
      <c r="C365">
        <v>1345</v>
      </c>
      <c r="D365" t="s">
        <v>73</v>
      </c>
      <c r="E365" t="s">
        <v>74</v>
      </c>
      <c r="F365">
        <v>5</v>
      </c>
      <c r="G365" s="2">
        <v>466.36</v>
      </c>
      <c r="H365">
        <v>0.33</v>
      </c>
      <c r="I365" t="s">
        <v>68</v>
      </c>
      <c r="J365">
        <v>5</v>
      </c>
      <c r="K365">
        <v>3.6</v>
      </c>
      <c r="L365" s="2">
        <v>1562.31</v>
      </c>
      <c r="M365">
        <v>2022</v>
      </c>
      <c r="N365">
        <v>12</v>
      </c>
      <c r="O365" t="s">
        <v>91</v>
      </c>
      <c r="P365" s="2">
        <v>2331.8000000000002</v>
      </c>
      <c r="Q365" s="2">
        <v>769.49</v>
      </c>
      <c r="R365" t="s">
        <v>72</v>
      </c>
      <c r="S365">
        <v>0</v>
      </c>
      <c r="T365">
        <v>0</v>
      </c>
      <c r="U365">
        <f>IF(AND(OR(Dashboard!$D$4="Semua",D365=Dashboard!$D$4),OR(Dashboard!$H$4="Semua",E365=Dashboard!$H$4)),1,0)</f>
        <v>1</v>
      </c>
      <c r="V365">
        <f>IF(U365=1,IF(COUNTIFS($C$2:C365,C365,$U$2:U365,1)=1,1,0),0)</f>
        <v>0</v>
      </c>
    </row>
    <row r="366" spans="1:22" x14ac:dyDescent="0.35">
      <c r="A366">
        <v>10365</v>
      </c>
      <c r="B366" s="1">
        <v>44926</v>
      </c>
      <c r="C366">
        <v>1623</v>
      </c>
      <c r="D366" t="s">
        <v>67</v>
      </c>
      <c r="E366" t="s">
        <v>78</v>
      </c>
      <c r="F366">
        <v>1</v>
      </c>
      <c r="G366" s="2">
        <v>52.83</v>
      </c>
      <c r="H366">
        <v>0.09</v>
      </c>
      <c r="I366" t="s">
        <v>68</v>
      </c>
      <c r="J366">
        <v>7</v>
      </c>
      <c r="K366">
        <v>4.3</v>
      </c>
      <c r="L366" s="2">
        <v>48.08</v>
      </c>
      <c r="M366">
        <v>2022</v>
      </c>
      <c r="N366">
        <v>12</v>
      </c>
      <c r="O366" t="s">
        <v>91</v>
      </c>
      <c r="P366" s="2">
        <v>52.83</v>
      </c>
      <c r="Q366" s="2">
        <v>4.75</v>
      </c>
      <c r="R366" t="s">
        <v>69</v>
      </c>
      <c r="S366">
        <v>0</v>
      </c>
      <c r="T366">
        <v>0</v>
      </c>
      <c r="U366">
        <f>IF(AND(OR(Dashboard!$D$4="Semua",D366=Dashboard!$D$4),OR(Dashboard!$H$4="Semua",E366=Dashboard!$H$4)),1,0)</f>
        <v>1</v>
      </c>
      <c r="V366">
        <f>IF(U366=1,IF(COUNTIFS($C$2:C366,C366,$U$2:U366,1)=1,1,0),0)</f>
        <v>1</v>
      </c>
    </row>
    <row r="367" spans="1:22" x14ac:dyDescent="0.35">
      <c r="A367">
        <v>10366</v>
      </c>
      <c r="B367" s="1">
        <v>44927</v>
      </c>
      <c r="C367">
        <v>1571</v>
      </c>
      <c r="D367" t="s">
        <v>80</v>
      </c>
      <c r="E367" t="s">
        <v>74</v>
      </c>
      <c r="F367">
        <v>6</v>
      </c>
      <c r="G367" s="2">
        <v>378.36</v>
      </c>
      <c r="H367">
        <v>0.03</v>
      </c>
      <c r="I367" t="s">
        <v>64</v>
      </c>
      <c r="J367">
        <v>10</v>
      </c>
      <c r="K367">
        <v>1.8</v>
      </c>
      <c r="L367" s="2">
        <v>2202.06</v>
      </c>
      <c r="M367">
        <v>2023</v>
      </c>
      <c r="N367">
        <v>1</v>
      </c>
      <c r="O367" t="s">
        <v>92</v>
      </c>
      <c r="P367" s="2">
        <v>2270.16</v>
      </c>
      <c r="Q367" s="2">
        <v>68.099999999999994</v>
      </c>
      <c r="R367" t="s">
        <v>75</v>
      </c>
      <c r="S367">
        <v>0</v>
      </c>
      <c r="T367">
        <v>0</v>
      </c>
      <c r="U367">
        <f>IF(AND(OR(Dashboard!$D$4="Semua",D367=Dashboard!$D$4),OR(Dashboard!$H$4="Semua",E367=Dashboard!$H$4)),1,0)</f>
        <v>1</v>
      </c>
      <c r="V367">
        <f>IF(U367=1,IF(COUNTIFS($C$2:C367,C367,$U$2:U367,1)=1,1,0),0)</f>
        <v>1</v>
      </c>
    </row>
    <row r="368" spans="1:22" x14ac:dyDescent="0.35">
      <c r="A368">
        <v>10367</v>
      </c>
      <c r="B368" s="1">
        <v>44928</v>
      </c>
      <c r="C368">
        <v>1880</v>
      </c>
      <c r="D368" t="s">
        <v>73</v>
      </c>
      <c r="E368" t="s">
        <v>78</v>
      </c>
      <c r="F368">
        <v>4</v>
      </c>
      <c r="G368" s="2">
        <v>152.66999999999999</v>
      </c>
      <c r="H368">
        <v>0.17</v>
      </c>
      <c r="I368" t="s">
        <v>68</v>
      </c>
      <c r="J368">
        <v>9</v>
      </c>
      <c r="K368">
        <v>3.1</v>
      </c>
      <c r="L368" s="2">
        <v>506.86</v>
      </c>
      <c r="M368">
        <v>2023</v>
      </c>
      <c r="N368">
        <v>1</v>
      </c>
      <c r="O368" t="s">
        <v>92</v>
      </c>
      <c r="P368" s="2">
        <v>610.67999999999995</v>
      </c>
      <c r="Q368" s="2">
        <v>103.82</v>
      </c>
      <c r="R368" t="s">
        <v>76</v>
      </c>
      <c r="S368">
        <v>0</v>
      </c>
      <c r="T368">
        <v>0</v>
      </c>
      <c r="U368">
        <f>IF(AND(OR(Dashboard!$D$4="Semua",D368=Dashboard!$D$4),OR(Dashboard!$H$4="Semua",E368=Dashboard!$H$4)),1,0)</f>
        <v>1</v>
      </c>
      <c r="V368">
        <f>IF(U368=1,IF(COUNTIFS($C$2:C368,C368,$U$2:U368,1)=1,1,0),0)</f>
        <v>1</v>
      </c>
    </row>
    <row r="369" spans="1:22" x14ac:dyDescent="0.35">
      <c r="A369">
        <v>10368</v>
      </c>
      <c r="B369" s="1">
        <v>44929</v>
      </c>
      <c r="C369">
        <v>1001</v>
      </c>
      <c r="D369" t="s">
        <v>80</v>
      </c>
      <c r="E369" t="s">
        <v>70</v>
      </c>
      <c r="F369">
        <v>2</v>
      </c>
      <c r="G369" s="2">
        <v>341.15</v>
      </c>
      <c r="H369">
        <v>0.3</v>
      </c>
      <c r="I369" t="s">
        <v>64</v>
      </c>
      <c r="J369">
        <v>2</v>
      </c>
      <c r="K369">
        <v>2.8</v>
      </c>
      <c r="L369" s="2">
        <v>477.61</v>
      </c>
      <c r="M369">
        <v>2023</v>
      </c>
      <c r="N369">
        <v>1</v>
      </c>
      <c r="O369" t="s">
        <v>92</v>
      </c>
      <c r="P369" s="2">
        <v>682.3</v>
      </c>
      <c r="Q369" s="2">
        <v>204.69</v>
      </c>
      <c r="R369" t="s">
        <v>66</v>
      </c>
      <c r="S369">
        <v>0</v>
      </c>
      <c r="T369">
        <v>0</v>
      </c>
      <c r="U369">
        <f>IF(AND(OR(Dashboard!$D$4="Semua",D369=Dashboard!$D$4),OR(Dashboard!$H$4="Semua",E369=Dashboard!$H$4)),1,0)</f>
        <v>1</v>
      </c>
      <c r="V369">
        <f>IF(U369=1,IF(COUNTIFS($C$2:C369,C369,$U$2:U369,1)=1,1,0),0)</f>
        <v>0</v>
      </c>
    </row>
    <row r="370" spans="1:22" x14ac:dyDescent="0.35">
      <c r="A370">
        <v>10369</v>
      </c>
      <c r="B370" s="1">
        <v>44930</v>
      </c>
      <c r="C370">
        <v>1896</v>
      </c>
      <c r="D370" t="s">
        <v>67</v>
      </c>
      <c r="E370" t="s">
        <v>74</v>
      </c>
      <c r="F370">
        <v>2</v>
      </c>
      <c r="G370" s="2">
        <v>574.78</v>
      </c>
      <c r="H370">
        <v>0.19</v>
      </c>
      <c r="I370" t="s">
        <v>71</v>
      </c>
      <c r="J370">
        <v>8</v>
      </c>
      <c r="K370">
        <v>3.7</v>
      </c>
      <c r="L370" s="2">
        <v>931.14</v>
      </c>
      <c r="M370">
        <v>2023</v>
      </c>
      <c r="N370">
        <v>1</v>
      </c>
      <c r="O370" t="s">
        <v>92</v>
      </c>
      <c r="P370" s="2">
        <v>1149.56</v>
      </c>
      <c r="Q370" s="2">
        <v>218.42</v>
      </c>
      <c r="R370" t="s">
        <v>76</v>
      </c>
      <c r="S370">
        <v>0</v>
      </c>
      <c r="T370">
        <v>0</v>
      </c>
      <c r="U370">
        <f>IF(AND(OR(Dashboard!$D$4="Semua",D370=Dashboard!$D$4),OR(Dashboard!$H$4="Semua",E370=Dashboard!$H$4)),1,0)</f>
        <v>1</v>
      </c>
      <c r="V370">
        <f>IF(U370=1,IF(COUNTIFS($C$2:C370,C370,$U$2:U370,1)=1,1,0),0)</f>
        <v>1</v>
      </c>
    </row>
    <row r="371" spans="1:22" x14ac:dyDescent="0.35">
      <c r="A371">
        <v>10370</v>
      </c>
      <c r="B371" s="1">
        <v>44931</v>
      </c>
      <c r="C371">
        <v>1303</v>
      </c>
      <c r="D371" t="s">
        <v>62</v>
      </c>
      <c r="E371" t="s">
        <v>63</v>
      </c>
      <c r="F371">
        <v>7</v>
      </c>
      <c r="G371" s="2">
        <v>529.25</v>
      </c>
      <c r="H371">
        <v>0.02</v>
      </c>
      <c r="I371" t="s">
        <v>68</v>
      </c>
      <c r="J371">
        <v>7</v>
      </c>
      <c r="K371">
        <v>1.3</v>
      </c>
      <c r="L371" s="2">
        <v>3630.66</v>
      </c>
      <c r="M371">
        <v>2023</v>
      </c>
      <c r="N371">
        <v>1</v>
      </c>
      <c r="O371" t="s">
        <v>92</v>
      </c>
      <c r="P371" s="2">
        <v>3704.75</v>
      </c>
      <c r="Q371" s="2">
        <v>74.09</v>
      </c>
      <c r="R371" t="s">
        <v>75</v>
      </c>
      <c r="S371">
        <v>0</v>
      </c>
      <c r="T371">
        <v>1</v>
      </c>
      <c r="U371">
        <f>IF(AND(OR(Dashboard!$D$4="Semua",D371=Dashboard!$D$4),OR(Dashboard!$H$4="Semua",E371=Dashboard!$H$4)),1,0)</f>
        <v>1</v>
      </c>
      <c r="V371">
        <f>IF(U371=1,IF(COUNTIFS($C$2:C371,C371,$U$2:U371,1)=1,1,0),0)</f>
        <v>1</v>
      </c>
    </row>
    <row r="372" spans="1:22" x14ac:dyDescent="0.35">
      <c r="A372">
        <v>10371</v>
      </c>
      <c r="B372" s="1">
        <v>44932</v>
      </c>
      <c r="C372">
        <v>1253</v>
      </c>
      <c r="D372" t="s">
        <v>73</v>
      </c>
      <c r="E372" t="s">
        <v>78</v>
      </c>
      <c r="F372">
        <v>7</v>
      </c>
      <c r="G372" s="2">
        <v>251.64</v>
      </c>
      <c r="H372">
        <v>0.34</v>
      </c>
      <c r="I372" t="s">
        <v>71</v>
      </c>
      <c r="J372">
        <v>2</v>
      </c>
      <c r="K372">
        <v>4.5</v>
      </c>
      <c r="L372" s="2">
        <v>1162.58</v>
      </c>
      <c r="M372">
        <v>2023</v>
      </c>
      <c r="N372">
        <v>1</v>
      </c>
      <c r="O372" t="s">
        <v>92</v>
      </c>
      <c r="P372" s="2">
        <v>1761.48</v>
      </c>
      <c r="Q372" s="2">
        <v>598.9</v>
      </c>
      <c r="R372" t="s">
        <v>72</v>
      </c>
      <c r="S372">
        <v>0</v>
      </c>
      <c r="T372">
        <v>0</v>
      </c>
      <c r="U372">
        <f>IF(AND(OR(Dashboard!$D$4="Semua",D372=Dashboard!$D$4),OR(Dashboard!$H$4="Semua",E372=Dashboard!$H$4)),1,0)</f>
        <v>1</v>
      </c>
      <c r="V372">
        <f>IF(U372=1,IF(COUNTIFS($C$2:C372,C372,$U$2:U372,1)=1,1,0),0)</f>
        <v>1</v>
      </c>
    </row>
    <row r="373" spans="1:22" x14ac:dyDescent="0.35">
      <c r="A373">
        <v>10372</v>
      </c>
      <c r="B373" s="1">
        <v>44933</v>
      </c>
      <c r="C373">
        <v>1651</v>
      </c>
      <c r="D373" t="s">
        <v>73</v>
      </c>
      <c r="E373" t="s">
        <v>63</v>
      </c>
      <c r="F373">
        <v>1</v>
      </c>
      <c r="G373" s="2">
        <v>185.54</v>
      </c>
      <c r="H373">
        <v>0.28999999999999998</v>
      </c>
      <c r="I373" t="s">
        <v>64</v>
      </c>
      <c r="J373">
        <v>5</v>
      </c>
      <c r="K373">
        <v>3</v>
      </c>
      <c r="L373" s="2">
        <v>131.72999999999999</v>
      </c>
      <c r="M373">
        <v>2023</v>
      </c>
      <c r="N373">
        <v>1</v>
      </c>
      <c r="O373" t="s">
        <v>92</v>
      </c>
      <c r="P373" s="2">
        <v>185.54</v>
      </c>
      <c r="Q373" s="2">
        <v>53.81</v>
      </c>
      <c r="R373" t="s">
        <v>66</v>
      </c>
      <c r="S373">
        <v>0</v>
      </c>
      <c r="T373">
        <v>0</v>
      </c>
      <c r="U373">
        <f>IF(AND(OR(Dashboard!$D$4="Semua",D373=Dashboard!$D$4),OR(Dashboard!$H$4="Semua",E373=Dashboard!$H$4)),1,0)</f>
        <v>1</v>
      </c>
      <c r="V373">
        <f>IF(U373=1,IF(COUNTIFS($C$2:C373,C373,$U$2:U373,1)=1,1,0),0)</f>
        <v>1</v>
      </c>
    </row>
    <row r="374" spans="1:22" x14ac:dyDescent="0.35">
      <c r="A374">
        <v>10373</v>
      </c>
      <c r="B374" s="1">
        <v>44934</v>
      </c>
      <c r="C374">
        <v>1452</v>
      </c>
      <c r="D374" t="s">
        <v>67</v>
      </c>
      <c r="E374" t="s">
        <v>78</v>
      </c>
      <c r="F374">
        <v>2</v>
      </c>
      <c r="G374" s="2">
        <v>152.13</v>
      </c>
      <c r="H374">
        <v>0.05</v>
      </c>
      <c r="I374" t="s">
        <v>68</v>
      </c>
      <c r="J374">
        <v>7</v>
      </c>
      <c r="K374">
        <v>4.5</v>
      </c>
      <c r="L374" s="2">
        <v>289.05</v>
      </c>
      <c r="M374">
        <v>2023</v>
      </c>
      <c r="N374">
        <v>1</v>
      </c>
      <c r="O374" t="s">
        <v>92</v>
      </c>
      <c r="P374" s="2">
        <v>304.26</v>
      </c>
      <c r="Q374" s="2">
        <v>15.21</v>
      </c>
      <c r="R374" t="s">
        <v>75</v>
      </c>
      <c r="S374">
        <v>0</v>
      </c>
      <c r="T374">
        <v>0</v>
      </c>
      <c r="U374">
        <f>IF(AND(OR(Dashboard!$D$4="Semua",D374=Dashboard!$D$4),OR(Dashboard!$H$4="Semua",E374=Dashboard!$H$4)),1,0)</f>
        <v>1</v>
      </c>
      <c r="V374">
        <f>IF(U374=1,IF(COUNTIFS($C$2:C374,C374,$U$2:U374,1)=1,1,0),0)</f>
        <v>1</v>
      </c>
    </row>
    <row r="375" spans="1:22" x14ac:dyDescent="0.35">
      <c r="A375">
        <v>10374</v>
      </c>
      <c r="B375" s="1">
        <v>44935</v>
      </c>
      <c r="C375">
        <v>1036</v>
      </c>
      <c r="D375" t="s">
        <v>73</v>
      </c>
      <c r="E375" t="s">
        <v>63</v>
      </c>
      <c r="F375">
        <v>4</v>
      </c>
      <c r="G375" s="2">
        <v>326.52</v>
      </c>
      <c r="H375">
        <v>0.32</v>
      </c>
      <c r="I375" t="s">
        <v>64</v>
      </c>
      <c r="J375">
        <v>3</v>
      </c>
      <c r="K375">
        <v>2.4</v>
      </c>
      <c r="L375" s="2">
        <v>888.13</v>
      </c>
      <c r="M375">
        <v>2023</v>
      </c>
      <c r="N375">
        <v>1</v>
      </c>
      <c r="O375" t="s">
        <v>92</v>
      </c>
      <c r="P375" s="2">
        <v>1306.08</v>
      </c>
      <c r="Q375" s="2">
        <v>417.95</v>
      </c>
      <c r="R375" t="s">
        <v>72</v>
      </c>
      <c r="S375">
        <v>0</v>
      </c>
      <c r="T375">
        <v>0</v>
      </c>
      <c r="U375">
        <f>IF(AND(OR(Dashboard!$D$4="Semua",D375=Dashboard!$D$4),OR(Dashboard!$H$4="Semua",E375=Dashboard!$H$4)),1,0)</f>
        <v>1</v>
      </c>
      <c r="V375">
        <f>IF(U375=1,IF(COUNTIFS($C$2:C375,C375,$U$2:U375,1)=1,1,0),0)</f>
        <v>1</v>
      </c>
    </row>
    <row r="376" spans="1:22" x14ac:dyDescent="0.35">
      <c r="A376">
        <v>10375</v>
      </c>
      <c r="B376" s="1">
        <v>44936</v>
      </c>
      <c r="C376">
        <v>1159</v>
      </c>
      <c r="D376" t="s">
        <v>80</v>
      </c>
      <c r="E376" t="s">
        <v>63</v>
      </c>
      <c r="F376">
        <v>1</v>
      </c>
      <c r="G376" s="2">
        <v>81.84</v>
      </c>
      <c r="H376">
        <v>0.16</v>
      </c>
      <c r="I376" t="s">
        <v>68</v>
      </c>
      <c r="J376">
        <v>2</v>
      </c>
      <c r="K376">
        <v>3.6</v>
      </c>
      <c r="L376" s="2">
        <v>68.75</v>
      </c>
      <c r="M376">
        <v>2023</v>
      </c>
      <c r="N376">
        <v>1</v>
      </c>
      <c r="O376" t="s">
        <v>92</v>
      </c>
      <c r="P376" s="2">
        <v>81.84</v>
      </c>
      <c r="Q376" s="2">
        <v>13.09</v>
      </c>
      <c r="R376" t="s">
        <v>76</v>
      </c>
      <c r="S376">
        <v>0</v>
      </c>
      <c r="T376">
        <v>0</v>
      </c>
      <c r="U376">
        <f>IF(AND(OR(Dashboard!$D$4="Semua",D376=Dashboard!$D$4),OR(Dashboard!$H$4="Semua",E376=Dashboard!$H$4)),1,0)</f>
        <v>1</v>
      </c>
      <c r="V376">
        <f>IF(U376=1,IF(COUNTIFS($C$2:C376,C376,$U$2:U376,1)=1,1,0),0)</f>
        <v>0</v>
      </c>
    </row>
    <row r="377" spans="1:22" x14ac:dyDescent="0.35">
      <c r="A377">
        <v>10376</v>
      </c>
      <c r="B377" s="1">
        <v>44937</v>
      </c>
      <c r="C377">
        <v>1008</v>
      </c>
      <c r="D377" t="s">
        <v>80</v>
      </c>
      <c r="E377" t="s">
        <v>78</v>
      </c>
      <c r="F377">
        <v>5</v>
      </c>
      <c r="G377" s="2">
        <v>336.33</v>
      </c>
      <c r="H377">
        <v>0.13</v>
      </c>
      <c r="I377" t="s">
        <v>71</v>
      </c>
      <c r="J377">
        <v>6</v>
      </c>
      <c r="K377">
        <v>4.8</v>
      </c>
      <c r="L377" s="2">
        <v>1463.04</v>
      </c>
      <c r="M377">
        <v>2023</v>
      </c>
      <c r="N377">
        <v>1</v>
      </c>
      <c r="O377" t="s">
        <v>92</v>
      </c>
      <c r="P377" s="2">
        <v>1681.65</v>
      </c>
      <c r="Q377" s="2">
        <v>218.61</v>
      </c>
      <c r="R377" t="s">
        <v>79</v>
      </c>
      <c r="S377">
        <v>0</v>
      </c>
      <c r="T377">
        <v>0</v>
      </c>
      <c r="U377">
        <f>IF(AND(OR(Dashboard!$D$4="Semua",D377=Dashboard!$D$4),OR(Dashboard!$H$4="Semua",E377=Dashboard!$H$4)),1,0)</f>
        <v>1</v>
      </c>
      <c r="V377">
        <f>IF(U377=1,IF(COUNTIFS($C$2:C377,C377,$U$2:U377,1)=1,1,0),0)</f>
        <v>1</v>
      </c>
    </row>
    <row r="378" spans="1:22" x14ac:dyDescent="0.35">
      <c r="A378">
        <v>10377</v>
      </c>
      <c r="B378" s="1">
        <v>44938</v>
      </c>
      <c r="C378">
        <v>1232</v>
      </c>
      <c r="D378" t="s">
        <v>73</v>
      </c>
      <c r="E378" t="s">
        <v>78</v>
      </c>
      <c r="F378">
        <v>1</v>
      </c>
      <c r="G378" s="2">
        <v>15.78</v>
      </c>
      <c r="H378">
        <v>0.16</v>
      </c>
      <c r="I378" t="s">
        <v>64</v>
      </c>
      <c r="J378">
        <v>10</v>
      </c>
      <c r="K378">
        <v>4.8</v>
      </c>
      <c r="L378" s="2">
        <v>13.26</v>
      </c>
      <c r="M378">
        <v>2023</v>
      </c>
      <c r="N378">
        <v>1</v>
      </c>
      <c r="O378" t="s">
        <v>92</v>
      </c>
      <c r="P378" s="2">
        <v>15.78</v>
      </c>
      <c r="Q378" s="2">
        <v>2.52</v>
      </c>
      <c r="R378" t="s">
        <v>76</v>
      </c>
      <c r="S378">
        <v>0</v>
      </c>
      <c r="T378">
        <v>0</v>
      </c>
      <c r="U378">
        <f>IF(AND(OR(Dashboard!$D$4="Semua",D378=Dashboard!$D$4),OR(Dashboard!$H$4="Semua",E378=Dashboard!$H$4)),1,0)</f>
        <v>1</v>
      </c>
      <c r="V378">
        <f>IF(U378=1,IF(COUNTIFS($C$2:C378,C378,$U$2:U378,1)=1,1,0),0)</f>
        <v>0</v>
      </c>
    </row>
    <row r="379" spans="1:22" x14ac:dyDescent="0.35">
      <c r="A379">
        <v>10378</v>
      </c>
      <c r="B379" s="1">
        <v>44939</v>
      </c>
      <c r="C379">
        <v>1098</v>
      </c>
      <c r="D379" t="s">
        <v>67</v>
      </c>
      <c r="E379" t="s">
        <v>63</v>
      </c>
      <c r="F379">
        <v>1</v>
      </c>
      <c r="G379" s="2">
        <v>204.45</v>
      </c>
      <c r="H379">
        <v>0.28999999999999998</v>
      </c>
      <c r="I379" t="s">
        <v>64</v>
      </c>
      <c r="J379">
        <v>6</v>
      </c>
      <c r="K379">
        <v>4.8</v>
      </c>
      <c r="L379" s="2">
        <v>145.16</v>
      </c>
      <c r="M379">
        <v>2023</v>
      </c>
      <c r="N379">
        <v>1</v>
      </c>
      <c r="O379" t="s">
        <v>92</v>
      </c>
      <c r="P379" s="2">
        <v>204.45</v>
      </c>
      <c r="Q379" s="2">
        <v>59.29</v>
      </c>
      <c r="R379" t="s">
        <v>66</v>
      </c>
      <c r="S379">
        <v>0</v>
      </c>
      <c r="T379">
        <v>0</v>
      </c>
      <c r="U379">
        <f>IF(AND(OR(Dashboard!$D$4="Semua",D379=Dashboard!$D$4),OR(Dashboard!$H$4="Semua",E379=Dashboard!$H$4)),1,0)</f>
        <v>1</v>
      </c>
      <c r="V379">
        <f>IF(U379=1,IF(COUNTIFS($C$2:C379,C379,$U$2:U379,1)=1,1,0),0)</f>
        <v>0</v>
      </c>
    </row>
    <row r="380" spans="1:22" x14ac:dyDescent="0.35">
      <c r="A380">
        <v>10379</v>
      </c>
      <c r="B380" s="1">
        <v>44940</v>
      </c>
      <c r="C380">
        <v>1658</v>
      </c>
      <c r="D380" t="s">
        <v>67</v>
      </c>
      <c r="E380" t="s">
        <v>63</v>
      </c>
      <c r="F380">
        <v>5</v>
      </c>
      <c r="G380" s="2">
        <v>143.66</v>
      </c>
      <c r="H380">
        <v>0.23</v>
      </c>
      <c r="I380" t="s">
        <v>71</v>
      </c>
      <c r="J380">
        <v>11</v>
      </c>
      <c r="K380">
        <v>1.2</v>
      </c>
      <c r="L380" s="2">
        <v>553.09</v>
      </c>
      <c r="M380">
        <v>2023</v>
      </c>
      <c r="N380">
        <v>1</v>
      </c>
      <c r="O380" t="s">
        <v>92</v>
      </c>
      <c r="P380" s="2">
        <v>718.3</v>
      </c>
      <c r="Q380" s="2">
        <v>165.21</v>
      </c>
      <c r="R380" t="s">
        <v>77</v>
      </c>
      <c r="S380">
        <v>0</v>
      </c>
      <c r="T380">
        <v>0</v>
      </c>
      <c r="U380">
        <f>IF(AND(OR(Dashboard!$D$4="Semua",D380=Dashboard!$D$4),OR(Dashboard!$H$4="Semua",E380=Dashboard!$H$4)),1,0)</f>
        <v>1</v>
      </c>
      <c r="V380">
        <f>IF(U380=1,IF(COUNTIFS($C$2:C380,C380,$U$2:U380,1)=1,1,0),0)</f>
        <v>1</v>
      </c>
    </row>
    <row r="381" spans="1:22" x14ac:dyDescent="0.35">
      <c r="A381">
        <v>10380</v>
      </c>
      <c r="B381" s="1">
        <v>44941</v>
      </c>
      <c r="C381">
        <v>1815</v>
      </c>
      <c r="D381" t="s">
        <v>67</v>
      </c>
      <c r="E381" t="s">
        <v>63</v>
      </c>
      <c r="F381">
        <v>6</v>
      </c>
      <c r="G381" s="2">
        <v>583.16</v>
      </c>
      <c r="H381">
        <v>0.02</v>
      </c>
      <c r="I381" t="s">
        <v>71</v>
      </c>
      <c r="J381">
        <v>4</v>
      </c>
      <c r="K381">
        <v>2.6</v>
      </c>
      <c r="L381" s="2">
        <v>3428.98</v>
      </c>
      <c r="M381">
        <v>2023</v>
      </c>
      <c r="N381">
        <v>1</v>
      </c>
      <c r="O381" t="s">
        <v>92</v>
      </c>
      <c r="P381" s="2">
        <v>3498.96</v>
      </c>
      <c r="Q381" s="2">
        <v>69.98</v>
      </c>
      <c r="R381" t="s">
        <v>75</v>
      </c>
      <c r="S381">
        <v>0</v>
      </c>
      <c r="T381">
        <v>1</v>
      </c>
      <c r="U381">
        <f>IF(AND(OR(Dashboard!$D$4="Semua",D381=Dashboard!$D$4),OR(Dashboard!$H$4="Semua",E381=Dashboard!$H$4)),1,0)</f>
        <v>1</v>
      </c>
      <c r="V381">
        <f>IF(U381=1,IF(COUNTIFS($C$2:C381,C381,$U$2:U381,1)=1,1,0),0)</f>
        <v>0</v>
      </c>
    </row>
    <row r="382" spans="1:22" x14ac:dyDescent="0.35">
      <c r="A382">
        <v>10381</v>
      </c>
      <c r="B382" s="1">
        <v>44942</v>
      </c>
      <c r="C382">
        <v>1207</v>
      </c>
      <c r="D382" t="s">
        <v>62</v>
      </c>
      <c r="E382" t="s">
        <v>74</v>
      </c>
      <c r="F382">
        <v>7</v>
      </c>
      <c r="G382" s="2">
        <v>440.44</v>
      </c>
      <c r="H382">
        <v>0.34</v>
      </c>
      <c r="I382" t="s">
        <v>68</v>
      </c>
      <c r="J382">
        <v>1</v>
      </c>
      <c r="K382">
        <v>1.2</v>
      </c>
      <c r="L382" s="2">
        <v>2034.83</v>
      </c>
      <c r="M382">
        <v>2023</v>
      </c>
      <c r="N382">
        <v>1</v>
      </c>
      <c r="O382" t="s">
        <v>92</v>
      </c>
      <c r="P382" s="2">
        <v>3083.08</v>
      </c>
      <c r="Q382" s="2">
        <v>1048.25</v>
      </c>
      <c r="R382" t="s">
        <v>72</v>
      </c>
      <c r="S382">
        <v>0</v>
      </c>
      <c r="T382">
        <v>0</v>
      </c>
      <c r="U382">
        <f>IF(AND(OR(Dashboard!$D$4="Semua",D382=Dashboard!$D$4),OR(Dashboard!$H$4="Semua",E382=Dashboard!$H$4)),1,0)</f>
        <v>1</v>
      </c>
      <c r="V382">
        <f>IF(U382=1,IF(COUNTIFS($C$2:C382,C382,$U$2:U382,1)=1,1,0),0)</f>
        <v>1</v>
      </c>
    </row>
    <row r="383" spans="1:22" x14ac:dyDescent="0.35">
      <c r="A383">
        <v>10382</v>
      </c>
      <c r="B383" s="1">
        <v>44943</v>
      </c>
      <c r="C383">
        <v>1130</v>
      </c>
      <c r="D383" t="s">
        <v>80</v>
      </c>
      <c r="E383" t="s">
        <v>74</v>
      </c>
      <c r="F383">
        <v>4</v>
      </c>
      <c r="G383" s="2">
        <v>219.55</v>
      </c>
      <c r="H383">
        <v>0.05</v>
      </c>
      <c r="I383" t="s">
        <v>68</v>
      </c>
      <c r="J383">
        <v>5</v>
      </c>
      <c r="K383">
        <v>2.2000000000000002</v>
      </c>
      <c r="L383" s="2">
        <v>834.29</v>
      </c>
      <c r="M383">
        <v>2023</v>
      </c>
      <c r="N383">
        <v>1</v>
      </c>
      <c r="O383" t="s">
        <v>92</v>
      </c>
      <c r="P383" s="2">
        <v>878.2</v>
      </c>
      <c r="Q383" s="2">
        <v>43.91</v>
      </c>
      <c r="R383" t="s">
        <v>75</v>
      </c>
      <c r="S383">
        <v>0</v>
      </c>
      <c r="T383">
        <v>0</v>
      </c>
      <c r="U383">
        <f>IF(AND(OR(Dashboard!$D$4="Semua",D383=Dashboard!$D$4),OR(Dashboard!$H$4="Semua",E383=Dashboard!$H$4)),1,0)</f>
        <v>1</v>
      </c>
      <c r="V383">
        <f>IF(U383=1,IF(COUNTIFS($C$2:C383,C383,$U$2:U383,1)=1,1,0),0)</f>
        <v>0</v>
      </c>
    </row>
    <row r="384" spans="1:22" x14ac:dyDescent="0.35">
      <c r="A384">
        <v>10383</v>
      </c>
      <c r="B384" s="1">
        <v>44944</v>
      </c>
      <c r="C384">
        <v>1403</v>
      </c>
      <c r="D384" t="s">
        <v>80</v>
      </c>
      <c r="E384" t="s">
        <v>70</v>
      </c>
      <c r="F384">
        <v>6</v>
      </c>
      <c r="G384" s="2">
        <v>69.31</v>
      </c>
      <c r="H384">
        <v>0.26</v>
      </c>
      <c r="I384" t="s">
        <v>68</v>
      </c>
      <c r="J384">
        <v>1</v>
      </c>
      <c r="K384">
        <v>1.7</v>
      </c>
      <c r="L384" s="2">
        <v>307.74</v>
      </c>
      <c r="M384">
        <v>2023</v>
      </c>
      <c r="N384">
        <v>1</v>
      </c>
      <c r="O384" t="s">
        <v>92</v>
      </c>
      <c r="P384" s="2">
        <v>415.86</v>
      </c>
      <c r="Q384" s="2">
        <v>108.12</v>
      </c>
      <c r="R384" t="s">
        <v>66</v>
      </c>
      <c r="S384">
        <v>0</v>
      </c>
      <c r="T384">
        <v>0</v>
      </c>
      <c r="U384">
        <f>IF(AND(OR(Dashboard!$D$4="Semua",D384=Dashboard!$D$4),OR(Dashboard!$H$4="Semua",E384=Dashboard!$H$4)),1,0)</f>
        <v>1</v>
      </c>
      <c r="V384">
        <f>IF(U384=1,IF(COUNTIFS($C$2:C384,C384,$U$2:U384,1)=1,1,0),0)</f>
        <v>1</v>
      </c>
    </row>
    <row r="385" spans="1:22" x14ac:dyDescent="0.35">
      <c r="A385">
        <v>10384</v>
      </c>
      <c r="B385" s="1">
        <v>44945</v>
      </c>
      <c r="C385">
        <v>1151</v>
      </c>
      <c r="D385" t="s">
        <v>80</v>
      </c>
      <c r="E385" t="s">
        <v>74</v>
      </c>
      <c r="F385">
        <v>6</v>
      </c>
      <c r="G385" s="2">
        <v>317.33</v>
      </c>
      <c r="H385">
        <v>0.22</v>
      </c>
      <c r="I385" t="s">
        <v>68</v>
      </c>
      <c r="J385">
        <v>11</v>
      </c>
      <c r="K385">
        <v>3.5</v>
      </c>
      <c r="L385" s="2">
        <v>1485.1</v>
      </c>
      <c r="M385">
        <v>2023</v>
      </c>
      <c r="N385">
        <v>1</v>
      </c>
      <c r="O385" t="s">
        <v>92</v>
      </c>
      <c r="P385" s="2">
        <v>1903.98</v>
      </c>
      <c r="Q385" s="2">
        <v>418.88</v>
      </c>
      <c r="R385" t="s">
        <v>77</v>
      </c>
      <c r="S385">
        <v>0</v>
      </c>
      <c r="T385">
        <v>0</v>
      </c>
      <c r="U385">
        <f>IF(AND(OR(Dashboard!$D$4="Semua",D385=Dashboard!$D$4),OR(Dashboard!$H$4="Semua",E385=Dashboard!$H$4)),1,0)</f>
        <v>1</v>
      </c>
      <c r="V385">
        <f>IF(U385=1,IF(COUNTIFS($C$2:C385,C385,$U$2:U385,1)=1,1,0),0)</f>
        <v>1</v>
      </c>
    </row>
    <row r="386" spans="1:22" x14ac:dyDescent="0.35">
      <c r="A386">
        <v>10385</v>
      </c>
      <c r="B386" s="1">
        <v>44946</v>
      </c>
      <c r="C386">
        <v>1053</v>
      </c>
      <c r="D386" t="s">
        <v>67</v>
      </c>
      <c r="E386" t="s">
        <v>74</v>
      </c>
      <c r="F386">
        <v>6</v>
      </c>
      <c r="G386" s="2">
        <v>139.87</v>
      </c>
      <c r="H386">
        <v>7.0000000000000007E-2</v>
      </c>
      <c r="I386" t="s">
        <v>68</v>
      </c>
      <c r="J386">
        <v>11</v>
      </c>
      <c r="K386">
        <v>4.0999999999999996</v>
      </c>
      <c r="L386" s="2">
        <v>780.47</v>
      </c>
      <c r="M386">
        <v>2023</v>
      </c>
      <c r="N386">
        <v>1</v>
      </c>
      <c r="O386" t="s">
        <v>92</v>
      </c>
      <c r="P386" s="2">
        <v>839.22</v>
      </c>
      <c r="Q386" s="2">
        <v>58.75</v>
      </c>
      <c r="R386" t="s">
        <v>69</v>
      </c>
      <c r="S386">
        <v>0</v>
      </c>
      <c r="T386">
        <v>0</v>
      </c>
      <c r="U386">
        <f>IF(AND(OR(Dashboard!$D$4="Semua",D386=Dashboard!$D$4),OR(Dashboard!$H$4="Semua",E386=Dashboard!$H$4)),1,0)</f>
        <v>1</v>
      </c>
      <c r="V386">
        <f>IF(U386=1,IF(COUNTIFS($C$2:C386,C386,$U$2:U386,1)=1,1,0),0)</f>
        <v>1</v>
      </c>
    </row>
    <row r="387" spans="1:22" x14ac:dyDescent="0.35">
      <c r="A387">
        <v>10386</v>
      </c>
      <c r="B387" s="1">
        <v>44947</v>
      </c>
      <c r="C387">
        <v>1119</v>
      </c>
      <c r="D387" t="s">
        <v>62</v>
      </c>
      <c r="E387" t="s">
        <v>78</v>
      </c>
      <c r="F387">
        <v>7</v>
      </c>
      <c r="G387" s="2">
        <v>328.81</v>
      </c>
      <c r="H387">
        <v>0.06</v>
      </c>
      <c r="I387" t="s">
        <v>68</v>
      </c>
      <c r="J387">
        <v>8</v>
      </c>
      <c r="K387">
        <v>3.1</v>
      </c>
      <c r="L387" s="2">
        <v>2163.5700000000002</v>
      </c>
      <c r="M387">
        <v>2023</v>
      </c>
      <c r="N387">
        <v>1</v>
      </c>
      <c r="O387" t="s">
        <v>92</v>
      </c>
      <c r="P387" s="2">
        <v>2301.67</v>
      </c>
      <c r="Q387" s="2">
        <v>138.1</v>
      </c>
      <c r="R387" t="s">
        <v>69</v>
      </c>
      <c r="S387">
        <v>0</v>
      </c>
      <c r="T387">
        <v>0</v>
      </c>
      <c r="U387">
        <f>IF(AND(OR(Dashboard!$D$4="Semua",D387=Dashboard!$D$4),OR(Dashboard!$H$4="Semua",E387=Dashboard!$H$4)),1,0)</f>
        <v>1</v>
      </c>
      <c r="V387">
        <f>IF(U387=1,IF(COUNTIFS($C$2:C387,C387,$U$2:U387,1)=1,1,0),0)</f>
        <v>1</v>
      </c>
    </row>
    <row r="388" spans="1:22" x14ac:dyDescent="0.35">
      <c r="A388">
        <v>10387</v>
      </c>
      <c r="B388" s="1">
        <v>44948</v>
      </c>
      <c r="C388">
        <v>1672</v>
      </c>
      <c r="D388" t="s">
        <v>80</v>
      </c>
      <c r="E388" t="s">
        <v>70</v>
      </c>
      <c r="F388">
        <v>3</v>
      </c>
      <c r="G388" s="2">
        <v>503.69</v>
      </c>
      <c r="H388">
        <v>0.3</v>
      </c>
      <c r="I388" t="s">
        <v>64</v>
      </c>
      <c r="J388">
        <v>2</v>
      </c>
      <c r="K388">
        <v>4.2</v>
      </c>
      <c r="L388" s="2">
        <v>1057.75</v>
      </c>
      <c r="M388">
        <v>2023</v>
      </c>
      <c r="N388">
        <v>1</v>
      </c>
      <c r="O388" t="s">
        <v>92</v>
      </c>
      <c r="P388" s="2">
        <v>1511.07</v>
      </c>
      <c r="Q388" s="2">
        <v>453.32</v>
      </c>
      <c r="R388" t="s">
        <v>66</v>
      </c>
      <c r="S388">
        <v>0</v>
      </c>
      <c r="T388">
        <v>0</v>
      </c>
      <c r="U388">
        <f>IF(AND(OR(Dashboard!$D$4="Semua",D388=Dashboard!$D$4),OR(Dashboard!$H$4="Semua",E388=Dashboard!$H$4)),1,0)</f>
        <v>1</v>
      </c>
      <c r="V388">
        <f>IF(U388=1,IF(COUNTIFS($C$2:C388,C388,$U$2:U388,1)=1,1,0),0)</f>
        <v>1</v>
      </c>
    </row>
    <row r="389" spans="1:22" x14ac:dyDescent="0.35">
      <c r="A389">
        <v>10388</v>
      </c>
      <c r="B389" s="1">
        <v>44949</v>
      </c>
      <c r="C389">
        <v>1919</v>
      </c>
      <c r="D389" t="s">
        <v>80</v>
      </c>
      <c r="E389" t="s">
        <v>70</v>
      </c>
      <c r="F389">
        <v>7</v>
      </c>
      <c r="G389" s="2">
        <v>375.24</v>
      </c>
      <c r="H389">
        <v>0.15</v>
      </c>
      <c r="I389" t="s">
        <v>71</v>
      </c>
      <c r="J389">
        <v>9</v>
      </c>
      <c r="K389">
        <v>1.1000000000000001</v>
      </c>
      <c r="L389" s="2">
        <v>2232.6799999999998</v>
      </c>
      <c r="M389">
        <v>2023</v>
      </c>
      <c r="N389">
        <v>1</v>
      </c>
      <c r="O389" t="s">
        <v>92</v>
      </c>
      <c r="P389" s="2">
        <v>2626.68</v>
      </c>
      <c r="Q389" s="2">
        <v>394</v>
      </c>
      <c r="R389" t="s">
        <v>79</v>
      </c>
      <c r="S389">
        <v>0</v>
      </c>
      <c r="T389">
        <v>0</v>
      </c>
      <c r="U389">
        <f>IF(AND(OR(Dashboard!$D$4="Semua",D389=Dashboard!$D$4),OR(Dashboard!$H$4="Semua",E389=Dashboard!$H$4)),1,0)</f>
        <v>1</v>
      </c>
      <c r="V389">
        <f>IF(U389=1,IF(COUNTIFS($C$2:C389,C389,$U$2:U389,1)=1,1,0),0)</f>
        <v>1</v>
      </c>
    </row>
    <row r="390" spans="1:22" x14ac:dyDescent="0.35">
      <c r="A390">
        <v>10389</v>
      </c>
      <c r="B390" s="1">
        <v>44950</v>
      </c>
      <c r="C390">
        <v>1627</v>
      </c>
      <c r="D390" t="s">
        <v>62</v>
      </c>
      <c r="E390" t="s">
        <v>74</v>
      </c>
      <c r="F390">
        <v>6</v>
      </c>
      <c r="G390" s="2">
        <v>385.77</v>
      </c>
      <c r="H390">
        <v>0.23</v>
      </c>
      <c r="I390" t="s">
        <v>68</v>
      </c>
      <c r="J390">
        <v>9</v>
      </c>
      <c r="K390">
        <v>4.3</v>
      </c>
      <c r="L390" s="2">
        <v>1782.26</v>
      </c>
      <c r="M390">
        <v>2023</v>
      </c>
      <c r="N390">
        <v>1</v>
      </c>
      <c r="O390" t="s">
        <v>92</v>
      </c>
      <c r="P390" s="2">
        <v>2314.62</v>
      </c>
      <c r="Q390" s="2">
        <v>532.36</v>
      </c>
      <c r="R390" t="s">
        <v>77</v>
      </c>
      <c r="S390">
        <v>0</v>
      </c>
      <c r="T390">
        <v>0</v>
      </c>
      <c r="U390">
        <f>IF(AND(OR(Dashboard!$D$4="Semua",D390=Dashboard!$D$4),OR(Dashboard!$H$4="Semua",E390=Dashboard!$H$4)),1,0)</f>
        <v>1</v>
      </c>
      <c r="V390">
        <f>IF(U390=1,IF(COUNTIFS($C$2:C390,C390,$U$2:U390,1)=1,1,0),0)</f>
        <v>0</v>
      </c>
    </row>
    <row r="391" spans="1:22" x14ac:dyDescent="0.35">
      <c r="A391">
        <v>10390</v>
      </c>
      <c r="B391" s="1">
        <v>44951</v>
      </c>
      <c r="C391">
        <v>1586</v>
      </c>
      <c r="D391" t="s">
        <v>73</v>
      </c>
      <c r="E391" t="s">
        <v>78</v>
      </c>
      <c r="F391">
        <v>3</v>
      </c>
      <c r="G391" s="2">
        <v>331.5</v>
      </c>
      <c r="H391">
        <v>0.18</v>
      </c>
      <c r="I391" t="s">
        <v>64</v>
      </c>
      <c r="J391">
        <v>3</v>
      </c>
      <c r="K391">
        <v>1.7</v>
      </c>
      <c r="L391" s="2">
        <v>815.49</v>
      </c>
      <c r="M391">
        <v>2023</v>
      </c>
      <c r="N391">
        <v>1</v>
      </c>
      <c r="O391" t="s">
        <v>92</v>
      </c>
      <c r="P391" s="2">
        <v>994.5</v>
      </c>
      <c r="Q391" s="2">
        <v>179.01</v>
      </c>
      <c r="R391" t="s">
        <v>76</v>
      </c>
      <c r="S391">
        <v>0</v>
      </c>
      <c r="T391">
        <v>0</v>
      </c>
      <c r="U391">
        <f>IF(AND(OR(Dashboard!$D$4="Semua",D391=Dashboard!$D$4),OR(Dashboard!$H$4="Semua",E391=Dashboard!$H$4)),1,0)</f>
        <v>1</v>
      </c>
      <c r="V391">
        <f>IF(U391=1,IF(COUNTIFS($C$2:C391,C391,$U$2:U391,1)=1,1,0),0)</f>
        <v>1</v>
      </c>
    </row>
    <row r="392" spans="1:22" x14ac:dyDescent="0.35">
      <c r="A392">
        <v>10391</v>
      </c>
      <c r="B392" s="1">
        <v>44952</v>
      </c>
      <c r="C392">
        <v>1624</v>
      </c>
      <c r="D392" t="s">
        <v>80</v>
      </c>
      <c r="E392" t="s">
        <v>78</v>
      </c>
      <c r="F392">
        <v>5</v>
      </c>
      <c r="G392" s="2">
        <v>557.45000000000005</v>
      </c>
      <c r="H392">
        <v>0.25</v>
      </c>
      <c r="I392" t="s">
        <v>68</v>
      </c>
      <c r="J392">
        <v>6</v>
      </c>
      <c r="K392">
        <v>2.8</v>
      </c>
      <c r="L392" s="2">
        <v>2090.44</v>
      </c>
      <c r="M392">
        <v>2023</v>
      </c>
      <c r="N392">
        <v>1</v>
      </c>
      <c r="O392" t="s">
        <v>92</v>
      </c>
      <c r="P392" s="2">
        <v>2787.25</v>
      </c>
      <c r="Q392" s="2">
        <v>696.81</v>
      </c>
      <c r="R392" t="s">
        <v>77</v>
      </c>
      <c r="S392">
        <v>0</v>
      </c>
      <c r="T392">
        <v>0</v>
      </c>
      <c r="U392">
        <f>IF(AND(OR(Dashboard!$D$4="Semua",D392=Dashboard!$D$4),OR(Dashboard!$H$4="Semua",E392=Dashboard!$H$4)),1,0)</f>
        <v>1</v>
      </c>
      <c r="V392">
        <f>IF(U392=1,IF(COUNTIFS($C$2:C392,C392,$U$2:U392,1)=1,1,0),0)</f>
        <v>0</v>
      </c>
    </row>
    <row r="393" spans="1:22" x14ac:dyDescent="0.35">
      <c r="A393">
        <v>10392</v>
      </c>
      <c r="B393" s="1">
        <v>44953</v>
      </c>
      <c r="C393">
        <v>1967</v>
      </c>
      <c r="D393" t="s">
        <v>73</v>
      </c>
      <c r="E393" t="s">
        <v>70</v>
      </c>
      <c r="F393">
        <v>7</v>
      </c>
      <c r="G393" s="2">
        <v>560.16</v>
      </c>
      <c r="H393">
        <v>0.17</v>
      </c>
      <c r="I393" t="s">
        <v>71</v>
      </c>
      <c r="J393">
        <v>9</v>
      </c>
      <c r="K393">
        <v>2.8</v>
      </c>
      <c r="L393" s="2">
        <v>3254.53</v>
      </c>
      <c r="M393">
        <v>2023</v>
      </c>
      <c r="N393">
        <v>1</v>
      </c>
      <c r="O393" t="s">
        <v>92</v>
      </c>
      <c r="P393" s="2">
        <v>3921.12</v>
      </c>
      <c r="Q393" s="2">
        <v>666.59</v>
      </c>
      <c r="R393" t="s">
        <v>76</v>
      </c>
      <c r="S393">
        <v>0</v>
      </c>
      <c r="T393">
        <v>0</v>
      </c>
      <c r="U393">
        <f>IF(AND(OR(Dashboard!$D$4="Semua",D393=Dashboard!$D$4),OR(Dashboard!$H$4="Semua",E393=Dashboard!$H$4)),1,0)</f>
        <v>1</v>
      </c>
      <c r="V393">
        <f>IF(U393=1,IF(COUNTIFS($C$2:C393,C393,$U$2:U393,1)=1,1,0),0)</f>
        <v>1</v>
      </c>
    </row>
    <row r="394" spans="1:22" x14ac:dyDescent="0.35">
      <c r="A394">
        <v>10393</v>
      </c>
      <c r="B394" s="1">
        <v>44954</v>
      </c>
      <c r="C394">
        <v>1419</v>
      </c>
      <c r="D394" t="s">
        <v>73</v>
      </c>
      <c r="E394" t="s">
        <v>78</v>
      </c>
      <c r="F394">
        <v>4</v>
      </c>
      <c r="G394" s="2">
        <v>314.94</v>
      </c>
      <c r="H394">
        <v>0.1</v>
      </c>
      <c r="I394" t="s">
        <v>71</v>
      </c>
      <c r="J394">
        <v>7</v>
      </c>
      <c r="K394">
        <v>4.5</v>
      </c>
      <c r="L394" s="2">
        <v>1133.78</v>
      </c>
      <c r="M394">
        <v>2023</v>
      </c>
      <c r="N394">
        <v>1</v>
      </c>
      <c r="O394" t="s">
        <v>92</v>
      </c>
      <c r="P394" s="2">
        <v>1259.76</v>
      </c>
      <c r="Q394" s="2">
        <v>125.98</v>
      </c>
      <c r="R394" t="s">
        <v>69</v>
      </c>
      <c r="S394">
        <v>0</v>
      </c>
      <c r="T394">
        <v>0</v>
      </c>
      <c r="U394">
        <f>IF(AND(OR(Dashboard!$D$4="Semua",D394=Dashboard!$D$4),OR(Dashboard!$H$4="Semua",E394=Dashboard!$H$4)),1,0)</f>
        <v>1</v>
      </c>
      <c r="V394">
        <f>IF(U394=1,IF(COUNTIFS($C$2:C394,C394,$U$2:U394,1)=1,1,0),0)</f>
        <v>1</v>
      </c>
    </row>
    <row r="395" spans="1:22" x14ac:dyDescent="0.35">
      <c r="A395">
        <v>10394</v>
      </c>
      <c r="B395" s="1">
        <v>44955</v>
      </c>
      <c r="C395">
        <v>1421</v>
      </c>
      <c r="D395" t="s">
        <v>73</v>
      </c>
      <c r="E395" t="s">
        <v>63</v>
      </c>
      <c r="F395">
        <v>6</v>
      </c>
      <c r="G395" s="2">
        <v>193.87</v>
      </c>
      <c r="H395">
        <v>0.13</v>
      </c>
      <c r="I395" t="s">
        <v>68</v>
      </c>
      <c r="J395">
        <v>4</v>
      </c>
      <c r="K395">
        <v>4.9000000000000004</v>
      </c>
      <c r="L395" s="2">
        <v>1012</v>
      </c>
      <c r="M395">
        <v>2023</v>
      </c>
      <c r="N395">
        <v>1</v>
      </c>
      <c r="O395" t="s">
        <v>92</v>
      </c>
      <c r="P395" s="2">
        <v>1163.22</v>
      </c>
      <c r="Q395" s="2">
        <v>151.22</v>
      </c>
      <c r="R395" t="s">
        <v>79</v>
      </c>
      <c r="S395">
        <v>0</v>
      </c>
      <c r="T395">
        <v>0</v>
      </c>
      <c r="U395">
        <f>IF(AND(OR(Dashboard!$D$4="Semua",D395=Dashboard!$D$4),OR(Dashboard!$H$4="Semua",E395=Dashboard!$H$4)),1,0)</f>
        <v>1</v>
      </c>
      <c r="V395">
        <f>IF(U395=1,IF(COUNTIFS($C$2:C395,C395,$U$2:U395,1)=1,1,0),0)</f>
        <v>1</v>
      </c>
    </row>
    <row r="396" spans="1:22" x14ac:dyDescent="0.35">
      <c r="A396">
        <v>10395</v>
      </c>
      <c r="B396" s="1">
        <v>44956</v>
      </c>
      <c r="C396">
        <v>1103</v>
      </c>
      <c r="D396" t="s">
        <v>62</v>
      </c>
      <c r="E396" t="s">
        <v>74</v>
      </c>
      <c r="F396">
        <v>2</v>
      </c>
      <c r="G396" s="2">
        <v>283.86</v>
      </c>
      <c r="H396">
        <v>0.3</v>
      </c>
      <c r="I396" t="s">
        <v>71</v>
      </c>
      <c r="J396">
        <v>3</v>
      </c>
      <c r="K396">
        <v>2</v>
      </c>
      <c r="L396" s="2">
        <v>397.4</v>
      </c>
      <c r="M396">
        <v>2023</v>
      </c>
      <c r="N396">
        <v>1</v>
      </c>
      <c r="O396" t="s">
        <v>92</v>
      </c>
      <c r="P396" s="2">
        <v>567.72</v>
      </c>
      <c r="Q396" s="2">
        <v>170.32</v>
      </c>
      <c r="R396" t="s">
        <v>66</v>
      </c>
      <c r="S396">
        <v>0</v>
      </c>
      <c r="T396">
        <v>0</v>
      </c>
      <c r="U396">
        <f>IF(AND(OR(Dashboard!$D$4="Semua",D396=Dashboard!$D$4),OR(Dashboard!$H$4="Semua",E396=Dashboard!$H$4)),1,0)</f>
        <v>1</v>
      </c>
      <c r="V396">
        <f>IF(U396=1,IF(COUNTIFS($C$2:C396,C396,$U$2:U396,1)=1,1,0),0)</f>
        <v>1</v>
      </c>
    </row>
    <row r="397" spans="1:22" x14ac:dyDescent="0.35">
      <c r="A397">
        <v>10396</v>
      </c>
      <c r="B397" s="1">
        <v>44957</v>
      </c>
      <c r="C397">
        <v>1851</v>
      </c>
      <c r="D397" t="s">
        <v>62</v>
      </c>
      <c r="E397" t="s">
        <v>63</v>
      </c>
      <c r="F397">
        <v>5</v>
      </c>
      <c r="G397" s="2">
        <v>124.14</v>
      </c>
      <c r="H397">
        <v>0.16</v>
      </c>
      <c r="I397" t="s">
        <v>68</v>
      </c>
      <c r="J397">
        <v>2</v>
      </c>
      <c r="K397">
        <v>1.3</v>
      </c>
      <c r="L397" s="2">
        <v>521.39</v>
      </c>
      <c r="M397">
        <v>2023</v>
      </c>
      <c r="N397">
        <v>1</v>
      </c>
      <c r="O397" t="s">
        <v>92</v>
      </c>
      <c r="P397" s="2">
        <v>620.70000000000005</v>
      </c>
      <c r="Q397" s="2">
        <v>99.31</v>
      </c>
      <c r="R397" t="s">
        <v>76</v>
      </c>
      <c r="S397">
        <v>0</v>
      </c>
      <c r="T397">
        <v>0</v>
      </c>
      <c r="U397">
        <f>IF(AND(OR(Dashboard!$D$4="Semua",D397=Dashboard!$D$4),OR(Dashboard!$H$4="Semua",E397=Dashboard!$H$4)),1,0)</f>
        <v>1</v>
      </c>
      <c r="V397">
        <f>IF(U397=1,IF(COUNTIFS($C$2:C397,C397,$U$2:U397,1)=1,1,0),0)</f>
        <v>1</v>
      </c>
    </row>
    <row r="398" spans="1:22" x14ac:dyDescent="0.35">
      <c r="A398">
        <v>10397</v>
      </c>
      <c r="B398" s="1">
        <v>44958</v>
      </c>
      <c r="C398">
        <v>1253</v>
      </c>
      <c r="D398" t="s">
        <v>80</v>
      </c>
      <c r="E398" t="s">
        <v>70</v>
      </c>
      <c r="F398">
        <v>3</v>
      </c>
      <c r="G398" s="2">
        <v>387.26</v>
      </c>
      <c r="H398">
        <v>7.0000000000000007E-2</v>
      </c>
      <c r="I398" t="s">
        <v>68</v>
      </c>
      <c r="J398">
        <v>10</v>
      </c>
      <c r="K398">
        <v>3.6</v>
      </c>
      <c r="L398" s="2">
        <v>1080.46</v>
      </c>
      <c r="M398">
        <v>2023</v>
      </c>
      <c r="N398">
        <v>2</v>
      </c>
      <c r="O398" t="s">
        <v>93</v>
      </c>
      <c r="P398" s="2">
        <v>1161.78</v>
      </c>
      <c r="Q398" s="2">
        <v>81.319999999999993</v>
      </c>
      <c r="R398" t="s">
        <v>69</v>
      </c>
      <c r="S398">
        <v>0</v>
      </c>
      <c r="T398">
        <v>0</v>
      </c>
      <c r="U398">
        <f>IF(AND(OR(Dashboard!$D$4="Semua",D398=Dashboard!$D$4),OR(Dashboard!$H$4="Semua",E398=Dashboard!$H$4)),1,0)</f>
        <v>1</v>
      </c>
      <c r="V398">
        <f>IF(U398=1,IF(COUNTIFS($C$2:C398,C398,$U$2:U398,1)=1,1,0),0)</f>
        <v>0</v>
      </c>
    </row>
    <row r="399" spans="1:22" x14ac:dyDescent="0.35">
      <c r="A399">
        <v>10398</v>
      </c>
      <c r="B399" s="1">
        <v>44959</v>
      </c>
      <c r="C399">
        <v>1226</v>
      </c>
      <c r="D399" t="s">
        <v>80</v>
      </c>
      <c r="E399" t="s">
        <v>70</v>
      </c>
      <c r="F399">
        <v>7</v>
      </c>
      <c r="G399" s="2">
        <v>307.55</v>
      </c>
      <c r="H399">
        <v>0.33</v>
      </c>
      <c r="I399" t="s">
        <v>68</v>
      </c>
      <c r="J399">
        <v>10</v>
      </c>
      <c r="K399">
        <v>3</v>
      </c>
      <c r="L399" s="2">
        <v>1442.41</v>
      </c>
      <c r="M399">
        <v>2023</v>
      </c>
      <c r="N399">
        <v>2</v>
      </c>
      <c r="O399" t="s">
        <v>93</v>
      </c>
      <c r="P399" s="2">
        <v>2152.85</v>
      </c>
      <c r="Q399" s="2">
        <v>710.44</v>
      </c>
      <c r="R399" t="s">
        <v>72</v>
      </c>
      <c r="S399">
        <v>0</v>
      </c>
      <c r="T399">
        <v>0</v>
      </c>
      <c r="U399">
        <f>IF(AND(OR(Dashboard!$D$4="Semua",D399=Dashboard!$D$4),OR(Dashboard!$H$4="Semua",E399=Dashboard!$H$4)),1,0)</f>
        <v>1</v>
      </c>
      <c r="V399">
        <f>IF(U399=1,IF(COUNTIFS($C$2:C399,C399,$U$2:U399,1)=1,1,0),0)</f>
        <v>1</v>
      </c>
    </row>
    <row r="400" spans="1:22" x14ac:dyDescent="0.35">
      <c r="A400">
        <v>10399</v>
      </c>
      <c r="B400" s="1">
        <v>44960</v>
      </c>
      <c r="C400">
        <v>1111</v>
      </c>
      <c r="D400" t="s">
        <v>67</v>
      </c>
      <c r="E400" t="s">
        <v>78</v>
      </c>
      <c r="F400">
        <v>4</v>
      </c>
      <c r="G400" s="2">
        <v>75.430000000000007</v>
      </c>
      <c r="H400">
        <v>0.28000000000000003</v>
      </c>
      <c r="I400" t="s">
        <v>64</v>
      </c>
      <c r="J400">
        <v>1</v>
      </c>
      <c r="K400">
        <v>3.3</v>
      </c>
      <c r="L400" s="2">
        <v>217.24</v>
      </c>
      <c r="M400">
        <v>2023</v>
      </c>
      <c r="N400">
        <v>2</v>
      </c>
      <c r="O400" t="s">
        <v>93</v>
      </c>
      <c r="P400" s="2">
        <v>301.72000000000003</v>
      </c>
      <c r="Q400" s="2">
        <v>84.48</v>
      </c>
      <c r="R400" t="s">
        <v>66</v>
      </c>
      <c r="S400">
        <v>0</v>
      </c>
      <c r="T400">
        <v>0</v>
      </c>
      <c r="U400">
        <f>IF(AND(OR(Dashboard!$D$4="Semua",D400=Dashboard!$D$4),OR(Dashboard!$H$4="Semua",E400=Dashboard!$H$4)),1,0)</f>
        <v>1</v>
      </c>
      <c r="V400">
        <f>IF(U400=1,IF(COUNTIFS($C$2:C400,C400,$U$2:U400,1)=1,1,0),0)</f>
        <v>1</v>
      </c>
    </row>
    <row r="401" spans="1:22" x14ac:dyDescent="0.35">
      <c r="A401">
        <v>10400</v>
      </c>
      <c r="B401" s="1">
        <v>44961</v>
      </c>
      <c r="C401">
        <v>1509</v>
      </c>
      <c r="D401" t="s">
        <v>62</v>
      </c>
      <c r="E401" t="s">
        <v>78</v>
      </c>
      <c r="F401">
        <v>1</v>
      </c>
      <c r="G401" s="2">
        <v>130.62</v>
      </c>
      <c r="H401">
        <v>0.02</v>
      </c>
      <c r="I401" t="s">
        <v>71</v>
      </c>
      <c r="J401">
        <v>11</v>
      </c>
      <c r="K401">
        <v>1.2</v>
      </c>
      <c r="L401" s="2">
        <v>128.01</v>
      </c>
      <c r="M401">
        <v>2023</v>
      </c>
      <c r="N401">
        <v>2</v>
      </c>
      <c r="O401" t="s">
        <v>93</v>
      </c>
      <c r="P401" s="2">
        <v>130.62</v>
      </c>
      <c r="Q401" s="2">
        <v>2.61</v>
      </c>
      <c r="R401" t="s">
        <v>75</v>
      </c>
      <c r="S401">
        <v>0</v>
      </c>
      <c r="T401">
        <v>0</v>
      </c>
      <c r="U401">
        <f>IF(AND(OR(Dashboard!$D$4="Semua",D401=Dashboard!$D$4),OR(Dashboard!$H$4="Semua",E401=Dashboard!$H$4)),1,0)</f>
        <v>1</v>
      </c>
      <c r="V401">
        <f>IF(U401=1,IF(COUNTIFS($C$2:C401,C401,$U$2:U401,1)=1,1,0),0)</f>
        <v>0</v>
      </c>
    </row>
    <row r="402" spans="1:22" x14ac:dyDescent="0.35">
      <c r="A402">
        <v>10401</v>
      </c>
      <c r="B402" s="1">
        <v>44962</v>
      </c>
      <c r="C402">
        <v>1472</v>
      </c>
      <c r="D402" t="s">
        <v>67</v>
      </c>
      <c r="E402" t="s">
        <v>70</v>
      </c>
      <c r="F402">
        <v>4</v>
      </c>
      <c r="G402" s="2">
        <v>295.58</v>
      </c>
      <c r="H402">
        <v>0.35</v>
      </c>
      <c r="I402" t="s">
        <v>71</v>
      </c>
      <c r="J402">
        <v>10</v>
      </c>
      <c r="K402">
        <v>4.0999999999999996</v>
      </c>
      <c r="L402" s="2">
        <v>768.51</v>
      </c>
      <c r="M402">
        <v>2023</v>
      </c>
      <c r="N402">
        <v>2</v>
      </c>
      <c r="O402" t="s">
        <v>93</v>
      </c>
      <c r="P402" s="2">
        <v>1182.32</v>
      </c>
      <c r="Q402" s="2">
        <v>413.81</v>
      </c>
      <c r="R402" t="s">
        <v>72</v>
      </c>
      <c r="S402">
        <v>0</v>
      </c>
      <c r="T402">
        <v>0</v>
      </c>
      <c r="U402">
        <f>IF(AND(OR(Dashboard!$D$4="Semua",D402=Dashboard!$D$4),OR(Dashboard!$H$4="Semua",E402=Dashboard!$H$4)),1,0)</f>
        <v>1</v>
      </c>
      <c r="V402">
        <f>IF(U402=1,IF(COUNTIFS($C$2:C402,C402,$U$2:U402,1)=1,1,0),0)</f>
        <v>0</v>
      </c>
    </row>
    <row r="403" spans="1:22" x14ac:dyDescent="0.35">
      <c r="A403">
        <v>10402</v>
      </c>
      <c r="B403" s="1">
        <v>44963</v>
      </c>
      <c r="C403">
        <v>1098</v>
      </c>
      <c r="D403" t="s">
        <v>67</v>
      </c>
      <c r="E403" t="s">
        <v>70</v>
      </c>
      <c r="F403">
        <v>4</v>
      </c>
      <c r="G403" s="2">
        <v>534.24</v>
      </c>
      <c r="H403">
        <v>0.24</v>
      </c>
      <c r="I403" t="s">
        <v>71</v>
      </c>
      <c r="J403">
        <v>11</v>
      </c>
      <c r="K403">
        <v>1.9</v>
      </c>
      <c r="L403" s="2">
        <v>1624.09</v>
      </c>
      <c r="M403">
        <v>2023</v>
      </c>
      <c r="N403">
        <v>2</v>
      </c>
      <c r="O403" t="s">
        <v>93</v>
      </c>
      <c r="P403" s="2">
        <v>2136.96</v>
      </c>
      <c r="Q403" s="2">
        <v>512.87</v>
      </c>
      <c r="R403" t="s">
        <v>77</v>
      </c>
      <c r="S403">
        <v>0</v>
      </c>
      <c r="T403">
        <v>0</v>
      </c>
      <c r="U403">
        <f>IF(AND(OR(Dashboard!$D$4="Semua",D403=Dashboard!$D$4),OR(Dashboard!$H$4="Semua",E403=Dashboard!$H$4)),1,0)</f>
        <v>1</v>
      </c>
      <c r="V403">
        <f>IF(U403=1,IF(COUNTIFS($C$2:C403,C403,$U$2:U403,1)=1,1,0),0)</f>
        <v>0</v>
      </c>
    </row>
    <row r="404" spans="1:22" x14ac:dyDescent="0.35">
      <c r="A404">
        <v>10403</v>
      </c>
      <c r="B404" s="1">
        <v>44964</v>
      </c>
      <c r="C404">
        <v>1152</v>
      </c>
      <c r="D404" t="s">
        <v>73</v>
      </c>
      <c r="E404" t="s">
        <v>63</v>
      </c>
      <c r="F404">
        <v>6</v>
      </c>
      <c r="G404" s="2">
        <v>346.34</v>
      </c>
      <c r="H404">
        <v>0.06</v>
      </c>
      <c r="I404" t="s">
        <v>68</v>
      </c>
      <c r="J404">
        <v>1</v>
      </c>
      <c r="K404">
        <v>2.2999999999999998</v>
      </c>
      <c r="L404" s="2">
        <v>1953.36</v>
      </c>
      <c r="M404">
        <v>2023</v>
      </c>
      <c r="N404">
        <v>2</v>
      </c>
      <c r="O404" t="s">
        <v>93</v>
      </c>
      <c r="P404" s="2">
        <v>2078.04</v>
      </c>
      <c r="Q404" s="2">
        <v>124.68</v>
      </c>
      <c r="R404" t="s">
        <v>69</v>
      </c>
      <c r="S404">
        <v>0</v>
      </c>
      <c r="T404">
        <v>0</v>
      </c>
      <c r="U404">
        <f>IF(AND(OR(Dashboard!$D$4="Semua",D404=Dashboard!$D$4),OR(Dashboard!$H$4="Semua",E404=Dashboard!$H$4)),1,0)</f>
        <v>1</v>
      </c>
      <c r="V404">
        <f>IF(U404=1,IF(COUNTIFS($C$2:C404,C404,$U$2:U404,1)=1,1,0),0)</f>
        <v>1</v>
      </c>
    </row>
    <row r="405" spans="1:22" x14ac:dyDescent="0.35">
      <c r="A405">
        <v>10404</v>
      </c>
      <c r="B405" s="1">
        <v>44965</v>
      </c>
      <c r="C405">
        <v>1860</v>
      </c>
      <c r="D405" t="s">
        <v>80</v>
      </c>
      <c r="E405" t="s">
        <v>63</v>
      </c>
      <c r="F405">
        <v>6</v>
      </c>
      <c r="G405" s="2">
        <v>413.7</v>
      </c>
      <c r="H405">
        <v>0.08</v>
      </c>
      <c r="I405" t="s">
        <v>71</v>
      </c>
      <c r="J405">
        <v>4</v>
      </c>
      <c r="K405">
        <v>1.9</v>
      </c>
      <c r="L405" s="2">
        <v>2283.62</v>
      </c>
      <c r="M405">
        <v>2023</v>
      </c>
      <c r="N405">
        <v>2</v>
      </c>
      <c r="O405" t="s">
        <v>93</v>
      </c>
      <c r="P405" s="2">
        <v>2482.1999999999998</v>
      </c>
      <c r="Q405" s="2">
        <v>198.58</v>
      </c>
      <c r="R405" t="s">
        <v>69</v>
      </c>
      <c r="S405">
        <v>0</v>
      </c>
      <c r="T405">
        <v>0</v>
      </c>
      <c r="U405">
        <f>IF(AND(OR(Dashboard!$D$4="Semua",D405=Dashboard!$D$4),OR(Dashboard!$H$4="Semua",E405=Dashboard!$H$4)),1,0)</f>
        <v>1</v>
      </c>
      <c r="V405">
        <f>IF(U405=1,IF(COUNTIFS($C$2:C405,C405,$U$2:U405,1)=1,1,0),0)</f>
        <v>0</v>
      </c>
    </row>
    <row r="406" spans="1:22" x14ac:dyDescent="0.35">
      <c r="A406">
        <v>10405</v>
      </c>
      <c r="B406" s="1">
        <v>44966</v>
      </c>
      <c r="C406">
        <v>1913</v>
      </c>
      <c r="D406" t="s">
        <v>80</v>
      </c>
      <c r="E406" t="s">
        <v>78</v>
      </c>
      <c r="F406">
        <v>7</v>
      </c>
      <c r="G406" s="2">
        <v>213.33</v>
      </c>
      <c r="H406">
        <v>0.24</v>
      </c>
      <c r="I406" t="s">
        <v>68</v>
      </c>
      <c r="J406">
        <v>4</v>
      </c>
      <c r="K406">
        <v>4.8</v>
      </c>
      <c r="L406" s="2">
        <v>1134.92</v>
      </c>
      <c r="M406">
        <v>2023</v>
      </c>
      <c r="N406">
        <v>2</v>
      </c>
      <c r="O406" t="s">
        <v>93</v>
      </c>
      <c r="P406" s="2">
        <v>1493.31</v>
      </c>
      <c r="Q406" s="2">
        <v>358.39</v>
      </c>
      <c r="R406" t="s">
        <v>77</v>
      </c>
      <c r="S406">
        <v>0</v>
      </c>
      <c r="T406">
        <v>0</v>
      </c>
      <c r="U406">
        <f>IF(AND(OR(Dashboard!$D$4="Semua",D406=Dashboard!$D$4),OR(Dashboard!$H$4="Semua",E406=Dashboard!$H$4)),1,0)</f>
        <v>1</v>
      </c>
      <c r="V406">
        <f>IF(U406=1,IF(COUNTIFS($C$2:C406,C406,$U$2:U406,1)=1,1,0),0)</f>
        <v>1</v>
      </c>
    </row>
    <row r="407" spans="1:22" x14ac:dyDescent="0.35">
      <c r="A407">
        <v>10406</v>
      </c>
      <c r="B407" s="1">
        <v>44967</v>
      </c>
      <c r="C407">
        <v>1895</v>
      </c>
      <c r="D407" t="s">
        <v>67</v>
      </c>
      <c r="E407" t="s">
        <v>63</v>
      </c>
      <c r="F407">
        <v>7</v>
      </c>
      <c r="G407" s="2">
        <v>349.28</v>
      </c>
      <c r="H407">
        <v>0.27</v>
      </c>
      <c r="I407" t="s">
        <v>68</v>
      </c>
      <c r="J407">
        <v>9</v>
      </c>
      <c r="K407">
        <v>1.7</v>
      </c>
      <c r="L407" s="2">
        <v>1784.82</v>
      </c>
      <c r="M407">
        <v>2023</v>
      </c>
      <c r="N407">
        <v>2</v>
      </c>
      <c r="O407" t="s">
        <v>93</v>
      </c>
      <c r="P407" s="2">
        <v>2444.96</v>
      </c>
      <c r="Q407" s="2">
        <v>660.14</v>
      </c>
      <c r="R407" t="s">
        <v>66</v>
      </c>
      <c r="S407">
        <v>0</v>
      </c>
      <c r="T407">
        <v>0</v>
      </c>
      <c r="U407">
        <f>IF(AND(OR(Dashboard!$D$4="Semua",D407=Dashboard!$D$4),OR(Dashboard!$H$4="Semua",E407=Dashboard!$H$4)),1,0)</f>
        <v>1</v>
      </c>
      <c r="V407">
        <f>IF(U407=1,IF(COUNTIFS($C$2:C407,C407,$U$2:U407,1)=1,1,0),0)</f>
        <v>1</v>
      </c>
    </row>
    <row r="408" spans="1:22" x14ac:dyDescent="0.35">
      <c r="A408">
        <v>10407</v>
      </c>
      <c r="B408" s="1">
        <v>44968</v>
      </c>
      <c r="C408">
        <v>1877</v>
      </c>
      <c r="D408" t="s">
        <v>73</v>
      </c>
      <c r="E408" t="s">
        <v>78</v>
      </c>
      <c r="F408">
        <v>3</v>
      </c>
      <c r="G408" s="2">
        <v>276.72000000000003</v>
      </c>
      <c r="H408">
        <v>0.08</v>
      </c>
      <c r="I408" t="s">
        <v>71</v>
      </c>
      <c r="J408">
        <v>10</v>
      </c>
      <c r="K408">
        <v>3.9</v>
      </c>
      <c r="L408" s="2">
        <v>763.75</v>
      </c>
      <c r="M408">
        <v>2023</v>
      </c>
      <c r="N408">
        <v>2</v>
      </c>
      <c r="O408" t="s">
        <v>93</v>
      </c>
      <c r="P408" s="2">
        <v>830.16</v>
      </c>
      <c r="Q408" s="2">
        <v>66.41</v>
      </c>
      <c r="R408" t="s">
        <v>69</v>
      </c>
      <c r="S408">
        <v>0</v>
      </c>
      <c r="T408">
        <v>0</v>
      </c>
      <c r="U408">
        <f>IF(AND(OR(Dashboard!$D$4="Semua",D408=Dashboard!$D$4),OR(Dashboard!$H$4="Semua",E408=Dashboard!$H$4)),1,0)</f>
        <v>1</v>
      </c>
      <c r="V408">
        <f>IF(U408=1,IF(COUNTIFS($C$2:C408,C408,$U$2:U408,1)=1,1,0),0)</f>
        <v>1</v>
      </c>
    </row>
    <row r="409" spans="1:22" x14ac:dyDescent="0.35">
      <c r="A409">
        <v>10408</v>
      </c>
      <c r="B409" s="1">
        <v>44969</v>
      </c>
      <c r="C409">
        <v>1337</v>
      </c>
      <c r="D409" t="s">
        <v>80</v>
      </c>
      <c r="E409" t="s">
        <v>78</v>
      </c>
      <c r="F409">
        <v>7</v>
      </c>
      <c r="G409" s="2">
        <v>400.59</v>
      </c>
      <c r="H409">
        <v>0.09</v>
      </c>
      <c r="I409" t="s">
        <v>68</v>
      </c>
      <c r="J409">
        <v>1</v>
      </c>
      <c r="K409">
        <v>2</v>
      </c>
      <c r="L409" s="2">
        <v>2551.7600000000002</v>
      </c>
      <c r="M409">
        <v>2023</v>
      </c>
      <c r="N409">
        <v>2</v>
      </c>
      <c r="O409" t="s">
        <v>93</v>
      </c>
      <c r="P409" s="2">
        <v>2804.13</v>
      </c>
      <c r="Q409" s="2">
        <v>252.37</v>
      </c>
      <c r="R409" t="s">
        <v>69</v>
      </c>
      <c r="S409">
        <v>0</v>
      </c>
      <c r="T409">
        <v>0</v>
      </c>
      <c r="U409">
        <f>IF(AND(OR(Dashboard!$D$4="Semua",D409=Dashboard!$D$4),OR(Dashboard!$H$4="Semua",E409=Dashboard!$H$4)),1,0)</f>
        <v>1</v>
      </c>
      <c r="V409">
        <f>IF(U409=1,IF(COUNTIFS($C$2:C409,C409,$U$2:U409,1)=1,1,0),0)</f>
        <v>0</v>
      </c>
    </row>
    <row r="410" spans="1:22" x14ac:dyDescent="0.35">
      <c r="A410">
        <v>10409</v>
      </c>
      <c r="B410" s="1">
        <v>44970</v>
      </c>
      <c r="C410">
        <v>1705</v>
      </c>
      <c r="D410" t="s">
        <v>73</v>
      </c>
      <c r="E410" t="s">
        <v>74</v>
      </c>
      <c r="F410">
        <v>3</v>
      </c>
      <c r="G410" s="2">
        <v>44.59</v>
      </c>
      <c r="H410">
        <v>0.11</v>
      </c>
      <c r="I410" t="s">
        <v>68</v>
      </c>
      <c r="J410">
        <v>11</v>
      </c>
      <c r="K410">
        <v>2.7</v>
      </c>
      <c r="L410" s="2">
        <v>119.06</v>
      </c>
      <c r="M410">
        <v>2023</v>
      </c>
      <c r="N410">
        <v>2</v>
      </c>
      <c r="O410" t="s">
        <v>93</v>
      </c>
      <c r="P410" s="2">
        <v>133.77000000000001</v>
      </c>
      <c r="Q410" s="2">
        <v>14.71</v>
      </c>
      <c r="R410" t="s">
        <v>79</v>
      </c>
      <c r="S410">
        <v>0</v>
      </c>
      <c r="T410">
        <v>0</v>
      </c>
      <c r="U410">
        <f>IF(AND(OR(Dashboard!$D$4="Semua",D410=Dashboard!$D$4),OR(Dashboard!$H$4="Semua",E410=Dashboard!$H$4)),1,0)</f>
        <v>1</v>
      </c>
      <c r="V410">
        <f>IF(U410=1,IF(COUNTIFS($C$2:C410,C410,$U$2:U410,1)=1,1,0),0)</f>
        <v>1</v>
      </c>
    </row>
    <row r="411" spans="1:22" x14ac:dyDescent="0.35">
      <c r="A411">
        <v>10410</v>
      </c>
      <c r="B411" s="1">
        <v>44971</v>
      </c>
      <c r="C411">
        <v>1821</v>
      </c>
      <c r="D411" t="s">
        <v>80</v>
      </c>
      <c r="E411" t="s">
        <v>78</v>
      </c>
      <c r="F411">
        <v>6</v>
      </c>
      <c r="G411" s="2">
        <v>303.58</v>
      </c>
      <c r="H411">
        <v>0.21</v>
      </c>
      <c r="I411" t="s">
        <v>64</v>
      </c>
      <c r="J411">
        <v>4</v>
      </c>
      <c r="K411">
        <v>5</v>
      </c>
      <c r="L411" s="2">
        <v>1438.97</v>
      </c>
      <c r="M411">
        <v>2023</v>
      </c>
      <c r="N411">
        <v>2</v>
      </c>
      <c r="O411" t="s">
        <v>93</v>
      </c>
      <c r="P411" s="2">
        <v>1821.48</v>
      </c>
      <c r="Q411" s="2">
        <v>382.51</v>
      </c>
      <c r="R411" t="s">
        <v>77</v>
      </c>
      <c r="S411">
        <v>0</v>
      </c>
      <c r="T411">
        <v>0</v>
      </c>
      <c r="U411">
        <f>IF(AND(OR(Dashboard!$D$4="Semua",D411=Dashboard!$D$4),OR(Dashboard!$H$4="Semua",E411=Dashboard!$H$4)),1,0)</f>
        <v>1</v>
      </c>
      <c r="V411">
        <f>IF(U411=1,IF(COUNTIFS($C$2:C411,C411,$U$2:U411,1)=1,1,0),0)</f>
        <v>0</v>
      </c>
    </row>
    <row r="412" spans="1:22" x14ac:dyDescent="0.35">
      <c r="A412">
        <v>10411</v>
      </c>
      <c r="B412" s="1">
        <v>44972</v>
      </c>
      <c r="C412">
        <v>1162</v>
      </c>
      <c r="D412" t="s">
        <v>62</v>
      </c>
      <c r="E412" t="s">
        <v>63</v>
      </c>
      <c r="F412">
        <v>6</v>
      </c>
      <c r="G412" s="2">
        <v>188.16</v>
      </c>
      <c r="H412">
        <v>0.06</v>
      </c>
      <c r="I412" t="s">
        <v>71</v>
      </c>
      <c r="J412">
        <v>3</v>
      </c>
      <c r="K412">
        <v>1.4</v>
      </c>
      <c r="L412" s="2">
        <v>1061.22</v>
      </c>
      <c r="M412">
        <v>2023</v>
      </c>
      <c r="N412">
        <v>2</v>
      </c>
      <c r="O412" t="s">
        <v>93</v>
      </c>
      <c r="P412" s="2">
        <v>1128.96</v>
      </c>
      <c r="Q412" s="2">
        <v>67.739999999999995</v>
      </c>
      <c r="R412" t="s">
        <v>69</v>
      </c>
      <c r="S412">
        <v>0</v>
      </c>
      <c r="T412">
        <v>0</v>
      </c>
      <c r="U412">
        <f>IF(AND(OR(Dashboard!$D$4="Semua",D412=Dashboard!$D$4),OR(Dashboard!$H$4="Semua",E412=Dashboard!$H$4)),1,0)</f>
        <v>1</v>
      </c>
      <c r="V412">
        <f>IF(U412=1,IF(COUNTIFS($C$2:C412,C412,$U$2:U412,1)=1,1,0),0)</f>
        <v>1</v>
      </c>
    </row>
    <row r="413" spans="1:22" x14ac:dyDescent="0.35">
      <c r="A413">
        <v>10412</v>
      </c>
      <c r="B413" s="1">
        <v>44973</v>
      </c>
      <c r="C413">
        <v>1719</v>
      </c>
      <c r="D413" t="s">
        <v>67</v>
      </c>
      <c r="E413" t="s">
        <v>70</v>
      </c>
      <c r="F413">
        <v>2</v>
      </c>
      <c r="G413" s="2">
        <v>205.82</v>
      </c>
      <c r="H413">
        <v>0.04</v>
      </c>
      <c r="I413" t="s">
        <v>71</v>
      </c>
      <c r="J413">
        <v>9</v>
      </c>
      <c r="K413">
        <v>4.5</v>
      </c>
      <c r="L413" s="2">
        <v>395.17</v>
      </c>
      <c r="M413">
        <v>2023</v>
      </c>
      <c r="N413">
        <v>2</v>
      </c>
      <c r="O413" t="s">
        <v>93</v>
      </c>
      <c r="P413" s="2">
        <v>411.64</v>
      </c>
      <c r="Q413" s="2">
        <v>16.47</v>
      </c>
      <c r="R413" t="s">
        <v>75</v>
      </c>
      <c r="S413">
        <v>0</v>
      </c>
      <c r="T413">
        <v>0</v>
      </c>
      <c r="U413">
        <f>IF(AND(OR(Dashboard!$D$4="Semua",D413=Dashboard!$D$4),OR(Dashboard!$H$4="Semua",E413=Dashboard!$H$4)),1,0)</f>
        <v>1</v>
      </c>
      <c r="V413">
        <f>IF(U413=1,IF(COUNTIFS($C$2:C413,C413,$U$2:U413,1)=1,1,0),0)</f>
        <v>0</v>
      </c>
    </row>
    <row r="414" spans="1:22" x14ac:dyDescent="0.35">
      <c r="A414">
        <v>10413</v>
      </c>
      <c r="B414" s="1">
        <v>44974</v>
      </c>
      <c r="C414">
        <v>1956</v>
      </c>
      <c r="D414" t="s">
        <v>73</v>
      </c>
      <c r="E414" t="s">
        <v>70</v>
      </c>
      <c r="F414">
        <v>2</v>
      </c>
      <c r="G414" s="2">
        <v>577.14</v>
      </c>
      <c r="H414">
        <v>0.24</v>
      </c>
      <c r="I414" t="s">
        <v>68</v>
      </c>
      <c r="J414">
        <v>5</v>
      </c>
      <c r="K414">
        <v>4.8</v>
      </c>
      <c r="L414" s="2">
        <v>877.25</v>
      </c>
      <c r="M414">
        <v>2023</v>
      </c>
      <c r="N414">
        <v>2</v>
      </c>
      <c r="O414" t="s">
        <v>93</v>
      </c>
      <c r="P414" s="2">
        <v>1154.28</v>
      </c>
      <c r="Q414" s="2">
        <v>277.02999999999997</v>
      </c>
      <c r="R414" t="s">
        <v>77</v>
      </c>
      <c r="S414">
        <v>0</v>
      </c>
      <c r="T414">
        <v>0</v>
      </c>
      <c r="U414">
        <f>IF(AND(OR(Dashboard!$D$4="Semua",D414=Dashboard!$D$4),OR(Dashboard!$H$4="Semua",E414=Dashboard!$H$4)),1,0)</f>
        <v>1</v>
      </c>
      <c r="V414">
        <f>IF(U414=1,IF(COUNTIFS($C$2:C414,C414,$U$2:U414,1)=1,1,0),0)</f>
        <v>1</v>
      </c>
    </row>
    <row r="415" spans="1:22" x14ac:dyDescent="0.35">
      <c r="A415">
        <v>10414</v>
      </c>
      <c r="B415" s="1">
        <v>44975</v>
      </c>
      <c r="C415">
        <v>1680</v>
      </c>
      <c r="D415" t="s">
        <v>80</v>
      </c>
      <c r="E415" t="s">
        <v>63</v>
      </c>
      <c r="F415">
        <v>5</v>
      </c>
      <c r="G415" s="2">
        <v>121.88</v>
      </c>
      <c r="H415">
        <v>0.27</v>
      </c>
      <c r="I415" t="s">
        <v>68</v>
      </c>
      <c r="J415">
        <v>9</v>
      </c>
      <c r="K415">
        <v>3.8</v>
      </c>
      <c r="L415" s="2">
        <v>444.86</v>
      </c>
      <c r="M415">
        <v>2023</v>
      </c>
      <c r="N415">
        <v>2</v>
      </c>
      <c r="O415" t="s">
        <v>93</v>
      </c>
      <c r="P415" s="2">
        <v>609.4</v>
      </c>
      <c r="Q415" s="2">
        <v>164.54</v>
      </c>
      <c r="R415" t="s">
        <v>66</v>
      </c>
      <c r="S415">
        <v>0</v>
      </c>
      <c r="T415">
        <v>0</v>
      </c>
      <c r="U415">
        <f>IF(AND(OR(Dashboard!$D$4="Semua",D415=Dashboard!$D$4),OR(Dashboard!$H$4="Semua",E415=Dashboard!$H$4)),1,0)</f>
        <v>1</v>
      </c>
      <c r="V415">
        <f>IF(U415=1,IF(COUNTIFS($C$2:C415,C415,$U$2:U415,1)=1,1,0),0)</f>
        <v>1</v>
      </c>
    </row>
    <row r="416" spans="1:22" x14ac:dyDescent="0.35">
      <c r="A416">
        <v>10415</v>
      </c>
      <c r="B416" s="1">
        <v>44976</v>
      </c>
      <c r="C416">
        <v>1995</v>
      </c>
      <c r="D416" t="s">
        <v>80</v>
      </c>
      <c r="E416" t="s">
        <v>70</v>
      </c>
      <c r="F416">
        <v>6</v>
      </c>
      <c r="G416" s="2">
        <v>197.08</v>
      </c>
      <c r="H416">
        <v>0.18</v>
      </c>
      <c r="I416" t="s">
        <v>71</v>
      </c>
      <c r="J416">
        <v>10</v>
      </c>
      <c r="K416">
        <v>1</v>
      </c>
      <c r="L416" s="2">
        <v>969.63</v>
      </c>
      <c r="M416">
        <v>2023</v>
      </c>
      <c r="N416">
        <v>2</v>
      </c>
      <c r="O416" t="s">
        <v>93</v>
      </c>
      <c r="P416" s="2">
        <v>1182.48</v>
      </c>
      <c r="Q416" s="2">
        <v>212.85</v>
      </c>
      <c r="R416" t="s">
        <v>76</v>
      </c>
      <c r="S416">
        <v>0</v>
      </c>
      <c r="T416">
        <v>0</v>
      </c>
      <c r="U416">
        <f>IF(AND(OR(Dashboard!$D$4="Semua",D416=Dashboard!$D$4),OR(Dashboard!$H$4="Semua",E416=Dashboard!$H$4)),1,0)</f>
        <v>1</v>
      </c>
      <c r="V416">
        <f>IF(U416=1,IF(COUNTIFS($C$2:C416,C416,$U$2:U416,1)=1,1,0),0)</f>
        <v>0</v>
      </c>
    </row>
    <row r="417" spans="1:22" x14ac:dyDescent="0.35">
      <c r="A417">
        <v>10416</v>
      </c>
      <c r="B417" s="1">
        <v>44977</v>
      </c>
      <c r="C417">
        <v>1160</v>
      </c>
      <c r="D417" t="s">
        <v>67</v>
      </c>
      <c r="E417" t="s">
        <v>78</v>
      </c>
      <c r="F417">
        <v>1</v>
      </c>
      <c r="G417" s="2">
        <v>313.29000000000002</v>
      </c>
      <c r="H417">
        <v>0.13</v>
      </c>
      <c r="I417" t="s">
        <v>71</v>
      </c>
      <c r="J417">
        <v>6</v>
      </c>
      <c r="K417">
        <v>4.3</v>
      </c>
      <c r="L417" s="2">
        <v>272.56</v>
      </c>
      <c r="M417">
        <v>2023</v>
      </c>
      <c r="N417">
        <v>2</v>
      </c>
      <c r="O417" t="s">
        <v>93</v>
      </c>
      <c r="P417" s="2">
        <v>313.29000000000002</v>
      </c>
      <c r="Q417" s="2">
        <v>40.729999999999997</v>
      </c>
      <c r="R417" t="s">
        <v>79</v>
      </c>
      <c r="S417">
        <v>0</v>
      </c>
      <c r="T417">
        <v>0</v>
      </c>
      <c r="U417">
        <f>IF(AND(OR(Dashboard!$D$4="Semua",D417=Dashboard!$D$4),OR(Dashboard!$H$4="Semua",E417=Dashboard!$H$4)),1,0)</f>
        <v>1</v>
      </c>
      <c r="V417">
        <f>IF(U417=1,IF(COUNTIFS($C$2:C417,C417,$U$2:U417,1)=1,1,0),0)</f>
        <v>0</v>
      </c>
    </row>
    <row r="418" spans="1:22" x14ac:dyDescent="0.35">
      <c r="A418">
        <v>10417</v>
      </c>
      <c r="B418" s="1">
        <v>44978</v>
      </c>
      <c r="C418">
        <v>1579</v>
      </c>
      <c r="D418" t="s">
        <v>62</v>
      </c>
      <c r="E418" t="s">
        <v>70</v>
      </c>
      <c r="F418">
        <v>2</v>
      </c>
      <c r="G418" s="2">
        <v>519.87</v>
      </c>
      <c r="H418">
        <v>0.15</v>
      </c>
      <c r="I418" t="s">
        <v>71</v>
      </c>
      <c r="J418">
        <v>11</v>
      </c>
      <c r="K418">
        <v>4.5</v>
      </c>
      <c r="L418" s="2">
        <v>883.78</v>
      </c>
      <c r="M418">
        <v>2023</v>
      </c>
      <c r="N418">
        <v>2</v>
      </c>
      <c r="O418" t="s">
        <v>93</v>
      </c>
      <c r="P418" s="2">
        <v>1039.74</v>
      </c>
      <c r="Q418" s="2">
        <v>155.96</v>
      </c>
      <c r="R418" t="s">
        <v>79</v>
      </c>
      <c r="S418">
        <v>0</v>
      </c>
      <c r="T418">
        <v>0</v>
      </c>
      <c r="U418">
        <f>IF(AND(OR(Dashboard!$D$4="Semua",D418=Dashboard!$D$4),OR(Dashboard!$H$4="Semua",E418=Dashboard!$H$4)),1,0)</f>
        <v>1</v>
      </c>
      <c r="V418">
        <f>IF(U418=1,IF(COUNTIFS($C$2:C418,C418,$U$2:U418,1)=1,1,0),0)</f>
        <v>1</v>
      </c>
    </row>
    <row r="419" spans="1:22" x14ac:dyDescent="0.35">
      <c r="A419">
        <v>10418</v>
      </c>
      <c r="B419" s="1">
        <v>44979</v>
      </c>
      <c r="C419">
        <v>1800</v>
      </c>
      <c r="D419" t="s">
        <v>73</v>
      </c>
      <c r="E419" t="s">
        <v>63</v>
      </c>
      <c r="F419">
        <v>3</v>
      </c>
      <c r="G419" s="2">
        <v>258.75</v>
      </c>
      <c r="H419">
        <v>0.14000000000000001</v>
      </c>
      <c r="I419" t="s">
        <v>64</v>
      </c>
      <c r="J419">
        <v>9</v>
      </c>
      <c r="K419">
        <v>4.9000000000000004</v>
      </c>
      <c r="L419" s="2">
        <v>667.58</v>
      </c>
      <c r="M419">
        <v>2023</v>
      </c>
      <c r="N419">
        <v>2</v>
      </c>
      <c r="O419" t="s">
        <v>93</v>
      </c>
      <c r="P419" s="2">
        <v>776.25</v>
      </c>
      <c r="Q419" s="2">
        <v>108.67</v>
      </c>
      <c r="R419" t="s">
        <v>79</v>
      </c>
      <c r="S419">
        <v>0</v>
      </c>
      <c r="T419">
        <v>0</v>
      </c>
      <c r="U419">
        <f>IF(AND(OR(Dashboard!$D$4="Semua",D419=Dashboard!$D$4),OR(Dashboard!$H$4="Semua",E419=Dashboard!$H$4)),1,0)</f>
        <v>1</v>
      </c>
      <c r="V419">
        <f>IF(U419=1,IF(COUNTIFS($C$2:C419,C419,$U$2:U419,1)=1,1,0),0)</f>
        <v>1</v>
      </c>
    </row>
    <row r="420" spans="1:22" x14ac:dyDescent="0.35">
      <c r="A420">
        <v>10419</v>
      </c>
      <c r="B420" s="1">
        <v>44980</v>
      </c>
      <c r="C420">
        <v>1397</v>
      </c>
      <c r="D420" t="s">
        <v>67</v>
      </c>
      <c r="E420" t="s">
        <v>70</v>
      </c>
      <c r="F420">
        <v>4</v>
      </c>
      <c r="G420" s="2">
        <v>450.16</v>
      </c>
      <c r="H420">
        <v>0.34</v>
      </c>
      <c r="I420" t="s">
        <v>64</v>
      </c>
      <c r="J420">
        <v>1</v>
      </c>
      <c r="K420">
        <v>4.4000000000000004</v>
      </c>
      <c r="L420" s="2">
        <v>1188.42</v>
      </c>
      <c r="M420">
        <v>2023</v>
      </c>
      <c r="N420">
        <v>2</v>
      </c>
      <c r="O420" t="s">
        <v>93</v>
      </c>
      <c r="P420" s="2">
        <v>1800.64</v>
      </c>
      <c r="Q420" s="2">
        <v>612.22</v>
      </c>
      <c r="R420" t="s">
        <v>72</v>
      </c>
      <c r="S420">
        <v>0</v>
      </c>
      <c r="T420">
        <v>0</v>
      </c>
      <c r="U420">
        <f>IF(AND(OR(Dashboard!$D$4="Semua",D420=Dashboard!$D$4),OR(Dashboard!$H$4="Semua",E420=Dashboard!$H$4)),1,0)</f>
        <v>1</v>
      </c>
      <c r="V420">
        <f>IF(U420=1,IF(COUNTIFS($C$2:C420,C420,$U$2:U420,1)=1,1,0),0)</f>
        <v>0</v>
      </c>
    </row>
    <row r="421" spans="1:22" x14ac:dyDescent="0.35">
      <c r="A421">
        <v>10420</v>
      </c>
      <c r="B421" s="1">
        <v>44981</v>
      </c>
      <c r="C421">
        <v>1276</v>
      </c>
      <c r="D421" t="s">
        <v>80</v>
      </c>
      <c r="E421" t="s">
        <v>78</v>
      </c>
      <c r="F421">
        <v>7</v>
      </c>
      <c r="G421" s="2">
        <v>515.98</v>
      </c>
      <c r="H421">
        <v>0.27</v>
      </c>
      <c r="I421" t="s">
        <v>68</v>
      </c>
      <c r="J421">
        <v>4</v>
      </c>
      <c r="K421">
        <v>2.8</v>
      </c>
      <c r="L421" s="2">
        <v>2636.66</v>
      </c>
      <c r="M421">
        <v>2023</v>
      </c>
      <c r="N421">
        <v>2</v>
      </c>
      <c r="O421" t="s">
        <v>93</v>
      </c>
      <c r="P421" s="2">
        <v>3611.86</v>
      </c>
      <c r="Q421" s="2">
        <v>975.2</v>
      </c>
      <c r="R421" t="s">
        <v>66</v>
      </c>
      <c r="S421">
        <v>0</v>
      </c>
      <c r="T421">
        <v>0</v>
      </c>
      <c r="U421">
        <f>IF(AND(OR(Dashboard!$D$4="Semua",D421=Dashboard!$D$4),OR(Dashboard!$H$4="Semua",E421=Dashboard!$H$4)),1,0)</f>
        <v>1</v>
      </c>
      <c r="V421">
        <f>IF(U421=1,IF(COUNTIFS($C$2:C421,C421,$U$2:U421,1)=1,1,0),0)</f>
        <v>0</v>
      </c>
    </row>
    <row r="422" spans="1:22" x14ac:dyDescent="0.35">
      <c r="A422">
        <v>10421</v>
      </c>
      <c r="B422" s="1">
        <v>44982</v>
      </c>
      <c r="C422">
        <v>1815</v>
      </c>
      <c r="D422" t="s">
        <v>62</v>
      </c>
      <c r="E422" t="s">
        <v>78</v>
      </c>
      <c r="F422">
        <v>7</v>
      </c>
      <c r="G422" s="2">
        <v>196.36</v>
      </c>
      <c r="H422">
        <v>7.0000000000000007E-2</v>
      </c>
      <c r="I422" t="s">
        <v>64</v>
      </c>
      <c r="J422">
        <v>4</v>
      </c>
      <c r="K422">
        <v>3.8</v>
      </c>
      <c r="L422" s="2">
        <v>1278.3</v>
      </c>
      <c r="M422">
        <v>2023</v>
      </c>
      <c r="N422">
        <v>2</v>
      </c>
      <c r="O422" t="s">
        <v>93</v>
      </c>
      <c r="P422" s="2">
        <v>1374.52</v>
      </c>
      <c r="Q422" s="2">
        <v>96.22</v>
      </c>
      <c r="R422" t="s">
        <v>69</v>
      </c>
      <c r="S422">
        <v>0</v>
      </c>
      <c r="T422">
        <v>0</v>
      </c>
      <c r="U422">
        <f>IF(AND(OR(Dashboard!$D$4="Semua",D422=Dashboard!$D$4),OR(Dashboard!$H$4="Semua",E422=Dashboard!$H$4)),1,0)</f>
        <v>1</v>
      </c>
      <c r="V422">
        <f>IF(U422=1,IF(COUNTIFS($C$2:C422,C422,$U$2:U422,1)=1,1,0),0)</f>
        <v>0</v>
      </c>
    </row>
    <row r="423" spans="1:22" x14ac:dyDescent="0.35">
      <c r="A423">
        <v>10422</v>
      </c>
      <c r="B423" s="1">
        <v>44983</v>
      </c>
      <c r="C423">
        <v>1915</v>
      </c>
      <c r="D423" t="s">
        <v>73</v>
      </c>
      <c r="E423" t="s">
        <v>63</v>
      </c>
      <c r="F423">
        <v>5</v>
      </c>
      <c r="G423" s="2">
        <v>244.76</v>
      </c>
      <c r="H423">
        <v>0.13</v>
      </c>
      <c r="I423" t="s">
        <v>71</v>
      </c>
      <c r="J423">
        <v>10</v>
      </c>
      <c r="K423">
        <v>2.9</v>
      </c>
      <c r="L423" s="2">
        <v>1064.71</v>
      </c>
      <c r="M423">
        <v>2023</v>
      </c>
      <c r="N423">
        <v>2</v>
      </c>
      <c r="O423" t="s">
        <v>93</v>
      </c>
      <c r="P423" s="2">
        <v>1223.8</v>
      </c>
      <c r="Q423" s="2">
        <v>159.09</v>
      </c>
      <c r="R423" t="s">
        <v>79</v>
      </c>
      <c r="S423">
        <v>0</v>
      </c>
      <c r="T423">
        <v>0</v>
      </c>
      <c r="U423">
        <f>IF(AND(OR(Dashboard!$D$4="Semua",D423=Dashboard!$D$4),OR(Dashboard!$H$4="Semua",E423=Dashboard!$H$4)),1,0)</f>
        <v>1</v>
      </c>
      <c r="V423">
        <f>IF(U423=1,IF(COUNTIFS($C$2:C423,C423,$U$2:U423,1)=1,1,0),0)</f>
        <v>1</v>
      </c>
    </row>
    <row r="424" spans="1:22" x14ac:dyDescent="0.35">
      <c r="A424">
        <v>10423</v>
      </c>
      <c r="B424" s="1">
        <v>44984</v>
      </c>
      <c r="C424">
        <v>1503</v>
      </c>
      <c r="D424" t="s">
        <v>80</v>
      </c>
      <c r="E424" t="s">
        <v>63</v>
      </c>
      <c r="F424">
        <v>2</v>
      </c>
      <c r="G424" s="2">
        <v>223.59</v>
      </c>
      <c r="H424">
        <v>0.19</v>
      </c>
      <c r="I424" t="s">
        <v>71</v>
      </c>
      <c r="J424">
        <v>10</v>
      </c>
      <c r="K424">
        <v>2.4</v>
      </c>
      <c r="L424" s="2">
        <v>362.22</v>
      </c>
      <c r="M424">
        <v>2023</v>
      </c>
      <c r="N424">
        <v>2</v>
      </c>
      <c r="O424" t="s">
        <v>93</v>
      </c>
      <c r="P424" s="2">
        <v>447.18</v>
      </c>
      <c r="Q424" s="2">
        <v>84.96</v>
      </c>
      <c r="R424" t="s">
        <v>76</v>
      </c>
      <c r="S424">
        <v>0</v>
      </c>
      <c r="T424">
        <v>0</v>
      </c>
      <c r="U424">
        <f>IF(AND(OR(Dashboard!$D$4="Semua",D424=Dashboard!$D$4),OR(Dashboard!$H$4="Semua",E424=Dashboard!$H$4)),1,0)</f>
        <v>1</v>
      </c>
      <c r="V424">
        <f>IF(U424=1,IF(COUNTIFS($C$2:C424,C424,$U$2:U424,1)=1,1,0),0)</f>
        <v>1</v>
      </c>
    </row>
    <row r="425" spans="1:22" x14ac:dyDescent="0.35">
      <c r="A425">
        <v>10424</v>
      </c>
      <c r="B425" s="1">
        <v>44985</v>
      </c>
      <c r="C425">
        <v>1895</v>
      </c>
      <c r="D425" t="s">
        <v>67</v>
      </c>
      <c r="E425" t="s">
        <v>63</v>
      </c>
      <c r="F425">
        <v>4</v>
      </c>
      <c r="G425" s="2">
        <v>502.22</v>
      </c>
      <c r="H425">
        <v>0.21</v>
      </c>
      <c r="I425" t="s">
        <v>68</v>
      </c>
      <c r="J425">
        <v>6</v>
      </c>
      <c r="K425">
        <v>3.5</v>
      </c>
      <c r="L425" s="2">
        <v>1587.02</v>
      </c>
      <c r="M425">
        <v>2023</v>
      </c>
      <c r="N425">
        <v>2</v>
      </c>
      <c r="O425" t="s">
        <v>93</v>
      </c>
      <c r="P425" s="2">
        <v>2008.88</v>
      </c>
      <c r="Q425" s="2">
        <v>421.86</v>
      </c>
      <c r="R425" t="s">
        <v>77</v>
      </c>
      <c r="S425">
        <v>0</v>
      </c>
      <c r="T425">
        <v>0</v>
      </c>
      <c r="U425">
        <f>IF(AND(OR(Dashboard!$D$4="Semua",D425=Dashboard!$D$4),OR(Dashboard!$H$4="Semua",E425=Dashboard!$H$4)),1,0)</f>
        <v>1</v>
      </c>
      <c r="V425">
        <f>IF(U425=1,IF(COUNTIFS($C$2:C425,C425,$U$2:U425,1)=1,1,0),0)</f>
        <v>0</v>
      </c>
    </row>
    <row r="426" spans="1:22" x14ac:dyDescent="0.35">
      <c r="A426">
        <v>10425</v>
      </c>
      <c r="B426" s="1">
        <v>44986</v>
      </c>
      <c r="C426">
        <v>1391</v>
      </c>
      <c r="D426" t="s">
        <v>67</v>
      </c>
      <c r="E426" t="s">
        <v>74</v>
      </c>
      <c r="F426">
        <v>4</v>
      </c>
      <c r="G426" s="2">
        <v>40.94</v>
      </c>
      <c r="H426">
        <v>0.16</v>
      </c>
      <c r="I426" t="s">
        <v>71</v>
      </c>
      <c r="J426">
        <v>10</v>
      </c>
      <c r="K426">
        <v>4.0999999999999996</v>
      </c>
      <c r="L426" s="2">
        <v>137.56</v>
      </c>
      <c r="M426">
        <v>2023</v>
      </c>
      <c r="N426">
        <v>3</v>
      </c>
      <c r="O426" t="s">
        <v>94</v>
      </c>
      <c r="P426" s="2">
        <v>163.76</v>
      </c>
      <c r="Q426" s="2">
        <v>26.2</v>
      </c>
      <c r="R426" t="s">
        <v>76</v>
      </c>
      <c r="S426">
        <v>0</v>
      </c>
      <c r="T426">
        <v>0</v>
      </c>
      <c r="U426">
        <f>IF(AND(OR(Dashboard!$D$4="Semua",D426=Dashboard!$D$4),OR(Dashboard!$H$4="Semua",E426=Dashboard!$H$4)),1,0)</f>
        <v>1</v>
      </c>
      <c r="V426">
        <f>IF(U426=1,IF(COUNTIFS($C$2:C426,C426,$U$2:U426,1)=1,1,0),0)</f>
        <v>0</v>
      </c>
    </row>
    <row r="427" spans="1:22" x14ac:dyDescent="0.35">
      <c r="A427">
        <v>10426</v>
      </c>
      <c r="B427" s="1">
        <v>44987</v>
      </c>
      <c r="C427">
        <v>1134</v>
      </c>
      <c r="D427" t="s">
        <v>73</v>
      </c>
      <c r="E427" t="s">
        <v>74</v>
      </c>
      <c r="F427">
        <v>2</v>
      </c>
      <c r="G427" s="2">
        <v>195.43</v>
      </c>
      <c r="H427">
        <v>0.28000000000000003</v>
      </c>
      <c r="I427" t="s">
        <v>64</v>
      </c>
      <c r="J427">
        <v>1</v>
      </c>
      <c r="K427">
        <v>3.5</v>
      </c>
      <c r="L427" s="2">
        <v>281.42</v>
      </c>
      <c r="M427">
        <v>2023</v>
      </c>
      <c r="N427">
        <v>3</v>
      </c>
      <c r="O427" t="s">
        <v>94</v>
      </c>
      <c r="P427" s="2">
        <v>390.86</v>
      </c>
      <c r="Q427" s="2">
        <v>109.44</v>
      </c>
      <c r="R427" t="s">
        <v>66</v>
      </c>
      <c r="S427">
        <v>0</v>
      </c>
      <c r="T427">
        <v>0</v>
      </c>
      <c r="U427">
        <f>IF(AND(OR(Dashboard!$D$4="Semua",D427=Dashboard!$D$4),OR(Dashboard!$H$4="Semua",E427=Dashboard!$H$4)),1,0)</f>
        <v>1</v>
      </c>
      <c r="V427">
        <f>IF(U427=1,IF(COUNTIFS($C$2:C427,C427,$U$2:U427,1)=1,1,0),0)</f>
        <v>0</v>
      </c>
    </row>
    <row r="428" spans="1:22" x14ac:dyDescent="0.35">
      <c r="A428">
        <v>10427</v>
      </c>
      <c r="B428" s="1">
        <v>44988</v>
      </c>
      <c r="C428">
        <v>1194</v>
      </c>
      <c r="D428" t="s">
        <v>62</v>
      </c>
      <c r="E428" t="s">
        <v>78</v>
      </c>
      <c r="F428">
        <v>1</v>
      </c>
      <c r="G428" s="2">
        <v>412.45</v>
      </c>
      <c r="H428">
        <v>0.27</v>
      </c>
      <c r="I428" t="s">
        <v>71</v>
      </c>
      <c r="J428">
        <v>10</v>
      </c>
      <c r="K428">
        <v>4.3</v>
      </c>
      <c r="L428" s="2">
        <v>301.08999999999997</v>
      </c>
      <c r="M428">
        <v>2023</v>
      </c>
      <c r="N428">
        <v>3</v>
      </c>
      <c r="O428" t="s">
        <v>94</v>
      </c>
      <c r="P428" s="2">
        <v>412.45</v>
      </c>
      <c r="Q428" s="2">
        <v>111.36</v>
      </c>
      <c r="R428" t="s">
        <v>66</v>
      </c>
      <c r="S428">
        <v>0</v>
      </c>
      <c r="T428">
        <v>0</v>
      </c>
      <c r="U428">
        <f>IF(AND(OR(Dashboard!$D$4="Semua",D428=Dashboard!$D$4),OR(Dashboard!$H$4="Semua",E428=Dashboard!$H$4)),1,0)</f>
        <v>1</v>
      </c>
      <c r="V428">
        <f>IF(U428=1,IF(COUNTIFS($C$2:C428,C428,$U$2:U428,1)=1,1,0),0)</f>
        <v>1</v>
      </c>
    </row>
    <row r="429" spans="1:22" x14ac:dyDescent="0.35">
      <c r="A429">
        <v>10428</v>
      </c>
      <c r="B429" s="1">
        <v>44989</v>
      </c>
      <c r="C429">
        <v>1400</v>
      </c>
      <c r="D429" t="s">
        <v>73</v>
      </c>
      <c r="E429" t="s">
        <v>74</v>
      </c>
      <c r="F429">
        <v>1</v>
      </c>
      <c r="G429" s="2">
        <v>345.78</v>
      </c>
      <c r="H429">
        <v>0.18</v>
      </c>
      <c r="I429" t="s">
        <v>71</v>
      </c>
      <c r="J429">
        <v>5</v>
      </c>
      <c r="K429">
        <v>1.7</v>
      </c>
      <c r="L429" s="2">
        <v>283.54000000000002</v>
      </c>
      <c r="M429">
        <v>2023</v>
      </c>
      <c r="N429">
        <v>3</v>
      </c>
      <c r="O429" t="s">
        <v>94</v>
      </c>
      <c r="P429" s="2">
        <v>345.78</v>
      </c>
      <c r="Q429" s="2">
        <v>62.24</v>
      </c>
      <c r="R429" t="s">
        <v>76</v>
      </c>
      <c r="S429">
        <v>0</v>
      </c>
      <c r="T429">
        <v>0</v>
      </c>
      <c r="U429">
        <f>IF(AND(OR(Dashboard!$D$4="Semua",D429=Dashboard!$D$4),OR(Dashboard!$H$4="Semua",E429=Dashboard!$H$4)),1,0)</f>
        <v>1</v>
      </c>
      <c r="V429">
        <f>IF(U429=1,IF(COUNTIFS($C$2:C429,C429,$U$2:U429,1)=1,1,0),0)</f>
        <v>0</v>
      </c>
    </row>
    <row r="430" spans="1:22" x14ac:dyDescent="0.35">
      <c r="A430">
        <v>10429</v>
      </c>
      <c r="B430" s="1">
        <v>44990</v>
      </c>
      <c r="C430">
        <v>1639</v>
      </c>
      <c r="D430" t="s">
        <v>73</v>
      </c>
      <c r="E430" t="s">
        <v>74</v>
      </c>
      <c r="F430">
        <v>5</v>
      </c>
      <c r="G430" s="2">
        <v>270.23</v>
      </c>
      <c r="H430">
        <v>0.3</v>
      </c>
      <c r="I430" t="s">
        <v>68</v>
      </c>
      <c r="J430">
        <v>3</v>
      </c>
      <c r="K430">
        <v>2.5</v>
      </c>
      <c r="L430" s="2">
        <v>945.8</v>
      </c>
      <c r="M430">
        <v>2023</v>
      </c>
      <c r="N430">
        <v>3</v>
      </c>
      <c r="O430" t="s">
        <v>94</v>
      </c>
      <c r="P430" s="2">
        <v>1351.15</v>
      </c>
      <c r="Q430" s="2">
        <v>405.35</v>
      </c>
      <c r="R430" t="s">
        <v>66</v>
      </c>
      <c r="S430">
        <v>0</v>
      </c>
      <c r="T430">
        <v>0</v>
      </c>
      <c r="U430">
        <f>IF(AND(OR(Dashboard!$D$4="Semua",D430=Dashboard!$D$4),OR(Dashboard!$H$4="Semua",E430=Dashboard!$H$4)),1,0)</f>
        <v>1</v>
      </c>
      <c r="V430">
        <f>IF(U430=1,IF(COUNTIFS($C$2:C430,C430,$U$2:U430,1)=1,1,0),0)</f>
        <v>0</v>
      </c>
    </row>
    <row r="431" spans="1:22" x14ac:dyDescent="0.35">
      <c r="A431">
        <v>10430</v>
      </c>
      <c r="B431" s="1">
        <v>44991</v>
      </c>
      <c r="C431">
        <v>1032</v>
      </c>
      <c r="D431" t="s">
        <v>73</v>
      </c>
      <c r="E431" t="s">
        <v>70</v>
      </c>
      <c r="F431">
        <v>1</v>
      </c>
      <c r="G431" s="2">
        <v>330.87</v>
      </c>
      <c r="H431">
        <v>0.26</v>
      </c>
      <c r="I431" t="s">
        <v>68</v>
      </c>
      <c r="J431">
        <v>1</v>
      </c>
      <c r="K431">
        <v>2.2999999999999998</v>
      </c>
      <c r="L431" s="2">
        <v>244.84</v>
      </c>
      <c r="M431">
        <v>2023</v>
      </c>
      <c r="N431">
        <v>3</v>
      </c>
      <c r="O431" t="s">
        <v>94</v>
      </c>
      <c r="P431" s="2">
        <v>330.87</v>
      </c>
      <c r="Q431" s="2">
        <v>86.03</v>
      </c>
      <c r="R431" t="s">
        <v>66</v>
      </c>
      <c r="S431">
        <v>0</v>
      </c>
      <c r="T431">
        <v>0</v>
      </c>
      <c r="U431">
        <f>IF(AND(OR(Dashboard!$D$4="Semua",D431=Dashboard!$D$4),OR(Dashboard!$H$4="Semua",E431=Dashboard!$H$4)),1,0)</f>
        <v>1</v>
      </c>
      <c r="V431">
        <f>IF(U431=1,IF(COUNTIFS($C$2:C431,C431,$U$2:U431,1)=1,1,0),0)</f>
        <v>0</v>
      </c>
    </row>
    <row r="432" spans="1:22" x14ac:dyDescent="0.35">
      <c r="A432">
        <v>10431</v>
      </c>
      <c r="B432" s="1">
        <v>44992</v>
      </c>
      <c r="C432">
        <v>1687</v>
      </c>
      <c r="D432" t="s">
        <v>62</v>
      </c>
      <c r="E432" t="s">
        <v>74</v>
      </c>
      <c r="F432">
        <v>5</v>
      </c>
      <c r="G432" s="2">
        <v>130.59</v>
      </c>
      <c r="H432">
        <v>0.27</v>
      </c>
      <c r="I432" t="s">
        <v>68</v>
      </c>
      <c r="J432">
        <v>6</v>
      </c>
      <c r="K432">
        <v>1.8</v>
      </c>
      <c r="L432" s="2">
        <v>476.65</v>
      </c>
      <c r="M432">
        <v>2023</v>
      </c>
      <c r="N432">
        <v>3</v>
      </c>
      <c r="O432" t="s">
        <v>94</v>
      </c>
      <c r="P432" s="2">
        <v>652.95000000000005</v>
      </c>
      <c r="Q432" s="2">
        <v>176.3</v>
      </c>
      <c r="R432" t="s">
        <v>66</v>
      </c>
      <c r="S432">
        <v>0</v>
      </c>
      <c r="T432">
        <v>0</v>
      </c>
      <c r="U432">
        <f>IF(AND(OR(Dashboard!$D$4="Semua",D432=Dashboard!$D$4),OR(Dashboard!$H$4="Semua",E432=Dashboard!$H$4)),1,0)</f>
        <v>1</v>
      </c>
      <c r="V432">
        <f>IF(U432=1,IF(COUNTIFS($C$2:C432,C432,$U$2:U432,1)=1,1,0),0)</f>
        <v>1</v>
      </c>
    </row>
    <row r="433" spans="1:22" x14ac:dyDescent="0.35">
      <c r="A433">
        <v>10432</v>
      </c>
      <c r="B433" s="1">
        <v>44993</v>
      </c>
      <c r="C433">
        <v>1459</v>
      </c>
      <c r="D433" t="s">
        <v>80</v>
      </c>
      <c r="E433" t="s">
        <v>70</v>
      </c>
      <c r="F433">
        <v>3</v>
      </c>
      <c r="G433" s="2">
        <v>266.97000000000003</v>
      </c>
      <c r="H433">
        <v>0.33</v>
      </c>
      <c r="I433" t="s">
        <v>68</v>
      </c>
      <c r="J433">
        <v>3</v>
      </c>
      <c r="K433">
        <v>2.8</v>
      </c>
      <c r="L433" s="2">
        <v>536.61</v>
      </c>
      <c r="M433">
        <v>2023</v>
      </c>
      <c r="N433">
        <v>3</v>
      </c>
      <c r="O433" t="s">
        <v>94</v>
      </c>
      <c r="P433" s="2">
        <v>800.91</v>
      </c>
      <c r="Q433" s="2">
        <v>264.3</v>
      </c>
      <c r="R433" t="s">
        <v>72</v>
      </c>
      <c r="S433">
        <v>0</v>
      </c>
      <c r="T433">
        <v>0</v>
      </c>
      <c r="U433">
        <f>IF(AND(OR(Dashboard!$D$4="Semua",D433=Dashboard!$D$4),OR(Dashboard!$H$4="Semua",E433=Dashboard!$H$4)),1,0)</f>
        <v>1</v>
      </c>
      <c r="V433">
        <f>IF(U433=1,IF(COUNTIFS($C$2:C433,C433,$U$2:U433,1)=1,1,0),0)</f>
        <v>0</v>
      </c>
    </row>
    <row r="434" spans="1:22" x14ac:dyDescent="0.35">
      <c r="A434">
        <v>10433</v>
      </c>
      <c r="B434" s="1">
        <v>44994</v>
      </c>
      <c r="C434">
        <v>1954</v>
      </c>
      <c r="D434" t="s">
        <v>80</v>
      </c>
      <c r="E434" t="s">
        <v>63</v>
      </c>
      <c r="F434">
        <v>2</v>
      </c>
      <c r="G434" s="2">
        <v>308.5</v>
      </c>
      <c r="H434">
        <v>0.09</v>
      </c>
      <c r="I434" t="s">
        <v>71</v>
      </c>
      <c r="J434">
        <v>4</v>
      </c>
      <c r="K434">
        <v>4.8</v>
      </c>
      <c r="L434" s="2">
        <v>561.47</v>
      </c>
      <c r="M434">
        <v>2023</v>
      </c>
      <c r="N434">
        <v>3</v>
      </c>
      <c r="O434" t="s">
        <v>94</v>
      </c>
      <c r="P434" s="2">
        <v>617</v>
      </c>
      <c r="Q434" s="2">
        <v>55.53</v>
      </c>
      <c r="R434" t="s">
        <v>69</v>
      </c>
      <c r="S434">
        <v>0</v>
      </c>
      <c r="T434">
        <v>0</v>
      </c>
      <c r="U434">
        <f>IF(AND(OR(Dashboard!$D$4="Semua",D434=Dashboard!$D$4),OR(Dashboard!$H$4="Semua",E434=Dashboard!$H$4)),1,0)</f>
        <v>1</v>
      </c>
      <c r="V434">
        <f>IF(U434=1,IF(COUNTIFS($C$2:C434,C434,$U$2:U434,1)=1,1,0),0)</f>
        <v>0</v>
      </c>
    </row>
    <row r="435" spans="1:22" x14ac:dyDescent="0.35">
      <c r="A435">
        <v>10434</v>
      </c>
      <c r="B435" s="1">
        <v>44995</v>
      </c>
      <c r="C435">
        <v>1882</v>
      </c>
      <c r="D435" t="s">
        <v>73</v>
      </c>
      <c r="E435" t="s">
        <v>70</v>
      </c>
      <c r="F435">
        <v>4</v>
      </c>
      <c r="G435" s="2">
        <v>542.20000000000005</v>
      </c>
      <c r="H435">
        <v>0.09</v>
      </c>
      <c r="I435" t="s">
        <v>68</v>
      </c>
      <c r="J435">
        <v>9</v>
      </c>
      <c r="K435">
        <v>3.2</v>
      </c>
      <c r="L435" s="2">
        <v>1973.61</v>
      </c>
      <c r="M435">
        <v>2023</v>
      </c>
      <c r="N435">
        <v>3</v>
      </c>
      <c r="O435" t="s">
        <v>94</v>
      </c>
      <c r="P435" s="2">
        <v>2168.8000000000002</v>
      </c>
      <c r="Q435" s="2">
        <v>195.19</v>
      </c>
      <c r="R435" t="s">
        <v>69</v>
      </c>
      <c r="S435">
        <v>0</v>
      </c>
      <c r="T435">
        <v>0</v>
      </c>
      <c r="U435">
        <f>IF(AND(OR(Dashboard!$D$4="Semua",D435=Dashboard!$D$4),OR(Dashboard!$H$4="Semua",E435=Dashboard!$H$4)),1,0)</f>
        <v>1</v>
      </c>
      <c r="V435">
        <f>IF(U435=1,IF(COUNTIFS($C$2:C435,C435,$U$2:U435,1)=1,1,0),0)</f>
        <v>1</v>
      </c>
    </row>
    <row r="436" spans="1:22" x14ac:dyDescent="0.35">
      <c r="A436">
        <v>10435</v>
      </c>
      <c r="B436" s="1">
        <v>44996</v>
      </c>
      <c r="C436">
        <v>1469</v>
      </c>
      <c r="D436" t="s">
        <v>67</v>
      </c>
      <c r="E436" t="s">
        <v>70</v>
      </c>
      <c r="F436">
        <v>5</v>
      </c>
      <c r="G436" s="2">
        <v>167.59</v>
      </c>
      <c r="H436">
        <v>0.31</v>
      </c>
      <c r="I436" t="s">
        <v>71</v>
      </c>
      <c r="J436">
        <v>2</v>
      </c>
      <c r="K436">
        <v>2.1</v>
      </c>
      <c r="L436" s="2">
        <v>578.19000000000005</v>
      </c>
      <c r="M436">
        <v>2023</v>
      </c>
      <c r="N436">
        <v>3</v>
      </c>
      <c r="O436" t="s">
        <v>94</v>
      </c>
      <c r="P436" s="2">
        <v>837.95</v>
      </c>
      <c r="Q436" s="2">
        <v>259.76</v>
      </c>
      <c r="R436" t="s">
        <v>72</v>
      </c>
      <c r="S436">
        <v>0</v>
      </c>
      <c r="T436">
        <v>0</v>
      </c>
      <c r="U436">
        <f>IF(AND(OR(Dashboard!$D$4="Semua",D436=Dashboard!$D$4),OR(Dashboard!$H$4="Semua",E436=Dashboard!$H$4)),1,0)</f>
        <v>1</v>
      </c>
      <c r="V436">
        <f>IF(U436=1,IF(COUNTIFS($C$2:C436,C436,$U$2:U436,1)=1,1,0),0)</f>
        <v>1</v>
      </c>
    </row>
    <row r="437" spans="1:22" x14ac:dyDescent="0.35">
      <c r="A437">
        <v>10436</v>
      </c>
      <c r="B437" s="1">
        <v>44997</v>
      </c>
      <c r="C437">
        <v>1374</v>
      </c>
      <c r="D437" t="s">
        <v>67</v>
      </c>
      <c r="E437" t="s">
        <v>63</v>
      </c>
      <c r="F437">
        <v>7</v>
      </c>
      <c r="G437" s="2">
        <v>522.67999999999995</v>
      </c>
      <c r="H437">
        <v>0.27</v>
      </c>
      <c r="I437" t="s">
        <v>68</v>
      </c>
      <c r="J437">
        <v>1</v>
      </c>
      <c r="K437">
        <v>2.4</v>
      </c>
      <c r="L437" s="2">
        <v>2670.89</v>
      </c>
      <c r="M437">
        <v>2023</v>
      </c>
      <c r="N437">
        <v>3</v>
      </c>
      <c r="O437" t="s">
        <v>94</v>
      </c>
      <c r="P437" s="2">
        <v>3658.76</v>
      </c>
      <c r="Q437" s="2">
        <v>987.87</v>
      </c>
      <c r="R437" t="s">
        <v>66</v>
      </c>
      <c r="S437">
        <v>0</v>
      </c>
      <c r="T437">
        <v>0</v>
      </c>
      <c r="U437">
        <f>IF(AND(OR(Dashboard!$D$4="Semua",D437=Dashboard!$D$4),OR(Dashboard!$H$4="Semua",E437=Dashboard!$H$4)),1,0)</f>
        <v>1</v>
      </c>
      <c r="V437">
        <f>IF(U437=1,IF(COUNTIFS($C$2:C437,C437,$U$2:U437,1)=1,1,0),0)</f>
        <v>1</v>
      </c>
    </row>
    <row r="438" spans="1:22" x14ac:dyDescent="0.35">
      <c r="A438">
        <v>10437</v>
      </c>
      <c r="B438" s="1">
        <v>44998</v>
      </c>
      <c r="C438">
        <v>1021</v>
      </c>
      <c r="D438" t="s">
        <v>80</v>
      </c>
      <c r="E438" t="s">
        <v>63</v>
      </c>
      <c r="F438">
        <v>1</v>
      </c>
      <c r="G438" s="2">
        <v>391.88</v>
      </c>
      <c r="H438">
        <v>0.32</v>
      </c>
      <c r="I438" t="s">
        <v>68</v>
      </c>
      <c r="J438">
        <v>10</v>
      </c>
      <c r="K438">
        <v>3.5</v>
      </c>
      <c r="L438" s="2">
        <v>266.48</v>
      </c>
      <c r="M438">
        <v>2023</v>
      </c>
      <c r="N438">
        <v>3</v>
      </c>
      <c r="O438" t="s">
        <v>94</v>
      </c>
      <c r="P438" s="2">
        <v>391.88</v>
      </c>
      <c r="Q438" s="2">
        <v>125.4</v>
      </c>
      <c r="R438" t="s">
        <v>72</v>
      </c>
      <c r="S438">
        <v>0</v>
      </c>
      <c r="T438">
        <v>0</v>
      </c>
      <c r="U438">
        <f>IF(AND(OR(Dashboard!$D$4="Semua",D438=Dashboard!$D$4),OR(Dashboard!$H$4="Semua",E438=Dashboard!$H$4)),1,0)</f>
        <v>1</v>
      </c>
      <c r="V438">
        <f>IF(U438=1,IF(COUNTIFS($C$2:C438,C438,$U$2:U438,1)=1,1,0),0)</f>
        <v>0</v>
      </c>
    </row>
    <row r="439" spans="1:22" x14ac:dyDescent="0.35">
      <c r="A439">
        <v>10438</v>
      </c>
      <c r="B439" s="1">
        <v>44999</v>
      </c>
      <c r="C439">
        <v>1749</v>
      </c>
      <c r="D439" t="s">
        <v>62</v>
      </c>
      <c r="E439" t="s">
        <v>78</v>
      </c>
      <c r="F439">
        <v>7</v>
      </c>
      <c r="G439" s="2">
        <v>26.9</v>
      </c>
      <c r="H439">
        <v>0.02</v>
      </c>
      <c r="I439" t="s">
        <v>68</v>
      </c>
      <c r="J439">
        <v>6</v>
      </c>
      <c r="K439">
        <v>2.4</v>
      </c>
      <c r="L439" s="2">
        <v>184.53</v>
      </c>
      <c r="M439">
        <v>2023</v>
      </c>
      <c r="N439">
        <v>3</v>
      </c>
      <c r="O439" t="s">
        <v>94</v>
      </c>
      <c r="P439" s="2">
        <v>188.3</v>
      </c>
      <c r="Q439" s="2">
        <v>3.77</v>
      </c>
      <c r="R439" t="s">
        <v>75</v>
      </c>
      <c r="S439">
        <v>0</v>
      </c>
      <c r="T439">
        <v>0</v>
      </c>
      <c r="U439">
        <f>IF(AND(OR(Dashboard!$D$4="Semua",D439=Dashboard!$D$4),OR(Dashboard!$H$4="Semua",E439=Dashboard!$H$4)),1,0)</f>
        <v>1</v>
      </c>
      <c r="V439">
        <f>IF(U439=1,IF(COUNTIFS($C$2:C439,C439,$U$2:U439,1)=1,1,0),0)</f>
        <v>1</v>
      </c>
    </row>
    <row r="440" spans="1:22" x14ac:dyDescent="0.35">
      <c r="A440">
        <v>10439</v>
      </c>
      <c r="B440" s="1">
        <v>45000</v>
      </c>
      <c r="C440">
        <v>1669</v>
      </c>
      <c r="D440" t="s">
        <v>73</v>
      </c>
      <c r="E440" t="s">
        <v>78</v>
      </c>
      <c r="F440">
        <v>5</v>
      </c>
      <c r="G440" s="2">
        <v>438.91</v>
      </c>
      <c r="H440">
        <v>0.22</v>
      </c>
      <c r="I440" t="s">
        <v>64</v>
      </c>
      <c r="J440">
        <v>1</v>
      </c>
      <c r="K440">
        <v>3.2</v>
      </c>
      <c r="L440" s="2">
        <v>1711.75</v>
      </c>
      <c r="M440">
        <v>2023</v>
      </c>
      <c r="N440">
        <v>3</v>
      </c>
      <c r="O440" t="s">
        <v>94</v>
      </c>
      <c r="P440" s="2">
        <v>2194.5500000000002</v>
      </c>
      <c r="Q440" s="2">
        <v>482.8</v>
      </c>
      <c r="R440" t="s">
        <v>77</v>
      </c>
      <c r="S440">
        <v>0</v>
      </c>
      <c r="T440">
        <v>0</v>
      </c>
      <c r="U440">
        <f>IF(AND(OR(Dashboard!$D$4="Semua",D440=Dashboard!$D$4),OR(Dashboard!$H$4="Semua",E440=Dashboard!$H$4)),1,0)</f>
        <v>1</v>
      </c>
      <c r="V440">
        <f>IF(U440=1,IF(COUNTIFS($C$2:C440,C440,$U$2:U440,1)=1,1,0),0)</f>
        <v>1</v>
      </c>
    </row>
    <row r="441" spans="1:22" x14ac:dyDescent="0.35">
      <c r="A441">
        <v>10440</v>
      </c>
      <c r="B441" s="1">
        <v>45001</v>
      </c>
      <c r="C441">
        <v>1037</v>
      </c>
      <c r="D441" t="s">
        <v>80</v>
      </c>
      <c r="E441" t="s">
        <v>78</v>
      </c>
      <c r="F441">
        <v>6</v>
      </c>
      <c r="G441" s="2">
        <v>35.799999999999997</v>
      </c>
      <c r="H441">
        <v>0.05</v>
      </c>
      <c r="I441" t="s">
        <v>68</v>
      </c>
      <c r="J441">
        <v>1</v>
      </c>
      <c r="K441">
        <v>2.1</v>
      </c>
      <c r="L441" s="2">
        <v>204.06</v>
      </c>
      <c r="M441">
        <v>2023</v>
      </c>
      <c r="N441">
        <v>3</v>
      </c>
      <c r="O441" t="s">
        <v>94</v>
      </c>
      <c r="P441" s="2">
        <v>214.8</v>
      </c>
      <c r="Q441" s="2">
        <v>10.74</v>
      </c>
      <c r="R441" t="s">
        <v>75</v>
      </c>
      <c r="S441">
        <v>0</v>
      </c>
      <c r="T441">
        <v>0</v>
      </c>
      <c r="U441">
        <f>IF(AND(OR(Dashboard!$D$4="Semua",D441=Dashboard!$D$4),OR(Dashboard!$H$4="Semua",E441=Dashboard!$H$4)),1,0)</f>
        <v>1</v>
      </c>
      <c r="V441">
        <f>IF(U441=1,IF(COUNTIFS($C$2:C441,C441,$U$2:U441,1)=1,1,0),0)</f>
        <v>1</v>
      </c>
    </row>
    <row r="442" spans="1:22" x14ac:dyDescent="0.35">
      <c r="A442">
        <v>10441</v>
      </c>
      <c r="B442" s="1">
        <v>45002</v>
      </c>
      <c r="C442">
        <v>1229</v>
      </c>
      <c r="D442" t="s">
        <v>73</v>
      </c>
      <c r="E442" t="s">
        <v>78</v>
      </c>
      <c r="F442">
        <v>5</v>
      </c>
      <c r="G442" s="2">
        <v>598.47</v>
      </c>
      <c r="H442">
        <v>0.18</v>
      </c>
      <c r="I442" t="s">
        <v>68</v>
      </c>
      <c r="J442">
        <v>7</v>
      </c>
      <c r="K442">
        <v>2.4</v>
      </c>
      <c r="L442" s="2">
        <v>2453.73</v>
      </c>
      <c r="M442">
        <v>2023</v>
      </c>
      <c r="N442">
        <v>3</v>
      </c>
      <c r="O442" t="s">
        <v>94</v>
      </c>
      <c r="P442" s="2">
        <v>2992.35</v>
      </c>
      <c r="Q442" s="2">
        <v>538.62</v>
      </c>
      <c r="R442" t="s">
        <v>76</v>
      </c>
      <c r="S442">
        <v>0</v>
      </c>
      <c r="T442">
        <v>0</v>
      </c>
      <c r="U442">
        <f>IF(AND(OR(Dashboard!$D$4="Semua",D442=Dashboard!$D$4),OR(Dashboard!$H$4="Semua",E442=Dashboard!$H$4)),1,0)</f>
        <v>1</v>
      </c>
      <c r="V442">
        <f>IF(U442=1,IF(COUNTIFS($C$2:C442,C442,$U$2:U442,1)=1,1,0),0)</f>
        <v>1</v>
      </c>
    </row>
    <row r="443" spans="1:22" x14ac:dyDescent="0.35">
      <c r="A443">
        <v>10442</v>
      </c>
      <c r="B443" s="1">
        <v>45003</v>
      </c>
      <c r="C443">
        <v>1364</v>
      </c>
      <c r="D443" t="s">
        <v>67</v>
      </c>
      <c r="E443" t="s">
        <v>70</v>
      </c>
      <c r="F443">
        <v>1</v>
      </c>
      <c r="G443" s="2">
        <v>525.49</v>
      </c>
      <c r="H443">
        <v>0.05</v>
      </c>
      <c r="I443" t="s">
        <v>64</v>
      </c>
      <c r="J443">
        <v>2</v>
      </c>
      <c r="K443">
        <v>3.8</v>
      </c>
      <c r="L443" s="2">
        <v>499.22</v>
      </c>
      <c r="M443">
        <v>2023</v>
      </c>
      <c r="N443">
        <v>3</v>
      </c>
      <c r="O443" t="s">
        <v>94</v>
      </c>
      <c r="P443" s="2">
        <v>525.49</v>
      </c>
      <c r="Q443" s="2">
        <v>26.27</v>
      </c>
      <c r="R443" t="s">
        <v>75</v>
      </c>
      <c r="S443">
        <v>0</v>
      </c>
      <c r="T443">
        <v>0</v>
      </c>
      <c r="U443">
        <f>IF(AND(OR(Dashboard!$D$4="Semua",D443=Dashboard!$D$4),OR(Dashboard!$H$4="Semua",E443=Dashboard!$H$4)),1,0)</f>
        <v>1</v>
      </c>
      <c r="V443">
        <f>IF(U443=1,IF(COUNTIFS($C$2:C443,C443,$U$2:U443,1)=1,1,0),0)</f>
        <v>1</v>
      </c>
    </row>
    <row r="444" spans="1:22" x14ac:dyDescent="0.35">
      <c r="A444">
        <v>10443</v>
      </c>
      <c r="B444" s="1">
        <v>45004</v>
      </c>
      <c r="C444">
        <v>1562</v>
      </c>
      <c r="D444" t="s">
        <v>73</v>
      </c>
      <c r="E444" t="s">
        <v>70</v>
      </c>
      <c r="F444">
        <v>6</v>
      </c>
      <c r="G444" s="2">
        <v>188.95</v>
      </c>
      <c r="H444">
        <v>0.04</v>
      </c>
      <c r="I444" t="s">
        <v>64</v>
      </c>
      <c r="J444">
        <v>4</v>
      </c>
      <c r="K444">
        <v>3.3</v>
      </c>
      <c r="L444" s="2">
        <v>1088.3499999999999</v>
      </c>
      <c r="M444">
        <v>2023</v>
      </c>
      <c r="N444">
        <v>3</v>
      </c>
      <c r="O444" t="s">
        <v>94</v>
      </c>
      <c r="P444" s="2">
        <v>1133.7</v>
      </c>
      <c r="Q444" s="2">
        <v>45.35</v>
      </c>
      <c r="R444" t="s">
        <v>75</v>
      </c>
      <c r="S444">
        <v>0</v>
      </c>
      <c r="T444">
        <v>0</v>
      </c>
      <c r="U444">
        <f>IF(AND(OR(Dashboard!$D$4="Semua",D444=Dashboard!$D$4),OR(Dashboard!$H$4="Semua",E444=Dashboard!$H$4)),1,0)</f>
        <v>1</v>
      </c>
      <c r="V444">
        <f>IF(U444=1,IF(COUNTIFS($C$2:C444,C444,$U$2:U444,1)=1,1,0),0)</f>
        <v>0</v>
      </c>
    </row>
    <row r="445" spans="1:22" x14ac:dyDescent="0.35">
      <c r="A445">
        <v>10444</v>
      </c>
      <c r="B445" s="1">
        <v>45005</v>
      </c>
      <c r="C445">
        <v>1437</v>
      </c>
      <c r="D445" t="s">
        <v>73</v>
      </c>
      <c r="E445" t="s">
        <v>78</v>
      </c>
      <c r="F445">
        <v>6</v>
      </c>
      <c r="G445" s="2">
        <v>165.59</v>
      </c>
      <c r="H445">
        <v>0</v>
      </c>
      <c r="I445" t="s">
        <v>71</v>
      </c>
      <c r="J445">
        <v>4</v>
      </c>
      <c r="K445">
        <v>1.4</v>
      </c>
      <c r="L445" s="2">
        <v>993.54</v>
      </c>
      <c r="M445">
        <v>2023</v>
      </c>
      <c r="N445">
        <v>3</v>
      </c>
      <c r="O445" t="s">
        <v>94</v>
      </c>
      <c r="P445" s="2">
        <v>993.54</v>
      </c>
      <c r="Q445" s="2">
        <v>0</v>
      </c>
      <c r="R445" t="s">
        <v>75</v>
      </c>
      <c r="S445">
        <v>0</v>
      </c>
      <c r="T445">
        <v>0</v>
      </c>
      <c r="U445">
        <f>IF(AND(OR(Dashboard!$D$4="Semua",D445=Dashboard!$D$4),OR(Dashboard!$H$4="Semua",E445=Dashboard!$H$4)),1,0)</f>
        <v>1</v>
      </c>
      <c r="V445">
        <f>IF(U445=1,IF(COUNTIFS($C$2:C445,C445,$U$2:U445,1)=1,1,0),0)</f>
        <v>1</v>
      </c>
    </row>
    <row r="446" spans="1:22" x14ac:dyDescent="0.35">
      <c r="A446">
        <v>10445</v>
      </c>
      <c r="B446" s="1">
        <v>45006</v>
      </c>
      <c r="C446">
        <v>1775</v>
      </c>
      <c r="D446" t="s">
        <v>67</v>
      </c>
      <c r="E446" t="s">
        <v>74</v>
      </c>
      <c r="F446">
        <v>1</v>
      </c>
      <c r="G446" s="2">
        <v>238.14</v>
      </c>
      <c r="H446">
        <v>0.22</v>
      </c>
      <c r="I446" t="s">
        <v>68</v>
      </c>
      <c r="J446">
        <v>2</v>
      </c>
      <c r="K446">
        <v>4.9000000000000004</v>
      </c>
      <c r="L446" s="2">
        <v>185.75</v>
      </c>
      <c r="M446">
        <v>2023</v>
      </c>
      <c r="N446">
        <v>3</v>
      </c>
      <c r="O446" t="s">
        <v>94</v>
      </c>
      <c r="P446" s="2">
        <v>238.14</v>
      </c>
      <c r="Q446" s="2">
        <v>52.39</v>
      </c>
      <c r="R446" t="s">
        <v>77</v>
      </c>
      <c r="S446">
        <v>0</v>
      </c>
      <c r="T446">
        <v>0</v>
      </c>
      <c r="U446">
        <f>IF(AND(OR(Dashboard!$D$4="Semua",D446=Dashboard!$D$4),OR(Dashboard!$H$4="Semua",E446=Dashboard!$H$4)),1,0)</f>
        <v>1</v>
      </c>
      <c r="V446">
        <f>IF(U446=1,IF(COUNTIFS($C$2:C446,C446,$U$2:U446,1)=1,1,0),0)</f>
        <v>0</v>
      </c>
    </row>
    <row r="447" spans="1:22" x14ac:dyDescent="0.35">
      <c r="A447">
        <v>10446</v>
      </c>
      <c r="B447" s="1">
        <v>45007</v>
      </c>
      <c r="C447">
        <v>1282</v>
      </c>
      <c r="D447" t="s">
        <v>67</v>
      </c>
      <c r="E447" t="s">
        <v>78</v>
      </c>
      <c r="F447">
        <v>6</v>
      </c>
      <c r="G447" s="2">
        <v>223.36</v>
      </c>
      <c r="H447">
        <v>0.13</v>
      </c>
      <c r="I447" t="s">
        <v>68</v>
      </c>
      <c r="J447">
        <v>6</v>
      </c>
      <c r="K447">
        <v>1.2</v>
      </c>
      <c r="L447" s="2">
        <v>1165.94</v>
      </c>
      <c r="M447">
        <v>2023</v>
      </c>
      <c r="N447">
        <v>3</v>
      </c>
      <c r="O447" t="s">
        <v>94</v>
      </c>
      <c r="P447" s="2">
        <v>1340.16</v>
      </c>
      <c r="Q447" s="2">
        <v>174.22</v>
      </c>
      <c r="R447" t="s">
        <v>79</v>
      </c>
      <c r="S447">
        <v>0</v>
      </c>
      <c r="T447">
        <v>0</v>
      </c>
      <c r="U447">
        <f>IF(AND(OR(Dashboard!$D$4="Semua",D447=Dashboard!$D$4),OR(Dashboard!$H$4="Semua",E447=Dashboard!$H$4)),1,0)</f>
        <v>1</v>
      </c>
      <c r="V447">
        <f>IF(U447=1,IF(COUNTIFS($C$2:C447,C447,$U$2:U447,1)=1,1,0),0)</f>
        <v>0</v>
      </c>
    </row>
    <row r="448" spans="1:22" x14ac:dyDescent="0.35">
      <c r="A448">
        <v>10447</v>
      </c>
      <c r="B448" s="1">
        <v>45008</v>
      </c>
      <c r="C448">
        <v>1026</v>
      </c>
      <c r="D448" t="s">
        <v>73</v>
      </c>
      <c r="E448" t="s">
        <v>74</v>
      </c>
      <c r="F448">
        <v>2</v>
      </c>
      <c r="G448" s="2">
        <v>232.82</v>
      </c>
      <c r="H448">
        <v>0.04</v>
      </c>
      <c r="I448" t="s">
        <v>64</v>
      </c>
      <c r="J448">
        <v>10</v>
      </c>
      <c r="K448">
        <v>1.3</v>
      </c>
      <c r="L448" s="2">
        <v>447.01</v>
      </c>
      <c r="M448">
        <v>2023</v>
      </c>
      <c r="N448">
        <v>3</v>
      </c>
      <c r="O448" t="s">
        <v>94</v>
      </c>
      <c r="P448" s="2">
        <v>465.64</v>
      </c>
      <c r="Q448" s="2">
        <v>18.63</v>
      </c>
      <c r="R448" t="s">
        <v>75</v>
      </c>
      <c r="S448">
        <v>0</v>
      </c>
      <c r="T448">
        <v>0</v>
      </c>
      <c r="U448">
        <f>IF(AND(OR(Dashboard!$D$4="Semua",D448=Dashboard!$D$4),OR(Dashboard!$H$4="Semua",E448=Dashboard!$H$4)),1,0)</f>
        <v>1</v>
      </c>
      <c r="V448">
        <f>IF(U448=1,IF(COUNTIFS($C$2:C448,C448,$U$2:U448,1)=1,1,0),0)</f>
        <v>1</v>
      </c>
    </row>
    <row r="449" spans="1:22" x14ac:dyDescent="0.35">
      <c r="A449">
        <v>10448</v>
      </c>
      <c r="B449" s="1">
        <v>45009</v>
      </c>
      <c r="C449">
        <v>1225</v>
      </c>
      <c r="D449" t="s">
        <v>80</v>
      </c>
      <c r="E449" t="s">
        <v>63</v>
      </c>
      <c r="F449">
        <v>4</v>
      </c>
      <c r="G449" s="2">
        <v>201.19</v>
      </c>
      <c r="H449">
        <v>0.11</v>
      </c>
      <c r="I449" t="s">
        <v>64</v>
      </c>
      <c r="J449">
        <v>2</v>
      </c>
      <c r="K449">
        <v>3.8</v>
      </c>
      <c r="L449" s="2">
        <v>716.24</v>
      </c>
      <c r="M449">
        <v>2023</v>
      </c>
      <c r="N449">
        <v>3</v>
      </c>
      <c r="O449" t="s">
        <v>94</v>
      </c>
      <c r="P449" s="2">
        <v>804.76</v>
      </c>
      <c r="Q449" s="2">
        <v>88.52</v>
      </c>
      <c r="R449" t="s">
        <v>79</v>
      </c>
      <c r="S449">
        <v>0</v>
      </c>
      <c r="T449">
        <v>0</v>
      </c>
      <c r="U449">
        <f>IF(AND(OR(Dashboard!$D$4="Semua",D449=Dashboard!$D$4),OR(Dashboard!$H$4="Semua",E449=Dashboard!$H$4)),1,0)</f>
        <v>1</v>
      </c>
      <c r="V449">
        <f>IF(U449=1,IF(COUNTIFS($C$2:C449,C449,$U$2:U449,1)=1,1,0),0)</f>
        <v>1</v>
      </c>
    </row>
    <row r="450" spans="1:22" x14ac:dyDescent="0.35">
      <c r="A450">
        <v>10449</v>
      </c>
      <c r="B450" s="1">
        <v>45010</v>
      </c>
      <c r="C450">
        <v>1276</v>
      </c>
      <c r="D450" t="s">
        <v>67</v>
      </c>
      <c r="E450" t="s">
        <v>70</v>
      </c>
      <c r="F450">
        <v>7</v>
      </c>
      <c r="G450" s="2">
        <v>378.36</v>
      </c>
      <c r="H450">
        <v>0.06</v>
      </c>
      <c r="I450" t="s">
        <v>71</v>
      </c>
      <c r="J450">
        <v>8</v>
      </c>
      <c r="K450">
        <v>3.8</v>
      </c>
      <c r="L450" s="2">
        <v>2489.61</v>
      </c>
      <c r="M450">
        <v>2023</v>
      </c>
      <c r="N450">
        <v>3</v>
      </c>
      <c r="O450" t="s">
        <v>94</v>
      </c>
      <c r="P450" s="2">
        <v>2648.52</v>
      </c>
      <c r="Q450" s="2">
        <v>158.91</v>
      </c>
      <c r="R450" t="s">
        <v>69</v>
      </c>
      <c r="S450">
        <v>0</v>
      </c>
      <c r="T450">
        <v>0</v>
      </c>
      <c r="U450">
        <f>IF(AND(OR(Dashboard!$D$4="Semua",D450=Dashboard!$D$4),OR(Dashboard!$H$4="Semua",E450=Dashboard!$H$4)),1,0)</f>
        <v>1</v>
      </c>
      <c r="V450">
        <f>IF(U450=1,IF(COUNTIFS($C$2:C450,C450,$U$2:U450,1)=1,1,0),0)</f>
        <v>0</v>
      </c>
    </row>
    <row r="451" spans="1:22" x14ac:dyDescent="0.35">
      <c r="A451">
        <v>10450</v>
      </c>
      <c r="B451" s="1">
        <v>45011</v>
      </c>
      <c r="C451">
        <v>1797</v>
      </c>
      <c r="D451" t="s">
        <v>73</v>
      </c>
      <c r="E451" t="s">
        <v>70</v>
      </c>
      <c r="F451">
        <v>2</v>
      </c>
      <c r="G451" s="2">
        <v>111.09</v>
      </c>
      <c r="H451">
        <v>0.33</v>
      </c>
      <c r="I451" t="s">
        <v>68</v>
      </c>
      <c r="J451">
        <v>4</v>
      </c>
      <c r="K451">
        <v>1.1000000000000001</v>
      </c>
      <c r="L451" s="2">
        <v>148.86000000000001</v>
      </c>
      <c r="M451">
        <v>2023</v>
      </c>
      <c r="N451">
        <v>3</v>
      </c>
      <c r="O451" t="s">
        <v>94</v>
      </c>
      <c r="P451" s="2">
        <v>222.18</v>
      </c>
      <c r="Q451" s="2">
        <v>73.319999999999993</v>
      </c>
      <c r="R451" t="s">
        <v>72</v>
      </c>
      <c r="S451">
        <v>0</v>
      </c>
      <c r="T451">
        <v>0</v>
      </c>
      <c r="U451">
        <f>IF(AND(OR(Dashboard!$D$4="Semua",D451=Dashboard!$D$4),OR(Dashboard!$H$4="Semua",E451=Dashboard!$H$4)),1,0)</f>
        <v>1</v>
      </c>
      <c r="V451">
        <f>IF(U451=1,IF(COUNTIFS($C$2:C451,C451,$U$2:U451,1)=1,1,0),0)</f>
        <v>0</v>
      </c>
    </row>
    <row r="452" spans="1:22" x14ac:dyDescent="0.35">
      <c r="A452">
        <v>10451</v>
      </c>
      <c r="B452" s="1">
        <v>45012</v>
      </c>
      <c r="C452">
        <v>1608</v>
      </c>
      <c r="D452" t="s">
        <v>80</v>
      </c>
      <c r="E452" t="s">
        <v>74</v>
      </c>
      <c r="F452">
        <v>2</v>
      </c>
      <c r="G452" s="2">
        <v>509.9</v>
      </c>
      <c r="H452">
        <v>0.11</v>
      </c>
      <c r="I452" t="s">
        <v>68</v>
      </c>
      <c r="J452">
        <v>1</v>
      </c>
      <c r="K452">
        <v>3.6</v>
      </c>
      <c r="L452" s="2">
        <v>907.62</v>
      </c>
      <c r="M452">
        <v>2023</v>
      </c>
      <c r="N452">
        <v>3</v>
      </c>
      <c r="O452" t="s">
        <v>94</v>
      </c>
      <c r="P452" s="2">
        <v>1019.8</v>
      </c>
      <c r="Q452" s="2">
        <v>112.18</v>
      </c>
      <c r="R452" t="s">
        <v>79</v>
      </c>
      <c r="S452">
        <v>0</v>
      </c>
      <c r="T452">
        <v>0</v>
      </c>
      <c r="U452">
        <f>IF(AND(OR(Dashboard!$D$4="Semua",D452=Dashboard!$D$4),OR(Dashboard!$H$4="Semua",E452=Dashboard!$H$4)),1,0)</f>
        <v>1</v>
      </c>
      <c r="V452">
        <f>IF(U452=1,IF(COUNTIFS($C$2:C452,C452,$U$2:U452,1)=1,1,0),0)</f>
        <v>0</v>
      </c>
    </row>
    <row r="453" spans="1:22" x14ac:dyDescent="0.35">
      <c r="A453">
        <v>10452</v>
      </c>
      <c r="B453" s="1">
        <v>45013</v>
      </c>
      <c r="C453">
        <v>1283</v>
      </c>
      <c r="D453" t="s">
        <v>73</v>
      </c>
      <c r="E453" t="s">
        <v>78</v>
      </c>
      <c r="F453">
        <v>1</v>
      </c>
      <c r="G453" s="2">
        <v>490.26</v>
      </c>
      <c r="H453">
        <v>0.12</v>
      </c>
      <c r="I453" t="s">
        <v>68</v>
      </c>
      <c r="J453">
        <v>7</v>
      </c>
      <c r="K453">
        <v>1.1000000000000001</v>
      </c>
      <c r="L453" s="2">
        <v>431.43</v>
      </c>
      <c r="M453">
        <v>2023</v>
      </c>
      <c r="N453">
        <v>3</v>
      </c>
      <c r="O453" t="s">
        <v>94</v>
      </c>
      <c r="P453" s="2">
        <v>490.26</v>
      </c>
      <c r="Q453" s="2">
        <v>58.83</v>
      </c>
      <c r="R453" t="s">
        <v>79</v>
      </c>
      <c r="S453">
        <v>0</v>
      </c>
      <c r="T453">
        <v>0</v>
      </c>
      <c r="U453">
        <f>IF(AND(OR(Dashboard!$D$4="Semua",D453=Dashboard!$D$4),OR(Dashboard!$H$4="Semua",E453=Dashboard!$H$4)),1,0)</f>
        <v>1</v>
      </c>
      <c r="V453">
        <f>IF(U453=1,IF(COUNTIFS($C$2:C453,C453,$U$2:U453,1)=1,1,0),0)</f>
        <v>1</v>
      </c>
    </row>
    <row r="454" spans="1:22" x14ac:dyDescent="0.35">
      <c r="A454">
        <v>10453</v>
      </c>
      <c r="B454" s="1">
        <v>45014</v>
      </c>
      <c r="C454">
        <v>1878</v>
      </c>
      <c r="D454" t="s">
        <v>67</v>
      </c>
      <c r="E454" t="s">
        <v>70</v>
      </c>
      <c r="F454">
        <v>1</v>
      </c>
      <c r="G454" s="2">
        <v>293.74</v>
      </c>
      <c r="H454">
        <v>0.28999999999999998</v>
      </c>
      <c r="I454" t="s">
        <v>71</v>
      </c>
      <c r="J454">
        <v>6</v>
      </c>
      <c r="K454">
        <v>4.8</v>
      </c>
      <c r="L454" s="2">
        <v>208.56</v>
      </c>
      <c r="M454">
        <v>2023</v>
      </c>
      <c r="N454">
        <v>3</v>
      </c>
      <c r="O454" t="s">
        <v>94</v>
      </c>
      <c r="P454" s="2">
        <v>293.74</v>
      </c>
      <c r="Q454" s="2">
        <v>85.18</v>
      </c>
      <c r="R454" t="s">
        <v>66</v>
      </c>
      <c r="S454">
        <v>0</v>
      </c>
      <c r="T454">
        <v>0</v>
      </c>
      <c r="U454">
        <f>IF(AND(OR(Dashboard!$D$4="Semua",D454=Dashboard!$D$4),OR(Dashboard!$H$4="Semua",E454=Dashboard!$H$4)),1,0)</f>
        <v>1</v>
      </c>
      <c r="V454">
        <f>IF(U454=1,IF(COUNTIFS($C$2:C454,C454,$U$2:U454,1)=1,1,0),0)</f>
        <v>0</v>
      </c>
    </row>
    <row r="455" spans="1:22" x14ac:dyDescent="0.35">
      <c r="A455">
        <v>10454</v>
      </c>
      <c r="B455" s="1">
        <v>45015</v>
      </c>
      <c r="C455">
        <v>1959</v>
      </c>
      <c r="D455" t="s">
        <v>80</v>
      </c>
      <c r="E455" t="s">
        <v>74</v>
      </c>
      <c r="F455">
        <v>7</v>
      </c>
      <c r="G455" s="2">
        <v>513.85</v>
      </c>
      <c r="H455">
        <v>0.23</v>
      </c>
      <c r="I455" t="s">
        <v>68</v>
      </c>
      <c r="J455">
        <v>6</v>
      </c>
      <c r="K455">
        <v>3.8</v>
      </c>
      <c r="L455" s="2">
        <v>2769.65</v>
      </c>
      <c r="M455">
        <v>2023</v>
      </c>
      <c r="N455">
        <v>3</v>
      </c>
      <c r="O455" t="s">
        <v>94</v>
      </c>
      <c r="P455" s="2">
        <v>3596.95</v>
      </c>
      <c r="Q455" s="2">
        <v>827.3</v>
      </c>
      <c r="R455" t="s">
        <v>77</v>
      </c>
      <c r="S455">
        <v>0</v>
      </c>
      <c r="T455">
        <v>0</v>
      </c>
      <c r="U455">
        <f>IF(AND(OR(Dashboard!$D$4="Semua",D455=Dashboard!$D$4),OR(Dashboard!$H$4="Semua",E455=Dashboard!$H$4)),1,0)</f>
        <v>1</v>
      </c>
      <c r="V455">
        <f>IF(U455=1,IF(COUNTIFS($C$2:C455,C455,$U$2:U455,1)=1,1,0),0)</f>
        <v>1</v>
      </c>
    </row>
    <row r="456" spans="1:22" x14ac:dyDescent="0.35">
      <c r="A456">
        <v>10455</v>
      </c>
      <c r="B456" s="1">
        <v>45016</v>
      </c>
      <c r="C456">
        <v>1480</v>
      </c>
      <c r="D456" t="s">
        <v>73</v>
      </c>
      <c r="E456" t="s">
        <v>63</v>
      </c>
      <c r="F456">
        <v>4</v>
      </c>
      <c r="G456" s="2">
        <v>159.58000000000001</v>
      </c>
      <c r="H456">
        <v>0.25</v>
      </c>
      <c r="I456" t="s">
        <v>64</v>
      </c>
      <c r="J456">
        <v>11</v>
      </c>
      <c r="K456">
        <v>1.7</v>
      </c>
      <c r="L456" s="2">
        <v>478.74</v>
      </c>
      <c r="M456">
        <v>2023</v>
      </c>
      <c r="N456">
        <v>3</v>
      </c>
      <c r="O456" t="s">
        <v>94</v>
      </c>
      <c r="P456" s="2">
        <v>638.32000000000005</v>
      </c>
      <c r="Q456" s="2">
        <v>159.58000000000001</v>
      </c>
      <c r="R456" t="s">
        <v>77</v>
      </c>
      <c r="S456">
        <v>0</v>
      </c>
      <c r="T456">
        <v>0</v>
      </c>
      <c r="U456">
        <f>IF(AND(OR(Dashboard!$D$4="Semua",D456=Dashboard!$D$4),OR(Dashboard!$H$4="Semua",E456=Dashboard!$H$4)),1,0)</f>
        <v>1</v>
      </c>
      <c r="V456">
        <f>IF(U456=1,IF(COUNTIFS($C$2:C456,C456,$U$2:U456,1)=1,1,0),0)</f>
        <v>1</v>
      </c>
    </row>
    <row r="457" spans="1:22" x14ac:dyDescent="0.35">
      <c r="A457">
        <v>10456</v>
      </c>
      <c r="B457" s="1">
        <v>45017</v>
      </c>
      <c r="C457">
        <v>1452</v>
      </c>
      <c r="D457" t="s">
        <v>73</v>
      </c>
      <c r="E457" t="s">
        <v>63</v>
      </c>
      <c r="F457">
        <v>5</v>
      </c>
      <c r="G457" s="2">
        <v>25.28</v>
      </c>
      <c r="H457">
        <v>0.22</v>
      </c>
      <c r="I457" t="s">
        <v>68</v>
      </c>
      <c r="J457">
        <v>3</v>
      </c>
      <c r="K457">
        <v>1.6</v>
      </c>
      <c r="L457" s="2">
        <v>98.59</v>
      </c>
      <c r="M457">
        <v>2023</v>
      </c>
      <c r="N457">
        <v>4</v>
      </c>
      <c r="O457" t="s">
        <v>95</v>
      </c>
      <c r="P457" s="2">
        <v>126.4</v>
      </c>
      <c r="Q457" s="2">
        <v>27.81</v>
      </c>
      <c r="R457" t="s">
        <v>77</v>
      </c>
      <c r="S457">
        <v>0</v>
      </c>
      <c r="T457">
        <v>0</v>
      </c>
      <c r="U457">
        <f>IF(AND(OR(Dashboard!$D$4="Semua",D457=Dashboard!$D$4),OR(Dashboard!$H$4="Semua",E457=Dashboard!$H$4)),1,0)</f>
        <v>1</v>
      </c>
      <c r="V457">
        <f>IF(U457=1,IF(COUNTIFS($C$2:C457,C457,$U$2:U457,1)=1,1,0),0)</f>
        <v>0</v>
      </c>
    </row>
    <row r="458" spans="1:22" x14ac:dyDescent="0.35">
      <c r="A458">
        <v>10457</v>
      </c>
      <c r="B458" s="1">
        <v>45018</v>
      </c>
      <c r="C458">
        <v>1828</v>
      </c>
      <c r="D458" t="s">
        <v>67</v>
      </c>
      <c r="E458" t="s">
        <v>70</v>
      </c>
      <c r="F458">
        <v>2</v>
      </c>
      <c r="G458" s="2">
        <v>377.24</v>
      </c>
      <c r="H458">
        <v>0.33</v>
      </c>
      <c r="I458" t="s">
        <v>71</v>
      </c>
      <c r="J458">
        <v>10</v>
      </c>
      <c r="K458">
        <v>3.3</v>
      </c>
      <c r="L458" s="2">
        <v>505.5</v>
      </c>
      <c r="M458">
        <v>2023</v>
      </c>
      <c r="N458">
        <v>4</v>
      </c>
      <c r="O458" t="s">
        <v>95</v>
      </c>
      <c r="P458" s="2">
        <v>754.48</v>
      </c>
      <c r="Q458" s="2">
        <v>248.98</v>
      </c>
      <c r="R458" t="s">
        <v>72</v>
      </c>
      <c r="S458">
        <v>0</v>
      </c>
      <c r="T458">
        <v>0</v>
      </c>
      <c r="U458">
        <f>IF(AND(OR(Dashboard!$D$4="Semua",D458=Dashboard!$D$4),OR(Dashboard!$H$4="Semua",E458=Dashboard!$H$4)),1,0)</f>
        <v>1</v>
      </c>
      <c r="V458">
        <f>IF(U458=1,IF(COUNTIFS($C$2:C458,C458,$U$2:U458,1)=1,1,0),0)</f>
        <v>1</v>
      </c>
    </row>
    <row r="459" spans="1:22" x14ac:dyDescent="0.35">
      <c r="A459">
        <v>10458</v>
      </c>
      <c r="B459" s="1">
        <v>45019</v>
      </c>
      <c r="C459">
        <v>1815</v>
      </c>
      <c r="D459" t="s">
        <v>62</v>
      </c>
      <c r="E459" t="s">
        <v>78</v>
      </c>
      <c r="F459">
        <v>6</v>
      </c>
      <c r="G459" s="2">
        <v>282.88</v>
      </c>
      <c r="H459">
        <v>7.0000000000000007E-2</v>
      </c>
      <c r="I459" t="s">
        <v>68</v>
      </c>
      <c r="J459">
        <v>7</v>
      </c>
      <c r="K459">
        <v>3.5</v>
      </c>
      <c r="L459" s="2">
        <v>1578.47</v>
      </c>
      <c r="M459">
        <v>2023</v>
      </c>
      <c r="N459">
        <v>4</v>
      </c>
      <c r="O459" t="s">
        <v>95</v>
      </c>
      <c r="P459" s="2">
        <v>1697.28</v>
      </c>
      <c r="Q459" s="2">
        <v>118.81</v>
      </c>
      <c r="R459" t="s">
        <v>69</v>
      </c>
      <c r="S459">
        <v>0</v>
      </c>
      <c r="T459">
        <v>0</v>
      </c>
      <c r="U459">
        <f>IF(AND(OR(Dashboard!$D$4="Semua",D459=Dashboard!$D$4),OR(Dashboard!$H$4="Semua",E459=Dashboard!$H$4)),1,0)</f>
        <v>1</v>
      </c>
      <c r="V459">
        <f>IF(U459=1,IF(COUNTIFS($C$2:C459,C459,$U$2:U459,1)=1,1,0),0)</f>
        <v>0</v>
      </c>
    </row>
    <row r="460" spans="1:22" x14ac:dyDescent="0.35">
      <c r="A460">
        <v>10459</v>
      </c>
      <c r="B460" s="1">
        <v>45020</v>
      </c>
      <c r="C460">
        <v>1658</v>
      </c>
      <c r="D460" t="s">
        <v>67</v>
      </c>
      <c r="E460" t="s">
        <v>74</v>
      </c>
      <c r="F460">
        <v>4</v>
      </c>
      <c r="G460" s="2">
        <v>346.79</v>
      </c>
      <c r="H460">
        <v>0.35</v>
      </c>
      <c r="I460" t="s">
        <v>71</v>
      </c>
      <c r="J460">
        <v>6</v>
      </c>
      <c r="K460">
        <v>4.3</v>
      </c>
      <c r="L460" s="2">
        <v>901.65</v>
      </c>
      <c r="M460">
        <v>2023</v>
      </c>
      <c r="N460">
        <v>4</v>
      </c>
      <c r="O460" t="s">
        <v>95</v>
      </c>
      <c r="P460" s="2">
        <v>1387.16</v>
      </c>
      <c r="Q460" s="2">
        <v>485.51</v>
      </c>
      <c r="R460" t="s">
        <v>72</v>
      </c>
      <c r="S460">
        <v>0</v>
      </c>
      <c r="T460">
        <v>0</v>
      </c>
      <c r="U460">
        <f>IF(AND(OR(Dashboard!$D$4="Semua",D460=Dashboard!$D$4),OR(Dashboard!$H$4="Semua",E460=Dashboard!$H$4)),1,0)</f>
        <v>1</v>
      </c>
      <c r="V460">
        <f>IF(U460=1,IF(COUNTIFS($C$2:C460,C460,$U$2:U460,1)=1,1,0),0)</f>
        <v>0</v>
      </c>
    </row>
    <row r="461" spans="1:22" x14ac:dyDescent="0.35">
      <c r="A461">
        <v>10460</v>
      </c>
      <c r="B461" s="1">
        <v>45021</v>
      </c>
      <c r="C461">
        <v>1515</v>
      </c>
      <c r="D461" t="s">
        <v>80</v>
      </c>
      <c r="E461" t="s">
        <v>70</v>
      </c>
      <c r="F461">
        <v>2</v>
      </c>
      <c r="G461" s="2">
        <v>541.11</v>
      </c>
      <c r="H461">
        <v>0.28999999999999998</v>
      </c>
      <c r="I461" t="s">
        <v>68</v>
      </c>
      <c r="J461">
        <v>10</v>
      </c>
      <c r="K461">
        <v>4.5999999999999996</v>
      </c>
      <c r="L461" s="2">
        <v>768.38</v>
      </c>
      <c r="M461">
        <v>2023</v>
      </c>
      <c r="N461">
        <v>4</v>
      </c>
      <c r="O461" t="s">
        <v>95</v>
      </c>
      <c r="P461" s="2">
        <v>1082.22</v>
      </c>
      <c r="Q461" s="2">
        <v>313.83999999999997</v>
      </c>
      <c r="R461" t="s">
        <v>66</v>
      </c>
      <c r="S461">
        <v>0</v>
      </c>
      <c r="T461">
        <v>0</v>
      </c>
      <c r="U461">
        <f>IF(AND(OR(Dashboard!$D$4="Semua",D461=Dashboard!$D$4),OR(Dashboard!$H$4="Semua",E461=Dashboard!$H$4)),1,0)</f>
        <v>1</v>
      </c>
      <c r="V461">
        <f>IF(U461=1,IF(COUNTIFS($C$2:C461,C461,$U$2:U461,1)=1,1,0),0)</f>
        <v>1</v>
      </c>
    </row>
    <row r="462" spans="1:22" x14ac:dyDescent="0.35">
      <c r="A462">
        <v>10461</v>
      </c>
      <c r="B462" s="1">
        <v>45022</v>
      </c>
      <c r="C462">
        <v>1546</v>
      </c>
      <c r="D462" t="s">
        <v>67</v>
      </c>
      <c r="E462" t="s">
        <v>63</v>
      </c>
      <c r="F462">
        <v>5</v>
      </c>
      <c r="G462" s="2">
        <v>582.41</v>
      </c>
      <c r="H462">
        <v>0.21</v>
      </c>
      <c r="I462" t="s">
        <v>71</v>
      </c>
      <c r="J462">
        <v>10</v>
      </c>
      <c r="K462">
        <v>2.6</v>
      </c>
      <c r="L462" s="2">
        <v>2300.52</v>
      </c>
      <c r="M462">
        <v>2023</v>
      </c>
      <c r="N462">
        <v>4</v>
      </c>
      <c r="O462" t="s">
        <v>95</v>
      </c>
      <c r="P462" s="2">
        <v>2912.05</v>
      </c>
      <c r="Q462" s="2">
        <v>611.53</v>
      </c>
      <c r="R462" t="s">
        <v>77</v>
      </c>
      <c r="S462">
        <v>0</v>
      </c>
      <c r="T462">
        <v>0</v>
      </c>
      <c r="U462">
        <f>IF(AND(OR(Dashboard!$D$4="Semua",D462=Dashboard!$D$4),OR(Dashboard!$H$4="Semua",E462=Dashboard!$H$4)),1,0)</f>
        <v>1</v>
      </c>
      <c r="V462">
        <f>IF(U462=1,IF(COUNTIFS($C$2:C462,C462,$U$2:U462,1)=1,1,0),0)</f>
        <v>0</v>
      </c>
    </row>
    <row r="463" spans="1:22" x14ac:dyDescent="0.35">
      <c r="A463">
        <v>10462</v>
      </c>
      <c r="B463" s="1">
        <v>45023</v>
      </c>
      <c r="C463">
        <v>1191</v>
      </c>
      <c r="D463" t="s">
        <v>73</v>
      </c>
      <c r="E463" t="s">
        <v>78</v>
      </c>
      <c r="F463">
        <v>6</v>
      </c>
      <c r="G463" s="2">
        <v>386.16</v>
      </c>
      <c r="H463">
        <v>0.23</v>
      </c>
      <c r="I463" t="s">
        <v>71</v>
      </c>
      <c r="J463">
        <v>9</v>
      </c>
      <c r="K463">
        <v>4.4000000000000004</v>
      </c>
      <c r="L463" s="2">
        <v>1784.06</v>
      </c>
      <c r="M463">
        <v>2023</v>
      </c>
      <c r="N463">
        <v>4</v>
      </c>
      <c r="O463" t="s">
        <v>95</v>
      </c>
      <c r="P463" s="2">
        <v>2316.96</v>
      </c>
      <c r="Q463" s="2">
        <v>532.9</v>
      </c>
      <c r="R463" t="s">
        <v>77</v>
      </c>
      <c r="S463">
        <v>0</v>
      </c>
      <c r="T463">
        <v>0</v>
      </c>
      <c r="U463">
        <f>IF(AND(OR(Dashboard!$D$4="Semua",D463=Dashboard!$D$4),OR(Dashboard!$H$4="Semua",E463=Dashboard!$H$4)),1,0)</f>
        <v>1</v>
      </c>
      <c r="V463">
        <f>IF(U463=1,IF(COUNTIFS($C$2:C463,C463,$U$2:U463,1)=1,1,0),0)</f>
        <v>0</v>
      </c>
    </row>
    <row r="464" spans="1:22" x14ac:dyDescent="0.35">
      <c r="A464">
        <v>10463</v>
      </c>
      <c r="B464" s="1">
        <v>45024</v>
      </c>
      <c r="C464">
        <v>1048</v>
      </c>
      <c r="D464" t="s">
        <v>67</v>
      </c>
      <c r="E464" t="s">
        <v>74</v>
      </c>
      <c r="F464">
        <v>2</v>
      </c>
      <c r="G464" s="2">
        <v>461.97</v>
      </c>
      <c r="H464">
        <v>0.23</v>
      </c>
      <c r="I464" t="s">
        <v>68</v>
      </c>
      <c r="J464">
        <v>3</v>
      </c>
      <c r="K464">
        <v>3.2</v>
      </c>
      <c r="L464" s="2">
        <v>711.43</v>
      </c>
      <c r="M464">
        <v>2023</v>
      </c>
      <c r="N464">
        <v>4</v>
      </c>
      <c r="O464" t="s">
        <v>95</v>
      </c>
      <c r="P464" s="2">
        <v>923.94</v>
      </c>
      <c r="Q464" s="2">
        <v>212.51</v>
      </c>
      <c r="R464" t="s">
        <v>77</v>
      </c>
      <c r="S464">
        <v>0</v>
      </c>
      <c r="T464">
        <v>0</v>
      </c>
      <c r="U464">
        <f>IF(AND(OR(Dashboard!$D$4="Semua",D464=Dashboard!$D$4),OR(Dashboard!$H$4="Semua",E464=Dashboard!$H$4)),1,0)</f>
        <v>1</v>
      </c>
      <c r="V464">
        <f>IF(U464=1,IF(COUNTIFS($C$2:C464,C464,$U$2:U464,1)=1,1,0),0)</f>
        <v>1</v>
      </c>
    </row>
    <row r="465" spans="1:22" x14ac:dyDescent="0.35">
      <c r="A465">
        <v>10464</v>
      </c>
      <c r="B465" s="1">
        <v>45025</v>
      </c>
      <c r="C465">
        <v>1511</v>
      </c>
      <c r="D465" t="s">
        <v>80</v>
      </c>
      <c r="E465" t="s">
        <v>70</v>
      </c>
      <c r="F465">
        <v>3</v>
      </c>
      <c r="G465" s="2">
        <v>64.03</v>
      </c>
      <c r="H465">
        <v>0.02</v>
      </c>
      <c r="I465" t="s">
        <v>64</v>
      </c>
      <c r="J465">
        <v>3</v>
      </c>
      <c r="K465">
        <v>2.9</v>
      </c>
      <c r="L465" s="2">
        <v>188.25</v>
      </c>
      <c r="M465">
        <v>2023</v>
      </c>
      <c r="N465">
        <v>4</v>
      </c>
      <c r="O465" t="s">
        <v>95</v>
      </c>
      <c r="P465" s="2">
        <v>192.09</v>
      </c>
      <c r="Q465" s="2">
        <v>3.84</v>
      </c>
      <c r="R465" t="s">
        <v>75</v>
      </c>
      <c r="S465">
        <v>0</v>
      </c>
      <c r="T465">
        <v>0</v>
      </c>
      <c r="U465">
        <f>IF(AND(OR(Dashboard!$D$4="Semua",D465=Dashboard!$D$4),OR(Dashboard!$H$4="Semua",E465=Dashboard!$H$4)),1,0)</f>
        <v>1</v>
      </c>
      <c r="V465">
        <f>IF(U465=1,IF(COUNTIFS($C$2:C465,C465,$U$2:U465,1)=1,1,0),0)</f>
        <v>1</v>
      </c>
    </row>
    <row r="466" spans="1:22" x14ac:dyDescent="0.35">
      <c r="A466">
        <v>10465</v>
      </c>
      <c r="B466" s="1">
        <v>45026</v>
      </c>
      <c r="C466">
        <v>1016</v>
      </c>
      <c r="D466" t="s">
        <v>73</v>
      </c>
      <c r="E466" t="s">
        <v>74</v>
      </c>
      <c r="F466">
        <v>7</v>
      </c>
      <c r="G466" s="2">
        <v>109.02</v>
      </c>
      <c r="H466">
        <v>0.08</v>
      </c>
      <c r="I466" t="s">
        <v>71</v>
      </c>
      <c r="J466">
        <v>4</v>
      </c>
      <c r="K466">
        <v>3.8</v>
      </c>
      <c r="L466" s="2">
        <v>702.09</v>
      </c>
      <c r="M466">
        <v>2023</v>
      </c>
      <c r="N466">
        <v>4</v>
      </c>
      <c r="O466" t="s">
        <v>95</v>
      </c>
      <c r="P466" s="2">
        <v>763.14</v>
      </c>
      <c r="Q466" s="2">
        <v>61.05</v>
      </c>
      <c r="R466" t="s">
        <v>69</v>
      </c>
      <c r="S466">
        <v>0</v>
      </c>
      <c r="T466">
        <v>0</v>
      </c>
      <c r="U466">
        <f>IF(AND(OR(Dashboard!$D$4="Semua",D466=Dashboard!$D$4),OR(Dashboard!$H$4="Semua",E466=Dashboard!$H$4)),1,0)</f>
        <v>1</v>
      </c>
      <c r="V466">
        <f>IF(U466=1,IF(COUNTIFS($C$2:C466,C466,$U$2:U466,1)=1,1,0),0)</f>
        <v>1</v>
      </c>
    </row>
    <row r="467" spans="1:22" x14ac:dyDescent="0.35">
      <c r="A467">
        <v>10466</v>
      </c>
      <c r="B467" s="1">
        <v>45027</v>
      </c>
      <c r="C467">
        <v>1171</v>
      </c>
      <c r="D467" t="s">
        <v>73</v>
      </c>
      <c r="E467" t="s">
        <v>78</v>
      </c>
      <c r="F467">
        <v>4</v>
      </c>
      <c r="G467" s="2">
        <v>443.92</v>
      </c>
      <c r="H467">
        <v>0.34</v>
      </c>
      <c r="I467" t="s">
        <v>64</v>
      </c>
      <c r="J467">
        <v>3</v>
      </c>
      <c r="K467">
        <v>1.4</v>
      </c>
      <c r="L467" s="2">
        <v>1171.95</v>
      </c>
      <c r="M467">
        <v>2023</v>
      </c>
      <c r="N467">
        <v>4</v>
      </c>
      <c r="O467" t="s">
        <v>95</v>
      </c>
      <c r="P467" s="2">
        <v>1775.68</v>
      </c>
      <c r="Q467" s="2">
        <v>603.73</v>
      </c>
      <c r="R467" t="s">
        <v>72</v>
      </c>
      <c r="S467">
        <v>0</v>
      </c>
      <c r="T467">
        <v>0</v>
      </c>
      <c r="U467">
        <f>IF(AND(OR(Dashboard!$D$4="Semua",D467=Dashboard!$D$4),OR(Dashboard!$H$4="Semua",E467=Dashboard!$H$4)),1,0)</f>
        <v>1</v>
      </c>
      <c r="V467">
        <f>IF(U467=1,IF(COUNTIFS($C$2:C467,C467,$U$2:U467,1)=1,1,0),0)</f>
        <v>1</v>
      </c>
    </row>
    <row r="468" spans="1:22" x14ac:dyDescent="0.35">
      <c r="A468">
        <v>10467</v>
      </c>
      <c r="B468" s="1">
        <v>45028</v>
      </c>
      <c r="C468">
        <v>1219</v>
      </c>
      <c r="D468" t="s">
        <v>73</v>
      </c>
      <c r="E468" t="s">
        <v>78</v>
      </c>
      <c r="F468">
        <v>7</v>
      </c>
      <c r="G468" s="2">
        <v>267.35000000000002</v>
      </c>
      <c r="H468">
        <v>0.19</v>
      </c>
      <c r="I468" t="s">
        <v>64</v>
      </c>
      <c r="J468">
        <v>4</v>
      </c>
      <c r="K468">
        <v>2.1</v>
      </c>
      <c r="L468" s="2">
        <v>1515.87</v>
      </c>
      <c r="M468">
        <v>2023</v>
      </c>
      <c r="N468">
        <v>4</v>
      </c>
      <c r="O468" t="s">
        <v>95</v>
      </c>
      <c r="P468" s="2">
        <v>1871.45</v>
      </c>
      <c r="Q468" s="2">
        <v>355.58</v>
      </c>
      <c r="R468" t="s">
        <v>76</v>
      </c>
      <c r="S468">
        <v>0</v>
      </c>
      <c r="T468">
        <v>0</v>
      </c>
      <c r="U468">
        <f>IF(AND(OR(Dashboard!$D$4="Semua",D468=Dashboard!$D$4),OR(Dashboard!$H$4="Semua",E468=Dashboard!$H$4)),1,0)</f>
        <v>1</v>
      </c>
      <c r="V468">
        <f>IF(U468=1,IF(COUNTIFS($C$2:C468,C468,$U$2:U468,1)=1,1,0),0)</f>
        <v>0</v>
      </c>
    </row>
    <row r="469" spans="1:22" x14ac:dyDescent="0.35">
      <c r="A469">
        <v>10468</v>
      </c>
      <c r="B469" s="1">
        <v>45029</v>
      </c>
      <c r="C469">
        <v>1157</v>
      </c>
      <c r="D469" t="s">
        <v>67</v>
      </c>
      <c r="E469" t="s">
        <v>63</v>
      </c>
      <c r="F469">
        <v>1</v>
      </c>
      <c r="G469" s="2">
        <v>275.89</v>
      </c>
      <c r="H469">
        <v>0.13</v>
      </c>
      <c r="I469" t="s">
        <v>64</v>
      </c>
      <c r="J469">
        <v>6</v>
      </c>
      <c r="K469">
        <v>4.3</v>
      </c>
      <c r="L469" s="2">
        <v>240.02</v>
      </c>
      <c r="M469">
        <v>2023</v>
      </c>
      <c r="N469">
        <v>4</v>
      </c>
      <c r="O469" t="s">
        <v>95</v>
      </c>
      <c r="P469" s="2">
        <v>275.89</v>
      </c>
      <c r="Q469" s="2">
        <v>35.869999999999997</v>
      </c>
      <c r="R469" t="s">
        <v>79</v>
      </c>
      <c r="S469">
        <v>0</v>
      </c>
      <c r="T469">
        <v>0</v>
      </c>
      <c r="U469">
        <f>IF(AND(OR(Dashboard!$D$4="Semua",D469=Dashboard!$D$4),OR(Dashboard!$H$4="Semua",E469=Dashboard!$H$4)),1,0)</f>
        <v>1</v>
      </c>
      <c r="V469">
        <f>IF(U469=1,IF(COUNTIFS($C$2:C469,C469,$U$2:U469,1)=1,1,0),0)</f>
        <v>1</v>
      </c>
    </row>
    <row r="470" spans="1:22" x14ac:dyDescent="0.35">
      <c r="A470">
        <v>10469</v>
      </c>
      <c r="B470" s="1">
        <v>45030</v>
      </c>
      <c r="C470">
        <v>1476</v>
      </c>
      <c r="D470" t="s">
        <v>62</v>
      </c>
      <c r="E470" t="s">
        <v>78</v>
      </c>
      <c r="F470">
        <v>2</v>
      </c>
      <c r="G470" s="2">
        <v>195.54</v>
      </c>
      <c r="H470">
        <v>0.27</v>
      </c>
      <c r="I470" t="s">
        <v>68</v>
      </c>
      <c r="J470">
        <v>1</v>
      </c>
      <c r="K470">
        <v>3</v>
      </c>
      <c r="L470" s="2">
        <v>285.49</v>
      </c>
      <c r="M470">
        <v>2023</v>
      </c>
      <c r="N470">
        <v>4</v>
      </c>
      <c r="O470" t="s">
        <v>95</v>
      </c>
      <c r="P470" s="2">
        <v>391.08</v>
      </c>
      <c r="Q470" s="2">
        <v>105.59</v>
      </c>
      <c r="R470" t="s">
        <v>66</v>
      </c>
      <c r="S470">
        <v>0</v>
      </c>
      <c r="T470">
        <v>0</v>
      </c>
      <c r="U470">
        <f>IF(AND(OR(Dashboard!$D$4="Semua",D470=Dashboard!$D$4),OR(Dashboard!$H$4="Semua",E470=Dashboard!$H$4)),1,0)</f>
        <v>1</v>
      </c>
      <c r="V470">
        <f>IF(U470=1,IF(COUNTIFS($C$2:C470,C470,$U$2:U470,1)=1,1,0),0)</f>
        <v>0</v>
      </c>
    </row>
    <row r="471" spans="1:22" x14ac:dyDescent="0.35">
      <c r="A471">
        <v>10470</v>
      </c>
      <c r="B471" s="1">
        <v>45031</v>
      </c>
      <c r="C471">
        <v>1045</v>
      </c>
      <c r="D471" t="s">
        <v>73</v>
      </c>
      <c r="E471" t="s">
        <v>70</v>
      </c>
      <c r="F471">
        <v>6</v>
      </c>
      <c r="G471" s="2">
        <v>370.3</v>
      </c>
      <c r="H471">
        <v>0.18</v>
      </c>
      <c r="I471" t="s">
        <v>68</v>
      </c>
      <c r="J471">
        <v>2</v>
      </c>
      <c r="K471">
        <v>4.5999999999999996</v>
      </c>
      <c r="L471" s="2">
        <v>1821.88</v>
      </c>
      <c r="M471">
        <v>2023</v>
      </c>
      <c r="N471">
        <v>4</v>
      </c>
      <c r="O471" t="s">
        <v>95</v>
      </c>
      <c r="P471" s="2">
        <v>2221.8000000000002</v>
      </c>
      <c r="Q471" s="2">
        <v>399.92</v>
      </c>
      <c r="R471" t="s">
        <v>76</v>
      </c>
      <c r="S471">
        <v>0</v>
      </c>
      <c r="T471">
        <v>0</v>
      </c>
      <c r="U471">
        <f>IF(AND(OR(Dashboard!$D$4="Semua",D471=Dashboard!$D$4),OR(Dashboard!$H$4="Semua",E471=Dashboard!$H$4)),1,0)</f>
        <v>1</v>
      </c>
      <c r="V471">
        <f>IF(U471=1,IF(COUNTIFS($C$2:C471,C471,$U$2:U471,1)=1,1,0),0)</f>
        <v>1</v>
      </c>
    </row>
    <row r="472" spans="1:22" x14ac:dyDescent="0.35">
      <c r="A472">
        <v>10471</v>
      </c>
      <c r="B472" s="1">
        <v>45032</v>
      </c>
      <c r="C472">
        <v>1372</v>
      </c>
      <c r="D472" t="s">
        <v>67</v>
      </c>
      <c r="E472" t="s">
        <v>74</v>
      </c>
      <c r="F472">
        <v>6</v>
      </c>
      <c r="G472" s="2">
        <v>123.32</v>
      </c>
      <c r="H472">
        <v>0</v>
      </c>
      <c r="I472" t="s">
        <v>64</v>
      </c>
      <c r="J472">
        <v>10</v>
      </c>
      <c r="K472">
        <v>1.4</v>
      </c>
      <c r="L472" s="2">
        <v>739.92</v>
      </c>
      <c r="M472">
        <v>2023</v>
      </c>
      <c r="N472">
        <v>4</v>
      </c>
      <c r="O472" t="s">
        <v>95</v>
      </c>
      <c r="P472" s="2">
        <v>739.92</v>
      </c>
      <c r="Q472" s="2">
        <v>0</v>
      </c>
      <c r="R472" t="s">
        <v>75</v>
      </c>
      <c r="S472">
        <v>0</v>
      </c>
      <c r="T472">
        <v>0</v>
      </c>
      <c r="U472">
        <f>IF(AND(OR(Dashboard!$D$4="Semua",D472=Dashboard!$D$4),OR(Dashboard!$H$4="Semua",E472=Dashboard!$H$4)),1,0)</f>
        <v>1</v>
      </c>
      <c r="V472">
        <f>IF(U472=1,IF(COUNTIFS($C$2:C472,C472,$U$2:U472,1)=1,1,0),0)</f>
        <v>0</v>
      </c>
    </row>
    <row r="473" spans="1:22" x14ac:dyDescent="0.35">
      <c r="A473">
        <v>10472</v>
      </c>
      <c r="B473" s="1">
        <v>45033</v>
      </c>
      <c r="C473">
        <v>1517</v>
      </c>
      <c r="D473" t="s">
        <v>73</v>
      </c>
      <c r="E473" t="s">
        <v>78</v>
      </c>
      <c r="F473">
        <v>4</v>
      </c>
      <c r="G473" s="2">
        <v>381.75</v>
      </c>
      <c r="H473">
        <v>0.26</v>
      </c>
      <c r="I473" t="s">
        <v>71</v>
      </c>
      <c r="J473">
        <v>6</v>
      </c>
      <c r="K473">
        <v>2.2999999999999998</v>
      </c>
      <c r="L473" s="2">
        <v>1129.98</v>
      </c>
      <c r="M473">
        <v>2023</v>
      </c>
      <c r="N473">
        <v>4</v>
      </c>
      <c r="O473" t="s">
        <v>95</v>
      </c>
      <c r="P473" s="2">
        <v>1527</v>
      </c>
      <c r="Q473" s="2">
        <v>397.02</v>
      </c>
      <c r="R473" t="s">
        <v>66</v>
      </c>
      <c r="S473">
        <v>0</v>
      </c>
      <c r="T473">
        <v>0</v>
      </c>
      <c r="U473">
        <f>IF(AND(OR(Dashboard!$D$4="Semua",D473=Dashboard!$D$4),OR(Dashboard!$H$4="Semua",E473=Dashboard!$H$4)),1,0)</f>
        <v>1</v>
      </c>
      <c r="V473">
        <f>IF(U473=1,IF(COUNTIFS($C$2:C473,C473,$U$2:U473,1)=1,1,0),0)</f>
        <v>1</v>
      </c>
    </row>
    <row r="474" spans="1:22" x14ac:dyDescent="0.35">
      <c r="A474">
        <v>10473</v>
      </c>
      <c r="B474" s="1">
        <v>45034</v>
      </c>
      <c r="C474">
        <v>1098</v>
      </c>
      <c r="D474" t="s">
        <v>62</v>
      </c>
      <c r="E474" t="s">
        <v>78</v>
      </c>
      <c r="F474">
        <v>4</v>
      </c>
      <c r="G474" s="2">
        <v>116.67</v>
      </c>
      <c r="H474">
        <v>0.26</v>
      </c>
      <c r="I474" t="s">
        <v>68</v>
      </c>
      <c r="J474">
        <v>6</v>
      </c>
      <c r="K474">
        <v>2.4</v>
      </c>
      <c r="L474" s="2">
        <v>345.34</v>
      </c>
      <c r="M474">
        <v>2023</v>
      </c>
      <c r="N474">
        <v>4</v>
      </c>
      <c r="O474" t="s">
        <v>95</v>
      </c>
      <c r="P474" s="2">
        <v>466.68</v>
      </c>
      <c r="Q474" s="2">
        <v>121.34</v>
      </c>
      <c r="R474" t="s">
        <v>66</v>
      </c>
      <c r="S474">
        <v>0</v>
      </c>
      <c r="T474">
        <v>0</v>
      </c>
      <c r="U474">
        <f>IF(AND(OR(Dashboard!$D$4="Semua",D474=Dashboard!$D$4),OR(Dashboard!$H$4="Semua",E474=Dashboard!$H$4)),1,0)</f>
        <v>1</v>
      </c>
      <c r="V474">
        <f>IF(U474=1,IF(COUNTIFS($C$2:C474,C474,$U$2:U474,1)=1,1,0),0)</f>
        <v>0</v>
      </c>
    </row>
    <row r="475" spans="1:22" x14ac:dyDescent="0.35">
      <c r="A475">
        <v>10474</v>
      </c>
      <c r="B475" s="1">
        <v>45035</v>
      </c>
      <c r="C475">
        <v>1891</v>
      </c>
      <c r="D475" t="s">
        <v>73</v>
      </c>
      <c r="E475" t="s">
        <v>70</v>
      </c>
      <c r="F475">
        <v>7</v>
      </c>
      <c r="G475" s="2">
        <v>52.34</v>
      </c>
      <c r="H475">
        <v>0.06</v>
      </c>
      <c r="I475" t="s">
        <v>71</v>
      </c>
      <c r="J475">
        <v>1</v>
      </c>
      <c r="K475">
        <v>2.7</v>
      </c>
      <c r="L475" s="2">
        <v>344.4</v>
      </c>
      <c r="M475">
        <v>2023</v>
      </c>
      <c r="N475">
        <v>4</v>
      </c>
      <c r="O475" t="s">
        <v>95</v>
      </c>
      <c r="P475" s="2">
        <v>366.38</v>
      </c>
      <c r="Q475" s="2">
        <v>21.98</v>
      </c>
      <c r="R475" t="s">
        <v>69</v>
      </c>
      <c r="S475">
        <v>0</v>
      </c>
      <c r="T475">
        <v>0</v>
      </c>
      <c r="U475">
        <f>IF(AND(OR(Dashboard!$D$4="Semua",D475=Dashboard!$D$4),OR(Dashboard!$H$4="Semua",E475=Dashboard!$H$4)),1,0)</f>
        <v>1</v>
      </c>
      <c r="V475">
        <f>IF(U475=1,IF(COUNTIFS($C$2:C475,C475,$U$2:U475,1)=1,1,0),0)</f>
        <v>0</v>
      </c>
    </row>
    <row r="476" spans="1:22" x14ac:dyDescent="0.35">
      <c r="A476">
        <v>10475</v>
      </c>
      <c r="B476" s="1">
        <v>45036</v>
      </c>
      <c r="C476">
        <v>1744</v>
      </c>
      <c r="D476" t="s">
        <v>67</v>
      </c>
      <c r="E476" t="s">
        <v>74</v>
      </c>
      <c r="F476">
        <v>6</v>
      </c>
      <c r="G476" s="2">
        <v>208.26</v>
      </c>
      <c r="H476">
        <v>0.33</v>
      </c>
      <c r="I476" t="s">
        <v>68</v>
      </c>
      <c r="J476">
        <v>6</v>
      </c>
      <c r="K476">
        <v>4.9000000000000004</v>
      </c>
      <c r="L476" s="2">
        <v>837.21</v>
      </c>
      <c r="M476">
        <v>2023</v>
      </c>
      <c r="N476">
        <v>4</v>
      </c>
      <c r="O476" t="s">
        <v>95</v>
      </c>
      <c r="P476" s="2">
        <v>1249.56</v>
      </c>
      <c r="Q476" s="2">
        <v>412.35</v>
      </c>
      <c r="R476" t="s">
        <v>72</v>
      </c>
      <c r="S476">
        <v>0</v>
      </c>
      <c r="T476">
        <v>0</v>
      </c>
      <c r="U476">
        <f>IF(AND(OR(Dashboard!$D$4="Semua",D476=Dashboard!$D$4),OR(Dashboard!$H$4="Semua",E476=Dashboard!$H$4)),1,0)</f>
        <v>1</v>
      </c>
      <c r="V476">
        <f>IF(U476=1,IF(COUNTIFS($C$2:C476,C476,$U$2:U476,1)=1,1,0),0)</f>
        <v>0</v>
      </c>
    </row>
    <row r="477" spans="1:22" x14ac:dyDescent="0.35">
      <c r="A477">
        <v>10476</v>
      </c>
      <c r="B477" s="1">
        <v>45037</v>
      </c>
      <c r="C477">
        <v>1036</v>
      </c>
      <c r="D477" t="s">
        <v>80</v>
      </c>
      <c r="E477" t="s">
        <v>74</v>
      </c>
      <c r="F477">
        <v>6</v>
      </c>
      <c r="G477" s="2">
        <v>150.22</v>
      </c>
      <c r="H477">
        <v>0.08</v>
      </c>
      <c r="I477" t="s">
        <v>71</v>
      </c>
      <c r="J477">
        <v>11</v>
      </c>
      <c r="K477">
        <v>2.2000000000000002</v>
      </c>
      <c r="L477" s="2">
        <v>829.21</v>
      </c>
      <c r="M477">
        <v>2023</v>
      </c>
      <c r="N477">
        <v>4</v>
      </c>
      <c r="O477" t="s">
        <v>95</v>
      </c>
      <c r="P477" s="2">
        <v>901.32</v>
      </c>
      <c r="Q477" s="2">
        <v>72.11</v>
      </c>
      <c r="R477" t="s">
        <v>69</v>
      </c>
      <c r="S477">
        <v>0</v>
      </c>
      <c r="T477">
        <v>0</v>
      </c>
      <c r="U477">
        <f>IF(AND(OR(Dashboard!$D$4="Semua",D477=Dashboard!$D$4),OR(Dashboard!$H$4="Semua",E477=Dashboard!$H$4)),1,0)</f>
        <v>1</v>
      </c>
      <c r="V477">
        <f>IF(U477=1,IF(COUNTIFS($C$2:C477,C477,$U$2:U477,1)=1,1,0),0)</f>
        <v>0</v>
      </c>
    </row>
    <row r="478" spans="1:22" x14ac:dyDescent="0.35">
      <c r="A478">
        <v>10477</v>
      </c>
      <c r="B478" s="1">
        <v>45038</v>
      </c>
      <c r="C478">
        <v>1279</v>
      </c>
      <c r="D478" t="s">
        <v>80</v>
      </c>
      <c r="E478" t="s">
        <v>63</v>
      </c>
      <c r="F478">
        <v>6</v>
      </c>
      <c r="G478" s="2">
        <v>535.05999999999995</v>
      </c>
      <c r="H478">
        <v>0.16</v>
      </c>
      <c r="I478" t="s">
        <v>64</v>
      </c>
      <c r="J478">
        <v>9</v>
      </c>
      <c r="K478">
        <v>3.1</v>
      </c>
      <c r="L478" s="2">
        <v>2696.7</v>
      </c>
      <c r="M478">
        <v>2023</v>
      </c>
      <c r="N478">
        <v>4</v>
      </c>
      <c r="O478" t="s">
        <v>95</v>
      </c>
      <c r="P478" s="2">
        <v>3210.36</v>
      </c>
      <c r="Q478" s="2">
        <v>513.66</v>
      </c>
      <c r="R478" t="s">
        <v>76</v>
      </c>
      <c r="S478">
        <v>0</v>
      </c>
      <c r="T478">
        <v>0</v>
      </c>
      <c r="U478">
        <f>IF(AND(OR(Dashboard!$D$4="Semua",D478=Dashboard!$D$4),OR(Dashboard!$H$4="Semua",E478=Dashboard!$H$4)),1,0)</f>
        <v>1</v>
      </c>
      <c r="V478">
        <f>IF(U478=1,IF(COUNTIFS($C$2:C478,C478,$U$2:U478,1)=1,1,0),0)</f>
        <v>0</v>
      </c>
    </row>
    <row r="479" spans="1:22" x14ac:dyDescent="0.35">
      <c r="A479">
        <v>10478</v>
      </c>
      <c r="B479" s="1">
        <v>45039</v>
      </c>
      <c r="C479">
        <v>1348</v>
      </c>
      <c r="D479" t="s">
        <v>67</v>
      </c>
      <c r="E479" t="s">
        <v>63</v>
      </c>
      <c r="F479">
        <v>2</v>
      </c>
      <c r="G479" s="2">
        <v>47.15</v>
      </c>
      <c r="H479">
        <v>0.04</v>
      </c>
      <c r="I479" t="s">
        <v>71</v>
      </c>
      <c r="J479">
        <v>8</v>
      </c>
      <c r="K479">
        <v>3.1</v>
      </c>
      <c r="L479" s="2">
        <v>90.53</v>
      </c>
      <c r="M479">
        <v>2023</v>
      </c>
      <c r="N479">
        <v>4</v>
      </c>
      <c r="O479" t="s">
        <v>95</v>
      </c>
      <c r="P479" s="2">
        <v>94.3</v>
      </c>
      <c r="Q479" s="2">
        <v>3.77</v>
      </c>
      <c r="R479" t="s">
        <v>75</v>
      </c>
      <c r="S479">
        <v>0</v>
      </c>
      <c r="T479">
        <v>0</v>
      </c>
      <c r="U479">
        <f>IF(AND(OR(Dashboard!$D$4="Semua",D479=Dashboard!$D$4),OR(Dashboard!$H$4="Semua",E479=Dashboard!$H$4)),1,0)</f>
        <v>1</v>
      </c>
      <c r="V479">
        <f>IF(U479=1,IF(COUNTIFS($C$2:C479,C479,$U$2:U479,1)=1,1,0),0)</f>
        <v>0</v>
      </c>
    </row>
    <row r="480" spans="1:22" x14ac:dyDescent="0.35">
      <c r="A480">
        <v>10479</v>
      </c>
      <c r="B480" s="1">
        <v>45040</v>
      </c>
      <c r="C480">
        <v>1496</v>
      </c>
      <c r="D480" t="s">
        <v>73</v>
      </c>
      <c r="E480" t="s">
        <v>74</v>
      </c>
      <c r="F480">
        <v>6</v>
      </c>
      <c r="G480" s="2">
        <v>118.32</v>
      </c>
      <c r="H480">
        <v>0.21</v>
      </c>
      <c r="I480" t="s">
        <v>68</v>
      </c>
      <c r="J480">
        <v>10</v>
      </c>
      <c r="K480">
        <v>4.0999999999999996</v>
      </c>
      <c r="L480" s="2">
        <v>560.84</v>
      </c>
      <c r="M480">
        <v>2023</v>
      </c>
      <c r="N480">
        <v>4</v>
      </c>
      <c r="O480" t="s">
        <v>95</v>
      </c>
      <c r="P480" s="2">
        <v>709.92</v>
      </c>
      <c r="Q480" s="2">
        <v>149.08000000000001</v>
      </c>
      <c r="R480" t="s">
        <v>77</v>
      </c>
      <c r="S480">
        <v>0</v>
      </c>
      <c r="T480">
        <v>0</v>
      </c>
      <c r="U480">
        <f>IF(AND(OR(Dashboard!$D$4="Semua",D480=Dashboard!$D$4),OR(Dashboard!$H$4="Semua",E480=Dashboard!$H$4)),1,0)</f>
        <v>1</v>
      </c>
      <c r="V480">
        <f>IF(U480=1,IF(COUNTIFS($C$2:C480,C480,$U$2:U480,1)=1,1,0),0)</f>
        <v>0</v>
      </c>
    </row>
    <row r="481" spans="1:22" x14ac:dyDescent="0.35">
      <c r="A481">
        <v>10480</v>
      </c>
      <c r="B481" s="1">
        <v>45041</v>
      </c>
      <c r="C481">
        <v>1301</v>
      </c>
      <c r="D481" t="s">
        <v>67</v>
      </c>
      <c r="E481" t="s">
        <v>70</v>
      </c>
      <c r="F481">
        <v>1</v>
      </c>
      <c r="G481" s="2">
        <v>336</v>
      </c>
      <c r="H481">
        <v>0.13</v>
      </c>
      <c r="I481" t="s">
        <v>68</v>
      </c>
      <c r="J481">
        <v>5</v>
      </c>
      <c r="K481">
        <v>3.1</v>
      </c>
      <c r="L481" s="2">
        <v>292.32</v>
      </c>
      <c r="M481">
        <v>2023</v>
      </c>
      <c r="N481">
        <v>4</v>
      </c>
      <c r="O481" t="s">
        <v>95</v>
      </c>
      <c r="P481" s="2">
        <v>336</v>
      </c>
      <c r="Q481" s="2">
        <v>43.68</v>
      </c>
      <c r="R481" t="s">
        <v>79</v>
      </c>
      <c r="S481">
        <v>0</v>
      </c>
      <c r="T481">
        <v>0</v>
      </c>
      <c r="U481">
        <f>IF(AND(OR(Dashboard!$D$4="Semua",D481=Dashboard!$D$4),OR(Dashboard!$H$4="Semua",E481=Dashboard!$H$4)),1,0)</f>
        <v>1</v>
      </c>
      <c r="V481">
        <f>IF(U481=1,IF(COUNTIFS($C$2:C481,C481,$U$2:U481,1)=1,1,0),0)</f>
        <v>1</v>
      </c>
    </row>
    <row r="482" spans="1:22" x14ac:dyDescent="0.35">
      <c r="A482">
        <v>10481</v>
      </c>
      <c r="B482" s="1">
        <v>45042</v>
      </c>
      <c r="C482">
        <v>1180</v>
      </c>
      <c r="D482" t="s">
        <v>73</v>
      </c>
      <c r="E482" t="s">
        <v>70</v>
      </c>
      <c r="F482">
        <v>6</v>
      </c>
      <c r="G482" s="2">
        <v>296.42</v>
      </c>
      <c r="H482">
        <v>0.12</v>
      </c>
      <c r="I482" t="s">
        <v>68</v>
      </c>
      <c r="J482">
        <v>4</v>
      </c>
      <c r="K482">
        <v>3.4</v>
      </c>
      <c r="L482" s="2">
        <v>1565.1</v>
      </c>
      <c r="M482">
        <v>2023</v>
      </c>
      <c r="N482">
        <v>4</v>
      </c>
      <c r="O482" t="s">
        <v>95</v>
      </c>
      <c r="P482" s="2">
        <v>1778.52</v>
      </c>
      <c r="Q482" s="2">
        <v>213.42</v>
      </c>
      <c r="R482" t="s">
        <v>79</v>
      </c>
      <c r="S482">
        <v>0</v>
      </c>
      <c r="T482">
        <v>0</v>
      </c>
      <c r="U482">
        <f>IF(AND(OR(Dashboard!$D$4="Semua",D482=Dashboard!$D$4),OR(Dashboard!$H$4="Semua",E482=Dashboard!$H$4)),1,0)</f>
        <v>1</v>
      </c>
      <c r="V482">
        <f>IF(U482=1,IF(COUNTIFS($C$2:C482,C482,$U$2:U482,1)=1,1,0),0)</f>
        <v>1</v>
      </c>
    </row>
    <row r="483" spans="1:22" x14ac:dyDescent="0.35">
      <c r="A483">
        <v>10482</v>
      </c>
      <c r="B483" s="1">
        <v>45043</v>
      </c>
      <c r="C483">
        <v>1606</v>
      </c>
      <c r="D483" t="s">
        <v>73</v>
      </c>
      <c r="E483" t="s">
        <v>63</v>
      </c>
      <c r="F483">
        <v>1</v>
      </c>
      <c r="G483" s="2">
        <v>41.82</v>
      </c>
      <c r="H483">
        <v>0.28999999999999998</v>
      </c>
      <c r="I483" t="s">
        <v>71</v>
      </c>
      <c r="J483">
        <v>6</v>
      </c>
      <c r="K483">
        <v>4</v>
      </c>
      <c r="L483" s="2">
        <v>29.69</v>
      </c>
      <c r="M483">
        <v>2023</v>
      </c>
      <c r="N483">
        <v>4</v>
      </c>
      <c r="O483" t="s">
        <v>95</v>
      </c>
      <c r="P483" s="2">
        <v>41.82</v>
      </c>
      <c r="Q483" s="2">
        <v>12.13</v>
      </c>
      <c r="R483" t="s">
        <v>66</v>
      </c>
      <c r="S483">
        <v>0</v>
      </c>
      <c r="T483">
        <v>0</v>
      </c>
      <c r="U483">
        <f>IF(AND(OR(Dashboard!$D$4="Semua",D483=Dashboard!$D$4),OR(Dashboard!$H$4="Semua",E483=Dashboard!$H$4)),1,0)</f>
        <v>1</v>
      </c>
      <c r="V483">
        <f>IF(U483=1,IF(COUNTIFS($C$2:C483,C483,$U$2:U483,1)=1,1,0),0)</f>
        <v>1</v>
      </c>
    </row>
    <row r="484" spans="1:22" x14ac:dyDescent="0.35">
      <c r="A484">
        <v>10483</v>
      </c>
      <c r="B484" s="1">
        <v>45044</v>
      </c>
      <c r="C484">
        <v>1098</v>
      </c>
      <c r="D484" t="s">
        <v>67</v>
      </c>
      <c r="E484" t="s">
        <v>78</v>
      </c>
      <c r="F484">
        <v>2</v>
      </c>
      <c r="G484" s="2">
        <v>19.239999999999998</v>
      </c>
      <c r="H484">
        <v>0</v>
      </c>
      <c r="I484" t="s">
        <v>68</v>
      </c>
      <c r="J484">
        <v>11</v>
      </c>
      <c r="K484">
        <v>1.4</v>
      </c>
      <c r="L484" s="2">
        <v>38.479999999999997</v>
      </c>
      <c r="M484">
        <v>2023</v>
      </c>
      <c r="N484">
        <v>4</v>
      </c>
      <c r="O484" t="s">
        <v>95</v>
      </c>
      <c r="P484" s="2">
        <v>38.479999999999997</v>
      </c>
      <c r="Q484" s="2">
        <v>0</v>
      </c>
      <c r="R484" t="s">
        <v>75</v>
      </c>
      <c r="S484">
        <v>0</v>
      </c>
      <c r="T484">
        <v>0</v>
      </c>
      <c r="U484">
        <f>IF(AND(OR(Dashboard!$D$4="Semua",D484=Dashboard!$D$4),OR(Dashboard!$H$4="Semua",E484=Dashboard!$H$4)),1,0)</f>
        <v>1</v>
      </c>
      <c r="V484">
        <f>IF(U484=1,IF(COUNTIFS($C$2:C484,C484,$U$2:U484,1)=1,1,0),0)</f>
        <v>0</v>
      </c>
    </row>
    <row r="485" spans="1:22" x14ac:dyDescent="0.35">
      <c r="A485">
        <v>10484</v>
      </c>
      <c r="B485" s="1">
        <v>45045</v>
      </c>
      <c r="C485">
        <v>1699</v>
      </c>
      <c r="D485" t="s">
        <v>73</v>
      </c>
      <c r="E485" t="s">
        <v>70</v>
      </c>
      <c r="F485">
        <v>4</v>
      </c>
      <c r="G485" s="2">
        <v>593.02</v>
      </c>
      <c r="H485">
        <v>0.28000000000000003</v>
      </c>
      <c r="I485" t="s">
        <v>71</v>
      </c>
      <c r="J485">
        <v>5</v>
      </c>
      <c r="K485">
        <v>4.9000000000000004</v>
      </c>
      <c r="L485" s="2">
        <v>1707.9</v>
      </c>
      <c r="M485">
        <v>2023</v>
      </c>
      <c r="N485">
        <v>4</v>
      </c>
      <c r="O485" t="s">
        <v>95</v>
      </c>
      <c r="P485" s="2">
        <v>2372.08</v>
      </c>
      <c r="Q485" s="2">
        <v>664.18</v>
      </c>
      <c r="R485" t="s">
        <v>66</v>
      </c>
      <c r="S485">
        <v>0</v>
      </c>
      <c r="T485">
        <v>0</v>
      </c>
      <c r="U485">
        <f>IF(AND(OR(Dashboard!$D$4="Semua",D485=Dashboard!$D$4),OR(Dashboard!$H$4="Semua",E485=Dashboard!$H$4)),1,0)</f>
        <v>1</v>
      </c>
      <c r="V485">
        <f>IF(U485=1,IF(COUNTIFS($C$2:C485,C485,$U$2:U485,1)=1,1,0),0)</f>
        <v>0</v>
      </c>
    </row>
    <row r="486" spans="1:22" x14ac:dyDescent="0.35">
      <c r="A486">
        <v>10485</v>
      </c>
      <c r="B486" s="1">
        <v>45046</v>
      </c>
      <c r="C486">
        <v>1992</v>
      </c>
      <c r="D486" t="s">
        <v>73</v>
      </c>
      <c r="E486" t="s">
        <v>78</v>
      </c>
      <c r="F486">
        <v>1</v>
      </c>
      <c r="G486" s="2">
        <v>400.42</v>
      </c>
      <c r="H486">
        <v>0.2</v>
      </c>
      <c r="I486" t="s">
        <v>71</v>
      </c>
      <c r="J486">
        <v>6</v>
      </c>
      <c r="K486">
        <v>4.4000000000000004</v>
      </c>
      <c r="L486" s="2">
        <v>320.33999999999997</v>
      </c>
      <c r="M486">
        <v>2023</v>
      </c>
      <c r="N486">
        <v>4</v>
      </c>
      <c r="O486" t="s">
        <v>95</v>
      </c>
      <c r="P486" s="2">
        <v>400.42</v>
      </c>
      <c r="Q486" s="2">
        <v>80.08</v>
      </c>
      <c r="R486" t="s">
        <v>76</v>
      </c>
      <c r="S486">
        <v>0</v>
      </c>
      <c r="T486">
        <v>0</v>
      </c>
      <c r="U486">
        <f>IF(AND(OR(Dashboard!$D$4="Semua",D486=Dashboard!$D$4),OR(Dashboard!$H$4="Semua",E486=Dashboard!$H$4)),1,0)</f>
        <v>1</v>
      </c>
      <c r="V486">
        <f>IF(U486=1,IF(COUNTIFS($C$2:C486,C486,$U$2:U486,1)=1,1,0),0)</f>
        <v>1</v>
      </c>
    </row>
    <row r="487" spans="1:22" x14ac:dyDescent="0.35">
      <c r="A487">
        <v>10486</v>
      </c>
      <c r="B487" s="1">
        <v>45047</v>
      </c>
      <c r="C487">
        <v>1115</v>
      </c>
      <c r="D487" t="s">
        <v>80</v>
      </c>
      <c r="E487" t="s">
        <v>70</v>
      </c>
      <c r="F487">
        <v>2</v>
      </c>
      <c r="G487" s="2">
        <v>228.76</v>
      </c>
      <c r="H487">
        <v>0.35</v>
      </c>
      <c r="I487" t="s">
        <v>71</v>
      </c>
      <c r="J487">
        <v>10</v>
      </c>
      <c r="K487">
        <v>2.6</v>
      </c>
      <c r="L487" s="2">
        <v>297.39</v>
      </c>
      <c r="M487">
        <v>2023</v>
      </c>
      <c r="N487">
        <v>5</v>
      </c>
      <c r="O487" t="s">
        <v>96</v>
      </c>
      <c r="P487" s="2">
        <v>457.52</v>
      </c>
      <c r="Q487" s="2">
        <v>160.13</v>
      </c>
      <c r="R487" t="s">
        <v>72</v>
      </c>
      <c r="S487">
        <v>0</v>
      </c>
      <c r="T487">
        <v>0</v>
      </c>
      <c r="U487">
        <f>IF(AND(OR(Dashboard!$D$4="Semua",D487=Dashboard!$D$4),OR(Dashboard!$H$4="Semua",E487=Dashboard!$H$4)),1,0)</f>
        <v>1</v>
      </c>
      <c r="V487">
        <f>IF(U487=1,IF(COUNTIFS($C$2:C487,C487,$U$2:U487,1)=1,1,0),0)</f>
        <v>1</v>
      </c>
    </row>
    <row r="488" spans="1:22" x14ac:dyDescent="0.35">
      <c r="A488">
        <v>10487</v>
      </c>
      <c r="B488" s="1">
        <v>45048</v>
      </c>
      <c r="C488">
        <v>1190</v>
      </c>
      <c r="D488" t="s">
        <v>62</v>
      </c>
      <c r="E488" t="s">
        <v>74</v>
      </c>
      <c r="F488">
        <v>6</v>
      </c>
      <c r="G488" s="2">
        <v>290.2</v>
      </c>
      <c r="H488">
        <v>0.21</v>
      </c>
      <c r="I488" t="s">
        <v>64</v>
      </c>
      <c r="J488">
        <v>11</v>
      </c>
      <c r="K488">
        <v>3.9</v>
      </c>
      <c r="L488" s="2">
        <v>1375.55</v>
      </c>
      <c r="M488">
        <v>2023</v>
      </c>
      <c r="N488">
        <v>5</v>
      </c>
      <c r="O488" t="s">
        <v>96</v>
      </c>
      <c r="P488" s="2">
        <v>1741.2</v>
      </c>
      <c r="Q488" s="2">
        <v>365.65</v>
      </c>
      <c r="R488" t="s">
        <v>77</v>
      </c>
      <c r="S488">
        <v>0</v>
      </c>
      <c r="T488">
        <v>0</v>
      </c>
      <c r="U488">
        <f>IF(AND(OR(Dashboard!$D$4="Semua",D488=Dashboard!$D$4),OR(Dashboard!$H$4="Semua",E488=Dashboard!$H$4)),1,0)</f>
        <v>1</v>
      </c>
      <c r="V488">
        <f>IF(U488=1,IF(COUNTIFS($C$2:C488,C488,$U$2:U488,1)=1,1,0),0)</f>
        <v>1</v>
      </c>
    </row>
    <row r="489" spans="1:22" x14ac:dyDescent="0.35">
      <c r="A489">
        <v>10488</v>
      </c>
      <c r="B489" s="1">
        <v>45049</v>
      </c>
      <c r="C489">
        <v>1252</v>
      </c>
      <c r="D489" t="s">
        <v>67</v>
      </c>
      <c r="E489" t="s">
        <v>63</v>
      </c>
      <c r="F489">
        <v>2</v>
      </c>
      <c r="G489" s="2">
        <v>170.93</v>
      </c>
      <c r="H489">
        <v>0.02</v>
      </c>
      <c r="I489" t="s">
        <v>71</v>
      </c>
      <c r="J489">
        <v>3</v>
      </c>
      <c r="K489">
        <v>4</v>
      </c>
      <c r="L489" s="2">
        <v>335.02</v>
      </c>
      <c r="M489">
        <v>2023</v>
      </c>
      <c r="N489">
        <v>5</v>
      </c>
      <c r="O489" t="s">
        <v>96</v>
      </c>
      <c r="P489" s="2">
        <v>341.86</v>
      </c>
      <c r="Q489" s="2">
        <v>6.84</v>
      </c>
      <c r="R489" t="s">
        <v>75</v>
      </c>
      <c r="S489">
        <v>0</v>
      </c>
      <c r="T489">
        <v>0</v>
      </c>
      <c r="U489">
        <f>IF(AND(OR(Dashboard!$D$4="Semua",D489=Dashboard!$D$4),OR(Dashboard!$H$4="Semua",E489=Dashboard!$H$4)),1,0)</f>
        <v>1</v>
      </c>
      <c r="V489">
        <f>IF(U489=1,IF(COUNTIFS($C$2:C489,C489,$U$2:U489,1)=1,1,0),0)</f>
        <v>0</v>
      </c>
    </row>
    <row r="490" spans="1:22" x14ac:dyDescent="0.35">
      <c r="A490">
        <v>10489</v>
      </c>
      <c r="B490" s="1">
        <v>45050</v>
      </c>
      <c r="C490">
        <v>1980</v>
      </c>
      <c r="D490" t="s">
        <v>73</v>
      </c>
      <c r="E490" t="s">
        <v>78</v>
      </c>
      <c r="F490">
        <v>6</v>
      </c>
      <c r="G490" s="2">
        <v>216.75</v>
      </c>
      <c r="H490">
        <v>0.02</v>
      </c>
      <c r="I490" t="s">
        <v>68</v>
      </c>
      <c r="J490">
        <v>7</v>
      </c>
      <c r="K490">
        <v>4.4000000000000004</v>
      </c>
      <c r="L490" s="2">
        <v>1274.49</v>
      </c>
      <c r="M490">
        <v>2023</v>
      </c>
      <c r="N490">
        <v>5</v>
      </c>
      <c r="O490" t="s">
        <v>96</v>
      </c>
      <c r="P490" s="2">
        <v>1300.5</v>
      </c>
      <c r="Q490" s="2">
        <v>26.01</v>
      </c>
      <c r="R490" t="s">
        <v>75</v>
      </c>
      <c r="S490">
        <v>0</v>
      </c>
      <c r="T490">
        <v>0</v>
      </c>
      <c r="U490">
        <f>IF(AND(OR(Dashboard!$D$4="Semua",D490=Dashboard!$D$4),OR(Dashboard!$H$4="Semua",E490=Dashboard!$H$4)),1,0)</f>
        <v>1</v>
      </c>
      <c r="V490">
        <f>IF(U490=1,IF(COUNTIFS($C$2:C490,C490,$U$2:U490,1)=1,1,0),0)</f>
        <v>1</v>
      </c>
    </row>
    <row r="491" spans="1:22" x14ac:dyDescent="0.35">
      <c r="A491">
        <v>10490</v>
      </c>
      <c r="B491" s="1">
        <v>45051</v>
      </c>
      <c r="C491">
        <v>1927</v>
      </c>
      <c r="D491" t="s">
        <v>73</v>
      </c>
      <c r="E491" t="s">
        <v>78</v>
      </c>
      <c r="F491">
        <v>7</v>
      </c>
      <c r="G491" s="2">
        <v>394.69</v>
      </c>
      <c r="H491">
        <v>0.31</v>
      </c>
      <c r="I491" t="s">
        <v>71</v>
      </c>
      <c r="J491">
        <v>8</v>
      </c>
      <c r="K491">
        <v>1.8</v>
      </c>
      <c r="L491" s="2">
        <v>1906.35</v>
      </c>
      <c r="M491">
        <v>2023</v>
      </c>
      <c r="N491">
        <v>5</v>
      </c>
      <c r="O491" t="s">
        <v>96</v>
      </c>
      <c r="P491" s="2">
        <v>2762.83</v>
      </c>
      <c r="Q491" s="2">
        <v>856.48</v>
      </c>
      <c r="R491" t="s">
        <v>72</v>
      </c>
      <c r="S491">
        <v>0</v>
      </c>
      <c r="T491">
        <v>0</v>
      </c>
      <c r="U491">
        <f>IF(AND(OR(Dashboard!$D$4="Semua",D491=Dashboard!$D$4),OR(Dashboard!$H$4="Semua",E491=Dashboard!$H$4)),1,0)</f>
        <v>1</v>
      </c>
      <c r="V491">
        <f>IF(U491=1,IF(COUNTIFS($C$2:C491,C491,$U$2:U491,1)=1,1,0),0)</f>
        <v>1</v>
      </c>
    </row>
    <row r="492" spans="1:22" x14ac:dyDescent="0.35">
      <c r="A492">
        <v>10491</v>
      </c>
      <c r="B492" s="1">
        <v>45052</v>
      </c>
      <c r="C492">
        <v>1982</v>
      </c>
      <c r="D492" t="s">
        <v>62</v>
      </c>
      <c r="E492" t="s">
        <v>74</v>
      </c>
      <c r="F492">
        <v>2</v>
      </c>
      <c r="G492" s="2">
        <v>531.44000000000005</v>
      </c>
      <c r="H492">
        <v>0.28999999999999998</v>
      </c>
      <c r="I492" t="s">
        <v>71</v>
      </c>
      <c r="J492">
        <v>5</v>
      </c>
      <c r="K492">
        <v>3.8</v>
      </c>
      <c r="L492" s="2">
        <v>754.64</v>
      </c>
      <c r="M492">
        <v>2023</v>
      </c>
      <c r="N492">
        <v>5</v>
      </c>
      <c r="O492" t="s">
        <v>96</v>
      </c>
      <c r="P492" s="2">
        <v>1062.8800000000001</v>
      </c>
      <c r="Q492" s="2">
        <v>308.24</v>
      </c>
      <c r="R492" t="s">
        <v>66</v>
      </c>
      <c r="S492">
        <v>0</v>
      </c>
      <c r="T492">
        <v>0</v>
      </c>
      <c r="U492">
        <f>IF(AND(OR(Dashboard!$D$4="Semua",D492=Dashboard!$D$4),OR(Dashboard!$H$4="Semua",E492=Dashboard!$H$4)),1,0)</f>
        <v>1</v>
      </c>
      <c r="V492">
        <f>IF(U492=1,IF(COUNTIFS($C$2:C492,C492,$U$2:U492,1)=1,1,0),0)</f>
        <v>1</v>
      </c>
    </row>
    <row r="493" spans="1:22" x14ac:dyDescent="0.35">
      <c r="A493">
        <v>10492</v>
      </c>
      <c r="B493" s="1">
        <v>45053</v>
      </c>
      <c r="C493">
        <v>1160</v>
      </c>
      <c r="D493" t="s">
        <v>73</v>
      </c>
      <c r="E493" t="s">
        <v>70</v>
      </c>
      <c r="F493">
        <v>4</v>
      </c>
      <c r="G493" s="2">
        <v>122.72</v>
      </c>
      <c r="H493">
        <v>0.12</v>
      </c>
      <c r="I493" t="s">
        <v>68</v>
      </c>
      <c r="J493">
        <v>5</v>
      </c>
      <c r="K493">
        <v>1.1000000000000001</v>
      </c>
      <c r="L493" s="2">
        <v>431.97</v>
      </c>
      <c r="M493">
        <v>2023</v>
      </c>
      <c r="N493">
        <v>5</v>
      </c>
      <c r="O493" t="s">
        <v>96</v>
      </c>
      <c r="P493" s="2">
        <v>490.88</v>
      </c>
      <c r="Q493" s="2">
        <v>58.91</v>
      </c>
      <c r="R493" t="s">
        <v>79</v>
      </c>
      <c r="S493">
        <v>0</v>
      </c>
      <c r="T493">
        <v>0</v>
      </c>
      <c r="U493">
        <f>IF(AND(OR(Dashboard!$D$4="Semua",D493=Dashboard!$D$4),OR(Dashboard!$H$4="Semua",E493=Dashboard!$H$4)),1,0)</f>
        <v>1</v>
      </c>
      <c r="V493">
        <f>IF(U493=1,IF(COUNTIFS($C$2:C493,C493,$U$2:U493,1)=1,1,0),0)</f>
        <v>0</v>
      </c>
    </row>
    <row r="494" spans="1:22" x14ac:dyDescent="0.35">
      <c r="A494">
        <v>10493</v>
      </c>
      <c r="B494" s="1">
        <v>45054</v>
      </c>
      <c r="C494">
        <v>1255</v>
      </c>
      <c r="D494" t="s">
        <v>73</v>
      </c>
      <c r="E494" t="s">
        <v>78</v>
      </c>
      <c r="F494">
        <v>1</v>
      </c>
      <c r="G494" s="2">
        <v>506.61</v>
      </c>
      <c r="H494">
        <v>0.22</v>
      </c>
      <c r="I494" t="s">
        <v>71</v>
      </c>
      <c r="J494">
        <v>4</v>
      </c>
      <c r="K494">
        <v>1.5</v>
      </c>
      <c r="L494" s="2">
        <v>395.16</v>
      </c>
      <c r="M494">
        <v>2023</v>
      </c>
      <c r="N494">
        <v>5</v>
      </c>
      <c r="O494" t="s">
        <v>96</v>
      </c>
      <c r="P494" s="2">
        <v>506.61</v>
      </c>
      <c r="Q494" s="2">
        <v>111.45</v>
      </c>
      <c r="R494" t="s">
        <v>77</v>
      </c>
      <c r="S494">
        <v>0</v>
      </c>
      <c r="T494">
        <v>0</v>
      </c>
      <c r="U494">
        <f>IF(AND(OR(Dashboard!$D$4="Semua",D494=Dashboard!$D$4),OR(Dashboard!$H$4="Semua",E494=Dashboard!$H$4)),1,0)</f>
        <v>1</v>
      </c>
      <c r="V494">
        <f>IF(U494=1,IF(COUNTIFS($C$2:C494,C494,$U$2:U494,1)=1,1,0),0)</f>
        <v>1</v>
      </c>
    </row>
    <row r="495" spans="1:22" x14ac:dyDescent="0.35">
      <c r="A495">
        <v>10494</v>
      </c>
      <c r="B495" s="1">
        <v>45055</v>
      </c>
      <c r="C495">
        <v>1322</v>
      </c>
      <c r="D495" t="s">
        <v>67</v>
      </c>
      <c r="E495" t="s">
        <v>70</v>
      </c>
      <c r="F495">
        <v>7</v>
      </c>
      <c r="G495" s="2">
        <v>86.11</v>
      </c>
      <c r="H495">
        <v>0.17</v>
      </c>
      <c r="I495" t="s">
        <v>68</v>
      </c>
      <c r="J495">
        <v>10</v>
      </c>
      <c r="K495">
        <v>4.0999999999999996</v>
      </c>
      <c r="L495" s="2">
        <v>500.3</v>
      </c>
      <c r="M495">
        <v>2023</v>
      </c>
      <c r="N495">
        <v>5</v>
      </c>
      <c r="O495" t="s">
        <v>96</v>
      </c>
      <c r="P495" s="2">
        <v>602.77</v>
      </c>
      <c r="Q495" s="2">
        <v>102.47</v>
      </c>
      <c r="R495" t="s">
        <v>76</v>
      </c>
      <c r="S495">
        <v>0</v>
      </c>
      <c r="T495">
        <v>0</v>
      </c>
      <c r="U495">
        <f>IF(AND(OR(Dashboard!$D$4="Semua",D495=Dashboard!$D$4),OR(Dashboard!$H$4="Semua",E495=Dashboard!$H$4)),1,0)</f>
        <v>1</v>
      </c>
      <c r="V495">
        <f>IF(U495=1,IF(COUNTIFS($C$2:C495,C495,$U$2:U495,1)=1,1,0),0)</f>
        <v>1</v>
      </c>
    </row>
    <row r="496" spans="1:22" x14ac:dyDescent="0.35">
      <c r="A496">
        <v>10495</v>
      </c>
      <c r="B496" s="1">
        <v>45056</v>
      </c>
      <c r="C496">
        <v>1127</v>
      </c>
      <c r="D496" t="s">
        <v>67</v>
      </c>
      <c r="E496" t="s">
        <v>74</v>
      </c>
      <c r="F496">
        <v>4</v>
      </c>
      <c r="G496" s="2">
        <v>140.77000000000001</v>
      </c>
      <c r="H496">
        <v>0.34</v>
      </c>
      <c r="I496" t="s">
        <v>68</v>
      </c>
      <c r="J496">
        <v>5</v>
      </c>
      <c r="K496">
        <v>4.3</v>
      </c>
      <c r="L496" s="2">
        <v>371.63</v>
      </c>
      <c r="M496">
        <v>2023</v>
      </c>
      <c r="N496">
        <v>5</v>
      </c>
      <c r="O496" t="s">
        <v>96</v>
      </c>
      <c r="P496" s="2">
        <v>563.08000000000004</v>
      </c>
      <c r="Q496" s="2">
        <v>191.45</v>
      </c>
      <c r="R496" t="s">
        <v>72</v>
      </c>
      <c r="S496">
        <v>0</v>
      </c>
      <c r="T496">
        <v>0</v>
      </c>
      <c r="U496">
        <f>IF(AND(OR(Dashboard!$D$4="Semua",D496=Dashboard!$D$4),OR(Dashboard!$H$4="Semua",E496=Dashboard!$H$4)),1,0)</f>
        <v>1</v>
      </c>
      <c r="V496">
        <f>IF(U496=1,IF(COUNTIFS($C$2:C496,C496,$U$2:U496,1)=1,1,0),0)</f>
        <v>1</v>
      </c>
    </row>
    <row r="497" spans="1:22" x14ac:dyDescent="0.35">
      <c r="A497">
        <v>10496</v>
      </c>
      <c r="B497" s="1">
        <v>45057</v>
      </c>
      <c r="C497">
        <v>1017</v>
      </c>
      <c r="D497" t="s">
        <v>67</v>
      </c>
      <c r="E497" t="s">
        <v>63</v>
      </c>
      <c r="F497">
        <v>3</v>
      </c>
      <c r="G497" s="2">
        <v>36.75</v>
      </c>
      <c r="H497">
        <v>0.33</v>
      </c>
      <c r="I497" t="s">
        <v>64</v>
      </c>
      <c r="J497">
        <v>10</v>
      </c>
      <c r="K497">
        <v>3.4</v>
      </c>
      <c r="L497" s="2">
        <v>73.87</v>
      </c>
      <c r="M497">
        <v>2023</v>
      </c>
      <c r="N497">
        <v>5</v>
      </c>
      <c r="O497" t="s">
        <v>96</v>
      </c>
      <c r="P497" s="2">
        <v>110.25</v>
      </c>
      <c r="Q497" s="2">
        <v>36.380000000000003</v>
      </c>
      <c r="R497" t="s">
        <v>72</v>
      </c>
      <c r="S497">
        <v>0</v>
      </c>
      <c r="T497">
        <v>0</v>
      </c>
      <c r="U497">
        <f>IF(AND(OR(Dashboard!$D$4="Semua",D497=Dashboard!$D$4),OR(Dashboard!$H$4="Semua",E497=Dashboard!$H$4)),1,0)</f>
        <v>1</v>
      </c>
      <c r="V497">
        <f>IF(U497=1,IF(COUNTIFS($C$2:C497,C497,$U$2:U497,1)=1,1,0),0)</f>
        <v>1</v>
      </c>
    </row>
    <row r="498" spans="1:22" x14ac:dyDescent="0.35">
      <c r="A498">
        <v>10497</v>
      </c>
      <c r="B498" s="1">
        <v>45058</v>
      </c>
      <c r="C498">
        <v>1792</v>
      </c>
      <c r="D498" t="s">
        <v>73</v>
      </c>
      <c r="E498" t="s">
        <v>78</v>
      </c>
      <c r="F498">
        <v>6</v>
      </c>
      <c r="G498" s="2">
        <v>97.37</v>
      </c>
      <c r="H498">
        <v>0.34</v>
      </c>
      <c r="I498" t="s">
        <v>64</v>
      </c>
      <c r="J498">
        <v>11</v>
      </c>
      <c r="K498">
        <v>3.3</v>
      </c>
      <c r="L498" s="2">
        <v>385.59</v>
      </c>
      <c r="M498">
        <v>2023</v>
      </c>
      <c r="N498">
        <v>5</v>
      </c>
      <c r="O498" t="s">
        <v>96</v>
      </c>
      <c r="P498" s="2">
        <v>584.22</v>
      </c>
      <c r="Q498" s="2">
        <v>198.63</v>
      </c>
      <c r="R498" t="s">
        <v>72</v>
      </c>
      <c r="S498">
        <v>0</v>
      </c>
      <c r="T498">
        <v>0</v>
      </c>
      <c r="U498">
        <f>IF(AND(OR(Dashboard!$D$4="Semua",D498=Dashboard!$D$4),OR(Dashboard!$H$4="Semua",E498=Dashboard!$H$4)),1,0)</f>
        <v>1</v>
      </c>
      <c r="V498">
        <f>IF(U498=1,IF(COUNTIFS($C$2:C498,C498,$U$2:U498,1)=1,1,0),0)</f>
        <v>1</v>
      </c>
    </row>
    <row r="499" spans="1:22" x14ac:dyDescent="0.35">
      <c r="A499">
        <v>10498</v>
      </c>
      <c r="B499" s="1">
        <v>45059</v>
      </c>
      <c r="C499">
        <v>1734</v>
      </c>
      <c r="D499" t="s">
        <v>73</v>
      </c>
      <c r="E499" t="s">
        <v>70</v>
      </c>
      <c r="F499">
        <v>1</v>
      </c>
      <c r="G499" s="2">
        <v>551.62</v>
      </c>
      <c r="H499">
        <v>0.3</v>
      </c>
      <c r="I499" t="s">
        <v>71</v>
      </c>
      <c r="J499">
        <v>8</v>
      </c>
      <c r="K499">
        <v>4</v>
      </c>
      <c r="L499" s="2">
        <v>386.13</v>
      </c>
      <c r="M499">
        <v>2023</v>
      </c>
      <c r="N499">
        <v>5</v>
      </c>
      <c r="O499" t="s">
        <v>96</v>
      </c>
      <c r="P499" s="2">
        <v>551.62</v>
      </c>
      <c r="Q499" s="2">
        <v>165.49</v>
      </c>
      <c r="R499" t="s">
        <v>66</v>
      </c>
      <c r="S499">
        <v>0</v>
      </c>
      <c r="T499">
        <v>0</v>
      </c>
      <c r="U499">
        <f>IF(AND(OR(Dashboard!$D$4="Semua",D499=Dashboard!$D$4),OR(Dashboard!$H$4="Semua",E499=Dashboard!$H$4)),1,0)</f>
        <v>1</v>
      </c>
      <c r="V499">
        <f>IF(U499=1,IF(COUNTIFS($C$2:C499,C499,$U$2:U499,1)=1,1,0),0)</f>
        <v>1</v>
      </c>
    </row>
    <row r="500" spans="1:22" x14ac:dyDescent="0.35">
      <c r="A500">
        <v>10499</v>
      </c>
      <c r="B500" s="1">
        <v>45060</v>
      </c>
      <c r="C500">
        <v>1565</v>
      </c>
      <c r="D500" t="s">
        <v>62</v>
      </c>
      <c r="E500" t="s">
        <v>78</v>
      </c>
      <c r="F500">
        <v>4</v>
      </c>
      <c r="G500" s="2">
        <v>283.77</v>
      </c>
      <c r="H500">
        <v>0.32</v>
      </c>
      <c r="I500" t="s">
        <v>71</v>
      </c>
      <c r="J500">
        <v>5</v>
      </c>
      <c r="K500">
        <v>4.5999999999999996</v>
      </c>
      <c r="L500" s="2">
        <v>771.85</v>
      </c>
      <c r="M500">
        <v>2023</v>
      </c>
      <c r="N500">
        <v>5</v>
      </c>
      <c r="O500" t="s">
        <v>96</v>
      </c>
      <c r="P500" s="2">
        <v>1135.08</v>
      </c>
      <c r="Q500" s="2">
        <v>363.23</v>
      </c>
      <c r="R500" t="s">
        <v>72</v>
      </c>
      <c r="S500">
        <v>0</v>
      </c>
      <c r="T500">
        <v>0</v>
      </c>
      <c r="U500">
        <f>IF(AND(OR(Dashboard!$D$4="Semua",D500=Dashboard!$D$4),OR(Dashboard!$H$4="Semua",E500=Dashboard!$H$4)),1,0)</f>
        <v>1</v>
      </c>
      <c r="V500">
        <f>IF(U500=1,IF(COUNTIFS($C$2:C500,C500,$U$2:U500,1)=1,1,0),0)</f>
        <v>0</v>
      </c>
    </row>
    <row r="501" spans="1:22" x14ac:dyDescent="0.35">
      <c r="A501">
        <v>10500</v>
      </c>
      <c r="B501" s="1">
        <v>45061</v>
      </c>
      <c r="C501">
        <v>1569</v>
      </c>
      <c r="D501" t="s">
        <v>73</v>
      </c>
      <c r="E501" t="s">
        <v>70</v>
      </c>
      <c r="F501">
        <v>1</v>
      </c>
      <c r="G501" s="2">
        <v>60.43</v>
      </c>
      <c r="H501">
        <v>0.08</v>
      </c>
      <c r="I501" t="s">
        <v>64</v>
      </c>
      <c r="J501">
        <v>9</v>
      </c>
      <c r="K501">
        <v>2.7</v>
      </c>
      <c r="L501" s="2">
        <v>55.6</v>
      </c>
      <c r="M501">
        <v>2023</v>
      </c>
      <c r="N501">
        <v>5</v>
      </c>
      <c r="O501" t="s">
        <v>96</v>
      </c>
      <c r="P501" s="2">
        <v>60.43</v>
      </c>
      <c r="Q501" s="2">
        <v>4.83</v>
      </c>
      <c r="R501" t="s">
        <v>69</v>
      </c>
      <c r="S501">
        <v>0</v>
      </c>
      <c r="T501">
        <v>0</v>
      </c>
      <c r="U501">
        <f>IF(AND(OR(Dashboard!$D$4="Semua",D501=Dashboard!$D$4),OR(Dashboard!$H$4="Semua",E501=Dashboard!$H$4)),1,0)</f>
        <v>1</v>
      </c>
      <c r="V501">
        <f>IF(U501=1,IF(COUNTIFS($C$2:C501,C501,$U$2:U501,1)=1,1,0),0)</f>
        <v>1</v>
      </c>
    </row>
    <row r="502" spans="1:22" x14ac:dyDescent="0.35">
      <c r="A502">
        <v>10501</v>
      </c>
      <c r="B502" s="1">
        <v>45062</v>
      </c>
      <c r="C502">
        <v>1322</v>
      </c>
      <c r="D502" t="s">
        <v>80</v>
      </c>
      <c r="E502" t="s">
        <v>70</v>
      </c>
      <c r="F502">
        <v>3</v>
      </c>
      <c r="G502" s="2">
        <v>576.44000000000005</v>
      </c>
      <c r="H502">
        <v>0.28999999999999998</v>
      </c>
      <c r="I502" t="s">
        <v>64</v>
      </c>
      <c r="J502">
        <v>1</v>
      </c>
      <c r="K502">
        <v>1.5</v>
      </c>
      <c r="L502" s="2">
        <v>1227.82</v>
      </c>
      <c r="M502">
        <v>2023</v>
      </c>
      <c r="N502">
        <v>5</v>
      </c>
      <c r="O502" t="s">
        <v>96</v>
      </c>
      <c r="P502" s="2">
        <v>1729.32</v>
      </c>
      <c r="Q502" s="2">
        <v>501.5</v>
      </c>
      <c r="R502" t="s">
        <v>66</v>
      </c>
      <c r="S502">
        <v>0</v>
      </c>
      <c r="T502">
        <v>0</v>
      </c>
      <c r="U502">
        <f>IF(AND(OR(Dashboard!$D$4="Semua",D502=Dashboard!$D$4),OR(Dashboard!$H$4="Semua",E502=Dashboard!$H$4)),1,0)</f>
        <v>1</v>
      </c>
      <c r="V502">
        <f>IF(U502=1,IF(COUNTIFS($C$2:C502,C502,$U$2:U502,1)=1,1,0),0)</f>
        <v>0</v>
      </c>
    </row>
    <row r="503" spans="1:22" x14ac:dyDescent="0.35">
      <c r="A503">
        <v>10502</v>
      </c>
      <c r="B503" s="1">
        <v>45063</v>
      </c>
      <c r="C503">
        <v>1871</v>
      </c>
      <c r="D503" t="s">
        <v>80</v>
      </c>
      <c r="E503" t="s">
        <v>70</v>
      </c>
      <c r="F503">
        <v>5</v>
      </c>
      <c r="G503" s="2">
        <v>529.21</v>
      </c>
      <c r="H503">
        <v>0.25</v>
      </c>
      <c r="I503" t="s">
        <v>71</v>
      </c>
      <c r="J503">
        <v>7</v>
      </c>
      <c r="K503">
        <v>4.4000000000000004</v>
      </c>
      <c r="L503" s="2">
        <v>1984.54</v>
      </c>
      <c r="M503">
        <v>2023</v>
      </c>
      <c r="N503">
        <v>5</v>
      </c>
      <c r="O503" t="s">
        <v>96</v>
      </c>
      <c r="P503" s="2">
        <v>2646.05</v>
      </c>
      <c r="Q503" s="2">
        <v>661.51</v>
      </c>
      <c r="R503" t="s">
        <v>77</v>
      </c>
      <c r="S503">
        <v>0</v>
      </c>
      <c r="T503">
        <v>0</v>
      </c>
      <c r="U503">
        <f>IF(AND(OR(Dashboard!$D$4="Semua",D503=Dashboard!$D$4),OR(Dashboard!$H$4="Semua",E503=Dashboard!$H$4)),1,0)</f>
        <v>1</v>
      </c>
      <c r="V503">
        <f>IF(U503=1,IF(COUNTIFS($C$2:C503,C503,$U$2:U503,1)=1,1,0),0)</f>
        <v>0</v>
      </c>
    </row>
    <row r="504" spans="1:22" x14ac:dyDescent="0.35">
      <c r="A504">
        <v>10503</v>
      </c>
      <c r="B504" s="1">
        <v>45064</v>
      </c>
      <c r="C504">
        <v>1685</v>
      </c>
      <c r="D504" t="s">
        <v>67</v>
      </c>
      <c r="E504" t="s">
        <v>74</v>
      </c>
      <c r="F504">
        <v>6</v>
      </c>
      <c r="G504" s="2">
        <v>456.49</v>
      </c>
      <c r="H504">
        <v>0.34</v>
      </c>
      <c r="I504" t="s">
        <v>71</v>
      </c>
      <c r="J504">
        <v>5</v>
      </c>
      <c r="K504">
        <v>2.4</v>
      </c>
      <c r="L504" s="2">
        <v>1807.7</v>
      </c>
      <c r="M504">
        <v>2023</v>
      </c>
      <c r="N504">
        <v>5</v>
      </c>
      <c r="O504" t="s">
        <v>96</v>
      </c>
      <c r="P504" s="2">
        <v>2738.94</v>
      </c>
      <c r="Q504" s="2">
        <v>931.24</v>
      </c>
      <c r="R504" t="s">
        <v>72</v>
      </c>
      <c r="S504">
        <v>0</v>
      </c>
      <c r="T504">
        <v>0</v>
      </c>
      <c r="U504">
        <f>IF(AND(OR(Dashboard!$D$4="Semua",D504=Dashboard!$D$4),OR(Dashboard!$H$4="Semua",E504=Dashboard!$H$4)),1,0)</f>
        <v>1</v>
      </c>
      <c r="V504">
        <f>IF(U504=1,IF(COUNTIFS($C$2:C504,C504,$U$2:U504,1)=1,1,0),0)</f>
        <v>1</v>
      </c>
    </row>
    <row r="505" spans="1:22" x14ac:dyDescent="0.35">
      <c r="A505">
        <v>10504</v>
      </c>
      <c r="B505" s="1">
        <v>45065</v>
      </c>
      <c r="C505">
        <v>1791</v>
      </c>
      <c r="D505" t="s">
        <v>73</v>
      </c>
      <c r="E505" t="s">
        <v>63</v>
      </c>
      <c r="F505">
        <v>6</v>
      </c>
      <c r="G505" s="2">
        <v>561.08000000000004</v>
      </c>
      <c r="H505">
        <v>0.2</v>
      </c>
      <c r="I505" t="s">
        <v>68</v>
      </c>
      <c r="J505">
        <v>4</v>
      </c>
      <c r="K505">
        <v>1.5</v>
      </c>
      <c r="L505" s="2">
        <v>2693.18</v>
      </c>
      <c r="M505">
        <v>2023</v>
      </c>
      <c r="N505">
        <v>5</v>
      </c>
      <c r="O505" t="s">
        <v>96</v>
      </c>
      <c r="P505" s="2">
        <v>3366.48</v>
      </c>
      <c r="Q505" s="2">
        <v>673.3</v>
      </c>
      <c r="R505" t="s">
        <v>76</v>
      </c>
      <c r="S505">
        <v>0</v>
      </c>
      <c r="T505">
        <v>0</v>
      </c>
      <c r="U505">
        <f>IF(AND(OR(Dashboard!$D$4="Semua",D505=Dashboard!$D$4),OR(Dashboard!$H$4="Semua",E505=Dashboard!$H$4)),1,0)</f>
        <v>1</v>
      </c>
      <c r="V505">
        <f>IF(U505=1,IF(COUNTIFS($C$2:C505,C505,$U$2:U505,1)=1,1,0),0)</f>
        <v>0</v>
      </c>
    </row>
    <row r="506" spans="1:22" x14ac:dyDescent="0.35">
      <c r="A506">
        <v>10505</v>
      </c>
      <c r="B506" s="1">
        <v>45066</v>
      </c>
      <c r="C506">
        <v>1625</v>
      </c>
      <c r="D506" t="s">
        <v>73</v>
      </c>
      <c r="E506" t="s">
        <v>78</v>
      </c>
      <c r="F506">
        <v>2</v>
      </c>
      <c r="G506" s="2">
        <v>143.78</v>
      </c>
      <c r="H506">
        <v>0.03</v>
      </c>
      <c r="I506" t="s">
        <v>68</v>
      </c>
      <c r="J506">
        <v>3</v>
      </c>
      <c r="K506">
        <v>3.5</v>
      </c>
      <c r="L506" s="2">
        <v>278.93</v>
      </c>
      <c r="M506">
        <v>2023</v>
      </c>
      <c r="N506">
        <v>5</v>
      </c>
      <c r="O506" t="s">
        <v>96</v>
      </c>
      <c r="P506" s="2">
        <v>287.56</v>
      </c>
      <c r="Q506" s="2">
        <v>8.6300000000000008</v>
      </c>
      <c r="R506" t="s">
        <v>75</v>
      </c>
      <c r="S506">
        <v>0</v>
      </c>
      <c r="T506">
        <v>0</v>
      </c>
      <c r="U506">
        <f>IF(AND(OR(Dashboard!$D$4="Semua",D506=Dashboard!$D$4),OR(Dashboard!$H$4="Semua",E506=Dashboard!$H$4)),1,0)</f>
        <v>1</v>
      </c>
      <c r="V506">
        <f>IF(U506=1,IF(COUNTIFS($C$2:C506,C506,$U$2:U506,1)=1,1,0),0)</f>
        <v>1</v>
      </c>
    </row>
    <row r="507" spans="1:22" x14ac:dyDescent="0.35">
      <c r="A507">
        <v>10506</v>
      </c>
      <c r="B507" s="1">
        <v>45067</v>
      </c>
      <c r="C507">
        <v>1287</v>
      </c>
      <c r="D507" t="s">
        <v>67</v>
      </c>
      <c r="E507" t="s">
        <v>63</v>
      </c>
      <c r="F507">
        <v>6</v>
      </c>
      <c r="G507" s="2">
        <v>504.28</v>
      </c>
      <c r="H507">
        <v>0.21</v>
      </c>
      <c r="I507" t="s">
        <v>68</v>
      </c>
      <c r="J507">
        <v>10</v>
      </c>
      <c r="K507">
        <v>3.3</v>
      </c>
      <c r="L507" s="2">
        <v>2390.29</v>
      </c>
      <c r="M507">
        <v>2023</v>
      </c>
      <c r="N507">
        <v>5</v>
      </c>
      <c r="O507" t="s">
        <v>96</v>
      </c>
      <c r="P507" s="2">
        <v>3025.68</v>
      </c>
      <c r="Q507" s="2">
        <v>635.39</v>
      </c>
      <c r="R507" t="s">
        <v>77</v>
      </c>
      <c r="S507">
        <v>0</v>
      </c>
      <c r="T507">
        <v>0</v>
      </c>
      <c r="U507">
        <f>IF(AND(OR(Dashboard!$D$4="Semua",D507=Dashboard!$D$4),OR(Dashboard!$H$4="Semua",E507=Dashboard!$H$4)),1,0)</f>
        <v>1</v>
      </c>
      <c r="V507">
        <f>IF(U507=1,IF(COUNTIFS($C$2:C507,C507,$U$2:U507,1)=1,1,0),0)</f>
        <v>1</v>
      </c>
    </row>
    <row r="508" spans="1:22" x14ac:dyDescent="0.35">
      <c r="A508">
        <v>10507</v>
      </c>
      <c r="B508" s="1">
        <v>45068</v>
      </c>
      <c r="C508">
        <v>1942</v>
      </c>
      <c r="D508" t="s">
        <v>62</v>
      </c>
      <c r="E508" t="s">
        <v>70</v>
      </c>
      <c r="F508">
        <v>6</v>
      </c>
      <c r="G508" s="2">
        <v>418.64</v>
      </c>
      <c r="H508">
        <v>0.24</v>
      </c>
      <c r="I508" t="s">
        <v>71</v>
      </c>
      <c r="J508">
        <v>7</v>
      </c>
      <c r="K508">
        <v>2.9</v>
      </c>
      <c r="L508" s="2">
        <v>1909</v>
      </c>
      <c r="M508">
        <v>2023</v>
      </c>
      <c r="N508">
        <v>5</v>
      </c>
      <c r="O508" t="s">
        <v>96</v>
      </c>
      <c r="P508" s="2">
        <v>2511.84</v>
      </c>
      <c r="Q508" s="2">
        <v>602.84</v>
      </c>
      <c r="R508" t="s">
        <v>77</v>
      </c>
      <c r="S508">
        <v>0</v>
      </c>
      <c r="T508">
        <v>0</v>
      </c>
      <c r="U508">
        <f>IF(AND(OR(Dashboard!$D$4="Semua",D508=Dashboard!$D$4),OR(Dashboard!$H$4="Semua",E508=Dashboard!$H$4)),1,0)</f>
        <v>1</v>
      </c>
      <c r="V508">
        <f>IF(U508=1,IF(COUNTIFS($C$2:C508,C508,$U$2:U508,1)=1,1,0),0)</f>
        <v>0</v>
      </c>
    </row>
    <row r="509" spans="1:22" x14ac:dyDescent="0.35">
      <c r="A509">
        <v>10508</v>
      </c>
      <c r="B509" s="1">
        <v>45069</v>
      </c>
      <c r="C509">
        <v>1853</v>
      </c>
      <c r="D509" t="s">
        <v>62</v>
      </c>
      <c r="E509" t="s">
        <v>70</v>
      </c>
      <c r="F509">
        <v>4</v>
      </c>
      <c r="G509" s="2">
        <v>523.80999999999995</v>
      </c>
      <c r="H509">
        <v>0.08</v>
      </c>
      <c r="I509" t="s">
        <v>64</v>
      </c>
      <c r="J509">
        <v>2</v>
      </c>
      <c r="K509">
        <v>4.4000000000000004</v>
      </c>
      <c r="L509" s="2">
        <v>1927.62</v>
      </c>
      <c r="M509">
        <v>2023</v>
      </c>
      <c r="N509">
        <v>5</v>
      </c>
      <c r="O509" t="s">
        <v>96</v>
      </c>
      <c r="P509" s="2">
        <v>2095.2399999999998</v>
      </c>
      <c r="Q509" s="2">
        <v>167.62</v>
      </c>
      <c r="R509" t="s">
        <v>69</v>
      </c>
      <c r="S509">
        <v>0</v>
      </c>
      <c r="T509">
        <v>0</v>
      </c>
      <c r="U509">
        <f>IF(AND(OR(Dashboard!$D$4="Semua",D509=Dashboard!$D$4),OR(Dashboard!$H$4="Semua",E509=Dashboard!$H$4)),1,0)</f>
        <v>1</v>
      </c>
      <c r="V509">
        <f>IF(U509=1,IF(COUNTIFS($C$2:C509,C509,$U$2:U509,1)=1,1,0),0)</f>
        <v>1</v>
      </c>
    </row>
    <row r="510" spans="1:22" x14ac:dyDescent="0.35">
      <c r="A510">
        <v>10509</v>
      </c>
      <c r="B510" s="1">
        <v>45070</v>
      </c>
      <c r="C510">
        <v>1662</v>
      </c>
      <c r="D510" t="s">
        <v>73</v>
      </c>
      <c r="E510" t="s">
        <v>63</v>
      </c>
      <c r="F510">
        <v>7</v>
      </c>
      <c r="G510" s="2">
        <v>481.19</v>
      </c>
      <c r="H510">
        <v>0.14000000000000001</v>
      </c>
      <c r="I510" t="s">
        <v>64</v>
      </c>
      <c r="J510">
        <v>5</v>
      </c>
      <c r="K510">
        <v>2.1</v>
      </c>
      <c r="L510" s="2">
        <v>2896.76</v>
      </c>
      <c r="M510">
        <v>2023</v>
      </c>
      <c r="N510">
        <v>5</v>
      </c>
      <c r="O510" t="s">
        <v>96</v>
      </c>
      <c r="P510" s="2">
        <v>3368.33</v>
      </c>
      <c r="Q510" s="2">
        <v>471.57</v>
      </c>
      <c r="R510" t="s">
        <v>79</v>
      </c>
      <c r="S510">
        <v>0</v>
      </c>
      <c r="T510">
        <v>0</v>
      </c>
      <c r="U510">
        <f>IF(AND(OR(Dashboard!$D$4="Semua",D510=Dashboard!$D$4),OR(Dashboard!$H$4="Semua",E510=Dashboard!$H$4)),1,0)</f>
        <v>1</v>
      </c>
      <c r="V510">
        <f>IF(U510=1,IF(COUNTIFS($C$2:C510,C510,$U$2:U510,1)=1,1,0),0)</f>
        <v>1</v>
      </c>
    </row>
    <row r="511" spans="1:22" x14ac:dyDescent="0.35">
      <c r="A511">
        <v>10510</v>
      </c>
      <c r="B511" s="1">
        <v>45071</v>
      </c>
      <c r="C511">
        <v>1961</v>
      </c>
      <c r="D511" t="s">
        <v>73</v>
      </c>
      <c r="E511" t="s">
        <v>63</v>
      </c>
      <c r="F511">
        <v>6</v>
      </c>
      <c r="G511" s="2">
        <v>217.7</v>
      </c>
      <c r="H511">
        <v>0.21</v>
      </c>
      <c r="I511" t="s">
        <v>68</v>
      </c>
      <c r="J511">
        <v>2</v>
      </c>
      <c r="K511">
        <v>1.1000000000000001</v>
      </c>
      <c r="L511" s="2">
        <v>1031.9000000000001</v>
      </c>
      <c r="M511">
        <v>2023</v>
      </c>
      <c r="N511">
        <v>5</v>
      </c>
      <c r="O511" t="s">
        <v>96</v>
      </c>
      <c r="P511" s="2">
        <v>1306.2</v>
      </c>
      <c r="Q511" s="2">
        <v>274.3</v>
      </c>
      <c r="R511" t="s">
        <v>77</v>
      </c>
      <c r="S511">
        <v>0</v>
      </c>
      <c r="T511">
        <v>0</v>
      </c>
      <c r="U511">
        <f>IF(AND(OR(Dashboard!$D$4="Semua",D511=Dashboard!$D$4),OR(Dashboard!$H$4="Semua",E511=Dashboard!$H$4)),1,0)</f>
        <v>1</v>
      </c>
      <c r="V511">
        <f>IF(U511=1,IF(COUNTIFS($C$2:C511,C511,$U$2:U511,1)=1,1,0),0)</f>
        <v>1</v>
      </c>
    </row>
    <row r="512" spans="1:22" x14ac:dyDescent="0.35">
      <c r="A512">
        <v>10511</v>
      </c>
      <c r="B512" s="1">
        <v>45072</v>
      </c>
      <c r="C512">
        <v>1638</v>
      </c>
      <c r="D512" t="s">
        <v>62</v>
      </c>
      <c r="E512" t="s">
        <v>78</v>
      </c>
      <c r="F512">
        <v>6</v>
      </c>
      <c r="G512" s="2">
        <v>468.02</v>
      </c>
      <c r="H512">
        <v>0.13</v>
      </c>
      <c r="I512" t="s">
        <v>71</v>
      </c>
      <c r="J512">
        <v>7</v>
      </c>
      <c r="K512">
        <v>2.2999999999999998</v>
      </c>
      <c r="L512" s="2">
        <v>2443.06</v>
      </c>
      <c r="M512">
        <v>2023</v>
      </c>
      <c r="N512">
        <v>5</v>
      </c>
      <c r="O512" t="s">
        <v>96</v>
      </c>
      <c r="P512" s="2">
        <v>2808.12</v>
      </c>
      <c r="Q512" s="2">
        <v>365.06</v>
      </c>
      <c r="R512" t="s">
        <v>79</v>
      </c>
      <c r="S512">
        <v>0</v>
      </c>
      <c r="T512">
        <v>0</v>
      </c>
      <c r="U512">
        <f>IF(AND(OR(Dashboard!$D$4="Semua",D512=Dashboard!$D$4),OR(Dashboard!$H$4="Semua",E512=Dashboard!$H$4)),1,0)</f>
        <v>1</v>
      </c>
      <c r="V512">
        <f>IF(U512=1,IF(COUNTIFS($C$2:C512,C512,$U$2:U512,1)=1,1,0),0)</f>
        <v>1</v>
      </c>
    </row>
    <row r="513" spans="1:22" x14ac:dyDescent="0.35">
      <c r="A513">
        <v>10512</v>
      </c>
      <c r="B513" s="1">
        <v>45073</v>
      </c>
      <c r="C513">
        <v>1154</v>
      </c>
      <c r="D513" t="s">
        <v>80</v>
      </c>
      <c r="E513" t="s">
        <v>70</v>
      </c>
      <c r="F513">
        <v>3</v>
      </c>
      <c r="G513" s="2">
        <v>168.54</v>
      </c>
      <c r="H513">
        <v>0.13</v>
      </c>
      <c r="I513" t="s">
        <v>68</v>
      </c>
      <c r="J513">
        <v>6</v>
      </c>
      <c r="K513">
        <v>1</v>
      </c>
      <c r="L513" s="2">
        <v>439.89</v>
      </c>
      <c r="M513">
        <v>2023</v>
      </c>
      <c r="N513">
        <v>5</v>
      </c>
      <c r="O513" t="s">
        <v>96</v>
      </c>
      <c r="P513" s="2">
        <v>505.62</v>
      </c>
      <c r="Q513" s="2">
        <v>65.73</v>
      </c>
      <c r="R513" t="s">
        <v>79</v>
      </c>
      <c r="S513">
        <v>0</v>
      </c>
      <c r="T513">
        <v>0</v>
      </c>
      <c r="U513">
        <f>IF(AND(OR(Dashboard!$D$4="Semua",D513=Dashboard!$D$4),OR(Dashboard!$H$4="Semua",E513=Dashboard!$H$4)),1,0)</f>
        <v>1</v>
      </c>
      <c r="V513">
        <f>IF(U513=1,IF(COUNTIFS($C$2:C513,C513,$U$2:U513,1)=1,1,0),0)</f>
        <v>1</v>
      </c>
    </row>
    <row r="514" spans="1:22" x14ac:dyDescent="0.35">
      <c r="A514">
        <v>10513</v>
      </c>
      <c r="B514" s="1">
        <v>45074</v>
      </c>
      <c r="C514">
        <v>1489</v>
      </c>
      <c r="D514" t="s">
        <v>62</v>
      </c>
      <c r="E514" t="s">
        <v>63</v>
      </c>
      <c r="F514">
        <v>7</v>
      </c>
      <c r="G514" s="2">
        <v>207.23</v>
      </c>
      <c r="H514">
        <v>0.05</v>
      </c>
      <c r="I514" t="s">
        <v>68</v>
      </c>
      <c r="J514">
        <v>10</v>
      </c>
      <c r="K514">
        <v>3.2</v>
      </c>
      <c r="L514" s="2">
        <v>1378.08</v>
      </c>
      <c r="M514">
        <v>2023</v>
      </c>
      <c r="N514">
        <v>5</v>
      </c>
      <c r="O514" t="s">
        <v>96</v>
      </c>
      <c r="P514" s="2">
        <v>1450.61</v>
      </c>
      <c r="Q514" s="2">
        <v>72.53</v>
      </c>
      <c r="R514" t="s">
        <v>75</v>
      </c>
      <c r="S514">
        <v>0</v>
      </c>
      <c r="T514">
        <v>0</v>
      </c>
      <c r="U514">
        <f>IF(AND(OR(Dashboard!$D$4="Semua",D514=Dashboard!$D$4),OR(Dashboard!$H$4="Semua",E514=Dashboard!$H$4)),1,0)</f>
        <v>1</v>
      </c>
      <c r="V514">
        <f>IF(U514=1,IF(COUNTIFS($C$2:C514,C514,$U$2:U514,1)=1,1,0),0)</f>
        <v>0</v>
      </c>
    </row>
    <row r="515" spans="1:22" x14ac:dyDescent="0.35">
      <c r="A515">
        <v>10514</v>
      </c>
      <c r="B515" s="1">
        <v>45075</v>
      </c>
      <c r="C515">
        <v>1385</v>
      </c>
      <c r="D515" t="s">
        <v>73</v>
      </c>
      <c r="E515" t="s">
        <v>74</v>
      </c>
      <c r="F515">
        <v>3</v>
      </c>
      <c r="G515" s="2">
        <v>78.12</v>
      </c>
      <c r="H515">
        <v>0.33</v>
      </c>
      <c r="I515" t="s">
        <v>64</v>
      </c>
      <c r="J515">
        <v>7</v>
      </c>
      <c r="K515">
        <v>2.5</v>
      </c>
      <c r="L515" s="2">
        <v>157.02000000000001</v>
      </c>
      <c r="M515">
        <v>2023</v>
      </c>
      <c r="N515">
        <v>5</v>
      </c>
      <c r="O515" t="s">
        <v>96</v>
      </c>
      <c r="P515" s="2">
        <v>234.36</v>
      </c>
      <c r="Q515" s="2">
        <v>77.34</v>
      </c>
      <c r="R515" t="s">
        <v>72</v>
      </c>
      <c r="S515">
        <v>0</v>
      </c>
      <c r="T515">
        <v>0</v>
      </c>
      <c r="U515">
        <f>IF(AND(OR(Dashboard!$D$4="Semua",D515=Dashboard!$D$4),OR(Dashboard!$H$4="Semua",E515=Dashboard!$H$4)),1,0)</f>
        <v>1</v>
      </c>
      <c r="V515">
        <f>IF(U515=1,IF(COUNTIFS($C$2:C515,C515,$U$2:U515,1)=1,1,0),0)</f>
        <v>0</v>
      </c>
    </row>
    <row r="516" spans="1:22" x14ac:dyDescent="0.35">
      <c r="A516">
        <v>10515</v>
      </c>
      <c r="B516" s="1">
        <v>45076</v>
      </c>
      <c r="C516">
        <v>1985</v>
      </c>
      <c r="D516" t="s">
        <v>67</v>
      </c>
      <c r="E516" t="s">
        <v>70</v>
      </c>
      <c r="F516">
        <v>1</v>
      </c>
      <c r="G516" s="2">
        <v>562.02</v>
      </c>
      <c r="H516">
        <v>0.26</v>
      </c>
      <c r="I516" t="s">
        <v>71</v>
      </c>
      <c r="J516">
        <v>9</v>
      </c>
      <c r="K516">
        <v>4.3</v>
      </c>
      <c r="L516" s="2">
        <v>415.89</v>
      </c>
      <c r="M516">
        <v>2023</v>
      </c>
      <c r="N516">
        <v>5</v>
      </c>
      <c r="O516" t="s">
        <v>96</v>
      </c>
      <c r="P516" s="2">
        <v>562.02</v>
      </c>
      <c r="Q516" s="2">
        <v>146.13</v>
      </c>
      <c r="R516" t="s">
        <v>66</v>
      </c>
      <c r="S516">
        <v>0</v>
      </c>
      <c r="T516">
        <v>0</v>
      </c>
      <c r="U516">
        <f>IF(AND(OR(Dashboard!$D$4="Semua",D516=Dashboard!$D$4),OR(Dashboard!$H$4="Semua",E516=Dashboard!$H$4)),1,0)</f>
        <v>1</v>
      </c>
      <c r="V516">
        <f>IF(U516=1,IF(COUNTIFS($C$2:C516,C516,$U$2:U516,1)=1,1,0),0)</f>
        <v>1</v>
      </c>
    </row>
    <row r="517" spans="1:22" x14ac:dyDescent="0.35">
      <c r="A517">
        <v>10516</v>
      </c>
      <c r="B517" s="1">
        <v>45077</v>
      </c>
      <c r="C517">
        <v>1784</v>
      </c>
      <c r="D517" t="s">
        <v>80</v>
      </c>
      <c r="E517" t="s">
        <v>70</v>
      </c>
      <c r="F517">
        <v>1</v>
      </c>
      <c r="G517" s="2">
        <v>185.24</v>
      </c>
      <c r="H517">
        <v>0</v>
      </c>
      <c r="I517" t="s">
        <v>71</v>
      </c>
      <c r="J517">
        <v>2</v>
      </c>
      <c r="K517">
        <v>4.2</v>
      </c>
      <c r="L517" s="2">
        <v>185.24</v>
      </c>
      <c r="M517">
        <v>2023</v>
      </c>
      <c r="N517">
        <v>5</v>
      </c>
      <c r="O517" t="s">
        <v>96</v>
      </c>
      <c r="P517" s="2">
        <v>185.24</v>
      </c>
      <c r="Q517" s="2">
        <v>0</v>
      </c>
      <c r="R517" t="s">
        <v>75</v>
      </c>
      <c r="S517">
        <v>0</v>
      </c>
      <c r="T517">
        <v>0</v>
      </c>
      <c r="U517">
        <f>IF(AND(OR(Dashboard!$D$4="Semua",D517=Dashboard!$D$4),OR(Dashboard!$H$4="Semua",E517=Dashboard!$H$4)),1,0)</f>
        <v>1</v>
      </c>
      <c r="V517">
        <f>IF(U517=1,IF(COUNTIFS($C$2:C517,C517,$U$2:U517,1)=1,1,0),0)</f>
        <v>1</v>
      </c>
    </row>
    <row r="518" spans="1:22" x14ac:dyDescent="0.35">
      <c r="A518">
        <v>10517</v>
      </c>
      <c r="B518" s="1">
        <v>45078</v>
      </c>
      <c r="C518">
        <v>1103</v>
      </c>
      <c r="D518" t="s">
        <v>80</v>
      </c>
      <c r="E518" t="s">
        <v>78</v>
      </c>
      <c r="F518">
        <v>6</v>
      </c>
      <c r="G518" s="2">
        <v>319.56</v>
      </c>
      <c r="H518">
        <v>0.27</v>
      </c>
      <c r="I518" t="s">
        <v>68</v>
      </c>
      <c r="J518">
        <v>9</v>
      </c>
      <c r="K518">
        <v>2.7</v>
      </c>
      <c r="L518" s="2">
        <v>1399.67</v>
      </c>
      <c r="M518">
        <v>2023</v>
      </c>
      <c r="N518">
        <v>6</v>
      </c>
      <c r="O518" t="s">
        <v>97</v>
      </c>
      <c r="P518" s="2">
        <v>1917.36</v>
      </c>
      <c r="Q518" s="2">
        <v>517.69000000000005</v>
      </c>
      <c r="R518" t="s">
        <v>66</v>
      </c>
      <c r="S518">
        <v>0</v>
      </c>
      <c r="T518">
        <v>0</v>
      </c>
      <c r="U518">
        <f>IF(AND(OR(Dashboard!$D$4="Semua",D518=Dashboard!$D$4),OR(Dashboard!$H$4="Semua",E518=Dashboard!$H$4)),1,0)</f>
        <v>1</v>
      </c>
      <c r="V518">
        <f>IF(U518=1,IF(COUNTIFS($C$2:C518,C518,$U$2:U518,1)=1,1,0),0)</f>
        <v>0</v>
      </c>
    </row>
    <row r="519" spans="1:22" x14ac:dyDescent="0.35">
      <c r="A519">
        <v>10518</v>
      </c>
      <c r="B519" s="1">
        <v>45079</v>
      </c>
      <c r="C519">
        <v>1928</v>
      </c>
      <c r="D519" t="s">
        <v>67</v>
      </c>
      <c r="E519" t="s">
        <v>74</v>
      </c>
      <c r="F519">
        <v>6</v>
      </c>
      <c r="G519" s="2">
        <v>243.93</v>
      </c>
      <c r="H519">
        <v>0.26</v>
      </c>
      <c r="I519" t="s">
        <v>68</v>
      </c>
      <c r="J519">
        <v>7</v>
      </c>
      <c r="K519">
        <v>1.9</v>
      </c>
      <c r="L519" s="2">
        <v>1083.05</v>
      </c>
      <c r="M519">
        <v>2023</v>
      </c>
      <c r="N519">
        <v>6</v>
      </c>
      <c r="O519" t="s">
        <v>97</v>
      </c>
      <c r="P519" s="2">
        <v>1463.58</v>
      </c>
      <c r="Q519" s="2">
        <v>380.53</v>
      </c>
      <c r="R519" t="s">
        <v>66</v>
      </c>
      <c r="S519">
        <v>0</v>
      </c>
      <c r="T519">
        <v>0</v>
      </c>
      <c r="U519">
        <f>IF(AND(OR(Dashboard!$D$4="Semua",D519=Dashboard!$D$4),OR(Dashboard!$H$4="Semua",E519=Dashboard!$H$4)),1,0)</f>
        <v>1</v>
      </c>
      <c r="V519">
        <f>IF(U519=1,IF(COUNTIFS($C$2:C519,C519,$U$2:U519,1)=1,1,0),0)</f>
        <v>0</v>
      </c>
    </row>
    <row r="520" spans="1:22" x14ac:dyDescent="0.35">
      <c r="A520">
        <v>10519</v>
      </c>
      <c r="B520" s="1">
        <v>45080</v>
      </c>
      <c r="C520">
        <v>1392</v>
      </c>
      <c r="D520" t="s">
        <v>73</v>
      </c>
      <c r="E520" t="s">
        <v>78</v>
      </c>
      <c r="F520">
        <v>2</v>
      </c>
      <c r="G520" s="2">
        <v>576.55999999999995</v>
      </c>
      <c r="H520">
        <v>0</v>
      </c>
      <c r="I520" t="s">
        <v>71</v>
      </c>
      <c r="J520">
        <v>2</v>
      </c>
      <c r="K520">
        <v>2.7</v>
      </c>
      <c r="L520" s="2">
        <v>1153.1199999999999</v>
      </c>
      <c r="M520">
        <v>2023</v>
      </c>
      <c r="N520">
        <v>6</v>
      </c>
      <c r="O520" t="s">
        <v>97</v>
      </c>
      <c r="P520" s="2">
        <v>1153.1199999999999</v>
      </c>
      <c r="Q520" s="2">
        <v>0</v>
      </c>
      <c r="R520" t="s">
        <v>75</v>
      </c>
      <c r="S520">
        <v>0</v>
      </c>
      <c r="T520">
        <v>0</v>
      </c>
      <c r="U520">
        <f>IF(AND(OR(Dashboard!$D$4="Semua",D520=Dashboard!$D$4),OR(Dashboard!$H$4="Semua",E520=Dashboard!$H$4)),1,0)</f>
        <v>1</v>
      </c>
      <c r="V520">
        <f>IF(U520=1,IF(COUNTIFS($C$2:C520,C520,$U$2:U520,1)=1,1,0),0)</f>
        <v>0</v>
      </c>
    </row>
    <row r="521" spans="1:22" x14ac:dyDescent="0.35">
      <c r="A521">
        <v>10520</v>
      </c>
      <c r="B521" s="1">
        <v>45081</v>
      </c>
      <c r="C521">
        <v>1810</v>
      </c>
      <c r="D521" t="s">
        <v>67</v>
      </c>
      <c r="E521" t="s">
        <v>74</v>
      </c>
      <c r="F521">
        <v>1</v>
      </c>
      <c r="G521" s="2">
        <v>211</v>
      </c>
      <c r="H521">
        <v>0.13</v>
      </c>
      <c r="I521" t="s">
        <v>68</v>
      </c>
      <c r="J521">
        <v>10</v>
      </c>
      <c r="K521">
        <v>3.6</v>
      </c>
      <c r="L521" s="2">
        <v>183.57</v>
      </c>
      <c r="M521">
        <v>2023</v>
      </c>
      <c r="N521">
        <v>6</v>
      </c>
      <c r="O521" t="s">
        <v>97</v>
      </c>
      <c r="P521" s="2">
        <v>211</v>
      </c>
      <c r="Q521" s="2">
        <v>27.43</v>
      </c>
      <c r="R521" t="s">
        <v>79</v>
      </c>
      <c r="S521">
        <v>0</v>
      </c>
      <c r="T521">
        <v>0</v>
      </c>
      <c r="U521">
        <f>IF(AND(OR(Dashboard!$D$4="Semua",D521=Dashboard!$D$4),OR(Dashboard!$H$4="Semua",E521=Dashboard!$H$4)),1,0)</f>
        <v>1</v>
      </c>
      <c r="V521">
        <f>IF(U521=1,IF(COUNTIFS($C$2:C521,C521,$U$2:U521,1)=1,1,0),0)</f>
        <v>1</v>
      </c>
    </row>
    <row r="522" spans="1:22" x14ac:dyDescent="0.35">
      <c r="A522">
        <v>10521</v>
      </c>
      <c r="B522" s="1">
        <v>45082</v>
      </c>
      <c r="C522">
        <v>1245</v>
      </c>
      <c r="D522" t="s">
        <v>73</v>
      </c>
      <c r="E522" t="s">
        <v>78</v>
      </c>
      <c r="F522">
        <v>4</v>
      </c>
      <c r="G522" s="2">
        <v>470.45</v>
      </c>
      <c r="H522">
        <v>0.21</v>
      </c>
      <c r="I522" t="s">
        <v>68</v>
      </c>
      <c r="J522">
        <v>2</v>
      </c>
      <c r="K522">
        <v>1.8</v>
      </c>
      <c r="L522" s="2">
        <v>1486.62</v>
      </c>
      <c r="M522">
        <v>2023</v>
      </c>
      <c r="N522">
        <v>6</v>
      </c>
      <c r="O522" t="s">
        <v>97</v>
      </c>
      <c r="P522" s="2">
        <v>1881.8</v>
      </c>
      <c r="Q522" s="2">
        <v>395.18</v>
      </c>
      <c r="R522" t="s">
        <v>77</v>
      </c>
      <c r="S522">
        <v>0</v>
      </c>
      <c r="T522">
        <v>0</v>
      </c>
      <c r="U522">
        <f>IF(AND(OR(Dashboard!$D$4="Semua",D522=Dashboard!$D$4),OR(Dashboard!$H$4="Semua",E522=Dashboard!$H$4)),1,0)</f>
        <v>1</v>
      </c>
      <c r="V522">
        <f>IF(U522=1,IF(COUNTIFS($C$2:C522,C522,$U$2:U522,1)=1,1,0),0)</f>
        <v>1</v>
      </c>
    </row>
    <row r="523" spans="1:22" x14ac:dyDescent="0.35">
      <c r="A523">
        <v>10522</v>
      </c>
      <c r="B523" s="1">
        <v>45083</v>
      </c>
      <c r="C523">
        <v>1175</v>
      </c>
      <c r="D523" t="s">
        <v>67</v>
      </c>
      <c r="E523" t="s">
        <v>74</v>
      </c>
      <c r="F523">
        <v>6</v>
      </c>
      <c r="G523" s="2">
        <v>515.41999999999996</v>
      </c>
      <c r="H523">
        <v>0.16</v>
      </c>
      <c r="I523" t="s">
        <v>68</v>
      </c>
      <c r="J523">
        <v>4</v>
      </c>
      <c r="K523">
        <v>4.0999999999999996</v>
      </c>
      <c r="L523" s="2">
        <v>2597.7199999999998</v>
      </c>
      <c r="M523">
        <v>2023</v>
      </c>
      <c r="N523">
        <v>6</v>
      </c>
      <c r="O523" t="s">
        <v>97</v>
      </c>
      <c r="P523" s="2">
        <v>3092.52</v>
      </c>
      <c r="Q523" s="2">
        <v>494.8</v>
      </c>
      <c r="R523" t="s">
        <v>76</v>
      </c>
      <c r="S523">
        <v>0</v>
      </c>
      <c r="T523">
        <v>0</v>
      </c>
      <c r="U523">
        <f>IF(AND(OR(Dashboard!$D$4="Semua",D523=Dashboard!$D$4),OR(Dashboard!$H$4="Semua",E523=Dashboard!$H$4)),1,0)</f>
        <v>1</v>
      </c>
      <c r="V523">
        <f>IF(U523=1,IF(COUNTIFS($C$2:C523,C523,$U$2:U523,1)=1,1,0),0)</f>
        <v>1</v>
      </c>
    </row>
    <row r="524" spans="1:22" x14ac:dyDescent="0.35">
      <c r="A524">
        <v>10523</v>
      </c>
      <c r="B524" s="1">
        <v>45084</v>
      </c>
      <c r="C524">
        <v>1038</v>
      </c>
      <c r="D524" t="s">
        <v>62</v>
      </c>
      <c r="E524" t="s">
        <v>74</v>
      </c>
      <c r="F524">
        <v>4</v>
      </c>
      <c r="G524" s="2">
        <v>269.83</v>
      </c>
      <c r="H524">
        <v>0.27</v>
      </c>
      <c r="I524" t="s">
        <v>71</v>
      </c>
      <c r="J524">
        <v>2</v>
      </c>
      <c r="K524">
        <v>2.2999999999999998</v>
      </c>
      <c r="L524" s="2">
        <v>787.9</v>
      </c>
      <c r="M524">
        <v>2023</v>
      </c>
      <c r="N524">
        <v>6</v>
      </c>
      <c r="O524" t="s">
        <v>97</v>
      </c>
      <c r="P524" s="2">
        <v>1079.32</v>
      </c>
      <c r="Q524" s="2">
        <v>291.42</v>
      </c>
      <c r="R524" t="s">
        <v>66</v>
      </c>
      <c r="S524">
        <v>0</v>
      </c>
      <c r="T524">
        <v>0</v>
      </c>
      <c r="U524">
        <f>IF(AND(OR(Dashboard!$D$4="Semua",D524=Dashboard!$D$4),OR(Dashboard!$H$4="Semua",E524=Dashboard!$H$4)),1,0)</f>
        <v>1</v>
      </c>
      <c r="V524">
        <f>IF(U524=1,IF(COUNTIFS($C$2:C524,C524,$U$2:U524,1)=1,1,0),0)</f>
        <v>1</v>
      </c>
    </row>
    <row r="525" spans="1:22" x14ac:dyDescent="0.35">
      <c r="A525">
        <v>10524</v>
      </c>
      <c r="B525" s="1">
        <v>45085</v>
      </c>
      <c r="C525">
        <v>1476</v>
      </c>
      <c r="D525" t="s">
        <v>67</v>
      </c>
      <c r="E525" t="s">
        <v>74</v>
      </c>
      <c r="F525">
        <v>6</v>
      </c>
      <c r="G525" s="2">
        <v>236.23</v>
      </c>
      <c r="H525">
        <v>0.15</v>
      </c>
      <c r="I525" t="s">
        <v>64</v>
      </c>
      <c r="J525">
        <v>1</v>
      </c>
      <c r="K525">
        <v>4.7</v>
      </c>
      <c r="L525" s="2">
        <v>1204.77</v>
      </c>
      <c r="M525">
        <v>2023</v>
      </c>
      <c r="N525">
        <v>6</v>
      </c>
      <c r="O525" t="s">
        <v>97</v>
      </c>
      <c r="P525" s="2">
        <v>1417.38</v>
      </c>
      <c r="Q525" s="2">
        <v>212.61</v>
      </c>
      <c r="R525" t="s">
        <v>79</v>
      </c>
      <c r="S525">
        <v>0</v>
      </c>
      <c r="T525">
        <v>0</v>
      </c>
      <c r="U525">
        <f>IF(AND(OR(Dashboard!$D$4="Semua",D525=Dashboard!$D$4),OR(Dashboard!$H$4="Semua",E525=Dashboard!$H$4)),1,0)</f>
        <v>1</v>
      </c>
      <c r="V525">
        <f>IF(U525=1,IF(COUNTIFS($C$2:C525,C525,$U$2:U525,1)=1,1,0),0)</f>
        <v>0</v>
      </c>
    </row>
    <row r="526" spans="1:22" x14ac:dyDescent="0.35">
      <c r="A526">
        <v>10525</v>
      </c>
      <c r="B526" s="1">
        <v>45086</v>
      </c>
      <c r="C526">
        <v>1681</v>
      </c>
      <c r="D526" t="s">
        <v>80</v>
      </c>
      <c r="E526" t="s">
        <v>63</v>
      </c>
      <c r="F526">
        <v>4</v>
      </c>
      <c r="G526" s="2">
        <v>452.43</v>
      </c>
      <c r="H526">
        <v>0.05</v>
      </c>
      <c r="I526" t="s">
        <v>64</v>
      </c>
      <c r="J526">
        <v>6</v>
      </c>
      <c r="K526">
        <v>3</v>
      </c>
      <c r="L526" s="2">
        <v>1719.23</v>
      </c>
      <c r="M526">
        <v>2023</v>
      </c>
      <c r="N526">
        <v>6</v>
      </c>
      <c r="O526" t="s">
        <v>97</v>
      </c>
      <c r="P526" s="2">
        <v>1809.72</v>
      </c>
      <c r="Q526" s="2">
        <v>90.49</v>
      </c>
      <c r="R526" t="s">
        <v>75</v>
      </c>
      <c r="S526">
        <v>0</v>
      </c>
      <c r="T526">
        <v>0</v>
      </c>
      <c r="U526">
        <f>IF(AND(OR(Dashboard!$D$4="Semua",D526=Dashboard!$D$4),OR(Dashboard!$H$4="Semua",E526=Dashboard!$H$4)),1,0)</f>
        <v>1</v>
      </c>
      <c r="V526">
        <f>IF(U526=1,IF(COUNTIFS($C$2:C526,C526,$U$2:U526,1)=1,1,0),0)</f>
        <v>0</v>
      </c>
    </row>
    <row r="527" spans="1:22" x14ac:dyDescent="0.35">
      <c r="A527">
        <v>10526</v>
      </c>
      <c r="B527" s="1">
        <v>45087</v>
      </c>
      <c r="C527">
        <v>1758</v>
      </c>
      <c r="D527" t="s">
        <v>73</v>
      </c>
      <c r="E527" t="s">
        <v>70</v>
      </c>
      <c r="F527">
        <v>5</v>
      </c>
      <c r="G527" s="2">
        <v>549.04</v>
      </c>
      <c r="H527">
        <v>0.34</v>
      </c>
      <c r="I527" t="s">
        <v>64</v>
      </c>
      <c r="J527">
        <v>10</v>
      </c>
      <c r="K527">
        <v>4.4000000000000004</v>
      </c>
      <c r="L527" s="2">
        <v>1811.83</v>
      </c>
      <c r="M527">
        <v>2023</v>
      </c>
      <c r="N527">
        <v>6</v>
      </c>
      <c r="O527" t="s">
        <v>97</v>
      </c>
      <c r="P527" s="2">
        <v>2745.2</v>
      </c>
      <c r="Q527" s="2">
        <v>933.37</v>
      </c>
      <c r="R527" t="s">
        <v>72</v>
      </c>
      <c r="S527">
        <v>0</v>
      </c>
      <c r="T527">
        <v>0</v>
      </c>
      <c r="U527">
        <f>IF(AND(OR(Dashboard!$D$4="Semua",D527=Dashboard!$D$4),OR(Dashboard!$H$4="Semua",E527=Dashboard!$H$4)),1,0)</f>
        <v>1</v>
      </c>
      <c r="V527">
        <f>IF(U527=1,IF(COUNTIFS($C$2:C527,C527,$U$2:U527,1)=1,1,0),0)</f>
        <v>1</v>
      </c>
    </row>
    <row r="528" spans="1:22" x14ac:dyDescent="0.35">
      <c r="A528">
        <v>10527</v>
      </c>
      <c r="B528" s="1">
        <v>45088</v>
      </c>
      <c r="C528">
        <v>1537</v>
      </c>
      <c r="D528" t="s">
        <v>80</v>
      </c>
      <c r="E528" t="s">
        <v>74</v>
      </c>
      <c r="F528">
        <v>4</v>
      </c>
      <c r="G528" s="2">
        <v>456.64</v>
      </c>
      <c r="H528">
        <v>0.08</v>
      </c>
      <c r="I528" t="s">
        <v>64</v>
      </c>
      <c r="J528">
        <v>11</v>
      </c>
      <c r="K528">
        <v>3.5</v>
      </c>
      <c r="L528" s="2">
        <v>1680.44</v>
      </c>
      <c r="M528">
        <v>2023</v>
      </c>
      <c r="N528">
        <v>6</v>
      </c>
      <c r="O528" t="s">
        <v>97</v>
      </c>
      <c r="P528" s="2">
        <v>1826.56</v>
      </c>
      <c r="Q528" s="2">
        <v>146.12</v>
      </c>
      <c r="R528" t="s">
        <v>69</v>
      </c>
      <c r="S528">
        <v>0</v>
      </c>
      <c r="T528">
        <v>0</v>
      </c>
      <c r="U528">
        <f>IF(AND(OR(Dashboard!$D$4="Semua",D528=Dashboard!$D$4),OR(Dashboard!$H$4="Semua",E528=Dashboard!$H$4)),1,0)</f>
        <v>1</v>
      </c>
      <c r="V528">
        <f>IF(U528=1,IF(COUNTIFS($C$2:C528,C528,$U$2:U528,1)=1,1,0),0)</f>
        <v>1</v>
      </c>
    </row>
    <row r="529" spans="1:22" x14ac:dyDescent="0.35">
      <c r="A529">
        <v>10528</v>
      </c>
      <c r="B529" s="1">
        <v>45089</v>
      </c>
      <c r="C529">
        <v>1866</v>
      </c>
      <c r="D529" t="s">
        <v>62</v>
      </c>
      <c r="E529" t="s">
        <v>63</v>
      </c>
      <c r="F529">
        <v>7</v>
      </c>
      <c r="G529" s="2">
        <v>147.87</v>
      </c>
      <c r="H529">
        <v>0.25</v>
      </c>
      <c r="I529" t="s">
        <v>64</v>
      </c>
      <c r="J529">
        <v>5</v>
      </c>
      <c r="K529">
        <v>3.2</v>
      </c>
      <c r="L529" s="2">
        <v>776.32</v>
      </c>
      <c r="M529">
        <v>2023</v>
      </c>
      <c r="N529">
        <v>6</v>
      </c>
      <c r="O529" t="s">
        <v>97</v>
      </c>
      <c r="P529" s="2">
        <v>1035.0899999999999</v>
      </c>
      <c r="Q529" s="2">
        <v>258.77</v>
      </c>
      <c r="R529" t="s">
        <v>77</v>
      </c>
      <c r="S529">
        <v>0</v>
      </c>
      <c r="T529">
        <v>0</v>
      </c>
      <c r="U529">
        <f>IF(AND(OR(Dashboard!$D$4="Semua",D529=Dashboard!$D$4),OR(Dashboard!$H$4="Semua",E529=Dashboard!$H$4)),1,0)</f>
        <v>1</v>
      </c>
      <c r="V529">
        <f>IF(U529=1,IF(COUNTIFS($C$2:C529,C529,$U$2:U529,1)=1,1,0),0)</f>
        <v>1</v>
      </c>
    </row>
    <row r="530" spans="1:22" x14ac:dyDescent="0.35">
      <c r="A530">
        <v>10529</v>
      </c>
      <c r="B530" s="1">
        <v>45090</v>
      </c>
      <c r="C530">
        <v>1817</v>
      </c>
      <c r="D530" t="s">
        <v>73</v>
      </c>
      <c r="E530" t="s">
        <v>63</v>
      </c>
      <c r="F530">
        <v>1</v>
      </c>
      <c r="G530" s="2">
        <v>534.66</v>
      </c>
      <c r="H530">
        <v>0.05</v>
      </c>
      <c r="I530" t="s">
        <v>71</v>
      </c>
      <c r="J530">
        <v>3</v>
      </c>
      <c r="K530">
        <v>3.7</v>
      </c>
      <c r="L530" s="2">
        <v>507.93</v>
      </c>
      <c r="M530">
        <v>2023</v>
      </c>
      <c r="N530">
        <v>6</v>
      </c>
      <c r="O530" t="s">
        <v>97</v>
      </c>
      <c r="P530" s="2">
        <v>534.66</v>
      </c>
      <c r="Q530" s="2">
        <v>26.73</v>
      </c>
      <c r="R530" t="s">
        <v>75</v>
      </c>
      <c r="S530">
        <v>0</v>
      </c>
      <c r="T530">
        <v>0</v>
      </c>
      <c r="U530">
        <f>IF(AND(OR(Dashboard!$D$4="Semua",D530=Dashboard!$D$4),OR(Dashboard!$H$4="Semua",E530=Dashboard!$H$4)),1,0)</f>
        <v>1</v>
      </c>
      <c r="V530">
        <f>IF(U530=1,IF(COUNTIFS($C$2:C530,C530,$U$2:U530,1)=1,1,0),0)</f>
        <v>1</v>
      </c>
    </row>
    <row r="531" spans="1:22" x14ac:dyDescent="0.35">
      <c r="A531">
        <v>10530</v>
      </c>
      <c r="B531" s="1">
        <v>45091</v>
      </c>
      <c r="C531">
        <v>1920</v>
      </c>
      <c r="D531" t="s">
        <v>73</v>
      </c>
      <c r="E531" t="s">
        <v>78</v>
      </c>
      <c r="F531">
        <v>6</v>
      </c>
      <c r="G531" s="2">
        <v>241.74</v>
      </c>
      <c r="H531">
        <v>0.12</v>
      </c>
      <c r="I531" t="s">
        <v>71</v>
      </c>
      <c r="J531">
        <v>11</v>
      </c>
      <c r="K531">
        <v>4.2</v>
      </c>
      <c r="L531" s="2">
        <v>1276.3900000000001</v>
      </c>
      <c r="M531">
        <v>2023</v>
      </c>
      <c r="N531">
        <v>6</v>
      </c>
      <c r="O531" t="s">
        <v>97</v>
      </c>
      <c r="P531" s="2">
        <v>1450.44</v>
      </c>
      <c r="Q531" s="2">
        <v>174.05</v>
      </c>
      <c r="R531" t="s">
        <v>79</v>
      </c>
      <c r="S531">
        <v>0</v>
      </c>
      <c r="T531">
        <v>0</v>
      </c>
      <c r="U531">
        <f>IF(AND(OR(Dashboard!$D$4="Semua",D531=Dashboard!$D$4),OR(Dashboard!$H$4="Semua",E531=Dashboard!$H$4)),1,0)</f>
        <v>1</v>
      </c>
      <c r="V531">
        <f>IF(U531=1,IF(COUNTIFS($C$2:C531,C531,$U$2:U531,1)=1,1,0),0)</f>
        <v>1</v>
      </c>
    </row>
    <row r="532" spans="1:22" x14ac:dyDescent="0.35">
      <c r="A532">
        <v>10531</v>
      </c>
      <c r="B532" s="1">
        <v>45092</v>
      </c>
      <c r="C532">
        <v>1407</v>
      </c>
      <c r="D532" t="s">
        <v>67</v>
      </c>
      <c r="E532" t="s">
        <v>70</v>
      </c>
      <c r="F532">
        <v>1</v>
      </c>
      <c r="G532" s="2">
        <v>352.09</v>
      </c>
      <c r="H532">
        <v>0.15</v>
      </c>
      <c r="I532" t="s">
        <v>68</v>
      </c>
      <c r="J532">
        <v>1</v>
      </c>
      <c r="K532">
        <v>3.6</v>
      </c>
      <c r="L532" s="2">
        <v>299.27999999999997</v>
      </c>
      <c r="M532">
        <v>2023</v>
      </c>
      <c r="N532">
        <v>6</v>
      </c>
      <c r="O532" t="s">
        <v>97</v>
      </c>
      <c r="P532" s="2">
        <v>352.09</v>
      </c>
      <c r="Q532" s="2">
        <v>52.81</v>
      </c>
      <c r="R532" t="s">
        <v>79</v>
      </c>
      <c r="S532">
        <v>0</v>
      </c>
      <c r="T532">
        <v>0</v>
      </c>
      <c r="U532">
        <f>IF(AND(OR(Dashboard!$D$4="Semua",D532=Dashboard!$D$4),OR(Dashboard!$H$4="Semua",E532=Dashboard!$H$4)),1,0)</f>
        <v>1</v>
      </c>
      <c r="V532">
        <f>IF(U532=1,IF(COUNTIFS($C$2:C532,C532,$U$2:U532,1)=1,1,0),0)</f>
        <v>1</v>
      </c>
    </row>
    <row r="533" spans="1:22" x14ac:dyDescent="0.35">
      <c r="A533">
        <v>10532</v>
      </c>
      <c r="B533" s="1">
        <v>45093</v>
      </c>
      <c r="C533">
        <v>1524</v>
      </c>
      <c r="D533" t="s">
        <v>73</v>
      </c>
      <c r="E533" t="s">
        <v>70</v>
      </c>
      <c r="F533">
        <v>7</v>
      </c>
      <c r="G533" s="2">
        <v>501.39</v>
      </c>
      <c r="H533">
        <v>7.0000000000000007E-2</v>
      </c>
      <c r="I533" t="s">
        <v>64</v>
      </c>
      <c r="J533">
        <v>9</v>
      </c>
      <c r="K533">
        <v>4.2</v>
      </c>
      <c r="L533" s="2">
        <v>3264.05</v>
      </c>
      <c r="M533">
        <v>2023</v>
      </c>
      <c r="N533">
        <v>6</v>
      </c>
      <c r="O533" t="s">
        <v>97</v>
      </c>
      <c r="P533" s="2">
        <v>3509.73</v>
      </c>
      <c r="Q533" s="2">
        <v>245.68</v>
      </c>
      <c r="R533" t="s">
        <v>69</v>
      </c>
      <c r="S533">
        <v>0</v>
      </c>
      <c r="T533">
        <v>1</v>
      </c>
      <c r="U533">
        <f>IF(AND(OR(Dashboard!$D$4="Semua",D533=Dashboard!$D$4),OR(Dashboard!$H$4="Semua",E533=Dashboard!$H$4)),1,0)</f>
        <v>1</v>
      </c>
      <c r="V533">
        <f>IF(U533=1,IF(COUNTIFS($C$2:C533,C533,$U$2:U533,1)=1,1,0),0)</f>
        <v>0</v>
      </c>
    </row>
    <row r="534" spans="1:22" x14ac:dyDescent="0.35">
      <c r="A534">
        <v>10533</v>
      </c>
      <c r="B534" s="1">
        <v>45094</v>
      </c>
      <c r="C534">
        <v>1827</v>
      </c>
      <c r="D534" t="s">
        <v>80</v>
      </c>
      <c r="E534" t="s">
        <v>78</v>
      </c>
      <c r="F534">
        <v>7</v>
      </c>
      <c r="G534" s="2">
        <v>125.21</v>
      </c>
      <c r="H534">
        <v>0.16</v>
      </c>
      <c r="I534" t="s">
        <v>68</v>
      </c>
      <c r="J534">
        <v>8</v>
      </c>
      <c r="K534">
        <v>1.8</v>
      </c>
      <c r="L534" s="2">
        <v>736.23</v>
      </c>
      <c r="M534">
        <v>2023</v>
      </c>
      <c r="N534">
        <v>6</v>
      </c>
      <c r="O534" t="s">
        <v>97</v>
      </c>
      <c r="P534" s="2">
        <v>876.47</v>
      </c>
      <c r="Q534" s="2">
        <v>140.24</v>
      </c>
      <c r="R534" t="s">
        <v>76</v>
      </c>
      <c r="S534">
        <v>0</v>
      </c>
      <c r="T534">
        <v>0</v>
      </c>
      <c r="U534">
        <f>IF(AND(OR(Dashboard!$D$4="Semua",D534=Dashboard!$D$4),OR(Dashboard!$H$4="Semua",E534=Dashboard!$H$4)),1,0)</f>
        <v>1</v>
      </c>
      <c r="V534">
        <f>IF(U534=1,IF(COUNTIFS($C$2:C534,C534,$U$2:U534,1)=1,1,0),0)</f>
        <v>1</v>
      </c>
    </row>
    <row r="535" spans="1:22" x14ac:dyDescent="0.35">
      <c r="A535">
        <v>10534</v>
      </c>
      <c r="B535" s="1">
        <v>45095</v>
      </c>
      <c r="C535">
        <v>1505</v>
      </c>
      <c r="D535" t="s">
        <v>62</v>
      </c>
      <c r="E535" t="s">
        <v>70</v>
      </c>
      <c r="F535">
        <v>4</v>
      </c>
      <c r="G535" s="2">
        <v>473.94</v>
      </c>
      <c r="H535">
        <v>0.06</v>
      </c>
      <c r="I535" t="s">
        <v>68</v>
      </c>
      <c r="J535">
        <v>6</v>
      </c>
      <c r="K535">
        <v>2.1</v>
      </c>
      <c r="L535" s="2">
        <v>1782.01</v>
      </c>
      <c r="M535">
        <v>2023</v>
      </c>
      <c r="N535">
        <v>6</v>
      </c>
      <c r="O535" t="s">
        <v>97</v>
      </c>
      <c r="P535" s="2">
        <v>1895.76</v>
      </c>
      <c r="Q535" s="2">
        <v>113.75</v>
      </c>
      <c r="R535" t="s">
        <v>69</v>
      </c>
      <c r="S535">
        <v>0</v>
      </c>
      <c r="T535">
        <v>0</v>
      </c>
      <c r="U535">
        <f>IF(AND(OR(Dashboard!$D$4="Semua",D535=Dashboard!$D$4),OR(Dashboard!$H$4="Semua",E535=Dashboard!$H$4)),1,0)</f>
        <v>1</v>
      </c>
      <c r="V535">
        <f>IF(U535=1,IF(COUNTIFS($C$2:C535,C535,$U$2:U535,1)=1,1,0),0)</f>
        <v>0</v>
      </c>
    </row>
    <row r="536" spans="1:22" x14ac:dyDescent="0.35">
      <c r="A536">
        <v>10535</v>
      </c>
      <c r="B536" s="1">
        <v>45096</v>
      </c>
      <c r="C536">
        <v>1902</v>
      </c>
      <c r="D536" t="s">
        <v>67</v>
      </c>
      <c r="E536" t="s">
        <v>78</v>
      </c>
      <c r="F536">
        <v>3</v>
      </c>
      <c r="G536" s="2">
        <v>363.76</v>
      </c>
      <c r="H536">
        <v>0.2</v>
      </c>
      <c r="I536" t="s">
        <v>64</v>
      </c>
      <c r="J536">
        <v>6</v>
      </c>
      <c r="K536">
        <v>1.9</v>
      </c>
      <c r="L536" s="2">
        <v>873.02</v>
      </c>
      <c r="M536">
        <v>2023</v>
      </c>
      <c r="N536">
        <v>6</v>
      </c>
      <c r="O536" t="s">
        <v>97</v>
      </c>
      <c r="P536" s="2">
        <v>1091.28</v>
      </c>
      <c r="Q536" s="2">
        <v>218.26</v>
      </c>
      <c r="R536" t="s">
        <v>76</v>
      </c>
      <c r="S536">
        <v>0</v>
      </c>
      <c r="T536">
        <v>0</v>
      </c>
      <c r="U536">
        <f>IF(AND(OR(Dashboard!$D$4="Semua",D536=Dashboard!$D$4),OR(Dashboard!$H$4="Semua",E536=Dashboard!$H$4)),1,0)</f>
        <v>1</v>
      </c>
      <c r="V536">
        <f>IF(U536=1,IF(COUNTIFS($C$2:C536,C536,$U$2:U536,1)=1,1,0),0)</f>
        <v>1</v>
      </c>
    </row>
    <row r="537" spans="1:22" x14ac:dyDescent="0.35">
      <c r="A537">
        <v>10536</v>
      </c>
      <c r="B537" s="1">
        <v>45097</v>
      </c>
      <c r="C537">
        <v>1824</v>
      </c>
      <c r="D537" t="s">
        <v>73</v>
      </c>
      <c r="E537" t="s">
        <v>63</v>
      </c>
      <c r="F537">
        <v>3</v>
      </c>
      <c r="G537" s="2">
        <v>537.6</v>
      </c>
      <c r="H537">
        <v>0.23</v>
      </c>
      <c r="I537" t="s">
        <v>68</v>
      </c>
      <c r="J537">
        <v>4</v>
      </c>
      <c r="K537">
        <v>4.2</v>
      </c>
      <c r="L537" s="2">
        <v>1241.8599999999999</v>
      </c>
      <c r="M537">
        <v>2023</v>
      </c>
      <c r="N537">
        <v>6</v>
      </c>
      <c r="O537" t="s">
        <v>97</v>
      </c>
      <c r="P537" s="2">
        <v>1612.8</v>
      </c>
      <c r="Q537" s="2">
        <v>370.94</v>
      </c>
      <c r="R537" t="s">
        <v>77</v>
      </c>
      <c r="S537">
        <v>0</v>
      </c>
      <c r="T537">
        <v>0</v>
      </c>
      <c r="U537">
        <f>IF(AND(OR(Dashboard!$D$4="Semua",D537=Dashboard!$D$4),OR(Dashboard!$H$4="Semua",E537=Dashboard!$H$4)),1,0)</f>
        <v>1</v>
      </c>
      <c r="V537">
        <f>IF(U537=1,IF(COUNTIFS($C$2:C537,C537,$U$2:U537,1)=1,1,0),0)</f>
        <v>1</v>
      </c>
    </row>
    <row r="538" spans="1:22" x14ac:dyDescent="0.35">
      <c r="A538">
        <v>10537</v>
      </c>
      <c r="B538" s="1">
        <v>45098</v>
      </c>
      <c r="C538">
        <v>1035</v>
      </c>
      <c r="D538" t="s">
        <v>67</v>
      </c>
      <c r="E538" t="s">
        <v>63</v>
      </c>
      <c r="F538">
        <v>7</v>
      </c>
      <c r="G538" s="2">
        <v>115.6</v>
      </c>
      <c r="H538">
        <v>0.02</v>
      </c>
      <c r="I538" t="s">
        <v>64</v>
      </c>
      <c r="J538">
        <v>2</v>
      </c>
      <c r="K538">
        <v>1.3</v>
      </c>
      <c r="L538" s="2">
        <v>793.02</v>
      </c>
      <c r="M538">
        <v>2023</v>
      </c>
      <c r="N538">
        <v>6</v>
      </c>
      <c r="O538" t="s">
        <v>97</v>
      </c>
      <c r="P538" s="2">
        <v>809.2</v>
      </c>
      <c r="Q538" s="2">
        <v>16.18</v>
      </c>
      <c r="R538" t="s">
        <v>75</v>
      </c>
      <c r="S538">
        <v>0</v>
      </c>
      <c r="T538">
        <v>0</v>
      </c>
      <c r="U538">
        <f>IF(AND(OR(Dashboard!$D$4="Semua",D538=Dashboard!$D$4),OR(Dashboard!$H$4="Semua",E538=Dashboard!$H$4)),1,0)</f>
        <v>1</v>
      </c>
      <c r="V538">
        <f>IF(U538=1,IF(COUNTIFS($C$2:C538,C538,$U$2:U538,1)=1,1,0),0)</f>
        <v>0</v>
      </c>
    </row>
    <row r="539" spans="1:22" x14ac:dyDescent="0.35">
      <c r="A539">
        <v>10538</v>
      </c>
      <c r="B539" s="1">
        <v>45099</v>
      </c>
      <c r="C539">
        <v>1684</v>
      </c>
      <c r="D539" t="s">
        <v>80</v>
      </c>
      <c r="E539" t="s">
        <v>74</v>
      </c>
      <c r="F539">
        <v>3</v>
      </c>
      <c r="G539" s="2">
        <v>261.10000000000002</v>
      </c>
      <c r="H539">
        <v>0.3</v>
      </c>
      <c r="I539" t="s">
        <v>71</v>
      </c>
      <c r="J539">
        <v>4</v>
      </c>
      <c r="K539">
        <v>4.2</v>
      </c>
      <c r="L539" s="2">
        <v>548.30999999999995</v>
      </c>
      <c r="M539">
        <v>2023</v>
      </c>
      <c r="N539">
        <v>6</v>
      </c>
      <c r="O539" t="s">
        <v>97</v>
      </c>
      <c r="P539" s="2">
        <v>783.3</v>
      </c>
      <c r="Q539" s="2">
        <v>234.99</v>
      </c>
      <c r="R539" t="s">
        <v>66</v>
      </c>
      <c r="S539">
        <v>0</v>
      </c>
      <c r="T539">
        <v>0</v>
      </c>
      <c r="U539">
        <f>IF(AND(OR(Dashboard!$D$4="Semua",D539=Dashboard!$D$4),OR(Dashboard!$H$4="Semua",E539=Dashboard!$H$4)),1,0)</f>
        <v>1</v>
      </c>
      <c r="V539">
        <f>IF(U539=1,IF(COUNTIFS($C$2:C539,C539,$U$2:U539,1)=1,1,0),0)</f>
        <v>1</v>
      </c>
    </row>
    <row r="540" spans="1:22" x14ac:dyDescent="0.35">
      <c r="A540">
        <v>10539</v>
      </c>
      <c r="B540" s="1">
        <v>45100</v>
      </c>
      <c r="C540">
        <v>1019</v>
      </c>
      <c r="D540" t="s">
        <v>73</v>
      </c>
      <c r="E540" t="s">
        <v>78</v>
      </c>
      <c r="F540">
        <v>6</v>
      </c>
      <c r="G540" s="2">
        <v>502.21</v>
      </c>
      <c r="H540">
        <v>0.06</v>
      </c>
      <c r="I540" t="s">
        <v>68</v>
      </c>
      <c r="J540">
        <v>2</v>
      </c>
      <c r="K540">
        <v>2.6</v>
      </c>
      <c r="L540" s="2">
        <v>2832.46</v>
      </c>
      <c r="M540">
        <v>2023</v>
      </c>
      <c r="N540">
        <v>6</v>
      </c>
      <c r="O540" t="s">
        <v>97</v>
      </c>
      <c r="P540" s="2">
        <v>3013.26</v>
      </c>
      <c r="Q540" s="2">
        <v>180.8</v>
      </c>
      <c r="R540" t="s">
        <v>69</v>
      </c>
      <c r="S540">
        <v>0</v>
      </c>
      <c r="T540">
        <v>0</v>
      </c>
      <c r="U540">
        <f>IF(AND(OR(Dashboard!$D$4="Semua",D540=Dashboard!$D$4),OR(Dashboard!$H$4="Semua",E540=Dashboard!$H$4)),1,0)</f>
        <v>1</v>
      </c>
      <c r="V540">
        <f>IF(U540=1,IF(COUNTIFS($C$2:C540,C540,$U$2:U540,1)=1,1,0),0)</f>
        <v>1</v>
      </c>
    </row>
    <row r="541" spans="1:22" x14ac:dyDescent="0.35">
      <c r="A541">
        <v>10540</v>
      </c>
      <c r="B541" s="1">
        <v>45101</v>
      </c>
      <c r="C541">
        <v>1320</v>
      </c>
      <c r="D541" t="s">
        <v>67</v>
      </c>
      <c r="E541" t="s">
        <v>63</v>
      </c>
      <c r="F541">
        <v>2</v>
      </c>
      <c r="G541" s="2">
        <v>26.25</v>
      </c>
      <c r="H541">
        <v>0.08</v>
      </c>
      <c r="I541" t="s">
        <v>71</v>
      </c>
      <c r="J541">
        <v>7</v>
      </c>
      <c r="K541">
        <v>1.3</v>
      </c>
      <c r="L541" s="2">
        <v>48.3</v>
      </c>
      <c r="M541">
        <v>2023</v>
      </c>
      <c r="N541">
        <v>6</v>
      </c>
      <c r="O541" t="s">
        <v>97</v>
      </c>
      <c r="P541" s="2">
        <v>52.5</v>
      </c>
      <c r="Q541" s="2">
        <v>4.2</v>
      </c>
      <c r="R541" t="s">
        <v>69</v>
      </c>
      <c r="S541">
        <v>0</v>
      </c>
      <c r="T541">
        <v>0</v>
      </c>
      <c r="U541">
        <f>IF(AND(OR(Dashboard!$D$4="Semua",D541=Dashboard!$D$4),OR(Dashboard!$H$4="Semua",E541=Dashboard!$H$4)),1,0)</f>
        <v>1</v>
      </c>
      <c r="V541">
        <f>IF(U541=1,IF(COUNTIFS($C$2:C541,C541,$U$2:U541,1)=1,1,0),0)</f>
        <v>1</v>
      </c>
    </row>
    <row r="542" spans="1:22" x14ac:dyDescent="0.35">
      <c r="A542">
        <v>10541</v>
      </c>
      <c r="B542" s="1">
        <v>45102</v>
      </c>
      <c r="C542">
        <v>1775</v>
      </c>
      <c r="D542" t="s">
        <v>67</v>
      </c>
      <c r="E542" t="s">
        <v>63</v>
      </c>
      <c r="F542">
        <v>5</v>
      </c>
      <c r="G542" s="2">
        <v>80.64</v>
      </c>
      <c r="H542">
        <v>0.23</v>
      </c>
      <c r="I542" t="s">
        <v>64</v>
      </c>
      <c r="J542">
        <v>9</v>
      </c>
      <c r="K542">
        <v>2.7</v>
      </c>
      <c r="L542" s="2">
        <v>310.45999999999998</v>
      </c>
      <c r="M542">
        <v>2023</v>
      </c>
      <c r="N542">
        <v>6</v>
      </c>
      <c r="O542" t="s">
        <v>97</v>
      </c>
      <c r="P542" s="2">
        <v>403.2</v>
      </c>
      <c r="Q542" s="2">
        <v>92.74</v>
      </c>
      <c r="R542" t="s">
        <v>77</v>
      </c>
      <c r="S542">
        <v>0</v>
      </c>
      <c r="T542">
        <v>0</v>
      </c>
      <c r="U542">
        <f>IF(AND(OR(Dashboard!$D$4="Semua",D542=Dashboard!$D$4),OR(Dashboard!$H$4="Semua",E542=Dashboard!$H$4)),1,0)</f>
        <v>1</v>
      </c>
      <c r="V542">
        <f>IF(U542=1,IF(COUNTIFS($C$2:C542,C542,$U$2:U542,1)=1,1,0),0)</f>
        <v>0</v>
      </c>
    </row>
    <row r="543" spans="1:22" x14ac:dyDescent="0.35">
      <c r="A543">
        <v>10542</v>
      </c>
      <c r="B543" s="1">
        <v>45103</v>
      </c>
      <c r="C543">
        <v>1511</v>
      </c>
      <c r="D543" t="s">
        <v>67</v>
      </c>
      <c r="E543" t="s">
        <v>78</v>
      </c>
      <c r="F543">
        <v>4</v>
      </c>
      <c r="G543" s="2">
        <v>594.48</v>
      </c>
      <c r="H543">
        <v>0.16</v>
      </c>
      <c r="I543" t="s">
        <v>68</v>
      </c>
      <c r="J543">
        <v>2</v>
      </c>
      <c r="K543">
        <v>2.2000000000000002</v>
      </c>
      <c r="L543" s="2">
        <v>1997.45</v>
      </c>
      <c r="M543">
        <v>2023</v>
      </c>
      <c r="N543">
        <v>6</v>
      </c>
      <c r="O543" t="s">
        <v>97</v>
      </c>
      <c r="P543" s="2">
        <v>2377.92</v>
      </c>
      <c r="Q543" s="2">
        <v>380.47</v>
      </c>
      <c r="R543" t="s">
        <v>76</v>
      </c>
      <c r="S543">
        <v>0</v>
      </c>
      <c r="T543">
        <v>0</v>
      </c>
      <c r="U543">
        <f>IF(AND(OR(Dashboard!$D$4="Semua",D543=Dashboard!$D$4),OR(Dashboard!$H$4="Semua",E543=Dashboard!$H$4)),1,0)</f>
        <v>1</v>
      </c>
      <c r="V543">
        <f>IF(U543=1,IF(COUNTIFS($C$2:C543,C543,$U$2:U543,1)=1,1,0),0)</f>
        <v>0</v>
      </c>
    </row>
    <row r="544" spans="1:22" x14ac:dyDescent="0.35">
      <c r="A544">
        <v>10543</v>
      </c>
      <c r="B544" s="1">
        <v>45104</v>
      </c>
      <c r="C544">
        <v>1399</v>
      </c>
      <c r="D544" t="s">
        <v>73</v>
      </c>
      <c r="E544" t="s">
        <v>63</v>
      </c>
      <c r="F544">
        <v>2</v>
      </c>
      <c r="G544" s="2">
        <v>179.03</v>
      </c>
      <c r="H544">
        <v>0.17</v>
      </c>
      <c r="I544" t="s">
        <v>71</v>
      </c>
      <c r="J544">
        <v>9</v>
      </c>
      <c r="K544">
        <v>3.4</v>
      </c>
      <c r="L544" s="2">
        <v>297.19</v>
      </c>
      <c r="M544">
        <v>2023</v>
      </c>
      <c r="N544">
        <v>6</v>
      </c>
      <c r="O544" t="s">
        <v>97</v>
      </c>
      <c r="P544" s="2">
        <v>358.06</v>
      </c>
      <c r="Q544" s="2">
        <v>60.87</v>
      </c>
      <c r="R544" t="s">
        <v>76</v>
      </c>
      <c r="S544">
        <v>0</v>
      </c>
      <c r="T544">
        <v>0</v>
      </c>
      <c r="U544">
        <f>IF(AND(OR(Dashboard!$D$4="Semua",D544=Dashboard!$D$4),OR(Dashboard!$H$4="Semua",E544=Dashboard!$H$4)),1,0)</f>
        <v>1</v>
      </c>
      <c r="V544">
        <f>IF(U544=1,IF(COUNTIFS($C$2:C544,C544,$U$2:U544,1)=1,1,0),0)</f>
        <v>1</v>
      </c>
    </row>
    <row r="545" spans="1:22" x14ac:dyDescent="0.35">
      <c r="A545">
        <v>10544</v>
      </c>
      <c r="B545" s="1">
        <v>45105</v>
      </c>
      <c r="C545">
        <v>1653</v>
      </c>
      <c r="D545" t="s">
        <v>80</v>
      </c>
      <c r="E545" t="s">
        <v>70</v>
      </c>
      <c r="F545">
        <v>3</v>
      </c>
      <c r="G545" s="2">
        <v>585.69000000000005</v>
      </c>
      <c r="H545">
        <v>0.04</v>
      </c>
      <c r="I545" t="s">
        <v>64</v>
      </c>
      <c r="J545">
        <v>9</v>
      </c>
      <c r="K545">
        <v>2.9</v>
      </c>
      <c r="L545" s="2">
        <v>1686.79</v>
      </c>
      <c r="M545">
        <v>2023</v>
      </c>
      <c r="N545">
        <v>6</v>
      </c>
      <c r="O545" t="s">
        <v>97</v>
      </c>
      <c r="P545" s="2">
        <v>1757.07</v>
      </c>
      <c r="Q545" s="2">
        <v>70.28</v>
      </c>
      <c r="R545" t="s">
        <v>75</v>
      </c>
      <c r="S545">
        <v>0</v>
      </c>
      <c r="T545">
        <v>0</v>
      </c>
      <c r="U545">
        <f>IF(AND(OR(Dashboard!$D$4="Semua",D545=Dashboard!$D$4),OR(Dashboard!$H$4="Semua",E545=Dashboard!$H$4)),1,0)</f>
        <v>1</v>
      </c>
      <c r="V545">
        <f>IF(U545=1,IF(COUNTIFS($C$2:C545,C545,$U$2:U545,1)=1,1,0),0)</f>
        <v>1</v>
      </c>
    </row>
    <row r="546" spans="1:22" x14ac:dyDescent="0.35">
      <c r="A546">
        <v>10545</v>
      </c>
      <c r="B546" s="1">
        <v>45106</v>
      </c>
      <c r="C546">
        <v>1971</v>
      </c>
      <c r="D546" t="s">
        <v>73</v>
      </c>
      <c r="E546" t="s">
        <v>63</v>
      </c>
      <c r="F546">
        <v>4</v>
      </c>
      <c r="G546" s="2">
        <v>121.78</v>
      </c>
      <c r="H546">
        <v>0.28000000000000003</v>
      </c>
      <c r="I546" t="s">
        <v>68</v>
      </c>
      <c r="J546">
        <v>8</v>
      </c>
      <c r="K546">
        <v>2.2000000000000002</v>
      </c>
      <c r="L546" s="2">
        <v>350.73</v>
      </c>
      <c r="M546">
        <v>2023</v>
      </c>
      <c r="N546">
        <v>6</v>
      </c>
      <c r="O546" t="s">
        <v>97</v>
      </c>
      <c r="P546" s="2">
        <v>487.12</v>
      </c>
      <c r="Q546" s="2">
        <v>136.38999999999999</v>
      </c>
      <c r="R546" t="s">
        <v>66</v>
      </c>
      <c r="S546">
        <v>0</v>
      </c>
      <c r="T546">
        <v>0</v>
      </c>
      <c r="U546">
        <f>IF(AND(OR(Dashboard!$D$4="Semua",D546=Dashboard!$D$4),OR(Dashboard!$H$4="Semua",E546=Dashboard!$H$4)),1,0)</f>
        <v>1</v>
      </c>
      <c r="V546">
        <f>IF(U546=1,IF(COUNTIFS($C$2:C546,C546,$U$2:U546,1)=1,1,0),0)</f>
        <v>1</v>
      </c>
    </row>
    <row r="547" spans="1:22" x14ac:dyDescent="0.35">
      <c r="A547">
        <v>10546</v>
      </c>
      <c r="B547" s="1">
        <v>45107</v>
      </c>
      <c r="C547">
        <v>1882</v>
      </c>
      <c r="D547" t="s">
        <v>73</v>
      </c>
      <c r="E547" t="s">
        <v>78</v>
      </c>
      <c r="F547">
        <v>2</v>
      </c>
      <c r="G547" s="2">
        <v>226.24</v>
      </c>
      <c r="H547">
        <v>0.22</v>
      </c>
      <c r="I547" t="s">
        <v>68</v>
      </c>
      <c r="J547">
        <v>1</v>
      </c>
      <c r="K547">
        <v>4.4000000000000004</v>
      </c>
      <c r="L547" s="2">
        <v>352.93</v>
      </c>
      <c r="M547">
        <v>2023</v>
      </c>
      <c r="N547">
        <v>6</v>
      </c>
      <c r="O547" t="s">
        <v>97</v>
      </c>
      <c r="P547" s="2">
        <v>452.48</v>
      </c>
      <c r="Q547" s="2">
        <v>99.55</v>
      </c>
      <c r="R547" t="s">
        <v>77</v>
      </c>
      <c r="S547">
        <v>0</v>
      </c>
      <c r="T547">
        <v>0</v>
      </c>
      <c r="U547">
        <f>IF(AND(OR(Dashboard!$D$4="Semua",D547=Dashboard!$D$4),OR(Dashboard!$H$4="Semua",E547=Dashboard!$H$4)),1,0)</f>
        <v>1</v>
      </c>
      <c r="V547">
        <f>IF(U547=1,IF(COUNTIFS($C$2:C547,C547,$U$2:U547,1)=1,1,0),0)</f>
        <v>0</v>
      </c>
    </row>
    <row r="548" spans="1:22" x14ac:dyDescent="0.35">
      <c r="A548">
        <v>10547</v>
      </c>
      <c r="B548" s="1">
        <v>45108</v>
      </c>
      <c r="C548">
        <v>1470</v>
      </c>
      <c r="D548" t="s">
        <v>62</v>
      </c>
      <c r="E548" t="s">
        <v>70</v>
      </c>
      <c r="F548">
        <v>1</v>
      </c>
      <c r="G548" s="2">
        <v>455.43</v>
      </c>
      <c r="H548">
        <v>0.05</v>
      </c>
      <c r="I548" t="s">
        <v>68</v>
      </c>
      <c r="J548">
        <v>5</v>
      </c>
      <c r="K548">
        <v>2.6</v>
      </c>
      <c r="L548" s="2">
        <v>432.66</v>
      </c>
      <c r="M548">
        <v>2023</v>
      </c>
      <c r="N548">
        <v>7</v>
      </c>
      <c r="O548" t="s">
        <v>98</v>
      </c>
      <c r="P548" s="2">
        <v>455.43</v>
      </c>
      <c r="Q548" s="2">
        <v>22.77</v>
      </c>
      <c r="R548" t="s">
        <v>75</v>
      </c>
      <c r="S548">
        <v>0</v>
      </c>
      <c r="T548">
        <v>0</v>
      </c>
      <c r="U548">
        <f>IF(AND(OR(Dashboard!$D$4="Semua",D548=Dashboard!$D$4),OR(Dashboard!$H$4="Semua",E548=Dashboard!$H$4)),1,0)</f>
        <v>1</v>
      </c>
      <c r="V548">
        <f>IF(U548=1,IF(COUNTIFS($C$2:C548,C548,$U$2:U548,1)=1,1,0),0)</f>
        <v>1</v>
      </c>
    </row>
    <row r="549" spans="1:22" x14ac:dyDescent="0.35">
      <c r="A549">
        <v>10548</v>
      </c>
      <c r="B549" s="1">
        <v>45109</v>
      </c>
      <c r="C549">
        <v>1142</v>
      </c>
      <c r="D549" t="s">
        <v>80</v>
      </c>
      <c r="E549" t="s">
        <v>70</v>
      </c>
      <c r="F549">
        <v>3</v>
      </c>
      <c r="G549" s="2">
        <v>399.8</v>
      </c>
      <c r="H549">
        <v>0.13</v>
      </c>
      <c r="I549" t="s">
        <v>68</v>
      </c>
      <c r="J549">
        <v>10</v>
      </c>
      <c r="K549">
        <v>2.9</v>
      </c>
      <c r="L549" s="2">
        <v>1043.48</v>
      </c>
      <c r="M549">
        <v>2023</v>
      </c>
      <c r="N549">
        <v>7</v>
      </c>
      <c r="O549" t="s">
        <v>98</v>
      </c>
      <c r="P549" s="2">
        <v>1199.4000000000001</v>
      </c>
      <c r="Q549" s="2">
        <v>155.91999999999999</v>
      </c>
      <c r="R549" t="s">
        <v>79</v>
      </c>
      <c r="S549">
        <v>0</v>
      </c>
      <c r="T549">
        <v>0</v>
      </c>
      <c r="U549">
        <f>IF(AND(OR(Dashboard!$D$4="Semua",D549=Dashboard!$D$4),OR(Dashboard!$H$4="Semua",E549=Dashboard!$H$4)),1,0)</f>
        <v>1</v>
      </c>
      <c r="V549">
        <f>IF(U549=1,IF(COUNTIFS($C$2:C549,C549,$U$2:U549,1)=1,1,0),0)</f>
        <v>1</v>
      </c>
    </row>
    <row r="550" spans="1:22" x14ac:dyDescent="0.35">
      <c r="A550">
        <v>10549</v>
      </c>
      <c r="B550" s="1">
        <v>45110</v>
      </c>
      <c r="C550">
        <v>1091</v>
      </c>
      <c r="D550" t="s">
        <v>73</v>
      </c>
      <c r="E550" t="s">
        <v>63</v>
      </c>
      <c r="F550">
        <v>2</v>
      </c>
      <c r="G550" s="2">
        <v>354.96</v>
      </c>
      <c r="H550">
        <v>0.28000000000000003</v>
      </c>
      <c r="I550" t="s">
        <v>68</v>
      </c>
      <c r="J550">
        <v>11</v>
      </c>
      <c r="K550">
        <v>4.4000000000000004</v>
      </c>
      <c r="L550" s="2">
        <v>511.14</v>
      </c>
      <c r="M550">
        <v>2023</v>
      </c>
      <c r="N550">
        <v>7</v>
      </c>
      <c r="O550" t="s">
        <v>98</v>
      </c>
      <c r="P550" s="2">
        <v>709.92</v>
      </c>
      <c r="Q550" s="2">
        <v>198.78</v>
      </c>
      <c r="R550" t="s">
        <v>66</v>
      </c>
      <c r="S550">
        <v>0</v>
      </c>
      <c r="T550">
        <v>0</v>
      </c>
      <c r="U550">
        <f>IF(AND(OR(Dashboard!$D$4="Semua",D550=Dashboard!$D$4),OR(Dashboard!$H$4="Semua",E550=Dashboard!$H$4)),1,0)</f>
        <v>1</v>
      </c>
      <c r="V550">
        <f>IF(U550=1,IF(COUNTIFS($C$2:C550,C550,$U$2:U550,1)=1,1,0),0)</f>
        <v>0</v>
      </c>
    </row>
    <row r="551" spans="1:22" x14ac:dyDescent="0.35">
      <c r="A551">
        <v>10550</v>
      </c>
      <c r="B551" s="1">
        <v>45111</v>
      </c>
      <c r="C551">
        <v>1353</v>
      </c>
      <c r="D551" t="s">
        <v>73</v>
      </c>
      <c r="E551" t="s">
        <v>74</v>
      </c>
      <c r="F551">
        <v>6</v>
      </c>
      <c r="G551" s="2">
        <v>324.99</v>
      </c>
      <c r="H551">
        <v>0.2</v>
      </c>
      <c r="I551" t="s">
        <v>71</v>
      </c>
      <c r="J551">
        <v>4</v>
      </c>
      <c r="K551">
        <v>1.4</v>
      </c>
      <c r="L551" s="2">
        <v>1559.95</v>
      </c>
      <c r="M551">
        <v>2023</v>
      </c>
      <c r="N551">
        <v>7</v>
      </c>
      <c r="O551" t="s">
        <v>98</v>
      </c>
      <c r="P551" s="2">
        <v>1949.94</v>
      </c>
      <c r="Q551" s="2">
        <v>389.99</v>
      </c>
      <c r="R551" t="s">
        <v>76</v>
      </c>
      <c r="S551">
        <v>0</v>
      </c>
      <c r="T551">
        <v>0</v>
      </c>
      <c r="U551">
        <f>IF(AND(OR(Dashboard!$D$4="Semua",D551=Dashboard!$D$4),OR(Dashboard!$H$4="Semua",E551=Dashboard!$H$4)),1,0)</f>
        <v>1</v>
      </c>
      <c r="V551">
        <f>IF(U551=1,IF(COUNTIFS($C$2:C551,C551,$U$2:U551,1)=1,1,0),0)</f>
        <v>1</v>
      </c>
    </row>
    <row r="552" spans="1:22" x14ac:dyDescent="0.35">
      <c r="A552">
        <v>10551</v>
      </c>
      <c r="B552" s="1">
        <v>45112</v>
      </c>
      <c r="C552">
        <v>1833</v>
      </c>
      <c r="D552" t="s">
        <v>73</v>
      </c>
      <c r="E552" t="s">
        <v>70</v>
      </c>
      <c r="F552">
        <v>1</v>
      </c>
      <c r="G552" s="2">
        <v>508.41</v>
      </c>
      <c r="H552">
        <v>0.04</v>
      </c>
      <c r="I552" t="s">
        <v>68</v>
      </c>
      <c r="J552">
        <v>7</v>
      </c>
      <c r="K552">
        <v>2.6</v>
      </c>
      <c r="L552" s="2">
        <v>488.07</v>
      </c>
      <c r="M552">
        <v>2023</v>
      </c>
      <c r="N552">
        <v>7</v>
      </c>
      <c r="O552" t="s">
        <v>98</v>
      </c>
      <c r="P552" s="2">
        <v>508.41</v>
      </c>
      <c r="Q552" s="2">
        <v>20.34</v>
      </c>
      <c r="R552" t="s">
        <v>75</v>
      </c>
      <c r="S552">
        <v>0</v>
      </c>
      <c r="T552">
        <v>0</v>
      </c>
      <c r="U552">
        <f>IF(AND(OR(Dashboard!$D$4="Semua",D552=Dashboard!$D$4),OR(Dashboard!$H$4="Semua",E552=Dashboard!$H$4)),1,0)</f>
        <v>1</v>
      </c>
      <c r="V552">
        <f>IF(U552=1,IF(COUNTIFS($C$2:C552,C552,$U$2:U552,1)=1,1,0),0)</f>
        <v>1</v>
      </c>
    </row>
    <row r="553" spans="1:22" x14ac:dyDescent="0.35">
      <c r="A553">
        <v>10552</v>
      </c>
      <c r="B553" s="1">
        <v>45113</v>
      </c>
      <c r="C553">
        <v>1799</v>
      </c>
      <c r="D553" t="s">
        <v>73</v>
      </c>
      <c r="E553" t="s">
        <v>78</v>
      </c>
      <c r="F553">
        <v>3</v>
      </c>
      <c r="G553" s="2">
        <v>152.44</v>
      </c>
      <c r="H553">
        <v>0.13</v>
      </c>
      <c r="I553" t="s">
        <v>64</v>
      </c>
      <c r="J553">
        <v>11</v>
      </c>
      <c r="K553">
        <v>2.6</v>
      </c>
      <c r="L553" s="2">
        <v>397.87</v>
      </c>
      <c r="M553">
        <v>2023</v>
      </c>
      <c r="N553">
        <v>7</v>
      </c>
      <c r="O553" t="s">
        <v>98</v>
      </c>
      <c r="P553" s="2">
        <v>457.32</v>
      </c>
      <c r="Q553" s="2">
        <v>59.45</v>
      </c>
      <c r="R553" t="s">
        <v>79</v>
      </c>
      <c r="S553">
        <v>0</v>
      </c>
      <c r="T553">
        <v>0</v>
      </c>
      <c r="U553">
        <f>IF(AND(OR(Dashboard!$D$4="Semua",D553=Dashboard!$D$4),OR(Dashboard!$H$4="Semua",E553=Dashboard!$H$4)),1,0)</f>
        <v>1</v>
      </c>
      <c r="V553">
        <f>IF(U553=1,IF(COUNTIFS($C$2:C553,C553,$U$2:U553,1)=1,1,0),0)</f>
        <v>1</v>
      </c>
    </row>
    <row r="554" spans="1:22" x14ac:dyDescent="0.35">
      <c r="A554">
        <v>10553</v>
      </c>
      <c r="B554" s="1">
        <v>45114</v>
      </c>
      <c r="C554">
        <v>1726</v>
      </c>
      <c r="D554" t="s">
        <v>73</v>
      </c>
      <c r="E554" t="s">
        <v>74</v>
      </c>
      <c r="F554">
        <v>5</v>
      </c>
      <c r="G554" s="2">
        <v>273.85000000000002</v>
      </c>
      <c r="H554">
        <v>0.08</v>
      </c>
      <c r="I554" t="s">
        <v>68</v>
      </c>
      <c r="J554">
        <v>8</v>
      </c>
      <c r="K554">
        <v>3</v>
      </c>
      <c r="L554" s="2">
        <v>1259.71</v>
      </c>
      <c r="M554">
        <v>2023</v>
      </c>
      <c r="N554">
        <v>7</v>
      </c>
      <c r="O554" t="s">
        <v>98</v>
      </c>
      <c r="P554" s="2">
        <v>1369.25</v>
      </c>
      <c r="Q554" s="2">
        <v>109.54</v>
      </c>
      <c r="R554" t="s">
        <v>69</v>
      </c>
      <c r="S554">
        <v>0</v>
      </c>
      <c r="T554">
        <v>0</v>
      </c>
      <c r="U554">
        <f>IF(AND(OR(Dashboard!$D$4="Semua",D554=Dashboard!$D$4),OR(Dashboard!$H$4="Semua",E554=Dashboard!$H$4)),1,0)</f>
        <v>1</v>
      </c>
      <c r="V554">
        <f>IF(U554=1,IF(COUNTIFS($C$2:C554,C554,$U$2:U554,1)=1,1,0),0)</f>
        <v>0</v>
      </c>
    </row>
    <row r="555" spans="1:22" x14ac:dyDescent="0.35">
      <c r="A555">
        <v>10554</v>
      </c>
      <c r="B555" s="1">
        <v>45115</v>
      </c>
      <c r="C555">
        <v>1958</v>
      </c>
      <c r="D555" t="s">
        <v>73</v>
      </c>
      <c r="E555" t="s">
        <v>74</v>
      </c>
      <c r="F555">
        <v>7</v>
      </c>
      <c r="G555" s="2">
        <v>105.94</v>
      </c>
      <c r="H555">
        <v>0.18</v>
      </c>
      <c r="I555" t="s">
        <v>71</v>
      </c>
      <c r="J555">
        <v>10</v>
      </c>
      <c r="K555">
        <v>1.4</v>
      </c>
      <c r="L555" s="2">
        <v>608.1</v>
      </c>
      <c r="M555">
        <v>2023</v>
      </c>
      <c r="N555">
        <v>7</v>
      </c>
      <c r="O555" t="s">
        <v>98</v>
      </c>
      <c r="P555" s="2">
        <v>741.58</v>
      </c>
      <c r="Q555" s="2">
        <v>133.47999999999999</v>
      </c>
      <c r="R555" t="s">
        <v>76</v>
      </c>
      <c r="S555">
        <v>0</v>
      </c>
      <c r="T555">
        <v>0</v>
      </c>
      <c r="U555">
        <f>IF(AND(OR(Dashboard!$D$4="Semua",D555=Dashboard!$D$4),OR(Dashboard!$H$4="Semua",E555=Dashboard!$H$4)),1,0)</f>
        <v>1</v>
      </c>
      <c r="V555">
        <f>IF(U555=1,IF(COUNTIFS($C$2:C555,C555,$U$2:U555,1)=1,1,0),0)</f>
        <v>1</v>
      </c>
    </row>
    <row r="556" spans="1:22" x14ac:dyDescent="0.35">
      <c r="A556">
        <v>10555</v>
      </c>
      <c r="B556" s="1">
        <v>45116</v>
      </c>
      <c r="C556">
        <v>1853</v>
      </c>
      <c r="D556" t="s">
        <v>67</v>
      </c>
      <c r="E556" t="s">
        <v>70</v>
      </c>
      <c r="F556">
        <v>3</v>
      </c>
      <c r="G556" s="2">
        <v>363.63</v>
      </c>
      <c r="H556">
        <v>0.3</v>
      </c>
      <c r="I556" t="s">
        <v>71</v>
      </c>
      <c r="J556">
        <v>11</v>
      </c>
      <c r="K556">
        <v>1.4</v>
      </c>
      <c r="L556" s="2">
        <v>763.62</v>
      </c>
      <c r="M556">
        <v>2023</v>
      </c>
      <c r="N556">
        <v>7</v>
      </c>
      <c r="O556" t="s">
        <v>98</v>
      </c>
      <c r="P556" s="2">
        <v>1090.8900000000001</v>
      </c>
      <c r="Q556" s="2">
        <v>327.27</v>
      </c>
      <c r="R556" t="s">
        <v>66</v>
      </c>
      <c r="S556">
        <v>0</v>
      </c>
      <c r="T556">
        <v>0</v>
      </c>
      <c r="U556">
        <f>IF(AND(OR(Dashboard!$D$4="Semua",D556=Dashboard!$D$4),OR(Dashboard!$H$4="Semua",E556=Dashboard!$H$4)),1,0)</f>
        <v>1</v>
      </c>
      <c r="V556">
        <f>IF(U556=1,IF(COUNTIFS($C$2:C556,C556,$U$2:U556,1)=1,1,0),0)</f>
        <v>0</v>
      </c>
    </row>
    <row r="557" spans="1:22" x14ac:dyDescent="0.35">
      <c r="A557">
        <v>10556</v>
      </c>
      <c r="B557" s="1">
        <v>45117</v>
      </c>
      <c r="C557">
        <v>1050</v>
      </c>
      <c r="D557" t="s">
        <v>80</v>
      </c>
      <c r="E557" t="s">
        <v>63</v>
      </c>
      <c r="F557">
        <v>6</v>
      </c>
      <c r="G557" s="2">
        <v>161.57</v>
      </c>
      <c r="H557">
        <v>0.15</v>
      </c>
      <c r="I557" t="s">
        <v>64</v>
      </c>
      <c r="J557">
        <v>8</v>
      </c>
      <c r="K557">
        <v>2.7</v>
      </c>
      <c r="L557" s="2">
        <v>824.01</v>
      </c>
      <c r="M557">
        <v>2023</v>
      </c>
      <c r="N557">
        <v>7</v>
      </c>
      <c r="O557" t="s">
        <v>98</v>
      </c>
      <c r="P557" s="2">
        <v>969.42</v>
      </c>
      <c r="Q557" s="2">
        <v>145.41</v>
      </c>
      <c r="R557" t="s">
        <v>79</v>
      </c>
      <c r="S557">
        <v>0</v>
      </c>
      <c r="T557">
        <v>0</v>
      </c>
      <c r="U557">
        <f>IF(AND(OR(Dashboard!$D$4="Semua",D557=Dashboard!$D$4),OR(Dashboard!$H$4="Semua",E557=Dashboard!$H$4)),1,0)</f>
        <v>1</v>
      </c>
      <c r="V557">
        <f>IF(U557=1,IF(COUNTIFS($C$2:C557,C557,$U$2:U557,1)=1,1,0),0)</f>
        <v>1</v>
      </c>
    </row>
    <row r="558" spans="1:22" x14ac:dyDescent="0.35">
      <c r="A558">
        <v>10557</v>
      </c>
      <c r="B558" s="1">
        <v>45118</v>
      </c>
      <c r="C558">
        <v>1664</v>
      </c>
      <c r="D558" t="s">
        <v>67</v>
      </c>
      <c r="E558" t="s">
        <v>74</v>
      </c>
      <c r="F558">
        <v>5</v>
      </c>
      <c r="G558" s="2">
        <v>210.3</v>
      </c>
      <c r="H558">
        <v>0.15</v>
      </c>
      <c r="I558" t="s">
        <v>71</v>
      </c>
      <c r="J558">
        <v>2</v>
      </c>
      <c r="K558">
        <v>1.1000000000000001</v>
      </c>
      <c r="L558" s="2">
        <v>893.78</v>
      </c>
      <c r="M558">
        <v>2023</v>
      </c>
      <c r="N558">
        <v>7</v>
      </c>
      <c r="O558" t="s">
        <v>98</v>
      </c>
      <c r="P558" s="2">
        <v>1051.5</v>
      </c>
      <c r="Q558" s="2">
        <v>157.72</v>
      </c>
      <c r="R558" t="s">
        <v>79</v>
      </c>
      <c r="S558">
        <v>0</v>
      </c>
      <c r="T558">
        <v>0</v>
      </c>
      <c r="U558">
        <f>IF(AND(OR(Dashboard!$D$4="Semua",D558=Dashboard!$D$4),OR(Dashboard!$H$4="Semua",E558=Dashboard!$H$4)),1,0)</f>
        <v>1</v>
      </c>
      <c r="V558">
        <f>IF(U558=1,IF(COUNTIFS($C$2:C558,C558,$U$2:U558,1)=1,1,0),0)</f>
        <v>1</v>
      </c>
    </row>
    <row r="559" spans="1:22" x14ac:dyDescent="0.35">
      <c r="A559">
        <v>10558</v>
      </c>
      <c r="B559" s="1">
        <v>45119</v>
      </c>
      <c r="C559">
        <v>1697</v>
      </c>
      <c r="D559" t="s">
        <v>80</v>
      </c>
      <c r="E559" t="s">
        <v>63</v>
      </c>
      <c r="F559">
        <v>5</v>
      </c>
      <c r="G559" s="2">
        <v>290.68</v>
      </c>
      <c r="H559">
        <v>0.32</v>
      </c>
      <c r="I559" t="s">
        <v>68</v>
      </c>
      <c r="J559">
        <v>3</v>
      </c>
      <c r="K559">
        <v>2</v>
      </c>
      <c r="L559" s="2">
        <v>988.31</v>
      </c>
      <c r="M559">
        <v>2023</v>
      </c>
      <c r="N559">
        <v>7</v>
      </c>
      <c r="O559" t="s">
        <v>98</v>
      </c>
      <c r="P559" s="2">
        <v>1453.4</v>
      </c>
      <c r="Q559" s="2">
        <v>465.09</v>
      </c>
      <c r="R559" t="s">
        <v>72</v>
      </c>
      <c r="S559">
        <v>0</v>
      </c>
      <c r="T559">
        <v>0</v>
      </c>
      <c r="U559">
        <f>IF(AND(OR(Dashboard!$D$4="Semua",D559=Dashboard!$D$4),OR(Dashboard!$H$4="Semua",E559=Dashboard!$H$4)),1,0)</f>
        <v>1</v>
      </c>
      <c r="V559">
        <f>IF(U559=1,IF(COUNTIFS($C$2:C559,C559,$U$2:U559,1)=1,1,0),0)</f>
        <v>1</v>
      </c>
    </row>
    <row r="560" spans="1:22" x14ac:dyDescent="0.35">
      <c r="A560">
        <v>10559</v>
      </c>
      <c r="B560" s="1">
        <v>45120</v>
      </c>
      <c r="C560">
        <v>1574</v>
      </c>
      <c r="D560" t="s">
        <v>73</v>
      </c>
      <c r="E560" t="s">
        <v>70</v>
      </c>
      <c r="F560">
        <v>5</v>
      </c>
      <c r="G560" s="2">
        <v>30.66</v>
      </c>
      <c r="H560">
        <v>0.2</v>
      </c>
      <c r="I560" t="s">
        <v>64</v>
      </c>
      <c r="J560">
        <v>10</v>
      </c>
      <c r="K560">
        <v>1.8</v>
      </c>
      <c r="L560" s="2">
        <v>122.64</v>
      </c>
      <c r="M560">
        <v>2023</v>
      </c>
      <c r="N560">
        <v>7</v>
      </c>
      <c r="O560" t="s">
        <v>98</v>
      </c>
      <c r="P560" s="2">
        <v>153.30000000000001</v>
      </c>
      <c r="Q560" s="2">
        <v>30.66</v>
      </c>
      <c r="R560" t="s">
        <v>76</v>
      </c>
      <c r="S560">
        <v>0</v>
      </c>
      <c r="T560">
        <v>0</v>
      </c>
      <c r="U560">
        <f>IF(AND(OR(Dashboard!$D$4="Semua",D560=Dashboard!$D$4),OR(Dashboard!$H$4="Semua",E560=Dashboard!$H$4)),1,0)</f>
        <v>1</v>
      </c>
      <c r="V560">
        <f>IF(U560=1,IF(COUNTIFS($C$2:C560,C560,$U$2:U560,1)=1,1,0),0)</f>
        <v>0</v>
      </c>
    </row>
    <row r="561" spans="1:22" x14ac:dyDescent="0.35">
      <c r="A561">
        <v>10560</v>
      </c>
      <c r="B561" s="1">
        <v>45121</v>
      </c>
      <c r="C561">
        <v>1189</v>
      </c>
      <c r="D561" t="s">
        <v>62</v>
      </c>
      <c r="E561" t="s">
        <v>78</v>
      </c>
      <c r="F561">
        <v>4</v>
      </c>
      <c r="G561" s="2">
        <v>68.78</v>
      </c>
      <c r="H561">
        <v>0.2</v>
      </c>
      <c r="I561" t="s">
        <v>68</v>
      </c>
      <c r="J561">
        <v>10</v>
      </c>
      <c r="K561">
        <v>3</v>
      </c>
      <c r="L561" s="2">
        <v>220.1</v>
      </c>
      <c r="M561">
        <v>2023</v>
      </c>
      <c r="N561">
        <v>7</v>
      </c>
      <c r="O561" t="s">
        <v>98</v>
      </c>
      <c r="P561" s="2">
        <v>275.12</v>
      </c>
      <c r="Q561" s="2">
        <v>55.02</v>
      </c>
      <c r="R561" t="s">
        <v>76</v>
      </c>
      <c r="S561">
        <v>0</v>
      </c>
      <c r="T561">
        <v>0</v>
      </c>
      <c r="U561">
        <f>IF(AND(OR(Dashboard!$D$4="Semua",D561=Dashboard!$D$4),OR(Dashboard!$H$4="Semua",E561=Dashboard!$H$4)),1,0)</f>
        <v>1</v>
      </c>
      <c r="V561">
        <f>IF(U561=1,IF(COUNTIFS($C$2:C561,C561,$U$2:U561,1)=1,1,0),0)</f>
        <v>0</v>
      </c>
    </row>
    <row r="562" spans="1:22" x14ac:dyDescent="0.35">
      <c r="A562">
        <v>10561</v>
      </c>
      <c r="B562" s="1">
        <v>45122</v>
      </c>
      <c r="C562">
        <v>1124</v>
      </c>
      <c r="D562" t="s">
        <v>80</v>
      </c>
      <c r="E562" t="s">
        <v>74</v>
      </c>
      <c r="F562">
        <v>4</v>
      </c>
      <c r="G562" s="2">
        <v>416.27</v>
      </c>
      <c r="H562">
        <v>0.09</v>
      </c>
      <c r="I562" t="s">
        <v>68</v>
      </c>
      <c r="J562">
        <v>7</v>
      </c>
      <c r="K562">
        <v>1</v>
      </c>
      <c r="L562" s="2">
        <v>1515.22</v>
      </c>
      <c r="M562">
        <v>2023</v>
      </c>
      <c r="N562">
        <v>7</v>
      </c>
      <c r="O562" t="s">
        <v>98</v>
      </c>
      <c r="P562" s="2">
        <v>1665.08</v>
      </c>
      <c r="Q562" s="2">
        <v>149.86000000000001</v>
      </c>
      <c r="R562" t="s">
        <v>69</v>
      </c>
      <c r="S562">
        <v>0</v>
      </c>
      <c r="T562">
        <v>0</v>
      </c>
      <c r="U562">
        <f>IF(AND(OR(Dashboard!$D$4="Semua",D562=Dashboard!$D$4),OR(Dashboard!$H$4="Semua",E562=Dashboard!$H$4)),1,0)</f>
        <v>1</v>
      </c>
      <c r="V562">
        <f>IF(U562=1,IF(COUNTIFS($C$2:C562,C562,$U$2:U562,1)=1,1,0),0)</f>
        <v>1</v>
      </c>
    </row>
    <row r="563" spans="1:22" x14ac:dyDescent="0.35">
      <c r="A563">
        <v>10562</v>
      </c>
      <c r="B563" s="1">
        <v>45123</v>
      </c>
      <c r="C563">
        <v>1149</v>
      </c>
      <c r="D563" t="s">
        <v>80</v>
      </c>
      <c r="E563" t="s">
        <v>78</v>
      </c>
      <c r="F563">
        <v>7</v>
      </c>
      <c r="G563" s="2">
        <v>265.95</v>
      </c>
      <c r="H563">
        <v>0.21</v>
      </c>
      <c r="I563" t="s">
        <v>68</v>
      </c>
      <c r="J563">
        <v>4</v>
      </c>
      <c r="K563">
        <v>3.7</v>
      </c>
      <c r="L563" s="2">
        <v>1470.7</v>
      </c>
      <c r="M563">
        <v>2023</v>
      </c>
      <c r="N563">
        <v>7</v>
      </c>
      <c r="O563" t="s">
        <v>98</v>
      </c>
      <c r="P563" s="2">
        <v>1861.65</v>
      </c>
      <c r="Q563" s="2">
        <v>390.95</v>
      </c>
      <c r="R563" t="s">
        <v>77</v>
      </c>
      <c r="S563">
        <v>0</v>
      </c>
      <c r="T563">
        <v>0</v>
      </c>
      <c r="U563">
        <f>IF(AND(OR(Dashboard!$D$4="Semua",D563=Dashboard!$D$4),OR(Dashboard!$H$4="Semua",E563=Dashboard!$H$4)),1,0)</f>
        <v>1</v>
      </c>
      <c r="V563">
        <f>IF(U563=1,IF(COUNTIFS($C$2:C563,C563,$U$2:U563,1)=1,1,0),0)</f>
        <v>1</v>
      </c>
    </row>
    <row r="564" spans="1:22" x14ac:dyDescent="0.35">
      <c r="A564">
        <v>10563</v>
      </c>
      <c r="B564" s="1">
        <v>45124</v>
      </c>
      <c r="C564">
        <v>1313</v>
      </c>
      <c r="D564" t="s">
        <v>80</v>
      </c>
      <c r="E564" t="s">
        <v>63</v>
      </c>
      <c r="F564">
        <v>5</v>
      </c>
      <c r="G564" s="2">
        <v>520.9</v>
      </c>
      <c r="H564">
        <v>0.2</v>
      </c>
      <c r="I564" t="s">
        <v>71</v>
      </c>
      <c r="J564">
        <v>6</v>
      </c>
      <c r="K564">
        <v>4.4000000000000004</v>
      </c>
      <c r="L564" s="2">
        <v>2083.6</v>
      </c>
      <c r="M564">
        <v>2023</v>
      </c>
      <c r="N564">
        <v>7</v>
      </c>
      <c r="O564" t="s">
        <v>98</v>
      </c>
      <c r="P564" s="2">
        <v>2604.5</v>
      </c>
      <c r="Q564" s="2">
        <v>520.9</v>
      </c>
      <c r="R564" t="s">
        <v>76</v>
      </c>
      <c r="S564">
        <v>0</v>
      </c>
      <c r="T564">
        <v>0</v>
      </c>
      <c r="U564">
        <f>IF(AND(OR(Dashboard!$D$4="Semua",D564=Dashboard!$D$4),OR(Dashboard!$H$4="Semua",E564=Dashboard!$H$4)),1,0)</f>
        <v>1</v>
      </c>
      <c r="V564">
        <f>IF(U564=1,IF(COUNTIFS($C$2:C564,C564,$U$2:U564,1)=1,1,0),0)</f>
        <v>0</v>
      </c>
    </row>
    <row r="565" spans="1:22" x14ac:dyDescent="0.35">
      <c r="A565">
        <v>10564</v>
      </c>
      <c r="B565" s="1">
        <v>45125</v>
      </c>
      <c r="C565">
        <v>1569</v>
      </c>
      <c r="D565" t="s">
        <v>62</v>
      </c>
      <c r="E565" t="s">
        <v>63</v>
      </c>
      <c r="F565">
        <v>7</v>
      </c>
      <c r="G565" s="2">
        <v>421.38</v>
      </c>
      <c r="H565">
        <v>0.14000000000000001</v>
      </c>
      <c r="I565" t="s">
        <v>68</v>
      </c>
      <c r="J565">
        <v>8</v>
      </c>
      <c r="K565">
        <v>3.8</v>
      </c>
      <c r="L565" s="2">
        <v>2536.71</v>
      </c>
      <c r="M565">
        <v>2023</v>
      </c>
      <c r="N565">
        <v>7</v>
      </c>
      <c r="O565" t="s">
        <v>98</v>
      </c>
      <c r="P565" s="2">
        <v>2949.66</v>
      </c>
      <c r="Q565" s="2">
        <v>412.95</v>
      </c>
      <c r="R565" t="s">
        <v>79</v>
      </c>
      <c r="S565">
        <v>0</v>
      </c>
      <c r="T565">
        <v>0</v>
      </c>
      <c r="U565">
        <f>IF(AND(OR(Dashboard!$D$4="Semua",D565=Dashboard!$D$4),OR(Dashboard!$H$4="Semua",E565=Dashboard!$H$4)),1,0)</f>
        <v>1</v>
      </c>
      <c r="V565">
        <f>IF(U565=1,IF(COUNTIFS($C$2:C565,C565,$U$2:U565,1)=1,1,0),0)</f>
        <v>0</v>
      </c>
    </row>
    <row r="566" spans="1:22" x14ac:dyDescent="0.35">
      <c r="A566">
        <v>10565</v>
      </c>
      <c r="B566" s="1">
        <v>45126</v>
      </c>
      <c r="C566">
        <v>1341</v>
      </c>
      <c r="D566" t="s">
        <v>67</v>
      </c>
      <c r="E566" t="s">
        <v>78</v>
      </c>
      <c r="F566">
        <v>1</v>
      </c>
      <c r="G566" s="2">
        <v>19.739999999999998</v>
      </c>
      <c r="H566">
        <v>0.35</v>
      </c>
      <c r="I566" t="s">
        <v>71</v>
      </c>
      <c r="J566">
        <v>8</v>
      </c>
      <c r="K566">
        <v>4.3</v>
      </c>
      <c r="L566" s="2">
        <v>12.83</v>
      </c>
      <c r="M566">
        <v>2023</v>
      </c>
      <c r="N566">
        <v>7</v>
      </c>
      <c r="O566" t="s">
        <v>98</v>
      </c>
      <c r="P566" s="2">
        <v>19.739999999999998</v>
      </c>
      <c r="Q566" s="2">
        <v>6.91</v>
      </c>
      <c r="R566" t="s">
        <v>72</v>
      </c>
      <c r="S566">
        <v>0</v>
      </c>
      <c r="T566">
        <v>0</v>
      </c>
      <c r="U566">
        <f>IF(AND(OR(Dashboard!$D$4="Semua",D566=Dashboard!$D$4),OR(Dashboard!$H$4="Semua",E566=Dashboard!$H$4)),1,0)</f>
        <v>1</v>
      </c>
      <c r="V566">
        <f>IF(U566=1,IF(COUNTIFS($C$2:C566,C566,$U$2:U566,1)=1,1,0),0)</f>
        <v>1</v>
      </c>
    </row>
    <row r="567" spans="1:22" x14ac:dyDescent="0.35">
      <c r="A567">
        <v>10566</v>
      </c>
      <c r="B567" s="1">
        <v>45127</v>
      </c>
      <c r="C567">
        <v>1304</v>
      </c>
      <c r="D567" t="s">
        <v>73</v>
      </c>
      <c r="E567" t="s">
        <v>70</v>
      </c>
      <c r="F567">
        <v>5</v>
      </c>
      <c r="G567" s="2">
        <v>375.78</v>
      </c>
      <c r="H567">
        <v>0.31</v>
      </c>
      <c r="I567" t="s">
        <v>71</v>
      </c>
      <c r="J567">
        <v>7</v>
      </c>
      <c r="K567">
        <v>3.6</v>
      </c>
      <c r="L567" s="2">
        <v>1296.44</v>
      </c>
      <c r="M567">
        <v>2023</v>
      </c>
      <c r="N567">
        <v>7</v>
      </c>
      <c r="O567" t="s">
        <v>98</v>
      </c>
      <c r="P567" s="2">
        <v>1878.9</v>
      </c>
      <c r="Q567" s="2">
        <v>582.46</v>
      </c>
      <c r="R567" t="s">
        <v>72</v>
      </c>
      <c r="S567">
        <v>0</v>
      </c>
      <c r="T567">
        <v>0</v>
      </c>
      <c r="U567">
        <f>IF(AND(OR(Dashboard!$D$4="Semua",D567=Dashboard!$D$4),OR(Dashboard!$H$4="Semua",E567=Dashboard!$H$4)),1,0)</f>
        <v>1</v>
      </c>
      <c r="V567">
        <f>IF(U567=1,IF(COUNTIFS($C$2:C567,C567,$U$2:U567,1)=1,1,0),0)</f>
        <v>1</v>
      </c>
    </row>
    <row r="568" spans="1:22" x14ac:dyDescent="0.35">
      <c r="A568">
        <v>10567</v>
      </c>
      <c r="B568" s="1">
        <v>45128</v>
      </c>
      <c r="C568">
        <v>1691</v>
      </c>
      <c r="D568" t="s">
        <v>67</v>
      </c>
      <c r="E568" t="s">
        <v>70</v>
      </c>
      <c r="F568">
        <v>2</v>
      </c>
      <c r="G568" s="2">
        <v>69.83</v>
      </c>
      <c r="H568">
        <v>0.26</v>
      </c>
      <c r="I568" t="s">
        <v>64</v>
      </c>
      <c r="J568">
        <v>2</v>
      </c>
      <c r="K568">
        <v>3</v>
      </c>
      <c r="L568" s="2">
        <v>103.35</v>
      </c>
      <c r="M568">
        <v>2023</v>
      </c>
      <c r="N568">
        <v>7</v>
      </c>
      <c r="O568" t="s">
        <v>98</v>
      </c>
      <c r="P568" s="2">
        <v>139.66</v>
      </c>
      <c r="Q568" s="2">
        <v>36.31</v>
      </c>
      <c r="R568" t="s">
        <v>66</v>
      </c>
      <c r="S568">
        <v>0</v>
      </c>
      <c r="T568">
        <v>0</v>
      </c>
      <c r="U568">
        <f>IF(AND(OR(Dashboard!$D$4="Semua",D568=Dashboard!$D$4),OR(Dashboard!$H$4="Semua",E568=Dashboard!$H$4)),1,0)</f>
        <v>1</v>
      </c>
      <c r="V568">
        <f>IF(U568=1,IF(COUNTIFS($C$2:C568,C568,$U$2:U568,1)=1,1,0),0)</f>
        <v>0</v>
      </c>
    </row>
    <row r="569" spans="1:22" x14ac:dyDescent="0.35">
      <c r="A569">
        <v>10568</v>
      </c>
      <c r="B569" s="1">
        <v>45129</v>
      </c>
      <c r="C569">
        <v>1681</v>
      </c>
      <c r="D569" t="s">
        <v>80</v>
      </c>
      <c r="E569" t="s">
        <v>74</v>
      </c>
      <c r="F569">
        <v>5</v>
      </c>
      <c r="G569" s="2">
        <v>471.85</v>
      </c>
      <c r="H569">
        <v>0.19</v>
      </c>
      <c r="I569" t="s">
        <v>68</v>
      </c>
      <c r="J569">
        <v>2</v>
      </c>
      <c r="K569">
        <v>1.9</v>
      </c>
      <c r="L569" s="2">
        <v>1910.99</v>
      </c>
      <c r="M569">
        <v>2023</v>
      </c>
      <c r="N569">
        <v>7</v>
      </c>
      <c r="O569" t="s">
        <v>98</v>
      </c>
      <c r="P569" s="2">
        <v>2359.25</v>
      </c>
      <c r="Q569" s="2">
        <v>448.26</v>
      </c>
      <c r="R569" t="s">
        <v>76</v>
      </c>
      <c r="S569">
        <v>0</v>
      </c>
      <c r="T569">
        <v>0</v>
      </c>
      <c r="U569">
        <f>IF(AND(OR(Dashboard!$D$4="Semua",D569=Dashboard!$D$4),OR(Dashboard!$H$4="Semua",E569=Dashboard!$H$4)),1,0)</f>
        <v>1</v>
      </c>
      <c r="V569">
        <f>IF(U569=1,IF(COUNTIFS($C$2:C569,C569,$U$2:U569,1)=1,1,0),0)</f>
        <v>0</v>
      </c>
    </row>
    <row r="570" spans="1:22" x14ac:dyDescent="0.35">
      <c r="A570">
        <v>10569</v>
      </c>
      <c r="B570" s="1">
        <v>45130</v>
      </c>
      <c r="C570">
        <v>1837</v>
      </c>
      <c r="D570" t="s">
        <v>80</v>
      </c>
      <c r="E570" t="s">
        <v>74</v>
      </c>
      <c r="F570">
        <v>4</v>
      </c>
      <c r="G570" s="2">
        <v>595.03</v>
      </c>
      <c r="H570">
        <v>0.16</v>
      </c>
      <c r="I570" t="s">
        <v>68</v>
      </c>
      <c r="J570">
        <v>3</v>
      </c>
      <c r="K570">
        <v>2.1</v>
      </c>
      <c r="L570" s="2">
        <v>1999.3</v>
      </c>
      <c r="M570">
        <v>2023</v>
      </c>
      <c r="N570">
        <v>7</v>
      </c>
      <c r="O570" t="s">
        <v>98</v>
      </c>
      <c r="P570" s="2">
        <v>2380.12</v>
      </c>
      <c r="Q570" s="2">
        <v>380.82</v>
      </c>
      <c r="R570" t="s">
        <v>76</v>
      </c>
      <c r="S570">
        <v>0</v>
      </c>
      <c r="T570">
        <v>0</v>
      </c>
      <c r="U570">
        <f>IF(AND(OR(Dashboard!$D$4="Semua",D570=Dashboard!$D$4),OR(Dashboard!$H$4="Semua",E570=Dashboard!$H$4)),1,0)</f>
        <v>1</v>
      </c>
      <c r="V570">
        <f>IF(U570=1,IF(COUNTIFS($C$2:C570,C570,$U$2:U570,1)=1,1,0),0)</f>
        <v>1</v>
      </c>
    </row>
    <row r="571" spans="1:22" x14ac:dyDescent="0.35">
      <c r="A571">
        <v>10570</v>
      </c>
      <c r="B571" s="1">
        <v>45131</v>
      </c>
      <c r="C571">
        <v>1782</v>
      </c>
      <c r="D571" t="s">
        <v>67</v>
      </c>
      <c r="E571" t="s">
        <v>70</v>
      </c>
      <c r="F571">
        <v>4</v>
      </c>
      <c r="G571" s="2">
        <v>325.75</v>
      </c>
      <c r="H571">
        <v>0.06</v>
      </c>
      <c r="I571" t="s">
        <v>68</v>
      </c>
      <c r="J571">
        <v>4</v>
      </c>
      <c r="K571">
        <v>2.2999999999999998</v>
      </c>
      <c r="L571" s="2">
        <v>1224.82</v>
      </c>
      <c r="M571">
        <v>2023</v>
      </c>
      <c r="N571">
        <v>7</v>
      </c>
      <c r="O571" t="s">
        <v>98</v>
      </c>
      <c r="P571" s="2">
        <v>1303</v>
      </c>
      <c r="Q571" s="2">
        <v>78.180000000000007</v>
      </c>
      <c r="R571" t="s">
        <v>69</v>
      </c>
      <c r="S571">
        <v>0</v>
      </c>
      <c r="T571">
        <v>0</v>
      </c>
      <c r="U571">
        <f>IF(AND(OR(Dashboard!$D$4="Semua",D571=Dashboard!$D$4),OR(Dashboard!$H$4="Semua",E571=Dashboard!$H$4)),1,0)</f>
        <v>1</v>
      </c>
      <c r="V571">
        <f>IF(U571=1,IF(COUNTIFS($C$2:C571,C571,$U$2:U571,1)=1,1,0),0)</f>
        <v>0</v>
      </c>
    </row>
    <row r="572" spans="1:22" x14ac:dyDescent="0.35">
      <c r="A572">
        <v>10571</v>
      </c>
      <c r="B572" s="1">
        <v>45132</v>
      </c>
      <c r="C572">
        <v>1053</v>
      </c>
      <c r="D572" t="s">
        <v>73</v>
      </c>
      <c r="E572" t="s">
        <v>70</v>
      </c>
      <c r="F572">
        <v>2</v>
      </c>
      <c r="G572" s="2">
        <v>414.43</v>
      </c>
      <c r="H572">
        <v>0.11</v>
      </c>
      <c r="I572" t="s">
        <v>68</v>
      </c>
      <c r="J572">
        <v>1</v>
      </c>
      <c r="K572">
        <v>1.2</v>
      </c>
      <c r="L572" s="2">
        <v>737.69</v>
      </c>
      <c r="M572">
        <v>2023</v>
      </c>
      <c r="N572">
        <v>7</v>
      </c>
      <c r="O572" t="s">
        <v>98</v>
      </c>
      <c r="P572" s="2">
        <v>828.86</v>
      </c>
      <c r="Q572" s="2">
        <v>91.17</v>
      </c>
      <c r="R572" t="s">
        <v>79</v>
      </c>
      <c r="S572">
        <v>0</v>
      </c>
      <c r="T572">
        <v>0</v>
      </c>
      <c r="U572">
        <f>IF(AND(OR(Dashboard!$D$4="Semua",D572=Dashboard!$D$4),OR(Dashboard!$H$4="Semua",E572=Dashboard!$H$4)),1,0)</f>
        <v>1</v>
      </c>
      <c r="V572">
        <f>IF(U572=1,IF(COUNTIFS($C$2:C572,C572,$U$2:U572,1)=1,1,0),0)</f>
        <v>0</v>
      </c>
    </row>
    <row r="573" spans="1:22" x14ac:dyDescent="0.35">
      <c r="A573">
        <v>10572</v>
      </c>
      <c r="B573" s="1">
        <v>45133</v>
      </c>
      <c r="C573">
        <v>1443</v>
      </c>
      <c r="D573" t="s">
        <v>67</v>
      </c>
      <c r="E573" t="s">
        <v>78</v>
      </c>
      <c r="F573">
        <v>2</v>
      </c>
      <c r="G573" s="2">
        <v>153.83000000000001</v>
      </c>
      <c r="H573">
        <v>0.27</v>
      </c>
      <c r="I573" t="s">
        <v>71</v>
      </c>
      <c r="J573">
        <v>5</v>
      </c>
      <c r="K573">
        <v>4.7</v>
      </c>
      <c r="L573" s="2">
        <v>224.59</v>
      </c>
      <c r="M573">
        <v>2023</v>
      </c>
      <c r="N573">
        <v>7</v>
      </c>
      <c r="O573" t="s">
        <v>98</v>
      </c>
      <c r="P573" s="2">
        <v>307.66000000000003</v>
      </c>
      <c r="Q573" s="2">
        <v>83.07</v>
      </c>
      <c r="R573" t="s">
        <v>66</v>
      </c>
      <c r="S573">
        <v>0</v>
      </c>
      <c r="T573">
        <v>0</v>
      </c>
      <c r="U573">
        <f>IF(AND(OR(Dashboard!$D$4="Semua",D573=Dashboard!$D$4),OR(Dashboard!$H$4="Semua",E573=Dashboard!$H$4)),1,0)</f>
        <v>1</v>
      </c>
      <c r="V573">
        <f>IF(U573=1,IF(COUNTIFS($C$2:C573,C573,$U$2:U573,1)=1,1,0),0)</f>
        <v>1</v>
      </c>
    </row>
    <row r="574" spans="1:22" x14ac:dyDescent="0.35">
      <c r="A574">
        <v>10573</v>
      </c>
      <c r="B574" s="1">
        <v>45134</v>
      </c>
      <c r="C574">
        <v>1612</v>
      </c>
      <c r="D574" t="s">
        <v>62</v>
      </c>
      <c r="E574" t="s">
        <v>63</v>
      </c>
      <c r="F574">
        <v>3</v>
      </c>
      <c r="G574" s="2">
        <v>270.99</v>
      </c>
      <c r="H574">
        <v>0.16</v>
      </c>
      <c r="I574" t="s">
        <v>71</v>
      </c>
      <c r="J574">
        <v>7</v>
      </c>
      <c r="K574">
        <v>4.5999999999999996</v>
      </c>
      <c r="L574" s="2">
        <v>682.89</v>
      </c>
      <c r="M574">
        <v>2023</v>
      </c>
      <c r="N574">
        <v>7</v>
      </c>
      <c r="O574" t="s">
        <v>98</v>
      </c>
      <c r="P574" s="2">
        <v>812.97</v>
      </c>
      <c r="Q574" s="2">
        <v>130.08000000000001</v>
      </c>
      <c r="R574" t="s">
        <v>76</v>
      </c>
      <c r="S574">
        <v>0</v>
      </c>
      <c r="T574">
        <v>0</v>
      </c>
      <c r="U574">
        <f>IF(AND(OR(Dashboard!$D$4="Semua",D574=Dashboard!$D$4),OR(Dashboard!$H$4="Semua",E574=Dashboard!$H$4)),1,0)</f>
        <v>1</v>
      </c>
      <c r="V574">
        <f>IF(U574=1,IF(COUNTIFS($C$2:C574,C574,$U$2:U574,1)=1,1,0),0)</f>
        <v>0</v>
      </c>
    </row>
    <row r="575" spans="1:22" x14ac:dyDescent="0.35">
      <c r="A575">
        <v>10574</v>
      </c>
      <c r="B575" s="1">
        <v>45135</v>
      </c>
      <c r="C575">
        <v>1992</v>
      </c>
      <c r="D575" t="s">
        <v>67</v>
      </c>
      <c r="E575" t="s">
        <v>63</v>
      </c>
      <c r="F575">
        <v>1</v>
      </c>
      <c r="G575" s="2">
        <v>515.82000000000005</v>
      </c>
      <c r="H575">
        <v>0.31</v>
      </c>
      <c r="I575" t="s">
        <v>71</v>
      </c>
      <c r="J575">
        <v>10</v>
      </c>
      <c r="K575">
        <v>1.4</v>
      </c>
      <c r="L575" s="2">
        <v>355.92</v>
      </c>
      <c r="M575">
        <v>2023</v>
      </c>
      <c r="N575">
        <v>7</v>
      </c>
      <c r="O575" t="s">
        <v>98</v>
      </c>
      <c r="P575" s="2">
        <v>515.82000000000005</v>
      </c>
      <c r="Q575" s="2">
        <v>159.9</v>
      </c>
      <c r="R575" t="s">
        <v>72</v>
      </c>
      <c r="S575">
        <v>0</v>
      </c>
      <c r="T575">
        <v>0</v>
      </c>
      <c r="U575">
        <f>IF(AND(OR(Dashboard!$D$4="Semua",D575=Dashboard!$D$4),OR(Dashboard!$H$4="Semua",E575=Dashboard!$H$4)),1,0)</f>
        <v>1</v>
      </c>
      <c r="V575">
        <f>IF(U575=1,IF(COUNTIFS($C$2:C575,C575,$U$2:U575,1)=1,1,0),0)</f>
        <v>0</v>
      </c>
    </row>
    <row r="576" spans="1:22" x14ac:dyDescent="0.35">
      <c r="A576">
        <v>10575</v>
      </c>
      <c r="B576" s="1">
        <v>45136</v>
      </c>
      <c r="C576">
        <v>1263</v>
      </c>
      <c r="D576" t="s">
        <v>67</v>
      </c>
      <c r="E576" t="s">
        <v>74</v>
      </c>
      <c r="F576">
        <v>1</v>
      </c>
      <c r="G576" s="2">
        <v>112.94</v>
      </c>
      <c r="H576">
        <v>0.05</v>
      </c>
      <c r="I576" t="s">
        <v>64</v>
      </c>
      <c r="J576">
        <v>11</v>
      </c>
      <c r="K576">
        <v>3.2</v>
      </c>
      <c r="L576" s="2">
        <v>107.29</v>
      </c>
      <c r="M576">
        <v>2023</v>
      </c>
      <c r="N576">
        <v>7</v>
      </c>
      <c r="O576" t="s">
        <v>98</v>
      </c>
      <c r="P576" s="2">
        <v>112.94</v>
      </c>
      <c r="Q576" s="2">
        <v>5.65</v>
      </c>
      <c r="R576" t="s">
        <v>75</v>
      </c>
      <c r="S576">
        <v>0</v>
      </c>
      <c r="T576">
        <v>0</v>
      </c>
      <c r="U576">
        <f>IF(AND(OR(Dashboard!$D$4="Semua",D576=Dashboard!$D$4),OR(Dashboard!$H$4="Semua",E576=Dashboard!$H$4)),1,0)</f>
        <v>1</v>
      </c>
      <c r="V576">
        <f>IF(U576=1,IF(COUNTIFS($C$2:C576,C576,$U$2:U576,1)=1,1,0),0)</f>
        <v>1</v>
      </c>
    </row>
    <row r="577" spans="1:22" x14ac:dyDescent="0.35">
      <c r="A577">
        <v>10576</v>
      </c>
      <c r="B577" s="1">
        <v>45137</v>
      </c>
      <c r="C577">
        <v>1052</v>
      </c>
      <c r="D577" t="s">
        <v>73</v>
      </c>
      <c r="E577" t="s">
        <v>70</v>
      </c>
      <c r="F577">
        <v>1</v>
      </c>
      <c r="G577" s="2">
        <v>170.34</v>
      </c>
      <c r="H577">
        <v>0.18</v>
      </c>
      <c r="I577" t="s">
        <v>64</v>
      </c>
      <c r="J577">
        <v>5</v>
      </c>
      <c r="K577">
        <v>2.9</v>
      </c>
      <c r="L577" s="2">
        <v>139.68</v>
      </c>
      <c r="M577">
        <v>2023</v>
      </c>
      <c r="N577">
        <v>7</v>
      </c>
      <c r="O577" t="s">
        <v>98</v>
      </c>
      <c r="P577" s="2">
        <v>170.34</v>
      </c>
      <c r="Q577" s="2">
        <v>30.66</v>
      </c>
      <c r="R577" t="s">
        <v>76</v>
      </c>
      <c r="S577">
        <v>0</v>
      </c>
      <c r="T577">
        <v>0</v>
      </c>
      <c r="U577">
        <f>IF(AND(OR(Dashboard!$D$4="Semua",D577=Dashboard!$D$4),OR(Dashboard!$H$4="Semua",E577=Dashboard!$H$4)),1,0)</f>
        <v>1</v>
      </c>
      <c r="V577">
        <f>IF(U577=1,IF(COUNTIFS($C$2:C577,C577,$U$2:U577,1)=1,1,0),0)</f>
        <v>0</v>
      </c>
    </row>
    <row r="578" spans="1:22" x14ac:dyDescent="0.35">
      <c r="A578">
        <v>10577</v>
      </c>
      <c r="B578" s="1">
        <v>45138</v>
      </c>
      <c r="C578">
        <v>1571</v>
      </c>
      <c r="D578" t="s">
        <v>67</v>
      </c>
      <c r="E578" t="s">
        <v>78</v>
      </c>
      <c r="F578">
        <v>6</v>
      </c>
      <c r="G578" s="2">
        <v>275.58</v>
      </c>
      <c r="H578">
        <v>0.23</v>
      </c>
      <c r="I578" t="s">
        <v>68</v>
      </c>
      <c r="J578">
        <v>7</v>
      </c>
      <c r="K578">
        <v>3.7</v>
      </c>
      <c r="L578" s="2">
        <v>1273.18</v>
      </c>
      <c r="M578">
        <v>2023</v>
      </c>
      <c r="N578">
        <v>7</v>
      </c>
      <c r="O578" t="s">
        <v>98</v>
      </c>
      <c r="P578" s="2">
        <v>1653.48</v>
      </c>
      <c r="Q578" s="2">
        <v>380.3</v>
      </c>
      <c r="R578" t="s">
        <v>77</v>
      </c>
      <c r="S578">
        <v>0</v>
      </c>
      <c r="T578">
        <v>0</v>
      </c>
      <c r="U578">
        <f>IF(AND(OR(Dashboard!$D$4="Semua",D578=Dashboard!$D$4),OR(Dashboard!$H$4="Semua",E578=Dashboard!$H$4)),1,0)</f>
        <v>1</v>
      </c>
      <c r="V578">
        <f>IF(U578=1,IF(COUNTIFS($C$2:C578,C578,$U$2:U578,1)=1,1,0),0)</f>
        <v>0</v>
      </c>
    </row>
    <row r="579" spans="1:22" x14ac:dyDescent="0.35">
      <c r="A579">
        <v>10578</v>
      </c>
      <c r="B579" s="1">
        <v>45139</v>
      </c>
      <c r="C579">
        <v>1619</v>
      </c>
      <c r="D579" t="s">
        <v>62</v>
      </c>
      <c r="E579" t="s">
        <v>74</v>
      </c>
      <c r="F579">
        <v>4</v>
      </c>
      <c r="G579" s="2">
        <v>431.67</v>
      </c>
      <c r="H579">
        <v>0.18</v>
      </c>
      <c r="I579" t="s">
        <v>64</v>
      </c>
      <c r="J579">
        <v>5</v>
      </c>
      <c r="K579">
        <v>3.4</v>
      </c>
      <c r="L579" s="2">
        <v>1415.88</v>
      </c>
      <c r="M579">
        <v>2023</v>
      </c>
      <c r="N579">
        <v>8</v>
      </c>
      <c r="O579" t="s">
        <v>99</v>
      </c>
      <c r="P579" s="2">
        <v>1726.68</v>
      </c>
      <c r="Q579" s="2">
        <v>310.8</v>
      </c>
      <c r="R579" t="s">
        <v>76</v>
      </c>
      <c r="S579">
        <v>0</v>
      </c>
      <c r="T579">
        <v>0</v>
      </c>
      <c r="U579">
        <f>IF(AND(OR(Dashboard!$D$4="Semua",D579=Dashboard!$D$4),OR(Dashboard!$H$4="Semua",E579=Dashboard!$H$4)),1,0)</f>
        <v>1</v>
      </c>
      <c r="V579">
        <f>IF(U579=1,IF(COUNTIFS($C$2:C579,C579,$U$2:U579,1)=1,1,0),0)</f>
        <v>0</v>
      </c>
    </row>
    <row r="580" spans="1:22" x14ac:dyDescent="0.35">
      <c r="A580">
        <v>10579</v>
      </c>
      <c r="B580" s="1">
        <v>45140</v>
      </c>
      <c r="C580">
        <v>1004</v>
      </c>
      <c r="D580" t="s">
        <v>80</v>
      </c>
      <c r="E580" t="s">
        <v>78</v>
      </c>
      <c r="F580">
        <v>1</v>
      </c>
      <c r="G580" s="2">
        <v>234.89</v>
      </c>
      <c r="H580">
        <v>0.31</v>
      </c>
      <c r="I580" t="s">
        <v>68</v>
      </c>
      <c r="J580">
        <v>11</v>
      </c>
      <c r="K580">
        <v>1.5</v>
      </c>
      <c r="L580" s="2">
        <v>162.07</v>
      </c>
      <c r="M580">
        <v>2023</v>
      </c>
      <c r="N580">
        <v>8</v>
      </c>
      <c r="O580" t="s">
        <v>99</v>
      </c>
      <c r="P580" s="2">
        <v>234.89</v>
      </c>
      <c r="Q580" s="2">
        <v>72.819999999999993</v>
      </c>
      <c r="R580" t="s">
        <v>72</v>
      </c>
      <c r="S580">
        <v>0</v>
      </c>
      <c r="T580">
        <v>0</v>
      </c>
      <c r="U580">
        <f>IF(AND(OR(Dashboard!$D$4="Semua",D580=Dashboard!$D$4),OR(Dashboard!$H$4="Semua",E580=Dashboard!$H$4)),1,0)</f>
        <v>1</v>
      </c>
      <c r="V580">
        <f>IF(U580=1,IF(COUNTIFS($C$2:C580,C580,$U$2:U580,1)=1,1,0),0)</f>
        <v>0</v>
      </c>
    </row>
    <row r="581" spans="1:22" x14ac:dyDescent="0.35">
      <c r="A581">
        <v>10580</v>
      </c>
      <c r="B581" s="1">
        <v>45141</v>
      </c>
      <c r="C581">
        <v>1102</v>
      </c>
      <c r="D581" t="s">
        <v>80</v>
      </c>
      <c r="E581" t="s">
        <v>70</v>
      </c>
      <c r="F581">
        <v>3</v>
      </c>
      <c r="G581" s="2">
        <v>557.72</v>
      </c>
      <c r="H581">
        <v>0.35</v>
      </c>
      <c r="I581" t="s">
        <v>71</v>
      </c>
      <c r="J581">
        <v>10</v>
      </c>
      <c r="K581">
        <v>3.6</v>
      </c>
      <c r="L581" s="2">
        <v>1087.55</v>
      </c>
      <c r="M581">
        <v>2023</v>
      </c>
      <c r="N581">
        <v>8</v>
      </c>
      <c r="O581" t="s">
        <v>99</v>
      </c>
      <c r="P581" s="2">
        <v>1673.16</v>
      </c>
      <c r="Q581" s="2">
        <v>585.61</v>
      </c>
      <c r="R581" t="s">
        <v>72</v>
      </c>
      <c r="S581">
        <v>0</v>
      </c>
      <c r="T581">
        <v>0</v>
      </c>
      <c r="U581">
        <f>IF(AND(OR(Dashboard!$D$4="Semua",D581=Dashboard!$D$4),OR(Dashboard!$H$4="Semua",E581=Dashboard!$H$4)),1,0)</f>
        <v>1</v>
      </c>
      <c r="V581">
        <f>IF(U581=1,IF(COUNTIFS($C$2:C581,C581,$U$2:U581,1)=1,1,0),0)</f>
        <v>0</v>
      </c>
    </row>
    <row r="582" spans="1:22" x14ac:dyDescent="0.35">
      <c r="A582">
        <v>10581</v>
      </c>
      <c r="B582" s="1">
        <v>45142</v>
      </c>
      <c r="C582">
        <v>1195</v>
      </c>
      <c r="D582" t="s">
        <v>67</v>
      </c>
      <c r="E582" t="s">
        <v>70</v>
      </c>
      <c r="F582">
        <v>3</v>
      </c>
      <c r="G582" s="2">
        <v>70.260000000000005</v>
      </c>
      <c r="H582">
        <v>0.04</v>
      </c>
      <c r="I582" t="s">
        <v>71</v>
      </c>
      <c r="J582">
        <v>8</v>
      </c>
      <c r="K582">
        <v>3.4</v>
      </c>
      <c r="L582" s="2">
        <v>202.35</v>
      </c>
      <c r="M582">
        <v>2023</v>
      </c>
      <c r="N582">
        <v>8</v>
      </c>
      <c r="O582" t="s">
        <v>99</v>
      </c>
      <c r="P582" s="2">
        <v>210.78</v>
      </c>
      <c r="Q582" s="2">
        <v>8.43</v>
      </c>
      <c r="R582" t="s">
        <v>75</v>
      </c>
      <c r="S582">
        <v>0</v>
      </c>
      <c r="T582">
        <v>0</v>
      </c>
      <c r="U582">
        <f>IF(AND(OR(Dashboard!$D$4="Semua",D582=Dashboard!$D$4),OR(Dashboard!$H$4="Semua",E582=Dashboard!$H$4)),1,0)</f>
        <v>1</v>
      </c>
      <c r="V582">
        <f>IF(U582=1,IF(COUNTIFS($C$2:C582,C582,$U$2:U582,1)=1,1,0),0)</f>
        <v>1</v>
      </c>
    </row>
    <row r="583" spans="1:22" x14ac:dyDescent="0.35">
      <c r="A583">
        <v>10582</v>
      </c>
      <c r="B583" s="1">
        <v>45143</v>
      </c>
      <c r="C583">
        <v>1773</v>
      </c>
      <c r="D583" t="s">
        <v>67</v>
      </c>
      <c r="E583" t="s">
        <v>70</v>
      </c>
      <c r="F583">
        <v>1</v>
      </c>
      <c r="G583" s="2">
        <v>231.92</v>
      </c>
      <c r="H583">
        <v>0.05</v>
      </c>
      <c r="I583" t="s">
        <v>64</v>
      </c>
      <c r="J583">
        <v>7</v>
      </c>
      <c r="K583">
        <v>3.1</v>
      </c>
      <c r="L583" s="2">
        <v>220.32</v>
      </c>
      <c r="M583">
        <v>2023</v>
      </c>
      <c r="N583">
        <v>8</v>
      </c>
      <c r="O583" t="s">
        <v>99</v>
      </c>
      <c r="P583" s="2">
        <v>231.92</v>
      </c>
      <c r="Q583" s="2">
        <v>11.6</v>
      </c>
      <c r="R583" t="s">
        <v>75</v>
      </c>
      <c r="S583">
        <v>0</v>
      </c>
      <c r="T583">
        <v>0</v>
      </c>
      <c r="U583">
        <f>IF(AND(OR(Dashboard!$D$4="Semua",D583=Dashboard!$D$4),OR(Dashboard!$H$4="Semua",E583=Dashboard!$H$4)),1,0)</f>
        <v>1</v>
      </c>
      <c r="V583">
        <f>IF(U583=1,IF(COUNTIFS($C$2:C583,C583,$U$2:U583,1)=1,1,0),0)</f>
        <v>1</v>
      </c>
    </row>
    <row r="584" spans="1:22" x14ac:dyDescent="0.35">
      <c r="A584">
        <v>10583</v>
      </c>
      <c r="B584" s="1">
        <v>45144</v>
      </c>
      <c r="C584">
        <v>1876</v>
      </c>
      <c r="D584" t="s">
        <v>73</v>
      </c>
      <c r="E584" t="s">
        <v>63</v>
      </c>
      <c r="F584">
        <v>2</v>
      </c>
      <c r="G584" s="2">
        <v>429.74</v>
      </c>
      <c r="H584">
        <v>0.05</v>
      </c>
      <c r="I584" t="s">
        <v>71</v>
      </c>
      <c r="J584">
        <v>1</v>
      </c>
      <c r="K584">
        <v>2.6</v>
      </c>
      <c r="L584" s="2">
        <v>816.51</v>
      </c>
      <c r="M584">
        <v>2023</v>
      </c>
      <c r="N584">
        <v>8</v>
      </c>
      <c r="O584" t="s">
        <v>99</v>
      </c>
      <c r="P584" s="2">
        <v>859.48</v>
      </c>
      <c r="Q584" s="2">
        <v>42.97</v>
      </c>
      <c r="R584" t="s">
        <v>75</v>
      </c>
      <c r="S584">
        <v>0</v>
      </c>
      <c r="T584">
        <v>0</v>
      </c>
      <c r="U584">
        <f>IF(AND(OR(Dashboard!$D$4="Semua",D584=Dashboard!$D$4),OR(Dashboard!$H$4="Semua",E584=Dashboard!$H$4)),1,0)</f>
        <v>1</v>
      </c>
      <c r="V584">
        <f>IF(U584=1,IF(COUNTIFS($C$2:C584,C584,$U$2:U584,1)=1,1,0),0)</f>
        <v>1</v>
      </c>
    </row>
    <row r="585" spans="1:22" x14ac:dyDescent="0.35">
      <c r="A585">
        <v>10584</v>
      </c>
      <c r="B585" s="1">
        <v>45145</v>
      </c>
      <c r="C585">
        <v>1991</v>
      </c>
      <c r="D585" t="s">
        <v>80</v>
      </c>
      <c r="E585" t="s">
        <v>70</v>
      </c>
      <c r="F585">
        <v>3</v>
      </c>
      <c r="G585" s="2">
        <v>147.19999999999999</v>
      </c>
      <c r="H585">
        <v>0.24</v>
      </c>
      <c r="I585" t="s">
        <v>71</v>
      </c>
      <c r="J585">
        <v>11</v>
      </c>
      <c r="K585">
        <v>4.8</v>
      </c>
      <c r="L585" s="2">
        <v>335.62</v>
      </c>
      <c r="M585">
        <v>2023</v>
      </c>
      <c r="N585">
        <v>8</v>
      </c>
      <c r="O585" t="s">
        <v>99</v>
      </c>
      <c r="P585" s="2">
        <v>441.6</v>
      </c>
      <c r="Q585" s="2">
        <v>105.98</v>
      </c>
      <c r="R585" t="s">
        <v>77</v>
      </c>
      <c r="S585">
        <v>0</v>
      </c>
      <c r="T585">
        <v>0</v>
      </c>
      <c r="U585">
        <f>IF(AND(OR(Dashboard!$D$4="Semua",D585=Dashboard!$D$4),OR(Dashboard!$H$4="Semua",E585=Dashboard!$H$4)),1,0)</f>
        <v>1</v>
      </c>
      <c r="V585">
        <f>IF(U585=1,IF(COUNTIFS($C$2:C585,C585,$U$2:U585,1)=1,1,0),0)</f>
        <v>1</v>
      </c>
    </row>
    <row r="586" spans="1:22" x14ac:dyDescent="0.35">
      <c r="A586">
        <v>10585</v>
      </c>
      <c r="B586" s="1">
        <v>45146</v>
      </c>
      <c r="C586">
        <v>1883</v>
      </c>
      <c r="D586" t="s">
        <v>67</v>
      </c>
      <c r="E586" t="s">
        <v>74</v>
      </c>
      <c r="F586">
        <v>7</v>
      </c>
      <c r="G586" s="2">
        <v>399</v>
      </c>
      <c r="H586">
        <v>0.13</v>
      </c>
      <c r="I586" t="s">
        <v>64</v>
      </c>
      <c r="J586">
        <v>1</v>
      </c>
      <c r="K586">
        <v>4.4000000000000004</v>
      </c>
      <c r="L586" s="2">
        <v>2429.91</v>
      </c>
      <c r="M586">
        <v>2023</v>
      </c>
      <c r="N586">
        <v>8</v>
      </c>
      <c r="O586" t="s">
        <v>99</v>
      </c>
      <c r="P586" s="2">
        <v>2793</v>
      </c>
      <c r="Q586" s="2">
        <v>363.09</v>
      </c>
      <c r="R586" t="s">
        <v>79</v>
      </c>
      <c r="S586">
        <v>0</v>
      </c>
      <c r="T586">
        <v>0</v>
      </c>
      <c r="U586">
        <f>IF(AND(OR(Dashboard!$D$4="Semua",D586=Dashboard!$D$4),OR(Dashboard!$H$4="Semua",E586=Dashboard!$H$4)),1,0)</f>
        <v>1</v>
      </c>
      <c r="V586">
        <f>IF(U586=1,IF(COUNTIFS($C$2:C586,C586,$U$2:U586,1)=1,1,0),0)</f>
        <v>0</v>
      </c>
    </row>
    <row r="587" spans="1:22" x14ac:dyDescent="0.35">
      <c r="A587">
        <v>10586</v>
      </c>
      <c r="B587" s="1">
        <v>45147</v>
      </c>
      <c r="C587">
        <v>1349</v>
      </c>
      <c r="D587" t="s">
        <v>67</v>
      </c>
      <c r="E587" t="s">
        <v>63</v>
      </c>
      <c r="F587">
        <v>2</v>
      </c>
      <c r="G587" s="2">
        <v>111.07</v>
      </c>
      <c r="H587">
        <v>0.26</v>
      </c>
      <c r="I587" t="s">
        <v>71</v>
      </c>
      <c r="J587">
        <v>5</v>
      </c>
      <c r="K587">
        <v>3.3</v>
      </c>
      <c r="L587" s="2">
        <v>164.38</v>
      </c>
      <c r="M587">
        <v>2023</v>
      </c>
      <c r="N587">
        <v>8</v>
      </c>
      <c r="O587" t="s">
        <v>99</v>
      </c>
      <c r="P587" s="2">
        <v>222.14</v>
      </c>
      <c r="Q587" s="2">
        <v>57.76</v>
      </c>
      <c r="R587" t="s">
        <v>66</v>
      </c>
      <c r="S587">
        <v>0</v>
      </c>
      <c r="T587">
        <v>0</v>
      </c>
      <c r="U587">
        <f>IF(AND(OR(Dashboard!$D$4="Semua",D587=Dashboard!$D$4),OR(Dashboard!$H$4="Semua",E587=Dashboard!$H$4)),1,0)</f>
        <v>1</v>
      </c>
      <c r="V587">
        <f>IF(U587=1,IF(COUNTIFS($C$2:C587,C587,$U$2:U587,1)=1,1,0),0)</f>
        <v>1</v>
      </c>
    </row>
    <row r="588" spans="1:22" x14ac:dyDescent="0.35">
      <c r="A588">
        <v>10587</v>
      </c>
      <c r="B588" s="1">
        <v>45148</v>
      </c>
      <c r="C588">
        <v>1046</v>
      </c>
      <c r="D588" t="s">
        <v>67</v>
      </c>
      <c r="E588" t="s">
        <v>78</v>
      </c>
      <c r="F588">
        <v>7</v>
      </c>
      <c r="G588" s="2">
        <v>47.75</v>
      </c>
      <c r="H588">
        <v>0.14000000000000001</v>
      </c>
      <c r="I588" t="s">
        <v>71</v>
      </c>
      <c r="J588">
        <v>2</v>
      </c>
      <c r="K588">
        <v>1</v>
      </c>
      <c r="L588" s="2">
        <v>287.45999999999998</v>
      </c>
      <c r="M588">
        <v>2023</v>
      </c>
      <c r="N588">
        <v>8</v>
      </c>
      <c r="O588" t="s">
        <v>99</v>
      </c>
      <c r="P588" s="2">
        <v>334.25</v>
      </c>
      <c r="Q588" s="2">
        <v>46.79</v>
      </c>
      <c r="R588" t="s">
        <v>79</v>
      </c>
      <c r="S588">
        <v>0</v>
      </c>
      <c r="T588">
        <v>0</v>
      </c>
      <c r="U588">
        <f>IF(AND(OR(Dashboard!$D$4="Semua",D588=Dashboard!$D$4),OR(Dashboard!$H$4="Semua",E588=Dashboard!$H$4)),1,0)</f>
        <v>1</v>
      </c>
      <c r="V588">
        <f>IF(U588=1,IF(COUNTIFS($C$2:C588,C588,$U$2:U588,1)=1,1,0),0)</f>
        <v>1</v>
      </c>
    </row>
    <row r="589" spans="1:22" x14ac:dyDescent="0.35">
      <c r="A589">
        <v>10588</v>
      </c>
      <c r="B589" s="1">
        <v>45149</v>
      </c>
      <c r="C589">
        <v>1866</v>
      </c>
      <c r="D589" t="s">
        <v>62</v>
      </c>
      <c r="E589" t="s">
        <v>74</v>
      </c>
      <c r="F589">
        <v>4</v>
      </c>
      <c r="G589" s="2">
        <v>85.79</v>
      </c>
      <c r="H589">
        <v>0.22</v>
      </c>
      <c r="I589" t="s">
        <v>68</v>
      </c>
      <c r="J589">
        <v>9</v>
      </c>
      <c r="K589">
        <v>2.7</v>
      </c>
      <c r="L589" s="2">
        <v>267.66000000000003</v>
      </c>
      <c r="M589">
        <v>2023</v>
      </c>
      <c r="N589">
        <v>8</v>
      </c>
      <c r="O589" t="s">
        <v>99</v>
      </c>
      <c r="P589" s="2">
        <v>343.16</v>
      </c>
      <c r="Q589" s="2">
        <v>75.5</v>
      </c>
      <c r="R589" t="s">
        <v>77</v>
      </c>
      <c r="S589">
        <v>0</v>
      </c>
      <c r="T589">
        <v>0</v>
      </c>
      <c r="U589">
        <f>IF(AND(OR(Dashboard!$D$4="Semua",D589=Dashboard!$D$4),OR(Dashboard!$H$4="Semua",E589=Dashboard!$H$4)),1,0)</f>
        <v>1</v>
      </c>
      <c r="V589">
        <f>IF(U589=1,IF(COUNTIFS($C$2:C589,C589,$U$2:U589,1)=1,1,0),0)</f>
        <v>0</v>
      </c>
    </row>
    <row r="590" spans="1:22" x14ac:dyDescent="0.35">
      <c r="A590">
        <v>10589</v>
      </c>
      <c r="B590" s="1">
        <v>45150</v>
      </c>
      <c r="C590">
        <v>1822</v>
      </c>
      <c r="D590" t="s">
        <v>73</v>
      </c>
      <c r="E590" t="s">
        <v>74</v>
      </c>
      <c r="F590">
        <v>6</v>
      </c>
      <c r="G590" s="2">
        <v>559.04</v>
      </c>
      <c r="H590">
        <v>0.27</v>
      </c>
      <c r="I590" t="s">
        <v>68</v>
      </c>
      <c r="J590">
        <v>2</v>
      </c>
      <c r="K590">
        <v>3.8</v>
      </c>
      <c r="L590" s="2">
        <v>2448.6</v>
      </c>
      <c r="M590">
        <v>2023</v>
      </c>
      <c r="N590">
        <v>8</v>
      </c>
      <c r="O590" t="s">
        <v>99</v>
      </c>
      <c r="P590" s="2">
        <v>3354.24</v>
      </c>
      <c r="Q590" s="2">
        <v>905.64</v>
      </c>
      <c r="R590" t="s">
        <v>66</v>
      </c>
      <c r="S590">
        <v>0</v>
      </c>
      <c r="T590">
        <v>0</v>
      </c>
      <c r="U590">
        <f>IF(AND(OR(Dashboard!$D$4="Semua",D590=Dashboard!$D$4),OR(Dashboard!$H$4="Semua",E590=Dashboard!$H$4)),1,0)</f>
        <v>1</v>
      </c>
      <c r="V590">
        <f>IF(U590=1,IF(COUNTIFS($C$2:C590,C590,$U$2:U590,1)=1,1,0),0)</f>
        <v>1</v>
      </c>
    </row>
    <row r="591" spans="1:22" x14ac:dyDescent="0.35">
      <c r="A591">
        <v>10590</v>
      </c>
      <c r="B591" s="1">
        <v>45151</v>
      </c>
      <c r="C591">
        <v>1935</v>
      </c>
      <c r="D591" t="s">
        <v>80</v>
      </c>
      <c r="E591" t="s">
        <v>78</v>
      </c>
      <c r="F591">
        <v>3</v>
      </c>
      <c r="G591" s="2">
        <v>337.77</v>
      </c>
      <c r="H591">
        <v>0.19</v>
      </c>
      <c r="I591" t="s">
        <v>64</v>
      </c>
      <c r="J591">
        <v>9</v>
      </c>
      <c r="K591">
        <v>1.5</v>
      </c>
      <c r="L591" s="2">
        <v>820.78</v>
      </c>
      <c r="M591">
        <v>2023</v>
      </c>
      <c r="N591">
        <v>8</v>
      </c>
      <c r="O591" t="s">
        <v>99</v>
      </c>
      <c r="P591" s="2">
        <v>1013.31</v>
      </c>
      <c r="Q591" s="2">
        <v>192.53</v>
      </c>
      <c r="R591" t="s">
        <v>76</v>
      </c>
      <c r="S591">
        <v>0</v>
      </c>
      <c r="T591">
        <v>0</v>
      </c>
      <c r="U591">
        <f>IF(AND(OR(Dashboard!$D$4="Semua",D591=Dashboard!$D$4),OR(Dashboard!$H$4="Semua",E591=Dashboard!$H$4)),1,0)</f>
        <v>1</v>
      </c>
      <c r="V591">
        <f>IF(U591=1,IF(COUNTIFS($C$2:C591,C591,$U$2:U591,1)=1,1,0),0)</f>
        <v>0</v>
      </c>
    </row>
    <row r="592" spans="1:22" x14ac:dyDescent="0.35">
      <c r="A592">
        <v>10591</v>
      </c>
      <c r="B592" s="1">
        <v>45152</v>
      </c>
      <c r="C592">
        <v>1819</v>
      </c>
      <c r="D592" t="s">
        <v>73</v>
      </c>
      <c r="E592" t="s">
        <v>63</v>
      </c>
      <c r="F592">
        <v>2</v>
      </c>
      <c r="G592" s="2">
        <v>480.86</v>
      </c>
      <c r="H592">
        <v>0.19</v>
      </c>
      <c r="I592" t="s">
        <v>71</v>
      </c>
      <c r="J592">
        <v>10</v>
      </c>
      <c r="K592">
        <v>2.6</v>
      </c>
      <c r="L592" s="2">
        <v>778.99</v>
      </c>
      <c r="M592">
        <v>2023</v>
      </c>
      <c r="N592">
        <v>8</v>
      </c>
      <c r="O592" t="s">
        <v>99</v>
      </c>
      <c r="P592" s="2">
        <v>961.72</v>
      </c>
      <c r="Q592" s="2">
        <v>182.73</v>
      </c>
      <c r="R592" t="s">
        <v>76</v>
      </c>
      <c r="S592">
        <v>0</v>
      </c>
      <c r="T592">
        <v>0</v>
      </c>
      <c r="U592">
        <f>IF(AND(OR(Dashboard!$D$4="Semua",D592=Dashboard!$D$4),OR(Dashboard!$H$4="Semua",E592=Dashboard!$H$4)),1,0)</f>
        <v>1</v>
      </c>
      <c r="V592">
        <f>IF(U592=1,IF(COUNTIFS($C$2:C592,C592,$U$2:U592,1)=1,1,0),0)</f>
        <v>0</v>
      </c>
    </row>
    <row r="593" spans="1:22" x14ac:dyDescent="0.35">
      <c r="A593">
        <v>10592</v>
      </c>
      <c r="B593" s="1">
        <v>45153</v>
      </c>
      <c r="C593">
        <v>1655</v>
      </c>
      <c r="D593" t="s">
        <v>67</v>
      </c>
      <c r="E593" t="s">
        <v>74</v>
      </c>
      <c r="F593">
        <v>7</v>
      </c>
      <c r="G593" s="2">
        <v>209.6</v>
      </c>
      <c r="H593">
        <v>0.03</v>
      </c>
      <c r="I593" t="s">
        <v>71</v>
      </c>
      <c r="J593">
        <v>2</v>
      </c>
      <c r="K593">
        <v>1.8</v>
      </c>
      <c r="L593" s="2">
        <v>1423.18</v>
      </c>
      <c r="M593">
        <v>2023</v>
      </c>
      <c r="N593">
        <v>8</v>
      </c>
      <c r="O593" t="s">
        <v>99</v>
      </c>
      <c r="P593" s="2">
        <v>1467.2</v>
      </c>
      <c r="Q593" s="2">
        <v>44.02</v>
      </c>
      <c r="R593" t="s">
        <v>75</v>
      </c>
      <c r="S593">
        <v>0</v>
      </c>
      <c r="T593">
        <v>0</v>
      </c>
      <c r="U593">
        <f>IF(AND(OR(Dashboard!$D$4="Semua",D593=Dashboard!$D$4),OR(Dashboard!$H$4="Semua",E593=Dashboard!$H$4)),1,0)</f>
        <v>1</v>
      </c>
      <c r="V593">
        <f>IF(U593=1,IF(COUNTIFS($C$2:C593,C593,$U$2:U593,1)=1,1,0),0)</f>
        <v>1</v>
      </c>
    </row>
    <row r="594" spans="1:22" x14ac:dyDescent="0.35">
      <c r="A594">
        <v>10593</v>
      </c>
      <c r="B594" s="1">
        <v>45154</v>
      </c>
      <c r="C594">
        <v>1268</v>
      </c>
      <c r="D594" t="s">
        <v>73</v>
      </c>
      <c r="E594" t="s">
        <v>74</v>
      </c>
      <c r="F594">
        <v>1</v>
      </c>
      <c r="G594" s="2">
        <v>361.71</v>
      </c>
      <c r="H594">
        <v>0.14000000000000001</v>
      </c>
      <c r="I594" t="s">
        <v>68</v>
      </c>
      <c r="J594">
        <v>4</v>
      </c>
      <c r="K594">
        <v>2.4</v>
      </c>
      <c r="L594" s="2">
        <v>311.07</v>
      </c>
      <c r="M594">
        <v>2023</v>
      </c>
      <c r="N594">
        <v>8</v>
      </c>
      <c r="O594" t="s">
        <v>99</v>
      </c>
      <c r="P594" s="2">
        <v>361.71</v>
      </c>
      <c r="Q594" s="2">
        <v>50.64</v>
      </c>
      <c r="R594" t="s">
        <v>79</v>
      </c>
      <c r="S594">
        <v>0</v>
      </c>
      <c r="T594">
        <v>0</v>
      </c>
      <c r="U594">
        <f>IF(AND(OR(Dashboard!$D$4="Semua",D594=Dashboard!$D$4),OR(Dashboard!$H$4="Semua",E594=Dashboard!$H$4)),1,0)</f>
        <v>1</v>
      </c>
      <c r="V594">
        <f>IF(U594=1,IF(COUNTIFS($C$2:C594,C594,$U$2:U594,1)=1,1,0),0)</f>
        <v>1</v>
      </c>
    </row>
    <row r="595" spans="1:22" x14ac:dyDescent="0.35">
      <c r="A595">
        <v>10594</v>
      </c>
      <c r="B595" s="1">
        <v>45155</v>
      </c>
      <c r="C595">
        <v>1369</v>
      </c>
      <c r="D595" t="s">
        <v>73</v>
      </c>
      <c r="E595" t="s">
        <v>74</v>
      </c>
      <c r="F595">
        <v>7</v>
      </c>
      <c r="G595" s="2">
        <v>304.55</v>
      </c>
      <c r="H595">
        <v>0.19</v>
      </c>
      <c r="I595" t="s">
        <v>68</v>
      </c>
      <c r="J595">
        <v>3</v>
      </c>
      <c r="K595">
        <v>1.1000000000000001</v>
      </c>
      <c r="L595" s="2">
        <v>1726.8</v>
      </c>
      <c r="M595">
        <v>2023</v>
      </c>
      <c r="N595">
        <v>8</v>
      </c>
      <c r="O595" t="s">
        <v>99</v>
      </c>
      <c r="P595" s="2">
        <v>2131.85</v>
      </c>
      <c r="Q595" s="2">
        <v>405.05</v>
      </c>
      <c r="R595" t="s">
        <v>76</v>
      </c>
      <c r="S595">
        <v>0</v>
      </c>
      <c r="T595">
        <v>0</v>
      </c>
      <c r="U595">
        <f>IF(AND(OR(Dashboard!$D$4="Semua",D595=Dashboard!$D$4),OR(Dashboard!$H$4="Semua",E595=Dashboard!$H$4)),1,0)</f>
        <v>1</v>
      </c>
      <c r="V595">
        <f>IF(U595=1,IF(COUNTIFS($C$2:C595,C595,$U$2:U595,1)=1,1,0),0)</f>
        <v>1</v>
      </c>
    </row>
    <row r="596" spans="1:22" x14ac:dyDescent="0.35">
      <c r="A596">
        <v>10595</v>
      </c>
      <c r="B596" s="1">
        <v>45156</v>
      </c>
      <c r="C596">
        <v>1635</v>
      </c>
      <c r="D596" t="s">
        <v>67</v>
      </c>
      <c r="E596" t="s">
        <v>63</v>
      </c>
      <c r="F596">
        <v>7</v>
      </c>
      <c r="G596" s="2">
        <v>568.26</v>
      </c>
      <c r="H596">
        <v>0.16</v>
      </c>
      <c r="I596" t="s">
        <v>68</v>
      </c>
      <c r="J596">
        <v>6</v>
      </c>
      <c r="K596">
        <v>1.5</v>
      </c>
      <c r="L596" s="2">
        <v>3341.37</v>
      </c>
      <c r="M596">
        <v>2023</v>
      </c>
      <c r="N596">
        <v>8</v>
      </c>
      <c r="O596" t="s">
        <v>99</v>
      </c>
      <c r="P596" s="2">
        <v>3977.82</v>
      </c>
      <c r="Q596" s="2">
        <v>636.45000000000005</v>
      </c>
      <c r="R596" t="s">
        <v>76</v>
      </c>
      <c r="S596">
        <v>0</v>
      </c>
      <c r="T596">
        <v>1</v>
      </c>
      <c r="U596">
        <f>IF(AND(OR(Dashboard!$D$4="Semua",D596=Dashboard!$D$4),OR(Dashboard!$H$4="Semua",E596=Dashboard!$H$4)),1,0)</f>
        <v>1</v>
      </c>
      <c r="V596">
        <f>IF(U596=1,IF(COUNTIFS($C$2:C596,C596,$U$2:U596,1)=1,1,0),0)</f>
        <v>1</v>
      </c>
    </row>
    <row r="597" spans="1:22" x14ac:dyDescent="0.35">
      <c r="A597">
        <v>10596</v>
      </c>
      <c r="B597" s="1">
        <v>45157</v>
      </c>
      <c r="C597">
        <v>1105</v>
      </c>
      <c r="D597" t="s">
        <v>73</v>
      </c>
      <c r="E597" t="s">
        <v>63</v>
      </c>
      <c r="F597">
        <v>4</v>
      </c>
      <c r="G597" s="2">
        <v>452.33</v>
      </c>
      <c r="H597">
        <v>0.32</v>
      </c>
      <c r="I597" t="s">
        <v>71</v>
      </c>
      <c r="J597">
        <v>4</v>
      </c>
      <c r="K597">
        <v>2.8</v>
      </c>
      <c r="L597" s="2">
        <v>1230.3399999999999</v>
      </c>
      <c r="M597">
        <v>2023</v>
      </c>
      <c r="N597">
        <v>8</v>
      </c>
      <c r="O597" t="s">
        <v>99</v>
      </c>
      <c r="P597" s="2">
        <v>1809.32</v>
      </c>
      <c r="Q597" s="2">
        <v>578.98</v>
      </c>
      <c r="R597" t="s">
        <v>72</v>
      </c>
      <c r="S597">
        <v>0</v>
      </c>
      <c r="T597">
        <v>0</v>
      </c>
      <c r="U597">
        <f>IF(AND(OR(Dashboard!$D$4="Semua",D597=Dashboard!$D$4),OR(Dashboard!$H$4="Semua",E597=Dashboard!$H$4)),1,0)</f>
        <v>1</v>
      </c>
      <c r="V597">
        <f>IF(U597=1,IF(COUNTIFS($C$2:C597,C597,$U$2:U597,1)=1,1,0),0)</f>
        <v>0</v>
      </c>
    </row>
    <row r="598" spans="1:22" x14ac:dyDescent="0.35">
      <c r="A598">
        <v>10597</v>
      </c>
      <c r="B598" s="1">
        <v>45158</v>
      </c>
      <c r="C598">
        <v>1669</v>
      </c>
      <c r="D598" t="s">
        <v>67</v>
      </c>
      <c r="E598" t="s">
        <v>63</v>
      </c>
      <c r="F598">
        <v>5</v>
      </c>
      <c r="G598" s="2">
        <v>442.37</v>
      </c>
      <c r="H598">
        <v>0.32</v>
      </c>
      <c r="I598" t="s">
        <v>68</v>
      </c>
      <c r="J598">
        <v>9</v>
      </c>
      <c r="K598">
        <v>4.5999999999999996</v>
      </c>
      <c r="L598" s="2">
        <v>1504.06</v>
      </c>
      <c r="M598">
        <v>2023</v>
      </c>
      <c r="N598">
        <v>8</v>
      </c>
      <c r="O598" t="s">
        <v>99</v>
      </c>
      <c r="P598" s="2">
        <v>2211.85</v>
      </c>
      <c r="Q598" s="2">
        <v>707.79</v>
      </c>
      <c r="R598" t="s">
        <v>72</v>
      </c>
      <c r="S598">
        <v>0</v>
      </c>
      <c r="T598">
        <v>0</v>
      </c>
      <c r="U598">
        <f>IF(AND(OR(Dashboard!$D$4="Semua",D598=Dashboard!$D$4),OR(Dashboard!$H$4="Semua",E598=Dashboard!$H$4)),1,0)</f>
        <v>1</v>
      </c>
      <c r="V598">
        <f>IF(U598=1,IF(COUNTIFS($C$2:C598,C598,$U$2:U598,1)=1,1,0),0)</f>
        <v>0</v>
      </c>
    </row>
    <row r="599" spans="1:22" x14ac:dyDescent="0.35">
      <c r="A599">
        <v>10598</v>
      </c>
      <c r="B599" s="1">
        <v>45159</v>
      </c>
      <c r="C599">
        <v>1658</v>
      </c>
      <c r="D599" t="s">
        <v>62</v>
      </c>
      <c r="E599" t="s">
        <v>74</v>
      </c>
      <c r="F599">
        <v>5</v>
      </c>
      <c r="G599" s="2">
        <v>42.12</v>
      </c>
      <c r="H599">
        <v>0.28999999999999998</v>
      </c>
      <c r="I599" t="s">
        <v>68</v>
      </c>
      <c r="J599">
        <v>9</v>
      </c>
      <c r="K599">
        <v>3</v>
      </c>
      <c r="L599" s="2">
        <v>149.53</v>
      </c>
      <c r="M599">
        <v>2023</v>
      </c>
      <c r="N599">
        <v>8</v>
      </c>
      <c r="O599" t="s">
        <v>99</v>
      </c>
      <c r="P599" s="2">
        <v>210.6</v>
      </c>
      <c r="Q599" s="2">
        <v>61.07</v>
      </c>
      <c r="R599" t="s">
        <v>66</v>
      </c>
      <c r="S599">
        <v>0</v>
      </c>
      <c r="T599">
        <v>0</v>
      </c>
      <c r="U599">
        <f>IF(AND(OR(Dashboard!$D$4="Semua",D599=Dashboard!$D$4),OR(Dashboard!$H$4="Semua",E599=Dashboard!$H$4)),1,0)</f>
        <v>1</v>
      </c>
      <c r="V599">
        <f>IF(U599=1,IF(COUNTIFS($C$2:C599,C599,$U$2:U599,1)=1,1,0),0)</f>
        <v>0</v>
      </c>
    </row>
    <row r="600" spans="1:22" x14ac:dyDescent="0.35">
      <c r="A600">
        <v>10599</v>
      </c>
      <c r="B600" s="1">
        <v>45160</v>
      </c>
      <c r="C600">
        <v>1656</v>
      </c>
      <c r="D600" t="s">
        <v>73</v>
      </c>
      <c r="E600" t="s">
        <v>70</v>
      </c>
      <c r="F600">
        <v>1</v>
      </c>
      <c r="G600" s="2">
        <v>336.56</v>
      </c>
      <c r="H600">
        <v>0.13</v>
      </c>
      <c r="I600" t="s">
        <v>71</v>
      </c>
      <c r="J600">
        <v>10</v>
      </c>
      <c r="K600">
        <v>2.8</v>
      </c>
      <c r="L600" s="2">
        <v>292.81</v>
      </c>
      <c r="M600">
        <v>2023</v>
      </c>
      <c r="N600">
        <v>8</v>
      </c>
      <c r="O600" t="s">
        <v>99</v>
      </c>
      <c r="P600" s="2">
        <v>336.56</v>
      </c>
      <c r="Q600" s="2">
        <v>43.75</v>
      </c>
      <c r="R600" t="s">
        <v>79</v>
      </c>
      <c r="S600">
        <v>0</v>
      </c>
      <c r="T600">
        <v>0</v>
      </c>
      <c r="U600">
        <f>IF(AND(OR(Dashboard!$D$4="Semua",D600=Dashboard!$D$4),OR(Dashboard!$H$4="Semua",E600=Dashboard!$H$4)),1,0)</f>
        <v>1</v>
      </c>
      <c r="V600">
        <f>IF(U600=1,IF(COUNTIFS($C$2:C600,C600,$U$2:U600,1)=1,1,0),0)</f>
        <v>1</v>
      </c>
    </row>
    <row r="601" spans="1:22" x14ac:dyDescent="0.35">
      <c r="A601">
        <v>10600</v>
      </c>
      <c r="B601" s="1">
        <v>45161</v>
      </c>
      <c r="C601">
        <v>1119</v>
      </c>
      <c r="D601" t="s">
        <v>80</v>
      </c>
      <c r="E601" t="s">
        <v>78</v>
      </c>
      <c r="F601">
        <v>4</v>
      </c>
      <c r="G601" s="2">
        <v>288.19</v>
      </c>
      <c r="H601">
        <v>0.25</v>
      </c>
      <c r="I601" t="s">
        <v>71</v>
      </c>
      <c r="J601">
        <v>9</v>
      </c>
      <c r="K601">
        <v>4.2</v>
      </c>
      <c r="L601" s="2">
        <v>864.57</v>
      </c>
      <c r="M601">
        <v>2023</v>
      </c>
      <c r="N601">
        <v>8</v>
      </c>
      <c r="O601" t="s">
        <v>99</v>
      </c>
      <c r="P601" s="2">
        <v>1152.76</v>
      </c>
      <c r="Q601" s="2">
        <v>288.19</v>
      </c>
      <c r="R601" t="s">
        <v>77</v>
      </c>
      <c r="S601">
        <v>0</v>
      </c>
      <c r="T601">
        <v>0</v>
      </c>
      <c r="U601">
        <f>IF(AND(OR(Dashboard!$D$4="Semua",D601=Dashboard!$D$4),OR(Dashboard!$H$4="Semua",E601=Dashboard!$H$4)),1,0)</f>
        <v>1</v>
      </c>
      <c r="V601">
        <f>IF(U601=1,IF(COUNTIFS($C$2:C601,C601,$U$2:U601,1)=1,1,0),0)</f>
        <v>0</v>
      </c>
    </row>
    <row r="602" spans="1:22" x14ac:dyDescent="0.35">
      <c r="A602">
        <v>10601</v>
      </c>
      <c r="B602" s="1">
        <v>45162</v>
      </c>
      <c r="C602">
        <v>1830</v>
      </c>
      <c r="D602" t="s">
        <v>67</v>
      </c>
      <c r="E602" t="s">
        <v>70</v>
      </c>
      <c r="F602">
        <v>4</v>
      </c>
      <c r="G602" s="2">
        <v>557.79</v>
      </c>
      <c r="H602">
        <v>0.14000000000000001</v>
      </c>
      <c r="I602" t="s">
        <v>68</v>
      </c>
      <c r="J602">
        <v>3</v>
      </c>
      <c r="K602">
        <v>2.1</v>
      </c>
      <c r="L602" s="2">
        <v>1918.8</v>
      </c>
      <c r="M602">
        <v>2023</v>
      </c>
      <c r="N602">
        <v>8</v>
      </c>
      <c r="O602" t="s">
        <v>99</v>
      </c>
      <c r="P602" s="2">
        <v>2231.16</v>
      </c>
      <c r="Q602" s="2">
        <v>312.36</v>
      </c>
      <c r="R602" t="s">
        <v>79</v>
      </c>
      <c r="S602">
        <v>0</v>
      </c>
      <c r="T602">
        <v>0</v>
      </c>
      <c r="U602">
        <f>IF(AND(OR(Dashboard!$D$4="Semua",D602=Dashboard!$D$4),OR(Dashboard!$H$4="Semua",E602=Dashboard!$H$4)),1,0)</f>
        <v>1</v>
      </c>
      <c r="V602">
        <f>IF(U602=1,IF(COUNTIFS($C$2:C602,C602,$U$2:U602,1)=1,1,0),0)</f>
        <v>1</v>
      </c>
    </row>
    <row r="603" spans="1:22" x14ac:dyDescent="0.35">
      <c r="A603">
        <v>10602</v>
      </c>
      <c r="B603" s="1">
        <v>45163</v>
      </c>
      <c r="C603">
        <v>1786</v>
      </c>
      <c r="D603" t="s">
        <v>80</v>
      </c>
      <c r="E603" t="s">
        <v>63</v>
      </c>
      <c r="F603">
        <v>4</v>
      </c>
      <c r="G603" s="2">
        <v>165.55</v>
      </c>
      <c r="H603">
        <v>0.08</v>
      </c>
      <c r="I603" t="s">
        <v>71</v>
      </c>
      <c r="J603">
        <v>3</v>
      </c>
      <c r="K603">
        <v>1.4</v>
      </c>
      <c r="L603" s="2">
        <v>609.22</v>
      </c>
      <c r="M603">
        <v>2023</v>
      </c>
      <c r="N603">
        <v>8</v>
      </c>
      <c r="O603" t="s">
        <v>99</v>
      </c>
      <c r="P603" s="2">
        <v>662.2</v>
      </c>
      <c r="Q603" s="2">
        <v>52.98</v>
      </c>
      <c r="R603" t="s">
        <v>69</v>
      </c>
      <c r="S603">
        <v>0</v>
      </c>
      <c r="T603">
        <v>0</v>
      </c>
      <c r="U603">
        <f>IF(AND(OR(Dashboard!$D$4="Semua",D603=Dashboard!$D$4),OR(Dashboard!$H$4="Semua",E603=Dashboard!$H$4)),1,0)</f>
        <v>1</v>
      </c>
      <c r="V603">
        <f>IF(U603=1,IF(COUNTIFS($C$2:C603,C603,$U$2:U603,1)=1,1,0),0)</f>
        <v>1</v>
      </c>
    </row>
    <row r="604" spans="1:22" x14ac:dyDescent="0.35">
      <c r="A604">
        <v>10603</v>
      </c>
      <c r="B604" s="1">
        <v>45164</v>
      </c>
      <c r="C604">
        <v>1603</v>
      </c>
      <c r="D604" t="s">
        <v>73</v>
      </c>
      <c r="E604" t="s">
        <v>74</v>
      </c>
      <c r="F604">
        <v>4</v>
      </c>
      <c r="G604" s="2">
        <v>172.85</v>
      </c>
      <c r="H604">
        <v>0.12</v>
      </c>
      <c r="I604" t="s">
        <v>64</v>
      </c>
      <c r="J604">
        <v>4</v>
      </c>
      <c r="K604">
        <v>1.8</v>
      </c>
      <c r="L604" s="2">
        <v>608.42999999999995</v>
      </c>
      <c r="M604">
        <v>2023</v>
      </c>
      <c r="N604">
        <v>8</v>
      </c>
      <c r="O604" t="s">
        <v>99</v>
      </c>
      <c r="P604" s="2">
        <v>691.4</v>
      </c>
      <c r="Q604" s="2">
        <v>82.97</v>
      </c>
      <c r="R604" t="s">
        <v>79</v>
      </c>
      <c r="S604">
        <v>0</v>
      </c>
      <c r="T604">
        <v>0</v>
      </c>
      <c r="U604">
        <f>IF(AND(OR(Dashboard!$D$4="Semua",D604=Dashboard!$D$4),OR(Dashboard!$H$4="Semua",E604=Dashboard!$H$4)),1,0)</f>
        <v>1</v>
      </c>
      <c r="V604">
        <f>IF(U604=1,IF(COUNTIFS($C$2:C604,C604,$U$2:U604,1)=1,1,0),0)</f>
        <v>1</v>
      </c>
    </row>
    <row r="605" spans="1:22" x14ac:dyDescent="0.35">
      <c r="A605">
        <v>10604</v>
      </c>
      <c r="B605" s="1">
        <v>45165</v>
      </c>
      <c r="C605">
        <v>1057</v>
      </c>
      <c r="D605" t="s">
        <v>73</v>
      </c>
      <c r="E605" t="s">
        <v>74</v>
      </c>
      <c r="F605">
        <v>5</v>
      </c>
      <c r="G605" s="2">
        <v>255.64</v>
      </c>
      <c r="H605">
        <v>0.02</v>
      </c>
      <c r="I605" t="s">
        <v>71</v>
      </c>
      <c r="J605">
        <v>9</v>
      </c>
      <c r="K605">
        <v>4.2</v>
      </c>
      <c r="L605" s="2">
        <v>1252.6400000000001</v>
      </c>
      <c r="M605">
        <v>2023</v>
      </c>
      <c r="N605">
        <v>8</v>
      </c>
      <c r="O605" t="s">
        <v>99</v>
      </c>
      <c r="P605" s="2">
        <v>1278.2</v>
      </c>
      <c r="Q605" s="2">
        <v>25.56</v>
      </c>
      <c r="R605" t="s">
        <v>75</v>
      </c>
      <c r="S605">
        <v>0</v>
      </c>
      <c r="T605">
        <v>0</v>
      </c>
      <c r="U605">
        <f>IF(AND(OR(Dashboard!$D$4="Semua",D605=Dashboard!$D$4),OR(Dashboard!$H$4="Semua",E605=Dashboard!$H$4)),1,0)</f>
        <v>1</v>
      </c>
      <c r="V605">
        <f>IF(U605=1,IF(COUNTIFS($C$2:C605,C605,$U$2:U605,1)=1,1,0),0)</f>
        <v>1</v>
      </c>
    </row>
    <row r="606" spans="1:22" x14ac:dyDescent="0.35">
      <c r="A606">
        <v>10605</v>
      </c>
      <c r="B606" s="1">
        <v>45166</v>
      </c>
      <c r="C606">
        <v>1950</v>
      </c>
      <c r="D606" t="s">
        <v>73</v>
      </c>
      <c r="E606" t="s">
        <v>70</v>
      </c>
      <c r="F606">
        <v>2</v>
      </c>
      <c r="G606" s="2">
        <v>157.37</v>
      </c>
      <c r="H606">
        <v>0.12</v>
      </c>
      <c r="I606" t="s">
        <v>64</v>
      </c>
      <c r="J606">
        <v>6</v>
      </c>
      <c r="K606">
        <v>3.7</v>
      </c>
      <c r="L606" s="2">
        <v>276.97000000000003</v>
      </c>
      <c r="M606">
        <v>2023</v>
      </c>
      <c r="N606">
        <v>8</v>
      </c>
      <c r="O606" t="s">
        <v>99</v>
      </c>
      <c r="P606" s="2">
        <v>314.74</v>
      </c>
      <c r="Q606" s="2">
        <v>37.770000000000003</v>
      </c>
      <c r="R606" t="s">
        <v>79</v>
      </c>
      <c r="S606">
        <v>0</v>
      </c>
      <c r="T606">
        <v>0</v>
      </c>
      <c r="U606">
        <f>IF(AND(OR(Dashboard!$D$4="Semua",D606=Dashboard!$D$4),OR(Dashboard!$H$4="Semua",E606=Dashboard!$H$4)),1,0)</f>
        <v>1</v>
      </c>
      <c r="V606">
        <f>IF(U606=1,IF(COUNTIFS($C$2:C606,C606,$U$2:U606,1)=1,1,0),0)</f>
        <v>1</v>
      </c>
    </row>
    <row r="607" spans="1:22" x14ac:dyDescent="0.35">
      <c r="A607">
        <v>10606</v>
      </c>
      <c r="B607" s="1">
        <v>45167</v>
      </c>
      <c r="C607">
        <v>1345</v>
      </c>
      <c r="D607" t="s">
        <v>73</v>
      </c>
      <c r="E607" t="s">
        <v>70</v>
      </c>
      <c r="F607">
        <v>4</v>
      </c>
      <c r="G607" s="2">
        <v>90.57</v>
      </c>
      <c r="H607">
        <v>0.16</v>
      </c>
      <c r="I607" t="s">
        <v>64</v>
      </c>
      <c r="J607">
        <v>9</v>
      </c>
      <c r="K607">
        <v>1.4</v>
      </c>
      <c r="L607" s="2">
        <v>304.32</v>
      </c>
      <c r="M607">
        <v>2023</v>
      </c>
      <c r="N607">
        <v>8</v>
      </c>
      <c r="O607" t="s">
        <v>99</v>
      </c>
      <c r="P607" s="2">
        <v>362.28</v>
      </c>
      <c r="Q607" s="2">
        <v>57.96</v>
      </c>
      <c r="R607" t="s">
        <v>76</v>
      </c>
      <c r="S607">
        <v>0</v>
      </c>
      <c r="T607">
        <v>0</v>
      </c>
      <c r="U607">
        <f>IF(AND(OR(Dashboard!$D$4="Semua",D607=Dashboard!$D$4),OR(Dashboard!$H$4="Semua",E607=Dashboard!$H$4)),1,0)</f>
        <v>1</v>
      </c>
      <c r="V607">
        <f>IF(U607=1,IF(COUNTIFS($C$2:C607,C607,$U$2:U607,1)=1,1,0),0)</f>
        <v>0</v>
      </c>
    </row>
    <row r="608" spans="1:22" x14ac:dyDescent="0.35">
      <c r="A608">
        <v>10607</v>
      </c>
      <c r="B608" s="1">
        <v>45168</v>
      </c>
      <c r="C608">
        <v>1740</v>
      </c>
      <c r="D608" t="s">
        <v>73</v>
      </c>
      <c r="E608" t="s">
        <v>78</v>
      </c>
      <c r="F608">
        <v>2</v>
      </c>
      <c r="G608" s="2">
        <v>516.59</v>
      </c>
      <c r="H608">
        <v>0.33</v>
      </c>
      <c r="I608" t="s">
        <v>68</v>
      </c>
      <c r="J608">
        <v>8</v>
      </c>
      <c r="K608">
        <v>3.7</v>
      </c>
      <c r="L608" s="2">
        <v>692.23</v>
      </c>
      <c r="M608">
        <v>2023</v>
      </c>
      <c r="N608">
        <v>8</v>
      </c>
      <c r="O608" t="s">
        <v>99</v>
      </c>
      <c r="P608" s="2">
        <v>1033.18</v>
      </c>
      <c r="Q608" s="2">
        <v>340.95</v>
      </c>
      <c r="R608" t="s">
        <v>72</v>
      </c>
      <c r="S608">
        <v>0</v>
      </c>
      <c r="T608">
        <v>0</v>
      </c>
      <c r="U608">
        <f>IF(AND(OR(Dashboard!$D$4="Semua",D608=Dashboard!$D$4),OR(Dashboard!$H$4="Semua",E608=Dashboard!$H$4)),1,0)</f>
        <v>1</v>
      </c>
      <c r="V608">
        <f>IF(U608=1,IF(COUNTIFS($C$2:C608,C608,$U$2:U608,1)=1,1,0),0)</f>
        <v>1</v>
      </c>
    </row>
    <row r="609" spans="1:22" x14ac:dyDescent="0.35">
      <c r="A609">
        <v>10608</v>
      </c>
      <c r="B609" s="1">
        <v>45169</v>
      </c>
      <c r="C609">
        <v>1473</v>
      </c>
      <c r="D609" t="s">
        <v>80</v>
      </c>
      <c r="E609" t="s">
        <v>74</v>
      </c>
      <c r="F609">
        <v>7</v>
      </c>
      <c r="G609" s="2">
        <v>341.59</v>
      </c>
      <c r="H609">
        <v>0.11</v>
      </c>
      <c r="I609" t="s">
        <v>68</v>
      </c>
      <c r="J609">
        <v>7</v>
      </c>
      <c r="K609">
        <v>4.7</v>
      </c>
      <c r="L609" s="2">
        <v>2128.11</v>
      </c>
      <c r="M609">
        <v>2023</v>
      </c>
      <c r="N609">
        <v>8</v>
      </c>
      <c r="O609" t="s">
        <v>99</v>
      </c>
      <c r="P609" s="2">
        <v>2391.13</v>
      </c>
      <c r="Q609" s="2">
        <v>263.02</v>
      </c>
      <c r="R609" t="s">
        <v>79</v>
      </c>
      <c r="S609">
        <v>0</v>
      </c>
      <c r="T609">
        <v>0</v>
      </c>
      <c r="U609">
        <f>IF(AND(OR(Dashboard!$D$4="Semua",D609=Dashboard!$D$4),OR(Dashboard!$H$4="Semua",E609=Dashboard!$H$4)),1,0)</f>
        <v>1</v>
      </c>
      <c r="V609">
        <f>IF(U609=1,IF(COUNTIFS($C$2:C609,C609,$U$2:U609,1)=1,1,0),0)</f>
        <v>1</v>
      </c>
    </row>
    <row r="610" spans="1:22" x14ac:dyDescent="0.35">
      <c r="A610">
        <v>10609</v>
      </c>
      <c r="B610" s="1">
        <v>45170</v>
      </c>
      <c r="C610">
        <v>1116</v>
      </c>
      <c r="D610" t="s">
        <v>62</v>
      </c>
      <c r="E610" t="s">
        <v>70</v>
      </c>
      <c r="F610">
        <v>7</v>
      </c>
      <c r="G610" s="2">
        <v>518.9</v>
      </c>
      <c r="H610">
        <v>0.32</v>
      </c>
      <c r="I610" t="s">
        <v>71</v>
      </c>
      <c r="J610">
        <v>5</v>
      </c>
      <c r="K610">
        <v>1.2</v>
      </c>
      <c r="L610" s="2">
        <v>2469.96</v>
      </c>
      <c r="M610">
        <v>2023</v>
      </c>
      <c r="N610">
        <v>9</v>
      </c>
      <c r="O610" t="s">
        <v>100</v>
      </c>
      <c r="P610" s="2">
        <v>3632.3</v>
      </c>
      <c r="Q610" s="2">
        <v>1162.3399999999999</v>
      </c>
      <c r="R610" t="s">
        <v>72</v>
      </c>
      <c r="S610">
        <v>0</v>
      </c>
      <c r="T610">
        <v>0</v>
      </c>
      <c r="U610">
        <f>IF(AND(OR(Dashboard!$D$4="Semua",D610=Dashboard!$D$4),OR(Dashboard!$H$4="Semua",E610=Dashboard!$H$4)),1,0)</f>
        <v>1</v>
      </c>
      <c r="V610">
        <f>IF(U610=1,IF(COUNTIFS($C$2:C610,C610,$U$2:U610,1)=1,1,0),0)</f>
        <v>1</v>
      </c>
    </row>
    <row r="611" spans="1:22" x14ac:dyDescent="0.35">
      <c r="A611">
        <v>10610</v>
      </c>
      <c r="B611" s="1">
        <v>45171</v>
      </c>
      <c r="C611">
        <v>1829</v>
      </c>
      <c r="D611" t="s">
        <v>80</v>
      </c>
      <c r="E611" t="s">
        <v>78</v>
      </c>
      <c r="F611">
        <v>4</v>
      </c>
      <c r="G611" s="2">
        <v>501.21</v>
      </c>
      <c r="H611">
        <v>0.08</v>
      </c>
      <c r="I611" t="s">
        <v>71</v>
      </c>
      <c r="J611">
        <v>9</v>
      </c>
      <c r="K611">
        <v>3.5</v>
      </c>
      <c r="L611" s="2">
        <v>1844.45</v>
      </c>
      <c r="M611">
        <v>2023</v>
      </c>
      <c r="N611">
        <v>9</v>
      </c>
      <c r="O611" t="s">
        <v>100</v>
      </c>
      <c r="P611" s="2">
        <v>2004.84</v>
      </c>
      <c r="Q611" s="2">
        <v>160.38999999999999</v>
      </c>
      <c r="R611" t="s">
        <v>69</v>
      </c>
      <c r="S611">
        <v>0</v>
      </c>
      <c r="T611">
        <v>0</v>
      </c>
      <c r="U611">
        <f>IF(AND(OR(Dashboard!$D$4="Semua",D611=Dashboard!$D$4),OR(Dashboard!$H$4="Semua",E611=Dashboard!$H$4)),1,0)</f>
        <v>1</v>
      </c>
      <c r="V611">
        <f>IF(U611=1,IF(COUNTIFS($C$2:C611,C611,$U$2:U611,1)=1,1,0),0)</f>
        <v>0</v>
      </c>
    </row>
    <row r="612" spans="1:22" x14ac:dyDescent="0.35">
      <c r="A612">
        <v>10611</v>
      </c>
      <c r="B612" s="1">
        <v>45172</v>
      </c>
      <c r="C612">
        <v>1790</v>
      </c>
      <c r="D612" t="s">
        <v>80</v>
      </c>
      <c r="E612" t="s">
        <v>63</v>
      </c>
      <c r="F612">
        <v>3</v>
      </c>
      <c r="G612" s="2">
        <v>179.99</v>
      </c>
      <c r="H612">
        <v>7.0000000000000007E-2</v>
      </c>
      <c r="I612" t="s">
        <v>68</v>
      </c>
      <c r="J612">
        <v>4</v>
      </c>
      <c r="K612">
        <v>2.5</v>
      </c>
      <c r="L612" s="2">
        <v>502.17</v>
      </c>
      <c r="M612">
        <v>2023</v>
      </c>
      <c r="N612">
        <v>9</v>
      </c>
      <c r="O612" t="s">
        <v>100</v>
      </c>
      <c r="P612" s="2">
        <v>539.97</v>
      </c>
      <c r="Q612" s="2">
        <v>37.799999999999997</v>
      </c>
      <c r="R612" t="s">
        <v>69</v>
      </c>
      <c r="S612">
        <v>0</v>
      </c>
      <c r="T612">
        <v>0</v>
      </c>
      <c r="U612">
        <f>IF(AND(OR(Dashboard!$D$4="Semua",D612=Dashboard!$D$4),OR(Dashboard!$H$4="Semua",E612=Dashboard!$H$4)),1,0)</f>
        <v>1</v>
      </c>
      <c r="V612">
        <f>IF(U612=1,IF(COUNTIFS($C$2:C612,C612,$U$2:U612,1)=1,1,0),0)</f>
        <v>1</v>
      </c>
    </row>
    <row r="613" spans="1:22" x14ac:dyDescent="0.35">
      <c r="A613">
        <v>10612</v>
      </c>
      <c r="B613" s="1">
        <v>45173</v>
      </c>
      <c r="C613">
        <v>1126</v>
      </c>
      <c r="D613" t="s">
        <v>73</v>
      </c>
      <c r="E613" t="s">
        <v>70</v>
      </c>
      <c r="F613">
        <v>6</v>
      </c>
      <c r="G613" s="2">
        <v>335.43</v>
      </c>
      <c r="H613">
        <v>0.18</v>
      </c>
      <c r="I613" t="s">
        <v>68</v>
      </c>
      <c r="J613">
        <v>4</v>
      </c>
      <c r="K613">
        <v>3</v>
      </c>
      <c r="L613" s="2">
        <v>1650.32</v>
      </c>
      <c r="M613">
        <v>2023</v>
      </c>
      <c r="N613">
        <v>9</v>
      </c>
      <c r="O613" t="s">
        <v>100</v>
      </c>
      <c r="P613" s="2">
        <v>2012.58</v>
      </c>
      <c r="Q613" s="2">
        <v>362.26</v>
      </c>
      <c r="R613" t="s">
        <v>76</v>
      </c>
      <c r="S613">
        <v>0</v>
      </c>
      <c r="T613">
        <v>0</v>
      </c>
      <c r="U613">
        <f>IF(AND(OR(Dashboard!$D$4="Semua",D613=Dashboard!$D$4),OR(Dashboard!$H$4="Semua",E613=Dashboard!$H$4)),1,0)</f>
        <v>1</v>
      </c>
      <c r="V613">
        <f>IF(U613=1,IF(COUNTIFS($C$2:C613,C613,$U$2:U613,1)=1,1,0),0)</f>
        <v>1</v>
      </c>
    </row>
    <row r="614" spans="1:22" x14ac:dyDescent="0.35">
      <c r="A614">
        <v>10613</v>
      </c>
      <c r="B614" s="1">
        <v>45174</v>
      </c>
      <c r="C614">
        <v>1392</v>
      </c>
      <c r="D614" t="s">
        <v>73</v>
      </c>
      <c r="E614" t="s">
        <v>63</v>
      </c>
      <c r="F614">
        <v>3</v>
      </c>
      <c r="G614" s="2">
        <v>63.68</v>
      </c>
      <c r="H614">
        <v>0.24</v>
      </c>
      <c r="I614" t="s">
        <v>71</v>
      </c>
      <c r="J614">
        <v>8</v>
      </c>
      <c r="K614">
        <v>3.1</v>
      </c>
      <c r="L614" s="2">
        <v>145.19</v>
      </c>
      <c r="M614">
        <v>2023</v>
      </c>
      <c r="N614">
        <v>9</v>
      </c>
      <c r="O614" t="s">
        <v>100</v>
      </c>
      <c r="P614" s="2">
        <v>191.04</v>
      </c>
      <c r="Q614" s="2">
        <v>45.85</v>
      </c>
      <c r="R614" t="s">
        <v>77</v>
      </c>
      <c r="S614">
        <v>0</v>
      </c>
      <c r="T614">
        <v>0</v>
      </c>
      <c r="U614">
        <f>IF(AND(OR(Dashboard!$D$4="Semua",D614=Dashboard!$D$4),OR(Dashboard!$H$4="Semua",E614=Dashboard!$H$4)),1,0)</f>
        <v>1</v>
      </c>
      <c r="V614">
        <f>IF(U614=1,IF(COUNTIFS($C$2:C614,C614,$U$2:U614,1)=1,1,0),0)</f>
        <v>0</v>
      </c>
    </row>
    <row r="615" spans="1:22" x14ac:dyDescent="0.35">
      <c r="A615">
        <v>10614</v>
      </c>
      <c r="B615" s="1">
        <v>45175</v>
      </c>
      <c r="C615">
        <v>1907</v>
      </c>
      <c r="D615" t="s">
        <v>73</v>
      </c>
      <c r="E615" t="s">
        <v>78</v>
      </c>
      <c r="F615">
        <v>7</v>
      </c>
      <c r="G615" s="2">
        <v>550.41999999999996</v>
      </c>
      <c r="H615">
        <v>0.02</v>
      </c>
      <c r="I615" t="s">
        <v>68</v>
      </c>
      <c r="J615">
        <v>4</v>
      </c>
      <c r="K615">
        <v>4.0999999999999996</v>
      </c>
      <c r="L615" s="2">
        <v>3775.88</v>
      </c>
      <c r="M615">
        <v>2023</v>
      </c>
      <c r="N615">
        <v>9</v>
      </c>
      <c r="O615" t="s">
        <v>100</v>
      </c>
      <c r="P615" s="2">
        <v>3852.94</v>
      </c>
      <c r="Q615" s="2">
        <v>77.06</v>
      </c>
      <c r="R615" t="s">
        <v>75</v>
      </c>
      <c r="S615">
        <v>0</v>
      </c>
      <c r="T615">
        <v>1</v>
      </c>
      <c r="U615">
        <f>IF(AND(OR(Dashboard!$D$4="Semua",D615=Dashboard!$D$4),OR(Dashboard!$H$4="Semua",E615=Dashboard!$H$4)),1,0)</f>
        <v>1</v>
      </c>
      <c r="V615">
        <f>IF(U615=1,IF(COUNTIFS($C$2:C615,C615,$U$2:U615,1)=1,1,0),0)</f>
        <v>1</v>
      </c>
    </row>
    <row r="616" spans="1:22" x14ac:dyDescent="0.35">
      <c r="A616">
        <v>10615</v>
      </c>
      <c r="B616" s="1">
        <v>45176</v>
      </c>
      <c r="C616">
        <v>1640</v>
      </c>
      <c r="D616" t="s">
        <v>73</v>
      </c>
      <c r="E616" t="s">
        <v>63</v>
      </c>
      <c r="F616">
        <v>6</v>
      </c>
      <c r="G616" s="2">
        <v>251.49</v>
      </c>
      <c r="H616">
        <v>0.08</v>
      </c>
      <c r="I616" t="s">
        <v>64</v>
      </c>
      <c r="J616">
        <v>7</v>
      </c>
      <c r="K616">
        <v>3.2</v>
      </c>
      <c r="L616" s="2">
        <v>1388.22</v>
      </c>
      <c r="M616">
        <v>2023</v>
      </c>
      <c r="N616">
        <v>9</v>
      </c>
      <c r="O616" t="s">
        <v>100</v>
      </c>
      <c r="P616" s="2">
        <v>1508.94</v>
      </c>
      <c r="Q616" s="2">
        <v>120.72</v>
      </c>
      <c r="R616" t="s">
        <v>69</v>
      </c>
      <c r="S616">
        <v>0</v>
      </c>
      <c r="T616">
        <v>0</v>
      </c>
      <c r="U616">
        <f>IF(AND(OR(Dashboard!$D$4="Semua",D616=Dashboard!$D$4),OR(Dashboard!$H$4="Semua",E616=Dashboard!$H$4)),1,0)</f>
        <v>1</v>
      </c>
      <c r="V616">
        <f>IF(U616=1,IF(COUNTIFS($C$2:C616,C616,$U$2:U616,1)=1,1,0),0)</f>
        <v>0</v>
      </c>
    </row>
    <row r="617" spans="1:22" x14ac:dyDescent="0.35">
      <c r="A617">
        <v>10616</v>
      </c>
      <c r="B617" s="1">
        <v>45177</v>
      </c>
      <c r="C617">
        <v>1057</v>
      </c>
      <c r="D617" t="s">
        <v>67</v>
      </c>
      <c r="E617" t="s">
        <v>74</v>
      </c>
      <c r="F617">
        <v>3</v>
      </c>
      <c r="G617" s="2">
        <v>245.3</v>
      </c>
      <c r="H617">
        <v>0.16</v>
      </c>
      <c r="I617" t="s">
        <v>68</v>
      </c>
      <c r="J617">
        <v>4</v>
      </c>
      <c r="K617">
        <v>3.4</v>
      </c>
      <c r="L617" s="2">
        <v>618.16</v>
      </c>
      <c r="M617">
        <v>2023</v>
      </c>
      <c r="N617">
        <v>9</v>
      </c>
      <c r="O617" t="s">
        <v>100</v>
      </c>
      <c r="P617" s="2">
        <v>735.9</v>
      </c>
      <c r="Q617" s="2">
        <v>117.74</v>
      </c>
      <c r="R617" t="s">
        <v>76</v>
      </c>
      <c r="S617">
        <v>0</v>
      </c>
      <c r="T617">
        <v>0</v>
      </c>
      <c r="U617">
        <f>IF(AND(OR(Dashboard!$D$4="Semua",D617=Dashboard!$D$4),OR(Dashboard!$H$4="Semua",E617=Dashboard!$H$4)),1,0)</f>
        <v>1</v>
      </c>
      <c r="V617">
        <f>IF(U617=1,IF(COUNTIFS($C$2:C617,C617,$U$2:U617,1)=1,1,0),0)</f>
        <v>0</v>
      </c>
    </row>
    <row r="618" spans="1:22" x14ac:dyDescent="0.35">
      <c r="A618">
        <v>10617</v>
      </c>
      <c r="B618" s="1">
        <v>45178</v>
      </c>
      <c r="C618">
        <v>1633</v>
      </c>
      <c r="D618" t="s">
        <v>67</v>
      </c>
      <c r="E618" t="s">
        <v>74</v>
      </c>
      <c r="F618">
        <v>4</v>
      </c>
      <c r="G618" s="2">
        <v>192.11</v>
      </c>
      <c r="H618">
        <v>0.12</v>
      </c>
      <c r="I618" t="s">
        <v>64</v>
      </c>
      <c r="J618">
        <v>11</v>
      </c>
      <c r="K618">
        <v>2.2999999999999998</v>
      </c>
      <c r="L618" s="2">
        <v>676.23</v>
      </c>
      <c r="M618">
        <v>2023</v>
      </c>
      <c r="N618">
        <v>9</v>
      </c>
      <c r="O618" t="s">
        <v>100</v>
      </c>
      <c r="P618" s="2">
        <v>768.44</v>
      </c>
      <c r="Q618" s="2">
        <v>92.21</v>
      </c>
      <c r="R618" t="s">
        <v>79</v>
      </c>
      <c r="S618">
        <v>0</v>
      </c>
      <c r="T618">
        <v>0</v>
      </c>
      <c r="U618">
        <f>IF(AND(OR(Dashboard!$D$4="Semua",D618=Dashboard!$D$4),OR(Dashboard!$H$4="Semua",E618=Dashboard!$H$4)),1,0)</f>
        <v>1</v>
      </c>
      <c r="V618">
        <f>IF(U618=1,IF(COUNTIFS($C$2:C618,C618,$U$2:U618,1)=1,1,0),0)</f>
        <v>1</v>
      </c>
    </row>
    <row r="619" spans="1:22" x14ac:dyDescent="0.35">
      <c r="A619">
        <v>10618</v>
      </c>
      <c r="B619" s="1">
        <v>45179</v>
      </c>
      <c r="C619">
        <v>1512</v>
      </c>
      <c r="D619" t="s">
        <v>67</v>
      </c>
      <c r="E619" t="s">
        <v>63</v>
      </c>
      <c r="F619">
        <v>2</v>
      </c>
      <c r="G619" s="2">
        <v>284.49</v>
      </c>
      <c r="H619">
        <v>0.25</v>
      </c>
      <c r="I619" t="s">
        <v>68</v>
      </c>
      <c r="J619">
        <v>1</v>
      </c>
      <c r="K619">
        <v>1.5</v>
      </c>
      <c r="L619" s="2">
        <v>426.74</v>
      </c>
      <c r="M619">
        <v>2023</v>
      </c>
      <c r="N619">
        <v>9</v>
      </c>
      <c r="O619" t="s">
        <v>100</v>
      </c>
      <c r="P619" s="2">
        <v>568.98</v>
      </c>
      <c r="Q619" s="2">
        <v>142.24</v>
      </c>
      <c r="R619" t="s">
        <v>77</v>
      </c>
      <c r="S619">
        <v>0</v>
      </c>
      <c r="T619">
        <v>0</v>
      </c>
      <c r="U619">
        <f>IF(AND(OR(Dashboard!$D$4="Semua",D619=Dashboard!$D$4),OR(Dashboard!$H$4="Semua",E619=Dashboard!$H$4)),1,0)</f>
        <v>1</v>
      </c>
      <c r="V619">
        <f>IF(U619=1,IF(COUNTIFS($C$2:C619,C619,$U$2:U619,1)=1,1,0),0)</f>
        <v>1</v>
      </c>
    </row>
    <row r="620" spans="1:22" x14ac:dyDescent="0.35">
      <c r="A620">
        <v>10619</v>
      </c>
      <c r="B620" s="1">
        <v>45180</v>
      </c>
      <c r="C620">
        <v>1750</v>
      </c>
      <c r="D620" t="s">
        <v>67</v>
      </c>
      <c r="E620" t="s">
        <v>74</v>
      </c>
      <c r="F620">
        <v>6</v>
      </c>
      <c r="G620" s="2">
        <v>162.28</v>
      </c>
      <c r="H620">
        <v>0.18</v>
      </c>
      <c r="I620" t="s">
        <v>68</v>
      </c>
      <c r="J620">
        <v>10</v>
      </c>
      <c r="K620">
        <v>3.7</v>
      </c>
      <c r="L620" s="2">
        <v>798.42</v>
      </c>
      <c r="M620">
        <v>2023</v>
      </c>
      <c r="N620">
        <v>9</v>
      </c>
      <c r="O620" t="s">
        <v>100</v>
      </c>
      <c r="P620" s="2">
        <v>973.68</v>
      </c>
      <c r="Q620" s="2">
        <v>175.26</v>
      </c>
      <c r="R620" t="s">
        <v>76</v>
      </c>
      <c r="S620">
        <v>0</v>
      </c>
      <c r="T620">
        <v>0</v>
      </c>
      <c r="U620">
        <f>IF(AND(OR(Dashboard!$D$4="Semua",D620=Dashboard!$D$4),OR(Dashboard!$H$4="Semua",E620=Dashboard!$H$4)),1,0)</f>
        <v>1</v>
      </c>
      <c r="V620">
        <f>IF(U620=1,IF(COUNTIFS($C$2:C620,C620,$U$2:U620,1)=1,1,0),0)</f>
        <v>1</v>
      </c>
    </row>
    <row r="621" spans="1:22" x14ac:dyDescent="0.35">
      <c r="A621">
        <v>10620</v>
      </c>
      <c r="B621" s="1">
        <v>45181</v>
      </c>
      <c r="C621">
        <v>1801</v>
      </c>
      <c r="D621" t="s">
        <v>80</v>
      </c>
      <c r="E621" t="s">
        <v>78</v>
      </c>
      <c r="F621">
        <v>5</v>
      </c>
      <c r="G621" s="2">
        <v>234.29</v>
      </c>
      <c r="H621">
        <v>0.06</v>
      </c>
      <c r="I621" t="s">
        <v>68</v>
      </c>
      <c r="J621">
        <v>9</v>
      </c>
      <c r="K621">
        <v>1</v>
      </c>
      <c r="L621" s="2">
        <v>1101.1600000000001</v>
      </c>
      <c r="M621">
        <v>2023</v>
      </c>
      <c r="N621">
        <v>9</v>
      </c>
      <c r="O621" t="s">
        <v>100</v>
      </c>
      <c r="P621" s="2">
        <v>1171.45</v>
      </c>
      <c r="Q621" s="2">
        <v>70.290000000000006</v>
      </c>
      <c r="R621" t="s">
        <v>69</v>
      </c>
      <c r="S621">
        <v>0</v>
      </c>
      <c r="T621">
        <v>0</v>
      </c>
      <c r="U621">
        <f>IF(AND(OR(Dashboard!$D$4="Semua",D621=Dashboard!$D$4),OR(Dashboard!$H$4="Semua",E621=Dashboard!$H$4)),1,0)</f>
        <v>1</v>
      </c>
      <c r="V621">
        <f>IF(U621=1,IF(COUNTIFS($C$2:C621,C621,$U$2:U621,1)=1,1,0),0)</f>
        <v>1</v>
      </c>
    </row>
    <row r="622" spans="1:22" x14ac:dyDescent="0.35">
      <c r="A622">
        <v>10621</v>
      </c>
      <c r="B622" s="1">
        <v>45182</v>
      </c>
      <c r="C622">
        <v>1095</v>
      </c>
      <c r="D622" t="s">
        <v>80</v>
      </c>
      <c r="E622" t="s">
        <v>74</v>
      </c>
      <c r="F622">
        <v>1</v>
      </c>
      <c r="G622" s="2">
        <v>482.97</v>
      </c>
      <c r="H622">
        <v>0.31</v>
      </c>
      <c r="I622" t="s">
        <v>64</v>
      </c>
      <c r="J622">
        <v>4</v>
      </c>
      <c r="K622">
        <v>2.2999999999999998</v>
      </c>
      <c r="L622" s="2">
        <v>333.25</v>
      </c>
      <c r="M622">
        <v>2023</v>
      </c>
      <c r="N622">
        <v>9</v>
      </c>
      <c r="O622" t="s">
        <v>100</v>
      </c>
      <c r="P622" s="2">
        <v>482.97</v>
      </c>
      <c r="Q622" s="2">
        <v>149.72</v>
      </c>
      <c r="R622" t="s">
        <v>72</v>
      </c>
      <c r="S622">
        <v>0</v>
      </c>
      <c r="T622">
        <v>0</v>
      </c>
      <c r="U622">
        <f>IF(AND(OR(Dashboard!$D$4="Semua",D622=Dashboard!$D$4),OR(Dashboard!$H$4="Semua",E622=Dashboard!$H$4)),1,0)</f>
        <v>1</v>
      </c>
      <c r="V622">
        <f>IF(U622=1,IF(COUNTIFS($C$2:C622,C622,$U$2:U622,1)=1,1,0),0)</f>
        <v>0</v>
      </c>
    </row>
    <row r="623" spans="1:22" x14ac:dyDescent="0.35">
      <c r="A623">
        <v>10622</v>
      </c>
      <c r="B623" s="1">
        <v>45183</v>
      </c>
      <c r="C623">
        <v>1637</v>
      </c>
      <c r="D623" t="s">
        <v>73</v>
      </c>
      <c r="E623" t="s">
        <v>63</v>
      </c>
      <c r="F623">
        <v>6</v>
      </c>
      <c r="G623" s="2">
        <v>503.04</v>
      </c>
      <c r="H623">
        <v>0.1</v>
      </c>
      <c r="I623" t="s">
        <v>68</v>
      </c>
      <c r="J623">
        <v>3</v>
      </c>
      <c r="K623">
        <v>1.9</v>
      </c>
      <c r="L623" s="2">
        <v>2716.42</v>
      </c>
      <c r="M623">
        <v>2023</v>
      </c>
      <c r="N623">
        <v>9</v>
      </c>
      <c r="O623" t="s">
        <v>100</v>
      </c>
      <c r="P623" s="2">
        <v>3018.24</v>
      </c>
      <c r="Q623" s="2">
        <v>301.82</v>
      </c>
      <c r="R623" t="s">
        <v>69</v>
      </c>
      <c r="S623">
        <v>0</v>
      </c>
      <c r="T623">
        <v>0</v>
      </c>
      <c r="U623">
        <f>IF(AND(OR(Dashboard!$D$4="Semua",D623=Dashboard!$D$4),OR(Dashboard!$H$4="Semua",E623=Dashboard!$H$4)),1,0)</f>
        <v>1</v>
      </c>
      <c r="V623">
        <f>IF(U623=1,IF(COUNTIFS($C$2:C623,C623,$U$2:U623,1)=1,1,0),0)</f>
        <v>0</v>
      </c>
    </row>
    <row r="624" spans="1:22" x14ac:dyDescent="0.35">
      <c r="A624">
        <v>10623</v>
      </c>
      <c r="B624" s="1">
        <v>45184</v>
      </c>
      <c r="C624">
        <v>1117</v>
      </c>
      <c r="D624" t="s">
        <v>62</v>
      </c>
      <c r="E624" t="s">
        <v>63</v>
      </c>
      <c r="F624">
        <v>6</v>
      </c>
      <c r="G624" s="2">
        <v>192.95</v>
      </c>
      <c r="H624">
        <v>0.26</v>
      </c>
      <c r="I624" t="s">
        <v>71</v>
      </c>
      <c r="J624">
        <v>3</v>
      </c>
      <c r="K624">
        <v>2.6</v>
      </c>
      <c r="L624" s="2">
        <v>856.7</v>
      </c>
      <c r="M624">
        <v>2023</v>
      </c>
      <c r="N624">
        <v>9</v>
      </c>
      <c r="O624" t="s">
        <v>100</v>
      </c>
      <c r="P624" s="2">
        <v>1157.7</v>
      </c>
      <c r="Q624" s="2">
        <v>301</v>
      </c>
      <c r="R624" t="s">
        <v>66</v>
      </c>
      <c r="S624">
        <v>0</v>
      </c>
      <c r="T624">
        <v>0</v>
      </c>
      <c r="U624">
        <f>IF(AND(OR(Dashboard!$D$4="Semua",D624=Dashboard!$D$4),OR(Dashboard!$H$4="Semua",E624=Dashboard!$H$4)),1,0)</f>
        <v>1</v>
      </c>
      <c r="V624">
        <f>IF(U624=1,IF(COUNTIFS($C$2:C624,C624,$U$2:U624,1)=1,1,0),0)</f>
        <v>1</v>
      </c>
    </row>
    <row r="625" spans="1:22" x14ac:dyDescent="0.35">
      <c r="A625">
        <v>10624</v>
      </c>
      <c r="B625" s="1">
        <v>45185</v>
      </c>
      <c r="C625">
        <v>1559</v>
      </c>
      <c r="D625" t="s">
        <v>62</v>
      </c>
      <c r="E625" t="s">
        <v>63</v>
      </c>
      <c r="F625">
        <v>5</v>
      </c>
      <c r="G625" s="2">
        <v>289.37</v>
      </c>
      <c r="H625">
        <v>0.27</v>
      </c>
      <c r="I625" t="s">
        <v>64</v>
      </c>
      <c r="J625">
        <v>9</v>
      </c>
      <c r="K625">
        <v>2.2000000000000002</v>
      </c>
      <c r="L625" s="2">
        <v>1056.2</v>
      </c>
      <c r="M625">
        <v>2023</v>
      </c>
      <c r="N625">
        <v>9</v>
      </c>
      <c r="O625" t="s">
        <v>100</v>
      </c>
      <c r="P625" s="2">
        <v>1446.85</v>
      </c>
      <c r="Q625" s="2">
        <v>390.65</v>
      </c>
      <c r="R625" t="s">
        <v>66</v>
      </c>
      <c r="S625">
        <v>0</v>
      </c>
      <c r="T625">
        <v>0</v>
      </c>
      <c r="U625">
        <f>IF(AND(OR(Dashboard!$D$4="Semua",D625=Dashboard!$D$4),OR(Dashboard!$H$4="Semua",E625=Dashboard!$H$4)),1,0)</f>
        <v>1</v>
      </c>
      <c r="V625">
        <f>IF(U625=1,IF(COUNTIFS($C$2:C625,C625,$U$2:U625,1)=1,1,0),0)</f>
        <v>1</v>
      </c>
    </row>
    <row r="626" spans="1:22" x14ac:dyDescent="0.35">
      <c r="A626">
        <v>10625</v>
      </c>
      <c r="B626" s="1">
        <v>45186</v>
      </c>
      <c r="C626">
        <v>1600</v>
      </c>
      <c r="D626" t="s">
        <v>73</v>
      </c>
      <c r="E626" t="s">
        <v>70</v>
      </c>
      <c r="F626">
        <v>4</v>
      </c>
      <c r="G626" s="2">
        <v>526.17999999999995</v>
      </c>
      <c r="H626">
        <v>0.34</v>
      </c>
      <c r="I626" t="s">
        <v>71</v>
      </c>
      <c r="J626">
        <v>8</v>
      </c>
      <c r="K626">
        <v>3.8</v>
      </c>
      <c r="L626" s="2">
        <v>1389.12</v>
      </c>
      <c r="M626">
        <v>2023</v>
      </c>
      <c r="N626">
        <v>9</v>
      </c>
      <c r="O626" t="s">
        <v>100</v>
      </c>
      <c r="P626" s="2">
        <v>2104.7199999999998</v>
      </c>
      <c r="Q626" s="2">
        <v>715.6</v>
      </c>
      <c r="R626" t="s">
        <v>72</v>
      </c>
      <c r="S626">
        <v>0</v>
      </c>
      <c r="T626">
        <v>0</v>
      </c>
      <c r="U626">
        <f>IF(AND(OR(Dashboard!$D$4="Semua",D626=Dashboard!$D$4),OR(Dashboard!$H$4="Semua",E626=Dashboard!$H$4)),1,0)</f>
        <v>1</v>
      </c>
      <c r="V626">
        <f>IF(U626=1,IF(COUNTIFS($C$2:C626,C626,$U$2:U626,1)=1,1,0),0)</f>
        <v>0</v>
      </c>
    </row>
    <row r="627" spans="1:22" x14ac:dyDescent="0.35">
      <c r="A627">
        <v>10626</v>
      </c>
      <c r="B627" s="1">
        <v>45187</v>
      </c>
      <c r="C627">
        <v>1487</v>
      </c>
      <c r="D627" t="s">
        <v>67</v>
      </c>
      <c r="E627" t="s">
        <v>63</v>
      </c>
      <c r="F627">
        <v>3</v>
      </c>
      <c r="G627" s="2">
        <v>45.81</v>
      </c>
      <c r="H627">
        <v>0.17</v>
      </c>
      <c r="I627" t="s">
        <v>68</v>
      </c>
      <c r="J627">
        <v>10</v>
      </c>
      <c r="K627">
        <v>2</v>
      </c>
      <c r="L627" s="2">
        <v>114.07</v>
      </c>
      <c r="M627">
        <v>2023</v>
      </c>
      <c r="N627">
        <v>9</v>
      </c>
      <c r="O627" t="s">
        <v>100</v>
      </c>
      <c r="P627" s="2">
        <v>137.43</v>
      </c>
      <c r="Q627" s="2">
        <v>23.36</v>
      </c>
      <c r="R627" t="s">
        <v>76</v>
      </c>
      <c r="S627">
        <v>0</v>
      </c>
      <c r="T627">
        <v>0</v>
      </c>
      <c r="U627">
        <f>IF(AND(OR(Dashboard!$D$4="Semua",D627=Dashboard!$D$4),OR(Dashboard!$H$4="Semua",E627=Dashboard!$H$4)),1,0)</f>
        <v>1</v>
      </c>
      <c r="V627">
        <f>IF(U627=1,IF(COUNTIFS($C$2:C627,C627,$U$2:U627,1)=1,1,0),0)</f>
        <v>1</v>
      </c>
    </row>
    <row r="628" spans="1:22" x14ac:dyDescent="0.35">
      <c r="A628">
        <v>10627</v>
      </c>
      <c r="B628" s="1">
        <v>45188</v>
      </c>
      <c r="C628">
        <v>1236</v>
      </c>
      <c r="D628" t="s">
        <v>67</v>
      </c>
      <c r="E628" t="s">
        <v>78</v>
      </c>
      <c r="F628">
        <v>3</v>
      </c>
      <c r="G628" s="2">
        <v>535.15</v>
      </c>
      <c r="H628">
        <v>0.22</v>
      </c>
      <c r="I628" t="s">
        <v>64</v>
      </c>
      <c r="J628">
        <v>7</v>
      </c>
      <c r="K628">
        <v>3.2</v>
      </c>
      <c r="L628" s="2">
        <v>1252.25</v>
      </c>
      <c r="M628">
        <v>2023</v>
      </c>
      <c r="N628">
        <v>9</v>
      </c>
      <c r="O628" t="s">
        <v>100</v>
      </c>
      <c r="P628" s="2">
        <v>1605.45</v>
      </c>
      <c r="Q628" s="2">
        <v>353.2</v>
      </c>
      <c r="R628" t="s">
        <v>77</v>
      </c>
      <c r="S628">
        <v>0</v>
      </c>
      <c r="T628">
        <v>0</v>
      </c>
      <c r="U628">
        <f>IF(AND(OR(Dashboard!$D$4="Semua",D628=Dashboard!$D$4),OR(Dashboard!$H$4="Semua",E628=Dashboard!$H$4)),1,0)</f>
        <v>1</v>
      </c>
      <c r="V628">
        <f>IF(U628=1,IF(COUNTIFS($C$2:C628,C628,$U$2:U628,1)=1,1,0),0)</f>
        <v>1</v>
      </c>
    </row>
    <row r="629" spans="1:22" x14ac:dyDescent="0.35">
      <c r="A629">
        <v>10628</v>
      </c>
      <c r="B629" s="1">
        <v>45189</v>
      </c>
      <c r="C629">
        <v>1884</v>
      </c>
      <c r="D629" t="s">
        <v>62</v>
      </c>
      <c r="E629" t="s">
        <v>74</v>
      </c>
      <c r="F629">
        <v>7</v>
      </c>
      <c r="G629" s="2">
        <v>143.22</v>
      </c>
      <c r="H629">
        <v>0.12</v>
      </c>
      <c r="I629" t="s">
        <v>64</v>
      </c>
      <c r="J629">
        <v>7</v>
      </c>
      <c r="K629">
        <v>2.8</v>
      </c>
      <c r="L629" s="2">
        <v>882.24</v>
      </c>
      <c r="M629">
        <v>2023</v>
      </c>
      <c r="N629">
        <v>9</v>
      </c>
      <c r="O629" t="s">
        <v>100</v>
      </c>
      <c r="P629" s="2">
        <v>1002.54</v>
      </c>
      <c r="Q629" s="2">
        <v>120.3</v>
      </c>
      <c r="R629" t="s">
        <v>79</v>
      </c>
      <c r="S629">
        <v>0</v>
      </c>
      <c r="T629">
        <v>0</v>
      </c>
      <c r="U629">
        <f>IF(AND(OR(Dashboard!$D$4="Semua",D629=Dashboard!$D$4),OR(Dashboard!$H$4="Semua",E629=Dashboard!$H$4)),1,0)</f>
        <v>1</v>
      </c>
      <c r="V629">
        <f>IF(U629=1,IF(COUNTIFS($C$2:C629,C629,$U$2:U629,1)=1,1,0),0)</f>
        <v>1</v>
      </c>
    </row>
    <row r="630" spans="1:22" x14ac:dyDescent="0.35">
      <c r="A630">
        <v>10629</v>
      </c>
      <c r="B630" s="1">
        <v>45190</v>
      </c>
      <c r="C630">
        <v>1896</v>
      </c>
      <c r="D630" t="s">
        <v>62</v>
      </c>
      <c r="E630" t="s">
        <v>74</v>
      </c>
      <c r="F630">
        <v>2</v>
      </c>
      <c r="G630" s="2">
        <v>411.95</v>
      </c>
      <c r="H630">
        <v>0.24</v>
      </c>
      <c r="I630" t="s">
        <v>68</v>
      </c>
      <c r="J630">
        <v>4</v>
      </c>
      <c r="K630">
        <v>4.2</v>
      </c>
      <c r="L630" s="2">
        <v>626.16</v>
      </c>
      <c r="M630">
        <v>2023</v>
      </c>
      <c r="N630">
        <v>9</v>
      </c>
      <c r="O630" t="s">
        <v>100</v>
      </c>
      <c r="P630" s="2">
        <v>823.9</v>
      </c>
      <c r="Q630" s="2">
        <v>197.74</v>
      </c>
      <c r="R630" t="s">
        <v>77</v>
      </c>
      <c r="S630">
        <v>0</v>
      </c>
      <c r="T630">
        <v>0</v>
      </c>
      <c r="U630">
        <f>IF(AND(OR(Dashboard!$D$4="Semua",D630=Dashboard!$D$4),OR(Dashboard!$H$4="Semua",E630=Dashboard!$H$4)),1,0)</f>
        <v>1</v>
      </c>
      <c r="V630">
        <f>IF(U630=1,IF(COUNTIFS($C$2:C630,C630,$U$2:U630,1)=1,1,0),0)</f>
        <v>0</v>
      </c>
    </row>
    <row r="631" spans="1:22" x14ac:dyDescent="0.35">
      <c r="A631">
        <v>10630</v>
      </c>
      <c r="B631" s="1">
        <v>45191</v>
      </c>
      <c r="C631">
        <v>1271</v>
      </c>
      <c r="D631" t="s">
        <v>73</v>
      </c>
      <c r="E631" t="s">
        <v>70</v>
      </c>
      <c r="F631">
        <v>4</v>
      </c>
      <c r="G631" s="2">
        <v>355.79</v>
      </c>
      <c r="H631">
        <v>0.16</v>
      </c>
      <c r="I631" t="s">
        <v>71</v>
      </c>
      <c r="J631">
        <v>3</v>
      </c>
      <c r="K631">
        <v>2.7</v>
      </c>
      <c r="L631" s="2">
        <v>1195.45</v>
      </c>
      <c r="M631">
        <v>2023</v>
      </c>
      <c r="N631">
        <v>9</v>
      </c>
      <c r="O631" t="s">
        <v>100</v>
      </c>
      <c r="P631" s="2">
        <v>1423.16</v>
      </c>
      <c r="Q631" s="2">
        <v>227.71</v>
      </c>
      <c r="R631" t="s">
        <v>76</v>
      </c>
      <c r="S631">
        <v>0</v>
      </c>
      <c r="T631">
        <v>0</v>
      </c>
      <c r="U631">
        <f>IF(AND(OR(Dashboard!$D$4="Semua",D631=Dashboard!$D$4),OR(Dashboard!$H$4="Semua",E631=Dashboard!$H$4)),1,0)</f>
        <v>1</v>
      </c>
      <c r="V631">
        <f>IF(U631=1,IF(COUNTIFS($C$2:C631,C631,$U$2:U631,1)=1,1,0),0)</f>
        <v>1</v>
      </c>
    </row>
    <row r="632" spans="1:22" x14ac:dyDescent="0.35">
      <c r="A632">
        <v>10631</v>
      </c>
      <c r="B632" s="1">
        <v>45192</v>
      </c>
      <c r="C632">
        <v>1188</v>
      </c>
      <c r="D632" t="s">
        <v>67</v>
      </c>
      <c r="E632" t="s">
        <v>70</v>
      </c>
      <c r="F632">
        <v>5</v>
      </c>
      <c r="G632" s="2">
        <v>338.47</v>
      </c>
      <c r="H632">
        <v>0.15</v>
      </c>
      <c r="I632" t="s">
        <v>64</v>
      </c>
      <c r="J632">
        <v>4</v>
      </c>
      <c r="K632">
        <v>4.5</v>
      </c>
      <c r="L632" s="2">
        <v>1438.5</v>
      </c>
      <c r="M632">
        <v>2023</v>
      </c>
      <c r="N632">
        <v>9</v>
      </c>
      <c r="O632" t="s">
        <v>100</v>
      </c>
      <c r="P632" s="2">
        <v>1692.35</v>
      </c>
      <c r="Q632" s="2">
        <v>253.85</v>
      </c>
      <c r="R632" t="s">
        <v>79</v>
      </c>
      <c r="S632">
        <v>0</v>
      </c>
      <c r="T632">
        <v>0</v>
      </c>
      <c r="U632">
        <f>IF(AND(OR(Dashboard!$D$4="Semua",D632=Dashboard!$D$4),OR(Dashboard!$H$4="Semua",E632=Dashboard!$H$4)),1,0)</f>
        <v>1</v>
      </c>
      <c r="V632">
        <f>IF(U632=1,IF(COUNTIFS($C$2:C632,C632,$U$2:U632,1)=1,1,0),0)</f>
        <v>1</v>
      </c>
    </row>
    <row r="633" spans="1:22" x14ac:dyDescent="0.35">
      <c r="A633">
        <v>10632</v>
      </c>
      <c r="B633" s="1">
        <v>45193</v>
      </c>
      <c r="C633">
        <v>1998</v>
      </c>
      <c r="D633" t="s">
        <v>67</v>
      </c>
      <c r="E633" t="s">
        <v>78</v>
      </c>
      <c r="F633">
        <v>4</v>
      </c>
      <c r="G633" s="2">
        <v>517.73</v>
      </c>
      <c r="H633">
        <v>0.3</v>
      </c>
      <c r="I633" t="s">
        <v>64</v>
      </c>
      <c r="J633">
        <v>6</v>
      </c>
      <c r="K633">
        <v>1</v>
      </c>
      <c r="L633" s="2">
        <v>1449.64</v>
      </c>
      <c r="M633">
        <v>2023</v>
      </c>
      <c r="N633">
        <v>9</v>
      </c>
      <c r="O633" t="s">
        <v>100</v>
      </c>
      <c r="P633" s="2">
        <v>2070.92</v>
      </c>
      <c r="Q633" s="2">
        <v>621.28</v>
      </c>
      <c r="R633" t="s">
        <v>66</v>
      </c>
      <c r="S633">
        <v>0</v>
      </c>
      <c r="T633">
        <v>0</v>
      </c>
      <c r="U633">
        <f>IF(AND(OR(Dashboard!$D$4="Semua",D633=Dashboard!$D$4),OR(Dashboard!$H$4="Semua",E633=Dashboard!$H$4)),1,0)</f>
        <v>1</v>
      </c>
      <c r="V633">
        <f>IF(U633=1,IF(COUNTIFS($C$2:C633,C633,$U$2:U633,1)=1,1,0),0)</f>
        <v>1</v>
      </c>
    </row>
    <row r="634" spans="1:22" x14ac:dyDescent="0.35">
      <c r="A634">
        <v>10633</v>
      </c>
      <c r="B634" s="1">
        <v>45194</v>
      </c>
      <c r="C634">
        <v>1703</v>
      </c>
      <c r="D634" t="s">
        <v>67</v>
      </c>
      <c r="E634" t="s">
        <v>63</v>
      </c>
      <c r="F634">
        <v>4</v>
      </c>
      <c r="G634" s="2">
        <v>74.42</v>
      </c>
      <c r="H634">
        <v>0.02</v>
      </c>
      <c r="I634" t="s">
        <v>68</v>
      </c>
      <c r="J634">
        <v>4</v>
      </c>
      <c r="K634">
        <v>3.4</v>
      </c>
      <c r="L634" s="2">
        <v>291.73</v>
      </c>
      <c r="M634">
        <v>2023</v>
      </c>
      <c r="N634">
        <v>9</v>
      </c>
      <c r="O634" t="s">
        <v>100</v>
      </c>
      <c r="P634" s="2">
        <v>297.68</v>
      </c>
      <c r="Q634" s="2">
        <v>5.95</v>
      </c>
      <c r="R634" t="s">
        <v>75</v>
      </c>
      <c r="S634">
        <v>0</v>
      </c>
      <c r="T634">
        <v>0</v>
      </c>
      <c r="U634">
        <f>IF(AND(OR(Dashboard!$D$4="Semua",D634=Dashboard!$D$4),OR(Dashboard!$H$4="Semua",E634=Dashboard!$H$4)),1,0)</f>
        <v>1</v>
      </c>
      <c r="V634">
        <f>IF(U634=1,IF(COUNTIFS($C$2:C634,C634,$U$2:U634,1)=1,1,0),0)</f>
        <v>1</v>
      </c>
    </row>
    <row r="635" spans="1:22" x14ac:dyDescent="0.35">
      <c r="A635">
        <v>10634</v>
      </c>
      <c r="B635" s="1">
        <v>45195</v>
      </c>
      <c r="C635">
        <v>1446</v>
      </c>
      <c r="D635" t="s">
        <v>73</v>
      </c>
      <c r="E635" t="s">
        <v>70</v>
      </c>
      <c r="F635">
        <v>3</v>
      </c>
      <c r="G635" s="2">
        <v>218.01</v>
      </c>
      <c r="H635">
        <v>0.31</v>
      </c>
      <c r="I635" t="s">
        <v>64</v>
      </c>
      <c r="J635">
        <v>4</v>
      </c>
      <c r="K635">
        <v>1</v>
      </c>
      <c r="L635" s="2">
        <v>451.28</v>
      </c>
      <c r="M635">
        <v>2023</v>
      </c>
      <c r="N635">
        <v>9</v>
      </c>
      <c r="O635" t="s">
        <v>100</v>
      </c>
      <c r="P635" s="2">
        <v>654.03</v>
      </c>
      <c r="Q635" s="2">
        <v>202.75</v>
      </c>
      <c r="R635" t="s">
        <v>72</v>
      </c>
      <c r="S635">
        <v>0</v>
      </c>
      <c r="T635">
        <v>0</v>
      </c>
      <c r="U635">
        <f>IF(AND(OR(Dashboard!$D$4="Semua",D635=Dashboard!$D$4),OR(Dashboard!$H$4="Semua",E635=Dashboard!$H$4)),1,0)</f>
        <v>1</v>
      </c>
      <c r="V635">
        <f>IF(U635=1,IF(COUNTIFS($C$2:C635,C635,$U$2:U635,1)=1,1,0),0)</f>
        <v>1</v>
      </c>
    </row>
    <row r="636" spans="1:22" x14ac:dyDescent="0.35">
      <c r="A636">
        <v>10635</v>
      </c>
      <c r="B636" s="1">
        <v>45196</v>
      </c>
      <c r="C636">
        <v>1580</v>
      </c>
      <c r="D636" t="s">
        <v>62</v>
      </c>
      <c r="E636" t="s">
        <v>74</v>
      </c>
      <c r="F636">
        <v>5</v>
      </c>
      <c r="G636" s="2">
        <v>329.88</v>
      </c>
      <c r="H636">
        <v>0.3</v>
      </c>
      <c r="I636" t="s">
        <v>68</v>
      </c>
      <c r="J636">
        <v>2</v>
      </c>
      <c r="K636">
        <v>3.9</v>
      </c>
      <c r="L636" s="2">
        <v>1154.58</v>
      </c>
      <c r="M636">
        <v>2023</v>
      </c>
      <c r="N636">
        <v>9</v>
      </c>
      <c r="O636" t="s">
        <v>100</v>
      </c>
      <c r="P636" s="2">
        <v>1649.4</v>
      </c>
      <c r="Q636" s="2">
        <v>494.82</v>
      </c>
      <c r="R636" t="s">
        <v>66</v>
      </c>
      <c r="S636">
        <v>0</v>
      </c>
      <c r="T636">
        <v>0</v>
      </c>
      <c r="U636">
        <f>IF(AND(OR(Dashboard!$D$4="Semua",D636=Dashboard!$D$4),OR(Dashboard!$H$4="Semua",E636=Dashboard!$H$4)),1,0)</f>
        <v>1</v>
      </c>
      <c r="V636">
        <f>IF(U636=1,IF(COUNTIFS($C$2:C636,C636,$U$2:U636,1)=1,1,0),0)</f>
        <v>1</v>
      </c>
    </row>
    <row r="637" spans="1:22" x14ac:dyDescent="0.35">
      <c r="A637">
        <v>10636</v>
      </c>
      <c r="B637" s="1">
        <v>45197</v>
      </c>
      <c r="C637">
        <v>1789</v>
      </c>
      <c r="D637" t="s">
        <v>80</v>
      </c>
      <c r="E637" t="s">
        <v>70</v>
      </c>
      <c r="F637">
        <v>1</v>
      </c>
      <c r="G637" s="2">
        <v>489.6</v>
      </c>
      <c r="H637">
        <v>0.18</v>
      </c>
      <c r="I637" t="s">
        <v>68</v>
      </c>
      <c r="J637">
        <v>7</v>
      </c>
      <c r="K637">
        <v>1.9</v>
      </c>
      <c r="L637" s="2">
        <v>401.47</v>
      </c>
      <c r="M637">
        <v>2023</v>
      </c>
      <c r="N637">
        <v>9</v>
      </c>
      <c r="O637" t="s">
        <v>100</v>
      </c>
      <c r="P637" s="2">
        <v>489.6</v>
      </c>
      <c r="Q637" s="2">
        <v>88.13</v>
      </c>
      <c r="R637" t="s">
        <v>76</v>
      </c>
      <c r="S637">
        <v>0</v>
      </c>
      <c r="T637">
        <v>0</v>
      </c>
      <c r="U637">
        <f>IF(AND(OR(Dashboard!$D$4="Semua",D637=Dashboard!$D$4),OR(Dashboard!$H$4="Semua",E637=Dashboard!$H$4)),1,0)</f>
        <v>1</v>
      </c>
      <c r="V637">
        <f>IF(U637=1,IF(COUNTIFS($C$2:C637,C637,$U$2:U637,1)=1,1,0),0)</f>
        <v>1</v>
      </c>
    </row>
    <row r="638" spans="1:22" x14ac:dyDescent="0.35">
      <c r="A638">
        <v>10637</v>
      </c>
      <c r="B638" s="1">
        <v>45198</v>
      </c>
      <c r="C638">
        <v>1860</v>
      </c>
      <c r="D638" t="s">
        <v>80</v>
      </c>
      <c r="E638" t="s">
        <v>70</v>
      </c>
      <c r="F638">
        <v>6</v>
      </c>
      <c r="G638" s="2">
        <v>141.62</v>
      </c>
      <c r="H638">
        <v>0.17</v>
      </c>
      <c r="I638" t="s">
        <v>68</v>
      </c>
      <c r="J638">
        <v>6</v>
      </c>
      <c r="K638">
        <v>2.5</v>
      </c>
      <c r="L638" s="2">
        <v>705.27</v>
      </c>
      <c r="M638">
        <v>2023</v>
      </c>
      <c r="N638">
        <v>9</v>
      </c>
      <c r="O638" t="s">
        <v>100</v>
      </c>
      <c r="P638" s="2">
        <v>849.72</v>
      </c>
      <c r="Q638" s="2">
        <v>144.44999999999999</v>
      </c>
      <c r="R638" t="s">
        <v>76</v>
      </c>
      <c r="S638">
        <v>0</v>
      </c>
      <c r="T638">
        <v>0</v>
      </c>
      <c r="U638">
        <f>IF(AND(OR(Dashboard!$D$4="Semua",D638=Dashboard!$D$4),OR(Dashboard!$H$4="Semua",E638=Dashboard!$H$4)),1,0)</f>
        <v>1</v>
      </c>
      <c r="V638">
        <f>IF(U638=1,IF(COUNTIFS($C$2:C638,C638,$U$2:U638,1)=1,1,0),0)</f>
        <v>0</v>
      </c>
    </row>
    <row r="639" spans="1:22" x14ac:dyDescent="0.35">
      <c r="A639">
        <v>10638</v>
      </c>
      <c r="B639" s="1">
        <v>45199</v>
      </c>
      <c r="C639">
        <v>1246</v>
      </c>
      <c r="D639" t="s">
        <v>62</v>
      </c>
      <c r="E639" t="s">
        <v>63</v>
      </c>
      <c r="F639">
        <v>3</v>
      </c>
      <c r="G639" s="2">
        <v>484.71</v>
      </c>
      <c r="H639">
        <v>0.13</v>
      </c>
      <c r="I639" t="s">
        <v>68</v>
      </c>
      <c r="J639">
        <v>2</v>
      </c>
      <c r="K639">
        <v>2.5</v>
      </c>
      <c r="L639" s="2">
        <v>1265.0899999999999</v>
      </c>
      <c r="M639">
        <v>2023</v>
      </c>
      <c r="N639">
        <v>9</v>
      </c>
      <c r="O639" t="s">
        <v>100</v>
      </c>
      <c r="P639" s="2">
        <v>1454.13</v>
      </c>
      <c r="Q639" s="2">
        <v>189.04</v>
      </c>
      <c r="R639" t="s">
        <v>79</v>
      </c>
      <c r="S639">
        <v>0</v>
      </c>
      <c r="T639">
        <v>0</v>
      </c>
      <c r="U639">
        <f>IF(AND(OR(Dashboard!$D$4="Semua",D639=Dashboard!$D$4),OR(Dashboard!$H$4="Semua",E639=Dashboard!$H$4)),1,0)</f>
        <v>1</v>
      </c>
      <c r="V639">
        <f>IF(U639=1,IF(COUNTIFS($C$2:C639,C639,$U$2:U639,1)=1,1,0),0)</f>
        <v>0</v>
      </c>
    </row>
    <row r="640" spans="1:22" x14ac:dyDescent="0.35">
      <c r="A640">
        <v>10639</v>
      </c>
      <c r="B640" s="1">
        <v>45200</v>
      </c>
      <c r="C640">
        <v>1962</v>
      </c>
      <c r="D640" t="s">
        <v>80</v>
      </c>
      <c r="E640" t="s">
        <v>70</v>
      </c>
      <c r="F640">
        <v>5</v>
      </c>
      <c r="G640" s="2">
        <v>248.79</v>
      </c>
      <c r="H640">
        <v>0.35</v>
      </c>
      <c r="I640" t="s">
        <v>71</v>
      </c>
      <c r="J640">
        <v>5</v>
      </c>
      <c r="K640">
        <v>4.4000000000000004</v>
      </c>
      <c r="L640" s="2">
        <v>808.57</v>
      </c>
      <c r="M640">
        <v>2023</v>
      </c>
      <c r="N640">
        <v>10</v>
      </c>
      <c r="O640" t="s">
        <v>101</v>
      </c>
      <c r="P640" s="2">
        <v>1243.95</v>
      </c>
      <c r="Q640" s="2">
        <v>435.38</v>
      </c>
      <c r="R640" t="s">
        <v>72</v>
      </c>
      <c r="S640">
        <v>0</v>
      </c>
      <c r="T640">
        <v>0</v>
      </c>
      <c r="U640">
        <f>IF(AND(OR(Dashboard!$D$4="Semua",D640=Dashboard!$D$4),OR(Dashboard!$H$4="Semua",E640=Dashboard!$H$4)),1,0)</f>
        <v>1</v>
      </c>
      <c r="V640">
        <f>IF(U640=1,IF(COUNTIFS($C$2:C640,C640,$U$2:U640,1)=1,1,0),0)</f>
        <v>0</v>
      </c>
    </row>
    <row r="641" spans="1:22" x14ac:dyDescent="0.35">
      <c r="A641">
        <v>10640</v>
      </c>
      <c r="B641" s="1">
        <v>45201</v>
      </c>
      <c r="C641">
        <v>1075</v>
      </c>
      <c r="D641" t="s">
        <v>67</v>
      </c>
      <c r="E641" t="s">
        <v>78</v>
      </c>
      <c r="F641">
        <v>2</v>
      </c>
      <c r="G641" s="2">
        <v>125.51</v>
      </c>
      <c r="H641">
        <v>0.04</v>
      </c>
      <c r="I641" t="s">
        <v>71</v>
      </c>
      <c r="J641">
        <v>6</v>
      </c>
      <c r="K641">
        <v>1.4</v>
      </c>
      <c r="L641" s="2">
        <v>240.98</v>
      </c>
      <c r="M641">
        <v>2023</v>
      </c>
      <c r="N641">
        <v>10</v>
      </c>
      <c r="O641" t="s">
        <v>101</v>
      </c>
      <c r="P641" s="2">
        <v>251.02</v>
      </c>
      <c r="Q641" s="2">
        <v>10.039999999999999</v>
      </c>
      <c r="R641" t="s">
        <v>75</v>
      </c>
      <c r="S641">
        <v>0</v>
      </c>
      <c r="T641">
        <v>0</v>
      </c>
      <c r="U641">
        <f>IF(AND(OR(Dashboard!$D$4="Semua",D641=Dashboard!$D$4),OR(Dashboard!$H$4="Semua",E641=Dashboard!$H$4)),1,0)</f>
        <v>1</v>
      </c>
      <c r="V641">
        <f>IF(U641=1,IF(COUNTIFS($C$2:C641,C641,$U$2:U641,1)=1,1,0),0)</f>
        <v>1</v>
      </c>
    </row>
    <row r="642" spans="1:22" x14ac:dyDescent="0.35">
      <c r="A642">
        <v>10641</v>
      </c>
      <c r="B642" s="1">
        <v>45202</v>
      </c>
      <c r="C642">
        <v>1153</v>
      </c>
      <c r="D642" t="s">
        <v>67</v>
      </c>
      <c r="E642" t="s">
        <v>74</v>
      </c>
      <c r="F642">
        <v>6</v>
      </c>
      <c r="G642" s="2">
        <v>459.01</v>
      </c>
      <c r="H642">
        <v>0.21</v>
      </c>
      <c r="I642" t="s">
        <v>68</v>
      </c>
      <c r="J642">
        <v>5</v>
      </c>
      <c r="K642">
        <v>3.7</v>
      </c>
      <c r="L642" s="2">
        <v>2175.71</v>
      </c>
      <c r="M642">
        <v>2023</v>
      </c>
      <c r="N642">
        <v>10</v>
      </c>
      <c r="O642" t="s">
        <v>101</v>
      </c>
      <c r="P642" s="2">
        <v>2754.06</v>
      </c>
      <c r="Q642" s="2">
        <v>578.35</v>
      </c>
      <c r="R642" t="s">
        <v>77</v>
      </c>
      <c r="S642">
        <v>0</v>
      </c>
      <c r="T642">
        <v>0</v>
      </c>
      <c r="U642">
        <f>IF(AND(OR(Dashboard!$D$4="Semua",D642=Dashboard!$D$4),OR(Dashboard!$H$4="Semua",E642=Dashboard!$H$4)),1,0)</f>
        <v>1</v>
      </c>
      <c r="V642">
        <f>IF(U642=1,IF(COUNTIFS($C$2:C642,C642,$U$2:U642,1)=1,1,0),0)</f>
        <v>1</v>
      </c>
    </row>
    <row r="643" spans="1:22" x14ac:dyDescent="0.35">
      <c r="A643">
        <v>10642</v>
      </c>
      <c r="B643" s="1">
        <v>45203</v>
      </c>
      <c r="C643">
        <v>1655</v>
      </c>
      <c r="D643" t="s">
        <v>73</v>
      </c>
      <c r="E643" t="s">
        <v>63</v>
      </c>
      <c r="F643">
        <v>6</v>
      </c>
      <c r="G643" s="2">
        <v>68.180000000000007</v>
      </c>
      <c r="H643">
        <v>0.24</v>
      </c>
      <c r="I643" t="s">
        <v>68</v>
      </c>
      <c r="J643">
        <v>4</v>
      </c>
      <c r="K643">
        <v>4.9000000000000004</v>
      </c>
      <c r="L643" s="2">
        <v>310.89999999999998</v>
      </c>
      <c r="M643">
        <v>2023</v>
      </c>
      <c r="N643">
        <v>10</v>
      </c>
      <c r="O643" t="s">
        <v>101</v>
      </c>
      <c r="P643" s="2">
        <v>409.08</v>
      </c>
      <c r="Q643" s="2">
        <v>98.18</v>
      </c>
      <c r="R643" t="s">
        <v>77</v>
      </c>
      <c r="S643">
        <v>0</v>
      </c>
      <c r="T643">
        <v>0</v>
      </c>
      <c r="U643">
        <f>IF(AND(OR(Dashboard!$D$4="Semua",D643=Dashboard!$D$4),OR(Dashboard!$H$4="Semua",E643=Dashboard!$H$4)),1,0)</f>
        <v>1</v>
      </c>
      <c r="V643">
        <f>IF(U643=1,IF(COUNTIFS($C$2:C643,C643,$U$2:U643,1)=1,1,0),0)</f>
        <v>0</v>
      </c>
    </row>
    <row r="644" spans="1:22" x14ac:dyDescent="0.35">
      <c r="A644">
        <v>10643</v>
      </c>
      <c r="B644" s="1">
        <v>45204</v>
      </c>
      <c r="C644">
        <v>1434</v>
      </c>
      <c r="D644" t="s">
        <v>80</v>
      </c>
      <c r="E644" t="s">
        <v>74</v>
      </c>
      <c r="F644">
        <v>3</v>
      </c>
      <c r="G644" s="2">
        <v>316.14</v>
      </c>
      <c r="H644">
        <v>0.33</v>
      </c>
      <c r="I644" t="s">
        <v>68</v>
      </c>
      <c r="J644">
        <v>11</v>
      </c>
      <c r="K644">
        <v>1.1000000000000001</v>
      </c>
      <c r="L644" s="2">
        <v>635.44000000000005</v>
      </c>
      <c r="M644">
        <v>2023</v>
      </c>
      <c r="N644">
        <v>10</v>
      </c>
      <c r="O644" t="s">
        <v>101</v>
      </c>
      <c r="P644" s="2">
        <v>948.42</v>
      </c>
      <c r="Q644" s="2">
        <v>312.98</v>
      </c>
      <c r="R644" t="s">
        <v>72</v>
      </c>
      <c r="S644">
        <v>0</v>
      </c>
      <c r="T644">
        <v>0</v>
      </c>
      <c r="U644">
        <f>IF(AND(OR(Dashboard!$D$4="Semua",D644=Dashboard!$D$4),OR(Dashboard!$H$4="Semua",E644=Dashboard!$H$4)),1,0)</f>
        <v>1</v>
      </c>
      <c r="V644">
        <f>IF(U644=1,IF(COUNTIFS($C$2:C644,C644,$U$2:U644,1)=1,1,0),0)</f>
        <v>1</v>
      </c>
    </row>
    <row r="645" spans="1:22" x14ac:dyDescent="0.35">
      <c r="A645">
        <v>10644</v>
      </c>
      <c r="B645" s="1">
        <v>45205</v>
      </c>
      <c r="C645">
        <v>1996</v>
      </c>
      <c r="D645" t="s">
        <v>73</v>
      </c>
      <c r="E645" t="s">
        <v>78</v>
      </c>
      <c r="F645">
        <v>7</v>
      </c>
      <c r="G645" s="2">
        <v>52.37</v>
      </c>
      <c r="H645">
        <v>0.27</v>
      </c>
      <c r="I645" t="s">
        <v>64</v>
      </c>
      <c r="J645">
        <v>11</v>
      </c>
      <c r="K645">
        <v>4.9000000000000004</v>
      </c>
      <c r="L645" s="2">
        <v>267.61</v>
      </c>
      <c r="M645">
        <v>2023</v>
      </c>
      <c r="N645">
        <v>10</v>
      </c>
      <c r="O645" t="s">
        <v>101</v>
      </c>
      <c r="P645" s="2">
        <v>366.59</v>
      </c>
      <c r="Q645" s="2">
        <v>98.98</v>
      </c>
      <c r="R645" t="s">
        <v>66</v>
      </c>
      <c r="S645">
        <v>0</v>
      </c>
      <c r="T645">
        <v>0</v>
      </c>
      <c r="U645">
        <f>IF(AND(OR(Dashboard!$D$4="Semua",D645=Dashboard!$D$4),OR(Dashboard!$H$4="Semua",E645=Dashboard!$H$4)),1,0)</f>
        <v>1</v>
      </c>
      <c r="V645">
        <f>IF(U645=1,IF(COUNTIFS($C$2:C645,C645,$U$2:U645,1)=1,1,0),0)</f>
        <v>0</v>
      </c>
    </row>
    <row r="646" spans="1:22" x14ac:dyDescent="0.35">
      <c r="A646">
        <v>10645</v>
      </c>
      <c r="B646" s="1">
        <v>45206</v>
      </c>
      <c r="C646">
        <v>1085</v>
      </c>
      <c r="D646" t="s">
        <v>80</v>
      </c>
      <c r="E646" t="s">
        <v>78</v>
      </c>
      <c r="F646">
        <v>2</v>
      </c>
      <c r="G646" s="2">
        <v>223.5</v>
      </c>
      <c r="H646">
        <v>0.23</v>
      </c>
      <c r="I646" t="s">
        <v>64</v>
      </c>
      <c r="J646">
        <v>9</v>
      </c>
      <c r="K646">
        <v>1.1000000000000001</v>
      </c>
      <c r="L646" s="2">
        <v>344.19</v>
      </c>
      <c r="M646">
        <v>2023</v>
      </c>
      <c r="N646">
        <v>10</v>
      </c>
      <c r="O646" t="s">
        <v>101</v>
      </c>
      <c r="P646" s="2">
        <v>447</v>
      </c>
      <c r="Q646" s="2">
        <v>102.81</v>
      </c>
      <c r="R646" t="s">
        <v>77</v>
      </c>
      <c r="S646">
        <v>0</v>
      </c>
      <c r="T646">
        <v>0</v>
      </c>
      <c r="U646">
        <f>IF(AND(OR(Dashboard!$D$4="Semua",D646=Dashboard!$D$4),OR(Dashboard!$H$4="Semua",E646=Dashboard!$H$4)),1,0)</f>
        <v>1</v>
      </c>
      <c r="V646">
        <f>IF(U646=1,IF(COUNTIFS($C$2:C646,C646,$U$2:U646,1)=1,1,0),0)</f>
        <v>0</v>
      </c>
    </row>
    <row r="647" spans="1:22" x14ac:dyDescent="0.35">
      <c r="A647">
        <v>10646</v>
      </c>
      <c r="B647" s="1">
        <v>45207</v>
      </c>
      <c r="C647">
        <v>1696</v>
      </c>
      <c r="D647" t="s">
        <v>73</v>
      </c>
      <c r="E647" t="s">
        <v>70</v>
      </c>
      <c r="F647">
        <v>3</v>
      </c>
      <c r="G647" s="2">
        <v>366.63</v>
      </c>
      <c r="H647">
        <v>0.04</v>
      </c>
      <c r="I647" t="s">
        <v>68</v>
      </c>
      <c r="J647">
        <v>3</v>
      </c>
      <c r="K647">
        <v>4.4000000000000004</v>
      </c>
      <c r="L647" s="2">
        <v>1055.8900000000001</v>
      </c>
      <c r="M647">
        <v>2023</v>
      </c>
      <c r="N647">
        <v>10</v>
      </c>
      <c r="O647" t="s">
        <v>101</v>
      </c>
      <c r="P647" s="2">
        <v>1099.8900000000001</v>
      </c>
      <c r="Q647" s="2">
        <v>44</v>
      </c>
      <c r="R647" t="s">
        <v>75</v>
      </c>
      <c r="S647">
        <v>0</v>
      </c>
      <c r="T647">
        <v>0</v>
      </c>
      <c r="U647">
        <f>IF(AND(OR(Dashboard!$D$4="Semua",D647=Dashboard!$D$4),OR(Dashboard!$H$4="Semua",E647=Dashboard!$H$4)),1,0)</f>
        <v>1</v>
      </c>
      <c r="V647">
        <f>IF(U647=1,IF(COUNTIFS($C$2:C647,C647,$U$2:U647,1)=1,1,0),0)</f>
        <v>1</v>
      </c>
    </row>
    <row r="648" spans="1:22" x14ac:dyDescent="0.35">
      <c r="A648">
        <v>10647</v>
      </c>
      <c r="B648" s="1">
        <v>45208</v>
      </c>
      <c r="C648">
        <v>1284</v>
      </c>
      <c r="D648" t="s">
        <v>73</v>
      </c>
      <c r="E648" t="s">
        <v>70</v>
      </c>
      <c r="F648">
        <v>4</v>
      </c>
      <c r="G648" s="2">
        <v>340.33</v>
      </c>
      <c r="H648">
        <v>0.13</v>
      </c>
      <c r="I648" t="s">
        <v>64</v>
      </c>
      <c r="J648">
        <v>11</v>
      </c>
      <c r="K648">
        <v>4.8</v>
      </c>
      <c r="L648" s="2">
        <v>1184.3499999999999</v>
      </c>
      <c r="M648">
        <v>2023</v>
      </c>
      <c r="N648">
        <v>10</v>
      </c>
      <c r="O648" t="s">
        <v>101</v>
      </c>
      <c r="P648" s="2">
        <v>1361.32</v>
      </c>
      <c r="Q648" s="2">
        <v>176.97</v>
      </c>
      <c r="R648" t="s">
        <v>79</v>
      </c>
      <c r="S648">
        <v>0</v>
      </c>
      <c r="T648">
        <v>0</v>
      </c>
      <c r="U648">
        <f>IF(AND(OR(Dashboard!$D$4="Semua",D648=Dashboard!$D$4),OR(Dashboard!$H$4="Semua",E648=Dashboard!$H$4)),1,0)</f>
        <v>1</v>
      </c>
      <c r="V648">
        <f>IF(U648=1,IF(COUNTIFS($C$2:C648,C648,$U$2:U648,1)=1,1,0),0)</f>
        <v>1</v>
      </c>
    </row>
    <row r="649" spans="1:22" x14ac:dyDescent="0.35">
      <c r="A649">
        <v>10648</v>
      </c>
      <c r="B649" s="1">
        <v>45209</v>
      </c>
      <c r="C649">
        <v>1973</v>
      </c>
      <c r="D649" t="s">
        <v>73</v>
      </c>
      <c r="E649" t="s">
        <v>70</v>
      </c>
      <c r="F649">
        <v>7</v>
      </c>
      <c r="G649" s="2">
        <v>251.72</v>
      </c>
      <c r="H649">
        <v>0.05</v>
      </c>
      <c r="I649" t="s">
        <v>68</v>
      </c>
      <c r="J649">
        <v>2</v>
      </c>
      <c r="K649">
        <v>5</v>
      </c>
      <c r="L649" s="2">
        <v>1673.94</v>
      </c>
      <c r="M649">
        <v>2023</v>
      </c>
      <c r="N649">
        <v>10</v>
      </c>
      <c r="O649" t="s">
        <v>101</v>
      </c>
      <c r="P649" s="2">
        <v>1762.04</v>
      </c>
      <c r="Q649" s="2">
        <v>88.1</v>
      </c>
      <c r="R649" t="s">
        <v>75</v>
      </c>
      <c r="S649">
        <v>0</v>
      </c>
      <c r="T649">
        <v>0</v>
      </c>
      <c r="U649">
        <f>IF(AND(OR(Dashboard!$D$4="Semua",D649=Dashboard!$D$4),OR(Dashboard!$H$4="Semua",E649=Dashboard!$H$4)),1,0)</f>
        <v>1</v>
      </c>
      <c r="V649">
        <f>IF(U649=1,IF(COUNTIFS($C$2:C649,C649,$U$2:U649,1)=1,1,0),0)</f>
        <v>1</v>
      </c>
    </row>
    <row r="650" spans="1:22" x14ac:dyDescent="0.35">
      <c r="A650">
        <v>10649</v>
      </c>
      <c r="B650" s="1">
        <v>45210</v>
      </c>
      <c r="C650">
        <v>1219</v>
      </c>
      <c r="D650" t="s">
        <v>73</v>
      </c>
      <c r="E650" t="s">
        <v>74</v>
      </c>
      <c r="F650">
        <v>5</v>
      </c>
      <c r="G650" s="2">
        <v>265.99</v>
      </c>
      <c r="H650">
        <v>0.31</v>
      </c>
      <c r="I650" t="s">
        <v>71</v>
      </c>
      <c r="J650">
        <v>9</v>
      </c>
      <c r="K650">
        <v>2.8</v>
      </c>
      <c r="L650" s="2">
        <v>917.67</v>
      </c>
      <c r="M650">
        <v>2023</v>
      </c>
      <c r="N650">
        <v>10</v>
      </c>
      <c r="O650" t="s">
        <v>101</v>
      </c>
      <c r="P650" s="2">
        <v>1329.95</v>
      </c>
      <c r="Q650" s="2">
        <v>412.28</v>
      </c>
      <c r="R650" t="s">
        <v>72</v>
      </c>
      <c r="S650">
        <v>0</v>
      </c>
      <c r="T650">
        <v>0</v>
      </c>
      <c r="U650">
        <f>IF(AND(OR(Dashboard!$D$4="Semua",D650=Dashboard!$D$4),OR(Dashboard!$H$4="Semua",E650=Dashboard!$H$4)),1,0)</f>
        <v>1</v>
      </c>
      <c r="V650">
        <f>IF(U650=1,IF(COUNTIFS($C$2:C650,C650,$U$2:U650,1)=1,1,0),0)</f>
        <v>0</v>
      </c>
    </row>
    <row r="651" spans="1:22" x14ac:dyDescent="0.35">
      <c r="A651">
        <v>10650</v>
      </c>
      <c r="B651" s="1">
        <v>45211</v>
      </c>
      <c r="C651">
        <v>1068</v>
      </c>
      <c r="D651" t="s">
        <v>80</v>
      </c>
      <c r="E651" t="s">
        <v>78</v>
      </c>
      <c r="F651">
        <v>2</v>
      </c>
      <c r="G651" s="2">
        <v>147.66</v>
      </c>
      <c r="H651">
        <v>0.26</v>
      </c>
      <c r="I651" t="s">
        <v>64</v>
      </c>
      <c r="J651">
        <v>8</v>
      </c>
      <c r="K651">
        <v>4.5</v>
      </c>
      <c r="L651" s="2">
        <v>218.54</v>
      </c>
      <c r="M651">
        <v>2023</v>
      </c>
      <c r="N651">
        <v>10</v>
      </c>
      <c r="O651" t="s">
        <v>101</v>
      </c>
      <c r="P651" s="2">
        <v>295.32</v>
      </c>
      <c r="Q651" s="2">
        <v>76.78</v>
      </c>
      <c r="R651" t="s">
        <v>66</v>
      </c>
      <c r="S651">
        <v>0</v>
      </c>
      <c r="T651">
        <v>0</v>
      </c>
      <c r="U651">
        <f>IF(AND(OR(Dashboard!$D$4="Semua",D651=Dashboard!$D$4),OR(Dashboard!$H$4="Semua",E651=Dashboard!$H$4)),1,0)</f>
        <v>1</v>
      </c>
      <c r="V651">
        <f>IF(U651=1,IF(COUNTIFS($C$2:C651,C651,$U$2:U651,1)=1,1,0),0)</f>
        <v>1</v>
      </c>
    </row>
    <row r="652" spans="1:22" x14ac:dyDescent="0.35">
      <c r="A652">
        <v>10651</v>
      </c>
      <c r="B652" s="1">
        <v>45212</v>
      </c>
      <c r="C652">
        <v>1046</v>
      </c>
      <c r="D652" t="s">
        <v>80</v>
      </c>
      <c r="E652" t="s">
        <v>63</v>
      </c>
      <c r="F652">
        <v>6</v>
      </c>
      <c r="G652" s="2">
        <v>281.69</v>
      </c>
      <c r="H652">
        <v>0.27</v>
      </c>
      <c r="I652" t="s">
        <v>68</v>
      </c>
      <c r="J652">
        <v>9</v>
      </c>
      <c r="K652">
        <v>1.5</v>
      </c>
      <c r="L652" s="2">
        <v>1233.8</v>
      </c>
      <c r="M652">
        <v>2023</v>
      </c>
      <c r="N652">
        <v>10</v>
      </c>
      <c r="O652" t="s">
        <v>101</v>
      </c>
      <c r="P652" s="2">
        <v>1690.14</v>
      </c>
      <c r="Q652" s="2">
        <v>456.34</v>
      </c>
      <c r="R652" t="s">
        <v>66</v>
      </c>
      <c r="S652">
        <v>0</v>
      </c>
      <c r="T652">
        <v>0</v>
      </c>
      <c r="U652">
        <f>IF(AND(OR(Dashboard!$D$4="Semua",D652=Dashboard!$D$4),OR(Dashboard!$H$4="Semua",E652=Dashboard!$H$4)),1,0)</f>
        <v>1</v>
      </c>
      <c r="V652">
        <f>IF(U652=1,IF(COUNTIFS($C$2:C652,C652,$U$2:U652,1)=1,1,0),0)</f>
        <v>0</v>
      </c>
    </row>
    <row r="653" spans="1:22" x14ac:dyDescent="0.35">
      <c r="A653">
        <v>10652</v>
      </c>
      <c r="B653" s="1">
        <v>45213</v>
      </c>
      <c r="C653">
        <v>1093</v>
      </c>
      <c r="D653" t="s">
        <v>67</v>
      </c>
      <c r="E653" t="s">
        <v>70</v>
      </c>
      <c r="F653">
        <v>3</v>
      </c>
      <c r="G653" s="2">
        <v>572.65</v>
      </c>
      <c r="H653">
        <v>0.23</v>
      </c>
      <c r="I653" t="s">
        <v>71</v>
      </c>
      <c r="J653">
        <v>10</v>
      </c>
      <c r="K653">
        <v>2.7</v>
      </c>
      <c r="L653" s="2">
        <v>1322.82</v>
      </c>
      <c r="M653">
        <v>2023</v>
      </c>
      <c r="N653">
        <v>10</v>
      </c>
      <c r="O653" t="s">
        <v>101</v>
      </c>
      <c r="P653" s="2">
        <v>1717.95</v>
      </c>
      <c r="Q653" s="2">
        <v>395.13</v>
      </c>
      <c r="R653" t="s">
        <v>77</v>
      </c>
      <c r="S653">
        <v>0</v>
      </c>
      <c r="T653">
        <v>0</v>
      </c>
      <c r="U653">
        <f>IF(AND(OR(Dashboard!$D$4="Semua",D653=Dashboard!$D$4),OR(Dashboard!$H$4="Semua",E653=Dashboard!$H$4)),1,0)</f>
        <v>1</v>
      </c>
      <c r="V653">
        <f>IF(U653=1,IF(COUNTIFS($C$2:C653,C653,$U$2:U653,1)=1,1,0),0)</f>
        <v>1</v>
      </c>
    </row>
    <row r="654" spans="1:22" x14ac:dyDescent="0.35">
      <c r="A654">
        <v>10653</v>
      </c>
      <c r="B654" s="1">
        <v>45214</v>
      </c>
      <c r="C654">
        <v>1749</v>
      </c>
      <c r="D654" t="s">
        <v>73</v>
      </c>
      <c r="E654" t="s">
        <v>74</v>
      </c>
      <c r="F654">
        <v>6</v>
      </c>
      <c r="G654" s="2">
        <v>512.51</v>
      </c>
      <c r="H654">
        <v>0.18</v>
      </c>
      <c r="I654" t="s">
        <v>68</v>
      </c>
      <c r="J654">
        <v>11</v>
      </c>
      <c r="K654">
        <v>2.2000000000000002</v>
      </c>
      <c r="L654" s="2">
        <v>2521.5500000000002</v>
      </c>
      <c r="M654">
        <v>2023</v>
      </c>
      <c r="N654">
        <v>10</v>
      </c>
      <c r="O654" t="s">
        <v>101</v>
      </c>
      <c r="P654" s="2">
        <v>3075.06</v>
      </c>
      <c r="Q654" s="2">
        <v>553.51</v>
      </c>
      <c r="R654" t="s">
        <v>76</v>
      </c>
      <c r="S654">
        <v>0</v>
      </c>
      <c r="T654">
        <v>0</v>
      </c>
      <c r="U654">
        <f>IF(AND(OR(Dashboard!$D$4="Semua",D654=Dashboard!$D$4),OR(Dashboard!$H$4="Semua",E654=Dashboard!$H$4)),1,0)</f>
        <v>1</v>
      </c>
      <c r="V654">
        <f>IF(U654=1,IF(COUNTIFS($C$2:C654,C654,$U$2:U654,1)=1,1,0),0)</f>
        <v>0</v>
      </c>
    </row>
    <row r="655" spans="1:22" x14ac:dyDescent="0.35">
      <c r="A655">
        <v>10654</v>
      </c>
      <c r="B655" s="1">
        <v>45215</v>
      </c>
      <c r="C655">
        <v>1957</v>
      </c>
      <c r="D655" t="s">
        <v>73</v>
      </c>
      <c r="E655" t="s">
        <v>70</v>
      </c>
      <c r="F655">
        <v>2</v>
      </c>
      <c r="G655" s="2">
        <v>99.96</v>
      </c>
      <c r="H655">
        <v>0.05</v>
      </c>
      <c r="I655" t="s">
        <v>68</v>
      </c>
      <c r="J655">
        <v>3</v>
      </c>
      <c r="K655">
        <v>2.6</v>
      </c>
      <c r="L655" s="2">
        <v>189.92</v>
      </c>
      <c r="M655">
        <v>2023</v>
      </c>
      <c r="N655">
        <v>10</v>
      </c>
      <c r="O655" t="s">
        <v>101</v>
      </c>
      <c r="P655" s="2">
        <v>199.92</v>
      </c>
      <c r="Q655" s="2">
        <v>10</v>
      </c>
      <c r="R655" t="s">
        <v>75</v>
      </c>
      <c r="S655">
        <v>0</v>
      </c>
      <c r="T655">
        <v>0</v>
      </c>
      <c r="U655">
        <f>IF(AND(OR(Dashboard!$D$4="Semua",D655=Dashboard!$D$4),OR(Dashboard!$H$4="Semua",E655=Dashboard!$H$4)),1,0)</f>
        <v>1</v>
      </c>
      <c r="V655">
        <f>IF(U655=1,IF(COUNTIFS($C$2:C655,C655,$U$2:U655,1)=1,1,0),0)</f>
        <v>0</v>
      </c>
    </row>
    <row r="656" spans="1:22" x14ac:dyDescent="0.35">
      <c r="A656">
        <v>10655</v>
      </c>
      <c r="B656" s="1">
        <v>45216</v>
      </c>
      <c r="C656">
        <v>1452</v>
      </c>
      <c r="D656" t="s">
        <v>73</v>
      </c>
      <c r="E656" t="s">
        <v>78</v>
      </c>
      <c r="F656">
        <v>6</v>
      </c>
      <c r="G656" s="2">
        <v>32.42</v>
      </c>
      <c r="H656">
        <v>0.12</v>
      </c>
      <c r="I656" t="s">
        <v>71</v>
      </c>
      <c r="J656">
        <v>1</v>
      </c>
      <c r="K656">
        <v>3.8</v>
      </c>
      <c r="L656" s="2">
        <v>171.18</v>
      </c>
      <c r="M656">
        <v>2023</v>
      </c>
      <c r="N656">
        <v>10</v>
      </c>
      <c r="O656" t="s">
        <v>101</v>
      </c>
      <c r="P656" s="2">
        <v>194.52</v>
      </c>
      <c r="Q656" s="2">
        <v>23.34</v>
      </c>
      <c r="R656" t="s">
        <v>79</v>
      </c>
      <c r="S656">
        <v>0</v>
      </c>
      <c r="T656">
        <v>0</v>
      </c>
      <c r="U656">
        <f>IF(AND(OR(Dashboard!$D$4="Semua",D656=Dashboard!$D$4),OR(Dashboard!$H$4="Semua",E656=Dashboard!$H$4)),1,0)</f>
        <v>1</v>
      </c>
      <c r="V656">
        <f>IF(U656=1,IF(COUNTIFS($C$2:C656,C656,$U$2:U656,1)=1,1,0),0)</f>
        <v>0</v>
      </c>
    </row>
    <row r="657" spans="1:22" x14ac:dyDescent="0.35">
      <c r="A657">
        <v>10656</v>
      </c>
      <c r="B657" s="1">
        <v>45217</v>
      </c>
      <c r="C657">
        <v>1203</v>
      </c>
      <c r="D657" t="s">
        <v>73</v>
      </c>
      <c r="E657" t="s">
        <v>63</v>
      </c>
      <c r="F657">
        <v>3</v>
      </c>
      <c r="G657" s="2">
        <v>561.11</v>
      </c>
      <c r="H657">
        <v>0.05</v>
      </c>
      <c r="I657" t="s">
        <v>64</v>
      </c>
      <c r="J657">
        <v>11</v>
      </c>
      <c r="K657">
        <v>1.3</v>
      </c>
      <c r="L657" s="2">
        <v>1599.16</v>
      </c>
      <c r="M657">
        <v>2023</v>
      </c>
      <c r="N657">
        <v>10</v>
      </c>
      <c r="O657" t="s">
        <v>101</v>
      </c>
      <c r="P657" s="2">
        <v>1683.33</v>
      </c>
      <c r="Q657" s="2">
        <v>84.17</v>
      </c>
      <c r="R657" t="s">
        <v>75</v>
      </c>
      <c r="S657">
        <v>0</v>
      </c>
      <c r="T657">
        <v>0</v>
      </c>
      <c r="U657">
        <f>IF(AND(OR(Dashboard!$D$4="Semua",D657=Dashboard!$D$4),OR(Dashboard!$H$4="Semua",E657=Dashboard!$H$4)),1,0)</f>
        <v>1</v>
      </c>
      <c r="V657">
        <f>IF(U657=1,IF(COUNTIFS($C$2:C657,C657,$U$2:U657,1)=1,1,0),0)</f>
        <v>1</v>
      </c>
    </row>
    <row r="658" spans="1:22" x14ac:dyDescent="0.35">
      <c r="A658">
        <v>10657</v>
      </c>
      <c r="B658" s="1">
        <v>45218</v>
      </c>
      <c r="C658">
        <v>1911</v>
      </c>
      <c r="D658" t="s">
        <v>62</v>
      </c>
      <c r="E658" t="s">
        <v>78</v>
      </c>
      <c r="F658">
        <v>7</v>
      </c>
      <c r="G658" s="2">
        <v>323.14999999999998</v>
      </c>
      <c r="H658">
        <v>0.25</v>
      </c>
      <c r="I658" t="s">
        <v>71</v>
      </c>
      <c r="J658">
        <v>1</v>
      </c>
      <c r="K658">
        <v>5</v>
      </c>
      <c r="L658" s="2">
        <v>1696.54</v>
      </c>
      <c r="M658">
        <v>2023</v>
      </c>
      <c r="N658">
        <v>10</v>
      </c>
      <c r="O658" t="s">
        <v>101</v>
      </c>
      <c r="P658" s="2">
        <v>2262.0500000000002</v>
      </c>
      <c r="Q658" s="2">
        <v>565.51</v>
      </c>
      <c r="R658" t="s">
        <v>77</v>
      </c>
      <c r="S658">
        <v>0</v>
      </c>
      <c r="T658">
        <v>0</v>
      </c>
      <c r="U658">
        <f>IF(AND(OR(Dashboard!$D$4="Semua",D658=Dashboard!$D$4),OR(Dashboard!$H$4="Semua",E658=Dashboard!$H$4)),1,0)</f>
        <v>1</v>
      </c>
      <c r="V658">
        <f>IF(U658=1,IF(COUNTIFS($C$2:C658,C658,$U$2:U658,1)=1,1,0),0)</f>
        <v>1</v>
      </c>
    </row>
    <row r="659" spans="1:22" x14ac:dyDescent="0.35">
      <c r="A659">
        <v>10658</v>
      </c>
      <c r="B659" s="1">
        <v>45219</v>
      </c>
      <c r="C659">
        <v>1217</v>
      </c>
      <c r="D659" t="s">
        <v>73</v>
      </c>
      <c r="E659" t="s">
        <v>74</v>
      </c>
      <c r="F659">
        <v>3</v>
      </c>
      <c r="G659" s="2">
        <v>329.64</v>
      </c>
      <c r="H659">
        <v>0.06</v>
      </c>
      <c r="I659" t="s">
        <v>64</v>
      </c>
      <c r="J659">
        <v>3</v>
      </c>
      <c r="K659">
        <v>3.5</v>
      </c>
      <c r="L659" s="2">
        <v>929.58</v>
      </c>
      <c r="M659">
        <v>2023</v>
      </c>
      <c r="N659">
        <v>10</v>
      </c>
      <c r="O659" t="s">
        <v>101</v>
      </c>
      <c r="P659" s="2">
        <v>988.92</v>
      </c>
      <c r="Q659" s="2">
        <v>59.34</v>
      </c>
      <c r="R659" t="s">
        <v>69</v>
      </c>
      <c r="S659">
        <v>0</v>
      </c>
      <c r="T659">
        <v>0</v>
      </c>
      <c r="U659">
        <f>IF(AND(OR(Dashboard!$D$4="Semua",D659=Dashboard!$D$4),OR(Dashboard!$H$4="Semua",E659=Dashboard!$H$4)),1,0)</f>
        <v>1</v>
      </c>
      <c r="V659">
        <f>IF(U659=1,IF(COUNTIFS($C$2:C659,C659,$U$2:U659,1)=1,1,0),0)</f>
        <v>0</v>
      </c>
    </row>
    <row r="660" spans="1:22" x14ac:dyDescent="0.35">
      <c r="A660">
        <v>10659</v>
      </c>
      <c r="B660" s="1">
        <v>45220</v>
      </c>
      <c r="C660">
        <v>1473</v>
      </c>
      <c r="D660" t="s">
        <v>67</v>
      </c>
      <c r="E660" t="s">
        <v>70</v>
      </c>
      <c r="F660">
        <v>1</v>
      </c>
      <c r="G660" s="2">
        <v>471.72</v>
      </c>
      <c r="H660">
        <v>0.25</v>
      </c>
      <c r="I660" t="s">
        <v>64</v>
      </c>
      <c r="J660">
        <v>4</v>
      </c>
      <c r="K660">
        <v>4.5</v>
      </c>
      <c r="L660" s="2">
        <v>353.79</v>
      </c>
      <c r="M660">
        <v>2023</v>
      </c>
      <c r="N660">
        <v>10</v>
      </c>
      <c r="O660" t="s">
        <v>101</v>
      </c>
      <c r="P660" s="2">
        <v>471.72</v>
      </c>
      <c r="Q660" s="2">
        <v>117.93</v>
      </c>
      <c r="R660" t="s">
        <v>77</v>
      </c>
      <c r="S660">
        <v>0</v>
      </c>
      <c r="T660">
        <v>0</v>
      </c>
      <c r="U660">
        <f>IF(AND(OR(Dashboard!$D$4="Semua",D660=Dashboard!$D$4),OR(Dashboard!$H$4="Semua",E660=Dashboard!$H$4)),1,0)</f>
        <v>1</v>
      </c>
      <c r="V660">
        <f>IF(U660=1,IF(COUNTIFS($C$2:C660,C660,$U$2:U660,1)=1,1,0),0)</f>
        <v>0</v>
      </c>
    </row>
    <row r="661" spans="1:22" x14ac:dyDescent="0.35">
      <c r="A661">
        <v>10660</v>
      </c>
      <c r="B661" s="1">
        <v>45221</v>
      </c>
      <c r="C661">
        <v>1431</v>
      </c>
      <c r="D661" t="s">
        <v>73</v>
      </c>
      <c r="E661" t="s">
        <v>78</v>
      </c>
      <c r="F661">
        <v>6</v>
      </c>
      <c r="G661" s="2">
        <v>199.09</v>
      </c>
      <c r="H661">
        <v>0.24</v>
      </c>
      <c r="I661" t="s">
        <v>68</v>
      </c>
      <c r="J661">
        <v>2</v>
      </c>
      <c r="K661">
        <v>4.3</v>
      </c>
      <c r="L661" s="2">
        <v>907.85</v>
      </c>
      <c r="M661">
        <v>2023</v>
      </c>
      <c r="N661">
        <v>10</v>
      </c>
      <c r="O661" t="s">
        <v>101</v>
      </c>
      <c r="P661" s="2">
        <v>1194.54</v>
      </c>
      <c r="Q661" s="2">
        <v>286.69</v>
      </c>
      <c r="R661" t="s">
        <v>77</v>
      </c>
      <c r="S661">
        <v>0</v>
      </c>
      <c r="T661">
        <v>0</v>
      </c>
      <c r="U661">
        <f>IF(AND(OR(Dashboard!$D$4="Semua",D661=Dashboard!$D$4),OR(Dashboard!$H$4="Semua",E661=Dashboard!$H$4)),1,0)</f>
        <v>1</v>
      </c>
      <c r="V661">
        <f>IF(U661=1,IF(COUNTIFS($C$2:C661,C661,$U$2:U661,1)=1,1,0),0)</f>
        <v>1</v>
      </c>
    </row>
    <row r="662" spans="1:22" x14ac:dyDescent="0.35">
      <c r="A662">
        <v>10661</v>
      </c>
      <c r="B662" s="1">
        <v>45222</v>
      </c>
      <c r="C662">
        <v>1340</v>
      </c>
      <c r="D662" t="s">
        <v>73</v>
      </c>
      <c r="E662" t="s">
        <v>74</v>
      </c>
      <c r="F662">
        <v>1</v>
      </c>
      <c r="G662" s="2">
        <v>296.92</v>
      </c>
      <c r="H662">
        <v>0.16</v>
      </c>
      <c r="I662" t="s">
        <v>68</v>
      </c>
      <c r="J662">
        <v>8</v>
      </c>
      <c r="K662">
        <v>4.0999999999999996</v>
      </c>
      <c r="L662" s="2">
        <v>249.41</v>
      </c>
      <c r="M662">
        <v>2023</v>
      </c>
      <c r="N662">
        <v>10</v>
      </c>
      <c r="O662" t="s">
        <v>101</v>
      </c>
      <c r="P662" s="2">
        <v>296.92</v>
      </c>
      <c r="Q662" s="2">
        <v>47.51</v>
      </c>
      <c r="R662" t="s">
        <v>76</v>
      </c>
      <c r="S662">
        <v>0</v>
      </c>
      <c r="T662">
        <v>0</v>
      </c>
      <c r="U662">
        <f>IF(AND(OR(Dashboard!$D$4="Semua",D662=Dashboard!$D$4),OR(Dashboard!$H$4="Semua",E662=Dashboard!$H$4)),1,0)</f>
        <v>1</v>
      </c>
      <c r="V662">
        <f>IF(U662=1,IF(COUNTIFS($C$2:C662,C662,$U$2:U662,1)=1,1,0),0)</f>
        <v>1</v>
      </c>
    </row>
    <row r="663" spans="1:22" x14ac:dyDescent="0.35">
      <c r="A663">
        <v>10662</v>
      </c>
      <c r="B663" s="1">
        <v>45223</v>
      </c>
      <c r="C663">
        <v>1550</v>
      </c>
      <c r="D663" t="s">
        <v>67</v>
      </c>
      <c r="E663" t="s">
        <v>70</v>
      </c>
      <c r="F663">
        <v>7</v>
      </c>
      <c r="G663" s="2">
        <v>581.66999999999996</v>
      </c>
      <c r="H663">
        <v>0.05</v>
      </c>
      <c r="I663" t="s">
        <v>71</v>
      </c>
      <c r="J663">
        <v>3</v>
      </c>
      <c r="K663">
        <v>1.2</v>
      </c>
      <c r="L663" s="2">
        <v>3868.11</v>
      </c>
      <c r="M663">
        <v>2023</v>
      </c>
      <c r="N663">
        <v>10</v>
      </c>
      <c r="O663" t="s">
        <v>101</v>
      </c>
      <c r="P663" s="2">
        <v>4071.69</v>
      </c>
      <c r="Q663" s="2">
        <v>203.58</v>
      </c>
      <c r="R663" t="s">
        <v>75</v>
      </c>
      <c r="S663">
        <v>0</v>
      </c>
      <c r="T663">
        <v>1</v>
      </c>
      <c r="U663">
        <f>IF(AND(OR(Dashboard!$D$4="Semua",D663=Dashboard!$D$4),OR(Dashboard!$H$4="Semua",E663=Dashboard!$H$4)),1,0)</f>
        <v>1</v>
      </c>
      <c r="V663">
        <f>IF(U663=1,IF(COUNTIFS($C$2:C663,C663,$U$2:U663,1)=1,1,0),0)</f>
        <v>0</v>
      </c>
    </row>
    <row r="664" spans="1:22" x14ac:dyDescent="0.35">
      <c r="A664">
        <v>10663</v>
      </c>
      <c r="B664" s="1">
        <v>45224</v>
      </c>
      <c r="C664">
        <v>1611</v>
      </c>
      <c r="D664" t="s">
        <v>67</v>
      </c>
      <c r="E664" t="s">
        <v>63</v>
      </c>
      <c r="F664">
        <v>1</v>
      </c>
      <c r="G664" s="2">
        <v>408.21</v>
      </c>
      <c r="H664">
        <v>0.11</v>
      </c>
      <c r="I664" t="s">
        <v>71</v>
      </c>
      <c r="J664">
        <v>4</v>
      </c>
      <c r="K664">
        <v>3.1</v>
      </c>
      <c r="L664" s="2">
        <v>363.31</v>
      </c>
      <c r="M664">
        <v>2023</v>
      </c>
      <c r="N664">
        <v>10</v>
      </c>
      <c r="O664" t="s">
        <v>101</v>
      </c>
      <c r="P664" s="2">
        <v>408.21</v>
      </c>
      <c r="Q664" s="2">
        <v>44.9</v>
      </c>
      <c r="R664" t="s">
        <v>79</v>
      </c>
      <c r="S664">
        <v>0</v>
      </c>
      <c r="T664">
        <v>0</v>
      </c>
      <c r="U664">
        <f>IF(AND(OR(Dashboard!$D$4="Semua",D664=Dashboard!$D$4),OR(Dashboard!$H$4="Semua",E664=Dashboard!$H$4)),1,0)</f>
        <v>1</v>
      </c>
      <c r="V664">
        <f>IF(U664=1,IF(COUNTIFS($C$2:C664,C664,$U$2:U664,1)=1,1,0),0)</f>
        <v>1</v>
      </c>
    </row>
    <row r="665" spans="1:22" x14ac:dyDescent="0.35">
      <c r="A665">
        <v>10664</v>
      </c>
      <c r="B665" s="1">
        <v>45225</v>
      </c>
      <c r="C665">
        <v>1288</v>
      </c>
      <c r="D665" t="s">
        <v>73</v>
      </c>
      <c r="E665" t="s">
        <v>78</v>
      </c>
      <c r="F665">
        <v>6</v>
      </c>
      <c r="G665" s="2">
        <v>104.94</v>
      </c>
      <c r="H665">
        <v>0.11</v>
      </c>
      <c r="I665" t="s">
        <v>68</v>
      </c>
      <c r="J665">
        <v>6</v>
      </c>
      <c r="K665">
        <v>2.2999999999999998</v>
      </c>
      <c r="L665" s="2">
        <v>560.38</v>
      </c>
      <c r="M665">
        <v>2023</v>
      </c>
      <c r="N665">
        <v>10</v>
      </c>
      <c r="O665" t="s">
        <v>101</v>
      </c>
      <c r="P665" s="2">
        <v>629.64</v>
      </c>
      <c r="Q665" s="2">
        <v>69.260000000000005</v>
      </c>
      <c r="R665" t="s">
        <v>79</v>
      </c>
      <c r="S665">
        <v>0</v>
      </c>
      <c r="T665">
        <v>0</v>
      </c>
      <c r="U665">
        <f>IF(AND(OR(Dashboard!$D$4="Semua",D665=Dashboard!$D$4),OR(Dashboard!$H$4="Semua",E665=Dashboard!$H$4)),1,0)</f>
        <v>1</v>
      </c>
      <c r="V665">
        <f>IF(U665=1,IF(COUNTIFS($C$2:C665,C665,$U$2:U665,1)=1,1,0),0)</f>
        <v>0</v>
      </c>
    </row>
    <row r="666" spans="1:22" x14ac:dyDescent="0.35">
      <c r="A666">
        <v>10665</v>
      </c>
      <c r="B666" s="1">
        <v>45226</v>
      </c>
      <c r="C666">
        <v>1253</v>
      </c>
      <c r="D666" t="s">
        <v>73</v>
      </c>
      <c r="E666" t="s">
        <v>70</v>
      </c>
      <c r="F666">
        <v>2</v>
      </c>
      <c r="G666" s="2">
        <v>92.94</v>
      </c>
      <c r="H666">
        <v>0.25</v>
      </c>
      <c r="I666" t="s">
        <v>64</v>
      </c>
      <c r="J666">
        <v>10</v>
      </c>
      <c r="K666">
        <v>1.5</v>
      </c>
      <c r="L666" s="2">
        <v>139.41</v>
      </c>
      <c r="M666">
        <v>2023</v>
      </c>
      <c r="N666">
        <v>10</v>
      </c>
      <c r="O666" t="s">
        <v>101</v>
      </c>
      <c r="P666" s="2">
        <v>185.88</v>
      </c>
      <c r="Q666" s="2">
        <v>46.47</v>
      </c>
      <c r="R666" t="s">
        <v>77</v>
      </c>
      <c r="S666">
        <v>0</v>
      </c>
      <c r="T666">
        <v>0</v>
      </c>
      <c r="U666">
        <f>IF(AND(OR(Dashboard!$D$4="Semua",D666=Dashboard!$D$4),OR(Dashboard!$H$4="Semua",E666=Dashboard!$H$4)),1,0)</f>
        <v>1</v>
      </c>
      <c r="V666">
        <f>IF(U666=1,IF(COUNTIFS($C$2:C666,C666,$U$2:U666,1)=1,1,0),0)</f>
        <v>0</v>
      </c>
    </row>
    <row r="667" spans="1:22" x14ac:dyDescent="0.35">
      <c r="A667">
        <v>10666</v>
      </c>
      <c r="B667" s="1">
        <v>45227</v>
      </c>
      <c r="C667">
        <v>1733</v>
      </c>
      <c r="D667" t="s">
        <v>67</v>
      </c>
      <c r="E667" t="s">
        <v>70</v>
      </c>
      <c r="F667">
        <v>4</v>
      </c>
      <c r="G667" s="2">
        <v>134.49</v>
      </c>
      <c r="H667">
        <v>0.04</v>
      </c>
      <c r="I667" t="s">
        <v>71</v>
      </c>
      <c r="J667">
        <v>6</v>
      </c>
      <c r="K667">
        <v>2.4</v>
      </c>
      <c r="L667" s="2">
        <v>516.44000000000005</v>
      </c>
      <c r="M667">
        <v>2023</v>
      </c>
      <c r="N667">
        <v>10</v>
      </c>
      <c r="O667" t="s">
        <v>101</v>
      </c>
      <c r="P667" s="2">
        <v>537.96</v>
      </c>
      <c r="Q667" s="2">
        <v>21.52</v>
      </c>
      <c r="R667" t="s">
        <v>75</v>
      </c>
      <c r="S667">
        <v>0</v>
      </c>
      <c r="T667">
        <v>0</v>
      </c>
      <c r="U667">
        <f>IF(AND(OR(Dashboard!$D$4="Semua",D667=Dashboard!$D$4),OR(Dashboard!$H$4="Semua",E667=Dashboard!$H$4)),1,0)</f>
        <v>1</v>
      </c>
      <c r="V667">
        <f>IF(U667=1,IF(COUNTIFS($C$2:C667,C667,$U$2:U667,1)=1,1,0),0)</f>
        <v>0</v>
      </c>
    </row>
    <row r="668" spans="1:22" x14ac:dyDescent="0.35">
      <c r="A668">
        <v>10667</v>
      </c>
      <c r="B668" s="1">
        <v>45228</v>
      </c>
      <c r="C668">
        <v>1356</v>
      </c>
      <c r="D668" t="s">
        <v>73</v>
      </c>
      <c r="E668" t="s">
        <v>70</v>
      </c>
      <c r="F668">
        <v>7</v>
      </c>
      <c r="G668" s="2">
        <v>463.53</v>
      </c>
      <c r="H668">
        <v>0.28999999999999998</v>
      </c>
      <c r="I668" t="s">
        <v>68</v>
      </c>
      <c r="J668">
        <v>2</v>
      </c>
      <c r="K668">
        <v>3.6</v>
      </c>
      <c r="L668" s="2">
        <v>2303.7399999999998</v>
      </c>
      <c r="M668">
        <v>2023</v>
      </c>
      <c r="N668">
        <v>10</v>
      </c>
      <c r="O668" t="s">
        <v>101</v>
      </c>
      <c r="P668" s="2">
        <v>3244.71</v>
      </c>
      <c r="Q668" s="2">
        <v>940.97</v>
      </c>
      <c r="R668" t="s">
        <v>66</v>
      </c>
      <c r="S668">
        <v>0</v>
      </c>
      <c r="T668">
        <v>0</v>
      </c>
      <c r="U668">
        <f>IF(AND(OR(Dashboard!$D$4="Semua",D668=Dashboard!$D$4),OR(Dashboard!$H$4="Semua",E668=Dashboard!$H$4)),1,0)</f>
        <v>1</v>
      </c>
      <c r="V668">
        <f>IF(U668=1,IF(COUNTIFS($C$2:C668,C668,$U$2:U668,1)=1,1,0),0)</f>
        <v>1</v>
      </c>
    </row>
    <row r="669" spans="1:22" x14ac:dyDescent="0.35">
      <c r="A669">
        <v>10668</v>
      </c>
      <c r="B669" s="1">
        <v>45229</v>
      </c>
      <c r="C669">
        <v>1022</v>
      </c>
      <c r="D669" t="s">
        <v>73</v>
      </c>
      <c r="E669" t="s">
        <v>70</v>
      </c>
      <c r="F669">
        <v>3</v>
      </c>
      <c r="G669" s="2">
        <v>187.8</v>
      </c>
      <c r="H669">
        <v>0.27</v>
      </c>
      <c r="I669" t="s">
        <v>71</v>
      </c>
      <c r="J669">
        <v>6</v>
      </c>
      <c r="K669">
        <v>1.9</v>
      </c>
      <c r="L669" s="2">
        <v>411.28</v>
      </c>
      <c r="M669">
        <v>2023</v>
      </c>
      <c r="N669">
        <v>10</v>
      </c>
      <c r="O669" t="s">
        <v>101</v>
      </c>
      <c r="P669" s="2">
        <v>563.4</v>
      </c>
      <c r="Q669" s="2">
        <v>152.12</v>
      </c>
      <c r="R669" t="s">
        <v>66</v>
      </c>
      <c r="S669">
        <v>0</v>
      </c>
      <c r="T669">
        <v>0</v>
      </c>
      <c r="U669">
        <f>IF(AND(OR(Dashboard!$D$4="Semua",D669=Dashboard!$D$4),OR(Dashboard!$H$4="Semua",E669=Dashboard!$H$4)),1,0)</f>
        <v>1</v>
      </c>
      <c r="V669">
        <f>IF(U669=1,IF(COUNTIFS($C$2:C669,C669,$U$2:U669,1)=1,1,0),0)</f>
        <v>1</v>
      </c>
    </row>
    <row r="670" spans="1:22" x14ac:dyDescent="0.35">
      <c r="A670">
        <v>10669</v>
      </c>
      <c r="B670" s="1">
        <v>45230</v>
      </c>
      <c r="C670">
        <v>1761</v>
      </c>
      <c r="D670" t="s">
        <v>62</v>
      </c>
      <c r="E670" t="s">
        <v>78</v>
      </c>
      <c r="F670">
        <v>5</v>
      </c>
      <c r="G670" s="2">
        <v>27.51</v>
      </c>
      <c r="H670">
        <v>7.0000000000000007E-2</v>
      </c>
      <c r="I670" t="s">
        <v>68</v>
      </c>
      <c r="J670">
        <v>4</v>
      </c>
      <c r="K670">
        <v>2.8</v>
      </c>
      <c r="L670" s="2">
        <v>127.92</v>
      </c>
      <c r="M670">
        <v>2023</v>
      </c>
      <c r="N670">
        <v>10</v>
      </c>
      <c r="O670" t="s">
        <v>101</v>
      </c>
      <c r="P670" s="2">
        <v>137.55000000000001</v>
      </c>
      <c r="Q670" s="2">
        <v>9.6300000000000008</v>
      </c>
      <c r="R670" t="s">
        <v>69</v>
      </c>
      <c r="S670">
        <v>0</v>
      </c>
      <c r="T670">
        <v>0</v>
      </c>
      <c r="U670">
        <f>IF(AND(OR(Dashboard!$D$4="Semua",D670=Dashboard!$D$4),OR(Dashboard!$H$4="Semua",E670=Dashboard!$H$4)),1,0)</f>
        <v>1</v>
      </c>
      <c r="V670">
        <f>IF(U670=1,IF(COUNTIFS($C$2:C670,C670,$U$2:U670,1)=1,1,0),0)</f>
        <v>1</v>
      </c>
    </row>
    <row r="671" spans="1:22" x14ac:dyDescent="0.35">
      <c r="A671">
        <v>10670</v>
      </c>
      <c r="B671" s="1">
        <v>45231</v>
      </c>
      <c r="C671">
        <v>1521</v>
      </c>
      <c r="D671" t="s">
        <v>67</v>
      </c>
      <c r="E671" t="s">
        <v>70</v>
      </c>
      <c r="F671">
        <v>7</v>
      </c>
      <c r="G671" s="2">
        <v>567.34</v>
      </c>
      <c r="H671">
        <v>0.25</v>
      </c>
      <c r="I671" t="s">
        <v>71</v>
      </c>
      <c r="J671">
        <v>5</v>
      </c>
      <c r="K671">
        <v>2.6</v>
      </c>
      <c r="L671" s="2">
        <v>2978.54</v>
      </c>
      <c r="M671">
        <v>2023</v>
      </c>
      <c r="N671">
        <v>11</v>
      </c>
      <c r="O671" t="s">
        <v>102</v>
      </c>
      <c r="P671" s="2">
        <v>3971.38</v>
      </c>
      <c r="Q671" s="2">
        <v>992.84</v>
      </c>
      <c r="R671" t="s">
        <v>77</v>
      </c>
      <c r="S671">
        <v>0</v>
      </c>
      <c r="T671">
        <v>0</v>
      </c>
      <c r="U671">
        <f>IF(AND(OR(Dashboard!$D$4="Semua",D671=Dashboard!$D$4),OR(Dashboard!$H$4="Semua",E671=Dashboard!$H$4)),1,0)</f>
        <v>1</v>
      </c>
      <c r="V671">
        <f>IF(U671=1,IF(COUNTIFS($C$2:C671,C671,$U$2:U671,1)=1,1,0),0)</f>
        <v>1</v>
      </c>
    </row>
    <row r="672" spans="1:22" x14ac:dyDescent="0.35">
      <c r="A672">
        <v>10671</v>
      </c>
      <c r="B672" s="1">
        <v>45232</v>
      </c>
      <c r="C672">
        <v>1757</v>
      </c>
      <c r="D672" t="s">
        <v>67</v>
      </c>
      <c r="E672" t="s">
        <v>74</v>
      </c>
      <c r="F672">
        <v>1</v>
      </c>
      <c r="G672" s="2">
        <v>114.28</v>
      </c>
      <c r="H672">
        <v>0.23</v>
      </c>
      <c r="I672" t="s">
        <v>64</v>
      </c>
      <c r="J672">
        <v>7</v>
      </c>
      <c r="K672">
        <v>1.2</v>
      </c>
      <c r="L672" s="2">
        <v>88</v>
      </c>
      <c r="M672">
        <v>2023</v>
      </c>
      <c r="N672">
        <v>11</v>
      </c>
      <c r="O672" t="s">
        <v>102</v>
      </c>
      <c r="P672" s="2">
        <v>114.28</v>
      </c>
      <c r="Q672" s="2">
        <v>26.28</v>
      </c>
      <c r="R672" t="s">
        <v>77</v>
      </c>
      <c r="S672">
        <v>0</v>
      </c>
      <c r="T672">
        <v>0</v>
      </c>
      <c r="U672">
        <f>IF(AND(OR(Dashboard!$D$4="Semua",D672=Dashboard!$D$4),OR(Dashboard!$H$4="Semua",E672=Dashboard!$H$4)),1,0)</f>
        <v>1</v>
      </c>
      <c r="V672">
        <f>IF(U672=1,IF(COUNTIFS($C$2:C672,C672,$U$2:U672,1)=1,1,0),0)</f>
        <v>1</v>
      </c>
    </row>
    <row r="673" spans="1:22" x14ac:dyDescent="0.35">
      <c r="A673">
        <v>10672</v>
      </c>
      <c r="B673" s="1">
        <v>45233</v>
      </c>
      <c r="C673">
        <v>1836</v>
      </c>
      <c r="D673" t="s">
        <v>67</v>
      </c>
      <c r="E673" t="s">
        <v>78</v>
      </c>
      <c r="F673">
        <v>2</v>
      </c>
      <c r="G673" s="2">
        <v>20.59</v>
      </c>
      <c r="H673">
        <v>0.26</v>
      </c>
      <c r="I673" t="s">
        <v>64</v>
      </c>
      <c r="J673">
        <v>7</v>
      </c>
      <c r="K673">
        <v>3.5</v>
      </c>
      <c r="L673" s="2">
        <v>30.47</v>
      </c>
      <c r="M673">
        <v>2023</v>
      </c>
      <c r="N673">
        <v>11</v>
      </c>
      <c r="O673" t="s">
        <v>102</v>
      </c>
      <c r="P673" s="2">
        <v>41.18</v>
      </c>
      <c r="Q673" s="2">
        <v>10.71</v>
      </c>
      <c r="R673" t="s">
        <v>66</v>
      </c>
      <c r="S673">
        <v>0</v>
      </c>
      <c r="T673">
        <v>0</v>
      </c>
      <c r="U673">
        <f>IF(AND(OR(Dashboard!$D$4="Semua",D673=Dashboard!$D$4),OR(Dashboard!$H$4="Semua",E673=Dashboard!$H$4)),1,0)</f>
        <v>1</v>
      </c>
      <c r="V673">
        <f>IF(U673=1,IF(COUNTIFS($C$2:C673,C673,$U$2:U673,1)=1,1,0),0)</f>
        <v>0</v>
      </c>
    </row>
    <row r="674" spans="1:22" x14ac:dyDescent="0.35">
      <c r="A674">
        <v>10673</v>
      </c>
      <c r="B674" s="1">
        <v>45234</v>
      </c>
      <c r="C674">
        <v>1099</v>
      </c>
      <c r="D674" t="s">
        <v>67</v>
      </c>
      <c r="E674" t="s">
        <v>70</v>
      </c>
      <c r="F674">
        <v>6</v>
      </c>
      <c r="G674" s="2">
        <v>153.72</v>
      </c>
      <c r="H674">
        <v>7.0000000000000007E-2</v>
      </c>
      <c r="I674" t="s">
        <v>68</v>
      </c>
      <c r="J674">
        <v>6</v>
      </c>
      <c r="K674">
        <v>3.5</v>
      </c>
      <c r="L674" s="2">
        <v>857.76</v>
      </c>
      <c r="M674">
        <v>2023</v>
      </c>
      <c r="N674">
        <v>11</v>
      </c>
      <c r="O674" t="s">
        <v>102</v>
      </c>
      <c r="P674" s="2">
        <v>922.32</v>
      </c>
      <c r="Q674" s="2">
        <v>64.56</v>
      </c>
      <c r="R674" t="s">
        <v>69</v>
      </c>
      <c r="S674">
        <v>0</v>
      </c>
      <c r="T674">
        <v>0</v>
      </c>
      <c r="U674">
        <f>IF(AND(OR(Dashboard!$D$4="Semua",D674=Dashboard!$D$4),OR(Dashboard!$H$4="Semua",E674=Dashboard!$H$4)),1,0)</f>
        <v>1</v>
      </c>
      <c r="V674">
        <f>IF(U674=1,IF(COUNTIFS($C$2:C674,C674,$U$2:U674,1)=1,1,0),0)</f>
        <v>0</v>
      </c>
    </row>
    <row r="675" spans="1:22" x14ac:dyDescent="0.35">
      <c r="A675">
        <v>10674</v>
      </c>
      <c r="B675" s="1">
        <v>45235</v>
      </c>
      <c r="C675">
        <v>1801</v>
      </c>
      <c r="D675" t="s">
        <v>67</v>
      </c>
      <c r="E675" t="s">
        <v>78</v>
      </c>
      <c r="F675">
        <v>2</v>
      </c>
      <c r="G675" s="2">
        <v>152.49</v>
      </c>
      <c r="H675">
        <v>0.06</v>
      </c>
      <c r="I675" t="s">
        <v>71</v>
      </c>
      <c r="J675">
        <v>10</v>
      </c>
      <c r="K675">
        <v>4.9000000000000004</v>
      </c>
      <c r="L675" s="2">
        <v>286.68</v>
      </c>
      <c r="M675">
        <v>2023</v>
      </c>
      <c r="N675">
        <v>11</v>
      </c>
      <c r="O675" t="s">
        <v>102</v>
      </c>
      <c r="P675" s="2">
        <v>304.98</v>
      </c>
      <c r="Q675" s="2">
        <v>18.3</v>
      </c>
      <c r="R675" t="s">
        <v>69</v>
      </c>
      <c r="S675">
        <v>0</v>
      </c>
      <c r="T675">
        <v>0</v>
      </c>
      <c r="U675">
        <f>IF(AND(OR(Dashboard!$D$4="Semua",D675=Dashboard!$D$4),OR(Dashboard!$H$4="Semua",E675=Dashboard!$H$4)),1,0)</f>
        <v>1</v>
      </c>
      <c r="V675">
        <f>IF(U675=1,IF(COUNTIFS($C$2:C675,C675,$U$2:U675,1)=1,1,0),0)</f>
        <v>0</v>
      </c>
    </row>
    <row r="676" spans="1:22" x14ac:dyDescent="0.35">
      <c r="A676">
        <v>10675</v>
      </c>
      <c r="B676" s="1">
        <v>45236</v>
      </c>
      <c r="C676">
        <v>1179</v>
      </c>
      <c r="D676" t="s">
        <v>80</v>
      </c>
      <c r="E676" t="s">
        <v>74</v>
      </c>
      <c r="F676">
        <v>2</v>
      </c>
      <c r="G676" s="2">
        <v>261.87</v>
      </c>
      <c r="H676">
        <v>0.08</v>
      </c>
      <c r="I676" t="s">
        <v>71</v>
      </c>
      <c r="J676">
        <v>6</v>
      </c>
      <c r="K676">
        <v>2.2000000000000002</v>
      </c>
      <c r="L676" s="2">
        <v>481.84</v>
      </c>
      <c r="M676">
        <v>2023</v>
      </c>
      <c r="N676">
        <v>11</v>
      </c>
      <c r="O676" t="s">
        <v>102</v>
      </c>
      <c r="P676" s="2">
        <v>523.74</v>
      </c>
      <c r="Q676" s="2">
        <v>41.9</v>
      </c>
      <c r="R676" t="s">
        <v>69</v>
      </c>
      <c r="S676">
        <v>0</v>
      </c>
      <c r="T676">
        <v>0</v>
      </c>
      <c r="U676">
        <f>IF(AND(OR(Dashboard!$D$4="Semua",D676=Dashboard!$D$4),OR(Dashboard!$H$4="Semua",E676=Dashboard!$H$4)),1,0)</f>
        <v>1</v>
      </c>
      <c r="V676">
        <f>IF(U676=1,IF(COUNTIFS($C$2:C676,C676,$U$2:U676,1)=1,1,0),0)</f>
        <v>1</v>
      </c>
    </row>
    <row r="677" spans="1:22" x14ac:dyDescent="0.35">
      <c r="A677">
        <v>10676</v>
      </c>
      <c r="B677" s="1">
        <v>45237</v>
      </c>
      <c r="C677">
        <v>1222</v>
      </c>
      <c r="D677" t="s">
        <v>80</v>
      </c>
      <c r="E677" t="s">
        <v>74</v>
      </c>
      <c r="F677">
        <v>6</v>
      </c>
      <c r="G677" s="2">
        <v>553.42999999999995</v>
      </c>
      <c r="H677">
        <v>0.13</v>
      </c>
      <c r="I677" t="s">
        <v>68</v>
      </c>
      <c r="J677">
        <v>6</v>
      </c>
      <c r="K677">
        <v>2.7</v>
      </c>
      <c r="L677" s="2">
        <v>2888.9</v>
      </c>
      <c r="M677">
        <v>2023</v>
      </c>
      <c r="N677">
        <v>11</v>
      </c>
      <c r="O677" t="s">
        <v>102</v>
      </c>
      <c r="P677" s="2">
        <v>3320.58</v>
      </c>
      <c r="Q677" s="2">
        <v>431.68</v>
      </c>
      <c r="R677" t="s">
        <v>79</v>
      </c>
      <c r="S677">
        <v>0</v>
      </c>
      <c r="T677">
        <v>0</v>
      </c>
      <c r="U677">
        <f>IF(AND(OR(Dashboard!$D$4="Semua",D677=Dashboard!$D$4),OR(Dashboard!$H$4="Semua",E677=Dashboard!$H$4)),1,0)</f>
        <v>1</v>
      </c>
      <c r="V677">
        <f>IF(U677=1,IF(COUNTIFS($C$2:C677,C677,$U$2:U677,1)=1,1,0),0)</f>
        <v>1</v>
      </c>
    </row>
    <row r="678" spans="1:22" x14ac:dyDescent="0.35">
      <c r="A678">
        <v>10677</v>
      </c>
      <c r="B678" s="1">
        <v>45238</v>
      </c>
      <c r="C678">
        <v>1905</v>
      </c>
      <c r="D678" t="s">
        <v>73</v>
      </c>
      <c r="E678" t="s">
        <v>78</v>
      </c>
      <c r="F678">
        <v>5</v>
      </c>
      <c r="G678" s="2">
        <v>529.32000000000005</v>
      </c>
      <c r="H678">
        <v>0.28000000000000003</v>
      </c>
      <c r="I678" t="s">
        <v>68</v>
      </c>
      <c r="J678">
        <v>4</v>
      </c>
      <c r="K678">
        <v>2.6</v>
      </c>
      <c r="L678" s="2">
        <v>1905.55</v>
      </c>
      <c r="M678">
        <v>2023</v>
      </c>
      <c r="N678">
        <v>11</v>
      </c>
      <c r="O678" t="s">
        <v>102</v>
      </c>
      <c r="P678" s="2">
        <v>2646.6</v>
      </c>
      <c r="Q678" s="2">
        <v>741.05</v>
      </c>
      <c r="R678" t="s">
        <v>66</v>
      </c>
      <c r="S678">
        <v>0</v>
      </c>
      <c r="T678">
        <v>0</v>
      </c>
      <c r="U678">
        <f>IF(AND(OR(Dashboard!$D$4="Semua",D678=Dashboard!$D$4),OR(Dashboard!$H$4="Semua",E678=Dashboard!$H$4)),1,0)</f>
        <v>1</v>
      </c>
      <c r="V678">
        <f>IF(U678=1,IF(COUNTIFS($C$2:C678,C678,$U$2:U678,1)=1,1,0),0)</f>
        <v>1</v>
      </c>
    </row>
    <row r="679" spans="1:22" x14ac:dyDescent="0.35">
      <c r="A679">
        <v>10678</v>
      </c>
      <c r="B679" s="1">
        <v>45239</v>
      </c>
      <c r="C679">
        <v>1761</v>
      </c>
      <c r="D679" t="s">
        <v>67</v>
      </c>
      <c r="E679" t="s">
        <v>70</v>
      </c>
      <c r="F679">
        <v>6</v>
      </c>
      <c r="G679" s="2">
        <v>282.27999999999997</v>
      </c>
      <c r="H679">
        <v>0.26</v>
      </c>
      <c r="I679" t="s">
        <v>71</v>
      </c>
      <c r="J679">
        <v>3</v>
      </c>
      <c r="K679">
        <v>4.7</v>
      </c>
      <c r="L679" s="2">
        <v>1253.32</v>
      </c>
      <c r="M679">
        <v>2023</v>
      </c>
      <c r="N679">
        <v>11</v>
      </c>
      <c r="O679" t="s">
        <v>102</v>
      </c>
      <c r="P679" s="2">
        <v>1693.68</v>
      </c>
      <c r="Q679" s="2">
        <v>440.36</v>
      </c>
      <c r="R679" t="s">
        <v>66</v>
      </c>
      <c r="S679">
        <v>0</v>
      </c>
      <c r="T679">
        <v>0</v>
      </c>
      <c r="U679">
        <f>IF(AND(OR(Dashboard!$D$4="Semua",D679=Dashboard!$D$4),OR(Dashboard!$H$4="Semua",E679=Dashboard!$H$4)),1,0)</f>
        <v>1</v>
      </c>
      <c r="V679">
        <f>IF(U679=1,IF(COUNTIFS($C$2:C679,C679,$U$2:U679,1)=1,1,0),0)</f>
        <v>0</v>
      </c>
    </row>
    <row r="680" spans="1:22" x14ac:dyDescent="0.35">
      <c r="A680">
        <v>10679</v>
      </c>
      <c r="B680" s="1">
        <v>45240</v>
      </c>
      <c r="C680">
        <v>1658</v>
      </c>
      <c r="D680" t="s">
        <v>67</v>
      </c>
      <c r="E680" t="s">
        <v>70</v>
      </c>
      <c r="F680">
        <v>5</v>
      </c>
      <c r="G680" s="2">
        <v>255.38</v>
      </c>
      <c r="H680">
        <v>0.32</v>
      </c>
      <c r="I680" t="s">
        <v>71</v>
      </c>
      <c r="J680">
        <v>1</v>
      </c>
      <c r="K680">
        <v>2.6</v>
      </c>
      <c r="L680" s="2">
        <v>868.29</v>
      </c>
      <c r="M680">
        <v>2023</v>
      </c>
      <c r="N680">
        <v>11</v>
      </c>
      <c r="O680" t="s">
        <v>102</v>
      </c>
      <c r="P680" s="2">
        <v>1276.9000000000001</v>
      </c>
      <c r="Q680" s="2">
        <v>408.61</v>
      </c>
      <c r="R680" t="s">
        <v>72</v>
      </c>
      <c r="S680">
        <v>0</v>
      </c>
      <c r="T680">
        <v>0</v>
      </c>
      <c r="U680">
        <f>IF(AND(OR(Dashboard!$D$4="Semua",D680=Dashboard!$D$4),OR(Dashboard!$H$4="Semua",E680=Dashboard!$H$4)),1,0)</f>
        <v>1</v>
      </c>
      <c r="V680">
        <f>IF(U680=1,IF(COUNTIFS($C$2:C680,C680,$U$2:U680,1)=1,1,0),0)</f>
        <v>0</v>
      </c>
    </row>
    <row r="681" spans="1:22" x14ac:dyDescent="0.35">
      <c r="A681">
        <v>10680</v>
      </c>
      <c r="B681" s="1">
        <v>45241</v>
      </c>
      <c r="C681">
        <v>1441</v>
      </c>
      <c r="D681" t="s">
        <v>62</v>
      </c>
      <c r="E681" t="s">
        <v>74</v>
      </c>
      <c r="F681">
        <v>6</v>
      </c>
      <c r="G681" s="2">
        <v>339.68</v>
      </c>
      <c r="H681">
        <v>0.02</v>
      </c>
      <c r="I681" t="s">
        <v>68</v>
      </c>
      <c r="J681">
        <v>3</v>
      </c>
      <c r="K681">
        <v>2.8</v>
      </c>
      <c r="L681" s="2">
        <v>1997.32</v>
      </c>
      <c r="M681">
        <v>2023</v>
      </c>
      <c r="N681">
        <v>11</v>
      </c>
      <c r="O681" t="s">
        <v>102</v>
      </c>
      <c r="P681" s="2">
        <v>2038.08</v>
      </c>
      <c r="Q681" s="2">
        <v>40.76</v>
      </c>
      <c r="R681" t="s">
        <v>75</v>
      </c>
      <c r="S681">
        <v>0</v>
      </c>
      <c r="T681">
        <v>0</v>
      </c>
      <c r="U681">
        <f>IF(AND(OR(Dashboard!$D$4="Semua",D681=Dashboard!$D$4),OR(Dashboard!$H$4="Semua",E681=Dashboard!$H$4)),1,0)</f>
        <v>1</v>
      </c>
      <c r="V681">
        <f>IF(U681=1,IF(COUNTIFS($C$2:C681,C681,$U$2:U681,1)=1,1,0),0)</f>
        <v>0</v>
      </c>
    </row>
    <row r="682" spans="1:22" x14ac:dyDescent="0.35">
      <c r="A682">
        <v>10681</v>
      </c>
      <c r="B682" s="1">
        <v>45242</v>
      </c>
      <c r="C682">
        <v>1607</v>
      </c>
      <c r="D682" t="s">
        <v>67</v>
      </c>
      <c r="E682" t="s">
        <v>70</v>
      </c>
      <c r="F682">
        <v>1</v>
      </c>
      <c r="G682" s="2">
        <v>157.41999999999999</v>
      </c>
      <c r="H682">
        <v>0</v>
      </c>
      <c r="I682" t="s">
        <v>68</v>
      </c>
      <c r="J682">
        <v>3</v>
      </c>
      <c r="K682">
        <v>2</v>
      </c>
      <c r="L682" s="2">
        <v>157.41999999999999</v>
      </c>
      <c r="M682">
        <v>2023</v>
      </c>
      <c r="N682">
        <v>11</v>
      </c>
      <c r="O682" t="s">
        <v>102</v>
      </c>
      <c r="P682" s="2">
        <v>157.41999999999999</v>
      </c>
      <c r="Q682" s="2">
        <v>0</v>
      </c>
      <c r="R682" t="s">
        <v>75</v>
      </c>
      <c r="S682">
        <v>0</v>
      </c>
      <c r="T682">
        <v>0</v>
      </c>
      <c r="U682">
        <f>IF(AND(OR(Dashboard!$D$4="Semua",D682=Dashboard!$D$4),OR(Dashboard!$H$4="Semua",E682=Dashboard!$H$4)),1,0)</f>
        <v>1</v>
      </c>
      <c r="V682">
        <f>IF(U682=1,IF(COUNTIFS($C$2:C682,C682,$U$2:U682,1)=1,1,0),0)</f>
        <v>0</v>
      </c>
    </row>
    <row r="683" spans="1:22" x14ac:dyDescent="0.35">
      <c r="A683">
        <v>10682</v>
      </c>
      <c r="B683" s="1">
        <v>45243</v>
      </c>
      <c r="C683">
        <v>1768</v>
      </c>
      <c r="D683" t="s">
        <v>67</v>
      </c>
      <c r="E683" t="s">
        <v>74</v>
      </c>
      <c r="F683">
        <v>5</v>
      </c>
      <c r="G683" s="2">
        <v>45.53</v>
      </c>
      <c r="H683">
        <v>0.24</v>
      </c>
      <c r="I683" t="s">
        <v>68</v>
      </c>
      <c r="J683">
        <v>9</v>
      </c>
      <c r="K683">
        <v>1</v>
      </c>
      <c r="L683" s="2">
        <v>173.01</v>
      </c>
      <c r="M683">
        <v>2023</v>
      </c>
      <c r="N683">
        <v>11</v>
      </c>
      <c r="O683" t="s">
        <v>102</v>
      </c>
      <c r="P683" s="2">
        <v>227.65</v>
      </c>
      <c r="Q683" s="2">
        <v>54.64</v>
      </c>
      <c r="R683" t="s">
        <v>77</v>
      </c>
      <c r="S683">
        <v>0</v>
      </c>
      <c r="T683">
        <v>0</v>
      </c>
      <c r="U683">
        <f>IF(AND(OR(Dashboard!$D$4="Semua",D683=Dashboard!$D$4),OR(Dashboard!$H$4="Semua",E683=Dashboard!$H$4)),1,0)</f>
        <v>1</v>
      </c>
      <c r="V683">
        <f>IF(U683=1,IF(COUNTIFS($C$2:C683,C683,$U$2:U683,1)=1,1,0),0)</f>
        <v>0</v>
      </c>
    </row>
    <row r="684" spans="1:22" x14ac:dyDescent="0.35">
      <c r="A684">
        <v>10683</v>
      </c>
      <c r="B684" s="1">
        <v>45244</v>
      </c>
      <c r="C684">
        <v>1324</v>
      </c>
      <c r="D684" t="s">
        <v>73</v>
      </c>
      <c r="E684" t="s">
        <v>70</v>
      </c>
      <c r="F684">
        <v>1</v>
      </c>
      <c r="G684" s="2">
        <v>564.45000000000005</v>
      </c>
      <c r="H684">
        <v>0.1</v>
      </c>
      <c r="I684" t="s">
        <v>68</v>
      </c>
      <c r="J684">
        <v>3</v>
      </c>
      <c r="K684">
        <v>1.4</v>
      </c>
      <c r="L684" s="2">
        <v>508.01</v>
      </c>
      <c r="M684">
        <v>2023</v>
      </c>
      <c r="N684">
        <v>11</v>
      </c>
      <c r="O684" t="s">
        <v>102</v>
      </c>
      <c r="P684" s="2">
        <v>564.45000000000005</v>
      </c>
      <c r="Q684" s="2">
        <v>56.44</v>
      </c>
      <c r="R684" t="s">
        <v>69</v>
      </c>
      <c r="S684">
        <v>0</v>
      </c>
      <c r="T684">
        <v>0</v>
      </c>
      <c r="U684">
        <f>IF(AND(OR(Dashboard!$D$4="Semua",D684=Dashboard!$D$4),OR(Dashboard!$H$4="Semua",E684=Dashboard!$H$4)),1,0)</f>
        <v>1</v>
      </c>
      <c r="V684">
        <f>IF(U684=1,IF(COUNTIFS($C$2:C684,C684,$U$2:U684,1)=1,1,0),0)</f>
        <v>1</v>
      </c>
    </row>
    <row r="685" spans="1:22" x14ac:dyDescent="0.35">
      <c r="A685">
        <v>10684</v>
      </c>
      <c r="B685" s="1">
        <v>45245</v>
      </c>
      <c r="C685">
        <v>1515</v>
      </c>
      <c r="D685" t="s">
        <v>67</v>
      </c>
      <c r="E685" t="s">
        <v>74</v>
      </c>
      <c r="F685">
        <v>7</v>
      </c>
      <c r="G685" s="2">
        <v>124.22</v>
      </c>
      <c r="H685">
        <v>0.12</v>
      </c>
      <c r="I685" t="s">
        <v>71</v>
      </c>
      <c r="J685">
        <v>8</v>
      </c>
      <c r="K685">
        <v>3.8</v>
      </c>
      <c r="L685" s="2">
        <v>765.2</v>
      </c>
      <c r="M685">
        <v>2023</v>
      </c>
      <c r="N685">
        <v>11</v>
      </c>
      <c r="O685" t="s">
        <v>102</v>
      </c>
      <c r="P685" s="2">
        <v>869.54</v>
      </c>
      <c r="Q685" s="2">
        <v>104.34</v>
      </c>
      <c r="R685" t="s">
        <v>79</v>
      </c>
      <c r="S685">
        <v>0</v>
      </c>
      <c r="T685">
        <v>0</v>
      </c>
      <c r="U685">
        <f>IF(AND(OR(Dashboard!$D$4="Semua",D685=Dashboard!$D$4),OR(Dashboard!$H$4="Semua",E685=Dashboard!$H$4)),1,0)</f>
        <v>1</v>
      </c>
      <c r="V685">
        <f>IF(U685=1,IF(COUNTIFS($C$2:C685,C685,$U$2:U685,1)=1,1,0),0)</f>
        <v>0</v>
      </c>
    </row>
    <row r="686" spans="1:22" x14ac:dyDescent="0.35">
      <c r="A686">
        <v>10685</v>
      </c>
      <c r="B686" s="1">
        <v>45246</v>
      </c>
      <c r="C686">
        <v>1015</v>
      </c>
      <c r="D686" t="s">
        <v>73</v>
      </c>
      <c r="E686" t="s">
        <v>63</v>
      </c>
      <c r="F686">
        <v>5</v>
      </c>
      <c r="G686" s="2">
        <v>131.06</v>
      </c>
      <c r="H686">
        <v>0.19</v>
      </c>
      <c r="I686" t="s">
        <v>68</v>
      </c>
      <c r="J686">
        <v>8</v>
      </c>
      <c r="K686">
        <v>3.7</v>
      </c>
      <c r="L686" s="2">
        <v>530.79</v>
      </c>
      <c r="M686">
        <v>2023</v>
      </c>
      <c r="N686">
        <v>11</v>
      </c>
      <c r="O686" t="s">
        <v>102</v>
      </c>
      <c r="P686" s="2">
        <v>655.29999999999995</v>
      </c>
      <c r="Q686" s="2">
        <v>124.51</v>
      </c>
      <c r="R686" t="s">
        <v>76</v>
      </c>
      <c r="S686">
        <v>0</v>
      </c>
      <c r="T686">
        <v>0</v>
      </c>
      <c r="U686">
        <f>IF(AND(OR(Dashboard!$D$4="Semua",D686=Dashboard!$D$4),OR(Dashboard!$H$4="Semua",E686=Dashboard!$H$4)),1,0)</f>
        <v>1</v>
      </c>
      <c r="V686">
        <f>IF(U686=1,IF(COUNTIFS($C$2:C686,C686,$U$2:U686,1)=1,1,0),0)</f>
        <v>1</v>
      </c>
    </row>
    <row r="687" spans="1:22" x14ac:dyDescent="0.35">
      <c r="A687">
        <v>10686</v>
      </c>
      <c r="B687" s="1">
        <v>45247</v>
      </c>
      <c r="C687">
        <v>1791</v>
      </c>
      <c r="D687" t="s">
        <v>73</v>
      </c>
      <c r="E687" t="s">
        <v>70</v>
      </c>
      <c r="F687">
        <v>5</v>
      </c>
      <c r="G687" s="2">
        <v>291.39</v>
      </c>
      <c r="H687">
        <v>0.04</v>
      </c>
      <c r="I687" t="s">
        <v>68</v>
      </c>
      <c r="J687">
        <v>3</v>
      </c>
      <c r="K687">
        <v>2.2999999999999998</v>
      </c>
      <c r="L687" s="2">
        <v>1398.67</v>
      </c>
      <c r="M687">
        <v>2023</v>
      </c>
      <c r="N687">
        <v>11</v>
      </c>
      <c r="O687" t="s">
        <v>102</v>
      </c>
      <c r="P687" s="2">
        <v>1456.95</v>
      </c>
      <c r="Q687" s="2">
        <v>58.28</v>
      </c>
      <c r="R687" t="s">
        <v>75</v>
      </c>
      <c r="S687">
        <v>0</v>
      </c>
      <c r="T687">
        <v>0</v>
      </c>
      <c r="U687">
        <f>IF(AND(OR(Dashboard!$D$4="Semua",D687=Dashboard!$D$4),OR(Dashboard!$H$4="Semua",E687=Dashboard!$H$4)),1,0)</f>
        <v>1</v>
      </c>
      <c r="V687">
        <f>IF(U687=1,IF(COUNTIFS($C$2:C687,C687,$U$2:U687,1)=1,1,0),0)</f>
        <v>0</v>
      </c>
    </row>
    <row r="688" spans="1:22" x14ac:dyDescent="0.35">
      <c r="A688">
        <v>10687</v>
      </c>
      <c r="B688" s="1">
        <v>45248</v>
      </c>
      <c r="C688">
        <v>1335</v>
      </c>
      <c r="D688" t="s">
        <v>73</v>
      </c>
      <c r="E688" t="s">
        <v>70</v>
      </c>
      <c r="F688">
        <v>6</v>
      </c>
      <c r="G688" s="2">
        <v>302.58999999999997</v>
      </c>
      <c r="H688">
        <v>0.22</v>
      </c>
      <c r="I688" t="s">
        <v>64</v>
      </c>
      <c r="J688">
        <v>10</v>
      </c>
      <c r="K688">
        <v>2.9</v>
      </c>
      <c r="L688" s="2">
        <v>1416.12</v>
      </c>
      <c r="M688">
        <v>2023</v>
      </c>
      <c r="N688">
        <v>11</v>
      </c>
      <c r="O688" t="s">
        <v>102</v>
      </c>
      <c r="P688" s="2">
        <v>1815.54</v>
      </c>
      <c r="Q688" s="2">
        <v>399.42</v>
      </c>
      <c r="R688" t="s">
        <v>77</v>
      </c>
      <c r="S688">
        <v>0</v>
      </c>
      <c r="T688">
        <v>0</v>
      </c>
      <c r="U688">
        <f>IF(AND(OR(Dashboard!$D$4="Semua",D688=Dashboard!$D$4),OR(Dashboard!$H$4="Semua",E688=Dashboard!$H$4)),1,0)</f>
        <v>1</v>
      </c>
      <c r="V688">
        <f>IF(U688=1,IF(COUNTIFS($C$2:C688,C688,$U$2:U688,1)=1,1,0),0)</f>
        <v>1</v>
      </c>
    </row>
    <row r="689" spans="1:22" x14ac:dyDescent="0.35">
      <c r="A689">
        <v>10688</v>
      </c>
      <c r="B689" s="1">
        <v>45249</v>
      </c>
      <c r="C689">
        <v>1758</v>
      </c>
      <c r="D689" t="s">
        <v>80</v>
      </c>
      <c r="E689" t="s">
        <v>70</v>
      </c>
      <c r="F689">
        <v>5</v>
      </c>
      <c r="G689" s="2">
        <v>25.78</v>
      </c>
      <c r="H689">
        <v>0.11</v>
      </c>
      <c r="I689" t="s">
        <v>68</v>
      </c>
      <c r="J689">
        <v>10</v>
      </c>
      <c r="K689">
        <v>2.2000000000000002</v>
      </c>
      <c r="L689" s="2">
        <v>114.72</v>
      </c>
      <c r="M689">
        <v>2023</v>
      </c>
      <c r="N689">
        <v>11</v>
      </c>
      <c r="O689" t="s">
        <v>102</v>
      </c>
      <c r="P689" s="2">
        <v>128.9</v>
      </c>
      <c r="Q689" s="2">
        <v>14.18</v>
      </c>
      <c r="R689" t="s">
        <v>79</v>
      </c>
      <c r="S689">
        <v>0</v>
      </c>
      <c r="T689">
        <v>0</v>
      </c>
      <c r="U689">
        <f>IF(AND(OR(Dashboard!$D$4="Semua",D689=Dashboard!$D$4),OR(Dashboard!$H$4="Semua",E689=Dashboard!$H$4)),1,0)</f>
        <v>1</v>
      </c>
      <c r="V689">
        <f>IF(U689=1,IF(COUNTIFS($C$2:C689,C689,$U$2:U689,1)=1,1,0),0)</f>
        <v>0</v>
      </c>
    </row>
    <row r="690" spans="1:22" x14ac:dyDescent="0.35">
      <c r="A690">
        <v>10689</v>
      </c>
      <c r="B690" s="1">
        <v>45250</v>
      </c>
      <c r="C690">
        <v>1257</v>
      </c>
      <c r="D690" t="s">
        <v>73</v>
      </c>
      <c r="E690" t="s">
        <v>78</v>
      </c>
      <c r="F690">
        <v>1</v>
      </c>
      <c r="G690" s="2">
        <v>101.55</v>
      </c>
      <c r="H690">
        <v>0.22</v>
      </c>
      <c r="I690" t="s">
        <v>71</v>
      </c>
      <c r="J690">
        <v>6</v>
      </c>
      <c r="K690">
        <v>3.9</v>
      </c>
      <c r="L690" s="2">
        <v>79.209999999999994</v>
      </c>
      <c r="M690">
        <v>2023</v>
      </c>
      <c r="N690">
        <v>11</v>
      </c>
      <c r="O690" t="s">
        <v>102</v>
      </c>
      <c r="P690" s="2">
        <v>101.55</v>
      </c>
      <c r="Q690" s="2">
        <v>22.34</v>
      </c>
      <c r="R690" t="s">
        <v>77</v>
      </c>
      <c r="S690">
        <v>0</v>
      </c>
      <c r="T690">
        <v>0</v>
      </c>
      <c r="U690">
        <f>IF(AND(OR(Dashboard!$D$4="Semua",D690=Dashboard!$D$4),OR(Dashboard!$H$4="Semua",E690=Dashboard!$H$4)),1,0)</f>
        <v>1</v>
      </c>
      <c r="V690">
        <f>IF(U690=1,IF(COUNTIFS($C$2:C690,C690,$U$2:U690,1)=1,1,0),0)</f>
        <v>1</v>
      </c>
    </row>
    <row r="691" spans="1:22" x14ac:dyDescent="0.35">
      <c r="A691">
        <v>10690</v>
      </c>
      <c r="B691" s="1">
        <v>45251</v>
      </c>
      <c r="C691">
        <v>1496</v>
      </c>
      <c r="D691" t="s">
        <v>67</v>
      </c>
      <c r="E691" t="s">
        <v>70</v>
      </c>
      <c r="F691">
        <v>7</v>
      </c>
      <c r="G691" s="2">
        <v>236.22</v>
      </c>
      <c r="H691">
        <v>0.28999999999999998</v>
      </c>
      <c r="I691" t="s">
        <v>64</v>
      </c>
      <c r="J691">
        <v>8</v>
      </c>
      <c r="K691">
        <v>4.4000000000000004</v>
      </c>
      <c r="L691" s="2">
        <v>1174.01</v>
      </c>
      <c r="M691">
        <v>2023</v>
      </c>
      <c r="N691">
        <v>11</v>
      </c>
      <c r="O691" t="s">
        <v>102</v>
      </c>
      <c r="P691" s="2">
        <v>1653.54</v>
      </c>
      <c r="Q691" s="2">
        <v>479.53</v>
      </c>
      <c r="R691" t="s">
        <v>66</v>
      </c>
      <c r="S691">
        <v>0</v>
      </c>
      <c r="T691">
        <v>0</v>
      </c>
      <c r="U691">
        <f>IF(AND(OR(Dashboard!$D$4="Semua",D691=Dashboard!$D$4),OR(Dashboard!$H$4="Semua",E691=Dashboard!$H$4)),1,0)</f>
        <v>1</v>
      </c>
      <c r="V691">
        <f>IF(U691=1,IF(COUNTIFS($C$2:C691,C691,$U$2:U691,1)=1,1,0),0)</f>
        <v>0</v>
      </c>
    </row>
    <row r="692" spans="1:22" x14ac:dyDescent="0.35">
      <c r="A692">
        <v>10691</v>
      </c>
      <c r="B692" s="1">
        <v>45252</v>
      </c>
      <c r="C692">
        <v>1987</v>
      </c>
      <c r="D692" t="s">
        <v>62</v>
      </c>
      <c r="E692" t="s">
        <v>78</v>
      </c>
      <c r="F692">
        <v>6</v>
      </c>
      <c r="G692" s="2">
        <v>414.98</v>
      </c>
      <c r="H692">
        <v>0.06</v>
      </c>
      <c r="I692" t="s">
        <v>71</v>
      </c>
      <c r="J692">
        <v>8</v>
      </c>
      <c r="K692">
        <v>4.5999999999999996</v>
      </c>
      <c r="L692" s="2">
        <v>2340.4899999999998</v>
      </c>
      <c r="M692">
        <v>2023</v>
      </c>
      <c r="N692">
        <v>11</v>
      </c>
      <c r="O692" t="s">
        <v>102</v>
      </c>
      <c r="P692" s="2">
        <v>2489.88</v>
      </c>
      <c r="Q692" s="2">
        <v>149.38999999999999</v>
      </c>
      <c r="R692" t="s">
        <v>69</v>
      </c>
      <c r="S692">
        <v>0</v>
      </c>
      <c r="T692">
        <v>0</v>
      </c>
      <c r="U692">
        <f>IF(AND(OR(Dashboard!$D$4="Semua",D692=Dashboard!$D$4),OR(Dashboard!$H$4="Semua",E692=Dashboard!$H$4)),1,0)</f>
        <v>1</v>
      </c>
      <c r="V692">
        <f>IF(U692=1,IF(COUNTIFS($C$2:C692,C692,$U$2:U692,1)=1,1,0),0)</f>
        <v>0</v>
      </c>
    </row>
    <row r="693" spans="1:22" x14ac:dyDescent="0.35">
      <c r="A693">
        <v>10692</v>
      </c>
      <c r="B693" s="1">
        <v>45253</v>
      </c>
      <c r="C693">
        <v>1895</v>
      </c>
      <c r="D693" t="s">
        <v>73</v>
      </c>
      <c r="E693" t="s">
        <v>78</v>
      </c>
      <c r="F693">
        <v>3</v>
      </c>
      <c r="G693" s="2">
        <v>148.62</v>
      </c>
      <c r="H693">
        <v>0.33</v>
      </c>
      <c r="I693" t="s">
        <v>71</v>
      </c>
      <c r="J693">
        <v>10</v>
      </c>
      <c r="K693">
        <v>1.7</v>
      </c>
      <c r="L693" s="2">
        <v>298.73</v>
      </c>
      <c r="M693">
        <v>2023</v>
      </c>
      <c r="N693">
        <v>11</v>
      </c>
      <c r="O693" t="s">
        <v>102</v>
      </c>
      <c r="P693" s="2">
        <v>445.86</v>
      </c>
      <c r="Q693" s="2">
        <v>147.13</v>
      </c>
      <c r="R693" t="s">
        <v>72</v>
      </c>
      <c r="S693">
        <v>0</v>
      </c>
      <c r="T693">
        <v>0</v>
      </c>
      <c r="U693">
        <f>IF(AND(OR(Dashboard!$D$4="Semua",D693=Dashboard!$D$4),OR(Dashboard!$H$4="Semua",E693=Dashboard!$H$4)),1,0)</f>
        <v>1</v>
      </c>
      <c r="V693">
        <f>IF(U693=1,IF(COUNTIFS($C$2:C693,C693,$U$2:U693,1)=1,1,0),0)</f>
        <v>0</v>
      </c>
    </row>
    <row r="694" spans="1:22" x14ac:dyDescent="0.35">
      <c r="A694">
        <v>10693</v>
      </c>
      <c r="B694" s="1">
        <v>45254</v>
      </c>
      <c r="C694">
        <v>1159</v>
      </c>
      <c r="D694" t="s">
        <v>67</v>
      </c>
      <c r="E694" t="s">
        <v>74</v>
      </c>
      <c r="F694">
        <v>7</v>
      </c>
      <c r="G694" s="2">
        <v>262.45999999999998</v>
      </c>
      <c r="H694">
        <v>0.19</v>
      </c>
      <c r="I694" t="s">
        <v>68</v>
      </c>
      <c r="J694">
        <v>10</v>
      </c>
      <c r="K694">
        <v>3.8</v>
      </c>
      <c r="L694" s="2">
        <v>1488.15</v>
      </c>
      <c r="M694">
        <v>2023</v>
      </c>
      <c r="N694">
        <v>11</v>
      </c>
      <c r="O694" t="s">
        <v>102</v>
      </c>
      <c r="P694" s="2">
        <v>1837.22</v>
      </c>
      <c r="Q694" s="2">
        <v>349.07</v>
      </c>
      <c r="R694" t="s">
        <v>76</v>
      </c>
      <c r="S694">
        <v>0</v>
      </c>
      <c r="T694">
        <v>0</v>
      </c>
      <c r="U694">
        <f>IF(AND(OR(Dashboard!$D$4="Semua",D694=Dashboard!$D$4),OR(Dashboard!$H$4="Semua",E694=Dashboard!$H$4)),1,0)</f>
        <v>1</v>
      </c>
      <c r="V694">
        <f>IF(U694=1,IF(COUNTIFS($C$2:C694,C694,$U$2:U694,1)=1,1,0),0)</f>
        <v>0</v>
      </c>
    </row>
    <row r="695" spans="1:22" x14ac:dyDescent="0.35">
      <c r="A695">
        <v>10694</v>
      </c>
      <c r="B695" s="1">
        <v>45255</v>
      </c>
      <c r="C695">
        <v>1474</v>
      </c>
      <c r="D695" t="s">
        <v>67</v>
      </c>
      <c r="E695" t="s">
        <v>78</v>
      </c>
      <c r="F695">
        <v>7</v>
      </c>
      <c r="G695" s="2">
        <v>341.05</v>
      </c>
      <c r="H695">
        <v>0.32</v>
      </c>
      <c r="I695" t="s">
        <v>68</v>
      </c>
      <c r="J695">
        <v>9</v>
      </c>
      <c r="K695">
        <v>4.9000000000000004</v>
      </c>
      <c r="L695" s="2">
        <v>1623.4</v>
      </c>
      <c r="M695">
        <v>2023</v>
      </c>
      <c r="N695">
        <v>11</v>
      </c>
      <c r="O695" t="s">
        <v>102</v>
      </c>
      <c r="P695" s="2">
        <v>2387.35</v>
      </c>
      <c r="Q695" s="2">
        <v>763.95</v>
      </c>
      <c r="R695" t="s">
        <v>72</v>
      </c>
      <c r="S695">
        <v>0</v>
      </c>
      <c r="T695">
        <v>0</v>
      </c>
      <c r="U695">
        <f>IF(AND(OR(Dashboard!$D$4="Semua",D695=Dashboard!$D$4),OR(Dashboard!$H$4="Semua",E695=Dashboard!$H$4)),1,0)</f>
        <v>1</v>
      </c>
      <c r="V695">
        <f>IF(U695=1,IF(COUNTIFS($C$2:C695,C695,$U$2:U695,1)=1,1,0),0)</f>
        <v>0</v>
      </c>
    </row>
    <row r="696" spans="1:22" x14ac:dyDescent="0.35">
      <c r="A696">
        <v>10695</v>
      </c>
      <c r="B696" s="1">
        <v>45256</v>
      </c>
      <c r="C696">
        <v>1851</v>
      </c>
      <c r="D696" t="s">
        <v>73</v>
      </c>
      <c r="E696" t="s">
        <v>78</v>
      </c>
      <c r="F696">
        <v>1</v>
      </c>
      <c r="G696" s="2">
        <v>534.83000000000004</v>
      </c>
      <c r="H696">
        <v>7.0000000000000007E-2</v>
      </c>
      <c r="I696" t="s">
        <v>71</v>
      </c>
      <c r="J696">
        <v>9</v>
      </c>
      <c r="K696">
        <v>3.6</v>
      </c>
      <c r="L696" s="2">
        <v>497.39</v>
      </c>
      <c r="M696">
        <v>2023</v>
      </c>
      <c r="N696">
        <v>11</v>
      </c>
      <c r="O696" t="s">
        <v>102</v>
      </c>
      <c r="P696" s="2">
        <v>534.83000000000004</v>
      </c>
      <c r="Q696" s="2">
        <v>37.44</v>
      </c>
      <c r="R696" t="s">
        <v>69</v>
      </c>
      <c r="S696">
        <v>0</v>
      </c>
      <c r="T696">
        <v>0</v>
      </c>
      <c r="U696">
        <f>IF(AND(OR(Dashboard!$D$4="Semua",D696=Dashboard!$D$4),OR(Dashboard!$H$4="Semua",E696=Dashboard!$H$4)),1,0)</f>
        <v>1</v>
      </c>
      <c r="V696">
        <f>IF(U696=1,IF(COUNTIFS($C$2:C696,C696,$U$2:U696,1)=1,1,0),0)</f>
        <v>0</v>
      </c>
    </row>
    <row r="697" spans="1:22" x14ac:dyDescent="0.35">
      <c r="A697">
        <v>10696</v>
      </c>
      <c r="B697" s="1">
        <v>45257</v>
      </c>
      <c r="C697">
        <v>1663</v>
      </c>
      <c r="D697" t="s">
        <v>80</v>
      </c>
      <c r="E697" t="s">
        <v>63</v>
      </c>
      <c r="F697">
        <v>7</v>
      </c>
      <c r="G697" s="2">
        <v>205.75</v>
      </c>
      <c r="H697">
        <v>0.21</v>
      </c>
      <c r="I697" t="s">
        <v>71</v>
      </c>
      <c r="J697">
        <v>8</v>
      </c>
      <c r="K697">
        <v>2.4</v>
      </c>
      <c r="L697" s="2">
        <v>1137.8</v>
      </c>
      <c r="M697">
        <v>2023</v>
      </c>
      <c r="N697">
        <v>11</v>
      </c>
      <c r="O697" t="s">
        <v>102</v>
      </c>
      <c r="P697" s="2">
        <v>1440.25</v>
      </c>
      <c r="Q697" s="2">
        <v>302.45</v>
      </c>
      <c r="R697" t="s">
        <v>77</v>
      </c>
      <c r="S697">
        <v>0</v>
      </c>
      <c r="T697">
        <v>0</v>
      </c>
      <c r="U697">
        <f>IF(AND(OR(Dashboard!$D$4="Semua",D697=Dashboard!$D$4),OR(Dashboard!$H$4="Semua",E697=Dashboard!$H$4)),1,0)</f>
        <v>1</v>
      </c>
      <c r="V697">
        <f>IF(U697=1,IF(COUNTIFS($C$2:C697,C697,$U$2:U697,1)=1,1,0),0)</f>
        <v>0</v>
      </c>
    </row>
    <row r="698" spans="1:22" x14ac:dyDescent="0.35">
      <c r="A698">
        <v>10697</v>
      </c>
      <c r="B698" s="1">
        <v>45258</v>
      </c>
      <c r="C698">
        <v>1907</v>
      </c>
      <c r="D698" t="s">
        <v>73</v>
      </c>
      <c r="E698" t="s">
        <v>70</v>
      </c>
      <c r="F698">
        <v>3</v>
      </c>
      <c r="G698" s="2">
        <v>93.13</v>
      </c>
      <c r="H698">
        <v>0.14000000000000001</v>
      </c>
      <c r="I698" t="s">
        <v>68</v>
      </c>
      <c r="J698">
        <v>7</v>
      </c>
      <c r="K698">
        <v>3.5</v>
      </c>
      <c r="L698" s="2">
        <v>240.28</v>
      </c>
      <c r="M698">
        <v>2023</v>
      </c>
      <c r="N698">
        <v>11</v>
      </c>
      <c r="O698" t="s">
        <v>102</v>
      </c>
      <c r="P698" s="2">
        <v>279.39</v>
      </c>
      <c r="Q698" s="2">
        <v>39.11</v>
      </c>
      <c r="R698" t="s">
        <v>79</v>
      </c>
      <c r="S698">
        <v>0</v>
      </c>
      <c r="T698">
        <v>0</v>
      </c>
      <c r="U698">
        <f>IF(AND(OR(Dashboard!$D$4="Semua",D698=Dashboard!$D$4),OR(Dashboard!$H$4="Semua",E698=Dashboard!$H$4)),1,0)</f>
        <v>1</v>
      </c>
      <c r="V698">
        <f>IF(U698=1,IF(COUNTIFS($C$2:C698,C698,$U$2:U698,1)=1,1,0),0)</f>
        <v>0</v>
      </c>
    </row>
    <row r="699" spans="1:22" x14ac:dyDescent="0.35">
      <c r="A699">
        <v>10698</v>
      </c>
      <c r="B699" s="1">
        <v>45259</v>
      </c>
      <c r="C699">
        <v>1689</v>
      </c>
      <c r="D699" t="s">
        <v>67</v>
      </c>
      <c r="E699" t="s">
        <v>78</v>
      </c>
      <c r="F699">
        <v>2</v>
      </c>
      <c r="G699" s="2">
        <v>301.22000000000003</v>
      </c>
      <c r="H699">
        <v>0.27</v>
      </c>
      <c r="I699" t="s">
        <v>71</v>
      </c>
      <c r="J699">
        <v>10</v>
      </c>
      <c r="K699">
        <v>3.8</v>
      </c>
      <c r="L699" s="2">
        <v>439.78</v>
      </c>
      <c r="M699">
        <v>2023</v>
      </c>
      <c r="N699">
        <v>11</v>
      </c>
      <c r="O699" t="s">
        <v>102</v>
      </c>
      <c r="P699" s="2">
        <v>602.44000000000005</v>
      </c>
      <c r="Q699" s="2">
        <v>162.66</v>
      </c>
      <c r="R699" t="s">
        <v>66</v>
      </c>
      <c r="S699">
        <v>0</v>
      </c>
      <c r="T699">
        <v>0</v>
      </c>
      <c r="U699">
        <f>IF(AND(OR(Dashboard!$D$4="Semua",D699=Dashboard!$D$4),OR(Dashboard!$H$4="Semua",E699=Dashboard!$H$4)),1,0)</f>
        <v>1</v>
      </c>
      <c r="V699">
        <f>IF(U699=1,IF(COUNTIFS($C$2:C699,C699,$U$2:U699,1)=1,1,0),0)</f>
        <v>1</v>
      </c>
    </row>
    <row r="700" spans="1:22" x14ac:dyDescent="0.35">
      <c r="A700">
        <v>10699</v>
      </c>
      <c r="B700" s="1">
        <v>45260</v>
      </c>
      <c r="C700">
        <v>1674</v>
      </c>
      <c r="D700" t="s">
        <v>67</v>
      </c>
      <c r="E700" t="s">
        <v>70</v>
      </c>
      <c r="F700">
        <v>6</v>
      </c>
      <c r="G700" s="2">
        <v>451.83</v>
      </c>
      <c r="H700">
        <v>0.21</v>
      </c>
      <c r="I700" t="s">
        <v>64</v>
      </c>
      <c r="J700">
        <v>3</v>
      </c>
      <c r="K700">
        <v>2.6</v>
      </c>
      <c r="L700" s="2">
        <v>2141.67</v>
      </c>
      <c r="M700">
        <v>2023</v>
      </c>
      <c r="N700">
        <v>11</v>
      </c>
      <c r="O700" t="s">
        <v>102</v>
      </c>
      <c r="P700" s="2">
        <v>2710.98</v>
      </c>
      <c r="Q700" s="2">
        <v>569.30999999999995</v>
      </c>
      <c r="R700" t="s">
        <v>77</v>
      </c>
      <c r="S700">
        <v>0</v>
      </c>
      <c r="T700">
        <v>0</v>
      </c>
      <c r="U700">
        <f>IF(AND(OR(Dashboard!$D$4="Semua",D700=Dashboard!$D$4),OR(Dashboard!$H$4="Semua",E700=Dashboard!$H$4)),1,0)</f>
        <v>1</v>
      </c>
      <c r="V700">
        <f>IF(U700=1,IF(COUNTIFS($C$2:C700,C700,$U$2:U700,1)=1,1,0),0)</f>
        <v>0</v>
      </c>
    </row>
    <row r="701" spans="1:22" x14ac:dyDescent="0.35">
      <c r="A701">
        <v>10700</v>
      </c>
      <c r="B701" s="1">
        <v>45261</v>
      </c>
      <c r="C701">
        <v>1379</v>
      </c>
      <c r="D701" t="s">
        <v>67</v>
      </c>
      <c r="E701" t="s">
        <v>78</v>
      </c>
      <c r="F701">
        <v>2</v>
      </c>
      <c r="G701" s="2">
        <v>79.27</v>
      </c>
      <c r="H701">
        <v>0.17</v>
      </c>
      <c r="I701" t="s">
        <v>68</v>
      </c>
      <c r="J701">
        <v>7</v>
      </c>
      <c r="K701">
        <v>1.4</v>
      </c>
      <c r="L701" s="2">
        <v>131.59</v>
      </c>
      <c r="M701">
        <v>2023</v>
      </c>
      <c r="N701">
        <v>12</v>
      </c>
      <c r="O701" t="s">
        <v>103</v>
      </c>
      <c r="P701" s="2">
        <v>158.54</v>
      </c>
      <c r="Q701" s="2">
        <v>26.95</v>
      </c>
      <c r="R701" t="s">
        <v>76</v>
      </c>
      <c r="S701">
        <v>0</v>
      </c>
      <c r="T701">
        <v>0</v>
      </c>
      <c r="U701">
        <f>IF(AND(OR(Dashboard!$D$4="Semua",D701=Dashboard!$D$4),OR(Dashboard!$H$4="Semua",E701=Dashboard!$H$4)),1,0)</f>
        <v>1</v>
      </c>
      <c r="V701">
        <f>IF(U701=1,IF(COUNTIFS($C$2:C701,C701,$U$2:U701,1)=1,1,0),0)</f>
        <v>0</v>
      </c>
    </row>
    <row r="702" spans="1:22" x14ac:dyDescent="0.35">
      <c r="A702">
        <v>10701</v>
      </c>
      <c r="B702" s="1">
        <v>45262</v>
      </c>
      <c r="C702">
        <v>1544</v>
      </c>
      <c r="D702" t="s">
        <v>80</v>
      </c>
      <c r="E702" t="s">
        <v>74</v>
      </c>
      <c r="F702">
        <v>6</v>
      </c>
      <c r="G702" s="2">
        <v>263.44</v>
      </c>
      <c r="H702">
        <v>0.32</v>
      </c>
      <c r="I702" t="s">
        <v>71</v>
      </c>
      <c r="J702">
        <v>4</v>
      </c>
      <c r="K702">
        <v>3.4</v>
      </c>
      <c r="L702" s="2">
        <v>1074.8399999999999</v>
      </c>
      <c r="M702">
        <v>2023</v>
      </c>
      <c r="N702">
        <v>12</v>
      </c>
      <c r="O702" t="s">
        <v>103</v>
      </c>
      <c r="P702" s="2">
        <v>1580.64</v>
      </c>
      <c r="Q702" s="2">
        <v>505.8</v>
      </c>
      <c r="R702" t="s">
        <v>72</v>
      </c>
      <c r="S702">
        <v>0</v>
      </c>
      <c r="T702">
        <v>0</v>
      </c>
      <c r="U702">
        <f>IF(AND(OR(Dashboard!$D$4="Semua",D702=Dashboard!$D$4),OR(Dashboard!$H$4="Semua",E702=Dashboard!$H$4)),1,0)</f>
        <v>1</v>
      </c>
      <c r="V702">
        <f>IF(U702=1,IF(COUNTIFS($C$2:C702,C702,$U$2:U702,1)=1,1,0),0)</f>
        <v>1</v>
      </c>
    </row>
    <row r="703" spans="1:22" x14ac:dyDescent="0.35">
      <c r="A703">
        <v>10702</v>
      </c>
      <c r="B703" s="1">
        <v>45263</v>
      </c>
      <c r="C703">
        <v>1928</v>
      </c>
      <c r="D703" t="s">
        <v>73</v>
      </c>
      <c r="E703" t="s">
        <v>63</v>
      </c>
      <c r="F703">
        <v>7</v>
      </c>
      <c r="G703" s="2">
        <v>25.4</v>
      </c>
      <c r="H703">
        <v>0.13</v>
      </c>
      <c r="I703" t="s">
        <v>71</v>
      </c>
      <c r="J703">
        <v>2</v>
      </c>
      <c r="K703">
        <v>4.2</v>
      </c>
      <c r="L703" s="2">
        <v>154.69</v>
      </c>
      <c r="M703">
        <v>2023</v>
      </c>
      <c r="N703">
        <v>12</v>
      </c>
      <c r="O703" t="s">
        <v>103</v>
      </c>
      <c r="P703" s="2">
        <v>177.8</v>
      </c>
      <c r="Q703" s="2">
        <v>23.11</v>
      </c>
      <c r="R703" t="s">
        <v>79</v>
      </c>
      <c r="S703">
        <v>0</v>
      </c>
      <c r="T703">
        <v>0</v>
      </c>
      <c r="U703">
        <f>IF(AND(OR(Dashboard!$D$4="Semua",D703=Dashboard!$D$4),OR(Dashboard!$H$4="Semua",E703=Dashboard!$H$4)),1,0)</f>
        <v>1</v>
      </c>
      <c r="V703">
        <f>IF(U703=1,IF(COUNTIFS($C$2:C703,C703,$U$2:U703,1)=1,1,0),0)</f>
        <v>0</v>
      </c>
    </row>
    <row r="704" spans="1:22" x14ac:dyDescent="0.35">
      <c r="A704">
        <v>10703</v>
      </c>
      <c r="B704" s="1">
        <v>45264</v>
      </c>
      <c r="C704">
        <v>1956</v>
      </c>
      <c r="D704" t="s">
        <v>73</v>
      </c>
      <c r="E704" t="s">
        <v>78</v>
      </c>
      <c r="F704">
        <v>6</v>
      </c>
      <c r="G704" s="2">
        <v>34.630000000000003</v>
      </c>
      <c r="H704">
        <v>0.08</v>
      </c>
      <c r="I704" t="s">
        <v>64</v>
      </c>
      <c r="J704">
        <v>8</v>
      </c>
      <c r="K704">
        <v>5</v>
      </c>
      <c r="L704" s="2">
        <v>191.16</v>
      </c>
      <c r="M704">
        <v>2023</v>
      </c>
      <c r="N704">
        <v>12</v>
      </c>
      <c r="O704" t="s">
        <v>103</v>
      </c>
      <c r="P704" s="2">
        <v>207.78</v>
      </c>
      <c r="Q704" s="2">
        <v>16.62</v>
      </c>
      <c r="R704" t="s">
        <v>69</v>
      </c>
      <c r="S704">
        <v>0</v>
      </c>
      <c r="T704">
        <v>0</v>
      </c>
      <c r="U704">
        <f>IF(AND(OR(Dashboard!$D$4="Semua",D704=Dashboard!$D$4),OR(Dashboard!$H$4="Semua",E704=Dashboard!$H$4)),1,0)</f>
        <v>1</v>
      </c>
      <c r="V704">
        <f>IF(U704=1,IF(COUNTIFS($C$2:C704,C704,$U$2:U704,1)=1,1,0),0)</f>
        <v>0</v>
      </c>
    </row>
    <row r="705" spans="1:22" x14ac:dyDescent="0.35">
      <c r="A705">
        <v>10704</v>
      </c>
      <c r="B705" s="1">
        <v>45265</v>
      </c>
      <c r="C705">
        <v>1690</v>
      </c>
      <c r="D705" t="s">
        <v>80</v>
      </c>
      <c r="E705" t="s">
        <v>70</v>
      </c>
      <c r="F705">
        <v>1</v>
      </c>
      <c r="G705" s="2">
        <v>297.52999999999997</v>
      </c>
      <c r="H705">
        <v>0.21</v>
      </c>
      <c r="I705" t="s">
        <v>64</v>
      </c>
      <c r="J705">
        <v>2</v>
      </c>
      <c r="K705">
        <v>1.9</v>
      </c>
      <c r="L705" s="2">
        <v>235.05</v>
      </c>
      <c r="M705">
        <v>2023</v>
      </c>
      <c r="N705">
        <v>12</v>
      </c>
      <c r="O705" t="s">
        <v>103</v>
      </c>
      <c r="P705" s="2">
        <v>297.52999999999997</v>
      </c>
      <c r="Q705" s="2">
        <v>62.48</v>
      </c>
      <c r="R705" t="s">
        <v>77</v>
      </c>
      <c r="S705">
        <v>0</v>
      </c>
      <c r="T705">
        <v>0</v>
      </c>
      <c r="U705">
        <f>IF(AND(OR(Dashboard!$D$4="Semua",D705=Dashboard!$D$4),OR(Dashboard!$H$4="Semua",E705=Dashboard!$H$4)),1,0)</f>
        <v>1</v>
      </c>
      <c r="V705">
        <f>IF(U705=1,IF(COUNTIFS($C$2:C705,C705,$U$2:U705,1)=1,1,0),0)</f>
        <v>0</v>
      </c>
    </row>
    <row r="706" spans="1:22" x14ac:dyDescent="0.35">
      <c r="A706">
        <v>10705</v>
      </c>
      <c r="B706" s="1">
        <v>45266</v>
      </c>
      <c r="C706">
        <v>1426</v>
      </c>
      <c r="D706" t="s">
        <v>67</v>
      </c>
      <c r="E706" t="s">
        <v>74</v>
      </c>
      <c r="F706">
        <v>3</v>
      </c>
      <c r="G706" s="2">
        <v>189.45</v>
      </c>
      <c r="H706">
        <v>0.22</v>
      </c>
      <c r="I706" t="s">
        <v>71</v>
      </c>
      <c r="J706">
        <v>1</v>
      </c>
      <c r="K706">
        <v>3.8</v>
      </c>
      <c r="L706" s="2">
        <v>443.31</v>
      </c>
      <c r="M706">
        <v>2023</v>
      </c>
      <c r="N706">
        <v>12</v>
      </c>
      <c r="O706" t="s">
        <v>103</v>
      </c>
      <c r="P706" s="2">
        <v>568.35</v>
      </c>
      <c r="Q706" s="2">
        <v>125.04</v>
      </c>
      <c r="R706" t="s">
        <v>77</v>
      </c>
      <c r="S706">
        <v>0</v>
      </c>
      <c r="T706">
        <v>0</v>
      </c>
      <c r="U706">
        <f>IF(AND(OR(Dashboard!$D$4="Semua",D706=Dashboard!$D$4),OR(Dashboard!$H$4="Semua",E706=Dashboard!$H$4)),1,0)</f>
        <v>1</v>
      </c>
      <c r="V706">
        <f>IF(U706=1,IF(COUNTIFS($C$2:C706,C706,$U$2:U706,1)=1,1,0),0)</f>
        <v>1</v>
      </c>
    </row>
    <row r="707" spans="1:22" x14ac:dyDescent="0.35">
      <c r="A707">
        <v>10706</v>
      </c>
      <c r="B707" s="1">
        <v>45267</v>
      </c>
      <c r="C707">
        <v>1612</v>
      </c>
      <c r="D707" t="s">
        <v>80</v>
      </c>
      <c r="E707" t="s">
        <v>70</v>
      </c>
      <c r="F707">
        <v>6</v>
      </c>
      <c r="G707" s="2">
        <v>509.39</v>
      </c>
      <c r="H707">
        <v>0.15</v>
      </c>
      <c r="I707" t="s">
        <v>68</v>
      </c>
      <c r="J707">
        <v>5</v>
      </c>
      <c r="K707">
        <v>1.1000000000000001</v>
      </c>
      <c r="L707" s="2">
        <v>2597.89</v>
      </c>
      <c r="M707">
        <v>2023</v>
      </c>
      <c r="N707">
        <v>12</v>
      </c>
      <c r="O707" t="s">
        <v>103</v>
      </c>
      <c r="P707" s="2">
        <v>3056.34</v>
      </c>
      <c r="Q707" s="2">
        <v>458.45</v>
      </c>
      <c r="R707" t="s">
        <v>79</v>
      </c>
      <c r="S707">
        <v>0</v>
      </c>
      <c r="T707">
        <v>0</v>
      </c>
      <c r="U707">
        <f>IF(AND(OR(Dashboard!$D$4="Semua",D707=Dashboard!$D$4),OR(Dashboard!$H$4="Semua",E707=Dashboard!$H$4)),1,0)</f>
        <v>1</v>
      </c>
      <c r="V707">
        <f>IF(U707=1,IF(COUNTIFS($C$2:C707,C707,$U$2:U707,1)=1,1,0),0)</f>
        <v>0</v>
      </c>
    </row>
    <row r="708" spans="1:22" x14ac:dyDescent="0.35">
      <c r="A708">
        <v>10707</v>
      </c>
      <c r="B708" s="1">
        <v>45268</v>
      </c>
      <c r="C708">
        <v>1267</v>
      </c>
      <c r="D708" t="s">
        <v>80</v>
      </c>
      <c r="E708" t="s">
        <v>74</v>
      </c>
      <c r="F708">
        <v>3</v>
      </c>
      <c r="G708" s="2">
        <v>367.26</v>
      </c>
      <c r="H708">
        <v>0.17</v>
      </c>
      <c r="I708" t="s">
        <v>68</v>
      </c>
      <c r="J708">
        <v>10</v>
      </c>
      <c r="K708">
        <v>4.9000000000000004</v>
      </c>
      <c r="L708" s="2">
        <v>914.48</v>
      </c>
      <c r="M708">
        <v>2023</v>
      </c>
      <c r="N708">
        <v>12</v>
      </c>
      <c r="O708" t="s">
        <v>103</v>
      </c>
      <c r="P708" s="2">
        <v>1101.78</v>
      </c>
      <c r="Q708" s="2">
        <v>187.3</v>
      </c>
      <c r="R708" t="s">
        <v>76</v>
      </c>
      <c r="S708">
        <v>0</v>
      </c>
      <c r="T708">
        <v>0</v>
      </c>
      <c r="U708">
        <f>IF(AND(OR(Dashboard!$D$4="Semua",D708=Dashboard!$D$4),OR(Dashboard!$H$4="Semua",E708=Dashboard!$H$4)),1,0)</f>
        <v>1</v>
      </c>
      <c r="V708">
        <f>IF(U708=1,IF(COUNTIFS($C$2:C708,C708,$U$2:U708,1)=1,1,0),0)</f>
        <v>0</v>
      </c>
    </row>
    <row r="709" spans="1:22" x14ac:dyDescent="0.35">
      <c r="A709">
        <v>10708</v>
      </c>
      <c r="B709" s="1">
        <v>45269</v>
      </c>
      <c r="C709">
        <v>1834</v>
      </c>
      <c r="D709" t="s">
        <v>80</v>
      </c>
      <c r="E709" t="s">
        <v>63</v>
      </c>
      <c r="F709">
        <v>6</v>
      </c>
      <c r="G709" s="2">
        <v>280.55</v>
      </c>
      <c r="H709">
        <v>0.34</v>
      </c>
      <c r="I709" t="s">
        <v>68</v>
      </c>
      <c r="J709">
        <v>9</v>
      </c>
      <c r="K709">
        <v>1.1000000000000001</v>
      </c>
      <c r="L709" s="2">
        <v>1110.98</v>
      </c>
      <c r="M709">
        <v>2023</v>
      </c>
      <c r="N709">
        <v>12</v>
      </c>
      <c r="O709" t="s">
        <v>103</v>
      </c>
      <c r="P709" s="2">
        <v>1683.3</v>
      </c>
      <c r="Q709" s="2">
        <v>572.32000000000005</v>
      </c>
      <c r="R709" t="s">
        <v>72</v>
      </c>
      <c r="S709">
        <v>0</v>
      </c>
      <c r="T709">
        <v>0</v>
      </c>
      <c r="U709">
        <f>IF(AND(OR(Dashboard!$D$4="Semua",D709=Dashboard!$D$4),OR(Dashboard!$H$4="Semua",E709=Dashboard!$H$4)),1,0)</f>
        <v>1</v>
      </c>
      <c r="V709">
        <f>IF(U709=1,IF(COUNTIFS($C$2:C709,C709,$U$2:U709,1)=1,1,0),0)</f>
        <v>1</v>
      </c>
    </row>
    <row r="710" spans="1:22" x14ac:dyDescent="0.35">
      <c r="A710">
        <v>10709</v>
      </c>
      <c r="B710" s="1">
        <v>45270</v>
      </c>
      <c r="C710">
        <v>1576</v>
      </c>
      <c r="D710" t="s">
        <v>67</v>
      </c>
      <c r="E710" t="s">
        <v>74</v>
      </c>
      <c r="F710">
        <v>3</v>
      </c>
      <c r="G710" s="2">
        <v>253.64</v>
      </c>
      <c r="H710">
        <v>0.26</v>
      </c>
      <c r="I710" t="s">
        <v>71</v>
      </c>
      <c r="J710">
        <v>5</v>
      </c>
      <c r="K710">
        <v>2.4</v>
      </c>
      <c r="L710" s="2">
        <v>563.08000000000004</v>
      </c>
      <c r="M710">
        <v>2023</v>
      </c>
      <c r="N710">
        <v>12</v>
      </c>
      <c r="O710" t="s">
        <v>103</v>
      </c>
      <c r="P710" s="2">
        <v>760.92</v>
      </c>
      <c r="Q710" s="2">
        <v>197.84</v>
      </c>
      <c r="R710" t="s">
        <v>66</v>
      </c>
      <c r="S710">
        <v>0</v>
      </c>
      <c r="T710">
        <v>0</v>
      </c>
      <c r="U710">
        <f>IF(AND(OR(Dashboard!$D$4="Semua",D710=Dashboard!$D$4),OR(Dashboard!$H$4="Semua",E710=Dashboard!$H$4)),1,0)</f>
        <v>1</v>
      </c>
      <c r="V710">
        <f>IF(U710=1,IF(COUNTIFS($C$2:C710,C710,$U$2:U710,1)=1,1,0),0)</f>
        <v>1</v>
      </c>
    </row>
    <row r="711" spans="1:22" x14ac:dyDescent="0.35">
      <c r="A711">
        <v>10710</v>
      </c>
      <c r="B711" s="1">
        <v>45271</v>
      </c>
      <c r="C711">
        <v>1416</v>
      </c>
      <c r="D711" t="s">
        <v>73</v>
      </c>
      <c r="E711" t="s">
        <v>70</v>
      </c>
      <c r="F711">
        <v>2</v>
      </c>
      <c r="G711" s="2">
        <v>305.89</v>
      </c>
      <c r="H711">
        <v>0.04</v>
      </c>
      <c r="I711" t="s">
        <v>71</v>
      </c>
      <c r="J711">
        <v>11</v>
      </c>
      <c r="K711">
        <v>1.3</v>
      </c>
      <c r="L711" s="2">
        <v>587.30999999999995</v>
      </c>
      <c r="M711">
        <v>2023</v>
      </c>
      <c r="N711">
        <v>12</v>
      </c>
      <c r="O711" t="s">
        <v>103</v>
      </c>
      <c r="P711" s="2">
        <v>611.78</v>
      </c>
      <c r="Q711" s="2">
        <v>24.47</v>
      </c>
      <c r="R711" t="s">
        <v>75</v>
      </c>
      <c r="S711">
        <v>0</v>
      </c>
      <c r="T711">
        <v>0</v>
      </c>
      <c r="U711">
        <f>IF(AND(OR(Dashboard!$D$4="Semua",D711=Dashboard!$D$4),OR(Dashboard!$H$4="Semua",E711=Dashboard!$H$4)),1,0)</f>
        <v>1</v>
      </c>
      <c r="V711">
        <f>IF(U711=1,IF(COUNTIFS($C$2:C711,C711,$U$2:U711,1)=1,1,0),0)</f>
        <v>1</v>
      </c>
    </row>
    <row r="712" spans="1:22" x14ac:dyDescent="0.35">
      <c r="A712">
        <v>10711</v>
      </c>
      <c r="B712" s="1">
        <v>45272</v>
      </c>
      <c r="C712">
        <v>1167</v>
      </c>
      <c r="D712" t="s">
        <v>80</v>
      </c>
      <c r="E712" t="s">
        <v>70</v>
      </c>
      <c r="F712">
        <v>1</v>
      </c>
      <c r="G712" s="2">
        <v>38.659999999999997</v>
      </c>
      <c r="H712">
        <v>7.0000000000000007E-2</v>
      </c>
      <c r="I712" t="s">
        <v>64</v>
      </c>
      <c r="J712">
        <v>2</v>
      </c>
      <c r="K712">
        <v>3.5</v>
      </c>
      <c r="L712" s="2">
        <v>35.950000000000003</v>
      </c>
      <c r="M712">
        <v>2023</v>
      </c>
      <c r="N712">
        <v>12</v>
      </c>
      <c r="O712" t="s">
        <v>103</v>
      </c>
      <c r="P712" s="2">
        <v>38.659999999999997</v>
      </c>
      <c r="Q712" s="2">
        <v>2.71</v>
      </c>
      <c r="R712" t="s">
        <v>69</v>
      </c>
      <c r="S712">
        <v>0</v>
      </c>
      <c r="T712">
        <v>0</v>
      </c>
      <c r="U712">
        <f>IF(AND(OR(Dashboard!$D$4="Semua",D712=Dashboard!$D$4),OR(Dashboard!$H$4="Semua",E712=Dashboard!$H$4)),1,0)</f>
        <v>1</v>
      </c>
      <c r="V712">
        <f>IF(U712=1,IF(COUNTIFS($C$2:C712,C712,$U$2:U712,1)=1,1,0),0)</f>
        <v>1</v>
      </c>
    </row>
    <row r="713" spans="1:22" x14ac:dyDescent="0.35">
      <c r="A713">
        <v>10712</v>
      </c>
      <c r="B713" s="1">
        <v>45273</v>
      </c>
      <c r="C713">
        <v>1841</v>
      </c>
      <c r="D713" t="s">
        <v>67</v>
      </c>
      <c r="E713" t="s">
        <v>78</v>
      </c>
      <c r="F713">
        <v>6</v>
      </c>
      <c r="G713" s="2">
        <v>537.28</v>
      </c>
      <c r="H713">
        <v>0.34</v>
      </c>
      <c r="I713" t="s">
        <v>71</v>
      </c>
      <c r="J713">
        <v>10</v>
      </c>
      <c r="K713">
        <v>2.4</v>
      </c>
      <c r="L713" s="2">
        <v>2127.63</v>
      </c>
      <c r="M713">
        <v>2023</v>
      </c>
      <c r="N713">
        <v>12</v>
      </c>
      <c r="O713" t="s">
        <v>103</v>
      </c>
      <c r="P713" s="2">
        <v>3223.68</v>
      </c>
      <c r="Q713" s="2">
        <v>1096.05</v>
      </c>
      <c r="R713" t="s">
        <v>72</v>
      </c>
      <c r="S713">
        <v>0</v>
      </c>
      <c r="T713">
        <v>0</v>
      </c>
      <c r="U713">
        <f>IF(AND(OR(Dashboard!$D$4="Semua",D713=Dashboard!$D$4),OR(Dashboard!$H$4="Semua",E713=Dashboard!$H$4)),1,0)</f>
        <v>1</v>
      </c>
      <c r="V713">
        <f>IF(U713=1,IF(COUNTIFS($C$2:C713,C713,$U$2:U713,1)=1,1,0),0)</f>
        <v>1</v>
      </c>
    </row>
    <row r="714" spans="1:22" x14ac:dyDescent="0.35">
      <c r="A714">
        <v>10713</v>
      </c>
      <c r="B714" s="1">
        <v>45274</v>
      </c>
      <c r="C714">
        <v>1042</v>
      </c>
      <c r="D714" t="s">
        <v>73</v>
      </c>
      <c r="E714" t="s">
        <v>74</v>
      </c>
      <c r="F714">
        <v>4</v>
      </c>
      <c r="G714" s="2">
        <v>599.01</v>
      </c>
      <c r="H714">
        <v>0.25</v>
      </c>
      <c r="I714" t="s">
        <v>71</v>
      </c>
      <c r="J714">
        <v>4</v>
      </c>
      <c r="K714">
        <v>3.9</v>
      </c>
      <c r="L714" s="2">
        <v>1797.03</v>
      </c>
      <c r="M714">
        <v>2023</v>
      </c>
      <c r="N714">
        <v>12</v>
      </c>
      <c r="O714" t="s">
        <v>103</v>
      </c>
      <c r="P714" s="2">
        <v>2396.04</v>
      </c>
      <c r="Q714" s="2">
        <v>599.01</v>
      </c>
      <c r="R714" t="s">
        <v>77</v>
      </c>
      <c r="S714">
        <v>0</v>
      </c>
      <c r="T714">
        <v>0</v>
      </c>
      <c r="U714">
        <f>IF(AND(OR(Dashboard!$D$4="Semua",D714=Dashboard!$D$4),OR(Dashboard!$H$4="Semua",E714=Dashboard!$H$4)),1,0)</f>
        <v>1</v>
      </c>
      <c r="V714">
        <f>IF(U714=1,IF(COUNTIFS($C$2:C714,C714,$U$2:U714,1)=1,1,0),0)</f>
        <v>1</v>
      </c>
    </row>
    <row r="715" spans="1:22" x14ac:dyDescent="0.35">
      <c r="A715">
        <v>10714</v>
      </c>
      <c r="B715" s="1">
        <v>45275</v>
      </c>
      <c r="C715">
        <v>1555</v>
      </c>
      <c r="D715" t="s">
        <v>62</v>
      </c>
      <c r="E715" t="s">
        <v>70</v>
      </c>
      <c r="F715">
        <v>3</v>
      </c>
      <c r="G715" s="2">
        <v>121.17</v>
      </c>
      <c r="H715">
        <v>0.32</v>
      </c>
      <c r="I715" t="s">
        <v>71</v>
      </c>
      <c r="J715">
        <v>8</v>
      </c>
      <c r="K715">
        <v>2.9</v>
      </c>
      <c r="L715" s="2">
        <v>247.19</v>
      </c>
      <c r="M715">
        <v>2023</v>
      </c>
      <c r="N715">
        <v>12</v>
      </c>
      <c r="O715" t="s">
        <v>103</v>
      </c>
      <c r="P715" s="2">
        <v>363.51</v>
      </c>
      <c r="Q715" s="2">
        <v>116.32</v>
      </c>
      <c r="R715" t="s">
        <v>72</v>
      </c>
      <c r="S715">
        <v>0</v>
      </c>
      <c r="T715">
        <v>0</v>
      </c>
      <c r="U715">
        <f>IF(AND(OR(Dashboard!$D$4="Semua",D715=Dashboard!$D$4),OR(Dashboard!$H$4="Semua",E715=Dashboard!$H$4)),1,0)</f>
        <v>1</v>
      </c>
      <c r="V715">
        <f>IF(U715=1,IF(COUNTIFS($C$2:C715,C715,$U$2:U715,1)=1,1,0),0)</f>
        <v>0</v>
      </c>
    </row>
    <row r="716" spans="1:22" x14ac:dyDescent="0.35">
      <c r="A716">
        <v>10715</v>
      </c>
      <c r="B716" s="1">
        <v>45276</v>
      </c>
      <c r="C716">
        <v>1284</v>
      </c>
      <c r="D716" t="s">
        <v>62</v>
      </c>
      <c r="E716" t="s">
        <v>78</v>
      </c>
      <c r="F716">
        <v>3</v>
      </c>
      <c r="G716" s="2">
        <v>85.42</v>
      </c>
      <c r="H716">
        <v>0.11</v>
      </c>
      <c r="I716" t="s">
        <v>68</v>
      </c>
      <c r="J716">
        <v>7</v>
      </c>
      <c r="K716">
        <v>2.7</v>
      </c>
      <c r="L716" s="2">
        <v>228.07</v>
      </c>
      <c r="M716">
        <v>2023</v>
      </c>
      <c r="N716">
        <v>12</v>
      </c>
      <c r="O716" t="s">
        <v>103</v>
      </c>
      <c r="P716" s="2">
        <v>256.26</v>
      </c>
      <c r="Q716" s="2">
        <v>28.19</v>
      </c>
      <c r="R716" t="s">
        <v>79</v>
      </c>
      <c r="S716">
        <v>0</v>
      </c>
      <c r="T716">
        <v>0</v>
      </c>
      <c r="U716">
        <f>IF(AND(OR(Dashboard!$D$4="Semua",D716=Dashboard!$D$4),OR(Dashboard!$H$4="Semua",E716=Dashboard!$H$4)),1,0)</f>
        <v>1</v>
      </c>
      <c r="V716">
        <f>IF(U716=1,IF(COUNTIFS($C$2:C716,C716,$U$2:U716,1)=1,1,0),0)</f>
        <v>0</v>
      </c>
    </row>
    <row r="717" spans="1:22" x14ac:dyDescent="0.35">
      <c r="A717">
        <v>10716</v>
      </c>
      <c r="B717" s="1">
        <v>45277</v>
      </c>
      <c r="C717">
        <v>1396</v>
      </c>
      <c r="D717" t="s">
        <v>67</v>
      </c>
      <c r="E717" t="s">
        <v>63</v>
      </c>
      <c r="F717">
        <v>4</v>
      </c>
      <c r="G717" s="2">
        <v>98.99</v>
      </c>
      <c r="H717">
        <v>0.26</v>
      </c>
      <c r="I717" t="s">
        <v>71</v>
      </c>
      <c r="J717">
        <v>5</v>
      </c>
      <c r="K717">
        <v>2.4</v>
      </c>
      <c r="L717" s="2">
        <v>293.01</v>
      </c>
      <c r="M717">
        <v>2023</v>
      </c>
      <c r="N717">
        <v>12</v>
      </c>
      <c r="O717" t="s">
        <v>103</v>
      </c>
      <c r="P717" s="2">
        <v>395.96</v>
      </c>
      <c r="Q717" s="2">
        <v>102.95</v>
      </c>
      <c r="R717" t="s">
        <v>66</v>
      </c>
      <c r="S717">
        <v>0</v>
      </c>
      <c r="T717">
        <v>0</v>
      </c>
      <c r="U717">
        <f>IF(AND(OR(Dashboard!$D$4="Semua",D717=Dashboard!$D$4),OR(Dashboard!$H$4="Semua",E717=Dashboard!$H$4)),1,0)</f>
        <v>1</v>
      </c>
      <c r="V717">
        <f>IF(U717=1,IF(COUNTIFS($C$2:C717,C717,$U$2:U717,1)=1,1,0),0)</f>
        <v>1</v>
      </c>
    </row>
    <row r="718" spans="1:22" x14ac:dyDescent="0.35">
      <c r="A718">
        <v>10717</v>
      </c>
      <c r="B718" s="1">
        <v>45278</v>
      </c>
      <c r="C718">
        <v>1011</v>
      </c>
      <c r="D718" t="s">
        <v>73</v>
      </c>
      <c r="E718" t="s">
        <v>70</v>
      </c>
      <c r="F718">
        <v>1</v>
      </c>
      <c r="G718" s="2">
        <v>401.7</v>
      </c>
      <c r="H718">
        <v>0.25</v>
      </c>
      <c r="I718" t="s">
        <v>71</v>
      </c>
      <c r="J718">
        <v>4</v>
      </c>
      <c r="K718">
        <v>1.3</v>
      </c>
      <c r="L718" s="2">
        <v>301.27</v>
      </c>
      <c r="M718">
        <v>2023</v>
      </c>
      <c r="N718">
        <v>12</v>
      </c>
      <c r="O718" t="s">
        <v>103</v>
      </c>
      <c r="P718" s="2">
        <v>401.7</v>
      </c>
      <c r="Q718" s="2">
        <v>100.43</v>
      </c>
      <c r="R718" t="s">
        <v>77</v>
      </c>
      <c r="S718">
        <v>0</v>
      </c>
      <c r="T718">
        <v>0</v>
      </c>
      <c r="U718">
        <f>IF(AND(OR(Dashboard!$D$4="Semua",D718=Dashboard!$D$4),OR(Dashboard!$H$4="Semua",E718=Dashboard!$H$4)),1,0)</f>
        <v>1</v>
      </c>
      <c r="V718">
        <f>IF(U718=1,IF(COUNTIFS($C$2:C718,C718,$U$2:U718,1)=1,1,0),0)</f>
        <v>1</v>
      </c>
    </row>
    <row r="719" spans="1:22" x14ac:dyDescent="0.35">
      <c r="A719">
        <v>10718</v>
      </c>
      <c r="B719" s="1">
        <v>45279</v>
      </c>
      <c r="C719">
        <v>1606</v>
      </c>
      <c r="D719" t="s">
        <v>67</v>
      </c>
      <c r="E719" t="s">
        <v>78</v>
      </c>
      <c r="F719">
        <v>3</v>
      </c>
      <c r="G719" s="2">
        <v>401.94</v>
      </c>
      <c r="H719">
        <v>0.1</v>
      </c>
      <c r="I719" t="s">
        <v>64</v>
      </c>
      <c r="J719">
        <v>5</v>
      </c>
      <c r="K719">
        <v>1.8</v>
      </c>
      <c r="L719" s="2">
        <v>1085.24</v>
      </c>
      <c r="M719">
        <v>2023</v>
      </c>
      <c r="N719">
        <v>12</v>
      </c>
      <c r="O719" t="s">
        <v>103</v>
      </c>
      <c r="P719" s="2">
        <v>1205.82</v>
      </c>
      <c r="Q719" s="2">
        <v>120.58</v>
      </c>
      <c r="R719" t="s">
        <v>69</v>
      </c>
      <c r="S719">
        <v>0</v>
      </c>
      <c r="T719">
        <v>0</v>
      </c>
      <c r="U719">
        <f>IF(AND(OR(Dashboard!$D$4="Semua",D719=Dashboard!$D$4),OR(Dashboard!$H$4="Semua",E719=Dashboard!$H$4)),1,0)</f>
        <v>1</v>
      </c>
      <c r="V719">
        <f>IF(U719=1,IF(COUNTIFS($C$2:C719,C719,$U$2:U719,1)=1,1,0),0)</f>
        <v>0</v>
      </c>
    </row>
    <row r="720" spans="1:22" x14ac:dyDescent="0.35">
      <c r="A720">
        <v>10719</v>
      </c>
      <c r="B720" s="1">
        <v>45280</v>
      </c>
      <c r="C720">
        <v>1301</v>
      </c>
      <c r="D720" t="s">
        <v>80</v>
      </c>
      <c r="E720" t="s">
        <v>70</v>
      </c>
      <c r="F720">
        <v>1</v>
      </c>
      <c r="G720" s="2">
        <v>511.04</v>
      </c>
      <c r="H720">
        <v>0.19</v>
      </c>
      <c r="I720" t="s">
        <v>68</v>
      </c>
      <c r="J720">
        <v>7</v>
      </c>
      <c r="K720">
        <v>3.6</v>
      </c>
      <c r="L720" s="2">
        <v>413.94</v>
      </c>
      <c r="M720">
        <v>2023</v>
      </c>
      <c r="N720">
        <v>12</v>
      </c>
      <c r="O720" t="s">
        <v>103</v>
      </c>
      <c r="P720" s="2">
        <v>511.04</v>
      </c>
      <c r="Q720" s="2">
        <v>97.1</v>
      </c>
      <c r="R720" t="s">
        <v>76</v>
      </c>
      <c r="S720">
        <v>0</v>
      </c>
      <c r="T720">
        <v>0</v>
      </c>
      <c r="U720">
        <f>IF(AND(OR(Dashboard!$D$4="Semua",D720=Dashboard!$D$4),OR(Dashboard!$H$4="Semua",E720=Dashboard!$H$4)),1,0)</f>
        <v>1</v>
      </c>
      <c r="V720">
        <f>IF(U720=1,IF(COUNTIFS($C$2:C720,C720,$U$2:U720,1)=1,1,0),0)</f>
        <v>0</v>
      </c>
    </row>
    <row r="721" spans="1:22" x14ac:dyDescent="0.35">
      <c r="A721">
        <v>10720</v>
      </c>
      <c r="B721" s="1">
        <v>45281</v>
      </c>
      <c r="C721">
        <v>1897</v>
      </c>
      <c r="D721" t="s">
        <v>62</v>
      </c>
      <c r="E721" t="s">
        <v>74</v>
      </c>
      <c r="F721">
        <v>3</v>
      </c>
      <c r="G721" s="2">
        <v>454.82</v>
      </c>
      <c r="H721">
        <v>0.22</v>
      </c>
      <c r="I721" t="s">
        <v>64</v>
      </c>
      <c r="J721">
        <v>5</v>
      </c>
      <c r="K721">
        <v>3</v>
      </c>
      <c r="L721" s="2">
        <v>1064.28</v>
      </c>
      <c r="M721">
        <v>2023</v>
      </c>
      <c r="N721">
        <v>12</v>
      </c>
      <c r="O721" t="s">
        <v>103</v>
      </c>
      <c r="P721" s="2">
        <v>1364.46</v>
      </c>
      <c r="Q721" s="2">
        <v>300.18</v>
      </c>
      <c r="R721" t="s">
        <v>77</v>
      </c>
      <c r="S721">
        <v>0</v>
      </c>
      <c r="T721">
        <v>0</v>
      </c>
      <c r="U721">
        <f>IF(AND(OR(Dashboard!$D$4="Semua",D721=Dashboard!$D$4),OR(Dashboard!$H$4="Semua",E721=Dashboard!$H$4)),1,0)</f>
        <v>1</v>
      </c>
      <c r="V721">
        <f>IF(U721=1,IF(COUNTIFS($C$2:C721,C721,$U$2:U721,1)=1,1,0),0)</f>
        <v>0</v>
      </c>
    </row>
    <row r="722" spans="1:22" x14ac:dyDescent="0.35">
      <c r="A722">
        <v>10721</v>
      </c>
      <c r="B722" s="1">
        <v>45282</v>
      </c>
      <c r="C722">
        <v>1252</v>
      </c>
      <c r="D722" t="s">
        <v>73</v>
      </c>
      <c r="E722" t="s">
        <v>78</v>
      </c>
      <c r="F722">
        <v>7</v>
      </c>
      <c r="G722" s="2">
        <v>278.07</v>
      </c>
      <c r="H722">
        <v>0.17</v>
      </c>
      <c r="I722" t="s">
        <v>71</v>
      </c>
      <c r="J722">
        <v>8</v>
      </c>
      <c r="K722">
        <v>1.3</v>
      </c>
      <c r="L722" s="2">
        <v>1615.59</v>
      </c>
      <c r="M722">
        <v>2023</v>
      </c>
      <c r="N722">
        <v>12</v>
      </c>
      <c r="O722" t="s">
        <v>103</v>
      </c>
      <c r="P722" s="2">
        <v>1946.49</v>
      </c>
      <c r="Q722" s="2">
        <v>330.9</v>
      </c>
      <c r="R722" t="s">
        <v>76</v>
      </c>
      <c r="S722">
        <v>0</v>
      </c>
      <c r="T722">
        <v>0</v>
      </c>
      <c r="U722">
        <f>IF(AND(OR(Dashboard!$D$4="Semua",D722=Dashboard!$D$4),OR(Dashboard!$H$4="Semua",E722=Dashboard!$H$4)),1,0)</f>
        <v>1</v>
      </c>
      <c r="V722">
        <f>IF(U722=1,IF(COUNTIFS($C$2:C722,C722,$U$2:U722,1)=1,1,0),0)</f>
        <v>0</v>
      </c>
    </row>
    <row r="723" spans="1:22" x14ac:dyDescent="0.35">
      <c r="A723">
        <v>10722</v>
      </c>
      <c r="B723" s="1">
        <v>45283</v>
      </c>
      <c r="C723">
        <v>1498</v>
      </c>
      <c r="D723" t="s">
        <v>73</v>
      </c>
      <c r="E723" t="s">
        <v>74</v>
      </c>
      <c r="F723">
        <v>5</v>
      </c>
      <c r="G723" s="2">
        <v>373.52</v>
      </c>
      <c r="H723">
        <v>0.28999999999999998</v>
      </c>
      <c r="I723" t="s">
        <v>68</v>
      </c>
      <c r="J723">
        <v>7</v>
      </c>
      <c r="K723">
        <v>3.2</v>
      </c>
      <c r="L723" s="2">
        <v>1326</v>
      </c>
      <c r="M723">
        <v>2023</v>
      </c>
      <c r="N723">
        <v>12</v>
      </c>
      <c r="O723" t="s">
        <v>103</v>
      </c>
      <c r="P723" s="2">
        <v>1867.6</v>
      </c>
      <c r="Q723" s="2">
        <v>541.6</v>
      </c>
      <c r="R723" t="s">
        <v>66</v>
      </c>
      <c r="S723">
        <v>0</v>
      </c>
      <c r="T723">
        <v>0</v>
      </c>
      <c r="U723">
        <f>IF(AND(OR(Dashboard!$D$4="Semua",D723=Dashboard!$D$4),OR(Dashboard!$H$4="Semua",E723=Dashboard!$H$4)),1,0)</f>
        <v>1</v>
      </c>
      <c r="V723">
        <f>IF(U723=1,IF(COUNTIFS($C$2:C723,C723,$U$2:U723,1)=1,1,0),0)</f>
        <v>0</v>
      </c>
    </row>
    <row r="724" spans="1:22" x14ac:dyDescent="0.35">
      <c r="A724">
        <v>10723</v>
      </c>
      <c r="B724" s="1">
        <v>45284</v>
      </c>
      <c r="C724">
        <v>1753</v>
      </c>
      <c r="D724" t="s">
        <v>62</v>
      </c>
      <c r="E724" t="s">
        <v>63</v>
      </c>
      <c r="F724">
        <v>7</v>
      </c>
      <c r="G724" s="2">
        <v>417.65</v>
      </c>
      <c r="H724">
        <v>0.28999999999999998</v>
      </c>
      <c r="I724" t="s">
        <v>68</v>
      </c>
      <c r="J724">
        <v>7</v>
      </c>
      <c r="K724">
        <v>1.2</v>
      </c>
      <c r="L724" s="2">
        <v>2075.7199999999998</v>
      </c>
      <c r="M724">
        <v>2023</v>
      </c>
      <c r="N724">
        <v>12</v>
      </c>
      <c r="O724" t="s">
        <v>103</v>
      </c>
      <c r="P724" s="2">
        <v>2923.55</v>
      </c>
      <c r="Q724" s="2">
        <v>847.83</v>
      </c>
      <c r="R724" t="s">
        <v>66</v>
      </c>
      <c r="S724">
        <v>0</v>
      </c>
      <c r="T724">
        <v>0</v>
      </c>
      <c r="U724">
        <f>IF(AND(OR(Dashboard!$D$4="Semua",D724=Dashboard!$D$4),OR(Dashboard!$H$4="Semua",E724=Dashboard!$H$4)),1,0)</f>
        <v>1</v>
      </c>
      <c r="V724">
        <f>IF(U724=1,IF(COUNTIFS($C$2:C724,C724,$U$2:U724,1)=1,1,0),0)</f>
        <v>1</v>
      </c>
    </row>
    <row r="725" spans="1:22" x14ac:dyDescent="0.35">
      <c r="A725">
        <v>10724</v>
      </c>
      <c r="B725" s="1">
        <v>45285</v>
      </c>
      <c r="C725">
        <v>1034</v>
      </c>
      <c r="D725" t="s">
        <v>67</v>
      </c>
      <c r="E725" t="s">
        <v>74</v>
      </c>
      <c r="F725">
        <v>3</v>
      </c>
      <c r="G725" s="2">
        <v>314.95</v>
      </c>
      <c r="H725">
        <v>0.3</v>
      </c>
      <c r="I725" t="s">
        <v>68</v>
      </c>
      <c r="J725">
        <v>9</v>
      </c>
      <c r="K725">
        <v>3</v>
      </c>
      <c r="L725" s="2">
        <v>661.39</v>
      </c>
      <c r="M725">
        <v>2023</v>
      </c>
      <c r="N725">
        <v>12</v>
      </c>
      <c r="O725" t="s">
        <v>103</v>
      </c>
      <c r="P725" s="2">
        <v>944.85</v>
      </c>
      <c r="Q725" s="2">
        <v>283.45999999999998</v>
      </c>
      <c r="R725" t="s">
        <v>66</v>
      </c>
      <c r="S725">
        <v>0</v>
      </c>
      <c r="T725">
        <v>0</v>
      </c>
      <c r="U725">
        <f>IF(AND(OR(Dashboard!$D$4="Semua",D725=Dashboard!$D$4),OR(Dashboard!$H$4="Semua",E725=Dashboard!$H$4)),1,0)</f>
        <v>1</v>
      </c>
      <c r="V725">
        <f>IF(U725=1,IF(COUNTIFS($C$2:C725,C725,$U$2:U725,1)=1,1,0),0)</f>
        <v>0</v>
      </c>
    </row>
    <row r="726" spans="1:22" x14ac:dyDescent="0.35">
      <c r="A726">
        <v>10725</v>
      </c>
      <c r="B726" s="1">
        <v>45286</v>
      </c>
      <c r="C726">
        <v>1726</v>
      </c>
      <c r="D726" t="s">
        <v>67</v>
      </c>
      <c r="E726" t="s">
        <v>78</v>
      </c>
      <c r="F726">
        <v>5</v>
      </c>
      <c r="G726" s="2">
        <v>293.26</v>
      </c>
      <c r="H726">
        <v>0.28000000000000003</v>
      </c>
      <c r="I726" t="s">
        <v>71</v>
      </c>
      <c r="J726">
        <v>8</v>
      </c>
      <c r="K726">
        <v>4.9000000000000004</v>
      </c>
      <c r="L726" s="2">
        <v>1055.74</v>
      </c>
      <c r="M726">
        <v>2023</v>
      </c>
      <c r="N726">
        <v>12</v>
      </c>
      <c r="O726" t="s">
        <v>103</v>
      </c>
      <c r="P726" s="2">
        <v>1466.3</v>
      </c>
      <c r="Q726" s="2">
        <v>410.56</v>
      </c>
      <c r="R726" t="s">
        <v>66</v>
      </c>
      <c r="S726">
        <v>0</v>
      </c>
      <c r="T726">
        <v>0</v>
      </c>
      <c r="U726">
        <f>IF(AND(OR(Dashboard!$D$4="Semua",D726=Dashboard!$D$4),OR(Dashboard!$H$4="Semua",E726=Dashboard!$H$4)),1,0)</f>
        <v>1</v>
      </c>
      <c r="V726">
        <f>IF(U726=1,IF(COUNTIFS($C$2:C726,C726,$U$2:U726,1)=1,1,0),0)</f>
        <v>0</v>
      </c>
    </row>
    <row r="727" spans="1:22" x14ac:dyDescent="0.35">
      <c r="A727">
        <v>10726</v>
      </c>
      <c r="B727" s="1">
        <v>45287</v>
      </c>
      <c r="C727">
        <v>1848</v>
      </c>
      <c r="D727" t="s">
        <v>62</v>
      </c>
      <c r="E727" t="s">
        <v>70</v>
      </c>
      <c r="F727">
        <v>6</v>
      </c>
      <c r="G727" s="2">
        <v>392.38</v>
      </c>
      <c r="H727">
        <v>0.17</v>
      </c>
      <c r="I727" t="s">
        <v>68</v>
      </c>
      <c r="J727">
        <v>8</v>
      </c>
      <c r="K727">
        <v>2.2000000000000002</v>
      </c>
      <c r="L727" s="2">
        <v>1954.05</v>
      </c>
      <c r="M727">
        <v>2023</v>
      </c>
      <c r="N727">
        <v>12</v>
      </c>
      <c r="O727" t="s">
        <v>103</v>
      </c>
      <c r="P727" s="2">
        <v>2354.2800000000002</v>
      </c>
      <c r="Q727" s="2">
        <v>400.23</v>
      </c>
      <c r="R727" t="s">
        <v>76</v>
      </c>
      <c r="S727">
        <v>0</v>
      </c>
      <c r="T727">
        <v>0</v>
      </c>
      <c r="U727">
        <f>IF(AND(OR(Dashboard!$D$4="Semua",D727=Dashboard!$D$4),OR(Dashboard!$H$4="Semua",E727=Dashboard!$H$4)),1,0)</f>
        <v>1</v>
      </c>
      <c r="V727">
        <f>IF(U727=1,IF(COUNTIFS($C$2:C727,C727,$U$2:U727,1)=1,1,0),0)</f>
        <v>1</v>
      </c>
    </row>
    <row r="728" spans="1:22" x14ac:dyDescent="0.35">
      <c r="A728">
        <v>10727</v>
      </c>
      <c r="B728" s="1">
        <v>45288</v>
      </c>
      <c r="C728">
        <v>1089</v>
      </c>
      <c r="D728" t="s">
        <v>73</v>
      </c>
      <c r="E728" t="s">
        <v>78</v>
      </c>
      <c r="F728">
        <v>1</v>
      </c>
      <c r="G728" s="2">
        <v>341.12</v>
      </c>
      <c r="H728">
        <v>0.13</v>
      </c>
      <c r="I728" t="s">
        <v>68</v>
      </c>
      <c r="J728">
        <v>6</v>
      </c>
      <c r="K728">
        <v>3.9</v>
      </c>
      <c r="L728" s="2">
        <v>296.77</v>
      </c>
      <c r="M728">
        <v>2023</v>
      </c>
      <c r="N728">
        <v>12</v>
      </c>
      <c r="O728" t="s">
        <v>103</v>
      </c>
      <c r="P728" s="2">
        <v>341.12</v>
      </c>
      <c r="Q728" s="2">
        <v>44.35</v>
      </c>
      <c r="R728" t="s">
        <v>79</v>
      </c>
      <c r="S728">
        <v>0</v>
      </c>
      <c r="T728">
        <v>0</v>
      </c>
      <c r="U728">
        <f>IF(AND(OR(Dashboard!$D$4="Semua",D728=Dashboard!$D$4),OR(Dashboard!$H$4="Semua",E728=Dashboard!$H$4)),1,0)</f>
        <v>1</v>
      </c>
      <c r="V728">
        <f>IF(U728=1,IF(COUNTIFS($C$2:C728,C728,$U$2:U728,1)=1,1,0),0)</f>
        <v>1</v>
      </c>
    </row>
    <row r="729" spans="1:22" x14ac:dyDescent="0.35">
      <c r="A729">
        <v>10728</v>
      </c>
      <c r="B729" s="1">
        <v>45289</v>
      </c>
      <c r="C729">
        <v>1775</v>
      </c>
      <c r="D729" t="s">
        <v>67</v>
      </c>
      <c r="E729" t="s">
        <v>74</v>
      </c>
      <c r="F729">
        <v>3</v>
      </c>
      <c r="G729" s="2">
        <v>391.71</v>
      </c>
      <c r="H729">
        <v>0.28999999999999998</v>
      </c>
      <c r="I729" t="s">
        <v>64</v>
      </c>
      <c r="J729">
        <v>7</v>
      </c>
      <c r="K729">
        <v>4</v>
      </c>
      <c r="L729" s="2">
        <v>834.34</v>
      </c>
      <c r="M729">
        <v>2023</v>
      </c>
      <c r="N729">
        <v>12</v>
      </c>
      <c r="O729" t="s">
        <v>103</v>
      </c>
      <c r="P729" s="2">
        <v>1175.1300000000001</v>
      </c>
      <c r="Q729" s="2">
        <v>340.79</v>
      </c>
      <c r="R729" t="s">
        <v>66</v>
      </c>
      <c r="S729">
        <v>0</v>
      </c>
      <c r="T729">
        <v>0</v>
      </c>
      <c r="U729">
        <f>IF(AND(OR(Dashboard!$D$4="Semua",D729=Dashboard!$D$4),OR(Dashboard!$H$4="Semua",E729=Dashboard!$H$4)),1,0)</f>
        <v>1</v>
      </c>
      <c r="V729">
        <f>IF(U729=1,IF(COUNTIFS($C$2:C729,C729,$U$2:U729,1)=1,1,0),0)</f>
        <v>0</v>
      </c>
    </row>
    <row r="730" spans="1:22" x14ac:dyDescent="0.35">
      <c r="A730">
        <v>10729</v>
      </c>
      <c r="B730" s="1">
        <v>45290</v>
      </c>
      <c r="C730">
        <v>1604</v>
      </c>
      <c r="D730" t="s">
        <v>73</v>
      </c>
      <c r="E730" t="s">
        <v>74</v>
      </c>
      <c r="F730">
        <v>2</v>
      </c>
      <c r="G730" s="2">
        <v>373.52</v>
      </c>
      <c r="H730">
        <v>0.17</v>
      </c>
      <c r="I730" t="s">
        <v>71</v>
      </c>
      <c r="J730">
        <v>8</v>
      </c>
      <c r="K730">
        <v>2.6</v>
      </c>
      <c r="L730" s="2">
        <v>620.04</v>
      </c>
      <c r="M730">
        <v>2023</v>
      </c>
      <c r="N730">
        <v>12</v>
      </c>
      <c r="O730" t="s">
        <v>103</v>
      </c>
      <c r="P730" s="2">
        <v>747.04</v>
      </c>
      <c r="Q730" s="2">
        <v>127</v>
      </c>
      <c r="R730" t="s">
        <v>76</v>
      </c>
      <c r="S730">
        <v>0</v>
      </c>
      <c r="T730">
        <v>0</v>
      </c>
      <c r="U730">
        <f>IF(AND(OR(Dashboard!$D$4="Semua",D730=Dashboard!$D$4),OR(Dashboard!$H$4="Semua",E730=Dashboard!$H$4)),1,0)</f>
        <v>1</v>
      </c>
      <c r="V730">
        <f>IF(U730=1,IF(COUNTIFS($C$2:C730,C730,$U$2:U730,1)=1,1,0),0)</f>
        <v>1</v>
      </c>
    </row>
    <row r="731" spans="1:22" x14ac:dyDescent="0.35">
      <c r="A731">
        <v>10730</v>
      </c>
      <c r="B731" s="1">
        <v>45291</v>
      </c>
      <c r="C731">
        <v>1921</v>
      </c>
      <c r="D731" t="s">
        <v>67</v>
      </c>
      <c r="E731" t="s">
        <v>70</v>
      </c>
      <c r="F731">
        <v>2</v>
      </c>
      <c r="G731" s="2">
        <v>435.73</v>
      </c>
      <c r="H731">
        <v>0.09</v>
      </c>
      <c r="I731" t="s">
        <v>71</v>
      </c>
      <c r="J731">
        <v>5</v>
      </c>
      <c r="K731">
        <v>3.4</v>
      </c>
      <c r="L731" s="2">
        <v>793.03</v>
      </c>
      <c r="M731">
        <v>2023</v>
      </c>
      <c r="N731">
        <v>12</v>
      </c>
      <c r="O731" t="s">
        <v>103</v>
      </c>
      <c r="P731" s="2">
        <v>871.46</v>
      </c>
      <c r="Q731" s="2">
        <v>78.430000000000007</v>
      </c>
      <c r="R731" t="s">
        <v>69</v>
      </c>
      <c r="S731">
        <v>0</v>
      </c>
      <c r="T731">
        <v>0</v>
      </c>
      <c r="U731">
        <f>IF(AND(OR(Dashboard!$D$4="Semua",D731=Dashboard!$D$4),OR(Dashboard!$H$4="Semua",E731=Dashboard!$H$4)),1,0)</f>
        <v>1</v>
      </c>
      <c r="V731">
        <f>IF(U731=1,IF(COUNTIFS($C$2:C731,C731,$U$2:U731,1)=1,1,0),0)</f>
        <v>0</v>
      </c>
    </row>
    <row r="732" spans="1:22" x14ac:dyDescent="0.35">
      <c r="A732">
        <v>10731</v>
      </c>
      <c r="B732" s="1">
        <v>45292</v>
      </c>
      <c r="C732">
        <v>1969</v>
      </c>
      <c r="D732" t="s">
        <v>80</v>
      </c>
      <c r="E732" t="s">
        <v>63</v>
      </c>
      <c r="F732">
        <v>4</v>
      </c>
      <c r="G732" s="2">
        <v>391.04</v>
      </c>
      <c r="H732">
        <v>0.18</v>
      </c>
      <c r="I732" t="s">
        <v>68</v>
      </c>
      <c r="J732">
        <v>10</v>
      </c>
      <c r="K732">
        <v>2.9</v>
      </c>
      <c r="L732" s="2">
        <v>1282.6099999999999</v>
      </c>
      <c r="M732">
        <v>2024</v>
      </c>
      <c r="N732">
        <v>1</v>
      </c>
      <c r="O732" t="s">
        <v>104</v>
      </c>
      <c r="P732" s="2">
        <v>1564.16</v>
      </c>
      <c r="Q732" s="2">
        <v>281.55</v>
      </c>
      <c r="R732" t="s">
        <v>76</v>
      </c>
      <c r="S732">
        <v>0</v>
      </c>
      <c r="T732">
        <v>0</v>
      </c>
      <c r="U732">
        <f>IF(AND(OR(Dashboard!$D$4="Semua",D732=Dashboard!$D$4),OR(Dashboard!$H$4="Semua",E732=Dashboard!$H$4)),1,0)</f>
        <v>1</v>
      </c>
      <c r="V732">
        <f>IF(U732=1,IF(COUNTIFS($C$2:C732,C732,$U$2:U732,1)=1,1,0),0)</f>
        <v>1</v>
      </c>
    </row>
    <row r="733" spans="1:22" x14ac:dyDescent="0.35">
      <c r="A733">
        <v>10732</v>
      </c>
      <c r="B733" s="1">
        <v>45293</v>
      </c>
      <c r="C733">
        <v>1601</v>
      </c>
      <c r="D733" t="s">
        <v>67</v>
      </c>
      <c r="E733" t="s">
        <v>78</v>
      </c>
      <c r="F733">
        <v>2</v>
      </c>
      <c r="G733" s="2">
        <v>319.05</v>
      </c>
      <c r="H733">
        <v>0.05</v>
      </c>
      <c r="I733" t="s">
        <v>71</v>
      </c>
      <c r="J733">
        <v>2</v>
      </c>
      <c r="K733">
        <v>2.1</v>
      </c>
      <c r="L733" s="2">
        <v>606.20000000000005</v>
      </c>
      <c r="M733">
        <v>2024</v>
      </c>
      <c r="N733">
        <v>1</v>
      </c>
      <c r="O733" t="s">
        <v>104</v>
      </c>
      <c r="P733" s="2">
        <v>638.1</v>
      </c>
      <c r="Q733" s="2">
        <v>31.9</v>
      </c>
      <c r="R733" t="s">
        <v>75</v>
      </c>
      <c r="S733">
        <v>0</v>
      </c>
      <c r="T733">
        <v>0</v>
      </c>
      <c r="U733">
        <f>IF(AND(OR(Dashboard!$D$4="Semua",D733=Dashboard!$D$4),OR(Dashboard!$H$4="Semua",E733=Dashboard!$H$4)),1,0)</f>
        <v>1</v>
      </c>
      <c r="V733">
        <f>IF(U733=1,IF(COUNTIFS($C$2:C733,C733,$U$2:U733,1)=1,1,0),0)</f>
        <v>1</v>
      </c>
    </row>
    <row r="734" spans="1:22" x14ac:dyDescent="0.35">
      <c r="A734">
        <v>10733</v>
      </c>
      <c r="B734" s="1">
        <v>45294</v>
      </c>
      <c r="C734">
        <v>1417</v>
      </c>
      <c r="D734" t="s">
        <v>62</v>
      </c>
      <c r="E734" t="s">
        <v>70</v>
      </c>
      <c r="F734">
        <v>5</v>
      </c>
      <c r="G734" s="2">
        <v>413.85</v>
      </c>
      <c r="H734">
        <v>0.24</v>
      </c>
      <c r="I734" t="s">
        <v>68</v>
      </c>
      <c r="J734">
        <v>7</v>
      </c>
      <c r="K734">
        <v>4</v>
      </c>
      <c r="L734" s="2">
        <v>1572.63</v>
      </c>
      <c r="M734">
        <v>2024</v>
      </c>
      <c r="N734">
        <v>1</v>
      </c>
      <c r="O734" t="s">
        <v>104</v>
      </c>
      <c r="P734" s="2">
        <v>2069.25</v>
      </c>
      <c r="Q734" s="2">
        <v>496.62</v>
      </c>
      <c r="R734" t="s">
        <v>77</v>
      </c>
      <c r="S734">
        <v>0</v>
      </c>
      <c r="T734">
        <v>0</v>
      </c>
      <c r="U734">
        <f>IF(AND(OR(Dashboard!$D$4="Semua",D734=Dashboard!$D$4),OR(Dashboard!$H$4="Semua",E734=Dashboard!$H$4)),1,0)</f>
        <v>1</v>
      </c>
      <c r="V734">
        <f>IF(U734=1,IF(COUNTIFS($C$2:C734,C734,$U$2:U734,1)=1,1,0),0)</f>
        <v>1</v>
      </c>
    </row>
    <row r="735" spans="1:22" x14ac:dyDescent="0.35">
      <c r="A735">
        <v>10734</v>
      </c>
      <c r="B735" s="1">
        <v>45295</v>
      </c>
      <c r="C735">
        <v>1114</v>
      </c>
      <c r="D735" t="s">
        <v>67</v>
      </c>
      <c r="E735" t="s">
        <v>70</v>
      </c>
      <c r="F735">
        <v>2</v>
      </c>
      <c r="G735" s="2">
        <v>277.95</v>
      </c>
      <c r="H735">
        <v>0.12</v>
      </c>
      <c r="I735" t="s">
        <v>64</v>
      </c>
      <c r="J735">
        <v>10</v>
      </c>
      <c r="K735">
        <v>3.8</v>
      </c>
      <c r="L735" s="2">
        <v>489.19</v>
      </c>
      <c r="M735">
        <v>2024</v>
      </c>
      <c r="N735">
        <v>1</v>
      </c>
      <c r="O735" t="s">
        <v>104</v>
      </c>
      <c r="P735" s="2">
        <v>555.9</v>
      </c>
      <c r="Q735" s="2">
        <v>66.709999999999994</v>
      </c>
      <c r="R735" t="s">
        <v>79</v>
      </c>
      <c r="S735">
        <v>0</v>
      </c>
      <c r="T735">
        <v>0</v>
      </c>
      <c r="U735">
        <f>IF(AND(OR(Dashboard!$D$4="Semua",D735=Dashboard!$D$4),OR(Dashboard!$H$4="Semua",E735=Dashboard!$H$4)),1,0)</f>
        <v>1</v>
      </c>
      <c r="V735">
        <f>IF(U735=1,IF(COUNTIFS($C$2:C735,C735,$U$2:U735,1)=1,1,0),0)</f>
        <v>1</v>
      </c>
    </row>
    <row r="736" spans="1:22" x14ac:dyDescent="0.35">
      <c r="A736">
        <v>10735</v>
      </c>
      <c r="B736" s="1">
        <v>45296</v>
      </c>
      <c r="C736">
        <v>1616</v>
      </c>
      <c r="D736" t="s">
        <v>73</v>
      </c>
      <c r="E736" t="s">
        <v>70</v>
      </c>
      <c r="F736">
        <v>2</v>
      </c>
      <c r="G736" s="2">
        <v>156.38</v>
      </c>
      <c r="H736">
        <v>0.09</v>
      </c>
      <c r="I736" t="s">
        <v>68</v>
      </c>
      <c r="J736">
        <v>3</v>
      </c>
      <c r="K736">
        <v>4.5999999999999996</v>
      </c>
      <c r="L736" s="2">
        <v>284.61</v>
      </c>
      <c r="M736">
        <v>2024</v>
      </c>
      <c r="N736">
        <v>1</v>
      </c>
      <c r="O736" t="s">
        <v>104</v>
      </c>
      <c r="P736" s="2">
        <v>312.76</v>
      </c>
      <c r="Q736" s="2">
        <v>28.15</v>
      </c>
      <c r="R736" t="s">
        <v>69</v>
      </c>
      <c r="S736">
        <v>0</v>
      </c>
      <c r="T736">
        <v>0</v>
      </c>
      <c r="U736">
        <f>IF(AND(OR(Dashboard!$D$4="Semua",D736=Dashboard!$D$4),OR(Dashboard!$H$4="Semua",E736=Dashboard!$H$4)),1,0)</f>
        <v>1</v>
      </c>
      <c r="V736">
        <f>IF(U736=1,IF(COUNTIFS($C$2:C736,C736,$U$2:U736,1)=1,1,0),0)</f>
        <v>1</v>
      </c>
    </row>
    <row r="737" spans="1:22" x14ac:dyDescent="0.35">
      <c r="A737">
        <v>10736</v>
      </c>
      <c r="B737" s="1">
        <v>45297</v>
      </c>
      <c r="C737">
        <v>1902</v>
      </c>
      <c r="D737" t="s">
        <v>73</v>
      </c>
      <c r="E737" t="s">
        <v>78</v>
      </c>
      <c r="F737">
        <v>2</v>
      </c>
      <c r="G737" s="2">
        <v>15.83</v>
      </c>
      <c r="H737">
        <v>0.33</v>
      </c>
      <c r="I737" t="s">
        <v>71</v>
      </c>
      <c r="J737">
        <v>10</v>
      </c>
      <c r="K737">
        <v>3.5</v>
      </c>
      <c r="L737" s="2">
        <v>21.21</v>
      </c>
      <c r="M737">
        <v>2024</v>
      </c>
      <c r="N737">
        <v>1</v>
      </c>
      <c r="O737" t="s">
        <v>104</v>
      </c>
      <c r="P737" s="2">
        <v>31.66</v>
      </c>
      <c r="Q737" s="2">
        <v>10.45</v>
      </c>
      <c r="R737" t="s">
        <v>72</v>
      </c>
      <c r="S737">
        <v>0</v>
      </c>
      <c r="T737">
        <v>0</v>
      </c>
      <c r="U737">
        <f>IF(AND(OR(Dashboard!$D$4="Semua",D737=Dashboard!$D$4),OR(Dashboard!$H$4="Semua",E737=Dashboard!$H$4)),1,0)</f>
        <v>1</v>
      </c>
      <c r="V737">
        <f>IF(U737=1,IF(COUNTIFS($C$2:C737,C737,$U$2:U737,1)=1,1,0),0)</f>
        <v>0</v>
      </c>
    </row>
    <row r="738" spans="1:22" x14ac:dyDescent="0.35">
      <c r="A738">
        <v>10737</v>
      </c>
      <c r="B738" s="1">
        <v>45298</v>
      </c>
      <c r="C738">
        <v>1195</v>
      </c>
      <c r="D738" t="s">
        <v>67</v>
      </c>
      <c r="E738" t="s">
        <v>78</v>
      </c>
      <c r="F738">
        <v>3</v>
      </c>
      <c r="G738" s="2">
        <v>342.58</v>
      </c>
      <c r="H738">
        <v>0.27</v>
      </c>
      <c r="I738" t="s">
        <v>71</v>
      </c>
      <c r="J738">
        <v>11</v>
      </c>
      <c r="K738">
        <v>2.6</v>
      </c>
      <c r="L738" s="2">
        <v>750.25</v>
      </c>
      <c r="M738">
        <v>2024</v>
      </c>
      <c r="N738">
        <v>1</v>
      </c>
      <c r="O738" t="s">
        <v>104</v>
      </c>
      <c r="P738" s="2">
        <v>1027.74</v>
      </c>
      <c r="Q738" s="2">
        <v>277.49</v>
      </c>
      <c r="R738" t="s">
        <v>66</v>
      </c>
      <c r="S738">
        <v>0</v>
      </c>
      <c r="T738">
        <v>0</v>
      </c>
      <c r="U738">
        <f>IF(AND(OR(Dashboard!$D$4="Semua",D738=Dashboard!$D$4),OR(Dashboard!$H$4="Semua",E738=Dashboard!$H$4)),1,0)</f>
        <v>1</v>
      </c>
      <c r="V738">
        <f>IF(U738=1,IF(COUNTIFS($C$2:C738,C738,$U$2:U738,1)=1,1,0),0)</f>
        <v>0</v>
      </c>
    </row>
    <row r="739" spans="1:22" x14ac:dyDescent="0.35">
      <c r="A739">
        <v>10738</v>
      </c>
      <c r="B739" s="1">
        <v>45299</v>
      </c>
      <c r="C739">
        <v>1825</v>
      </c>
      <c r="D739" t="s">
        <v>67</v>
      </c>
      <c r="E739" t="s">
        <v>78</v>
      </c>
      <c r="F739">
        <v>4</v>
      </c>
      <c r="G739" s="2">
        <v>360.53</v>
      </c>
      <c r="H739">
        <v>0.28000000000000003</v>
      </c>
      <c r="I739" t="s">
        <v>71</v>
      </c>
      <c r="J739">
        <v>8</v>
      </c>
      <c r="K739">
        <v>3.9</v>
      </c>
      <c r="L739" s="2">
        <v>1038.33</v>
      </c>
      <c r="M739">
        <v>2024</v>
      </c>
      <c r="N739">
        <v>1</v>
      </c>
      <c r="O739" t="s">
        <v>104</v>
      </c>
      <c r="P739" s="2">
        <v>1442.12</v>
      </c>
      <c r="Q739" s="2">
        <v>403.79</v>
      </c>
      <c r="R739" t="s">
        <v>66</v>
      </c>
      <c r="S739">
        <v>0</v>
      </c>
      <c r="T739">
        <v>0</v>
      </c>
      <c r="U739">
        <f>IF(AND(OR(Dashboard!$D$4="Semua",D739=Dashboard!$D$4),OR(Dashboard!$H$4="Semua",E739=Dashboard!$H$4)),1,0)</f>
        <v>1</v>
      </c>
      <c r="V739">
        <f>IF(U739=1,IF(COUNTIFS($C$2:C739,C739,$U$2:U739,1)=1,1,0),0)</f>
        <v>1</v>
      </c>
    </row>
    <row r="740" spans="1:22" x14ac:dyDescent="0.35">
      <c r="A740">
        <v>10739</v>
      </c>
      <c r="B740" s="1">
        <v>45300</v>
      </c>
      <c r="C740">
        <v>1500</v>
      </c>
      <c r="D740" t="s">
        <v>73</v>
      </c>
      <c r="E740" t="s">
        <v>63</v>
      </c>
      <c r="F740">
        <v>1</v>
      </c>
      <c r="G740" s="2">
        <v>583.65</v>
      </c>
      <c r="H740">
        <v>0.22</v>
      </c>
      <c r="I740" t="s">
        <v>64</v>
      </c>
      <c r="J740">
        <v>6</v>
      </c>
      <c r="K740">
        <v>3.5</v>
      </c>
      <c r="L740" s="2">
        <v>455.25</v>
      </c>
      <c r="M740">
        <v>2024</v>
      </c>
      <c r="N740">
        <v>1</v>
      </c>
      <c r="O740" t="s">
        <v>104</v>
      </c>
      <c r="P740" s="2">
        <v>583.65</v>
      </c>
      <c r="Q740" s="2">
        <v>128.4</v>
      </c>
      <c r="R740" t="s">
        <v>77</v>
      </c>
      <c r="S740">
        <v>0</v>
      </c>
      <c r="T740">
        <v>0</v>
      </c>
      <c r="U740">
        <f>IF(AND(OR(Dashboard!$D$4="Semua",D740=Dashboard!$D$4),OR(Dashboard!$H$4="Semua",E740=Dashboard!$H$4)),1,0)</f>
        <v>1</v>
      </c>
      <c r="V740">
        <f>IF(U740=1,IF(COUNTIFS($C$2:C740,C740,$U$2:U740,1)=1,1,0),0)</f>
        <v>1</v>
      </c>
    </row>
    <row r="741" spans="1:22" x14ac:dyDescent="0.35">
      <c r="A741">
        <v>10740</v>
      </c>
      <c r="B741" s="1">
        <v>45301</v>
      </c>
      <c r="C741">
        <v>1625</v>
      </c>
      <c r="D741" t="s">
        <v>67</v>
      </c>
      <c r="E741" t="s">
        <v>70</v>
      </c>
      <c r="F741">
        <v>4</v>
      </c>
      <c r="G741" s="2">
        <v>226.46</v>
      </c>
      <c r="H741">
        <v>0.28999999999999998</v>
      </c>
      <c r="I741" t="s">
        <v>68</v>
      </c>
      <c r="J741">
        <v>11</v>
      </c>
      <c r="K741">
        <v>3.5</v>
      </c>
      <c r="L741" s="2">
        <v>643.15</v>
      </c>
      <c r="M741">
        <v>2024</v>
      </c>
      <c r="N741">
        <v>1</v>
      </c>
      <c r="O741" t="s">
        <v>104</v>
      </c>
      <c r="P741" s="2">
        <v>905.84</v>
      </c>
      <c r="Q741" s="2">
        <v>262.69</v>
      </c>
      <c r="R741" t="s">
        <v>66</v>
      </c>
      <c r="S741">
        <v>0</v>
      </c>
      <c r="T741">
        <v>0</v>
      </c>
      <c r="U741">
        <f>IF(AND(OR(Dashboard!$D$4="Semua",D741=Dashboard!$D$4),OR(Dashboard!$H$4="Semua",E741=Dashboard!$H$4)),1,0)</f>
        <v>1</v>
      </c>
      <c r="V741">
        <f>IF(U741=1,IF(COUNTIFS($C$2:C741,C741,$U$2:U741,1)=1,1,0),0)</f>
        <v>0</v>
      </c>
    </row>
    <row r="742" spans="1:22" x14ac:dyDescent="0.35">
      <c r="A742">
        <v>10741</v>
      </c>
      <c r="B742" s="1">
        <v>45302</v>
      </c>
      <c r="C742">
        <v>1492</v>
      </c>
      <c r="D742" t="s">
        <v>67</v>
      </c>
      <c r="E742" t="s">
        <v>74</v>
      </c>
      <c r="F742">
        <v>5</v>
      </c>
      <c r="G742" s="2">
        <v>245.57</v>
      </c>
      <c r="H742">
        <v>0.27</v>
      </c>
      <c r="I742" t="s">
        <v>68</v>
      </c>
      <c r="J742">
        <v>4</v>
      </c>
      <c r="K742">
        <v>4.4000000000000004</v>
      </c>
      <c r="L742" s="2">
        <v>896.33</v>
      </c>
      <c r="M742">
        <v>2024</v>
      </c>
      <c r="N742">
        <v>1</v>
      </c>
      <c r="O742" t="s">
        <v>104</v>
      </c>
      <c r="P742" s="2">
        <v>1227.8499999999999</v>
      </c>
      <c r="Q742" s="2">
        <v>331.52</v>
      </c>
      <c r="R742" t="s">
        <v>66</v>
      </c>
      <c r="S742">
        <v>0</v>
      </c>
      <c r="T742">
        <v>0</v>
      </c>
      <c r="U742">
        <f>IF(AND(OR(Dashboard!$D$4="Semua",D742=Dashboard!$D$4),OR(Dashboard!$H$4="Semua",E742=Dashboard!$H$4)),1,0)</f>
        <v>1</v>
      </c>
      <c r="V742">
        <f>IF(U742=1,IF(COUNTIFS($C$2:C742,C742,$U$2:U742,1)=1,1,0),0)</f>
        <v>0</v>
      </c>
    </row>
    <row r="743" spans="1:22" x14ac:dyDescent="0.35">
      <c r="A743">
        <v>10742</v>
      </c>
      <c r="B743" s="1">
        <v>45303</v>
      </c>
      <c r="C743">
        <v>1074</v>
      </c>
      <c r="D743" t="s">
        <v>80</v>
      </c>
      <c r="E743" t="s">
        <v>74</v>
      </c>
      <c r="F743">
        <v>3</v>
      </c>
      <c r="G743" s="2">
        <v>133.05000000000001</v>
      </c>
      <c r="H743">
        <v>0.21</v>
      </c>
      <c r="I743" t="s">
        <v>71</v>
      </c>
      <c r="J743">
        <v>2</v>
      </c>
      <c r="K743">
        <v>4.5999999999999996</v>
      </c>
      <c r="L743" s="2">
        <v>315.33</v>
      </c>
      <c r="M743">
        <v>2024</v>
      </c>
      <c r="N743">
        <v>1</v>
      </c>
      <c r="O743" t="s">
        <v>104</v>
      </c>
      <c r="P743" s="2">
        <v>399.15</v>
      </c>
      <c r="Q743" s="2">
        <v>83.82</v>
      </c>
      <c r="R743" t="s">
        <v>77</v>
      </c>
      <c r="S743">
        <v>0</v>
      </c>
      <c r="T743">
        <v>0</v>
      </c>
      <c r="U743">
        <f>IF(AND(OR(Dashboard!$D$4="Semua",D743=Dashboard!$D$4),OR(Dashboard!$H$4="Semua",E743=Dashboard!$H$4)),1,0)</f>
        <v>1</v>
      </c>
      <c r="V743">
        <f>IF(U743=1,IF(COUNTIFS($C$2:C743,C743,$U$2:U743,1)=1,1,0),0)</f>
        <v>1</v>
      </c>
    </row>
    <row r="744" spans="1:22" x14ac:dyDescent="0.35">
      <c r="A744">
        <v>10743</v>
      </c>
      <c r="B744" s="1">
        <v>45304</v>
      </c>
      <c r="C744">
        <v>1412</v>
      </c>
      <c r="D744" t="s">
        <v>80</v>
      </c>
      <c r="E744" t="s">
        <v>70</v>
      </c>
      <c r="F744">
        <v>6</v>
      </c>
      <c r="G744" s="2">
        <v>56.26</v>
      </c>
      <c r="H744">
        <v>0.34</v>
      </c>
      <c r="I744" t="s">
        <v>71</v>
      </c>
      <c r="J744">
        <v>7</v>
      </c>
      <c r="K744">
        <v>1.7</v>
      </c>
      <c r="L744" s="2">
        <v>222.79</v>
      </c>
      <c r="M744">
        <v>2024</v>
      </c>
      <c r="N744">
        <v>1</v>
      </c>
      <c r="O744" t="s">
        <v>104</v>
      </c>
      <c r="P744" s="2">
        <v>337.56</v>
      </c>
      <c r="Q744" s="2">
        <v>114.77</v>
      </c>
      <c r="R744" t="s">
        <v>72</v>
      </c>
      <c r="S744">
        <v>0</v>
      </c>
      <c r="T744">
        <v>0</v>
      </c>
      <c r="U744">
        <f>IF(AND(OR(Dashboard!$D$4="Semua",D744=Dashboard!$D$4),OR(Dashboard!$H$4="Semua",E744=Dashboard!$H$4)),1,0)</f>
        <v>1</v>
      </c>
      <c r="V744">
        <f>IF(U744=1,IF(COUNTIFS($C$2:C744,C744,$U$2:U744,1)=1,1,0),0)</f>
        <v>1</v>
      </c>
    </row>
    <row r="745" spans="1:22" x14ac:dyDescent="0.35">
      <c r="A745">
        <v>10744</v>
      </c>
      <c r="B745" s="1">
        <v>45305</v>
      </c>
      <c r="C745">
        <v>1375</v>
      </c>
      <c r="D745" t="s">
        <v>80</v>
      </c>
      <c r="E745" t="s">
        <v>74</v>
      </c>
      <c r="F745">
        <v>3</v>
      </c>
      <c r="G745" s="2">
        <v>467.09</v>
      </c>
      <c r="H745">
        <v>7.0000000000000007E-2</v>
      </c>
      <c r="I745" t="s">
        <v>68</v>
      </c>
      <c r="J745">
        <v>1</v>
      </c>
      <c r="K745">
        <v>2.2999999999999998</v>
      </c>
      <c r="L745" s="2">
        <v>1303.18</v>
      </c>
      <c r="M745">
        <v>2024</v>
      </c>
      <c r="N745">
        <v>1</v>
      </c>
      <c r="O745" t="s">
        <v>104</v>
      </c>
      <c r="P745" s="2">
        <v>1401.27</v>
      </c>
      <c r="Q745" s="2">
        <v>98.09</v>
      </c>
      <c r="R745" t="s">
        <v>69</v>
      </c>
      <c r="S745">
        <v>0</v>
      </c>
      <c r="T745">
        <v>0</v>
      </c>
      <c r="U745">
        <f>IF(AND(OR(Dashboard!$D$4="Semua",D745=Dashboard!$D$4),OR(Dashboard!$H$4="Semua",E745=Dashboard!$H$4)),1,0)</f>
        <v>1</v>
      </c>
      <c r="V745">
        <f>IF(U745=1,IF(COUNTIFS($C$2:C745,C745,$U$2:U745,1)=1,1,0),0)</f>
        <v>1</v>
      </c>
    </row>
    <row r="746" spans="1:22" x14ac:dyDescent="0.35">
      <c r="A746">
        <v>10745</v>
      </c>
      <c r="B746" s="1">
        <v>45306</v>
      </c>
      <c r="C746">
        <v>1419</v>
      </c>
      <c r="D746" t="s">
        <v>73</v>
      </c>
      <c r="E746" t="s">
        <v>63</v>
      </c>
      <c r="F746">
        <v>7</v>
      </c>
      <c r="G746" s="2">
        <v>161.06</v>
      </c>
      <c r="H746">
        <v>0.33</v>
      </c>
      <c r="I746" t="s">
        <v>68</v>
      </c>
      <c r="J746">
        <v>7</v>
      </c>
      <c r="K746">
        <v>3.6</v>
      </c>
      <c r="L746" s="2">
        <v>755.37</v>
      </c>
      <c r="M746">
        <v>2024</v>
      </c>
      <c r="N746">
        <v>1</v>
      </c>
      <c r="O746" t="s">
        <v>104</v>
      </c>
      <c r="P746" s="2">
        <v>1127.42</v>
      </c>
      <c r="Q746" s="2">
        <v>372.05</v>
      </c>
      <c r="R746" t="s">
        <v>72</v>
      </c>
      <c r="S746">
        <v>0</v>
      </c>
      <c r="T746">
        <v>0</v>
      </c>
      <c r="U746">
        <f>IF(AND(OR(Dashboard!$D$4="Semua",D746=Dashboard!$D$4),OR(Dashboard!$H$4="Semua",E746=Dashboard!$H$4)),1,0)</f>
        <v>1</v>
      </c>
      <c r="V746">
        <f>IF(U746=1,IF(COUNTIFS($C$2:C746,C746,$U$2:U746,1)=1,1,0),0)</f>
        <v>0</v>
      </c>
    </row>
    <row r="747" spans="1:22" x14ac:dyDescent="0.35">
      <c r="A747">
        <v>10746</v>
      </c>
      <c r="B747" s="1">
        <v>45307</v>
      </c>
      <c r="C747">
        <v>1728</v>
      </c>
      <c r="D747" t="s">
        <v>73</v>
      </c>
      <c r="E747" t="s">
        <v>63</v>
      </c>
      <c r="F747">
        <v>2</v>
      </c>
      <c r="G747" s="2">
        <v>371.21</v>
      </c>
      <c r="H747">
        <v>0.14000000000000001</v>
      </c>
      <c r="I747" t="s">
        <v>71</v>
      </c>
      <c r="J747">
        <v>10</v>
      </c>
      <c r="K747">
        <v>3.2</v>
      </c>
      <c r="L747" s="2">
        <v>638.48</v>
      </c>
      <c r="M747">
        <v>2024</v>
      </c>
      <c r="N747">
        <v>1</v>
      </c>
      <c r="O747" t="s">
        <v>104</v>
      </c>
      <c r="P747" s="2">
        <v>742.42</v>
      </c>
      <c r="Q747" s="2">
        <v>103.94</v>
      </c>
      <c r="R747" t="s">
        <v>79</v>
      </c>
      <c r="S747">
        <v>0</v>
      </c>
      <c r="T747">
        <v>0</v>
      </c>
      <c r="U747">
        <f>IF(AND(OR(Dashboard!$D$4="Semua",D747=Dashboard!$D$4),OR(Dashboard!$H$4="Semua",E747=Dashboard!$H$4)),1,0)</f>
        <v>1</v>
      </c>
      <c r="V747">
        <f>IF(U747=1,IF(COUNTIFS($C$2:C747,C747,$U$2:U747,1)=1,1,0),0)</f>
        <v>1</v>
      </c>
    </row>
    <row r="748" spans="1:22" x14ac:dyDescent="0.35">
      <c r="A748">
        <v>10747</v>
      </c>
      <c r="B748" s="1">
        <v>45308</v>
      </c>
      <c r="C748">
        <v>1276</v>
      </c>
      <c r="D748" t="s">
        <v>80</v>
      </c>
      <c r="E748" t="s">
        <v>78</v>
      </c>
      <c r="F748">
        <v>2</v>
      </c>
      <c r="G748" s="2">
        <v>417.35</v>
      </c>
      <c r="H748">
        <v>0.18</v>
      </c>
      <c r="I748" t="s">
        <v>64</v>
      </c>
      <c r="J748">
        <v>10</v>
      </c>
      <c r="K748">
        <v>3.6</v>
      </c>
      <c r="L748" s="2">
        <v>684.45</v>
      </c>
      <c r="M748">
        <v>2024</v>
      </c>
      <c r="N748">
        <v>1</v>
      </c>
      <c r="O748" t="s">
        <v>104</v>
      </c>
      <c r="P748" s="2">
        <v>834.7</v>
      </c>
      <c r="Q748" s="2">
        <v>150.25</v>
      </c>
      <c r="R748" t="s">
        <v>76</v>
      </c>
      <c r="S748">
        <v>0</v>
      </c>
      <c r="T748">
        <v>0</v>
      </c>
      <c r="U748">
        <f>IF(AND(OR(Dashboard!$D$4="Semua",D748=Dashboard!$D$4),OR(Dashboard!$H$4="Semua",E748=Dashboard!$H$4)),1,0)</f>
        <v>1</v>
      </c>
      <c r="V748">
        <f>IF(U748=1,IF(COUNTIFS($C$2:C748,C748,$U$2:U748,1)=1,1,0),0)</f>
        <v>0</v>
      </c>
    </row>
    <row r="749" spans="1:22" x14ac:dyDescent="0.35">
      <c r="A749">
        <v>10748</v>
      </c>
      <c r="B749" s="1">
        <v>45309</v>
      </c>
      <c r="C749">
        <v>1760</v>
      </c>
      <c r="D749" t="s">
        <v>67</v>
      </c>
      <c r="E749" t="s">
        <v>78</v>
      </c>
      <c r="F749">
        <v>5</v>
      </c>
      <c r="G749" s="2">
        <v>290.67</v>
      </c>
      <c r="H749">
        <v>0.04</v>
      </c>
      <c r="I749" t="s">
        <v>71</v>
      </c>
      <c r="J749">
        <v>7</v>
      </c>
      <c r="K749">
        <v>2.7</v>
      </c>
      <c r="L749" s="2">
        <v>1395.22</v>
      </c>
      <c r="M749">
        <v>2024</v>
      </c>
      <c r="N749">
        <v>1</v>
      </c>
      <c r="O749" t="s">
        <v>104</v>
      </c>
      <c r="P749" s="2">
        <v>1453.35</v>
      </c>
      <c r="Q749" s="2">
        <v>58.13</v>
      </c>
      <c r="R749" t="s">
        <v>75</v>
      </c>
      <c r="S749">
        <v>0</v>
      </c>
      <c r="T749">
        <v>0</v>
      </c>
      <c r="U749">
        <f>IF(AND(OR(Dashboard!$D$4="Semua",D749=Dashboard!$D$4),OR(Dashboard!$H$4="Semua",E749=Dashboard!$H$4)),1,0)</f>
        <v>1</v>
      </c>
      <c r="V749">
        <f>IF(U749=1,IF(COUNTIFS($C$2:C749,C749,$U$2:U749,1)=1,1,0),0)</f>
        <v>1</v>
      </c>
    </row>
    <row r="750" spans="1:22" x14ac:dyDescent="0.35">
      <c r="A750">
        <v>10749</v>
      </c>
      <c r="B750" s="1">
        <v>45310</v>
      </c>
      <c r="C750">
        <v>1675</v>
      </c>
      <c r="D750" t="s">
        <v>73</v>
      </c>
      <c r="E750" t="s">
        <v>78</v>
      </c>
      <c r="F750">
        <v>6</v>
      </c>
      <c r="G750" s="2">
        <v>527.66999999999996</v>
      </c>
      <c r="H750">
        <v>0.19</v>
      </c>
      <c r="I750" t="s">
        <v>64</v>
      </c>
      <c r="J750">
        <v>10</v>
      </c>
      <c r="K750">
        <v>2.6</v>
      </c>
      <c r="L750" s="2">
        <v>2564.48</v>
      </c>
      <c r="M750">
        <v>2024</v>
      </c>
      <c r="N750">
        <v>1</v>
      </c>
      <c r="O750" t="s">
        <v>104</v>
      </c>
      <c r="P750" s="2">
        <v>3166.02</v>
      </c>
      <c r="Q750" s="2">
        <v>601.54</v>
      </c>
      <c r="R750" t="s">
        <v>76</v>
      </c>
      <c r="S750">
        <v>0</v>
      </c>
      <c r="T750">
        <v>0</v>
      </c>
      <c r="U750">
        <f>IF(AND(OR(Dashboard!$D$4="Semua",D750=Dashboard!$D$4),OR(Dashboard!$H$4="Semua",E750=Dashboard!$H$4)),1,0)</f>
        <v>1</v>
      </c>
      <c r="V750">
        <f>IF(U750=1,IF(COUNTIFS($C$2:C750,C750,$U$2:U750,1)=1,1,0),0)</f>
        <v>1</v>
      </c>
    </row>
    <row r="751" spans="1:22" x14ac:dyDescent="0.35">
      <c r="A751">
        <v>10750</v>
      </c>
      <c r="B751" s="1">
        <v>45311</v>
      </c>
      <c r="C751">
        <v>1393</v>
      </c>
      <c r="D751" t="s">
        <v>80</v>
      </c>
      <c r="E751" t="s">
        <v>78</v>
      </c>
      <c r="F751">
        <v>7</v>
      </c>
      <c r="G751" s="2">
        <v>274.62</v>
      </c>
      <c r="H751">
        <v>0.21</v>
      </c>
      <c r="I751" t="s">
        <v>71</v>
      </c>
      <c r="J751">
        <v>3</v>
      </c>
      <c r="K751">
        <v>1.5</v>
      </c>
      <c r="L751" s="2">
        <v>1518.65</v>
      </c>
      <c r="M751">
        <v>2024</v>
      </c>
      <c r="N751">
        <v>1</v>
      </c>
      <c r="O751" t="s">
        <v>104</v>
      </c>
      <c r="P751" s="2">
        <v>1922.34</v>
      </c>
      <c r="Q751" s="2">
        <v>403.69</v>
      </c>
      <c r="R751" t="s">
        <v>77</v>
      </c>
      <c r="S751">
        <v>0</v>
      </c>
      <c r="T751">
        <v>0</v>
      </c>
      <c r="U751">
        <f>IF(AND(OR(Dashboard!$D$4="Semua",D751=Dashboard!$D$4),OR(Dashboard!$H$4="Semua",E751=Dashboard!$H$4)),1,0)</f>
        <v>1</v>
      </c>
      <c r="V751">
        <f>IF(U751=1,IF(COUNTIFS($C$2:C751,C751,$U$2:U751,1)=1,1,0),0)</f>
        <v>1</v>
      </c>
    </row>
    <row r="752" spans="1:22" x14ac:dyDescent="0.35">
      <c r="A752">
        <v>10751</v>
      </c>
      <c r="B752" s="1">
        <v>45312</v>
      </c>
      <c r="C752">
        <v>1868</v>
      </c>
      <c r="D752" t="s">
        <v>80</v>
      </c>
      <c r="E752" t="s">
        <v>78</v>
      </c>
      <c r="F752">
        <v>3</v>
      </c>
      <c r="G752" s="2">
        <v>181.67</v>
      </c>
      <c r="H752">
        <v>0.35</v>
      </c>
      <c r="I752" t="s">
        <v>68</v>
      </c>
      <c r="J752">
        <v>4</v>
      </c>
      <c r="K752">
        <v>3.5</v>
      </c>
      <c r="L752" s="2">
        <v>354.26</v>
      </c>
      <c r="M752">
        <v>2024</v>
      </c>
      <c r="N752">
        <v>1</v>
      </c>
      <c r="O752" t="s">
        <v>104</v>
      </c>
      <c r="P752" s="2">
        <v>545.01</v>
      </c>
      <c r="Q752" s="2">
        <v>190.75</v>
      </c>
      <c r="R752" t="s">
        <v>72</v>
      </c>
      <c r="S752">
        <v>0</v>
      </c>
      <c r="T752">
        <v>0</v>
      </c>
      <c r="U752">
        <f>IF(AND(OR(Dashboard!$D$4="Semua",D752=Dashboard!$D$4),OR(Dashboard!$H$4="Semua",E752=Dashboard!$H$4)),1,0)</f>
        <v>1</v>
      </c>
      <c r="V752">
        <f>IF(U752=1,IF(COUNTIFS($C$2:C752,C752,$U$2:U752,1)=1,1,0),0)</f>
        <v>1</v>
      </c>
    </row>
    <row r="753" spans="1:22" x14ac:dyDescent="0.35">
      <c r="A753">
        <v>10752</v>
      </c>
      <c r="B753" s="1">
        <v>45313</v>
      </c>
      <c r="C753">
        <v>1456</v>
      </c>
      <c r="D753" t="s">
        <v>67</v>
      </c>
      <c r="E753" t="s">
        <v>74</v>
      </c>
      <c r="F753">
        <v>6</v>
      </c>
      <c r="G753" s="2">
        <v>539.16999999999996</v>
      </c>
      <c r="H753">
        <v>0.34</v>
      </c>
      <c r="I753" t="s">
        <v>68</v>
      </c>
      <c r="J753">
        <v>4</v>
      </c>
      <c r="K753">
        <v>1.7</v>
      </c>
      <c r="L753" s="2">
        <v>2135.11</v>
      </c>
      <c r="M753">
        <v>2024</v>
      </c>
      <c r="N753">
        <v>1</v>
      </c>
      <c r="O753" t="s">
        <v>104</v>
      </c>
      <c r="P753" s="2">
        <v>3235.02</v>
      </c>
      <c r="Q753" s="2">
        <v>1099.9100000000001</v>
      </c>
      <c r="R753" t="s">
        <v>72</v>
      </c>
      <c r="S753">
        <v>0</v>
      </c>
      <c r="T753">
        <v>0</v>
      </c>
      <c r="U753">
        <f>IF(AND(OR(Dashboard!$D$4="Semua",D753=Dashboard!$D$4),OR(Dashboard!$H$4="Semua",E753=Dashboard!$H$4)),1,0)</f>
        <v>1</v>
      </c>
      <c r="V753">
        <f>IF(U753=1,IF(COUNTIFS($C$2:C753,C753,$U$2:U753,1)=1,1,0),0)</f>
        <v>1</v>
      </c>
    </row>
    <row r="754" spans="1:22" x14ac:dyDescent="0.35">
      <c r="A754">
        <v>10753</v>
      </c>
      <c r="B754" s="1">
        <v>45314</v>
      </c>
      <c r="C754">
        <v>1919</v>
      </c>
      <c r="D754" t="s">
        <v>73</v>
      </c>
      <c r="E754" t="s">
        <v>74</v>
      </c>
      <c r="F754">
        <v>1</v>
      </c>
      <c r="G754" s="2">
        <v>519.02</v>
      </c>
      <c r="H754">
        <v>0.34</v>
      </c>
      <c r="I754" t="s">
        <v>71</v>
      </c>
      <c r="J754">
        <v>4</v>
      </c>
      <c r="K754">
        <v>3.7</v>
      </c>
      <c r="L754" s="2">
        <v>342.55</v>
      </c>
      <c r="M754">
        <v>2024</v>
      </c>
      <c r="N754">
        <v>1</v>
      </c>
      <c r="O754" t="s">
        <v>104</v>
      </c>
      <c r="P754" s="2">
        <v>519.02</v>
      </c>
      <c r="Q754" s="2">
        <v>176.47</v>
      </c>
      <c r="R754" t="s">
        <v>72</v>
      </c>
      <c r="S754">
        <v>0</v>
      </c>
      <c r="T754">
        <v>0</v>
      </c>
      <c r="U754">
        <f>IF(AND(OR(Dashboard!$D$4="Semua",D754=Dashboard!$D$4),OR(Dashboard!$H$4="Semua",E754=Dashboard!$H$4)),1,0)</f>
        <v>1</v>
      </c>
      <c r="V754">
        <f>IF(U754=1,IF(COUNTIFS($C$2:C754,C754,$U$2:U754,1)=1,1,0),0)</f>
        <v>0</v>
      </c>
    </row>
    <row r="755" spans="1:22" x14ac:dyDescent="0.35">
      <c r="A755">
        <v>10754</v>
      </c>
      <c r="B755" s="1">
        <v>45315</v>
      </c>
      <c r="C755">
        <v>1191</v>
      </c>
      <c r="D755" t="s">
        <v>80</v>
      </c>
      <c r="E755" t="s">
        <v>78</v>
      </c>
      <c r="F755">
        <v>4</v>
      </c>
      <c r="G755" s="2">
        <v>110.96</v>
      </c>
      <c r="H755">
        <v>0.12</v>
      </c>
      <c r="I755" t="s">
        <v>71</v>
      </c>
      <c r="J755">
        <v>9</v>
      </c>
      <c r="K755">
        <v>4.9000000000000004</v>
      </c>
      <c r="L755" s="2">
        <v>390.58</v>
      </c>
      <c r="M755">
        <v>2024</v>
      </c>
      <c r="N755">
        <v>1</v>
      </c>
      <c r="O755" t="s">
        <v>104</v>
      </c>
      <c r="P755" s="2">
        <v>443.84</v>
      </c>
      <c r="Q755" s="2">
        <v>53.26</v>
      </c>
      <c r="R755" t="s">
        <v>79</v>
      </c>
      <c r="S755">
        <v>0</v>
      </c>
      <c r="T755">
        <v>0</v>
      </c>
      <c r="U755">
        <f>IF(AND(OR(Dashboard!$D$4="Semua",D755=Dashboard!$D$4),OR(Dashboard!$H$4="Semua",E755=Dashboard!$H$4)),1,0)</f>
        <v>1</v>
      </c>
      <c r="V755">
        <f>IF(U755=1,IF(COUNTIFS($C$2:C755,C755,$U$2:U755,1)=1,1,0),0)</f>
        <v>0</v>
      </c>
    </row>
    <row r="756" spans="1:22" x14ac:dyDescent="0.35">
      <c r="A756">
        <v>10755</v>
      </c>
      <c r="B756" s="1">
        <v>45316</v>
      </c>
      <c r="C756">
        <v>1738</v>
      </c>
      <c r="D756" t="s">
        <v>67</v>
      </c>
      <c r="E756" t="s">
        <v>63</v>
      </c>
      <c r="F756">
        <v>3</v>
      </c>
      <c r="G756" s="2">
        <v>30.19</v>
      </c>
      <c r="H756">
        <v>0.35</v>
      </c>
      <c r="I756" t="s">
        <v>71</v>
      </c>
      <c r="J756">
        <v>6</v>
      </c>
      <c r="K756">
        <v>2</v>
      </c>
      <c r="L756" s="2">
        <v>58.87</v>
      </c>
      <c r="M756">
        <v>2024</v>
      </c>
      <c r="N756">
        <v>1</v>
      </c>
      <c r="O756" t="s">
        <v>104</v>
      </c>
      <c r="P756" s="2">
        <v>90.57</v>
      </c>
      <c r="Q756" s="2">
        <v>31.7</v>
      </c>
      <c r="R756" t="s">
        <v>72</v>
      </c>
      <c r="S756">
        <v>0</v>
      </c>
      <c r="T756">
        <v>0</v>
      </c>
      <c r="U756">
        <f>IF(AND(OR(Dashboard!$D$4="Semua",D756=Dashboard!$D$4),OR(Dashboard!$H$4="Semua",E756=Dashboard!$H$4)),1,0)</f>
        <v>1</v>
      </c>
      <c r="V756">
        <f>IF(U756=1,IF(COUNTIFS($C$2:C756,C756,$U$2:U756,1)=1,1,0),0)</f>
        <v>0</v>
      </c>
    </row>
    <row r="757" spans="1:22" x14ac:dyDescent="0.35">
      <c r="A757">
        <v>10756</v>
      </c>
      <c r="B757" s="1">
        <v>45317</v>
      </c>
      <c r="C757">
        <v>1688</v>
      </c>
      <c r="D757" t="s">
        <v>80</v>
      </c>
      <c r="E757" t="s">
        <v>74</v>
      </c>
      <c r="F757">
        <v>6</v>
      </c>
      <c r="G757" s="2">
        <v>67.64</v>
      </c>
      <c r="H757">
        <v>0.16</v>
      </c>
      <c r="I757" t="s">
        <v>71</v>
      </c>
      <c r="J757">
        <v>10</v>
      </c>
      <c r="K757">
        <v>1.6</v>
      </c>
      <c r="L757" s="2">
        <v>340.91</v>
      </c>
      <c r="M757">
        <v>2024</v>
      </c>
      <c r="N757">
        <v>1</v>
      </c>
      <c r="O757" t="s">
        <v>104</v>
      </c>
      <c r="P757" s="2">
        <v>405.84</v>
      </c>
      <c r="Q757" s="2">
        <v>64.930000000000007</v>
      </c>
      <c r="R757" t="s">
        <v>76</v>
      </c>
      <c r="S757">
        <v>0</v>
      </c>
      <c r="T757">
        <v>0</v>
      </c>
      <c r="U757">
        <f>IF(AND(OR(Dashboard!$D$4="Semua",D757=Dashboard!$D$4),OR(Dashboard!$H$4="Semua",E757=Dashboard!$H$4)),1,0)</f>
        <v>1</v>
      </c>
      <c r="V757">
        <f>IF(U757=1,IF(COUNTIFS($C$2:C757,C757,$U$2:U757,1)=1,1,0),0)</f>
        <v>1</v>
      </c>
    </row>
    <row r="758" spans="1:22" x14ac:dyDescent="0.35">
      <c r="A758">
        <v>10757</v>
      </c>
      <c r="B758" s="1">
        <v>45318</v>
      </c>
      <c r="C758">
        <v>1098</v>
      </c>
      <c r="D758" t="s">
        <v>80</v>
      </c>
      <c r="E758" t="s">
        <v>63</v>
      </c>
      <c r="F758">
        <v>1</v>
      </c>
      <c r="G758" s="2">
        <v>182.63</v>
      </c>
      <c r="H758">
        <v>0.3</v>
      </c>
      <c r="I758" t="s">
        <v>64</v>
      </c>
      <c r="J758">
        <v>9</v>
      </c>
      <c r="K758">
        <v>1.1000000000000001</v>
      </c>
      <c r="L758" s="2">
        <v>127.84</v>
      </c>
      <c r="M758">
        <v>2024</v>
      </c>
      <c r="N758">
        <v>1</v>
      </c>
      <c r="O758" t="s">
        <v>104</v>
      </c>
      <c r="P758" s="2">
        <v>182.63</v>
      </c>
      <c r="Q758" s="2">
        <v>54.79</v>
      </c>
      <c r="R758" t="s">
        <v>66</v>
      </c>
      <c r="S758">
        <v>0</v>
      </c>
      <c r="T758">
        <v>0</v>
      </c>
      <c r="U758">
        <f>IF(AND(OR(Dashboard!$D$4="Semua",D758=Dashboard!$D$4),OR(Dashboard!$H$4="Semua",E758=Dashboard!$H$4)),1,0)</f>
        <v>1</v>
      </c>
      <c r="V758">
        <f>IF(U758=1,IF(COUNTIFS($C$2:C758,C758,$U$2:U758,1)=1,1,0),0)</f>
        <v>0</v>
      </c>
    </row>
    <row r="759" spans="1:22" x14ac:dyDescent="0.35">
      <c r="A759">
        <v>10758</v>
      </c>
      <c r="B759" s="1">
        <v>45319</v>
      </c>
      <c r="C759">
        <v>1547</v>
      </c>
      <c r="D759" t="s">
        <v>80</v>
      </c>
      <c r="E759" t="s">
        <v>63</v>
      </c>
      <c r="F759">
        <v>1</v>
      </c>
      <c r="G759" s="2">
        <v>583.77</v>
      </c>
      <c r="H759">
        <v>0.08</v>
      </c>
      <c r="I759" t="s">
        <v>71</v>
      </c>
      <c r="J759">
        <v>4</v>
      </c>
      <c r="K759">
        <v>2.5</v>
      </c>
      <c r="L759" s="2">
        <v>537.07000000000005</v>
      </c>
      <c r="M759">
        <v>2024</v>
      </c>
      <c r="N759">
        <v>1</v>
      </c>
      <c r="O759" t="s">
        <v>104</v>
      </c>
      <c r="P759" s="2">
        <v>583.77</v>
      </c>
      <c r="Q759" s="2">
        <v>46.7</v>
      </c>
      <c r="R759" t="s">
        <v>69</v>
      </c>
      <c r="S759">
        <v>0</v>
      </c>
      <c r="T759">
        <v>0</v>
      </c>
      <c r="U759">
        <f>IF(AND(OR(Dashboard!$D$4="Semua",D759=Dashboard!$D$4),OR(Dashboard!$H$4="Semua",E759=Dashboard!$H$4)),1,0)</f>
        <v>1</v>
      </c>
      <c r="V759">
        <f>IF(U759=1,IF(COUNTIFS($C$2:C759,C759,$U$2:U759,1)=1,1,0),0)</f>
        <v>1</v>
      </c>
    </row>
    <row r="760" spans="1:22" x14ac:dyDescent="0.35">
      <c r="A760">
        <v>10759</v>
      </c>
      <c r="B760" s="1">
        <v>45320</v>
      </c>
      <c r="C760">
        <v>1977</v>
      </c>
      <c r="D760" t="s">
        <v>67</v>
      </c>
      <c r="E760" t="s">
        <v>70</v>
      </c>
      <c r="F760">
        <v>7</v>
      </c>
      <c r="G760" s="2">
        <v>341.73</v>
      </c>
      <c r="H760">
        <v>0.18</v>
      </c>
      <c r="I760" t="s">
        <v>68</v>
      </c>
      <c r="J760">
        <v>7</v>
      </c>
      <c r="K760">
        <v>1.9</v>
      </c>
      <c r="L760" s="2">
        <v>1961.53</v>
      </c>
      <c r="M760">
        <v>2024</v>
      </c>
      <c r="N760">
        <v>1</v>
      </c>
      <c r="O760" t="s">
        <v>104</v>
      </c>
      <c r="P760" s="2">
        <v>2392.11</v>
      </c>
      <c r="Q760" s="2">
        <v>430.58</v>
      </c>
      <c r="R760" t="s">
        <v>76</v>
      </c>
      <c r="S760">
        <v>0</v>
      </c>
      <c r="T760">
        <v>0</v>
      </c>
      <c r="U760">
        <f>IF(AND(OR(Dashboard!$D$4="Semua",D760=Dashboard!$D$4),OR(Dashboard!$H$4="Semua",E760=Dashboard!$H$4)),1,0)</f>
        <v>1</v>
      </c>
      <c r="V760">
        <f>IF(U760=1,IF(COUNTIFS($C$2:C760,C760,$U$2:U760,1)=1,1,0),0)</f>
        <v>1</v>
      </c>
    </row>
    <row r="761" spans="1:22" x14ac:dyDescent="0.35">
      <c r="A761">
        <v>10760</v>
      </c>
      <c r="B761" s="1">
        <v>45321</v>
      </c>
      <c r="C761">
        <v>1998</v>
      </c>
      <c r="D761" t="s">
        <v>73</v>
      </c>
      <c r="E761" t="s">
        <v>70</v>
      </c>
      <c r="F761">
        <v>7</v>
      </c>
      <c r="G761" s="2">
        <v>233.36</v>
      </c>
      <c r="H761">
        <v>0.34</v>
      </c>
      <c r="I761" t="s">
        <v>68</v>
      </c>
      <c r="J761">
        <v>10</v>
      </c>
      <c r="K761">
        <v>3</v>
      </c>
      <c r="L761" s="2">
        <v>1078.1199999999999</v>
      </c>
      <c r="M761">
        <v>2024</v>
      </c>
      <c r="N761">
        <v>1</v>
      </c>
      <c r="O761" t="s">
        <v>104</v>
      </c>
      <c r="P761" s="2">
        <v>1633.52</v>
      </c>
      <c r="Q761" s="2">
        <v>555.4</v>
      </c>
      <c r="R761" t="s">
        <v>72</v>
      </c>
      <c r="S761">
        <v>0</v>
      </c>
      <c r="T761">
        <v>0</v>
      </c>
      <c r="U761">
        <f>IF(AND(OR(Dashboard!$D$4="Semua",D761=Dashboard!$D$4),OR(Dashboard!$H$4="Semua",E761=Dashboard!$H$4)),1,0)</f>
        <v>1</v>
      </c>
      <c r="V761">
        <f>IF(U761=1,IF(COUNTIFS($C$2:C761,C761,$U$2:U761,1)=1,1,0),0)</f>
        <v>0</v>
      </c>
    </row>
    <row r="762" spans="1:22" x14ac:dyDescent="0.35">
      <c r="A762">
        <v>10761</v>
      </c>
      <c r="B762" s="1">
        <v>45322</v>
      </c>
      <c r="C762">
        <v>1095</v>
      </c>
      <c r="D762" t="s">
        <v>80</v>
      </c>
      <c r="E762" t="s">
        <v>78</v>
      </c>
      <c r="F762">
        <v>4</v>
      </c>
      <c r="G762" s="2">
        <v>534.9</v>
      </c>
      <c r="H762">
        <v>0.33</v>
      </c>
      <c r="I762" t="s">
        <v>71</v>
      </c>
      <c r="J762">
        <v>9</v>
      </c>
      <c r="K762">
        <v>3.1</v>
      </c>
      <c r="L762" s="2">
        <v>1433.53</v>
      </c>
      <c r="M762">
        <v>2024</v>
      </c>
      <c r="N762">
        <v>1</v>
      </c>
      <c r="O762" t="s">
        <v>104</v>
      </c>
      <c r="P762" s="2">
        <v>2139.6</v>
      </c>
      <c r="Q762" s="2">
        <v>706.07</v>
      </c>
      <c r="R762" t="s">
        <v>72</v>
      </c>
      <c r="S762">
        <v>0</v>
      </c>
      <c r="T762">
        <v>0</v>
      </c>
      <c r="U762">
        <f>IF(AND(OR(Dashboard!$D$4="Semua",D762=Dashboard!$D$4),OR(Dashboard!$H$4="Semua",E762=Dashboard!$H$4)),1,0)</f>
        <v>1</v>
      </c>
      <c r="V762">
        <f>IF(U762=1,IF(COUNTIFS($C$2:C762,C762,$U$2:U762,1)=1,1,0),0)</f>
        <v>0</v>
      </c>
    </row>
    <row r="763" spans="1:22" x14ac:dyDescent="0.35">
      <c r="A763">
        <v>10762</v>
      </c>
      <c r="B763" s="1">
        <v>45323</v>
      </c>
      <c r="C763">
        <v>1663</v>
      </c>
      <c r="D763" t="s">
        <v>67</v>
      </c>
      <c r="E763" t="s">
        <v>63</v>
      </c>
      <c r="F763">
        <v>1</v>
      </c>
      <c r="G763" s="2">
        <v>280.08</v>
      </c>
      <c r="H763">
        <v>0.24</v>
      </c>
      <c r="I763" t="s">
        <v>64</v>
      </c>
      <c r="J763">
        <v>10</v>
      </c>
      <c r="K763">
        <v>2.4</v>
      </c>
      <c r="L763" s="2">
        <v>212.86</v>
      </c>
      <c r="M763">
        <v>2024</v>
      </c>
      <c r="N763">
        <v>2</v>
      </c>
      <c r="O763" t="s">
        <v>105</v>
      </c>
      <c r="P763" s="2">
        <v>280.08</v>
      </c>
      <c r="Q763" s="2">
        <v>67.22</v>
      </c>
      <c r="R763" t="s">
        <v>77</v>
      </c>
      <c r="S763">
        <v>0</v>
      </c>
      <c r="T763">
        <v>0</v>
      </c>
      <c r="U763">
        <f>IF(AND(OR(Dashboard!$D$4="Semua",D763=Dashboard!$D$4),OR(Dashboard!$H$4="Semua",E763=Dashboard!$H$4)),1,0)</f>
        <v>1</v>
      </c>
      <c r="V763">
        <f>IF(U763=1,IF(COUNTIFS($C$2:C763,C763,$U$2:U763,1)=1,1,0),0)</f>
        <v>0</v>
      </c>
    </row>
    <row r="764" spans="1:22" x14ac:dyDescent="0.35">
      <c r="A764">
        <v>10763</v>
      </c>
      <c r="B764" s="1">
        <v>45324</v>
      </c>
      <c r="C764">
        <v>1662</v>
      </c>
      <c r="D764" t="s">
        <v>80</v>
      </c>
      <c r="E764" t="s">
        <v>74</v>
      </c>
      <c r="F764">
        <v>5</v>
      </c>
      <c r="G764" s="2">
        <v>199.41</v>
      </c>
      <c r="H764">
        <v>0.28000000000000003</v>
      </c>
      <c r="I764" t="s">
        <v>68</v>
      </c>
      <c r="J764">
        <v>3</v>
      </c>
      <c r="K764">
        <v>4</v>
      </c>
      <c r="L764" s="2">
        <v>717.88</v>
      </c>
      <c r="M764">
        <v>2024</v>
      </c>
      <c r="N764">
        <v>2</v>
      </c>
      <c r="O764" t="s">
        <v>105</v>
      </c>
      <c r="P764" s="2">
        <v>997.05</v>
      </c>
      <c r="Q764" s="2">
        <v>279.17</v>
      </c>
      <c r="R764" t="s">
        <v>66</v>
      </c>
      <c r="S764">
        <v>0</v>
      </c>
      <c r="T764">
        <v>0</v>
      </c>
      <c r="U764">
        <f>IF(AND(OR(Dashboard!$D$4="Semua",D764=Dashboard!$D$4),OR(Dashboard!$H$4="Semua",E764=Dashboard!$H$4)),1,0)</f>
        <v>1</v>
      </c>
      <c r="V764">
        <f>IF(U764=1,IF(COUNTIFS($C$2:C764,C764,$U$2:U764,1)=1,1,0),0)</f>
        <v>0</v>
      </c>
    </row>
    <row r="765" spans="1:22" x14ac:dyDescent="0.35">
      <c r="A765">
        <v>10764</v>
      </c>
      <c r="B765" s="1">
        <v>45325</v>
      </c>
      <c r="C765">
        <v>1189</v>
      </c>
      <c r="D765" t="s">
        <v>73</v>
      </c>
      <c r="E765" t="s">
        <v>70</v>
      </c>
      <c r="F765">
        <v>1</v>
      </c>
      <c r="G765" s="2">
        <v>565.61</v>
      </c>
      <c r="H765">
        <v>0.06</v>
      </c>
      <c r="I765" t="s">
        <v>64</v>
      </c>
      <c r="J765">
        <v>3</v>
      </c>
      <c r="K765">
        <v>4.5999999999999996</v>
      </c>
      <c r="L765" s="2">
        <v>531.66999999999996</v>
      </c>
      <c r="M765">
        <v>2024</v>
      </c>
      <c r="N765">
        <v>2</v>
      </c>
      <c r="O765" t="s">
        <v>105</v>
      </c>
      <c r="P765" s="2">
        <v>565.61</v>
      </c>
      <c r="Q765" s="2">
        <v>33.94</v>
      </c>
      <c r="R765" t="s">
        <v>69</v>
      </c>
      <c r="S765">
        <v>0</v>
      </c>
      <c r="T765">
        <v>0</v>
      </c>
      <c r="U765">
        <f>IF(AND(OR(Dashboard!$D$4="Semua",D765=Dashboard!$D$4),OR(Dashboard!$H$4="Semua",E765=Dashboard!$H$4)),1,0)</f>
        <v>1</v>
      </c>
      <c r="V765">
        <f>IF(U765=1,IF(COUNTIFS($C$2:C765,C765,$U$2:U765,1)=1,1,0),0)</f>
        <v>0</v>
      </c>
    </row>
    <row r="766" spans="1:22" x14ac:dyDescent="0.35">
      <c r="A766">
        <v>10765</v>
      </c>
      <c r="B766" s="1">
        <v>45326</v>
      </c>
      <c r="C766">
        <v>1735</v>
      </c>
      <c r="D766" t="s">
        <v>73</v>
      </c>
      <c r="E766" t="s">
        <v>70</v>
      </c>
      <c r="F766">
        <v>6</v>
      </c>
      <c r="G766" s="2">
        <v>511.97</v>
      </c>
      <c r="H766">
        <v>0.25</v>
      </c>
      <c r="I766" t="s">
        <v>64</v>
      </c>
      <c r="J766">
        <v>6</v>
      </c>
      <c r="K766">
        <v>1.8</v>
      </c>
      <c r="L766" s="2">
        <v>2303.87</v>
      </c>
      <c r="M766">
        <v>2024</v>
      </c>
      <c r="N766">
        <v>2</v>
      </c>
      <c r="O766" t="s">
        <v>105</v>
      </c>
      <c r="P766" s="2">
        <v>3071.82</v>
      </c>
      <c r="Q766" s="2">
        <v>767.95</v>
      </c>
      <c r="R766" t="s">
        <v>77</v>
      </c>
      <c r="S766">
        <v>0</v>
      </c>
      <c r="T766">
        <v>0</v>
      </c>
      <c r="U766">
        <f>IF(AND(OR(Dashboard!$D$4="Semua",D766=Dashboard!$D$4),OR(Dashboard!$H$4="Semua",E766=Dashboard!$H$4)),1,0)</f>
        <v>1</v>
      </c>
      <c r="V766">
        <f>IF(U766=1,IF(COUNTIFS($C$2:C766,C766,$U$2:U766,1)=1,1,0),0)</f>
        <v>0</v>
      </c>
    </row>
    <row r="767" spans="1:22" x14ac:dyDescent="0.35">
      <c r="A767">
        <v>10766</v>
      </c>
      <c r="B767" s="1">
        <v>45327</v>
      </c>
      <c r="C767">
        <v>1036</v>
      </c>
      <c r="D767" t="s">
        <v>62</v>
      </c>
      <c r="E767" t="s">
        <v>63</v>
      </c>
      <c r="F767">
        <v>7</v>
      </c>
      <c r="G767" s="2">
        <v>508.55</v>
      </c>
      <c r="H767">
        <v>0.22</v>
      </c>
      <c r="I767" t="s">
        <v>71</v>
      </c>
      <c r="J767">
        <v>8</v>
      </c>
      <c r="K767">
        <v>4.3</v>
      </c>
      <c r="L767" s="2">
        <v>2776.68</v>
      </c>
      <c r="M767">
        <v>2024</v>
      </c>
      <c r="N767">
        <v>2</v>
      </c>
      <c r="O767" t="s">
        <v>105</v>
      </c>
      <c r="P767" s="2">
        <v>3559.85</v>
      </c>
      <c r="Q767" s="2">
        <v>783.17</v>
      </c>
      <c r="R767" t="s">
        <v>77</v>
      </c>
      <c r="S767">
        <v>0</v>
      </c>
      <c r="T767">
        <v>0</v>
      </c>
      <c r="U767">
        <f>IF(AND(OR(Dashboard!$D$4="Semua",D767=Dashboard!$D$4),OR(Dashboard!$H$4="Semua",E767=Dashboard!$H$4)),1,0)</f>
        <v>1</v>
      </c>
      <c r="V767">
        <f>IF(U767=1,IF(COUNTIFS($C$2:C767,C767,$U$2:U767,1)=1,1,0),0)</f>
        <v>0</v>
      </c>
    </row>
    <row r="768" spans="1:22" x14ac:dyDescent="0.35">
      <c r="A768">
        <v>10767</v>
      </c>
      <c r="B768" s="1">
        <v>45328</v>
      </c>
      <c r="C768">
        <v>1779</v>
      </c>
      <c r="D768" t="s">
        <v>80</v>
      </c>
      <c r="E768" t="s">
        <v>70</v>
      </c>
      <c r="F768">
        <v>5</v>
      </c>
      <c r="G768" s="2">
        <v>314.69</v>
      </c>
      <c r="H768">
        <v>0.03</v>
      </c>
      <c r="I768" t="s">
        <v>68</v>
      </c>
      <c r="J768">
        <v>1</v>
      </c>
      <c r="K768">
        <v>1.5</v>
      </c>
      <c r="L768" s="2">
        <v>1526.25</v>
      </c>
      <c r="M768">
        <v>2024</v>
      </c>
      <c r="N768">
        <v>2</v>
      </c>
      <c r="O768" t="s">
        <v>105</v>
      </c>
      <c r="P768" s="2">
        <v>1573.45</v>
      </c>
      <c r="Q768" s="2">
        <v>47.2</v>
      </c>
      <c r="R768" t="s">
        <v>75</v>
      </c>
      <c r="S768">
        <v>0</v>
      </c>
      <c r="T768">
        <v>0</v>
      </c>
      <c r="U768">
        <f>IF(AND(OR(Dashboard!$D$4="Semua",D768=Dashboard!$D$4),OR(Dashboard!$H$4="Semua",E768=Dashboard!$H$4)),1,0)</f>
        <v>1</v>
      </c>
      <c r="V768">
        <f>IF(U768=1,IF(COUNTIFS($C$2:C768,C768,$U$2:U768,1)=1,1,0),0)</f>
        <v>0</v>
      </c>
    </row>
    <row r="769" spans="1:22" x14ac:dyDescent="0.35">
      <c r="A769">
        <v>10768</v>
      </c>
      <c r="B769" s="1">
        <v>45329</v>
      </c>
      <c r="C769">
        <v>1368</v>
      </c>
      <c r="D769" t="s">
        <v>62</v>
      </c>
      <c r="E769" t="s">
        <v>70</v>
      </c>
      <c r="F769">
        <v>7</v>
      </c>
      <c r="G769" s="2">
        <v>476.82</v>
      </c>
      <c r="H769">
        <v>0.04</v>
      </c>
      <c r="I769" t="s">
        <v>68</v>
      </c>
      <c r="J769">
        <v>4</v>
      </c>
      <c r="K769">
        <v>1.9</v>
      </c>
      <c r="L769" s="2">
        <v>3204.23</v>
      </c>
      <c r="M769">
        <v>2024</v>
      </c>
      <c r="N769">
        <v>2</v>
      </c>
      <c r="O769" t="s">
        <v>105</v>
      </c>
      <c r="P769" s="2">
        <v>3337.74</v>
      </c>
      <c r="Q769" s="2">
        <v>133.51</v>
      </c>
      <c r="R769" t="s">
        <v>75</v>
      </c>
      <c r="S769">
        <v>0</v>
      </c>
      <c r="T769">
        <v>0</v>
      </c>
      <c r="U769">
        <f>IF(AND(OR(Dashboard!$D$4="Semua",D769=Dashboard!$D$4),OR(Dashboard!$H$4="Semua",E769=Dashboard!$H$4)),1,0)</f>
        <v>1</v>
      </c>
      <c r="V769">
        <f>IF(U769=1,IF(COUNTIFS($C$2:C769,C769,$U$2:U769,1)=1,1,0),0)</f>
        <v>1</v>
      </c>
    </row>
    <row r="770" spans="1:22" x14ac:dyDescent="0.35">
      <c r="A770">
        <v>10769</v>
      </c>
      <c r="B770" s="1">
        <v>45330</v>
      </c>
      <c r="C770">
        <v>1694</v>
      </c>
      <c r="D770" t="s">
        <v>80</v>
      </c>
      <c r="E770" t="s">
        <v>74</v>
      </c>
      <c r="F770">
        <v>7</v>
      </c>
      <c r="G770" s="2">
        <v>119.92</v>
      </c>
      <c r="H770">
        <v>0.04</v>
      </c>
      <c r="I770" t="s">
        <v>68</v>
      </c>
      <c r="J770">
        <v>8</v>
      </c>
      <c r="K770">
        <v>3.2</v>
      </c>
      <c r="L770" s="2">
        <v>805.86</v>
      </c>
      <c r="M770">
        <v>2024</v>
      </c>
      <c r="N770">
        <v>2</v>
      </c>
      <c r="O770" t="s">
        <v>105</v>
      </c>
      <c r="P770" s="2">
        <v>839.44</v>
      </c>
      <c r="Q770" s="2">
        <v>33.58</v>
      </c>
      <c r="R770" t="s">
        <v>75</v>
      </c>
      <c r="S770">
        <v>0</v>
      </c>
      <c r="T770">
        <v>0</v>
      </c>
      <c r="U770">
        <f>IF(AND(OR(Dashboard!$D$4="Semua",D770=Dashboard!$D$4),OR(Dashboard!$H$4="Semua",E770=Dashboard!$H$4)),1,0)</f>
        <v>1</v>
      </c>
      <c r="V770">
        <f>IF(U770=1,IF(COUNTIFS($C$2:C770,C770,$U$2:U770,1)=1,1,0),0)</f>
        <v>1</v>
      </c>
    </row>
    <row r="771" spans="1:22" x14ac:dyDescent="0.35">
      <c r="A771">
        <v>10770</v>
      </c>
      <c r="B771" s="1">
        <v>45331</v>
      </c>
      <c r="C771">
        <v>1524</v>
      </c>
      <c r="D771" t="s">
        <v>67</v>
      </c>
      <c r="E771" t="s">
        <v>63</v>
      </c>
      <c r="F771">
        <v>7</v>
      </c>
      <c r="G771" s="2">
        <v>350.34</v>
      </c>
      <c r="H771">
        <v>0.25</v>
      </c>
      <c r="I771" t="s">
        <v>68</v>
      </c>
      <c r="J771">
        <v>6</v>
      </c>
      <c r="K771">
        <v>2.2000000000000002</v>
      </c>
      <c r="L771" s="2">
        <v>1839.28</v>
      </c>
      <c r="M771">
        <v>2024</v>
      </c>
      <c r="N771">
        <v>2</v>
      </c>
      <c r="O771" t="s">
        <v>105</v>
      </c>
      <c r="P771" s="2">
        <v>2452.38</v>
      </c>
      <c r="Q771" s="2">
        <v>613.1</v>
      </c>
      <c r="R771" t="s">
        <v>77</v>
      </c>
      <c r="S771">
        <v>0</v>
      </c>
      <c r="T771">
        <v>0</v>
      </c>
      <c r="U771">
        <f>IF(AND(OR(Dashboard!$D$4="Semua",D771=Dashboard!$D$4),OR(Dashboard!$H$4="Semua",E771=Dashboard!$H$4)),1,0)</f>
        <v>1</v>
      </c>
      <c r="V771">
        <f>IF(U771=1,IF(COUNTIFS($C$2:C771,C771,$U$2:U771,1)=1,1,0),0)</f>
        <v>0</v>
      </c>
    </row>
    <row r="772" spans="1:22" x14ac:dyDescent="0.35">
      <c r="A772">
        <v>10771</v>
      </c>
      <c r="B772" s="1">
        <v>45332</v>
      </c>
      <c r="C772">
        <v>1278</v>
      </c>
      <c r="D772" t="s">
        <v>80</v>
      </c>
      <c r="E772" t="s">
        <v>70</v>
      </c>
      <c r="F772">
        <v>1</v>
      </c>
      <c r="G772" s="2">
        <v>590.54999999999995</v>
      </c>
      <c r="H772">
        <v>0.05</v>
      </c>
      <c r="I772" t="s">
        <v>71</v>
      </c>
      <c r="J772">
        <v>2</v>
      </c>
      <c r="K772">
        <v>1.2</v>
      </c>
      <c r="L772" s="2">
        <v>561.02</v>
      </c>
      <c r="M772">
        <v>2024</v>
      </c>
      <c r="N772">
        <v>2</v>
      </c>
      <c r="O772" t="s">
        <v>105</v>
      </c>
      <c r="P772" s="2">
        <v>590.54999999999995</v>
      </c>
      <c r="Q772" s="2">
        <v>29.53</v>
      </c>
      <c r="R772" t="s">
        <v>75</v>
      </c>
      <c r="S772">
        <v>0</v>
      </c>
      <c r="T772">
        <v>0</v>
      </c>
      <c r="U772">
        <f>IF(AND(OR(Dashboard!$D$4="Semua",D772=Dashboard!$D$4),OR(Dashboard!$H$4="Semua",E772=Dashboard!$H$4)),1,0)</f>
        <v>1</v>
      </c>
      <c r="V772">
        <f>IF(U772=1,IF(COUNTIFS($C$2:C772,C772,$U$2:U772,1)=1,1,0),0)</f>
        <v>1</v>
      </c>
    </row>
    <row r="773" spans="1:22" x14ac:dyDescent="0.35">
      <c r="A773">
        <v>10772</v>
      </c>
      <c r="B773" s="1">
        <v>45333</v>
      </c>
      <c r="C773">
        <v>1216</v>
      </c>
      <c r="D773" t="s">
        <v>62</v>
      </c>
      <c r="E773" t="s">
        <v>63</v>
      </c>
      <c r="F773">
        <v>2</v>
      </c>
      <c r="G773" s="2">
        <v>185.21</v>
      </c>
      <c r="H773">
        <v>0.16</v>
      </c>
      <c r="I773" t="s">
        <v>68</v>
      </c>
      <c r="J773">
        <v>8</v>
      </c>
      <c r="K773">
        <v>2.2000000000000002</v>
      </c>
      <c r="L773" s="2">
        <v>311.14999999999998</v>
      </c>
      <c r="M773">
        <v>2024</v>
      </c>
      <c r="N773">
        <v>2</v>
      </c>
      <c r="O773" t="s">
        <v>105</v>
      </c>
      <c r="P773" s="2">
        <v>370.42</v>
      </c>
      <c r="Q773" s="2">
        <v>59.27</v>
      </c>
      <c r="R773" t="s">
        <v>76</v>
      </c>
      <c r="S773">
        <v>0</v>
      </c>
      <c r="T773">
        <v>0</v>
      </c>
      <c r="U773">
        <f>IF(AND(OR(Dashboard!$D$4="Semua",D773=Dashboard!$D$4),OR(Dashboard!$H$4="Semua",E773=Dashboard!$H$4)),1,0)</f>
        <v>1</v>
      </c>
      <c r="V773">
        <f>IF(U773=1,IF(COUNTIFS($C$2:C773,C773,$U$2:U773,1)=1,1,0),0)</f>
        <v>0</v>
      </c>
    </row>
    <row r="774" spans="1:22" x14ac:dyDescent="0.35">
      <c r="A774">
        <v>10773</v>
      </c>
      <c r="B774" s="1">
        <v>45334</v>
      </c>
      <c r="C774">
        <v>1866</v>
      </c>
      <c r="D774" t="s">
        <v>67</v>
      </c>
      <c r="E774" t="s">
        <v>70</v>
      </c>
      <c r="F774">
        <v>1</v>
      </c>
      <c r="G774" s="2">
        <v>479.7</v>
      </c>
      <c r="H774">
        <v>0.12</v>
      </c>
      <c r="I774" t="s">
        <v>71</v>
      </c>
      <c r="J774">
        <v>1</v>
      </c>
      <c r="K774">
        <v>4.5999999999999996</v>
      </c>
      <c r="L774" s="2">
        <v>422.14</v>
      </c>
      <c r="M774">
        <v>2024</v>
      </c>
      <c r="N774">
        <v>2</v>
      </c>
      <c r="O774" t="s">
        <v>105</v>
      </c>
      <c r="P774" s="2">
        <v>479.7</v>
      </c>
      <c r="Q774" s="2">
        <v>57.56</v>
      </c>
      <c r="R774" t="s">
        <v>79</v>
      </c>
      <c r="S774">
        <v>0</v>
      </c>
      <c r="T774">
        <v>0</v>
      </c>
      <c r="U774">
        <f>IF(AND(OR(Dashboard!$D$4="Semua",D774=Dashboard!$D$4),OR(Dashboard!$H$4="Semua",E774=Dashboard!$H$4)),1,0)</f>
        <v>1</v>
      </c>
      <c r="V774">
        <f>IF(U774=1,IF(COUNTIFS($C$2:C774,C774,$U$2:U774,1)=1,1,0),0)</f>
        <v>0</v>
      </c>
    </row>
    <row r="775" spans="1:22" x14ac:dyDescent="0.35">
      <c r="A775">
        <v>10774</v>
      </c>
      <c r="B775" s="1">
        <v>45335</v>
      </c>
      <c r="C775">
        <v>1872</v>
      </c>
      <c r="D775" t="s">
        <v>67</v>
      </c>
      <c r="E775" t="s">
        <v>74</v>
      </c>
      <c r="F775">
        <v>7</v>
      </c>
      <c r="G775" s="2">
        <v>301.93</v>
      </c>
      <c r="H775">
        <v>0.19</v>
      </c>
      <c r="I775" t="s">
        <v>68</v>
      </c>
      <c r="J775">
        <v>1</v>
      </c>
      <c r="K775">
        <v>1.7</v>
      </c>
      <c r="L775" s="2">
        <v>1711.94</v>
      </c>
      <c r="M775">
        <v>2024</v>
      </c>
      <c r="N775">
        <v>2</v>
      </c>
      <c r="O775" t="s">
        <v>105</v>
      </c>
      <c r="P775" s="2">
        <v>2113.5100000000002</v>
      </c>
      <c r="Q775" s="2">
        <v>401.57</v>
      </c>
      <c r="R775" t="s">
        <v>76</v>
      </c>
      <c r="S775">
        <v>0</v>
      </c>
      <c r="T775">
        <v>0</v>
      </c>
      <c r="U775">
        <f>IF(AND(OR(Dashboard!$D$4="Semua",D775=Dashboard!$D$4),OR(Dashboard!$H$4="Semua",E775=Dashboard!$H$4)),1,0)</f>
        <v>1</v>
      </c>
      <c r="V775">
        <f>IF(U775=1,IF(COUNTIFS($C$2:C775,C775,$U$2:U775,1)=1,1,0),0)</f>
        <v>1</v>
      </c>
    </row>
    <row r="776" spans="1:22" x14ac:dyDescent="0.35">
      <c r="A776">
        <v>10775</v>
      </c>
      <c r="B776" s="1">
        <v>45336</v>
      </c>
      <c r="C776">
        <v>1797</v>
      </c>
      <c r="D776" t="s">
        <v>73</v>
      </c>
      <c r="E776" t="s">
        <v>63</v>
      </c>
      <c r="F776">
        <v>5</v>
      </c>
      <c r="G776" s="2">
        <v>38.29</v>
      </c>
      <c r="H776">
        <v>0.25</v>
      </c>
      <c r="I776" t="s">
        <v>68</v>
      </c>
      <c r="J776">
        <v>7</v>
      </c>
      <c r="K776">
        <v>4.0999999999999996</v>
      </c>
      <c r="L776" s="2">
        <v>143.59</v>
      </c>
      <c r="M776">
        <v>2024</v>
      </c>
      <c r="N776">
        <v>2</v>
      </c>
      <c r="O776" t="s">
        <v>105</v>
      </c>
      <c r="P776" s="2">
        <v>191.45</v>
      </c>
      <c r="Q776" s="2">
        <v>47.86</v>
      </c>
      <c r="R776" t="s">
        <v>77</v>
      </c>
      <c r="S776">
        <v>0</v>
      </c>
      <c r="T776">
        <v>0</v>
      </c>
      <c r="U776">
        <f>IF(AND(OR(Dashboard!$D$4="Semua",D776=Dashboard!$D$4),OR(Dashboard!$H$4="Semua",E776=Dashboard!$H$4)),1,0)</f>
        <v>1</v>
      </c>
      <c r="V776">
        <f>IF(U776=1,IF(COUNTIFS($C$2:C776,C776,$U$2:U776,1)=1,1,0),0)</f>
        <v>0</v>
      </c>
    </row>
    <row r="777" spans="1:22" x14ac:dyDescent="0.35">
      <c r="A777">
        <v>10776</v>
      </c>
      <c r="B777" s="1">
        <v>45337</v>
      </c>
      <c r="C777">
        <v>1272</v>
      </c>
      <c r="D777" t="s">
        <v>67</v>
      </c>
      <c r="E777" t="s">
        <v>70</v>
      </c>
      <c r="F777">
        <v>1</v>
      </c>
      <c r="G777" s="2">
        <v>461.37</v>
      </c>
      <c r="H777">
        <v>0.24</v>
      </c>
      <c r="I777" t="s">
        <v>71</v>
      </c>
      <c r="J777">
        <v>10</v>
      </c>
      <c r="K777">
        <v>3.9</v>
      </c>
      <c r="L777" s="2">
        <v>350.64</v>
      </c>
      <c r="M777">
        <v>2024</v>
      </c>
      <c r="N777">
        <v>2</v>
      </c>
      <c r="O777" t="s">
        <v>105</v>
      </c>
      <c r="P777" s="2">
        <v>461.37</v>
      </c>
      <c r="Q777" s="2">
        <v>110.73</v>
      </c>
      <c r="R777" t="s">
        <v>77</v>
      </c>
      <c r="S777">
        <v>0</v>
      </c>
      <c r="T777">
        <v>0</v>
      </c>
      <c r="U777">
        <f>IF(AND(OR(Dashboard!$D$4="Semua",D777=Dashboard!$D$4),OR(Dashboard!$H$4="Semua",E777=Dashboard!$H$4)),1,0)</f>
        <v>1</v>
      </c>
      <c r="V777">
        <f>IF(U777=1,IF(COUNTIFS($C$2:C777,C777,$U$2:U777,1)=1,1,0),0)</f>
        <v>1</v>
      </c>
    </row>
    <row r="778" spans="1:22" x14ac:dyDescent="0.35">
      <c r="A778">
        <v>10777</v>
      </c>
      <c r="B778" s="1">
        <v>45338</v>
      </c>
      <c r="C778">
        <v>1880</v>
      </c>
      <c r="D778" t="s">
        <v>80</v>
      </c>
      <c r="E778" t="s">
        <v>74</v>
      </c>
      <c r="F778">
        <v>7</v>
      </c>
      <c r="G778" s="2">
        <v>113.61</v>
      </c>
      <c r="H778">
        <v>0.18</v>
      </c>
      <c r="I778" t="s">
        <v>64</v>
      </c>
      <c r="J778">
        <v>3</v>
      </c>
      <c r="K778">
        <v>1.4</v>
      </c>
      <c r="L778" s="2">
        <v>652.12</v>
      </c>
      <c r="M778">
        <v>2024</v>
      </c>
      <c r="N778">
        <v>2</v>
      </c>
      <c r="O778" t="s">
        <v>105</v>
      </c>
      <c r="P778" s="2">
        <v>795.27</v>
      </c>
      <c r="Q778" s="2">
        <v>143.15</v>
      </c>
      <c r="R778" t="s">
        <v>76</v>
      </c>
      <c r="S778">
        <v>0</v>
      </c>
      <c r="T778">
        <v>0</v>
      </c>
      <c r="U778">
        <f>IF(AND(OR(Dashboard!$D$4="Semua",D778=Dashboard!$D$4),OR(Dashboard!$H$4="Semua",E778=Dashboard!$H$4)),1,0)</f>
        <v>1</v>
      </c>
      <c r="V778">
        <f>IF(U778=1,IF(COUNTIFS($C$2:C778,C778,$U$2:U778,1)=1,1,0),0)</f>
        <v>0</v>
      </c>
    </row>
    <row r="779" spans="1:22" x14ac:dyDescent="0.35">
      <c r="A779">
        <v>10778</v>
      </c>
      <c r="B779" s="1">
        <v>45339</v>
      </c>
      <c r="C779">
        <v>1061</v>
      </c>
      <c r="D779" t="s">
        <v>73</v>
      </c>
      <c r="E779" t="s">
        <v>70</v>
      </c>
      <c r="F779">
        <v>7</v>
      </c>
      <c r="G779" s="2">
        <v>384.41</v>
      </c>
      <c r="H779">
        <v>0.16</v>
      </c>
      <c r="I779" t="s">
        <v>71</v>
      </c>
      <c r="J779">
        <v>8</v>
      </c>
      <c r="K779">
        <v>2.2999999999999998</v>
      </c>
      <c r="L779" s="2">
        <v>2260.33</v>
      </c>
      <c r="M779">
        <v>2024</v>
      </c>
      <c r="N779">
        <v>2</v>
      </c>
      <c r="O779" t="s">
        <v>105</v>
      </c>
      <c r="P779" s="2">
        <v>2690.87</v>
      </c>
      <c r="Q779" s="2">
        <v>430.54</v>
      </c>
      <c r="R779" t="s">
        <v>76</v>
      </c>
      <c r="S779">
        <v>0</v>
      </c>
      <c r="T779">
        <v>0</v>
      </c>
      <c r="U779">
        <f>IF(AND(OR(Dashboard!$D$4="Semua",D779=Dashboard!$D$4),OR(Dashboard!$H$4="Semua",E779=Dashboard!$H$4)),1,0)</f>
        <v>1</v>
      </c>
      <c r="V779">
        <f>IF(U779=1,IF(COUNTIFS($C$2:C779,C779,$U$2:U779,1)=1,1,0),0)</f>
        <v>1</v>
      </c>
    </row>
    <row r="780" spans="1:22" x14ac:dyDescent="0.35">
      <c r="A780">
        <v>10779</v>
      </c>
      <c r="B780" s="1">
        <v>45340</v>
      </c>
      <c r="C780">
        <v>1595</v>
      </c>
      <c r="D780" t="s">
        <v>73</v>
      </c>
      <c r="E780" t="s">
        <v>63</v>
      </c>
      <c r="F780">
        <v>1</v>
      </c>
      <c r="G780" s="2">
        <v>65.11</v>
      </c>
      <c r="H780">
        <v>0.14000000000000001</v>
      </c>
      <c r="I780" t="s">
        <v>71</v>
      </c>
      <c r="J780">
        <v>9</v>
      </c>
      <c r="K780">
        <v>1.8</v>
      </c>
      <c r="L780" s="2">
        <v>55.99</v>
      </c>
      <c r="M780">
        <v>2024</v>
      </c>
      <c r="N780">
        <v>2</v>
      </c>
      <c r="O780" t="s">
        <v>105</v>
      </c>
      <c r="P780" s="2">
        <v>65.11</v>
      </c>
      <c r="Q780" s="2">
        <v>9.1199999999999992</v>
      </c>
      <c r="R780" t="s">
        <v>79</v>
      </c>
      <c r="S780">
        <v>0</v>
      </c>
      <c r="T780">
        <v>0</v>
      </c>
      <c r="U780">
        <f>IF(AND(OR(Dashboard!$D$4="Semua",D780=Dashboard!$D$4),OR(Dashboard!$H$4="Semua",E780=Dashboard!$H$4)),1,0)</f>
        <v>1</v>
      </c>
      <c r="V780">
        <f>IF(U780=1,IF(COUNTIFS($C$2:C780,C780,$U$2:U780,1)=1,1,0),0)</f>
        <v>1</v>
      </c>
    </row>
    <row r="781" spans="1:22" x14ac:dyDescent="0.35">
      <c r="A781">
        <v>10780</v>
      </c>
      <c r="B781" s="1">
        <v>45341</v>
      </c>
      <c r="C781">
        <v>1879</v>
      </c>
      <c r="D781" t="s">
        <v>73</v>
      </c>
      <c r="E781" t="s">
        <v>70</v>
      </c>
      <c r="F781">
        <v>1</v>
      </c>
      <c r="G781" s="2">
        <v>568.91999999999996</v>
      </c>
      <c r="H781">
        <v>0.3</v>
      </c>
      <c r="I781" t="s">
        <v>71</v>
      </c>
      <c r="J781">
        <v>8</v>
      </c>
      <c r="K781">
        <v>1.1000000000000001</v>
      </c>
      <c r="L781" s="2">
        <v>398.24</v>
      </c>
      <c r="M781">
        <v>2024</v>
      </c>
      <c r="N781">
        <v>2</v>
      </c>
      <c r="O781" t="s">
        <v>105</v>
      </c>
      <c r="P781" s="2">
        <v>568.91999999999996</v>
      </c>
      <c r="Q781" s="2">
        <v>170.68</v>
      </c>
      <c r="R781" t="s">
        <v>66</v>
      </c>
      <c r="S781">
        <v>0</v>
      </c>
      <c r="T781">
        <v>0</v>
      </c>
      <c r="U781">
        <f>IF(AND(OR(Dashboard!$D$4="Semua",D781=Dashboard!$D$4),OR(Dashboard!$H$4="Semua",E781=Dashboard!$H$4)),1,0)</f>
        <v>1</v>
      </c>
      <c r="V781">
        <f>IF(U781=1,IF(COUNTIFS($C$2:C781,C781,$U$2:U781,1)=1,1,0),0)</f>
        <v>1</v>
      </c>
    </row>
    <row r="782" spans="1:22" x14ac:dyDescent="0.35">
      <c r="A782">
        <v>10781</v>
      </c>
      <c r="B782" s="1">
        <v>45342</v>
      </c>
      <c r="C782">
        <v>1728</v>
      </c>
      <c r="D782" t="s">
        <v>73</v>
      </c>
      <c r="E782" t="s">
        <v>63</v>
      </c>
      <c r="F782">
        <v>5</v>
      </c>
      <c r="G782" s="2">
        <v>185.66</v>
      </c>
      <c r="H782">
        <v>0.12</v>
      </c>
      <c r="I782" t="s">
        <v>71</v>
      </c>
      <c r="J782">
        <v>1</v>
      </c>
      <c r="K782">
        <v>1.7</v>
      </c>
      <c r="L782" s="2">
        <v>816.9</v>
      </c>
      <c r="M782">
        <v>2024</v>
      </c>
      <c r="N782">
        <v>2</v>
      </c>
      <c r="O782" t="s">
        <v>105</v>
      </c>
      <c r="P782" s="2">
        <v>928.3</v>
      </c>
      <c r="Q782" s="2">
        <v>111.4</v>
      </c>
      <c r="R782" t="s">
        <v>79</v>
      </c>
      <c r="S782">
        <v>0</v>
      </c>
      <c r="T782">
        <v>0</v>
      </c>
      <c r="U782">
        <f>IF(AND(OR(Dashboard!$D$4="Semua",D782=Dashboard!$D$4),OR(Dashboard!$H$4="Semua",E782=Dashboard!$H$4)),1,0)</f>
        <v>1</v>
      </c>
      <c r="V782">
        <f>IF(U782=1,IF(COUNTIFS($C$2:C782,C782,$U$2:U782,1)=1,1,0),0)</f>
        <v>0</v>
      </c>
    </row>
    <row r="783" spans="1:22" x14ac:dyDescent="0.35">
      <c r="A783">
        <v>10782</v>
      </c>
      <c r="B783" s="1">
        <v>45343</v>
      </c>
      <c r="C783">
        <v>1341</v>
      </c>
      <c r="D783" t="s">
        <v>73</v>
      </c>
      <c r="E783" t="s">
        <v>63</v>
      </c>
      <c r="F783">
        <v>1</v>
      </c>
      <c r="G783" s="2">
        <v>147.47999999999999</v>
      </c>
      <c r="H783">
        <v>0.09</v>
      </c>
      <c r="I783" t="s">
        <v>64</v>
      </c>
      <c r="J783">
        <v>1</v>
      </c>
      <c r="K783">
        <v>1.8</v>
      </c>
      <c r="L783" s="2">
        <v>134.21</v>
      </c>
      <c r="M783">
        <v>2024</v>
      </c>
      <c r="N783">
        <v>2</v>
      </c>
      <c r="O783" t="s">
        <v>105</v>
      </c>
      <c r="P783" s="2">
        <v>147.47999999999999</v>
      </c>
      <c r="Q783" s="2">
        <v>13.27</v>
      </c>
      <c r="R783" t="s">
        <v>69</v>
      </c>
      <c r="S783">
        <v>0</v>
      </c>
      <c r="T783">
        <v>0</v>
      </c>
      <c r="U783">
        <f>IF(AND(OR(Dashboard!$D$4="Semua",D783=Dashboard!$D$4),OR(Dashboard!$H$4="Semua",E783=Dashboard!$H$4)),1,0)</f>
        <v>1</v>
      </c>
      <c r="V783">
        <f>IF(U783=1,IF(COUNTIFS($C$2:C783,C783,$U$2:U783,1)=1,1,0),0)</f>
        <v>0</v>
      </c>
    </row>
    <row r="784" spans="1:22" x14ac:dyDescent="0.35">
      <c r="A784">
        <v>10783</v>
      </c>
      <c r="B784" s="1">
        <v>45344</v>
      </c>
      <c r="C784">
        <v>1396</v>
      </c>
      <c r="D784" t="s">
        <v>67</v>
      </c>
      <c r="E784" t="s">
        <v>70</v>
      </c>
      <c r="F784">
        <v>4</v>
      </c>
      <c r="G784" s="2">
        <v>90.54</v>
      </c>
      <c r="H784">
        <v>0.26</v>
      </c>
      <c r="I784" t="s">
        <v>68</v>
      </c>
      <c r="J784">
        <v>6</v>
      </c>
      <c r="K784">
        <v>1.7</v>
      </c>
      <c r="L784" s="2">
        <v>268</v>
      </c>
      <c r="M784">
        <v>2024</v>
      </c>
      <c r="N784">
        <v>2</v>
      </c>
      <c r="O784" t="s">
        <v>105</v>
      </c>
      <c r="P784" s="2">
        <v>362.16</v>
      </c>
      <c r="Q784" s="2">
        <v>94.16</v>
      </c>
      <c r="R784" t="s">
        <v>66</v>
      </c>
      <c r="S784">
        <v>0</v>
      </c>
      <c r="T784">
        <v>0</v>
      </c>
      <c r="U784">
        <f>IF(AND(OR(Dashboard!$D$4="Semua",D784=Dashboard!$D$4),OR(Dashboard!$H$4="Semua",E784=Dashboard!$H$4)),1,0)</f>
        <v>1</v>
      </c>
      <c r="V784">
        <f>IF(U784=1,IF(COUNTIFS($C$2:C784,C784,$U$2:U784,1)=1,1,0),0)</f>
        <v>0</v>
      </c>
    </row>
    <row r="785" spans="1:22" x14ac:dyDescent="0.35">
      <c r="A785">
        <v>10784</v>
      </c>
      <c r="B785" s="1">
        <v>45345</v>
      </c>
      <c r="C785">
        <v>1698</v>
      </c>
      <c r="D785" t="s">
        <v>62</v>
      </c>
      <c r="E785" t="s">
        <v>74</v>
      </c>
      <c r="F785">
        <v>6</v>
      </c>
      <c r="G785" s="2">
        <v>568.41</v>
      </c>
      <c r="H785">
        <v>0.13</v>
      </c>
      <c r="I785" t="s">
        <v>64</v>
      </c>
      <c r="J785">
        <v>1</v>
      </c>
      <c r="K785">
        <v>1.4</v>
      </c>
      <c r="L785" s="2">
        <v>2967.1</v>
      </c>
      <c r="M785">
        <v>2024</v>
      </c>
      <c r="N785">
        <v>2</v>
      </c>
      <c r="O785" t="s">
        <v>105</v>
      </c>
      <c r="P785" s="2">
        <v>3410.46</v>
      </c>
      <c r="Q785" s="2">
        <v>443.36</v>
      </c>
      <c r="R785" t="s">
        <v>79</v>
      </c>
      <c r="S785">
        <v>0</v>
      </c>
      <c r="T785">
        <v>0</v>
      </c>
      <c r="U785">
        <f>IF(AND(OR(Dashboard!$D$4="Semua",D785=Dashboard!$D$4),OR(Dashboard!$H$4="Semua",E785=Dashboard!$H$4)),1,0)</f>
        <v>1</v>
      </c>
      <c r="V785">
        <f>IF(U785=1,IF(COUNTIFS($C$2:C785,C785,$U$2:U785,1)=1,1,0),0)</f>
        <v>0</v>
      </c>
    </row>
    <row r="786" spans="1:22" x14ac:dyDescent="0.35">
      <c r="A786">
        <v>10785</v>
      </c>
      <c r="B786" s="1">
        <v>45346</v>
      </c>
      <c r="C786">
        <v>1018</v>
      </c>
      <c r="D786" t="s">
        <v>67</v>
      </c>
      <c r="E786" t="s">
        <v>78</v>
      </c>
      <c r="F786">
        <v>4</v>
      </c>
      <c r="G786" s="2">
        <v>431.46</v>
      </c>
      <c r="H786">
        <v>0.3</v>
      </c>
      <c r="I786" t="s">
        <v>68</v>
      </c>
      <c r="J786">
        <v>8</v>
      </c>
      <c r="K786">
        <v>3.1</v>
      </c>
      <c r="L786" s="2">
        <v>1208.0899999999999</v>
      </c>
      <c r="M786">
        <v>2024</v>
      </c>
      <c r="N786">
        <v>2</v>
      </c>
      <c r="O786" t="s">
        <v>105</v>
      </c>
      <c r="P786" s="2">
        <v>1725.84</v>
      </c>
      <c r="Q786" s="2">
        <v>517.75</v>
      </c>
      <c r="R786" t="s">
        <v>66</v>
      </c>
      <c r="S786">
        <v>0</v>
      </c>
      <c r="T786">
        <v>0</v>
      </c>
      <c r="U786">
        <f>IF(AND(OR(Dashboard!$D$4="Semua",D786=Dashboard!$D$4),OR(Dashboard!$H$4="Semua",E786=Dashboard!$H$4)),1,0)</f>
        <v>1</v>
      </c>
      <c r="V786">
        <f>IF(U786=1,IF(COUNTIFS($C$2:C786,C786,$U$2:U786,1)=1,1,0),0)</f>
        <v>1</v>
      </c>
    </row>
    <row r="787" spans="1:22" x14ac:dyDescent="0.35">
      <c r="A787">
        <v>10786</v>
      </c>
      <c r="B787" s="1">
        <v>45347</v>
      </c>
      <c r="C787">
        <v>1176</v>
      </c>
      <c r="D787" t="s">
        <v>73</v>
      </c>
      <c r="E787" t="s">
        <v>74</v>
      </c>
      <c r="F787">
        <v>5</v>
      </c>
      <c r="G787" s="2">
        <v>448.87</v>
      </c>
      <c r="H787">
        <v>0.11</v>
      </c>
      <c r="I787" t="s">
        <v>64</v>
      </c>
      <c r="J787">
        <v>6</v>
      </c>
      <c r="K787">
        <v>2.2999999999999998</v>
      </c>
      <c r="L787" s="2">
        <v>1997.47</v>
      </c>
      <c r="M787">
        <v>2024</v>
      </c>
      <c r="N787">
        <v>2</v>
      </c>
      <c r="O787" t="s">
        <v>105</v>
      </c>
      <c r="P787" s="2">
        <v>2244.35</v>
      </c>
      <c r="Q787" s="2">
        <v>246.88</v>
      </c>
      <c r="R787" t="s">
        <v>79</v>
      </c>
      <c r="S787">
        <v>0</v>
      </c>
      <c r="T787">
        <v>0</v>
      </c>
      <c r="U787">
        <f>IF(AND(OR(Dashboard!$D$4="Semua",D787=Dashboard!$D$4),OR(Dashboard!$H$4="Semua",E787=Dashboard!$H$4)),1,0)</f>
        <v>1</v>
      </c>
      <c r="V787">
        <f>IF(U787=1,IF(COUNTIFS($C$2:C787,C787,$U$2:U787,1)=1,1,0),0)</f>
        <v>1</v>
      </c>
    </row>
    <row r="788" spans="1:22" x14ac:dyDescent="0.35">
      <c r="A788">
        <v>10787</v>
      </c>
      <c r="B788" s="1">
        <v>45348</v>
      </c>
      <c r="C788">
        <v>1611</v>
      </c>
      <c r="D788" t="s">
        <v>73</v>
      </c>
      <c r="E788" t="s">
        <v>74</v>
      </c>
      <c r="F788">
        <v>2</v>
      </c>
      <c r="G788" s="2">
        <v>307.14999999999998</v>
      </c>
      <c r="H788">
        <v>0.25</v>
      </c>
      <c r="I788" t="s">
        <v>68</v>
      </c>
      <c r="J788">
        <v>5</v>
      </c>
      <c r="K788">
        <v>4.5999999999999996</v>
      </c>
      <c r="L788" s="2">
        <v>460.72</v>
      </c>
      <c r="M788">
        <v>2024</v>
      </c>
      <c r="N788">
        <v>2</v>
      </c>
      <c r="O788" t="s">
        <v>105</v>
      </c>
      <c r="P788" s="2">
        <v>614.29999999999995</v>
      </c>
      <c r="Q788" s="2">
        <v>153.58000000000001</v>
      </c>
      <c r="R788" t="s">
        <v>77</v>
      </c>
      <c r="S788">
        <v>0</v>
      </c>
      <c r="T788">
        <v>0</v>
      </c>
      <c r="U788">
        <f>IF(AND(OR(Dashboard!$D$4="Semua",D788=Dashboard!$D$4),OR(Dashboard!$H$4="Semua",E788=Dashboard!$H$4)),1,0)</f>
        <v>1</v>
      </c>
      <c r="V788">
        <f>IF(U788=1,IF(COUNTIFS($C$2:C788,C788,$U$2:U788,1)=1,1,0),0)</f>
        <v>0</v>
      </c>
    </row>
    <row r="789" spans="1:22" x14ac:dyDescent="0.35">
      <c r="A789">
        <v>10788</v>
      </c>
      <c r="B789" s="1">
        <v>45349</v>
      </c>
      <c r="C789">
        <v>1395</v>
      </c>
      <c r="D789" t="s">
        <v>80</v>
      </c>
      <c r="E789" t="s">
        <v>70</v>
      </c>
      <c r="F789">
        <v>4</v>
      </c>
      <c r="G789" s="2">
        <v>292.72000000000003</v>
      </c>
      <c r="H789">
        <v>0.02</v>
      </c>
      <c r="I789" t="s">
        <v>64</v>
      </c>
      <c r="J789">
        <v>6</v>
      </c>
      <c r="K789">
        <v>1.7</v>
      </c>
      <c r="L789" s="2">
        <v>1147.46</v>
      </c>
      <c r="M789">
        <v>2024</v>
      </c>
      <c r="N789">
        <v>2</v>
      </c>
      <c r="O789" t="s">
        <v>105</v>
      </c>
      <c r="P789" s="2">
        <v>1170.8800000000001</v>
      </c>
      <c r="Q789" s="2">
        <v>23.42</v>
      </c>
      <c r="R789" t="s">
        <v>75</v>
      </c>
      <c r="S789">
        <v>0</v>
      </c>
      <c r="T789">
        <v>0</v>
      </c>
      <c r="U789">
        <f>IF(AND(OR(Dashboard!$D$4="Semua",D789=Dashboard!$D$4),OR(Dashboard!$H$4="Semua",E789=Dashboard!$H$4)),1,0)</f>
        <v>1</v>
      </c>
      <c r="V789">
        <f>IF(U789=1,IF(COUNTIFS($C$2:C789,C789,$U$2:U789,1)=1,1,0),0)</f>
        <v>1</v>
      </c>
    </row>
    <row r="790" spans="1:22" x14ac:dyDescent="0.35">
      <c r="A790">
        <v>10789</v>
      </c>
      <c r="B790" s="1">
        <v>45350</v>
      </c>
      <c r="C790">
        <v>1444</v>
      </c>
      <c r="D790" t="s">
        <v>67</v>
      </c>
      <c r="E790" t="s">
        <v>74</v>
      </c>
      <c r="F790">
        <v>7</v>
      </c>
      <c r="G790" s="2">
        <v>79.36</v>
      </c>
      <c r="H790">
        <v>0.13</v>
      </c>
      <c r="I790" t="s">
        <v>64</v>
      </c>
      <c r="J790">
        <v>4</v>
      </c>
      <c r="K790">
        <v>3.4</v>
      </c>
      <c r="L790" s="2">
        <v>483.3</v>
      </c>
      <c r="M790">
        <v>2024</v>
      </c>
      <c r="N790">
        <v>2</v>
      </c>
      <c r="O790" t="s">
        <v>105</v>
      </c>
      <c r="P790" s="2">
        <v>555.52</v>
      </c>
      <c r="Q790" s="2">
        <v>72.22</v>
      </c>
      <c r="R790" t="s">
        <v>79</v>
      </c>
      <c r="S790">
        <v>0</v>
      </c>
      <c r="T790">
        <v>0</v>
      </c>
      <c r="U790">
        <f>IF(AND(OR(Dashboard!$D$4="Semua",D790=Dashboard!$D$4),OR(Dashboard!$H$4="Semua",E790=Dashboard!$H$4)),1,0)</f>
        <v>1</v>
      </c>
      <c r="V790">
        <f>IF(U790=1,IF(COUNTIFS($C$2:C790,C790,$U$2:U790,1)=1,1,0),0)</f>
        <v>1</v>
      </c>
    </row>
    <row r="791" spans="1:22" x14ac:dyDescent="0.35">
      <c r="A791">
        <v>10790</v>
      </c>
      <c r="B791" s="1">
        <v>45351</v>
      </c>
      <c r="C791">
        <v>1232</v>
      </c>
      <c r="D791" t="s">
        <v>80</v>
      </c>
      <c r="E791" t="s">
        <v>74</v>
      </c>
      <c r="F791">
        <v>6</v>
      </c>
      <c r="G791" s="2">
        <v>342.51</v>
      </c>
      <c r="H791">
        <v>0.12</v>
      </c>
      <c r="I791" t="s">
        <v>68</v>
      </c>
      <c r="J791">
        <v>1</v>
      </c>
      <c r="K791">
        <v>4.5999999999999996</v>
      </c>
      <c r="L791" s="2">
        <v>1808.45</v>
      </c>
      <c r="M791">
        <v>2024</v>
      </c>
      <c r="N791">
        <v>2</v>
      </c>
      <c r="O791" t="s">
        <v>105</v>
      </c>
      <c r="P791" s="2">
        <v>2055.06</v>
      </c>
      <c r="Q791" s="2">
        <v>246.61</v>
      </c>
      <c r="R791" t="s">
        <v>79</v>
      </c>
      <c r="S791">
        <v>0</v>
      </c>
      <c r="T791">
        <v>0</v>
      </c>
      <c r="U791">
        <f>IF(AND(OR(Dashboard!$D$4="Semua",D791=Dashboard!$D$4),OR(Dashboard!$H$4="Semua",E791=Dashboard!$H$4)),1,0)</f>
        <v>1</v>
      </c>
      <c r="V791">
        <f>IF(U791=1,IF(COUNTIFS($C$2:C791,C791,$U$2:U791,1)=1,1,0),0)</f>
        <v>0</v>
      </c>
    </row>
    <row r="792" spans="1:22" x14ac:dyDescent="0.35">
      <c r="A792">
        <v>10791</v>
      </c>
      <c r="B792" s="1">
        <v>45352</v>
      </c>
      <c r="C792">
        <v>1914</v>
      </c>
      <c r="D792" t="s">
        <v>80</v>
      </c>
      <c r="E792" t="s">
        <v>78</v>
      </c>
      <c r="F792">
        <v>3</v>
      </c>
      <c r="G792" s="2">
        <v>159.44999999999999</v>
      </c>
      <c r="H792">
        <v>0.28999999999999998</v>
      </c>
      <c r="I792" t="s">
        <v>64</v>
      </c>
      <c r="J792">
        <v>7</v>
      </c>
      <c r="K792">
        <v>1.2</v>
      </c>
      <c r="L792" s="2">
        <v>339.63</v>
      </c>
      <c r="M792">
        <v>2024</v>
      </c>
      <c r="N792">
        <v>3</v>
      </c>
      <c r="O792" t="s">
        <v>106</v>
      </c>
      <c r="P792" s="2">
        <v>478.35</v>
      </c>
      <c r="Q792" s="2">
        <v>138.72</v>
      </c>
      <c r="R792" t="s">
        <v>66</v>
      </c>
      <c r="S792">
        <v>0</v>
      </c>
      <c r="T792">
        <v>0</v>
      </c>
      <c r="U792">
        <f>IF(AND(OR(Dashboard!$D$4="Semua",D792=Dashboard!$D$4),OR(Dashboard!$H$4="Semua",E792=Dashboard!$H$4)),1,0)</f>
        <v>1</v>
      </c>
      <c r="V792">
        <f>IF(U792=1,IF(COUNTIFS($C$2:C792,C792,$U$2:U792,1)=1,1,0),0)</f>
        <v>1</v>
      </c>
    </row>
    <row r="793" spans="1:22" x14ac:dyDescent="0.35">
      <c r="A793">
        <v>10792</v>
      </c>
      <c r="B793" s="1">
        <v>45353</v>
      </c>
      <c r="C793">
        <v>1075</v>
      </c>
      <c r="D793" t="s">
        <v>80</v>
      </c>
      <c r="E793" t="s">
        <v>74</v>
      </c>
      <c r="F793">
        <v>6</v>
      </c>
      <c r="G793" s="2">
        <v>586.63</v>
      </c>
      <c r="H793">
        <v>0.34</v>
      </c>
      <c r="I793" t="s">
        <v>68</v>
      </c>
      <c r="J793">
        <v>10</v>
      </c>
      <c r="K793">
        <v>3.1</v>
      </c>
      <c r="L793" s="2">
        <v>2323.0500000000002</v>
      </c>
      <c r="M793">
        <v>2024</v>
      </c>
      <c r="N793">
        <v>3</v>
      </c>
      <c r="O793" t="s">
        <v>106</v>
      </c>
      <c r="P793" s="2">
        <v>3519.78</v>
      </c>
      <c r="Q793" s="2">
        <v>1196.73</v>
      </c>
      <c r="R793" t="s">
        <v>72</v>
      </c>
      <c r="S793">
        <v>0</v>
      </c>
      <c r="T793">
        <v>0</v>
      </c>
      <c r="U793">
        <f>IF(AND(OR(Dashboard!$D$4="Semua",D793=Dashboard!$D$4),OR(Dashboard!$H$4="Semua",E793=Dashboard!$H$4)),1,0)</f>
        <v>1</v>
      </c>
      <c r="V793">
        <f>IF(U793=1,IF(COUNTIFS($C$2:C793,C793,$U$2:U793,1)=1,1,0),0)</f>
        <v>0</v>
      </c>
    </row>
    <row r="794" spans="1:22" x14ac:dyDescent="0.35">
      <c r="A794">
        <v>10793</v>
      </c>
      <c r="B794" s="1">
        <v>45354</v>
      </c>
      <c r="C794">
        <v>1264</v>
      </c>
      <c r="D794" t="s">
        <v>73</v>
      </c>
      <c r="E794" t="s">
        <v>78</v>
      </c>
      <c r="F794">
        <v>4</v>
      </c>
      <c r="G794" s="2">
        <v>481</v>
      </c>
      <c r="H794">
        <v>0.16</v>
      </c>
      <c r="I794" t="s">
        <v>68</v>
      </c>
      <c r="J794">
        <v>9</v>
      </c>
      <c r="K794">
        <v>2.8</v>
      </c>
      <c r="L794" s="2">
        <v>1616.16</v>
      </c>
      <c r="M794">
        <v>2024</v>
      </c>
      <c r="N794">
        <v>3</v>
      </c>
      <c r="O794" t="s">
        <v>106</v>
      </c>
      <c r="P794" s="2">
        <v>1924</v>
      </c>
      <c r="Q794" s="2">
        <v>307.83999999999997</v>
      </c>
      <c r="R794" t="s">
        <v>76</v>
      </c>
      <c r="S794">
        <v>0</v>
      </c>
      <c r="T794">
        <v>0</v>
      </c>
      <c r="U794">
        <f>IF(AND(OR(Dashboard!$D$4="Semua",D794=Dashboard!$D$4),OR(Dashboard!$H$4="Semua",E794=Dashboard!$H$4)),1,0)</f>
        <v>1</v>
      </c>
      <c r="V794">
        <f>IF(U794=1,IF(COUNTIFS($C$2:C794,C794,$U$2:U794,1)=1,1,0),0)</f>
        <v>1</v>
      </c>
    </row>
    <row r="795" spans="1:22" x14ac:dyDescent="0.35">
      <c r="A795">
        <v>10794</v>
      </c>
      <c r="B795" s="1">
        <v>45355</v>
      </c>
      <c r="C795">
        <v>1454</v>
      </c>
      <c r="D795" t="s">
        <v>80</v>
      </c>
      <c r="E795" t="s">
        <v>70</v>
      </c>
      <c r="F795">
        <v>3</v>
      </c>
      <c r="G795" s="2">
        <v>256.60000000000002</v>
      </c>
      <c r="H795">
        <v>0.28999999999999998</v>
      </c>
      <c r="I795" t="s">
        <v>68</v>
      </c>
      <c r="J795">
        <v>4</v>
      </c>
      <c r="K795">
        <v>4.7</v>
      </c>
      <c r="L795" s="2">
        <v>546.55999999999995</v>
      </c>
      <c r="M795">
        <v>2024</v>
      </c>
      <c r="N795">
        <v>3</v>
      </c>
      <c r="O795" t="s">
        <v>106</v>
      </c>
      <c r="P795" s="2">
        <v>769.8</v>
      </c>
      <c r="Q795" s="2">
        <v>223.24</v>
      </c>
      <c r="R795" t="s">
        <v>66</v>
      </c>
      <c r="S795">
        <v>0</v>
      </c>
      <c r="T795">
        <v>0</v>
      </c>
      <c r="U795">
        <f>IF(AND(OR(Dashboard!$D$4="Semua",D795=Dashboard!$D$4),OR(Dashboard!$H$4="Semua",E795=Dashboard!$H$4)),1,0)</f>
        <v>1</v>
      </c>
      <c r="V795">
        <f>IF(U795=1,IF(COUNTIFS($C$2:C795,C795,$U$2:U795,1)=1,1,0),0)</f>
        <v>0</v>
      </c>
    </row>
    <row r="796" spans="1:22" x14ac:dyDescent="0.35">
      <c r="A796">
        <v>10795</v>
      </c>
      <c r="B796" s="1">
        <v>45356</v>
      </c>
      <c r="C796">
        <v>1795</v>
      </c>
      <c r="D796" t="s">
        <v>73</v>
      </c>
      <c r="E796" t="s">
        <v>78</v>
      </c>
      <c r="F796">
        <v>5</v>
      </c>
      <c r="G796" s="2">
        <v>103.53</v>
      </c>
      <c r="H796">
        <v>0.24</v>
      </c>
      <c r="I796" t="s">
        <v>64</v>
      </c>
      <c r="J796">
        <v>4</v>
      </c>
      <c r="K796">
        <v>3.7</v>
      </c>
      <c r="L796" s="2">
        <v>393.41</v>
      </c>
      <c r="M796">
        <v>2024</v>
      </c>
      <c r="N796">
        <v>3</v>
      </c>
      <c r="O796" t="s">
        <v>106</v>
      </c>
      <c r="P796" s="2">
        <v>517.65</v>
      </c>
      <c r="Q796" s="2">
        <v>124.24</v>
      </c>
      <c r="R796" t="s">
        <v>77</v>
      </c>
      <c r="S796">
        <v>0</v>
      </c>
      <c r="T796">
        <v>0</v>
      </c>
      <c r="U796">
        <f>IF(AND(OR(Dashboard!$D$4="Semua",D796=Dashboard!$D$4),OR(Dashboard!$H$4="Semua",E796=Dashboard!$H$4)),1,0)</f>
        <v>1</v>
      </c>
      <c r="V796">
        <f>IF(U796=1,IF(COUNTIFS($C$2:C796,C796,$U$2:U796,1)=1,1,0),0)</f>
        <v>0</v>
      </c>
    </row>
    <row r="797" spans="1:22" x14ac:dyDescent="0.35">
      <c r="A797">
        <v>10796</v>
      </c>
      <c r="B797" s="1">
        <v>45357</v>
      </c>
      <c r="C797">
        <v>1717</v>
      </c>
      <c r="D797" t="s">
        <v>62</v>
      </c>
      <c r="E797" t="s">
        <v>63</v>
      </c>
      <c r="F797">
        <v>6</v>
      </c>
      <c r="G797" s="2">
        <v>474.42</v>
      </c>
      <c r="H797">
        <v>0.34</v>
      </c>
      <c r="I797" t="s">
        <v>71</v>
      </c>
      <c r="J797">
        <v>9</v>
      </c>
      <c r="K797">
        <v>2.4</v>
      </c>
      <c r="L797" s="2">
        <v>1878.7</v>
      </c>
      <c r="M797">
        <v>2024</v>
      </c>
      <c r="N797">
        <v>3</v>
      </c>
      <c r="O797" t="s">
        <v>106</v>
      </c>
      <c r="P797" s="2">
        <v>2846.52</v>
      </c>
      <c r="Q797" s="2">
        <v>967.82</v>
      </c>
      <c r="R797" t="s">
        <v>72</v>
      </c>
      <c r="S797">
        <v>0</v>
      </c>
      <c r="T797">
        <v>0</v>
      </c>
      <c r="U797">
        <f>IF(AND(OR(Dashboard!$D$4="Semua",D797=Dashboard!$D$4),OR(Dashboard!$H$4="Semua",E797=Dashboard!$H$4)),1,0)</f>
        <v>1</v>
      </c>
      <c r="V797">
        <f>IF(U797=1,IF(COUNTIFS($C$2:C797,C797,$U$2:U797,1)=1,1,0),0)</f>
        <v>1</v>
      </c>
    </row>
    <row r="798" spans="1:22" x14ac:dyDescent="0.35">
      <c r="A798">
        <v>10797</v>
      </c>
      <c r="B798" s="1">
        <v>45358</v>
      </c>
      <c r="C798">
        <v>1734</v>
      </c>
      <c r="D798" t="s">
        <v>67</v>
      </c>
      <c r="E798" t="s">
        <v>63</v>
      </c>
      <c r="F798">
        <v>2</v>
      </c>
      <c r="G798" s="2">
        <v>86.4</v>
      </c>
      <c r="H798">
        <v>0.28000000000000003</v>
      </c>
      <c r="I798" t="s">
        <v>71</v>
      </c>
      <c r="J798">
        <v>4</v>
      </c>
      <c r="K798">
        <v>3.8</v>
      </c>
      <c r="L798" s="2">
        <v>124.42</v>
      </c>
      <c r="M798">
        <v>2024</v>
      </c>
      <c r="N798">
        <v>3</v>
      </c>
      <c r="O798" t="s">
        <v>106</v>
      </c>
      <c r="P798" s="2">
        <v>172.8</v>
      </c>
      <c r="Q798" s="2">
        <v>48.38</v>
      </c>
      <c r="R798" t="s">
        <v>66</v>
      </c>
      <c r="S798">
        <v>0</v>
      </c>
      <c r="T798">
        <v>0</v>
      </c>
      <c r="U798">
        <f>IF(AND(OR(Dashboard!$D$4="Semua",D798=Dashboard!$D$4),OR(Dashboard!$H$4="Semua",E798=Dashboard!$H$4)),1,0)</f>
        <v>1</v>
      </c>
      <c r="V798">
        <f>IF(U798=1,IF(COUNTIFS($C$2:C798,C798,$U$2:U798,1)=1,1,0),0)</f>
        <v>0</v>
      </c>
    </row>
    <row r="799" spans="1:22" x14ac:dyDescent="0.35">
      <c r="A799">
        <v>10798</v>
      </c>
      <c r="B799" s="1">
        <v>45359</v>
      </c>
      <c r="C799">
        <v>1383</v>
      </c>
      <c r="D799" t="s">
        <v>73</v>
      </c>
      <c r="E799" t="s">
        <v>78</v>
      </c>
      <c r="F799">
        <v>3</v>
      </c>
      <c r="G799" s="2">
        <v>125.76</v>
      </c>
      <c r="H799">
        <v>0.03</v>
      </c>
      <c r="I799" t="s">
        <v>71</v>
      </c>
      <c r="J799">
        <v>10</v>
      </c>
      <c r="K799">
        <v>3.3</v>
      </c>
      <c r="L799" s="2">
        <v>365.96</v>
      </c>
      <c r="M799">
        <v>2024</v>
      </c>
      <c r="N799">
        <v>3</v>
      </c>
      <c r="O799" t="s">
        <v>106</v>
      </c>
      <c r="P799" s="2">
        <v>377.28</v>
      </c>
      <c r="Q799" s="2">
        <v>11.32</v>
      </c>
      <c r="R799" t="s">
        <v>75</v>
      </c>
      <c r="S799">
        <v>0</v>
      </c>
      <c r="T799">
        <v>0</v>
      </c>
      <c r="U799">
        <f>IF(AND(OR(Dashboard!$D$4="Semua",D799=Dashboard!$D$4),OR(Dashboard!$H$4="Semua",E799=Dashboard!$H$4)),1,0)</f>
        <v>1</v>
      </c>
      <c r="V799">
        <f>IF(U799=1,IF(COUNTIFS($C$2:C799,C799,$U$2:U799,1)=1,1,0),0)</f>
        <v>1</v>
      </c>
    </row>
    <row r="800" spans="1:22" x14ac:dyDescent="0.35">
      <c r="A800">
        <v>10799</v>
      </c>
      <c r="B800" s="1">
        <v>45360</v>
      </c>
      <c r="C800">
        <v>1563</v>
      </c>
      <c r="D800" t="s">
        <v>73</v>
      </c>
      <c r="E800" t="s">
        <v>63</v>
      </c>
      <c r="F800">
        <v>3</v>
      </c>
      <c r="G800" s="2">
        <v>138.74</v>
      </c>
      <c r="H800">
        <v>0.25</v>
      </c>
      <c r="I800" t="s">
        <v>64</v>
      </c>
      <c r="J800">
        <v>4</v>
      </c>
      <c r="K800">
        <v>2.4</v>
      </c>
      <c r="L800" s="2">
        <v>312.17</v>
      </c>
      <c r="M800">
        <v>2024</v>
      </c>
      <c r="N800">
        <v>3</v>
      </c>
      <c r="O800" t="s">
        <v>106</v>
      </c>
      <c r="P800" s="2">
        <v>416.22</v>
      </c>
      <c r="Q800" s="2">
        <v>104.05</v>
      </c>
      <c r="R800" t="s">
        <v>77</v>
      </c>
      <c r="S800">
        <v>0</v>
      </c>
      <c r="T800">
        <v>0</v>
      </c>
      <c r="U800">
        <f>IF(AND(OR(Dashboard!$D$4="Semua",D800=Dashboard!$D$4),OR(Dashboard!$H$4="Semua",E800=Dashboard!$H$4)),1,0)</f>
        <v>1</v>
      </c>
      <c r="V800">
        <f>IF(U800=1,IF(COUNTIFS($C$2:C800,C800,$U$2:U800,1)=1,1,0),0)</f>
        <v>0</v>
      </c>
    </row>
    <row r="801" spans="1:22" x14ac:dyDescent="0.35">
      <c r="A801">
        <v>10800</v>
      </c>
      <c r="B801" s="1">
        <v>45361</v>
      </c>
      <c r="C801">
        <v>1850</v>
      </c>
      <c r="D801" t="s">
        <v>73</v>
      </c>
      <c r="E801" t="s">
        <v>70</v>
      </c>
      <c r="F801">
        <v>6</v>
      </c>
      <c r="G801" s="2">
        <v>340.78</v>
      </c>
      <c r="H801">
        <v>0.19</v>
      </c>
      <c r="I801" t="s">
        <v>71</v>
      </c>
      <c r="J801">
        <v>8</v>
      </c>
      <c r="K801">
        <v>4.0999999999999996</v>
      </c>
      <c r="L801" s="2">
        <v>1656.19</v>
      </c>
      <c r="M801">
        <v>2024</v>
      </c>
      <c r="N801">
        <v>3</v>
      </c>
      <c r="O801" t="s">
        <v>106</v>
      </c>
      <c r="P801" s="2">
        <v>2044.68</v>
      </c>
      <c r="Q801" s="2">
        <v>388.49</v>
      </c>
      <c r="R801" t="s">
        <v>76</v>
      </c>
      <c r="S801">
        <v>0</v>
      </c>
      <c r="T801">
        <v>0</v>
      </c>
      <c r="U801">
        <f>IF(AND(OR(Dashboard!$D$4="Semua",D801=Dashboard!$D$4),OR(Dashboard!$H$4="Semua",E801=Dashboard!$H$4)),1,0)</f>
        <v>1</v>
      </c>
      <c r="V801">
        <f>IF(U801=1,IF(COUNTIFS($C$2:C801,C801,$U$2:U801,1)=1,1,0),0)</f>
        <v>1</v>
      </c>
    </row>
    <row r="802" spans="1:22" x14ac:dyDescent="0.35">
      <c r="A802">
        <v>10801</v>
      </c>
      <c r="B802" s="1">
        <v>45362</v>
      </c>
      <c r="C802">
        <v>1505</v>
      </c>
      <c r="D802" t="s">
        <v>80</v>
      </c>
      <c r="E802" t="s">
        <v>63</v>
      </c>
      <c r="F802">
        <v>4</v>
      </c>
      <c r="G802" s="2">
        <v>475.43</v>
      </c>
      <c r="H802">
        <v>0.01</v>
      </c>
      <c r="I802" t="s">
        <v>68</v>
      </c>
      <c r="J802">
        <v>11</v>
      </c>
      <c r="K802">
        <v>3.7</v>
      </c>
      <c r="L802" s="2">
        <v>1882.7</v>
      </c>
      <c r="M802">
        <v>2024</v>
      </c>
      <c r="N802">
        <v>3</v>
      </c>
      <c r="O802" t="s">
        <v>106</v>
      </c>
      <c r="P802" s="2">
        <v>1901.72</v>
      </c>
      <c r="Q802" s="2">
        <v>19.02</v>
      </c>
      <c r="R802" t="s">
        <v>75</v>
      </c>
      <c r="S802">
        <v>0</v>
      </c>
      <c r="T802">
        <v>0</v>
      </c>
      <c r="U802">
        <f>IF(AND(OR(Dashboard!$D$4="Semua",D802=Dashboard!$D$4),OR(Dashboard!$H$4="Semua",E802=Dashboard!$H$4)),1,0)</f>
        <v>1</v>
      </c>
      <c r="V802">
        <f>IF(U802=1,IF(COUNTIFS($C$2:C802,C802,$U$2:U802,1)=1,1,0),0)</f>
        <v>0</v>
      </c>
    </row>
    <row r="803" spans="1:22" x14ac:dyDescent="0.35">
      <c r="A803">
        <v>10802</v>
      </c>
      <c r="B803" s="1">
        <v>45363</v>
      </c>
      <c r="C803">
        <v>1366</v>
      </c>
      <c r="D803" t="s">
        <v>73</v>
      </c>
      <c r="E803" t="s">
        <v>78</v>
      </c>
      <c r="F803">
        <v>3</v>
      </c>
      <c r="G803" s="2">
        <v>198.87</v>
      </c>
      <c r="H803">
        <v>0.09</v>
      </c>
      <c r="I803" t="s">
        <v>68</v>
      </c>
      <c r="J803">
        <v>4</v>
      </c>
      <c r="K803">
        <v>1</v>
      </c>
      <c r="L803" s="2">
        <v>542.91999999999996</v>
      </c>
      <c r="M803">
        <v>2024</v>
      </c>
      <c r="N803">
        <v>3</v>
      </c>
      <c r="O803" t="s">
        <v>106</v>
      </c>
      <c r="P803" s="2">
        <v>596.61</v>
      </c>
      <c r="Q803" s="2">
        <v>53.69</v>
      </c>
      <c r="R803" t="s">
        <v>69</v>
      </c>
      <c r="S803">
        <v>0</v>
      </c>
      <c r="T803">
        <v>0</v>
      </c>
      <c r="U803">
        <f>IF(AND(OR(Dashboard!$D$4="Semua",D803=Dashboard!$D$4),OR(Dashboard!$H$4="Semua",E803=Dashboard!$H$4)),1,0)</f>
        <v>1</v>
      </c>
      <c r="V803">
        <f>IF(U803=1,IF(COUNTIFS($C$2:C803,C803,$U$2:U803,1)=1,1,0),0)</f>
        <v>0</v>
      </c>
    </row>
    <row r="804" spans="1:22" x14ac:dyDescent="0.35">
      <c r="A804">
        <v>10803</v>
      </c>
      <c r="B804" s="1">
        <v>45364</v>
      </c>
      <c r="C804">
        <v>1143</v>
      </c>
      <c r="D804" t="s">
        <v>67</v>
      </c>
      <c r="E804" t="s">
        <v>70</v>
      </c>
      <c r="F804">
        <v>5</v>
      </c>
      <c r="G804" s="2">
        <v>64.53</v>
      </c>
      <c r="H804">
        <v>0.32</v>
      </c>
      <c r="I804" t="s">
        <v>68</v>
      </c>
      <c r="J804">
        <v>9</v>
      </c>
      <c r="K804">
        <v>4.5</v>
      </c>
      <c r="L804" s="2">
        <v>219.4</v>
      </c>
      <c r="M804">
        <v>2024</v>
      </c>
      <c r="N804">
        <v>3</v>
      </c>
      <c r="O804" t="s">
        <v>106</v>
      </c>
      <c r="P804" s="2">
        <v>322.64999999999998</v>
      </c>
      <c r="Q804" s="2">
        <v>103.25</v>
      </c>
      <c r="R804" t="s">
        <v>72</v>
      </c>
      <c r="S804">
        <v>0</v>
      </c>
      <c r="T804">
        <v>0</v>
      </c>
      <c r="U804">
        <f>IF(AND(OR(Dashboard!$D$4="Semua",D804=Dashboard!$D$4),OR(Dashboard!$H$4="Semua",E804=Dashboard!$H$4)),1,0)</f>
        <v>1</v>
      </c>
      <c r="V804">
        <f>IF(U804=1,IF(COUNTIFS($C$2:C804,C804,$U$2:U804,1)=1,1,0),0)</f>
        <v>0</v>
      </c>
    </row>
    <row r="805" spans="1:22" x14ac:dyDescent="0.35">
      <c r="A805">
        <v>10804</v>
      </c>
      <c r="B805" s="1">
        <v>45365</v>
      </c>
      <c r="C805">
        <v>1884</v>
      </c>
      <c r="D805" t="s">
        <v>73</v>
      </c>
      <c r="E805" t="s">
        <v>63</v>
      </c>
      <c r="F805">
        <v>6</v>
      </c>
      <c r="G805" s="2">
        <v>286.76</v>
      </c>
      <c r="H805">
        <v>0.32</v>
      </c>
      <c r="I805" t="s">
        <v>71</v>
      </c>
      <c r="J805">
        <v>11</v>
      </c>
      <c r="K805">
        <v>2.6</v>
      </c>
      <c r="L805" s="2">
        <v>1169.98</v>
      </c>
      <c r="M805">
        <v>2024</v>
      </c>
      <c r="N805">
        <v>3</v>
      </c>
      <c r="O805" t="s">
        <v>106</v>
      </c>
      <c r="P805" s="2">
        <v>1720.56</v>
      </c>
      <c r="Q805" s="2">
        <v>550.58000000000004</v>
      </c>
      <c r="R805" t="s">
        <v>72</v>
      </c>
      <c r="S805">
        <v>0</v>
      </c>
      <c r="T805">
        <v>0</v>
      </c>
      <c r="U805">
        <f>IF(AND(OR(Dashboard!$D$4="Semua",D805=Dashboard!$D$4),OR(Dashboard!$H$4="Semua",E805=Dashboard!$H$4)),1,0)</f>
        <v>1</v>
      </c>
      <c r="V805">
        <f>IF(U805=1,IF(COUNTIFS($C$2:C805,C805,$U$2:U805,1)=1,1,0),0)</f>
        <v>0</v>
      </c>
    </row>
    <row r="806" spans="1:22" x14ac:dyDescent="0.35">
      <c r="A806">
        <v>10805</v>
      </c>
      <c r="B806" s="1">
        <v>45366</v>
      </c>
      <c r="C806">
        <v>1068</v>
      </c>
      <c r="D806" t="s">
        <v>80</v>
      </c>
      <c r="E806" t="s">
        <v>70</v>
      </c>
      <c r="F806">
        <v>5</v>
      </c>
      <c r="G806" s="2">
        <v>452.64</v>
      </c>
      <c r="H806">
        <v>0.28000000000000003</v>
      </c>
      <c r="I806" t="s">
        <v>68</v>
      </c>
      <c r="J806">
        <v>8</v>
      </c>
      <c r="K806">
        <v>3.6</v>
      </c>
      <c r="L806" s="2">
        <v>1629.5</v>
      </c>
      <c r="M806">
        <v>2024</v>
      </c>
      <c r="N806">
        <v>3</v>
      </c>
      <c r="O806" t="s">
        <v>106</v>
      </c>
      <c r="P806" s="2">
        <v>2263.1999999999998</v>
      </c>
      <c r="Q806" s="2">
        <v>633.70000000000005</v>
      </c>
      <c r="R806" t="s">
        <v>66</v>
      </c>
      <c r="S806">
        <v>0</v>
      </c>
      <c r="T806">
        <v>0</v>
      </c>
      <c r="U806">
        <f>IF(AND(OR(Dashboard!$D$4="Semua",D806=Dashboard!$D$4),OR(Dashboard!$H$4="Semua",E806=Dashboard!$H$4)),1,0)</f>
        <v>1</v>
      </c>
      <c r="V806">
        <f>IF(U806=1,IF(COUNTIFS($C$2:C806,C806,$U$2:U806,1)=1,1,0),0)</f>
        <v>0</v>
      </c>
    </row>
    <row r="807" spans="1:22" x14ac:dyDescent="0.35">
      <c r="A807">
        <v>10806</v>
      </c>
      <c r="B807" s="1">
        <v>45367</v>
      </c>
      <c r="C807">
        <v>1098</v>
      </c>
      <c r="D807" t="s">
        <v>80</v>
      </c>
      <c r="E807" t="s">
        <v>78</v>
      </c>
      <c r="F807">
        <v>6</v>
      </c>
      <c r="G807" s="2">
        <v>144.66999999999999</v>
      </c>
      <c r="H807">
        <v>0.34</v>
      </c>
      <c r="I807" t="s">
        <v>68</v>
      </c>
      <c r="J807">
        <v>5</v>
      </c>
      <c r="K807">
        <v>2.6</v>
      </c>
      <c r="L807" s="2">
        <v>572.89</v>
      </c>
      <c r="M807">
        <v>2024</v>
      </c>
      <c r="N807">
        <v>3</v>
      </c>
      <c r="O807" t="s">
        <v>106</v>
      </c>
      <c r="P807" s="2">
        <v>868.02</v>
      </c>
      <c r="Q807" s="2">
        <v>295.13</v>
      </c>
      <c r="R807" t="s">
        <v>72</v>
      </c>
      <c r="S807">
        <v>0</v>
      </c>
      <c r="T807">
        <v>0</v>
      </c>
      <c r="U807">
        <f>IF(AND(OR(Dashboard!$D$4="Semua",D807=Dashboard!$D$4),OR(Dashboard!$H$4="Semua",E807=Dashboard!$H$4)),1,0)</f>
        <v>1</v>
      </c>
      <c r="V807">
        <f>IF(U807=1,IF(COUNTIFS($C$2:C807,C807,$U$2:U807,1)=1,1,0),0)</f>
        <v>0</v>
      </c>
    </row>
    <row r="808" spans="1:22" x14ac:dyDescent="0.35">
      <c r="A808">
        <v>10807</v>
      </c>
      <c r="B808" s="1">
        <v>45368</v>
      </c>
      <c r="C808">
        <v>1395</v>
      </c>
      <c r="D808" t="s">
        <v>80</v>
      </c>
      <c r="E808" t="s">
        <v>63</v>
      </c>
      <c r="F808">
        <v>5</v>
      </c>
      <c r="G808" s="2">
        <v>143.66</v>
      </c>
      <c r="H808">
        <v>0.28000000000000003</v>
      </c>
      <c r="I808" t="s">
        <v>64</v>
      </c>
      <c r="J808">
        <v>9</v>
      </c>
      <c r="K808">
        <v>4.5</v>
      </c>
      <c r="L808" s="2">
        <v>517.17999999999995</v>
      </c>
      <c r="M808">
        <v>2024</v>
      </c>
      <c r="N808">
        <v>3</v>
      </c>
      <c r="O808" t="s">
        <v>106</v>
      </c>
      <c r="P808" s="2">
        <v>718.3</v>
      </c>
      <c r="Q808" s="2">
        <v>201.12</v>
      </c>
      <c r="R808" t="s">
        <v>66</v>
      </c>
      <c r="S808">
        <v>0</v>
      </c>
      <c r="T808">
        <v>0</v>
      </c>
      <c r="U808">
        <f>IF(AND(OR(Dashboard!$D$4="Semua",D808=Dashboard!$D$4),OR(Dashboard!$H$4="Semua",E808=Dashboard!$H$4)),1,0)</f>
        <v>1</v>
      </c>
      <c r="V808">
        <f>IF(U808=1,IF(COUNTIFS($C$2:C808,C808,$U$2:U808,1)=1,1,0),0)</f>
        <v>0</v>
      </c>
    </row>
    <row r="809" spans="1:22" x14ac:dyDescent="0.35">
      <c r="A809">
        <v>10808</v>
      </c>
      <c r="B809" s="1">
        <v>45369</v>
      </c>
      <c r="C809">
        <v>1024</v>
      </c>
      <c r="D809" t="s">
        <v>80</v>
      </c>
      <c r="E809" t="s">
        <v>70</v>
      </c>
      <c r="F809">
        <v>4</v>
      </c>
      <c r="G809" s="2">
        <v>569.13</v>
      </c>
      <c r="H809">
        <v>0</v>
      </c>
      <c r="I809" t="s">
        <v>68</v>
      </c>
      <c r="J809">
        <v>8</v>
      </c>
      <c r="K809">
        <v>3.6</v>
      </c>
      <c r="L809" s="2">
        <v>2276.52</v>
      </c>
      <c r="M809">
        <v>2024</v>
      </c>
      <c r="N809">
        <v>3</v>
      </c>
      <c r="O809" t="s">
        <v>106</v>
      </c>
      <c r="P809" s="2">
        <v>2276.52</v>
      </c>
      <c r="Q809" s="2">
        <v>0</v>
      </c>
      <c r="R809" t="s">
        <v>75</v>
      </c>
      <c r="S809">
        <v>0</v>
      </c>
      <c r="T809">
        <v>0</v>
      </c>
      <c r="U809">
        <f>IF(AND(OR(Dashboard!$D$4="Semua",D809=Dashboard!$D$4),OR(Dashboard!$H$4="Semua",E809=Dashboard!$H$4)),1,0)</f>
        <v>1</v>
      </c>
      <c r="V809">
        <f>IF(U809=1,IF(COUNTIFS($C$2:C809,C809,$U$2:U809,1)=1,1,0),0)</f>
        <v>1</v>
      </c>
    </row>
    <row r="810" spans="1:22" x14ac:dyDescent="0.35">
      <c r="A810">
        <v>10809</v>
      </c>
      <c r="B810" s="1">
        <v>45370</v>
      </c>
      <c r="C810">
        <v>1947</v>
      </c>
      <c r="D810" t="s">
        <v>73</v>
      </c>
      <c r="E810" t="s">
        <v>70</v>
      </c>
      <c r="F810">
        <v>6</v>
      </c>
      <c r="G810" s="2">
        <v>573.17999999999995</v>
      </c>
      <c r="H810">
        <v>0.1</v>
      </c>
      <c r="I810" t="s">
        <v>71</v>
      </c>
      <c r="J810">
        <v>10</v>
      </c>
      <c r="K810">
        <v>3.3</v>
      </c>
      <c r="L810" s="2">
        <v>3095.17</v>
      </c>
      <c r="M810">
        <v>2024</v>
      </c>
      <c r="N810">
        <v>3</v>
      </c>
      <c r="O810" t="s">
        <v>106</v>
      </c>
      <c r="P810" s="2">
        <v>3439.08</v>
      </c>
      <c r="Q810" s="2">
        <v>343.91</v>
      </c>
      <c r="R810" t="s">
        <v>69</v>
      </c>
      <c r="S810">
        <v>0</v>
      </c>
      <c r="T810">
        <v>0</v>
      </c>
      <c r="U810">
        <f>IF(AND(OR(Dashboard!$D$4="Semua",D810=Dashboard!$D$4),OR(Dashboard!$H$4="Semua",E810=Dashboard!$H$4)),1,0)</f>
        <v>1</v>
      </c>
      <c r="V810">
        <f>IF(U810=1,IF(COUNTIFS($C$2:C810,C810,$U$2:U810,1)=1,1,0),0)</f>
        <v>1</v>
      </c>
    </row>
    <row r="811" spans="1:22" x14ac:dyDescent="0.35">
      <c r="A811">
        <v>10810</v>
      </c>
      <c r="B811" s="1">
        <v>45371</v>
      </c>
      <c r="C811">
        <v>1890</v>
      </c>
      <c r="D811" t="s">
        <v>73</v>
      </c>
      <c r="E811" t="s">
        <v>63</v>
      </c>
      <c r="F811">
        <v>7</v>
      </c>
      <c r="G811" s="2">
        <v>594.41999999999996</v>
      </c>
      <c r="H811">
        <v>0.01</v>
      </c>
      <c r="I811" t="s">
        <v>68</v>
      </c>
      <c r="J811">
        <v>4</v>
      </c>
      <c r="K811">
        <v>4.9000000000000004</v>
      </c>
      <c r="L811" s="2">
        <v>4119.33</v>
      </c>
      <c r="M811">
        <v>2024</v>
      </c>
      <c r="N811">
        <v>3</v>
      </c>
      <c r="O811" t="s">
        <v>106</v>
      </c>
      <c r="P811" s="2">
        <v>4160.9399999999996</v>
      </c>
      <c r="Q811" s="2">
        <v>41.61</v>
      </c>
      <c r="R811" t="s">
        <v>75</v>
      </c>
      <c r="S811">
        <v>0</v>
      </c>
      <c r="T811">
        <v>1</v>
      </c>
      <c r="U811">
        <f>IF(AND(OR(Dashboard!$D$4="Semua",D811=Dashboard!$D$4),OR(Dashboard!$H$4="Semua",E811=Dashboard!$H$4)),1,0)</f>
        <v>1</v>
      </c>
      <c r="V811">
        <f>IF(U811=1,IF(COUNTIFS($C$2:C811,C811,$U$2:U811,1)=1,1,0),0)</f>
        <v>1</v>
      </c>
    </row>
    <row r="812" spans="1:22" x14ac:dyDescent="0.35">
      <c r="A812">
        <v>10811</v>
      </c>
      <c r="B812" s="1">
        <v>45372</v>
      </c>
      <c r="C812">
        <v>1468</v>
      </c>
      <c r="D812" t="s">
        <v>80</v>
      </c>
      <c r="E812" t="s">
        <v>70</v>
      </c>
      <c r="F812">
        <v>2</v>
      </c>
      <c r="G812" s="2">
        <v>487.48</v>
      </c>
      <c r="H812">
        <v>0.03</v>
      </c>
      <c r="I812" t="s">
        <v>68</v>
      </c>
      <c r="J812">
        <v>4</v>
      </c>
      <c r="K812">
        <v>2.1</v>
      </c>
      <c r="L812" s="2">
        <v>945.71</v>
      </c>
      <c r="M812">
        <v>2024</v>
      </c>
      <c r="N812">
        <v>3</v>
      </c>
      <c r="O812" t="s">
        <v>106</v>
      </c>
      <c r="P812" s="2">
        <v>974.96</v>
      </c>
      <c r="Q812" s="2">
        <v>29.25</v>
      </c>
      <c r="R812" t="s">
        <v>75</v>
      </c>
      <c r="S812">
        <v>0</v>
      </c>
      <c r="T812">
        <v>0</v>
      </c>
      <c r="U812">
        <f>IF(AND(OR(Dashboard!$D$4="Semua",D812=Dashboard!$D$4),OR(Dashboard!$H$4="Semua",E812=Dashboard!$H$4)),1,0)</f>
        <v>1</v>
      </c>
      <c r="V812">
        <f>IF(U812=1,IF(COUNTIFS($C$2:C812,C812,$U$2:U812,1)=1,1,0),0)</f>
        <v>1</v>
      </c>
    </row>
    <row r="813" spans="1:22" x14ac:dyDescent="0.35">
      <c r="A813">
        <v>10812</v>
      </c>
      <c r="B813" s="1">
        <v>45373</v>
      </c>
      <c r="C813">
        <v>1483</v>
      </c>
      <c r="D813" t="s">
        <v>67</v>
      </c>
      <c r="E813" t="s">
        <v>70</v>
      </c>
      <c r="F813">
        <v>4</v>
      </c>
      <c r="G813" s="2">
        <v>125.09</v>
      </c>
      <c r="H813">
        <v>0.08</v>
      </c>
      <c r="I813" t="s">
        <v>68</v>
      </c>
      <c r="J813">
        <v>1</v>
      </c>
      <c r="K813">
        <v>1.3</v>
      </c>
      <c r="L813" s="2">
        <v>460.33</v>
      </c>
      <c r="M813">
        <v>2024</v>
      </c>
      <c r="N813">
        <v>3</v>
      </c>
      <c r="O813" t="s">
        <v>106</v>
      </c>
      <c r="P813" s="2">
        <v>500.36</v>
      </c>
      <c r="Q813" s="2">
        <v>40.03</v>
      </c>
      <c r="R813" t="s">
        <v>69</v>
      </c>
      <c r="S813">
        <v>0</v>
      </c>
      <c r="T813">
        <v>0</v>
      </c>
      <c r="U813">
        <f>IF(AND(OR(Dashboard!$D$4="Semua",D813=Dashboard!$D$4),OR(Dashboard!$H$4="Semua",E813=Dashboard!$H$4)),1,0)</f>
        <v>1</v>
      </c>
      <c r="V813">
        <f>IF(U813=1,IF(COUNTIFS($C$2:C813,C813,$U$2:U813,1)=1,1,0),0)</f>
        <v>1</v>
      </c>
    </row>
    <row r="814" spans="1:22" x14ac:dyDescent="0.35">
      <c r="A814">
        <v>10813</v>
      </c>
      <c r="B814" s="1">
        <v>45374</v>
      </c>
      <c r="C814">
        <v>1564</v>
      </c>
      <c r="D814" t="s">
        <v>67</v>
      </c>
      <c r="E814" t="s">
        <v>78</v>
      </c>
      <c r="F814">
        <v>5</v>
      </c>
      <c r="G814" s="2">
        <v>139.01</v>
      </c>
      <c r="H814">
        <v>0.18</v>
      </c>
      <c r="I814" t="s">
        <v>68</v>
      </c>
      <c r="J814">
        <v>4</v>
      </c>
      <c r="K814">
        <v>3.1</v>
      </c>
      <c r="L814" s="2">
        <v>569.94000000000005</v>
      </c>
      <c r="M814">
        <v>2024</v>
      </c>
      <c r="N814">
        <v>3</v>
      </c>
      <c r="O814" t="s">
        <v>106</v>
      </c>
      <c r="P814" s="2">
        <v>695.05</v>
      </c>
      <c r="Q814" s="2">
        <v>125.11</v>
      </c>
      <c r="R814" t="s">
        <v>76</v>
      </c>
      <c r="S814">
        <v>0</v>
      </c>
      <c r="T814">
        <v>0</v>
      </c>
      <c r="U814">
        <f>IF(AND(OR(Dashboard!$D$4="Semua",D814=Dashboard!$D$4),OR(Dashboard!$H$4="Semua",E814=Dashboard!$H$4)),1,0)</f>
        <v>1</v>
      </c>
      <c r="V814">
        <f>IF(U814=1,IF(COUNTIFS($C$2:C814,C814,$U$2:U814,1)=1,1,0),0)</f>
        <v>0</v>
      </c>
    </row>
    <row r="815" spans="1:22" x14ac:dyDescent="0.35">
      <c r="A815">
        <v>10814</v>
      </c>
      <c r="B815" s="1">
        <v>45375</v>
      </c>
      <c r="C815">
        <v>1150</v>
      </c>
      <c r="D815" t="s">
        <v>73</v>
      </c>
      <c r="E815" t="s">
        <v>78</v>
      </c>
      <c r="F815">
        <v>6</v>
      </c>
      <c r="G815" s="2">
        <v>214.03</v>
      </c>
      <c r="H815">
        <v>0.3</v>
      </c>
      <c r="I815" t="s">
        <v>64</v>
      </c>
      <c r="J815">
        <v>8</v>
      </c>
      <c r="K815">
        <v>2.7</v>
      </c>
      <c r="L815" s="2">
        <v>898.93</v>
      </c>
      <c r="M815">
        <v>2024</v>
      </c>
      <c r="N815">
        <v>3</v>
      </c>
      <c r="O815" t="s">
        <v>106</v>
      </c>
      <c r="P815" s="2">
        <v>1284.18</v>
      </c>
      <c r="Q815" s="2">
        <v>385.25</v>
      </c>
      <c r="R815" t="s">
        <v>66</v>
      </c>
      <c r="S815">
        <v>0</v>
      </c>
      <c r="T815">
        <v>0</v>
      </c>
      <c r="U815">
        <f>IF(AND(OR(Dashboard!$D$4="Semua",D815=Dashboard!$D$4),OR(Dashboard!$H$4="Semua",E815=Dashboard!$H$4)),1,0)</f>
        <v>1</v>
      </c>
      <c r="V815">
        <f>IF(U815=1,IF(COUNTIFS($C$2:C815,C815,$U$2:U815,1)=1,1,0),0)</f>
        <v>0</v>
      </c>
    </row>
    <row r="816" spans="1:22" x14ac:dyDescent="0.35">
      <c r="A816">
        <v>10815</v>
      </c>
      <c r="B816" s="1">
        <v>45376</v>
      </c>
      <c r="C816">
        <v>1143</v>
      </c>
      <c r="D816" t="s">
        <v>73</v>
      </c>
      <c r="E816" t="s">
        <v>78</v>
      </c>
      <c r="F816">
        <v>4</v>
      </c>
      <c r="G816" s="2">
        <v>201.11</v>
      </c>
      <c r="H816">
        <v>0.3</v>
      </c>
      <c r="I816" t="s">
        <v>68</v>
      </c>
      <c r="J816">
        <v>5</v>
      </c>
      <c r="K816">
        <v>2.8</v>
      </c>
      <c r="L816" s="2">
        <v>563.11</v>
      </c>
      <c r="M816">
        <v>2024</v>
      </c>
      <c r="N816">
        <v>3</v>
      </c>
      <c r="O816" t="s">
        <v>106</v>
      </c>
      <c r="P816" s="2">
        <v>804.44</v>
      </c>
      <c r="Q816" s="2">
        <v>241.33</v>
      </c>
      <c r="R816" t="s">
        <v>66</v>
      </c>
      <c r="S816">
        <v>0</v>
      </c>
      <c r="T816">
        <v>0</v>
      </c>
      <c r="U816">
        <f>IF(AND(OR(Dashboard!$D$4="Semua",D816=Dashboard!$D$4),OR(Dashboard!$H$4="Semua",E816=Dashboard!$H$4)),1,0)</f>
        <v>1</v>
      </c>
      <c r="V816">
        <f>IF(U816=1,IF(COUNTIFS($C$2:C816,C816,$U$2:U816,1)=1,1,0),0)</f>
        <v>0</v>
      </c>
    </row>
    <row r="817" spans="1:22" x14ac:dyDescent="0.35">
      <c r="A817">
        <v>10816</v>
      </c>
      <c r="B817" s="1">
        <v>45377</v>
      </c>
      <c r="C817">
        <v>1568</v>
      </c>
      <c r="D817" t="s">
        <v>73</v>
      </c>
      <c r="E817" t="s">
        <v>78</v>
      </c>
      <c r="F817">
        <v>5</v>
      </c>
      <c r="G817" s="2">
        <v>574.57000000000005</v>
      </c>
      <c r="H817">
        <v>0.22</v>
      </c>
      <c r="I817" t="s">
        <v>68</v>
      </c>
      <c r="J817">
        <v>6</v>
      </c>
      <c r="K817">
        <v>3.5</v>
      </c>
      <c r="L817" s="2">
        <v>2240.8200000000002</v>
      </c>
      <c r="M817">
        <v>2024</v>
      </c>
      <c r="N817">
        <v>3</v>
      </c>
      <c r="O817" t="s">
        <v>106</v>
      </c>
      <c r="P817" s="2">
        <v>2872.85</v>
      </c>
      <c r="Q817" s="2">
        <v>632.03</v>
      </c>
      <c r="R817" t="s">
        <v>77</v>
      </c>
      <c r="S817">
        <v>0</v>
      </c>
      <c r="T817">
        <v>0</v>
      </c>
      <c r="U817">
        <f>IF(AND(OR(Dashboard!$D$4="Semua",D817=Dashboard!$D$4),OR(Dashboard!$H$4="Semua",E817=Dashboard!$H$4)),1,0)</f>
        <v>1</v>
      </c>
      <c r="V817">
        <f>IF(U817=1,IF(COUNTIFS($C$2:C817,C817,$U$2:U817,1)=1,1,0),0)</f>
        <v>1</v>
      </c>
    </row>
    <row r="818" spans="1:22" x14ac:dyDescent="0.35">
      <c r="A818">
        <v>10817</v>
      </c>
      <c r="B818" s="1">
        <v>45378</v>
      </c>
      <c r="C818">
        <v>1038</v>
      </c>
      <c r="D818" t="s">
        <v>62</v>
      </c>
      <c r="E818" t="s">
        <v>78</v>
      </c>
      <c r="F818">
        <v>1</v>
      </c>
      <c r="G818" s="2">
        <v>476.61</v>
      </c>
      <c r="H818">
        <v>0.32</v>
      </c>
      <c r="I818" t="s">
        <v>71</v>
      </c>
      <c r="J818">
        <v>4</v>
      </c>
      <c r="K818">
        <v>3.5</v>
      </c>
      <c r="L818" s="2">
        <v>324.08999999999997</v>
      </c>
      <c r="M818">
        <v>2024</v>
      </c>
      <c r="N818">
        <v>3</v>
      </c>
      <c r="O818" t="s">
        <v>106</v>
      </c>
      <c r="P818" s="2">
        <v>476.61</v>
      </c>
      <c r="Q818" s="2">
        <v>152.52000000000001</v>
      </c>
      <c r="R818" t="s">
        <v>72</v>
      </c>
      <c r="S818">
        <v>0</v>
      </c>
      <c r="T818">
        <v>0</v>
      </c>
      <c r="U818">
        <f>IF(AND(OR(Dashboard!$D$4="Semua",D818=Dashboard!$D$4),OR(Dashboard!$H$4="Semua",E818=Dashboard!$H$4)),1,0)</f>
        <v>1</v>
      </c>
      <c r="V818">
        <f>IF(U818=1,IF(COUNTIFS($C$2:C818,C818,$U$2:U818,1)=1,1,0),0)</f>
        <v>0</v>
      </c>
    </row>
    <row r="819" spans="1:22" x14ac:dyDescent="0.35">
      <c r="A819">
        <v>10818</v>
      </c>
      <c r="B819" s="1">
        <v>45379</v>
      </c>
      <c r="C819">
        <v>1108</v>
      </c>
      <c r="D819" t="s">
        <v>73</v>
      </c>
      <c r="E819" t="s">
        <v>78</v>
      </c>
      <c r="F819">
        <v>1</v>
      </c>
      <c r="G819" s="2">
        <v>438.55</v>
      </c>
      <c r="H819">
        <v>0.18</v>
      </c>
      <c r="I819" t="s">
        <v>71</v>
      </c>
      <c r="J819">
        <v>5</v>
      </c>
      <c r="K819">
        <v>2.6</v>
      </c>
      <c r="L819" s="2">
        <v>359.61</v>
      </c>
      <c r="M819">
        <v>2024</v>
      </c>
      <c r="N819">
        <v>3</v>
      </c>
      <c r="O819" t="s">
        <v>106</v>
      </c>
      <c r="P819" s="2">
        <v>438.55</v>
      </c>
      <c r="Q819" s="2">
        <v>78.94</v>
      </c>
      <c r="R819" t="s">
        <v>76</v>
      </c>
      <c r="S819">
        <v>0</v>
      </c>
      <c r="T819">
        <v>0</v>
      </c>
      <c r="U819">
        <f>IF(AND(OR(Dashboard!$D$4="Semua",D819=Dashboard!$D$4),OR(Dashboard!$H$4="Semua",E819=Dashboard!$H$4)),1,0)</f>
        <v>1</v>
      </c>
      <c r="V819">
        <f>IF(U819=1,IF(COUNTIFS($C$2:C819,C819,$U$2:U819,1)=1,1,0),0)</f>
        <v>1</v>
      </c>
    </row>
    <row r="820" spans="1:22" x14ac:dyDescent="0.35">
      <c r="A820">
        <v>10819</v>
      </c>
      <c r="B820" s="1">
        <v>45380</v>
      </c>
      <c r="C820">
        <v>1692</v>
      </c>
      <c r="D820" t="s">
        <v>67</v>
      </c>
      <c r="E820" t="s">
        <v>63</v>
      </c>
      <c r="F820">
        <v>3</v>
      </c>
      <c r="G820" s="2">
        <v>123.79</v>
      </c>
      <c r="H820">
        <v>0.31</v>
      </c>
      <c r="I820" t="s">
        <v>71</v>
      </c>
      <c r="J820">
        <v>10</v>
      </c>
      <c r="K820">
        <v>4.5</v>
      </c>
      <c r="L820" s="2">
        <v>256.25</v>
      </c>
      <c r="M820">
        <v>2024</v>
      </c>
      <c r="N820">
        <v>3</v>
      </c>
      <c r="O820" t="s">
        <v>106</v>
      </c>
      <c r="P820" s="2">
        <v>371.37</v>
      </c>
      <c r="Q820" s="2">
        <v>115.12</v>
      </c>
      <c r="R820" t="s">
        <v>72</v>
      </c>
      <c r="S820">
        <v>0</v>
      </c>
      <c r="T820">
        <v>0</v>
      </c>
      <c r="U820">
        <f>IF(AND(OR(Dashboard!$D$4="Semua",D820=Dashboard!$D$4),OR(Dashboard!$H$4="Semua",E820=Dashboard!$H$4)),1,0)</f>
        <v>1</v>
      </c>
      <c r="V820">
        <f>IF(U820=1,IF(COUNTIFS($C$2:C820,C820,$U$2:U820,1)=1,1,0),0)</f>
        <v>1</v>
      </c>
    </row>
    <row r="821" spans="1:22" x14ac:dyDescent="0.35">
      <c r="A821">
        <v>10820</v>
      </c>
      <c r="B821" s="1">
        <v>45381</v>
      </c>
      <c r="C821">
        <v>1041</v>
      </c>
      <c r="D821" t="s">
        <v>73</v>
      </c>
      <c r="E821" t="s">
        <v>78</v>
      </c>
      <c r="F821">
        <v>2</v>
      </c>
      <c r="G821" s="2">
        <v>547.07000000000005</v>
      </c>
      <c r="H821">
        <v>0.16</v>
      </c>
      <c r="I821" t="s">
        <v>64</v>
      </c>
      <c r="J821">
        <v>8</v>
      </c>
      <c r="K821">
        <v>3.6</v>
      </c>
      <c r="L821" s="2">
        <v>919.08</v>
      </c>
      <c r="M821">
        <v>2024</v>
      </c>
      <c r="N821">
        <v>3</v>
      </c>
      <c r="O821" t="s">
        <v>106</v>
      </c>
      <c r="P821" s="2">
        <v>1094.1400000000001</v>
      </c>
      <c r="Q821" s="2">
        <v>175.06</v>
      </c>
      <c r="R821" t="s">
        <v>76</v>
      </c>
      <c r="S821">
        <v>0</v>
      </c>
      <c r="T821">
        <v>0</v>
      </c>
      <c r="U821">
        <f>IF(AND(OR(Dashboard!$D$4="Semua",D821=Dashboard!$D$4),OR(Dashboard!$H$4="Semua",E821=Dashboard!$H$4)),1,0)</f>
        <v>1</v>
      </c>
      <c r="V821">
        <f>IF(U821=1,IF(COUNTIFS($C$2:C821,C821,$U$2:U821,1)=1,1,0),0)</f>
        <v>1</v>
      </c>
    </row>
    <row r="822" spans="1:22" x14ac:dyDescent="0.35">
      <c r="A822">
        <v>10821</v>
      </c>
      <c r="B822" s="1">
        <v>45382</v>
      </c>
      <c r="C822">
        <v>1185</v>
      </c>
      <c r="D822" t="s">
        <v>80</v>
      </c>
      <c r="E822" t="s">
        <v>70</v>
      </c>
      <c r="F822">
        <v>1</v>
      </c>
      <c r="G822" s="2">
        <v>499.3</v>
      </c>
      <c r="H822">
        <v>0.1</v>
      </c>
      <c r="I822" t="s">
        <v>71</v>
      </c>
      <c r="J822">
        <v>9</v>
      </c>
      <c r="K822">
        <v>4.5999999999999996</v>
      </c>
      <c r="L822" s="2">
        <v>449.37</v>
      </c>
      <c r="M822">
        <v>2024</v>
      </c>
      <c r="N822">
        <v>3</v>
      </c>
      <c r="O822" t="s">
        <v>106</v>
      </c>
      <c r="P822" s="2">
        <v>499.3</v>
      </c>
      <c r="Q822" s="2">
        <v>49.93</v>
      </c>
      <c r="R822" t="s">
        <v>69</v>
      </c>
      <c r="S822">
        <v>0</v>
      </c>
      <c r="T822">
        <v>0</v>
      </c>
      <c r="U822">
        <f>IF(AND(OR(Dashboard!$D$4="Semua",D822=Dashboard!$D$4),OR(Dashboard!$H$4="Semua",E822=Dashboard!$H$4)),1,0)</f>
        <v>1</v>
      </c>
      <c r="V822">
        <f>IF(U822=1,IF(COUNTIFS($C$2:C822,C822,$U$2:U822,1)=1,1,0),0)</f>
        <v>1</v>
      </c>
    </row>
    <row r="823" spans="1:22" x14ac:dyDescent="0.35">
      <c r="A823">
        <v>10822</v>
      </c>
      <c r="B823" s="1">
        <v>45383</v>
      </c>
      <c r="C823">
        <v>1934</v>
      </c>
      <c r="D823" t="s">
        <v>73</v>
      </c>
      <c r="E823" t="s">
        <v>63</v>
      </c>
      <c r="F823">
        <v>7</v>
      </c>
      <c r="G823" s="2">
        <v>110.73</v>
      </c>
      <c r="H823">
        <v>0.32</v>
      </c>
      <c r="I823" t="s">
        <v>68</v>
      </c>
      <c r="J823">
        <v>3</v>
      </c>
      <c r="K823">
        <v>4.7</v>
      </c>
      <c r="L823" s="2">
        <v>527.07000000000005</v>
      </c>
      <c r="M823">
        <v>2024</v>
      </c>
      <c r="N823">
        <v>4</v>
      </c>
      <c r="O823" t="s">
        <v>107</v>
      </c>
      <c r="P823" s="2">
        <v>775.11</v>
      </c>
      <c r="Q823" s="2">
        <v>248.04</v>
      </c>
      <c r="R823" t="s">
        <v>72</v>
      </c>
      <c r="S823">
        <v>0</v>
      </c>
      <c r="T823">
        <v>0</v>
      </c>
      <c r="U823">
        <f>IF(AND(OR(Dashboard!$D$4="Semua",D823=Dashboard!$D$4),OR(Dashboard!$H$4="Semua",E823=Dashboard!$H$4)),1,0)</f>
        <v>1</v>
      </c>
      <c r="V823">
        <f>IF(U823=1,IF(COUNTIFS($C$2:C823,C823,$U$2:U823,1)=1,1,0),0)</f>
        <v>1</v>
      </c>
    </row>
    <row r="824" spans="1:22" x14ac:dyDescent="0.35">
      <c r="A824">
        <v>10823</v>
      </c>
      <c r="B824" s="1">
        <v>45384</v>
      </c>
      <c r="C824">
        <v>1397</v>
      </c>
      <c r="D824" t="s">
        <v>62</v>
      </c>
      <c r="E824" t="s">
        <v>70</v>
      </c>
      <c r="F824">
        <v>5</v>
      </c>
      <c r="G824" s="2">
        <v>524.63</v>
      </c>
      <c r="H824">
        <v>0.14000000000000001</v>
      </c>
      <c r="I824" t="s">
        <v>64</v>
      </c>
      <c r="J824">
        <v>10</v>
      </c>
      <c r="K824">
        <v>1.7</v>
      </c>
      <c r="L824" s="2">
        <v>2255.91</v>
      </c>
      <c r="M824">
        <v>2024</v>
      </c>
      <c r="N824">
        <v>4</v>
      </c>
      <c r="O824" t="s">
        <v>107</v>
      </c>
      <c r="P824" s="2">
        <v>2623.15</v>
      </c>
      <c r="Q824" s="2">
        <v>367.24</v>
      </c>
      <c r="R824" t="s">
        <v>79</v>
      </c>
      <c r="S824">
        <v>0</v>
      </c>
      <c r="T824">
        <v>0</v>
      </c>
      <c r="U824">
        <f>IF(AND(OR(Dashboard!$D$4="Semua",D824=Dashboard!$D$4),OR(Dashboard!$H$4="Semua",E824=Dashboard!$H$4)),1,0)</f>
        <v>1</v>
      </c>
      <c r="V824">
        <f>IF(U824=1,IF(COUNTIFS($C$2:C824,C824,$U$2:U824,1)=1,1,0),0)</f>
        <v>0</v>
      </c>
    </row>
    <row r="825" spans="1:22" x14ac:dyDescent="0.35">
      <c r="A825">
        <v>10824</v>
      </c>
      <c r="B825" s="1">
        <v>45385</v>
      </c>
      <c r="C825">
        <v>1222</v>
      </c>
      <c r="D825" t="s">
        <v>62</v>
      </c>
      <c r="E825" t="s">
        <v>78</v>
      </c>
      <c r="F825">
        <v>4</v>
      </c>
      <c r="G825" s="2">
        <v>174.26</v>
      </c>
      <c r="H825">
        <v>0.18</v>
      </c>
      <c r="I825" t="s">
        <v>71</v>
      </c>
      <c r="J825">
        <v>4</v>
      </c>
      <c r="K825">
        <v>3.7</v>
      </c>
      <c r="L825" s="2">
        <v>571.57000000000005</v>
      </c>
      <c r="M825">
        <v>2024</v>
      </c>
      <c r="N825">
        <v>4</v>
      </c>
      <c r="O825" t="s">
        <v>107</v>
      </c>
      <c r="P825" s="2">
        <v>697.04</v>
      </c>
      <c r="Q825" s="2">
        <v>125.47</v>
      </c>
      <c r="R825" t="s">
        <v>76</v>
      </c>
      <c r="S825">
        <v>0</v>
      </c>
      <c r="T825">
        <v>0</v>
      </c>
      <c r="U825">
        <f>IF(AND(OR(Dashboard!$D$4="Semua",D825=Dashboard!$D$4),OR(Dashboard!$H$4="Semua",E825=Dashboard!$H$4)),1,0)</f>
        <v>1</v>
      </c>
      <c r="V825">
        <f>IF(U825=1,IF(COUNTIFS($C$2:C825,C825,$U$2:U825,1)=1,1,0),0)</f>
        <v>0</v>
      </c>
    </row>
    <row r="826" spans="1:22" x14ac:dyDescent="0.35">
      <c r="A826">
        <v>10825</v>
      </c>
      <c r="B826" s="1">
        <v>45386</v>
      </c>
      <c r="C826">
        <v>1633</v>
      </c>
      <c r="D826" t="s">
        <v>73</v>
      </c>
      <c r="E826" t="s">
        <v>78</v>
      </c>
      <c r="F826">
        <v>6</v>
      </c>
      <c r="G826" s="2">
        <v>62.31</v>
      </c>
      <c r="H826">
        <v>0.12</v>
      </c>
      <c r="I826" t="s">
        <v>68</v>
      </c>
      <c r="J826">
        <v>1</v>
      </c>
      <c r="K826">
        <v>2.2999999999999998</v>
      </c>
      <c r="L826" s="2">
        <v>329</v>
      </c>
      <c r="M826">
        <v>2024</v>
      </c>
      <c r="N826">
        <v>4</v>
      </c>
      <c r="O826" t="s">
        <v>107</v>
      </c>
      <c r="P826" s="2">
        <v>373.86</v>
      </c>
      <c r="Q826" s="2">
        <v>44.86</v>
      </c>
      <c r="R826" t="s">
        <v>79</v>
      </c>
      <c r="S826">
        <v>0</v>
      </c>
      <c r="T826">
        <v>0</v>
      </c>
      <c r="U826">
        <f>IF(AND(OR(Dashboard!$D$4="Semua",D826=Dashboard!$D$4),OR(Dashboard!$H$4="Semua",E826=Dashboard!$H$4)),1,0)</f>
        <v>1</v>
      </c>
      <c r="V826">
        <f>IF(U826=1,IF(COUNTIFS($C$2:C826,C826,$U$2:U826,1)=1,1,0),0)</f>
        <v>0</v>
      </c>
    </row>
    <row r="827" spans="1:22" x14ac:dyDescent="0.35">
      <c r="A827">
        <v>10826</v>
      </c>
      <c r="B827" s="1">
        <v>45387</v>
      </c>
      <c r="C827">
        <v>1132</v>
      </c>
      <c r="D827" t="s">
        <v>62</v>
      </c>
      <c r="E827" t="s">
        <v>70</v>
      </c>
      <c r="F827">
        <v>4</v>
      </c>
      <c r="G827" s="2">
        <v>399.24</v>
      </c>
      <c r="H827">
        <v>0.23</v>
      </c>
      <c r="I827" t="s">
        <v>68</v>
      </c>
      <c r="J827">
        <v>11</v>
      </c>
      <c r="K827">
        <v>4.3</v>
      </c>
      <c r="L827" s="2">
        <v>1229.6600000000001</v>
      </c>
      <c r="M827">
        <v>2024</v>
      </c>
      <c r="N827">
        <v>4</v>
      </c>
      <c r="O827" t="s">
        <v>107</v>
      </c>
      <c r="P827" s="2">
        <v>1596.96</v>
      </c>
      <c r="Q827" s="2">
        <v>367.3</v>
      </c>
      <c r="R827" t="s">
        <v>77</v>
      </c>
      <c r="S827">
        <v>0</v>
      </c>
      <c r="T827">
        <v>0</v>
      </c>
      <c r="U827">
        <f>IF(AND(OR(Dashboard!$D$4="Semua",D827=Dashboard!$D$4),OR(Dashboard!$H$4="Semua",E827=Dashboard!$H$4)),1,0)</f>
        <v>1</v>
      </c>
      <c r="V827">
        <f>IF(U827=1,IF(COUNTIFS($C$2:C827,C827,$U$2:U827,1)=1,1,0),0)</f>
        <v>1</v>
      </c>
    </row>
    <row r="828" spans="1:22" x14ac:dyDescent="0.35">
      <c r="A828">
        <v>10827</v>
      </c>
      <c r="B828" s="1">
        <v>45388</v>
      </c>
      <c r="C828">
        <v>1162</v>
      </c>
      <c r="D828" t="s">
        <v>62</v>
      </c>
      <c r="E828" t="s">
        <v>70</v>
      </c>
      <c r="F828">
        <v>3</v>
      </c>
      <c r="G828" s="2">
        <v>397.48</v>
      </c>
      <c r="H828">
        <v>0.35</v>
      </c>
      <c r="I828" t="s">
        <v>68</v>
      </c>
      <c r="J828">
        <v>5</v>
      </c>
      <c r="K828">
        <v>3.9</v>
      </c>
      <c r="L828" s="2">
        <v>775.09</v>
      </c>
      <c r="M828">
        <v>2024</v>
      </c>
      <c r="N828">
        <v>4</v>
      </c>
      <c r="O828" t="s">
        <v>107</v>
      </c>
      <c r="P828" s="2">
        <v>1192.44</v>
      </c>
      <c r="Q828" s="2">
        <v>417.35</v>
      </c>
      <c r="R828" t="s">
        <v>72</v>
      </c>
      <c r="S828">
        <v>0</v>
      </c>
      <c r="T828">
        <v>0</v>
      </c>
      <c r="U828">
        <f>IF(AND(OR(Dashboard!$D$4="Semua",D828=Dashboard!$D$4),OR(Dashboard!$H$4="Semua",E828=Dashboard!$H$4)),1,0)</f>
        <v>1</v>
      </c>
      <c r="V828">
        <f>IF(U828=1,IF(COUNTIFS($C$2:C828,C828,$U$2:U828,1)=1,1,0),0)</f>
        <v>0</v>
      </c>
    </row>
    <row r="829" spans="1:22" x14ac:dyDescent="0.35">
      <c r="A829">
        <v>10828</v>
      </c>
      <c r="B829" s="1">
        <v>45389</v>
      </c>
      <c r="C829">
        <v>1214</v>
      </c>
      <c r="D829" t="s">
        <v>80</v>
      </c>
      <c r="E829" t="s">
        <v>70</v>
      </c>
      <c r="F829">
        <v>4</v>
      </c>
      <c r="G829" s="2">
        <v>70.540000000000006</v>
      </c>
      <c r="H829">
        <v>0.01</v>
      </c>
      <c r="I829" t="s">
        <v>68</v>
      </c>
      <c r="J829">
        <v>4</v>
      </c>
      <c r="K829">
        <v>1.8</v>
      </c>
      <c r="L829" s="2">
        <v>279.33999999999997</v>
      </c>
      <c r="M829">
        <v>2024</v>
      </c>
      <c r="N829">
        <v>4</v>
      </c>
      <c r="O829" t="s">
        <v>107</v>
      </c>
      <c r="P829" s="2">
        <v>282.16000000000003</v>
      </c>
      <c r="Q829" s="2">
        <v>2.82</v>
      </c>
      <c r="R829" t="s">
        <v>75</v>
      </c>
      <c r="S829">
        <v>0</v>
      </c>
      <c r="T829">
        <v>0</v>
      </c>
      <c r="U829">
        <f>IF(AND(OR(Dashboard!$D$4="Semua",D829=Dashboard!$D$4),OR(Dashboard!$H$4="Semua",E829=Dashboard!$H$4)),1,0)</f>
        <v>1</v>
      </c>
      <c r="V829">
        <f>IF(U829=1,IF(COUNTIFS($C$2:C829,C829,$U$2:U829,1)=1,1,0),0)</f>
        <v>0</v>
      </c>
    </row>
    <row r="830" spans="1:22" x14ac:dyDescent="0.35">
      <c r="A830">
        <v>10829</v>
      </c>
      <c r="B830" s="1">
        <v>45390</v>
      </c>
      <c r="C830">
        <v>1732</v>
      </c>
      <c r="D830" t="s">
        <v>80</v>
      </c>
      <c r="E830" t="s">
        <v>74</v>
      </c>
      <c r="F830">
        <v>1</v>
      </c>
      <c r="G830" s="2">
        <v>201.53</v>
      </c>
      <c r="H830">
        <v>0.31</v>
      </c>
      <c r="I830" t="s">
        <v>68</v>
      </c>
      <c r="J830">
        <v>6</v>
      </c>
      <c r="K830">
        <v>4.8</v>
      </c>
      <c r="L830" s="2">
        <v>139.06</v>
      </c>
      <c r="M830">
        <v>2024</v>
      </c>
      <c r="N830">
        <v>4</v>
      </c>
      <c r="O830" t="s">
        <v>107</v>
      </c>
      <c r="P830" s="2">
        <v>201.53</v>
      </c>
      <c r="Q830" s="2">
        <v>62.47</v>
      </c>
      <c r="R830" t="s">
        <v>72</v>
      </c>
      <c r="S830">
        <v>0</v>
      </c>
      <c r="T830">
        <v>0</v>
      </c>
      <c r="U830">
        <f>IF(AND(OR(Dashboard!$D$4="Semua",D830=Dashboard!$D$4),OR(Dashboard!$H$4="Semua",E830=Dashboard!$H$4)),1,0)</f>
        <v>1</v>
      </c>
      <c r="V830">
        <f>IF(U830=1,IF(COUNTIFS($C$2:C830,C830,$U$2:U830,1)=1,1,0),0)</f>
        <v>1</v>
      </c>
    </row>
    <row r="831" spans="1:22" x14ac:dyDescent="0.35">
      <c r="A831">
        <v>10830</v>
      </c>
      <c r="B831" s="1">
        <v>45391</v>
      </c>
      <c r="C831">
        <v>1234</v>
      </c>
      <c r="D831" t="s">
        <v>73</v>
      </c>
      <c r="E831" t="s">
        <v>74</v>
      </c>
      <c r="F831">
        <v>4</v>
      </c>
      <c r="G831" s="2">
        <v>595.79999999999995</v>
      </c>
      <c r="H831">
        <v>0</v>
      </c>
      <c r="I831" t="s">
        <v>68</v>
      </c>
      <c r="J831">
        <v>6</v>
      </c>
      <c r="K831">
        <v>3.7</v>
      </c>
      <c r="L831" s="2">
        <v>2383.1999999999998</v>
      </c>
      <c r="M831">
        <v>2024</v>
      </c>
      <c r="N831">
        <v>4</v>
      </c>
      <c r="O831" t="s">
        <v>107</v>
      </c>
      <c r="P831" s="2">
        <v>2383.1999999999998</v>
      </c>
      <c r="Q831" s="2">
        <v>0</v>
      </c>
      <c r="R831" t="s">
        <v>75</v>
      </c>
      <c r="S831">
        <v>0</v>
      </c>
      <c r="T831">
        <v>0</v>
      </c>
      <c r="U831">
        <f>IF(AND(OR(Dashboard!$D$4="Semua",D831=Dashboard!$D$4),OR(Dashboard!$H$4="Semua",E831=Dashboard!$H$4)),1,0)</f>
        <v>1</v>
      </c>
      <c r="V831">
        <f>IF(U831=1,IF(COUNTIFS($C$2:C831,C831,$U$2:U831,1)=1,1,0),0)</f>
        <v>1</v>
      </c>
    </row>
    <row r="832" spans="1:22" x14ac:dyDescent="0.35">
      <c r="A832">
        <v>10831</v>
      </c>
      <c r="B832" s="1">
        <v>45392</v>
      </c>
      <c r="C832">
        <v>1842</v>
      </c>
      <c r="D832" t="s">
        <v>67</v>
      </c>
      <c r="E832" t="s">
        <v>74</v>
      </c>
      <c r="F832">
        <v>1</v>
      </c>
      <c r="G832" s="2">
        <v>411.88</v>
      </c>
      <c r="H832">
        <v>0.13</v>
      </c>
      <c r="I832" t="s">
        <v>64</v>
      </c>
      <c r="J832">
        <v>10</v>
      </c>
      <c r="K832">
        <v>4.8</v>
      </c>
      <c r="L832" s="2">
        <v>358.34</v>
      </c>
      <c r="M832">
        <v>2024</v>
      </c>
      <c r="N832">
        <v>4</v>
      </c>
      <c r="O832" t="s">
        <v>107</v>
      </c>
      <c r="P832" s="2">
        <v>411.88</v>
      </c>
      <c r="Q832" s="2">
        <v>53.54</v>
      </c>
      <c r="R832" t="s">
        <v>79</v>
      </c>
      <c r="S832">
        <v>0</v>
      </c>
      <c r="T832">
        <v>0</v>
      </c>
      <c r="U832">
        <f>IF(AND(OR(Dashboard!$D$4="Semua",D832=Dashboard!$D$4),OR(Dashboard!$H$4="Semua",E832=Dashboard!$H$4)),1,0)</f>
        <v>1</v>
      </c>
      <c r="V832">
        <f>IF(U832=1,IF(COUNTIFS($C$2:C832,C832,$U$2:U832,1)=1,1,0),0)</f>
        <v>1</v>
      </c>
    </row>
    <row r="833" spans="1:22" x14ac:dyDescent="0.35">
      <c r="A833">
        <v>10832</v>
      </c>
      <c r="B833" s="1">
        <v>45393</v>
      </c>
      <c r="C833">
        <v>1657</v>
      </c>
      <c r="D833" t="s">
        <v>73</v>
      </c>
      <c r="E833" t="s">
        <v>74</v>
      </c>
      <c r="F833">
        <v>1</v>
      </c>
      <c r="G833" s="2">
        <v>442.09</v>
      </c>
      <c r="H833">
        <v>0.06</v>
      </c>
      <c r="I833" t="s">
        <v>64</v>
      </c>
      <c r="J833">
        <v>6</v>
      </c>
      <c r="K833">
        <v>1.8</v>
      </c>
      <c r="L833" s="2">
        <v>415.56</v>
      </c>
      <c r="M833">
        <v>2024</v>
      </c>
      <c r="N833">
        <v>4</v>
      </c>
      <c r="O833" t="s">
        <v>107</v>
      </c>
      <c r="P833" s="2">
        <v>442.09</v>
      </c>
      <c r="Q833" s="2">
        <v>26.53</v>
      </c>
      <c r="R833" t="s">
        <v>69</v>
      </c>
      <c r="S833">
        <v>0</v>
      </c>
      <c r="T833">
        <v>0</v>
      </c>
      <c r="U833">
        <f>IF(AND(OR(Dashboard!$D$4="Semua",D833=Dashboard!$D$4),OR(Dashboard!$H$4="Semua",E833=Dashboard!$H$4)),1,0)</f>
        <v>1</v>
      </c>
      <c r="V833">
        <f>IF(U833=1,IF(COUNTIFS($C$2:C833,C833,$U$2:U833,1)=1,1,0),0)</f>
        <v>1</v>
      </c>
    </row>
    <row r="834" spans="1:22" x14ac:dyDescent="0.35">
      <c r="A834">
        <v>10833</v>
      </c>
      <c r="B834" s="1">
        <v>45394</v>
      </c>
      <c r="C834">
        <v>1750</v>
      </c>
      <c r="D834" t="s">
        <v>73</v>
      </c>
      <c r="E834" t="s">
        <v>63</v>
      </c>
      <c r="F834">
        <v>2</v>
      </c>
      <c r="G834" s="2">
        <v>139.56</v>
      </c>
      <c r="H834">
        <v>0.27</v>
      </c>
      <c r="I834" t="s">
        <v>71</v>
      </c>
      <c r="J834">
        <v>3</v>
      </c>
      <c r="K834">
        <v>4.5</v>
      </c>
      <c r="L834" s="2">
        <v>203.76</v>
      </c>
      <c r="M834">
        <v>2024</v>
      </c>
      <c r="N834">
        <v>4</v>
      </c>
      <c r="O834" t="s">
        <v>107</v>
      </c>
      <c r="P834" s="2">
        <v>279.12</v>
      </c>
      <c r="Q834" s="2">
        <v>75.36</v>
      </c>
      <c r="R834" t="s">
        <v>66</v>
      </c>
      <c r="S834">
        <v>0</v>
      </c>
      <c r="T834">
        <v>0</v>
      </c>
      <c r="U834">
        <f>IF(AND(OR(Dashboard!$D$4="Semua",D834=Dashboard!$D$4),OR(Dashboard!$H$4="Semua",E834=Dashboard!$H$4)),1,0)</f>
        <v>1</v>
      </c>
      <c r="V834">
        <f>IF(U834=1,IF(COUNTIFS($C$2:C834,C834,$U$2:U834,1)=1,1,0),0)</f>
        <v>0</v>
      </c>
    </row>
    <row r="835" spans="1:22" x14ac:dyDescent="0.35">
      <c r="A835">
        <v>10834</v>
      </c>
      <c r="B835" s="1">
        <v>45395</v>
      </c>
      <c r="C835">
        <v>1587</v>
      </c>
      <c r="D835" t="s">
        <v>62</v>
      </c>
      <c r="E835" t="s">
        <v>78</v>
      </c>
      <c r="F835">
        <v>3</v>
      </c>
      <c r="G835" s="2">
        <v>61.09</v>
      </c>
      <c r="H835">
        <v>0.02</v>
      </c>
      <c r="I835" t="s">
        <v>64</v>
      </c>
      <c r="J835">
        <v>7</v>
      </c>
      <c r="K835">
        <v>3.7</v>
      </c>
      <c r="L835" s="2">
        <v>179.6</v>
      </c>
      <c r="M835">
        <v>2024</v>
      </c>
      <c r="N835">
        <v>4</v>
      </c>
      <c r="O835" t="s">
        <v>107</v>
      </c>
      <c r="P835" s="2">
        <v>183.27</v>
      </c>
      <c r="Q835" s="2">
        <v>3.67</v>
      </c>
      <c r="R835" t="s">
        <v>75</v>
      </c>
      <c r="S835">
        <v>0</v>
      </c>
      <c r="T835">
        <v>0</v>
      </c>
      <c r="U835">
        <f>IF(AND(OR(Dashboard!$D$4="Semua",D835=Dashboard!$D$4),OR(Dashboard!$H$4="Semua",E835=Dashboard!$H$4)),1,0)</f>
        <v>1</v>
      </c>
      <c r="V835">
        <f>IF(U835=1,IF(COUNTIFS($C$2:C835,C835,$U$2:U835,1)=1,1,0),0)</f>
        <v>1</v>
      </c>
    </row>
    <row r="836" spans="1:22" x14ac:dyDescent="0.35">
      <c r="A836">
        <v>10835</v>
      </c>
      <c r="B836" s="1">
        <v>45396</v>
      </c>
      <c r="C836">
        <v>1008</v>
      </c>
      <c r="D836" t="s">
        <v>73</v>
      </c>
      <c r="E836" t="s">
        <v>70</v>
      </c>
      <c r="F836">
        <v>7</v>
      </c>
      <c r="G836" s="2">
        <v>176.99</v>
      </c>
      <c r="H836">
        <v>0.19</v>
      </c>
      <c r="I836" t="s">
        <v>68</v>
      </c>
      <c r="J836">
        <v>3</v>
      </c>
      <c r="K836">
        <v>3.2</v>
      </c>
      <c r="L836" s="2">
        <v>1003.53</v>
      </c>
      <c r="M836">
        <v>2024</v>
      </c>
      <c r="N836">
        <v>4</v>
      </c>
      <c r="O836" t="s">
        <v>107</v>
      </c>
      <c r="P836" s="2">
        <v>1238.93</v>
      </c>
      <c r="Q836" s="2">
        <v>235.4</v>
      </c>
      <c r="R836" t="s">
        <v>76</v>
      </c>
      <c r="S836">
        <v>0</v>
      </c>
      <c r="T836">
        <v>0</v>
      </c>
      <c r="U836">
        <f>IF(AND(OR(Dashboard!$D$4="Semua",D836=Dashboard!$D$4),OR(Dashboard!$H$4="Semua",E836=Dashboard!$H$4)),1,0)</f>
        <v>1</v>
      </c>
      <c r="V836">
        <f>IF(U836=1,IF(COUNTIFS($C$2:C836,C836,$U$2:U836,1)=1,1,0),0)</f>
        <v>0</v>
      </c>
    </row>
    <row r="837" spans="1:22" x14ac:dyDescent="0.35">
      <c r="A837">
        <v>10836</v>
      </c>
      <c r="B837" s="1">
        <v>45397</v>
      </c>
      <c r="C837">
        <v>1073</v>
      </c>
      <c r="D837" t="s">
        <v>80</v>
      </c>
      <c r="E837" t="s">
        <v>78</v>
      </c>
      <c r="F837">
        <v>7</v>
      </c>
      <c r="G837" s="2">
        <v>160.61000000000001</v>
      </c>
      <c r="H837">
        <v>0.1</v>
      </c>
      <c r="I837" t="s">
        <v>64</v>
      </c>
      <c r="J837">
        <v>6</v>
      </c>
      <c r="K837">
        <v>4.3</v>
      </c>
      <c r="L837" s="2">
        <v>1011.84</v>
      </c>
      <c r="M837">
        <v>2024</v>
      </c>
      <c r="N837">
        <v>4</v>
      </c>
      <c r="O837" t="s">
        <v>107</v>
      </c>
      <c r="P837" s="2">
        <v>1124.27</v>
      </c>
      <c r="Q837" s="2">
        <v>112.43</v>
      </c>
      <c r="R837" t="s">
        <v>69</v>
      </c>
      <c r="S837">
        <v>0</v>
      </c>
      <c r="T837">
        <v>0</v>
      </c>
      <c r="U837">
        <f>IF(AND(OR(Dashboard!$D$4="Semua",D837=Dashboard!$D$4),OR(Dashboard!$H$4="Semua",E837=Dashboard!$H$4)),1,0)</f>
        <v>1</v>
      </c>
      <c r="V837">
        <f>IF(U837=1,IF(COUNTIFS($C$2:C837,C837,$U$2:U837,1)=1,1,0),0)</f>
        <v>1</v>
      </c>
    </row>
    <row r="838" spans="1:22" x14ac:dyDescent="0.35">
      <c r="A838">
        <v>10837</v>
      </c>
      <c r="B838" s="1">
        <v>45398</v>
      </c>
      <c r="C838">
        <v>1953</v>
      </c>
      <c r="D838" t="s">
        <v>80</v>
      </c>
      <c r="E838" t="s">
        <v>70</v>
      </c>
      <c r="F838">
        <v>5</v>
      </c>
      <c r="G838" s="2">
        <v>152.21</v>
      </c>
      <c r="H838">
        <v>0.05</v>
      </c>
      <c r="I838" t="s">
        <v>71</v>
      </c>
      <c r="J838">
        <v>10</v>
      </c>
      <c r="K838">
        <v>3.5</v>
      </c>
      <c r="L838" s="2">
        <v>723</v>
      </c>
      <c r="M838">
        <v>2024</v>
      </c>
      <c r="N838">
        <v>4</v>
      </c>
      <c r="O838" t="s">
        <v>107</v>
      </c>
      <c r="P838" s="2">
        <v>761.05</v>
      </c>
      <c r="Q838" s="2">
        <v>38.049999999999997</v>
      </c>
      <c r="R838" t="s">
        <v>75</v>
      </c>
      <c r="S838">
        <v>0</v>
      </c>
      <c r="T838">
        <v>0</v>
      </c>
      <c r="U838">
        <f>IF(AND(OR(Dashboard!$D$4="Semua",D838=Dashboard!$D$4),OR(Dashboard!$H$4="Semua",E838=Dashboard!$H$4)),1,0)</f>
        <v>1</v>
      </c>
      <c r="V838">
        <f>IF(U838=1,IF(COUNTIFS($C$2:C838,C838,$U$2:U838,1)=1,1,0),0)</f>
        <v>1</v>
      </c>
    </row>
    <row r="839" spans="1:22" x14ac:dyDescent="0.35">
      <c r="A839">
        <v>10838</v>
      </c>
      <c r="B839" s="1">
        <v>45399</v>
      </c>
      <c r="C839">
        <v>1491</v>
      </c>
      <c r="D839" t="s">
        <v>62</v>
      </c>
      <c r="E839" t="s">
        <v>78</v>
      </c>
      <c r="F839">
        <v>7</v>
      </c>
      <c r="G839" s="2">
        <v>127.76</v>
      </c>
      <c r="H839">
        <v>0.27</v>
      </c>
      <c r="I839" t="s">
        <v>68</v>
      </c>
      <c r="J839">
        <v>1</v>
      </c>
      <c r="K839">
        <v>3.7</v>
      </c>
      <c r="L839" s="2">
        <v>652.85</v>
      </c>
      <c r="M839">
        <v>2024</v>
      </c>
      <c r="N839">
        <v>4</v>
      </c>
      <c r="O839" t="s">
        <v>107</v>
      </c>
      <c r="P839" s="2">
        <v>894.32</v>
      </c>
      <c r="Q839" s="2">
        <v>241.47</v>
      </c>
      <c r="R839" t="s">
        <v>66</v>
      </c>
      <c r="S839">
        <v>0</v>
      </c>
      <c r="T839">
        <v>0</v>
      </c>
      <c r="U839">
        <f>IF(AND(OR(Dashboard!$D$4="Semua",D839=Dashboard!$D$4),OR(Dashboard!$H$4="Semua",E839=Dashboard!$H$4)),1,0)</f>
        <v>1</v>
      </c>
      <c r="V839">
        <f>IF(U839=1,IF(COUNTIFS($C$2:C839,C839,$U$2:U839,1)=1,1,0),0)</f>
        <v>0</v>
      </c>
    </row>
    <row r="840" spans="1:22" x14ac:dyDescent="0.35">
      <c r="A840">
        <v>10839</v>
      </c>
      <c r="B840" s="1">
        <v>45400</v>
      </c>
      <c r="C840">
        <v>1912</v>
      </c>
      <c r="D840" t="s">
        <v>62</v>
      </c>
      <c r="E840" t="s">
        <v>63</v>
      </c>
      <c r="F840">
        <v>1</v>
      </c>
      <c r="G840" s="2">
        <v>351.23</v>
      </c>
      <c r="H840">
        <v>0.08</v>
      </c>
      <c r="I840" t="s">
        <v>68</v>
      </c>
      <c r="J840">
        <v>8</v>
      </c>
      <c r="K840">
        <v>2</v>
      </c>
      <c r="L840" s="2">
        <v>323.13</v>
      </c>
      <c r="M840">
        <v>2024</v>
      </c>
      <c r="N840">
        <v>4</v>
      </c>
      <c r="O840" t="s">
        <v>107</v>
      </c>
      <c r="P840" s="2">
        <v>351.23</v>
      </c>
      <c r="Q840" s="2">
        <v>28.1</v>
      </c>
      <c r="R840" t="s">
        <v>69</v>
      </c>
      <c r="S840">
        <v>0</v>
      </c>
      <c r="T840">
        <v>0</v>
      </c>
      <c r="U840">
        <f>IF(AND(OR(Dashboard!$D$4="Semua",D840=Dashboard!$D$4),OR(Dashboard!$H$4="Semua",E840=Dashboard!$H$4)),1,0)</f>
        <v>1</v>
      </c>
      <c r="V840">
        <f>IF(U840=1,IF(COUNTIFS($C$2:C840,C840,$U$2:U840,1)=1,1,0),0)</f>
        <v>1</v>
      </c>
    </row>
    <row r="841" spans="1:22" x14ac:dyDescent="0.35">
      <c r="A841">
        <v>10840</v>
      </c>
      <c r="B841" s="1">
        <v>45401</v>
      </c>
      <c r="C841">
        <v>1252</v>
      </c>
      <c r="D841" t="s">
        <v>73</v>
      </c>
      <c r="E841" t="s">
        <v>74</v>
      </c>
      <c r="F841">
        <v>6</v>
      </c>
      <c r="G841" s="2">
        <v>206.94</v>
      </c>
      <c r="H841">
        <v>0.08</v>
      </c>
      <c r="I841" t="s">
        <v>68</v>
      </c>
      <c r="J841">
        <v>7</v>
      </c>
      <c r="K841">
        <v>4.3</v>
      </c>
      <c r="L841" s="2">
        <v>1142.31</v>
      </c>
      <c r="M841">
        <v>2024</v>
      </c>
      <c r="N841">
        <v>4</v>
      </c>
      <c r="O841" t="s">
        <v>107</v>
      </c>
      <c r="P841" s="2">
        <v>1241.6400000000001</v>
      </c>
      <c r="Q841" s="2">
        <v>99.33</v>
      </c>
      <c r="R841" t="s">
        <v>69</v>
      </c>
      <c r="S841">
        <v>0</v>
      </c>
      <c r="T841">
        <v>0</v>
      </c>
      <c r="U841">
        <f>IF(AND(OR(Dashboard!$D$4="Semua",D841=Dashboard!$D$4),OR(Dashboard!$H$4="Semua",E841=Dashboard!$H$4)),1,0)</f>
        <v>1</v>
      </c>
      <c r="V841">
        <f>IF(U841=1,IF(COUNTIFS($C$2:C841,C841,$U$2:U841,1)=1,1,0),0)</f>
        <v>0</v>
      </c>
    </row>
    <row r="842" spans="1:22" x14ac:dyDescent="0.35">
      <c r="A842">
        <v>10841</v>
      </c>
      <c r="B842" s="1">
        <v>45402</v>
      </c>
      <c r="C842">
        <v>1229</v>
      </c>
      <c r="D842" t="s">
        <v>73</v>
      </c>
      <c r="E842" t="s">
        <v>78</v>
      </c>
      <c r="F842">
        <v>3</v>
      </c>
      <c r="G842" s="2">
        <v>494.9</v>
      </c>
      <c r="H842">
        <v>0.1</v>
      </c>
      <c r="I842" t="s">
        <v>68</v>
      </c>
      <c r="J842">
        <v>9</v>
      </c>
      <c r="K842">
        <v>3.6</v>
      </c>
      <c r="L842" s="2">
        <v>1336.23</v>
      </c>
      <c r="M842">
        <v>2024</v>
      </c>
      <c r="N842">
        <v>4</v>
      </c>
      <c r="O842" t="s">
        <v>107</v>
      </c>
      <c r="P842" s="2">
        <v>1484.7</v>
      </c>
      <c r="Q842" s="2">
        <v>148.47</v>
      </c>
      <c r="R842" t="s">
        <v>69</v>
      </c>
      <c r="S842">
        <v>0</v>
      </c>
      <c r="T842">
        <v>0</v>
      </c>
      <c r="U842">
        <f>IF(AND(OR(Dashboard!$D$4="Semua",D842=Dashboard!$D$4),OR(Dashboard!$H$4="Semua",E842=Dashboard!$H$4)),1,0)</f>
        <v>1</v>
      </c>
      <c r="V842">
        <f>IF(U842=1,IF(COUNTIFS($C$2:C842,C842,$U$2:U842,1)=1,1,0),0)</f>
        <v>0</v>
      </c>
    </row>
    <row r="843" spans="1:22" x14ac:dyDescent="0.35">
      <c r="A843">
        <v>10842</v>
      </c>
      <c r="B843" s="1">
        <v>45403</v>
      </c>
      <c r="C843">
        <v>1518</v>
      </c>
      <c r="D843" t="s">
        <v>67</v>
      </c>
      <c r="E843" t="s">
        <v>70</v>
      </c>
      <c r="F843">
        <v>5</v>
      </c>
      <c r="G843" s="2">
        <v>122.61</v>
      </c>
      <c r="H843">
        <v>0.21</v>
      </c>
      <c r="I843" t="s">
        <v>68</v>
      </c>
      <c r="J843">
        <v>3</v>
      </c>
      <c r="K843">
        <v>4.4000000000000004</v>
      </c>
      <c r="L843" s="2">
        <v>484.31</v>
      </c>
      <c r="M843">
        <v>2024</v>
      </c>
      <c r="N843">
        <v>4</v>
      </c>
      <c r="O843" t="s">
        <v>107</v>
      </c>
      <c r="P843" s="2">
        <v>613.04999999999995</v>
      </c>
      <c r="Q843" s="2">
        <v>128.74</v>
      </c>
      <c r="R843" t="s">
        <v>77</v>
      </c>
      <c r="S843">
        <v>0</v>
      </c>
      <c r="T843">
        <v>0</v>
      </c>
      <c r="U843">
        <f>IF(AND(OR(Dashboard!$D$4="Semua",D843=Dashboard!$D$4),OR(Dashboard!$H$4="Semua",E843=Dashboard!$H$4)),1,0)</f>
        <v>1</v>
      </c>
      <c r="V843">
        <f>IF(U843=1,IF(COUNTIFS($C$2:C843,C843,$U$2:U843,1)=1,1,0),0)</f>
        <v>1</v>
      </c>
    </row>
    <row r="844" spans="1:22" x14ac:dyDescent="0.35">
      <c r="A844">
        <v>10843</v>
      </c>
      <c r="B844" s="1">
        <v>45404</v>
      </c>
      <c r="C844">
        <v>1173</v>
      </c>
      <c r="D844" t="s">
        <v>73</v>
      </c>
      <c r="E844" t="s">
        <v>78</v>
      </c>
      <c r="F844">
        <v>7</v>
      </c>
      <c r="G844" s="2">
        <v>286.81</v>
      </c>
      <c r="H844">
        <v>0.23</v>
      </c>
      <c r="I844" t="s">
        <v>68</v>
      </c>
      <c r="J844">
        <v>8</v>
      </c>
      <c r="K844">
        <v>2.4</v>
      </c>
      <c r="L844" s="2">
        <v>1545.91</v>
      </c>
      <c r="M844">
        <v>2024</v>
      </c>
      <c r="N844">
        <v>4</v>
      </c>
      <c r="O844" t="s">
        <v>107</v>
      </c>
      <c r="P844" s="2">
        <v>2007.67</v>
      </c>
      <c r="Q844" s="2">
        <v>461.76</v>
      </c>
      <c r="R844" t="s">
        <v>77</v>
      </c>
      <c r="S844">
        <v>0</v>
      </c>
      <c r="T844">
        <v>0</v>
      </c>
      <c r="U844">
        <f>IF(AND(OR(Dashboard!$D$4="Semua",D844=Dashboard!$D$4),OR(Dashboard!$H$4="Semua",E844=Dashboard!$H$4)),1,0)</f>
        <v>1</v>
      </c>
      <c r="V844">
        <f>IF(U844=1,IF(COUNTIFS($C$2:C844,C844,$U$2:U844,1)=1,1,0),0)</f>
        <v>1</v>
      </c>
    </row>
    <row r="845" spans="1:22" x14ac:dyDescent="0.35">
      <c r="A845">
        <v>10844</v>
      </c>
      <c r="B845" s="1">
        <v>45405</v>
      </c>
      <c r="C845">
        <v>1652</v>
      </c>
      <c r="D845" t="s">
        <v>73</v>
      </c>
      <c r="E845" t="s">
        <v>63</v>
      </c>
      <c r="F845">
        <v>7</v>
      </c>
      <c r="G845" s="2">
        <v>22.99</v>
      </c>
      <c r="H845">
        <v>0.01</v>
      </c>
      <c r="I845" t="s">
        <v>68</v>
      </c>
      <c r="J845">
        <v>2</v>
      </c>
      <c r="K845">
        <v>2.2999999999999998</v>
      </c>
      <c r="L845" s="2">
        <v>159.32</v>
      </c>
      <c r="M845">
        <v>2024</v>
      </c>
      <c r="N845">
        <v>4</v>
      </c>
      <c r="O845" t="s">
        <v>107</v>
      </c>
      <c r="P845" s="2">
        <v>160.93</v>
      </c>
      <c r="Q845" s="2">
        <v>1.61</v>
      </c>
      <c r="R845" t="s">
        <v>75</v>
      </c>
      <c r="S845">
        <v>0</v>
      </c>
      <c r="T845">
        <v>0</v>
      </c>
      <c r="U845">
        <f>IF(AND(OR(Dashboard!$D$4="Semua",D845=Dashboard!$D$4),OR(Dashboard!$H$4="Semua",E845=Dashboard!$H$4)),1,0)</f>
        <v>1</v>
      </c>
      <c r="V845">
        <f>IF(U845=1,IF(COUNTIFS($C$2:C845,C845,$U$2:U845,1)=1,1,0),0)</f>
        <v>1</v>
      </c>
    </row>
    <row r="846" spans="1:22" x14ac:dyDescent="0.35">
      <c r="A846">
        <v>10845</v>
      </c>
      <c r="B846" s="1">
        <v>45406</v>
      </c>
      <c r="C846">
        <v>1167</v>
      </c>
      <c r="D846" t="s">
        <v>67</v>
      </c>
      <c r="E846" t="s">
        <v>63</v>
      </c>
      <c r="F846">
        <v>6</v>
      </c>
      <c r="G846" s="2">
        <v>296.77999999999997</v>
      </c>
      <c r="H846">
        <v>0.08</v>
      </c>
      <c r="I846" t="s">
        <v>68</v>
      </c>
      <c r="J846">
        <v>9</v>
      </c>
      <c r="K846">
        <v>1.1000000000000001</v>
      </c>
      <c r="L846" s="2">
        <v>1638.23</v>
      </c>
      <c r="M846">
        <v>2024</v>
      </c>
      <c r="N846">
        <v>4</v>
      </c>
      <c r="O846" t="s">
        <v>107</v>
      </c>
      <c r="P846" s="2">
        <v>1780.68</v>
      </c>
      <c r="Q846" s="2">
        <v>142.44999999999999</v>
      </c>
      <c r="R846" t="s">
        <v>69</v>
      </c>
      <c r="S846">
        <v>0</v>
      </c>
      <c r="T846">
        <v>0</v>
      </c>
      <c r="U846">
        <f>IF(AND(OR(Dashboard!$D$4="Semua",D846=Dashboard!$D$4),OR(Dashboard!$H$4="Semua",E846=Dashboard!$H$4)),1,0)</f>
        <v>1</v>
      </c>
      <c r="V846">
        <f>IF(U846=1,IF(COUNTIFS($C$2:C846,C846,$U$2:U846,1)=1,1,0),0)</f>
        <v>0</v>
      </c>
    </row>
    <row r="847" spans="1:22" x14ac:dyDescent="0.35">
      <c r="A847">
        <v>10846</v>
      </c>
      <c r="B847" s="1">
        <v>45407</v>
      </c>
      <c r="C847">
        <v>1169</v>
      </c>
      <c r="D847" t="s">
        <v>80</v>
      </c>
      <c r="E847" t="s">
        <v>78</v>
      </c>
      <c r="F847">
        <v>4</v>
      </c>
      <c r="G847" s="2">
        <v>47.67</v>
      </c>
      <c r="H847">
        <v>0.15</v>
      </c>
      <c r="I847" t="s">
        <v>64</v>
      </c>
      <c r="J847">
        <v>1</v>
      </c>
      <c r="K847">
        <v>4.0999999999999996</v>
      </c>
      <c r="L847" s="2">
        <v>162.08000000000001</v>
      </c>
      <c r="M847">
        <v>2024</v>
      </c>
      <c r="N847">
        <v>4</v>
      </c>
      <c r="O847" t="s">
        <v>107</v>
      </c>
      <c r="P847" s="2">
        <v>190.68</v>
      </c>
      <c r="Q847" s="2">
        <v>28.6</v>
      </c>
      <c r="R847" t="s">
        <v>79</v>
      </c>
      <c r="S847">
        <v>0</v>
      </c>
      <c r="T847">
        <v>0</v>
      </c>
      <c r="U847">
        <f>IF(AND(OR(Dashboard!$D$4="Semua",D847=Dashboard!$D$4),OR(Dashboard!$H$4="Semua",E847=Dashboard!$H$4)),1,0)</f>
        <v>1</v>
      </c>
      <c r="V847">
        <f>IF(U847=1,IF(COUNTIFS($C$2:C847,C847,$U$2:U847,1)=1,1,0),0)</f>
        <v>1</v>
      </c>
    </row>
    <row r="848" spans="1:22" x14ac:dyDescent="0.35">
      <c r="A848">
        <v>10847</v>
      </c>
      <c r="B848" s="1">
        <v>45408</v>
      </c>
      <c r="C848">
        <v>1392</v>
      </c>
      <c r="D848" t="s">
        <v>67</v>
      </c>
      <c r="E848" t="s">
        <v>74</v>
      </c>
      <c r="F848">
        <v>3</v>
      </c>
      <c r="G848" s="2">
        <v>586.97</v>
      </c>
      <c r="H848">
        <v>0.12</v>
      </c>
      <c r="I848" t="s">
        <v>68</v>
      </c>
      <c r="J848">
        <v>10</v>
      </c>
      <c r="K848">
        <v>2.2999999999999998</v>
      </c>
      <c r="L848" s="2">
        <v>1549.6</v>
      </c>
      <c r="M848">
        <v>2024</v>
      </c>
      <c r="N848">
        <v>4</v>
      </c>
      <c r="O848" t="s">
        <v>107</v>
      </c>
      <c r="P848" s="2">
        <v>1760.91</v>
      </c>
      <c r="Q848" s="2">
        <v>211.31</v>
      </c>
      <c r="R848" t="s">
        <v>79</v>
      </c>
      <c r="S848">
        <v>0</v>
      </c>
      <c r="T848">
        <v>0</v>
      </c>
      <c r="U848">
        <f>IF(AND(OR(Dashboard!$D$4="Semua",D848=Dashboard!$D$4),OR(Dashboard!$H$4="Semua",E848=Dashboard!$H$4)),1,0)</f>
        <v>1</v>
      </c>
      <c r="V848">
        <f>IF(U848=1,IF(COUNTIFS($C$2:C848,C848,$U$2:U848,1)=1,1,0),0)</f>
        <v>0</v>
      </c>
    </row>
    <row r="849" spans="1:22" x14ac:dyDescent="0.35">
      <c r="A849">
        <v>10848</v>
      </c>
      <c r="B849" s="1">
        <v>45409</v>
      </c>
      <c r="C849">
        <v>1945</v>
      </c>
      <c r="D849" t="s">
        <v>73</v>
      </c>
      <c r="E849" t="s">
        <v>70</v>
      </c>
      <c r="F849">
        <v>6</v>
      </c>
      <c r="G849" s="2">
        <v>477.5</v>
      </c>
      <c r="H849">
        <v>0.31</v>
      </c>
      <c r="I849" t="s">
        <v>68</v>
      </c>
      <c r="J849">
        <v>7</v>
      </c>
      <c r="K849">
        <v>2.2999999999999998</v>
      </c>
      <c r="L849" s="2">
        <v>1976.85</v>
      </c>
      <c r="M849">
        <v>2024</v>
      </c>
      <c r="N849">
        <v>4</v>
      </c>
      <c r="O849" t="s">
        <v>107</v>
      </c>
      <c r="P849" s="2">
        <v>2865</v>
      </c>
      <c r="Q849" s="2">
        <v>888.15</v>
      </c>
      <c r="R849" t="s">
        <v>72</v>
      </c>
      <c r="S849">
        <v>0</v>
      </c>
      <c r="T849">
        <v>0</v>
      </c>
      <c r="U849">
        <f>IF(AND(OR(Dashboard!$D$4="Semua",D849=Dashboard!$D$4),OR(Dashboard!$H$4="Semua",E849=Dashboard!$H$4)),1,0)</f>
        <v>1</v>
      </c>
      <c r="V849">
        <f>IF(U849=1,IF(COUNTIFS($C$2:C849,C849,$U$2:U849,1)=1,1,0),0)</f>
        <v>0</v>
      </c>
    </row>
    <row r="850" spans="1:22" x14ac:dyDescent="0.35">
      <c r="A850">
        <v>10849</v>
      </c>
      <c r="B850" s="1">
        <v>45410</v>
      </c>
      <c r="C850">
        <v>1794</v>
      </c>
      <c r="D850" t="s">
        <v>80</v>
      </c>
      <c r="E850" t="s">
        <v>63</v>
      </c>
      <c r="F850">
        <v>7</v>
      </c>
      <c r="G850" s="2">
        <v>301.72000000000003</v>
      </c>
      <c r="H850">
        <v>0.28000000000000003</v>
      </c>
      <c r="I850" t="s">
        <v>71</v>
      </c>
      <c r="J850">
        <v>10</v>
      </c>
      <c r="K850">
        <v>3.8</v>
      </c>
      <c r="L850" s="2">
        <v>1520.67</v>
      </c>
      <c r="M850">
        <v>2024</v>
      </c>
      <c r="N850">
        <v>4</v>
      </c>
      <c r="O850" t="s">
        <v>107</v>
      </c>
      <c r="P850" s="2">
        <v>2112.04</v>
      </c>
      <c r="Q850" s="2">
        <v>591.37</v>
      </c>
      <c r="R850" t="s">
        <v>66</v>
      </c>
      <c r="S850">
        <v>0</v>
      </c>
      <c r="T850">
        <v>0</v>
      </c>
      <c r="U850">
        <f>IF(AND(OR(Dashboard!$D$4="Semua",D850=Dashboard!$D$4),OR(Dashboard!$H$4="Semua",E850=Dashboard!$H$4)),1,0)</f>
        <v>1</v>
      </c>
      <c r="V850">
        <f>IF(U850=1,IF(COUNTIFS($C$2:C850,C850,$U$2:U850,1)=1,1,0),0)</f>
        <v>0</v>
      </c>
    </row>
    <row r="851" spans="1:22" x14ac:dyDescent="0.35">
      <c r="A851">
        <v>10850</v>
      </c>
      <c r="B851" s="1">
        <v>45411</v>
      </c>
      <c r="C851">
        <v>1633</v>
      </c>
      <c r="D851" t="s">
        <v>73</v>
      </c>
      <c r="E851" t="s">
        <v>63</v>
      </c>
      <c r="F851">
        <v>3</v>
      </c>
      <c r="G851" s="2">
        <v>65.650000000000006</v>
      </c>
      <c r="H851">
        <v>0.22</v>
      </c>
      <c r="I851" t="s">
        <v>64</v>
      </c>
      <c r="J851">
        <v>1</v>
      </c>
      <c r="K851">
        <v>2</v>
      </c>
      <c r="L851" s="2">
        <v>153.62</v>
      </c>
      <c r="M851">
        <v>2024</v>
      </c>
      <c r="N851">
        <v>4</v>
      </c>
      <c r="O851" t="s">
        <v>107</v>
      </c>
      <c r="P851" s="2">
        <v>196.95</v>
      </c>
      <c r="Q851" s="2">
        <v>43.33</v>
      </c>
      <c r="R851" t="s">
        <v>77</v>
      </c>
      <c r="S851">
        <v>0</v>
      </c>
      <c r="T851">
        <v>0</v>
      </c>
      <c r="U851">
        <f>IF(AND(OR(Dashboard!$D$4="Semua",D851=Dashboard!$D$4),OR(Dashboard!$H$4="Semua",E851=Dashboard!$H$4)),1,0)</f>
        <v>1</v>
      </c>
      <c r="V851">
        <f>IF(U851=1,IF(COUNTIFS($C$2:C851,C851,$U$2:U851,1)=1,1,0),0)</f>
        <v>0</v>
      </c>
    </row>
    <row r="852" spans="1:22" x14ac:dyDescent="0.35">
      <c r="A852">
        <v>10851</v>
      </c>
      <c r="B852" s="1">
        <v>45412</v>
      </c>
      <c r="C852">
        <v>1193</v>
      </c>
      <c r="D852" t="s">
        <v>73</v>
      </c>
      <c r="E852" t="s">
        <v>78</v>
      </c>
      <c r="F852">
        <v>3</v>
      </c>
      <c r="G852" s="2">
        <v>361.58</v>
      </c>
      <c r="H852">
        <v>0.12</v>
      </c>
      <c r="I852" t="s">
        <v>68</v>
      </c>
      <c r="J852">
        <v>6</v>
      </c>
      <c r="K852">
        <v>4.5999999999999996</v>
      </c>
      <c r="L852" s="2">
        <v>954.57</v>
      </c>
      <c r="M852">
        <v>2024</v>
      </c>
      <c r="N852">
        <v>4</v>
      </c>
      <c r="O852" t="s">
        <v>107</v>
      </c>
      <c r="P852" s="2">
        <v>1084.74</v>
      </c>
      <c r="Q852" s="2">
        <v>130.16999999999999</v>
      </c>
      <c r="R852" t="s">
        <v>79</v>
      </c>
      <c r="S852">
        <v>0</v>
      </c>
      <c r="T852">
        <v>0</v>
      </c>
      <c r="U852">
        <f>IF(AND(OR(Dashboard!$D$4="Semua",D852=Dashboard!$D$4),OR(Dashboard!$H$4="Semua",E852=Dashboard!$H$4)),1,0)</f>
        <v>1</v>
      </c>
      <c r="V852">
        <f>IF(U852=1,IF(COUNTIFS($C$2:C852,C852,$U$2:U852,1)=1,1,0),0)</f>
        <v>1</v>
      </c>
    </row>
    <row r="853" spans="1:22" x14ac:dyDescent="0.35">
      <c r="A853">
        <v>10852</v>
      </c>
      <c r="B853" s="1">
        <v>45413</v>
      </c>
      <c r="C853">
        <v>1516</v>
      </c>
      <c r="D853" t="s">
        <v>80</v>
      </c>
      <c r="E853" t="s">
        <v>63</v>
      </c>
      <c r="F853">
        <v>7</v>
      </c>
      <c r="G853" s="2">
        <v>458.88</v>
      </c>
      <c r="H853">
        <v>0.25</v>
      </c>
      <c r="I853" t="s">
        <v>64</v>
      </c>
      <c r="J853">
        <v>1</v>
      </c>
      <c r="K853">
        <v>3.2</v>
      </c>
      <c r="L853" s="2">
        <v>2409.12</v>
      </c>
      <c r="M853">
        <v>2024</v>
      </c>
      <c r="N853">
        <v>5</v>
      </c>
      <c r="O853" t="s">
        <v>108</v>
      </c>
      <c r="P853" s="2">
        <v>3212.16</v>
      </c>
      <c r="Q853" s="2">
        <v>803.04</v>
      </c>
      <c r="R853" t="s">
        <v>77</v>
      </c>
      <c r="S853">
        <v>0</v>
      </c>
      <c r="T853">
        <v>0</v>
      </c>
      <c r="U853">
        <f>IF(AND(OR(Dashboard!$D$4="Semua",D853=Dashboard!$D$4),OR(Dashboard!$H$4="Semua",E853=Dashboard!$H$4)),1,0)</f>
        <v>1</v>
      </c>
      <c r="V853">
        <f>IF(U853=1,IF(COUNTIFS($C$2:C853,C853,$U$2:U853,1)=1,1,0),0)</f>
        <v>1</v>
      </c>
    </row>
    <row r="854" spans="1:22" x14ac:dyDescent="0.35">
      <c r="A854">
        <v>10853</v>
      </c>
      <c r="B854" s="1">
        <v>45414</v>
      </c>
      <c r="C854">
        <v>1028</v>
      </c>
      <c r="D854" t="s">
        <v>67</v>
      </c>
      <c r="E854" t="s">
        <v>63</v>
      </c>
      <c r="F854">
        <v>4</v>
      </c>
      <c r="G854" s="2">
        <v>126.57</v>
      </c>
      <c r="H854">
        <v>0.3</v>
      </c>
      <c r="I854" t="s">
        <v>68</v>
      </c>
      <c r="J854">
        <v>4</v>
      </c>
      <c r="K854">
        <v>4.9000000000000004</v>
      </c>
      <c r="L854" s="2">
        <v>354.4</v>
      </c>
      <c r="M854">
        <v>2024</v>
      </c>
      <c r="N854">
        <v>5</v>
      </c>
      <c r="O854" t="s">
        <v>108</v>
      </c>
      <c r="P854" s="2">
        <v>506.28</v>
      </c>
      <c r="Q854" s="2">
        <v>151.88</v>
      </c>
      <c r="R854" t="s">
        <v>66</v>
      </c>
      <c r="S854">
        <v>0</v>
      </c>
      <c r="T854">
        <v>0</v>
      </c>
      <c r="U854">
        <f>IF(AND(OR(Dashboard!$D$4="Semua",D854=Dashboard!$D$4),OR(Dashboard!$H$4="Semua",E854=Dashboard!$H$4)),1,0)</f>
        <v>1</v>
      </c>
      <c r="V854">
        <f>IF(U854=1,IF(COUNTIFS($C$2:C854,C854,$U$2:U854,1)=1,1,0),0)</f>
        <v>1</v>
      </c>
    </row>
    <row r="855" spans="1:22" x14ac:dyDescent="0.35">
      <c r="A855">
        <v>10854</v>
      </c>
      <c r="B855" s="1">
        <v>45415</v>
      </c>
      <c r="C855">
        <v>1164</v>
      </c>
      <c r="D855" t="s">
        <v>80</v>
      </c>
      <c r="E855" t="s">
        <v>70</v>
      </c>
      <c r="F855">
        <v>4</v>
      </c>
      <c r="G855" s="2">
        <v>347.4</v>
      </c>
      <c r="H855">
        <v>0.21</v>
      </c>
      <c r="I855" t="s">
        <v>68</v>
      </c>
      <c r="J855">
        <v>7</v>
      </c>
      <c r="K855">
        <v>1.3</v>
      </c>
      <c r="L855" s="2">
        <v>1097.78</v>
      </c>
      <c r="M855">
        <v>2024</v>
      </c>
      <c r="N855">
        <v>5</v>
      </c>
      <c r="O855" t="s">
        <v>108</v>
      </c>
      <c r="P855" s="2">
        <v>1389.6</v>
      </c>
      <c r="Q855" s="2">
        <v>291.82</v>
      </c>
      <c r="R855" t="s">
        <v>77</v>
      </c>
      <c r="S855">
        <v>0</v>
      </c>
      <c r="T855">
        <v>0</v>
      </c>
      <c r="U855">
        <f>IF(AND(OR(Dashboard!$D$4="Semua",D855=Dashboard!$D$4),OR(Dashboard!$H$4="Semua",E855=Dashboard!$H$4)),1,0)</f>
        <v>1</v>
      </c>
      <c r="V855">
        <f>IF(U855=1,IF(COUNTIFS($C$2:C855,C855,$U$2:U855,1)=1,1,0),0)</f>
        <v>1</v>
      </c>
    </row>
    <row r="856" spans="1:22" x14ac:dyDescent="0.35">
      <c r="A856">
        <v>10855</v>
      </c>
      <c r="B856" s="1">
        <v>45416</v>
      </c>
      <c r="C856">
        <v>1421</v>
      </c>
      <c r="D856" t="s">
        <v>73</v>
      </c>
      <c r="E856" t="s">
        <v>74</v>
      </c>
      <c r="F856">
        <v>7</v>
      </c>
      <c r="G856" s="2">
        <v>491.31</v>
      </c>
      <c r="H856">
        <v>0.27</v>
      </c>
      <c r="I856" t="s">
        <v>68</v>
      </c>
      <c r="J856">
        <v>2</v>
      </c>
      <c r="K856">
        <v>2.2999999999999998</v>
      </c>
      <c r="L856" s="2">
        <v>2510.59</v>
      </c>
      <c r="M856">
        <v>2024</v>
      </c>
      <c r="N856">
        <v>5</v>
      </c>
      <c r="O856" t="s">
        <v>108</v>
      </c>
      <c r="P856" s="2">
        <v>3439.17</v>
      </c>
      <c r="Q856" s="2">
        <v>928.58</v>
      </c>
      <c r="R856" t="s">
        <v>66</v>
      </c>
      <c r="S856">
        <v>0</v>
      </c>
      <c r="T856">
        <v>0</v>
      </c>
      <c r="U856">
        <f>IF(AND(OR(Dashboard!$D$4="Semua",D856=Dashboard!$D$4),OR(Dashboard!$H$4="Semua",E856=Dashboard!$H$4)),1,0)</f>
        <v>1</v>
      </c>
      <c r="V856">
        <f>IF(U856=1,IF(COUNTIFS($C$2:C856,C856,$U$2:U856,1)=1,1,0),0)</f>
        <v>0</v>
      </c>
    </row>
    <row r="857" spans="1:22" x14ac:dyDescent="0.35">
      <c r="A857">
        <v>10856</v>
      </c>
      <c r="B857" s="1">
        <v>45417</v>
      </c>
      <c r="C857">
        <v>1338</v>
      </c>
      <c r="D857" t="s">
        <v>80</v>
      </c>
      <c r="E857" t="s">
        <v>70</v>
      </c>
      <c r="F857">
        <v>3</v>
      </c>
      <c r="G857" s="2">
        <v>464.42</v>
      </c>
      <c r="H857">
        <v>0.26</v>
      </c>
      <c r="I857" t="s">
        <v>71</v>
      </c>
      <c r="J857">
        <v>3</v>
      </c>
      <c r="K857">
        <v>2.5</v>
      </c>
      <c r="L857" s="2">
        <v>1031.01</v>
      </c>
      <c r="M857">
        <v>2024</v>
      </c>
      <c r="N857">
        <v>5</v>
      </c>
      <c r="O857" t="s">
        <v>108</v>
      </c>
      <c r="P857" s="2">
        <v>1393.26</v>
      </c>
      <c r="Q857" s="2">
        <v>362.25</v>
      </c>
      <c r="R857" t="s">
        <v>66</v>
      </c>
      <c r="S857">
        <v>0</v>
      </c>
      <c r="T857">
        <v>0</v>
      </c>
      <c r="U857">
        <f>IF(AND(OR(Dashboard!$D$4="Semua",D857=Dashboard!$D$4),OR(Dashboard!$H$4="Semua",E857=Dashboard!$H$4)),1,0)</f>
        <v>1</v>
      </c>
      <c r="V857">
        <f>IF(U857=1,IF(COUNTIFS($C$2:C857,C857,$U$2:U857,1)=1,1,0),0)</f>
        <v>1</v>
      </c>
    </row>
    <row r="858" spans="1:22" x14ac:dyDescent="0.35">
      <c r="A858">
        <v>10857</v>
      </c>
      <c r="B858" s="1">
        <v>45418</v>
      </c>
      <c r="C858">
        <v>1647</v>
      </c>
      <c r="D858" t="s">
        <v>67</v>
      </c>
      <c r="E858" t="s">
        <v>74</v>
      </c>
      <c r="F858">
        <v>6</v>
      </c>
      <c r="G858" s="2">
        <v>484.75</v>
      </c>
      <c r="H858">
        <v>0.2</v>
      </c>
      <c r="I858" t="s">
        <v>68</v>
      </c>
      <c r="J858">
        <v>4</v>
      </c>
      <c r="K858">
        <v>3.9</v>
      </c>
      <c r="L858" s="2">
        <v>2326.8000000000002</v>
      </c>
      <c r="M858">
        <v>2024</v>
      </c>
      <c r="N858">
        <v>5</v>
      </c>
      <c r="O858" t="s">
        <v>108</v>
      </c>
      <c r="P858" s="2">
        <v>2908.5</v>
      </c>
      <c r="Q858" s="2">
        <v>581.70000000000005</v>
      </c>
      <c r="R858" t="s">
        <v>76</v>
      </c>
      <c r="S858">
        <v>0</v>
      </c>
      <c r="T858">
        <v>0</v>
      </c>
      <c r="U858">
        <f>IF(AND(OR(Dashboard!$D$4="Semua",D858=Dashboard!$D$4),OR(Dashboard!$H$4="Semua",E858=Dashboard!$H$4)),1,0)</f>
        <v>1</v>
      </c>
      <c r="V858">
        <f>IF(U858=1,IF(COUNTIFS($C$2:C858,C858,$U$2:U858,1)=1,1,0),0)</f>
        <v>0</v>
      </c>
    </row>
    <row r="859" spans="1:22" x14ac:dyDescent="0.35">
      <c r="A859">
        <v>10858</v>
      </c>
      <c r="B859" s="1">
        <v>45419</v>
      </c>
      <c r="C859">
        <v>1495</v>
      </c>
      <c r="D859" t="s">
        <v>67</v>
      </c>
      <c r="E859" t="s">
        <v>70</v>
      </c>
      <c r="F859">
        <v>2</v>
      </c>
      <c r="G859" s="2">
        <v>529.4</v>
      </c>
      <c r="H859">
        <v>0.11</v>
      </c>
      <c r="I859" t="s">
        <v>71</v>
      </c>
      <c r="J859">
        <v>6</v>
      </c>
      <c r="K859">
        <v>1.9</v>
      </c>
      <c r="L859" s="2">
        <v>942.33</v>
      </c>
      <c r="M859">
        <v>2024</v>
      </c>
      <c r="N859">
        <v>5</v>
      </c>
      <c r="O859" t="s">
        <v>108</v>
      </c>
      <c r="P859" s="2">
        <v>1058.8</v>
      </c>
      <c r="Q859" s="2">
        <v>116.47</v>
      </c>
      <c r="R859" t="s">
        <v>79</v>
      </c>
      <c r="S859">
        <v>0</v>
      </c>
      <c r="T859">
        <v>0</v>
      </c>
      <c r="U859">
        <f>IF(AND(OR(Dashboard!$D$4="Semua",D859=Dashboard!$D$4),OR(Dashboard!$H$4="Semua",E859=Dashboard!$H$4)),1,0)</f>
        <v>1</v>
      </c>
      <c r="V859">
        <f>IF(U859=1,IF(COUNTIFS($C$2:C859,C859,$U$2:U859,1)=1,1,0),0)</f>
        <v>1</v>
      </c>
    </row>
    <row r="860" spans="1:22" x14ac:dyDescent="0.35">
      <c r="A860">
        <v>10859</v>
      </c>
      <c r="B860" s="1">
        <v>45420</v>
      </c>
      <c r="C860">
        <v>1364</v>
      </c>
      <c r="D860" t="s">
        <v>67</v>
      </c>
      <c r="E860" t="s">
        <v>78</v>
      </c>
      <c r="F860">
        <v>1</v>
      </c>
      <c r="G860" s="2">
        <v>563.54</v>
      </c>
      <c r="H860">
        <v>0.26</v>
      </c>
      <c r="I860" t="s">
        <v>68</v>
      </c>
      <c r="J860">
        <v>9</v>
      </c>
      <c r="K860">
        <v>2.5</v>
      </c>
      <c r="L860" s="2">
        <v>417.02</v>
      </c>
      <c r="M860">
        <v>2024</v>
      </c>
      <c r="N860">
        <v>5</v>
      </c>
      <c r="O860" t="s">
        <v>108</v>
      </c>
      <c r="P860" s="2">
        <v>563.54</v>
      </c>
      <c r="Q860" s="2">
        <v>146.52000000000001</v>
      </c>
      <c r="R860" t="s">
        <v>66</v>
      </c>
      <c r="S860">
        <v>0</v>
      </c>
      <c r="T860">
        <v>0</v>
      </c>
      <c r="U860">
        <f>IF(AND(OR(Dashboard!$D$4="Semua",D860=Dashboard!$D$4),OR(Dashboard!$H$4="Semua",E860=Dashboard!$H$4)),1,0)</f>
        <v>1</v>
      </c>
      <c r="V860">
        <f>IF(U860=1,IF(COUNTIFS($C$2:C860,C860,$U$2:U860,1)=1,1,0),0)</f>
        <v>0</v>
      </c>
    </row>
    <row r="861" spans="1:22" x14ac:dyDescent="0.35">
      <c r="A861">
        <v>10860</v>
      </c>
      <c r="B861" s="1">
        <v>45421</v>
      </c>
      <c r="C861">
        <v>1832</v>
      </c>
      <c r="D861" t="s">
        <v>62</v>
      </c>
      <c r="E861" t="s">
        <v>63</v>
      </c>
      <c r="F861">
        <v>4</v>
      </c>
      <c r="G861" s="2">
        <v>252.23</v>
      </c>
      <c r="H861">
        <v>7.0000000000000007E-2</v>
      </c>
      <c r="I861" t="s">
        <v>71</v>
      </c>
      <c r="J861">
        <v>4</v>
      </c>
      <c r="K861">
        <v>4.5999999999999996</v>
      </c>
      <c r="L861" s="2">
        <v>938.3</v>
      </c>
      <c r="M861">
        <v>2024</v>
      </c>
      <c r="N861">
        <v>5</v>
      </c>
      <c r="O861" t="s">
        <v>108</v>
      </c>
      <c r="P861" s="2">
        <v>1008.92</v>
      </c>
      <c r="Q861" s="2">
        <v>70.62</v>
      </c>
      <c r="R861" t="s">
        <v>69</v>
      </c>
      <c r="S861">
        <v>0</v>
      </c>
      <c r="T861">
        <v>0</v>
      </c>
      <c r="U861">
        <f>IF(AND(OR(Dashboard!$D$4="Semua",D861=Dashboard!$D$4),OR(Dashboard!$H$4="Semua",E861=Dashboard!$H$4)),1,0)</f>
        <v>1</v>
      </c>
      <c r="V861">
        <f>IF(U861=1,IF(COUNTIFS($C$2:C861,C861,$U$2:U861,1)=1,1,0),0)</f>
        <v>1</v>
      </c>
    </row>
    <row r="862" spans="1:22" x14ac:dyDescent="0.35">
      <c r="A862">
        <v>10861</v>
      </c>
      <c r="B862" s="1">
        <v>45422</v>
      </c>
      <c r="C862">
        <v>1341</v>
      </c>
      <c r="D862" t="s">
        <v>67</v>
      </c>
      <c r="E862" t="s">
        <v>74</v>
      </c>
      <c r="F862">
        <v>7</v>
      </c>
      <c r="G862" s="2">
        <v>347.73</v>
      </c>
      <c r="H862">
        <v>0.27</v>
      </c>
      <c r="I862" t="s">
        <v>68</v>
      </c>
      <c r="J862">
        <v>6</v>
      </c>
      <c r="K862">
        <v>1.5</v>
      </c>
      <c r="L862" s="2">
        <v>1776.9</v>
      </c>
      <c r="M862">
        <v>2024</v>
      </c>
      <c r="N862">
        <v>5</v>
      </c>
      <c r="O862" t="s">
        <v>108</v>
      </c>
      <c r="P862" s="2">
        <v>2434.11</v>
      </c>
      <c r="Q862" s="2">
        <v>657.21</v>
      </c>
      <c r="R862" t="s">
        <v>66</v>
      </c>
      <c r="S862">
        <v>0</v>
      </c>
      <c r="T862">
        <v>0</v>
      </c>
      <c r="U862">
        <f>IF(AND(OR(Dashboard!$D$4="Semua",D862=Dashboard!$D$4),OR(Dashboard!$H$4="Semua",E862=Dashboard!$H$4)),1,0)</f>
        <v>1</v>
      </c>
      <c r="V862">
        <f>IF(U862=1,IF(COUNTIFS($C$2:C862,C862,$U$2:U862,1)=1,1,0),0)</f>
        <v>0</v>
      </c>
    </row>
    <row r="863" spans="1:22" x14ac:dyDescent="0.35">
      <c r="A863">
        <v>10862</v>
      </c>
      <c r="B863" s="1">
        <v>45423</v>
      </c>
      <c r="C863">
        <v>1499</v>
      </c>
      <c r="D863" t="s">
        <v>67</v>
      </c>
      <c r="E863" t="s">
        <v>78</v>
      </c>
      <c r="F863">
        <v>2</v>
      </c>
      <c r="G863" s="2">
        <v>477.54</v>
      </c>
      <c r="H863">
        <v>0.28000000000000003</v>
      </c>
      <c r="I863" t="s">
        <v>71</v>
      </c>
      <c r="J863">
        <v>7</v>
      </c>
      <c r="K863">
        <v>4</v>
      </c>
      <c r="L863" s="2">
        <v>687.66</v>
      </c>
      <c r="M863">
        <v>2024</v>
      </c>
      <c r="N863">
        <v>5</v>
      </c>
      <c r="O863" t="s">
        <v>108</v>
      </c>
      <c r="P863" s="2">
        <v>955.08</v>
      </c>
      <c r="Q863" s="2">
        <v>267.42</v>
      </c>
      <c r="R863" t="s">
        <v>66</v>
      </c>
      <c r="S863">
        <v>0</v>
      </c>
      <c r="T863">
        <v>0</v>
      </c>
      <c r="U863">
        <f>IF(AND(OR(Dashboard!$D$4="Semua",D863=Dashboard!$D$4),OR(Dashboard!$H$4="Semua",E863=Dashboard!$H$4)),1,0)</f>
        <v>1</v>
      </c>
      <c r="V863">
        <f>IF(U863=1,IF(COUNTIFS($C$2:C863,C863,$U$2:U863,1)=1,1,0),0)</f>
        <v>1</v>
      </c>
    </row>
    <row r="864" spans="1:22" x14ac:dyDescent="0.35">
      <c r="A864">
        <v>10863</v>
      </c>
      <c r="B864" s="1">
        <v>45424</v>
      </c>
      <c r="C864">
        <v>1656</v>
      </c>
      <c r="D864" t="s">
        <v>62</v>
      </c>
      <c r="E864" t="s">
        <v>63</v>
      </c>
      <c r="F864">
        <v>4</v>
      </c>
      <c r="G864" s="2">
        <v>422.83</v>
      </c>
      <c r="H864">
        <v>0.28999999999999998</v>
      </c>
      <c r="I864" t="s">
        <v>71</v>
      </c>
      <c r="J864">
        <v>4</v>
      </c>
      <c r="K864">
        <v>3.8</v>
      </c>
      <c r="L864" s="2">
        <v>1200.8399999999999</v>
      </c>
      <c r="M864">
        <v>2024</v>
      </c>
      <c r="N864">
        <v>5</v>
      </c>
      <c r="O864" t="s">
        <v>108</v>
      </c>
      <c r="P864" s="2">
        <v>1691.32</v>
      </c>
      <c r="Q864" s="2">
        <v>490.48</v>
      </c>
      <c r="R864" t="s">
        <v>66</v>
      </c>
      <c r="S864">
        <v>0</v>
      </c>
      <c r="T864">
        <v>0</v>
      </c>
      <c r="U864">
        <f>IF(AND(OR(Dashboard!$D$4="Semua",D864=Dashboard!$D$4),OR(Dashboard!$H$4="Semua",E864=Dashboard!$H$4)),1,0)</f>
        <v>1</v>
      </c>
      <c r="V864">
        <f>IF(U864=1,IF(COUNTIFS($C$2:C864,C864,$U$2:U864,1)=1,1,0),0)</f>
        <v>0</v>
      </c>
    </row>
    <row r="865" spans="1:22" x14ac:dyDescent="0.35">
      <c r="A865">
        <v>10864</v>
      </c>
      <c r="B865" s="1">
        <v>45425</v>
      </c>
      <c r="C865">
        <v>1510</v>
      </c>
      <c r="D865" t="s">
        <v>80</v>
      </c>
      <c r="E865" t="s">
        <v>63</v>
      </c>
      <c r="F865">
        <v>3</v>
      </c>
      <c r="G865" s="2">
        <v>597.38</v>
      </c>
      <c r="H865">
        <v>0.17</v>
      </c>
      <c r="I865" t="s">
        <v>71</v>
      </c>
      <c r="J865">
        <v>6</v>
      </c>
      <c r="K865">
        <v>1.5</v>
      </c>
      <c r="L865" s="2">
        <v>1487.48</v>
      </c>
      <c r="M865">
        <v>2024</v>
      </c>
      <c r="N865">
        <v>5</v>
      </c>
      <c r="O865" t="s">
        <v>108</v>
      </c>
      <c r="P865" s="2">
        <v>1792.14</v>
      </c>
      <c r="Q865" s="2">
        <v>304.66000000000003</v>
      </c>
      <c r="R865" t="s">
        <v>76</v>
      </c>
      <c r="S865">
        <v>0</v>
      </c>
      <c r="T865">
        <v>0</v>
      </c>
      <c r="U865">
        <f>IF(AND(OR(Dashboard!$D$4="Semua",D865=Dashboard!$D$4),OR(Dashboard!$H$4="Semua",E865=Dashboard!$H$4)),1,0)</f>
        <v>1</v>
      </c>
      <c r="V865">
        <f>IF(U865=1,IF(COUNTIFS($C$2:C865,C865,$U$2:U865,1)=1,1,0),0)</f>
        <v>0</v>
      </c>
    </row>
    <row r="866" spans="1:22" x14ac:dyDescent="0.35">
      <c r="A866">
        <v>10865</v>
      </c>
      <c r="B866" s="1">
        <v>45426</v>
      </c>
      <c r="C866">
        <v>1326</v>
      </c>
      <c r="D866" t="s">
        <v>67</v>
      </c>
      <c r="E866" t="s">
        <v>63</v>
      </c>
      <c r="F866">
        <v>7</v>
      </c>
      <c r="G866" s="2">
        <v>23</v>
      </c>
      <c r="H866">
        <v>7.0000000000000007E-2</v>
      </c>
      <c r="I866" t="s">
        <v>68</v>
      </c>
      <c r="J866">
        <v>3</v>
      </c>
      <c r="K866">
        <v>3.8</v>
      </c>
      <c r="L866" s="2">
        <v>149.72999999999999</v>
      </c>
      <c r="M866">
        <v>2024</v>
      </c>
      <c r="N866">
        <v>5</v>
      </c>
      <c r="O866" t="s">
        <v>108</v>
      </c>
      <c r="P866" s="2">
        <v>161</v>
      </c>
      <c r="Q866" s="2">
        <v>11.27</v>
      </c>
      <c r="R866" t="s">
        <v>69</v>
      </c>
      <c r="S866">
        <v>0</v>
      </c>
      <c r="T866">
        <v>0</v>
      </c>
      <c r="U866">
        <f>IF(AND(OR(Dashboard!$D$4="Semua",D866=Dashboard!$D$4),OR(Dashboard!$H$4="Semua",E866=Dashboard!$H$4)),1,0)</f>
        <v>1</v>
      </c>
      <c r="V866">
        <f>IF(U866=1,IF(COUNTIFS($C$2:C866,C866,$U$2:U866,1)=1,1,0),0)</f>
        <v>1</v>
      </c>
    </row>
    <row r="867" spans="1:22" x14ac:dyDescent="0.35">
      <c r="A867">
        <v>10866</v>
      </c>
      <c r="B867" s="1">
        <v>45427</v>
      </c>
      <c r="C867">
        <v>1216</v>
      </c>
      <c r="D867" t="s">
        <v>80</v>
      </c>
      <c r="E867" t="s">
        <v>70</v>
      </c>
      <c r="F867">
        <v>2</v>
      </c>
      <c r="G867" s="2">
        <v>222.75</v>
      </c>
      <c r="H867">
        <v>0.03</v>
      </c>
      <c r="I867" t="s">
        <v>64</v>
      </c>
      <c r="J867">
        <v>5</v>
      </c>
      <c r="K867">
        <v>3.3</v>
      </c>
      <c r="L867" s="2">
        <v>432.14</v>
      </c>
      <c r="M867">
        <v>2024</v>
      </c>
      <c r="N867">
        <v>5</v>
      </c>
      <c r="O867" t="s">
        <v>108</v>
      </c>
      <c r="P867" s="2">
        <v>445.5</v>
      </c>
      <c r="Q867" s="2">
        <v>13.36</v>
      </c>
      <c r="R867" t="s">
        <v>75</v>
      </c>
      <c r="S867">
        <v>0</v>
      </c>
      <c r="T867">
        <v>0</v>
      </c>
      <c r="U867">
        <f>IF(AND(OR(Dashboard!$D$4="Semua",D867=Dashboard!$D$4),OR(Dashboard!$H$4="Semua",E867=Dashboard!$H$4)),1,0)</f>
        <v>1</v>
      </c>
      <c r="V867">
        <f>IF(U867=1,IF(COUNTIFS($C$2:C867,C867,$U$2:U867,1)=1,1,0),0)</f>
        <v>0</v>
      </c>
    </row>
    <row r="868" spans="1:22" x14ac:dyDescent="0.35">
      <c r="A868">
        <v>10867</v>
      </c>
      <c r="B868" s="1">
        <v>45428</v>
      </c>
      <c r="C868">
        <v>1300</v>
      </c>
      <c r="D868" t="s">
        <v>67</v>
      </c>
      <c r="E868" t="s">
        <v>78</v>
      </c>
      <c r="F868">
        <v>7</v>
      </c>
      <c r="G868" s="2">
        <v>179.4</v>
      </c>
      <c r="H868">
        <v>0.26</v>
      </c>
      <c r="I868" t="s">
        <v>71</v>
      </c>
      <c r="J868">
        <v>11</v>
      </c>
      <c r="K868">
        <v>2.2000000000000002</v>
      </c>
      <c r="L868" s="2">
        <v>929.29</v>
      </c>
      <c r="M868">
        <v>2024</v>
      </c>
      <c r="N868">
        <v>5</v>
      </c>
      <c r="O868" t="s">
        <v>108</v>
      </c>
      <c r="P868" s="2">
        <v>1255.8</v>
      </c>
      <c r="Q868" s="2">
        <v>326.51</v>
      </c>
      <c r="R868" t="s">
        <v>66</v>
      </c>
      <c r="S868">
        <v>0</v>
      </c>
      <c r="T868">
        <v>0</v>
      </c>
      <c r="U868">
        <f>IF(AND(OR(Dashboard!$D$4="Semua",D868=Dashboard!$D$4),OR(Dashboard!$H$4="Semua",E868=Dashboard!$H$4)),1,0)</f>
        <v>1</v>
      </c>
      <c r="V868">
        <f>IF(U868=1,IF(COUNTIFS($C$2:C868,C868,$U$2:U868,1)=1,1,0),0)</f>
        <v>1</v>
      </c>
    </row>
    <row r="869" spans="1:22" x14ac:dyDescent="0.35">
      <c r="A869">
        <v>10868</v>
      </c>
      <c r="B869" s="1">
        <v>45429</v>
      </c>
      <c r="C869">
        <v>1131</v>
      </c>
      <c r="D869" t="s">
        <v>73</v>
      </c>
      <c r="E869" t="s">
        <v>78</v>
      </c>
      <c r="F869">
        <v>6</v>
      </c>
      <c r="G869" s="2">
        <v>168.45</v>
      </c>
      <c r="H869">
        <v>0.31</v>
      </c>
      <c r="I869" t="s">
        <v>68</v>
      </c>
      <c r="J869">
        <v>10</v>
      </c>
      <c r="K869">
        <v>2.2000000000000002</v>
      </c>
      <c r="L869" s="2">
        <v>697.38</v>
      </c>
      <c r="M869">
        <v>2024</v>
      </c>
      <c r="N869">
        <v>5</v>
      </c>
      <c r="O869" t="s">
        <v>108</v>
      </c>
      <c r="P869" s="2">
        <v>1010.7</v>
      </c>
      <c r="Q869" s="2">
        <v>313.32</v>
      </c>
      <c r="R869" t="s">
        <v>72</v>
      </c>
      <c r="S869">
        <v>0</v>
      </c>
      <c r="T869">
        <v>0</v>
      </c>
      <c r="U869">
        <f>IF(AND(OR(Dashboard!$D$4="Semua",D869=Dashboard!$D$4),OR(Dashboard!$H$4="Semua",E869=Dashboard!$H$4)),1,0)</f>
        <v>1</v>
      </c>
      <c r="V869">
        <f>IF(U869=1,IF(COUNTIFS($C$2:C869,C869,$U$2:U869,1)=1,1,0),0)</f>
        <v>1</v>
      </c>
    </row>
    <row r="870" spans="1:22" x14ac:dyDescent="0.35">
      <c r="A870">
        <v>10869</v>
      </c>
      <c r="B870" s="1">
        <v>45430</v>
      </c>
      <c r="C870">
        <v>1803</v>
      </c>
      <c r="D870" t="s">
        <v>67</v>
      </c>
      <c r="E870" t="s">
        <v>63</v>
      </c>
      <c r="F870">
        <v>6</v>
      </c>
      <c r="G870" s="2">
        <v>145.18</v>
      </c>
      <c r="H870">
        <v>0.23</v>
      </c>
      <c r="I870" t="s">
        <v>64</v>
      </c>
      <c r="J870">
        <v>4</v>
      </c>
      <c r="K870">
        <v>4.3</v>
      </c>
      <c r="L870" s="2">
        <v>670.73</v>
      </c>
      <c r="M870">
        <v>2024</v>
      </c>
      <c r="N870">
        <v>5</v>
      </c>
      <c r="O870" t="s">
        <v>108</v>
      </c>
      <c r="P870" s="2">
        <v>871.08</v>
      </c>
      <c r="Q870" s="2">
        <v>200.35</v>
      </c>
      <c r="R870" t="s">
        <v>77</v>
      </c>
      <c r="S870">
        <v>0</v>
      </c>
      <c r="T870">
        <v>0</v>
      </c>
      <c r="U870">
        <f>IF(AND(OR(Dashboard!$D$4="Semua",D870=Dashboard!$D$4),OR(Dashboard!$H$4="Semua",E870=Dashboard!$H$4)),1,0)</f>
        <v>1</v>
      </c>
      <c r="V870">
        <f>IF(U870=1,IF(COUNTIFS($C$2:C870,C870,$U$2:U870,1)=1,1,0),0)</f>
        <v>1</v>
      </c>
    </row>
    <row r="871" spans="1:22" x14ac:dyDescent="0.35">
      <c r="A871">
        <v>10870</v>
      </c>
      <c r="B871" s="1">
        <v>45431</v>
      </c>
      <c r="C871">
        <v>1069</v>
      </c>
      <c r="D871" t="s">
        <v>62</v>
      </c>
      <c r="E871" t="s">
        <v>74</v>
      </c>
      <c r="F871">
        <v>5</v>
      </c>
      <c r="G871" s="2">
        <v>429.84</v>
      </c>
      <c r="H871">
        <v>0.05</v>
      </c>
      <c r="I871" t="s">
        <v>71</v>
      </c>
      <c r="J871">
        <v>7</v>
      </c>
      <c r="K871">
        <v>1.9</v>
      </c>
      <c r="L871" s="2">
        <v>2041.74</v>
      </c>
      <c r="M871">
        <v>2024</v>
      </c>
      <c r="N871">
        <v>5</v>
      </c>
      <c r="O871" t="s">
        <v>108</v>
      </c>
      <c r="P871" s="2">
        <v>2149.1999999999998</v>
      </c>
      <c r="Q871" s="2">
        <v>107.46</v>
      </c>
      <c r="R871" t="s">
        <v>75</v>
      </c>
      <c r="S871">
        <v>0</v>
      </c>
      <c r="T871">
        <v>0</v>
      </c>
      <c r="U871">
        <f>IF(AND(OR(Dashboard!$D$4="Semua",D871=Dashboard!$D$4),OR(Dashboard!$H$4="Semua",E871=Dashboard!$H$4)),1,0)</f>
        <v>1</v>
      </c>
      <c r="V871">
        <f>IF(U871=1,IF(COUNTIFS($C$2:C871,C871,$U$2:U871,1)=1,1,0),0)</f>
        <v>1</v>
      </c>
    </row>
    <row r="872" spans="1:22" x14ac:dyDescent="0.35">
      <c r="A872">
        <v>10871</v>
      </c>
      <c r="B872" s="1">
        <v>45432</v>
      </c>
      <c r="C872">
        <v>1251</v>
      </c>
      <c r="D872" t="s">
        <v>62</v>
      </c>
      <c r="E872" t="s">
        <v>78</v>
      </c>
      <c r="F872">
        <v>1</v>
      </c>
      <c r="G872" s="2">
        <v>64.58</v>
      </c>
      <c r="H872">
        <v>0.33</v>
      </c>
      <c r="I872" t="s">
        <v>71</v>
      </c>
      <c r="J872">
        <v>6</v>
      </c>
      <c r="K872">
        <v>3.1</v>
      </c>
      <c r="L872" s="2">
        <v>43.27</v>
      </c>
      <c r="M872">
        <v>2024</v>
      </c>
      <c r="N872">
        <v>5</v>
      </c>
      <c r="O872" t="s">
        <v>108</v>
      </c>
      <c r="P872" s="2">
        <v>64.58</v>
      </c>
      <c r="Q872" s="2">
        <v>21.31</v>
      </c>
      <c r="R872" t="s">
        <v>72</v>
      </c>
      <c r="S872">
        <v>0</v>
      </c>
      <c r="T872">
        <v>0</v>
      </c>
      <c r="U872">
        <f>IF(AND(OR(Dashboard!$D$4="Semua",D872=Dashboard!$D$4),OR(Dashboard!$H$4="Semua",E872=Dashboard!$H$4)),1,0)</f>
        <v>1</v>
      </c>
      <c r="V872">
        <f>IF(U872=1,IF(COUNTIFS($C$2:C872,C872,$U$2:U872,1)=1,1,0),0)</f>
        <v>0</v>
      </c>
    </row>
    <row r="873" spans="1:22" x14ac:dyDescent="0.35">
      <c r="A873">
        <v>10872</v>
      </c>
      <c r="B873" s="1">
        <v>45433</v>
      </c>
      <c r="C873">
        <v>1414</v>
      </c>
      <c r="D873" t="s">
        <v>73</v>
      </c>
      <c r="E873" t="s">
        <v>70</v>
      </c>
      <c r="F873">
        <v>1</v>
      </c>
      <c r="G873" s="2">
        <v>448.84</v>
      </c>
      <c r="H873">
        <v>0.35</v>
      </c>
      <c r="I873" t="s">
        <v>68</v>
      </c>
      <c r="J873">
        <v>7</v>
      </c>
      <c r="K873">
        <v>3.7</v>
      </c>
      <c r="L873" s="2">
        <v>291.75</v>
      </c>
      <c r="M873">
        <v>2024</v>
      </c>
      <c r="N873">
        <v>5</v>
      </c>
      <c r="O873" t="s">
        <v>108</v>
      </c>
      <c r="P873" s="2">
        <v>448.84</v>
      </c>
      <c r="Q873" s="2">
        <v>157.09</v>
      </c>
      <c r="R873" t="s">
        <v>72</v>
      </c>
      <c r="S873">
        <v>0</v>
      </c>
      <c r="T873">
        <v>0</v>
      </c>
      <c r="U873">
        <f>IF(AND(OR(Dashboard!$D$4="Semua",D873=Dashboard!$D$4),OR(Dashboard!$H$4="Semua",E873=Dashboard!$H$4)),1,0)</f>
        <v>1</v>
      </c>
      <c r="V873">
        <f>IF(U873=1,IF(COUNTIFS($C$2:C873,C873,$U$2:U873,1)=1,1,0),0)</f>
        <v>0</v>
      </c>
    </row>
    <row r="874" spans="1:22" x14ac:dyDescent="0.35">
      <c r="A874">
        <v>10873</v>
      </c>
      <c r="B874" s="1">
        <v>45434</v>
      </c>
      <c r="C874">
        <v>1786</v>
      </c>
      <c r="D874" t="s">
        <v>67</v>
      </c>
      <c r="E874" t="s">
        <v>74</v>
      </c>
      <c r="F874">
        <v>4</v>
      </c>
      <c r="G874" s="2">
        <v>420.65</v>
      </c>
      <c r="H874">
        <v>0.15</v>
      </c>
      <c r="I874" t="s">
        <v>71</v>
      </c>
      <c r="J874">
        <v>6</v>
      </c>
      <c r="K874">
        <v>1.5</v>
      </c>
      <c r="L874" s="2">
        <v>1430.21</v>
      </c>
      <c r="M874">
        <v>2024</v>
      </c>
      <c r="N874">
        <v>5</v>
      </c>
      <c r="O874" t="s">
        <v>108</v>
      </c>
      <c r="P874" s="2">
        <v>1682.6</v>
      </c>
      <c r="Q874" s="2">
        <v>252.39</v>
      </c>
      <c r="R874" t="s">
        <v>79</v>
      </c>
      <c r="S874">
        <v>0</v>
      </c>
      <c r="T874">
        <v>0</v>
      </c>
      <c r="U874">
        <f>IF(AND(OR(Dashboard!$D$4="Semua",D874=Dashboard!$D$4),OR(Dashboard!$H$4="Semua",E874=Dashboard!$H$4)),1,0)</f>
        <v>1</v>
      </c>
      <c r="V874">
        <f>IF(U874=1,IF(COUNTIFS($C$2:C874,C874,$U$2:U874,1)=1,1,0),0)</f>
        <v>0</v>
      </c>
    </row>
    <row r="875" spans="1:22" x14ac:dyDescent="0.35">
      <c r="A875">
        <v>10874</v>
      </c>
      <c r="B875" s="1">
        <v>45435</v>
      </c>
      <c r="C875">
        <v>1444</v>
      </c>
      <c r="D875" t="s">
        <v>73</v>
      </c>
      <c r="E875" t="s">
        <v>74</v>
      </c>
      <c r="F875">
        <v>1</v>
      </c>
      <c r="G875" s="2">
        <v>161.72</v>
      </c>
      <c r="H875">
        <v>0.21</v>
      </c>
      <c r="I875" t="s">
        <v>68</v>
      </c>
      <c r="J875">
        <v>2</v>
      </c>
      <c r="K875">
        <v>4.7</v>
      </c>
      <c r="L875" s="2">
        <v>127.76</v>
      </c>
      <c r="M875">
        <v>2024</v>
      </c>
      <c r="N875">
        <v>5</v>
      </c>
      <c r="O875" t="s">
        <v>108</v>
      </c>
      <c r="P875" s="2">
        <v>161.72</v>
      </c>
      <c r="Q875" s="2">
        <v>33.96</v>
      </c>
      <c r="R875" t="s">
        <v>77</v>
      </c>
      <c r="S875">
        <v>0</v>
      </c>
      <c r="T875">
        <v>0</v>
      </c>
      <c r="U875">
        <f>IF(AND(OR(Dashboard!$D$4="Semua",D875=Dashboard!$D$4),OR(Dashboard!$H$4="Semua",E875=Dashboard!$H$4)),1,0)</f>
        <v>1</v>
      </c>
      <c r="V875">
        <f>IF(U875=1,IF(COUNTIFS($C$2:C875,C875,$U$2:U875,1)=1,1,0),0)</f>
        <v>0</v>
      </c>
    </row>
    <row r="876" spans="1:22" x14ac:dyDescent="0.35">
      <c r="A876">
        <v>10875</v>
      </c>
      <c r="B876" s="1">
        <v>45436</v>
      </c>
      <c r="C876">
        <v>1875</v>
      </c>
      <c r="D876" t="s">
        <v>62</v>
      </c>
      <c r="E876" t="s">
        <v>74</v>
      </c>
      <c r="F876">
        <v>7</v>
      </c>
      <c r="G876" s="2">
        <v>162.91</v>
      </c>
      <c r="H876">
        <v>0.27</v>
      </c>
      <c r="I876" t="s">
        <v>68</v>
      </c>
      <c r="J876">
        <v>7</v>
      </c>
      <c r="K876">
        <v>2</v>
      </c>
      <c r="L876" s="2">
        <v>832.47</v>
      </c>
      <c r="M876">
        <v>2024</v>
      </c>
      <c r="N876">
        <v>5</v>
      </c>
      <c r="O876" t="s">
        <v>108</v>
      </c>
      <c r="P876" s="2">
        <v>1140.3699999999999</v>
      </c>
      <c r="Q876" s="2">
        <v>307.89999999999998</v>
      </c>
      <c r="R876" t="s">
        <v>66</v>
      </c>
      <c r="S876">
        <v>0</v>
      </c>
      <c r="T876">
        <v>0</v>
      </c>
      <c r="U876">
        <f>IF(AND(OR(Dashboard!$D$4="Semua",D876=Dashboard!$D$4),OR(Dashboard!$H$4="Semua",E876=Dashboard!$H$4)),1,0)</f>
        <v>1</v>
      </c>
      <c r="V876">
        <f>IF(U876=1,IF(COUNTIFS($C$2:C876,C876,$U$2:U876,1)=1,1,0),0)</f>
        <v>0</v>
      </c>
    </row>
    <row r="877" spans="1:22" x14ac:dyDescent="0.35">
      <c r="A877">
        <v>10876</v>
      </c>
      <c r="B877" s="1">
        <v>45437</v>
      </c>
      <c r="C877">
        <v>1181</v>
      </c>
      <c r="D877" t="s">
        <v>62</v>
      </c>
      <c r="E877" t="s">
        <v>74</v>
      </c>
      <c r="F877">
        <v>7</v>
      </c>
      <c r="G877" s="2">
        <v>382.88</v>
      </c>
      <c r="H877">
        <v>0.26</v>
      </c>
      <c r="I877" t="s">
        <v>68</v>
      </c>
      <c r="J877">
        <v>8</v>
      </c>
      <c r="K877">
        <v>2.2999999999999998</v>
      </c>
      <c r="L877" s="2">
        <v>1983.32</v>
      </c>
      <c r="M877">
        <v>2024</v>
      </c>
      <c r="N877">
        <v>5</v>
      </c>
      <c r="O877" t="s">
        <v>108</v>
      </c>
      <c r="P877" s="2">
        <v>2680.16</v>
      </c>
      <c r="Q877" s="2">
        <v>696.84</v>
      </c>
      <c r="R877" t="s">
        <v>66</v>
      </c>
      <c r="S877">
        <v>0</v>
      </c>
      <c r="T877">
        <v>0</v>
      </c>
      <c r="U877">
        <f>IF(AND(OR(Dashboard!$D$4="Semua",D877=Dashboard!$D$4),OR(Dashboard!$H$4="Semua",E877=Dashboard!$H$4)),1,0)</f>
        <v>1</v>
      </c>
      <c r="V877">
        <f>IF(U877=1,IF(COUNTIFS($C$2:C877,C877,$U$2:U877,1)=1,1,0),0)</f>
        <v>1</v>
      </c>
    </row>
    <row r="878" spans="1:22" x14ac:dyDescent="0.35">
      <c r="A878">
        <v>10877</v>
      </c>
      <c r="B878" s="1">
        <v>45438</v>
      </c>
      <c r="C878">
        <v>1166</v>
      </c>
      <c r="D878" t="s">
        <v>67</v>
      </c>
      <c r="E878" t="s">
        <v>78</v>
      </c>
      <c r="F878">
        <v>5</v>
      </c>
      <c r="G878" s="2">
        <v>460.87</v>
      </c>
      <c r="H878">
        <v>0.34</v>
      </c>
      <c r="I878" t="s">
        <v>71</v>
      </c>
      <c r="J878">
        <v>7</v>
      </c>
      <c r="K878">
        <v>3.7</v>
      </c>
      <c r="L878" s="2">
        <v>1520.87</v>
      </c>
      <c r="M878">
        <v>2024</v>
      </c>
      <c r="N878">
        <v>5</v>
      </c>
      <c r="O878" t="s">
        <v>108</v>
      </c>
      <c r="P878" s="2">
        <v>2304.35</v>
      </c>
      <c r="Q878" s="2">
        <v>783.48</v>
      </c>
      <c r="R878" t="s">
        <v>72</v>
      </c>
      <c r="S878">
        <v>0</v>
      </c>
      <c r="T878">
        <v>0</v>
      </c>
      <c r="U878">
        <f>IF(AND(OR(Dashboard!$D$4="Semua",D878=Dashboard!$D$4),OR(Dashboard!$H$4="Semua",E878=Dashboard!$H$4)),1,0)</f>
        <v>1</v>
      </c>
      <c r="V878">
        <f>IF(U878=1,IF(COUNTIFS($C$2:C878,C878,$U$2:U878,1)=1,1,0),0)</f>
        <v>0</v>
      </c>
    </row>
    <row r="879" spans="1:22" x14ac:dyDescent="0.35">
      <c r="A879">
        <v>10878</v>
      </c>
      <c r="B879" s="1">
        <v>45439</v>
      </c>
      <c r="C879">
        <v>1090</v>
      </c>
      <c r="D879" t="s">
        <v>80</v>
      </c>
      <c r="E879" t="s">
        <v>63</v>
      </c>
      <c r="F879">
        <v>6</v>
      </c>
      <c r="G879" s="2">
        <v>527.74</v>
      </c>
      <c r="H879">
        <v>0.04</v>
      </c>
      <c r="I879" t="s">
        <v>68</v>
      </c>
      <c r="J879">
        <v>4</v>
      </c>
      <c r="K879">
        <v>1.3</v>
      </c>
      <c r="L879" s="2">
        <v>3039.78</v>
      </c>
      <c r="M879">
        <v>2024</v>
      </c>
      <c r="N879">
        <v>5</v>
      </c>
      <c r="O879" t="s">
        <v>108</v>
      </c>
      <c r="P879" s="2">
        <v>3166.44</v>
      </c>
      <c r="Q879" s="2">
        <v>126.66</v>
      </c>
      <c r="R879" t="s">
        <v>75</v>
      </c>
      <c r="S879">
        <v>0</v>
      </c>
      <c r="T879">
        <v>0</v>
      </c>
      <c r="U879">
        <f>IF(AND(OR(Dashboard!$D$4="Semua",D879=Dashboard!$D$4),OR(Dashboard!$H$4="Semua",E879=Dashboard!$H$4)),1,0)</f>
        <v>1</v>
      </c>
      <c r="V879">
        <f>IF(U879=1,IF(COUNTIFS($C$2:C879,C879,$U$2:U879,1)=1,1,0),0)</f>
        <v>1</v>
      </c>
    </row>
    <row r="880" spans="1:22" x14ac:dyDescent="0.35">
      <c r="A880">
        <v>10879</v>
      </c>
      <c r="B880" s="1">
        <v>45440</v>
      </c>
      <c r="C880">
        <v>1713</v>
      </c>
      <c r="D880" t="s">
        <v>80</v>
      </c>
      <c r="E880" t="s">
        <v>74</v>
      </c>
      <c r="F880">
        <v>2</v>
      </c>
      <c r="G880" s="2">
        <v>513.5</v>
      </c>
      <c r="H880">
        <v>0.2</v>
      </c>
      <c r="I880" t="s">
        <v>64</v>
      </c>
      <c r="J880">
        <v>4</v>
      </c>
      <c r="K880">
        <v>3.5</v>
      </c>
      <c r="L880" s="2">
        <v>821.6</v>
      </c>
      <c r="M880">
        <v>2024</v>
      </c>
      <c r="N880">
        <v>5</v>
      </c>
      <c r="O880" t="s">
        <v>108</v>
      </c>
      <c r="P880" s="2">
        <v>1027</v>
      </c>
      <c r="Q880" s="2">
        <v>205.4</v>
      </c>
      <c r="R880" t="s">
        <v>76</v>
      </c>
      <c r="S880">
        <v>0</v>
      </c>
      <c r="T880">
        <v>0</v>
      </c>
      <c r="U880">
        <f>IF(AND(OR(Dashboard!$D$4="Semua",D880=Dashboard!$D$4),OR(Dashboard!$H$4="Semua",E880=Dashboard!$H$4)),1,0)</f>
        <v>1</v>
      </c>
      <c r="V880">
        <f>IF(U880=1,IF(COUNTIFS($C$2:C880,C880,$U$2:U880,1)=1,1,0),0)</f>
        <v>1</v>
      </c>
    </row>
    <row r="881" spans="1:22" x14ac:dyDescent="0.35">
      <c r="A881">
        <v>10880</v>
      </c>
      <c r="B881" s="1">
        <v>45441</v>
      </c>
      <c r="C881">
        <v>1857</v>
      </c>
      <c r="D881" t="s">
        <v>67</v>
      </c>
      <c r="E881" t="s">
        <v>70</v>
      </c>
      <c r="F881">
        <v>2</v>
      </c>
      <c r="G881" s="2">
        <v>579.46</v>
      </c>
      <c r="H881">
        <v>0.24</v>
      </c>
      <c r="I881" t="s">
        <v>68</v>
      </c>
      <c r="J881">
        <v>5</v>
      </c>
      <c r="K881">
        <v>4.7</v>
      </c>
      <c r="L881" s="2">
        <v>880.78</v>
      </c>
      <c r="M881">
        <v>2024</v>
      </c>
      <c r="N881">
        <v>5</v>
      </c>
      <c r="O881" t="s">
        <v>108</v>
      </c>
      <c r="P881" s="2">
        <v>1158.92</v>
      </c>
      <c r="Q881" s="2">
        <v>278.14</v>
      </c>
      <c r="R881" t="s">
        <v>77</v>
      </c>
      <c r="S881">
        <v>0</v>
      </c>
      <c r="T881">
        <v>0</v>
      </c>
      <c r="U881">
        <f>IF(AND(OR(Dashboard!$D$4="Semua",D881=Dashboard!$D$4),OR(Dashboard!$H$4="Semua",E881=Dashboard!$H$4)),1,0)</f>
        <v>1</v>
      </c>
      <c r="V881">
        <f>IF(U881=1,IF(COUNTIFS($C$2:C881,C881,$U$2:U881,1)=1,1,0),0)</f>
        <v>0</v>
      </c>
    </row>
    <row r="882" spans="1:22" x14ac:dyDescent="0.35">
      <c r="A882">
        <v>10881</v>
      </c>
      <c r="B882" s="1">
        <v>45442</v>
      </c>
      <c r="C882">
        <v>1530</v>
      </c>
      <c r="D882" t="s">
        <v>73</v>
      </c>
      <c r="E882" t="s">
        <v>70</v>
      </c>
      <c r="F882">
        <v>6</v>
      </c>
      <c r="G882" s="2">
        <v>355.11</v>
      </c>
      <c r="H882">
        <v>0.31</v>
      </c>
      <c r="I882" t="s">
        <v>68</v>
      </c>
      <c r="J882">
        <v>9</v>
      </c>
      <c r="K882">
        <v>2</v>
      </c>
      <c r="L882" s="2">
        <v>1470.16</v>
      </c>
      <c r="M882">
        <v>2024</v>
      </c>
      <c r="N882">
        <v>5</v>
      </c>
      <c r="O882" t="s">
        <v>108</v>
      </c>
      <c r="P882" s="2">
        <v>2130.66</v>
      </c>
      <c r="Q882" s="2">
        <v>660.5</v>
      </c>
      <c r="R882" t="s">
        <v>72</v>
      </c>
      <c r="S882">
        <v>0</v>
      </c>
      <c r="T882">
        <v>0</v>
      </c>
      <c r="U882">
        <f>IF(AND(OR(Dashboard!$D$4="Semua",D882=Dashboard!$D$4),OR(Dashboard!$H$4="Semua",E882=Dashboard!$H$4)),1,0)</f>
        <v>1</v>
      </c>
      <c r="V882">
        <f>IF(U882=1,IF(COUNTIFS($C$2:C882,C882,$U$2:U882,1)=1,1,0),0)</f>
        <v>1</v>
      </c>
    </row>
    <row r="883" spans="1:22" x14ac:dyDescent="0.35">
      <c r="A883">
        <v>10882</v>
      </c>
      <c r="B883" s="1">
        <v>45443</v>
      </c>
      <c r="C883">
        <v>1038</v>
      </c>
      <c r="D883" t="s">
        <v>67</v>
      </c>
      <c r="E883" t="s">
        <v>63</v>
      </c>
      <c r="F883">
        <v>3</v>
      </c>
      <c r="G883" s="2">
        <v>546.55999999999995</v>
      </c>
      <c r="H883">
        <v>0.31</v>
      </c>
      <c r="I883" t="s">
        <v>71</v>
      </c>
      <c r="J883">
        <v>5</v>
      </c>
      <c r="K883">
        <v>2.4</v>
      </c>
      <c r="L883" s="2">
        <v>1131.3800000000001</v>
      </c>
      <c r="M883">
        <v>2024</v>
      </c>
      <c r="N883">
        <v>5</v>
      </c>
      <c r="O883" t="s">
        <v>108</v>
      </c>
      <c r="P883" s="2">
        <v>1639.68</v>
      </c>
      <c r="Q883" s="2">
        <v>508.3</v>
      </c>
      <c r="R883" t="s">
        <v>72</v>
      </c>
      <c r="S883">
        <v>0</v>
      </c>
      <c r="T883">
        <v>0</v>
      </c>
      <c r="U883">
        <f>IF(AND(OR(Dashboard!$D$4="Semua",D883=Dashboard!$D$4),OR(Dashboard!$H$4="Semua",E883=Dashboard!$H$4)),1,0)</f>
        <v>1</v>
      </c>
      <c r="V883">
        <f>IF(U883=1,IF(COUNTIFS($C$2:C883,C883,$U$2:U883,1)=1,1,0),0)</f>
        <v>0</v>
      </c>
    </row>
    <row r="884" spans="1:22" x14ac:dyDescent="0.35">
      <c r="A884">
        <v>10883</v>
      </c>
      <c r="B884" s="1">
        <v>45444</v>
      </c>
      <c r="C884">
        <v>1125</v>
      </c>
      <c r="D884" t="s">
        <v>80</v>
      </c>
      <c r="E884" t="s">
        <v>78</v>
      </c>
      <c r="F884">
        <v>6</v>
      </c>
      <c r="G884" s="2">
        <v>487.98</v>
      </c>
      <c r="H884">
        <v>0.34</v>
      </c>
      <c r="I884" t="s">
        <v>71</v>
      </c>
      <c r="J884">
        <v>2</v>
      </c>
      <c r="K884">
        <v>1.9</v>
      </c>
      <c r="L884" s="2">
        <v>1932.4</v>
      </c>
      <c r="M884">
        <v>2024</v>
      </c>
      <c r="N884">
        <v>6</v>
      </c>
      <c r="O884" t="s">
        <v>109</v>
      </c>
      <c r="P884" s="2">
        <v>2927.88</v>
      </c>
      <c r="Q884" s="2">
        <v>995.48</v>
      </c>
      <c r="R884" t="s">
        <v>72</v>
      </c>
      <c r="S884">
        <v>0</v>
      </c>
      <c r="T884">
        <v>0</v>
      </c>
      <c r="U884">
        <f>IF(AND(OR(Dashboard!$D$4="Semua",D884=Dashboard!$D$4),OR(Dashboard!$H$4="Semua",E884=Dashboard!$H$4)),1,0)</f>
        <v>1</v>
      </c>
      <c r="V884">
        <f>IF(U884=1,IF(COUNTIFS($C$2:C884,C884,$U$2:U884,1)=1,1,0),0)</f>
        <v>1</v>
      </c>
    </row>
    <row r="885" spans="1:22" x14ac:dyDescent="0.35">
      <c r="A885">
        <v>10884</v>
      </c>
      <c r="B885" s="1">
        <v>45445</v>
      </c>
      <c r="C885">
        <v>1450</v>
      </c>
      <c r="D885" t="s">
        <v>80</v>
      </c>
      <c r="E885" t="s">
        <v>63</v>
      </c>
      <c r="F885">
        <v>2</v>
      </c>
      <c r="G885" s="2">
        <v>538.38</v>
      </c>
      <c r="H885">
        <v>0.18</v>
      </c>
      <c r="I885" t="s">
        <v>68</v>
      </c>
      <c r="J885">
        <v>5</v>
      </c>
      <c r="K885">
        <v>4.3</v>
      </c>
      <c r="L885" s="2">
        <v>882.94</v>
      </c>
      <c r="M885">
        <v>2024</v>
      </c>
      <c r="N885">
        <v>6</v>
      </c>
      <c r="O885" t="s">
        <v>109</v>
      </c>
      <c r="P885" s="2">
        <v>1076.76</v>
      </c>
      <c r="Q885" s="2">
        <v>193.82</v>
      </c>
      <c r="R885" t="s">
        <v>76</v>
      </c>
      <c r="S885">
        <v>0</v>
      </c>
      <c r="T885">
        <v>0</v>
      </c>
      <c r="U885">
        <f>IF(AND(OR(Dashboard!$D$4="Semua",D885=Dashboard!$D$4),OR(Dashboard!$H$4="Semua",E885=Dashboard!$H$4)),1,0)</f>
        <v>1</v>
      </c>
      <c r="V885">
        <f>IF(U885=1,IF(COUNTIFS($C$2:C885,C885,$U$2:U885,1)=1,1,0),0)</f>
        <v>1</v>
      </c>
    </row>
    <row r="886" spans="1:22" x14ac:dyDescent="0.35">
      <c r="A886">
        <v>10885</v>
      </c>
      <c r="B886" s="1">
        <v>45446</v>
      </c>
      <c r="C886">
        <v>1172</v>
      </c>
      <c r="D886" t="s">
        <v>67</v>
      </c>
      <c r="E886" t="s">
        <v>74</v>
      </c>
      <c r="F886">
        <v>4</v>
      </c>
      <c r="G886" s="2">
        <v>21.8</v>
      </c>
      <c r="H886">
        <v>0.28999999999999998</v>
      </c>
      <c r="I886" t="s">
        <v>68</v>
      </c>
      <c r="J886">
        <v>3</v>
      </c>
      <c r="K886">
        <v>1.7</v>
      </c>
      <c r="L886" s="2">
        <v>61.91</v>
      </c>
      <c r="M886">
        <v>2024</v>
      </c>
      <c r="N886">
        <v>6</v>
      </c>
      <c r="O886" t="s">
        <v>109</v>
      </c>
      <c r="P886" s="2">
        <v>87.2</v>
      </c>
      <c r="Q886" s="2">
        <v>25.29</v>
      </c>
      <c r="R886" t="s">
        <v>66</v>
      </c>
      <c r="S886">
        <v>0</v>
      </c>
      <c r="T886">
        <v>0</v>
      </c>
      <c r="U886">
        <f>IF(AND(OR(Dashboard!$D$4="Semua",D886=Dashboard!$D$4),OR(Dashboard!$H$4="Semua",E886=Dashboard!$H$4)),1,0)</f>
        <v>1</v>
      </c>
      <c r="V886">
        <f>IF(U886=1,IF(COUNTIFS($C$2:C886,C886,$U$2:U886,1)=1,1,0),0)</f>
        <v>1</v>
      </c>
    </row>
    <row r="887" spans="1:22" x14ac:dyDescent="0.35">
      <c r="A887">
        <v>10886</v>
      </c>
      <c r="B887" s="1">
        <v>45447</v>
      </c>
      <c r="C887">
        <v>1652</v>
      </c>
      <c r="D887" t="s">
        <v>62</v>
      </c>
      <c r="E887" t="s">
        <v>78</v>
      </c>
      <c r="F887">
        <v>5</v>
      </c>
      <c r="G887" s="2">
        <v>580.04999999999995</v>
      </c>
      <c r="H887">
        <v>0.15</v>
      </c>
      <c r="I887" t="s">
        <v>68</v>
      </c>
      <c r="J887">
        <v>10</v>
      </c>
      <c r="K887">
        <v>2.4</v>
      </c>
      <c r="L887" s="2">
        <v>2465.21</v>
      </c>
      <c r="M887">
        <v>2024</v>
      </c>
      <c r="N887">
        <v>6</v>
      </c>
      <c r="O887" t="s">
        <v>109</v>
      </c>
      <c r="P887" s="2">
        <v>2900.25</v>
      </c>
      <c r="Q887" s="2">
        <v>435.04</v>
      </c>
      <c r="R887" t="s">
        <v>79</v>
      </c>
      <c r="S887">
        <v>0</v>
      </c>
      <c r="T887">
        <v>0</v>
      </c>
      <c r="U887">
        <f>IF(AND(OR(Dashboard!$D$4="Semua",D887=Dashboard!$D$4),OR(Dashboard!$H$4="Semua",E887=Dashboard!$H$4)),1,0)</f>
        <v>1</v>
      </c>
      <c r="V887">
        <f>IF(U887=1,IF(COUNTIFS($C$2:C887,C887,$U$2:U887,1)=1,1,0),0)</f>
        <v>0</v>
      </c>
    </row>
    <row r="888" spans="1:22" x14ac:dyDescent="0.35">
      <c r="A888">
        <v>10887</v>
      </c>
      <c r="B888" s="1">
        <v>45448</v>
      </c>
      <c r="C888">
        <v>1753</v>
      </c>
      <c r="D888" t="s">
        <v>73</v>
      </c>
      <c r="E888" t="s">
        <v>78</v>
      </c>
      <c r="F888">
        <v>6</v>
      </c>
      <c r="G888" s="2">
        <v>292.02</v>
      </c>
      <c r="H888">
        <v>0.15</v>
      </c>
      <c r="I888" t="s">
        <v>71</v>
      </c>
      <c r="J888">
        <v>8</v>
      </c>
      <c r="K888">
        <v>3.4</v>
      </c>
      <c r="L888" s="2">
        <v>1489.3</v>
      </c>
      <c r="M888">
        <v>2024</v>
      </c>
      <c r="N888">
        <v>6</v>
      </c>
      <c r="O888" t="s">
        <v>109</v>
      </c>
      <c r="P888" s="2">
        <v>1752.12</v>
      </c>
      <c r="Q888" s="2">
        <v>262.82</v>
      </c>
      <c r="R888" t="s">
        <v>79</v>
      </c>
      <c r="S888">
        <v>0</v>
      </c>
      <c r="T888">
        <v>0</v>
      </c>
      <c r="U888">
        <f>IF(AND(OR(Dashboard!$D$4="Semua",D888=Dashboard!$D$4),OR(Dashboard!$H$4="Semua",E888=Dashboard!$H$4)),1,0)</f>
        <v>1</v>
      </c>
      <c r="V888">
        <f>IF(U888=1,IF(COUNTIFS($C$2:C888,C888,$U$2:U888,1)=1,1,0),0)</f>
        <v>0</v>
      </c>
    </row>
    <row r="889" spans="1:22" x14ac:dyDescent="0.35">
      <c r="A889">
        <v>10888</v>
      </c>
      <c r="B889" s="1">
        <v>45449</v>
      </c>
      <c r="C889">
        <v>1219</v>
      </c>
      <c r="D889" t="s">
        <v>67</v>
      </c>
      <c r="E889" t="s">
        <v>74</v>
      </c>
      <c r="F889">
        <v>3</v>
      </c>
      <c r="G889" s="2">
        <v>481.94</v>
      </c>
      <c r="H889">
        <v>0.09</v>
      </c>
      <c r="I889" t="s">
        <v>68</v>
      </c>
      <c r="J889">
        <v>10</v>
      </c>
      <c r="K889">
        <v>2.6</v>
      </c>
      <c r="L889" s="2">
        <v>1315.7</v>
      </c>
      <c r="M889">
        <v>2024</v>
      </c>
      <c r="N889">
        <v>6</v>
      </c>
      <c r="O889" t="s">
        <v>109</v>
      </c>
      <c r="P889" s="2">
        <v>1445.82</v>
      </c>
      <c r="Q889" s="2">
        <v>130.12</v>
      </c>
      <c r="R889" t="s">
        <v>69</v>
      </c>
      <c r="S889">
        <v>0</v>
      </c>
      <c r="T889">
        <v>0</v>
      </c>
      <c r="U889">
        <f>IF(AND(OR(Dashboard!$D$4="Semua",D889=Dashboard!$D$4),OR(Dashboard!$H$4="Semua",E889=Dashboard!$H$4)),1,0)</f>
        <v>1</v>
      </c>
      <c r="V889">
        <f>IF(U889=1,IF(COUNTIFS($C$2:C889,C889,$U$2:U889,1)=1,1,0),0)</f>
        <v>0</v>
      </c>
    </row>
    <row r="890" spans="1:22" x14ac:dyDescent="0.35">
      <c r="A890">
        <v>10889</v>
      </c>
      <c r="B890" s="1">
        <v>45450</v>
      </c>
      <c r="C890">
        <v>1637</v>
      </c>
      <c r="D890" t="s">
        <v>80</v>
      </c>
      <c r="E890" t="s">
        <v>70</v>
      </c>
      <c r="F890">
        <v>4</v>
      </c>
      <c r="G890" s="2">
        <v>89.41</v>
      </c>
      <c r="H890">
        <v>0.28999999999999998</v>
      </c>
      <c r="I890" t="s">
        <v>71</v>
      </c>
      <c r="J890">
        <v>10</v>
      </c>
      <c r="K890">
        <v>1.3</v>
      </c>
      <c r="L890" s="2">
        <v>253.92</v>
      </c>
      <c r="M890">
        <v>2024</v>
      </c>
      <c r="N890">
        <v>6</v>
      </c>
      <c r="O890" t="s">
        <v>109</v>
      </c>
      <c r="P890" s="2">
        <v>357.64</v>
      </c>
      <c r="Q890" s="2">
        <v>103.72</v>
      </c>
      <c r="R890" t="s">
        <v>66</v>
      </c>
      <c r="S890">
        <v>0</v>
      </c>
      <c r="T890">
        <v>0</v>
      </c>
      <c r="U890">
        <f>IF(AND(OR(Dashboard!$D$4="Semua",D890=Dashboard!$D$4),OR(Dashboard!$H$4="Semua",E890=Dashboard!$H$4)),1,0)</f>
        <v>1</v>
      </c>
      <c r="V890">
        <f>IF(U890=1,IF(COUNTIFS($C$2:C890,C890,$U$2:U890,1)=1,1,0),0)</f>
        <v>0</v>
      </c>
    </row>
    <row r="891" spans="1:22" x14ac:dyDescent="0.35">
      <c r="A891">
        <v>10890</v>
      </c>
      <c r="B891" s="1">
        <v>45451</v>
      </c>
      <c r="C891">
        <v>1057</v>
      </c>
      <c r="D891" t="s">
        <v>80</v>
      </c>
      <c r="E891" t="s">
        <v>74</v>
      </c>
      <c r="F891">
        <v>6</v>
      </c>
      <c r="G891" s="2">
        <v>246.63</v>
      </c>
      <c r="H891">
        <v>0.35</v>
      </c>
      <c r="I891" t="s">
        <v>71</v>
      </c>
      <c r="J891">
        <v>2</v>
      </c>
      <c r="K891">
        <v>4.8</v>
      </c>
      <c r="L891" s="2">
        <v>961.86</v>
      </c>
      <c r="M891">
        <v>2024</v>
      </c>
      <c r="N891">
        <v>6</v>
      </c>
      <c r="O891" t="s">
        <v>109</v>
      </c>
      <c r="P891" s="2">
        <v>1479.78</v>
      </c>
      <c r="Q891" s="2">
        <v>517.91999999999996</v>
      </c>
      <c r="R891" t="s">
        <v>72</v>
      </c>
      <c r="S891">
        <v>0</v>
      </c>
      <c r="T891">
        <v>0</v>
      </c>
      <c r="U891">
        <f>IF(AND(OR(Dashboard!$D$4="Semua",D891=Dashboard!$D$4),OR(Dashboard!$H$4="Semua",E891=Dashboard!$H$4)),1,0)</f>
        <v>1</v>
      </c>
      <c r="V891">
        <f>IF(U891=1,IF(COUNTIFS($C$2:C891,C891,$U$2:U891,1)=1,1,0),0)</f>
        <v>0</v>
      </c>
    </row>
    <row r="892" spans="1:22" x14ac:dyDescent="0.35">
      <c r="A892">
        <v>10891</v>
      </c>
      <c r="B892" s="1">
        <v>45452</v>
      </c>
      <c r="C892">
        <v>1659</v>
      </c>
      <c r="D892" t="s">
        <v>67</v>
      </c>
      <c r="E892" t="s">
        <v>63</v>
      </c>
      <c r="F892">
        <v>4</v>
      </c>
      <c r="G892" s="2">
        <v>173.8</v>
      </c>
      <c r="H892">
        <v>0.09</v>
      </c>
      <c r="I892" t="s">
        <v>68</v>
      </c>
      <c r="J892">
        <v>11</v>
      </c>
      <c r="K892">
        <v>2.4</v>
      </c>
      <c r="L892" s="2">
        <v>632.63</v>
      </c>
      <c r="M892">
        <v>2024</v>
      </c>
      <c r="N892">
        <v>6</v>
      </c>
      <c r="O892" t="s">
        <v>109</v>
      </c>
      <c r="P892" s="2">
        <v>695.2</v>
      </c>
      <c r="Q892" s="2">
        <v>62.57</v>
      </c>
      <c r="R892" t="s">
        <v>69</v>
      </c>
      <c r="S892">
        <v>0</v>
      </c>
      <c r="T892">
        <v>0</v>
      </c>
      <c r="U892">
        <f>IF(AND(OR(Dashboard!$D$4="Semua",D892=Dashboard!$D$4),OR(Dashboard!$H$4="Semua",E892=Dashboard!$H$4)),1,0)</f>
        <v>1</v>
      </c>
      <c r="V892">
        <f>IF(U892=1,IF(COUNTIFS($C$2:C892,C892,$U$2:U892,1)=1,1,0),0)</f>
        <v>0</v>
      </c>
    </row>
    <row r="893" spans="1:22" x14ac:dyDescent="0.35">
      <c r="A893">
        <v>10892</v>
      </c>
      <c r="B893" s="1">
        <v>45453</v>
      </c>
      <c r="C893">
        <v>1475</v>
      </c>
      <c r="D893" t="s">
        <v>73</v>
      </c>
      <c r="E893" t="s">
        <v>74</v>
      </c>
      <c r="F893">
        <v>6</v>
      </c>
      <c r="G893" s="2">
        <v>185.62</v>
      </c>
      <c r="H893">
        <v>0.02</v>
      </c>
      <c r="I893" t="s">
        <v>68</v>
      </c>
      <c r="J893">
        <v>4</v>
      </c>
      <c r="K893">
        <v>2.8</v>
      </c>
      <c r="L893" s="2">
        <v>1091.45</v>
      </c>
      <c r="M893">
        <v>2024</v>
      </c>
      <c r="N893">
        <v>6</v>
      </c>
      <c r="O893" t="s">
        <v>109</v>
      </c>
      <c r="P893" s="2">
        <v>1113.72</v>
      </c>
      <c r="Q893" s="2">
        <v>22.27</v>
      </c>
      <c r="R893" t="s">
        <v>75</v>
      </c>
      <c r="S893">
        <v>0</v>
      </c>
      <c r="T893">
        <v>0</v>
      </c>
      <c r="U893">
        <f>IF(AND(OR(Dashboard!$D$4="Semua",D893=Dashboard!$D$4),OR(Dashboard!$H$4="Semua",E893=Dashboard!$H$4)),1,0)</f>
        <v>1</v>
      </c>
      <c r="V893">
        <f>IF(U893=1,IF(COUNTIFS($C$2:C893,C893,$U$2:U893,1)=1,1,0),0)</f>
        <v>0</v>
      </c>
    </row>
    <row r="894" spans="1:22" x14ac:dyDescent="0.35">
      <c r="A894">
        <v>10893</v>
      </c>
      <c r="B894" s="1">
        <v>45454</v>
      </c>
      <c r="C894">
        <v>1455</v>
      </c>
      <c r="D894" t="s">
        <v>73</v>
      </c>
      <c r="E894" t="s">
        <v>70</v>
      </c>
      <c r="F894">
        <v>4</v>
      </c>
      <c r="G894" s="2">
        <v>87.1</v>
      </c>
      <c r="H894">
        <v>0.28999999999999998</v>
      </c>
      <c r="I894" t="s">
        <v>68</v>
      </c>
      <c r="J894">
        <v>5</v>
      </c>
      <c r="K894">
        <v>1.7</v>
      </c>
      <c r="L894" s="2">
        <v>247.36</v>
      </c>
      <c r="M894">
        <v>2024</v>
      </c>
      <c r="N894">
        <v>6</v>
      </c>
      <c r="O894" t="s">
        <v>109</v>
      </c>
      <c r="P894" s="2">
        <v>348.4</v>
      </c>
      <c r="Q894" s="2">
        <v>101.04</v>
      </c>
      <c r="R894" t="s">
        <v>66</v>
      </c>
      <c r="S894">
        <v>0</v>
      </c>
      <c r="T894">
        <v>0</v>
      </c>
      <c r="U894">
        <f>IF(AND(OR(Dashboard!$D$4="Semua",D894=Dashboard!$D$4),OR(Dashboard!$H$4="Semua",E894=Dashboard!$H$4)),1,0)</f>
        <v>1</v>
      </c>
      <c r="V894">
        <f>IF(U894=1,IF(COUNTIFS($C$2:C894,C894,$U$2:U894,1)=1,1,0),0)</f>
        <v>0</v>
      </c>
    </row>
    <row r="895" spans="1:22" x14ac:dyDescent="0.35">
      <c r="A895">
        <v>10894</v>
      </c>
      <c r="B895" s="1">
        <v>45455</v>
      </c>
      <c r="C895">
        <v>1828</v>
      </c>
      <c r="D895" t="s">
        <v>67</v>
      </c>
      <c r="E895" t="s">
        <v>74</v>
      </c>
      <c r="F895">
        <v>7</v>
      </c>
      <c r="G895" s="2">
        <v>486.37</v>
      </c>
      <c r="H895">
        <v>0.22</v>
      </c>
      <c r="I895" t="s">
        <v>68</v>
      </c>
      <c r="J895">
        <v>4</v>
      </c>
      <c r="K895">
        <v>4.5</v>
      </c>
      <c r="L895" s="2">
        <v>2655.58</v>
      </c>
      <c r="M895">
        <v>2024</v>
      </c>
      <c r="N895">
        <v>6</v>
      </c>
      <c r="O895" t="s">
        <v>109</v>
      </c>
      <c r="P895" s="2">
        <v>3404.59</v>
      </c>
      <c r="Q895" s="2">
        <v>749.01</v>
      </c>
      <c r="R895" t="s">
        <v>77</v>
      </c>
      <c r="S895">
        <v>0</v>
      </c>
      <c r="T895">
        <v>0</v>
      </c>
      <c r="U895">
        <f>IF(AND(OR(Dashboard!$D$4="Semua",D895=Dashboard!$D$4),OR(Dashboard!$H$4="Semua",E895=Dashboard!$H$4)),1,0)</f>
        <v>1</v>
      </c>
      <c r="V895">
        <f>IF(U895=1,IF(COUNTIFS($C$2:C895,C895,$U$2:U895,1)=1,1,0),0)</f>
        <v>0</v>
      </c>
    </row>
    <row r="896" spans="1:22" x14ac:dyDescent="0.35">
      <c r="A896">
        <v>10895</v>
      </c>
      <c r="B896" s="1">
        <v>45456</v>
      </c>
      <c r="C896">
        <v>1894</v>
      </c>
      <c r="D896" t="s">
        <v>67</v>
      </c>
      <c r="E896" t="s">
        <v>63</v>
      </c>
      <c r="F896">
        <v>1</v>
      </c>
      <c r="G896" s="2">
        <v>20.41</v>
      </c>
      <c r="H896">
        <v>0.34</v>
      </c>
      <c r="I896" t="s">
        <v>71</v>
      </c>
      <c r="J896">
        <v>5</v>
      </c>
      <c r="K896">
        <v>2.2000000000000002</v>
      </c>
      <c r="L896" s="2">
        <v>13.47</v>
      </c>
      <c r="M896">
        <v>2024</v>
      </c>
      <c r="N896">
        <v>6</v>
      </c>
      <c r="O896" t="s">
        <v>109</v>
      </c>
      <c r="P896" s="2">
        <v>20.41</v>
      </c>
      <c r="Q896" s="2">
        <v>6.94</v>
      </c>
      <c r="R896" t="s">
        <v>72</v>
      </c>
      <c r="S896">
        <v>0</v>
      </c>
      <c r="T896">
        <v>0</v>
      </c>
      <c r="U896">
        <f>IF(AND(OR(Dashboard!$D$4="Semua",D896=Dashboard!$D$4),OR(Dashboard!$H$4="Semua",E896=Dashboard!$H$4)),1,0)</f>
        <v>1</v>
      </c>
      <c r="V896">
        <f>IF(U896=1,IF(COUNTIFS($C$2:C896,C896,$U$2:U896,1)=1,1,0),0)</f>
        <v>1</v>
      </c>
    </row>
    <row r="897" spans="1:22" x14ac:dyDescent="0.35">
      <c r="A897">
        <v>10896</v>
      </c>
      <c r="B897" s="1">
        <v>45457</v>
      </c>
      <c r="C897">
        <v>1360</v>
      </c>
      <c r="D897" t="s">
        <v>73</v>
      </c>
      <c r="E897" t="s">
        <v>63</v>
      </c>
      <c r="F897">
        <v>4</v>
      </c>
      <c r="G897" s="2">
        <v>197.82</v>
      </c>
      <c r="H897">
        <v>0.09</v>
      </c>
      <c r="I897" t="s">
        <v>71</v>
      </c>
      <c r="J897">
        <v>10</v>
      </c>
      <c r="K897">
        <v>1.1000000000000001</v>
      </c>
      <c r="L897" s="2">
        <v>720.06</v>
      </c>
      <c r="M897">
        <v>2024</v>
      </c>
      <c r="N897">
        <v>6</v>
      </c>
      <c r="O897" t="s">
        <v>109</v>
      </c>
      <c r="P897" s="2">
        <v>791.28</v>
      </c>
      <c r="Q897" s="2">
        <v>71.22</v>
      </c>
      <c r="R897" t="s">
        <v>69</v>
      </c>
      <c r="S897">
        <v>0</v>
      </c>
      <c r="T897">
        <v>0</v>
      </c>
      <c r="U897">
        <f>IF(AND(OR(Dashboard!$D$4="Semua",D897=Dashboard!$D$4),OR(Dashboard!$H$4="Semua",E897=Dashboard!$H$4)),1,0)</f>
        <v>1</v>
      </c>
      <c r="V897">
        <f>IF(U897=1,IF(COUNTIFS($C$2:C897,C897,$U$2:U897,1)=1,1,0),0)</f>
        <v>1</v>
      </c>
    </row>
    <row r="898" spans="1:22" x14ac:dyDescent="0.35">
      <c r="A898">
        <v>10897</v>
      </c>
      <c r="B898" s="1">
        <v>45458</v>
      </c>
      <c r="C898">
        <v>1934</v>
      </c>
      <c r="D898" t="s">
        <v>80</v>
      </c>
      <c r="E898" t="s">
        <v>70</v>
      </c>
      <c r="F898">
        <v>7</v>
      </c>
      <c r="G898" s="2">
        <v>117.03</v>
      </c>
      <c r="H898">
        <v>0.02</v>
      </c>
      <c r="I898" t="s">
        <v>71</v>
      </c>
      <c r="J898">
        <v>11</v>
      </c>
      <c r="K898">
        <v>2.2999999999999998</v>
      </c>
      <c r="L898" s="2">
        <v>802.83</v>
      </c>
      <c r="M898">
        <v>2024</v>
      </c>
      <c r="N898">
        <v>6</v>
      </c>
      <c r="O898" t="s">
        <v>109</v>
      </c>
      <c r="P898" s="2">
        <v>819.21</v>
      </c>
      <c r="Q898" s="2">
        <v>16.38</v>
      </c>
      <c r="R898" t="s">
        <v>75</v>
      </c>
      <c r="S898">
        <v>0</v>
      </c>
      <c r="T898">
        <v>0</v>
      </c>
      <c r="U898">
        <f>IF(AND(OR(Dashboard!$D$4="Semua",D898=Dashboard!$D$4),OR(Dashboard!$H$4="Semua",E898=Dashboard!$H$4)),1,0)</f>
        <v>1</v>
      </c>
      <c r="V898">
        <f>IF(U898=1,IF(COUNTIFS($C$2:C898,C898,$U$2:U898,1)=1,1,0),0)</f>
        <v>0</v>
      </c>
    </row>
    <row r="899" spans="1:22" x14ac:dyDescent="0.35">
      <c r="A899">
        <v>10898</v>
      </c>
      <c r="B899" s="1">
        <v>45459</v>
      </c>
      <c r="C899">
        <v>1000</v>
      </c>
      <c r="D899" t="s">
        <v>67</v>
      </c>
      <c r="E899" t="s">
        <v>63</v>
      </c>
      <c r="F899">
        <v>1</v>
      </c>
      <c r="G899" s="2">
        <v>359.59</v>
      </c>
      <c r="H899">
        <v>0.17</v>
      </c>
      <c r="I899" t="s">
        <v>68</v>
      </c>
      <c r="J899">
        <v>4</v>
      </c>
      <c r="K899">
        <v>4.9000000000000004</v>
      </c>
      <c r="L899" s="2">
        <v>298.45999999999998</v>
      </c>
      <c r="M899">
        <v>2024</v>
      </c>
      <c r="N899">
        <v>6</v>
      </c>
      <c r="O899" t="s">
        <v>109</v>
      </c>
      <c r="P899" s="2">
        <v>359.59</v>
      </c>
      <c r="Q899" s="2">
        <v>61.13</v>
      </c>
      <c r="R899" t="s">
        <v>76</v>
      </c>
      <c r="S899">
        <v>0</v>
      </c>
      <c r="T899">
        <v>0</v>
      </c>
      <c r="U899">
        <f>IF(AND(OR(Dashboard!$D$4="Semua",D899=Dashboard!$D$4),OR(Dashboard!$H$4="Semua",E899=Dashboard!$H$4)),1,0)</f>
        <v>1</v>
      </c>
      <c r="V899">
        <f>IF(U899=1,IF(COUNTIFS($C$2:C899,C899,$U$2:U899,1)=1,1,0),0)</f>
        <v>1</v>
      </c>
    </row>
    <row r="900" spans="1:22" x14ac:dyDescent="0.35">
      <c r="A900">
        <v>10899</v>
      </c>
      <c r="B900" s="1">
        <v>45460</v>
      </c>
      <c r="C900">
        <v>1386</v>
      </c>
      <c r="D900" t="s">
        <v>80</v>
      </c>
      <c r="E900" t="s">
        <v>63</v>
      </c>
      <c r="F900">
        <v>2</v>
      </c>
      <c r="G900" s="2">
        <v>163.74</v>
      </c>
      <c r="H900">
        <v>0.03</v>
      </c>
      <c r="I900" t="s">
        <v>64</v>
      </c>
      <c r="J900">
        <v>3</v>
      </c>
      <c r="K900">
        <v>1.6</v>
      </c>
      <c r="L900" s="2">
        <v>317.66000000000003</v>
      </c>
      <c r="M900">
        <v>2024</v>
      </c>
      <c r="N900">
        <v>6</v>
      </c>
      <c r="O900" t="s">
        <v>109</v>
      </c>
      <c r="P900" s="2">
        <v>327.48</v>
      </c>
      <c r="Q900" s="2">
        <v>9.82</v>
      </c>
      <c r="R900" t="s">
        <v>75</v>
      </c>
      <c r="S900">
        <v>0</v>
      </c>
      <c r="T900">
        <v>0</v>
      </c>
      <c r="U900">
        <f>IF(AND(OR(Dashboard!$D$4="Semua",D900=Dashboard!$D$4),OR(Dashboard!$H$4="Semua",E900=Dashboard!$H$4)),1,0)</f>
        <v>1</v>
      </c>
      <c r="V900">
        <f>IF(U900=1,IF(COUNTIFS($C$2:C900,C900,$U$2:U900,1)=1,1,0),0)</f>
        <v>0</v>
      </c>
    </row>
    <row r="901" spans="1:22" x14ac:dyDescent="0.35">
      <c r="A901">
        <v>10900</v>
      </c>
      <c r="B901" s="1">
        <v>45461</v>
      </c>
      <c r="C901">
        <v>1972</v>
      </c>
      <c r="D901" t="s">
        <v>80</v>
      </c>
      <c r="E901" t="s">
        <v>74</v>
      </c>
      <c r="F901">
        <v>1</v>
      </c>
      <c r="G901" s="2">
        <v>166.51</v>
      </c>
      <c r="H901">
        <v>0.09</v>
      </c>
      <c r="I901" t="s">
        <v>68</v>
      </c>
      <c r="J901">
        <v>1</v>
      </c>
      <c r="K901">
        <v>1.1000000000000001</v>
      </c>
      <c r="L901" s="2">
        <v>151.52000000000001</v>
      </c>
      <c r="M901">
        <v>2024</v>
      </c>
      <c r="N901">
        <v>6</v>
      </c>
      <c r="O901" t="s">
        <v>109</v>
      </c>
      <c r="P901" s="2">
        <v>166.51</v>
      </c>
      <c r="Q901" s="2">
        <v>14.99</v>
      </c>
      <c r="R901" t="s">
        <v>69</v>
      </c>
      <c r="S901">
        <v>0</v>
      </c>
      <c r="T901">
        <v>0</v>
      </c>
      <c r="U901">
        <f>IF(AND(OR(Dashboard!$D$4="Semua",D901=Dashboard!$D$4),OR(Dashboard!$H$4="Semua",E901=Dashboard!$H$4)),1,0)</f>
        <v>1</v>
      </c>
      <c r="V901">
        <f>IF(U901=1,IF(COUNTIFS($C$2:C901,C901,$U$2:U901,1)=1,1,0),0)</f>
        <v>0</v>
      </c>
    </row>
    <row r="902" spans="1:22" x14ac:dyDescent="0.35">
      <c r="A902">
        <v>10901</v>
      </c>
      <c r="B902" s="1">
        <v>45462</v>
      </c>
      <c r="C902">
        <v>1347</v>
      </c>
      <c r="D902" t="s">
        <v>73</v>
      </c>
      <c r="E902" t="s">
        <v>78</v>
      </c>
      <c r="F902">
        <v>4</v>
      </c>
      <c r="G902" s="2">
        <v>300.68</v>
      </c>
      <c r="H902">
        <v>0.04</v>
      </c>
      <c r="I902" t="s">
        <v>68</v>
      </c>
      <c r="J902">
        <v>4</v>
      </c>
      <c r="K902">
        <v>3.3</v>
      </c>
      <c r="L902" s="2">
        <v>1154.6099999999999</v>
      </c>
      <c r="M902">
        <v>2024</v>
      </c>
      <c r="N902">
        <v>6</v>
      </c>
      <c r="O902" t="s">
        <v>109</v>
      </c>
      <c r="P902" s="2">
        <v>1202.72</v>
      </c>
      <c r="Q902" s="2">
        <v>48.11</v>
      </c>
      <c r="R902" t="s">
        <v>75</v>
      </c>
      <c r="S902">
        <v>0</v>
      </c>
      <c r="T902">
        <v>0</v>
      </c>
      <c r="U902">
        <f>IF(AND(OR(Dashboard!$D$4="Semua",D902=Dashboard!$D$4),OR(Dashboard!$H$4="Semua",E902=Dashboard!$H$4)),1,0)</f>
        <v>1</v>
      </c>
      <c r="V902">
        <f>IF(U902=1,IF(COUNTIFS($C$2:C902,C902,$U$2:U902,1)=1,1,0),0)</f>
        <v>0</v>
      </c>
    </row>
    <row r="903" spans="1:22" x14ac:dyDescent="0.35">
      <c r="A903">
        <v>10902</v>
      </c>
      <c r="B903" s="1">
        <v>45463</v>
      </c>
      <c r="C903">
        <v>1189</v>
      </c>
      <c r="D903" t="s">
        <v>73</v>
      </c>
      <c r="E903" t="s">
        <v>63</v>
      </c>
      <c r="F903">
        <v>5</v>
      </c>
      <c r="G903" s="2">
        <v>396.82</v>
      </c>
      <c r="H903">
        <v>0.08</v>
      </c>
      <c r="I903" t="s">
        <v>71</v>
      </c>
      <c r="J903">
        <v>9</v>
      </c>
      <c r="K903">
        <v>2.5</v>
      </c>
      <c r="L903" s="2">
        <v>1825.37</v>
      </c>
      <c r="M903">
        <v>2024</v>
      </c>
      <c r="N903">
        <v>6</v>
      </c>
      <c r="O903" t="s">
        <v>109</v>
      </c>
      <c r="P903" s="2">
        <v>1984.1</v>
      </c>
      <c r="Q903" s="2">
        <v>158.72999999999999</v>
      </c>
      <c r="R903" t="s">
        <v>69</v>
      </c>
      <c r="S903">
        <v>0</v>
      </c>
      <c r="T903">
        <v>0</v>
      </c>
      <c r="U903">
        <f>IF(AND(OR(Dashboard!$D$4="Semua",D903=Dashboard!$D$4),OR(Dashboard!$H$4="Semua",E903=Dashboard!$H$4)),1,0)</f>
        <v>1</v>
      </c>
      <c r="V903">
        <f>IF(U903=1,IF(COUNTIFS($C$2:C903,C903,$U$2:U903,1)=1,1,0),0)</f>
        <v>0</v>
      </c>
    </row>
    <row r="904" spans="1:22" x14ac:dyDescent="0.35">
      <c r="A904">
        <v>10903</v>
      </c>
      <c r="B904" s="1">
        <v>45464</v>
      </c>
      <c r="C904">
        <v>1504</v>
      </c>
      <c r="D904" t="s">
        <v>80</v>
      </c>
      <c r="E904" t="s">
        <v>63</v>
      </c>
      <c r="F904">
        <v>5</v>
      </c>
      <c r="G904" s="2">
        <v>85.96</v>
      </c>
      <c r="H904">
        <v>0.04</v>
      </c>
      <c r="I904" t="s">
        <v>64</v>
      </c>
      <c r="J904">
        <v>1</v>
      </c>
      <c r="K904">
        <v>4.2</v>
      </c>
      <c r="L904" s="2">
        <v>412.61</v>
      </c>
      <c r="M904">
        <v>2024</v>
      </c>
      <c r="N904">
        <v>6</v>
      </c>
      <c r="O904" t="s">
        <v>109</v>
      </c>
      <c r="P904" s="2">
        <v>429.8</v>
      </c>
      <c r="Q904" s="2">
        <v>17.190000000000001</v>
      </c>
      <c r="R904" t="s">
        <v>75</v>
      </c>
      <c r="S904">
        <v>0</v>
      </c>
      <c r="T904">
        <v>0</v>
      </c>
      <c r="U904">
        <f>IF(AND(OR(Dashboard!$D$4="Semua",D904=Dashboard!$D$4),OR(Dashboard!$H$4="Semua",E904=Dashboard!$H$4)),1,0)</f>
        <v>1</v>
      </c>
      <c r="V904">
        <f>IF(U904=1,IF(COUNTIFS($C$2:C904,C904,$U$2:U904,1)=1,1,0),0)</f>
        <v>0</v>
      </c>
    </row>
    <row r="905" spans="1:22" x14ac:dyDescent="0.35">
      <c r="A905">
        <v>10904</v>
      </c>
      <c r="B905" s="1">
        <v>45465</v>
      </c>
      <c r="C905">
        <v>1190</v>
      </c>
      <c r="D905" t="s">
        <v>67</v>
      </c>
      <c r="E905" t="s">
        <v>70</v>
      </c>
      <c r="F905">
        <v>2</v>
      </c>
      <c r="G905" s="2">
        <v>117.67</v>
      </c>
      <c r="H905">
        <v>0.33</v>
      </c>
      <c r="I905" t="s">
        <v>68</v>
      </c>
      <c r="J905">
        <v>7</v>
      </c>
      <c r="K905">
        <v>3.9</v>
      </c>
      <c r="L905" s="2">
        <v>157.68</v>
      </c>
      <c r="M905">
        <v>2024</v>
      </c>
      <c r="N905">
        <v>6</v>
      </c>
      <c r="O905" t="s">
        <v>109</v>
      </c>
      <c r="P905" s="2">
        <v>235.34</v>
      </c>
      <c r="Q905" s="2">
        <v>77.66</v>
      </c>
      <c r="R905" t="s">
        <v>72</v>
      </c>
      <c r="S905">
        <v>0</v>
      </c>
      <c r="T905">
        <v>0</v>
      </c>
      <c r="U905">
        <f>IF(AND(OR(Dashboard!$D$4="Semua",D905=Dashboard!$D$4),OR(Dashboard!$H$4="Semua",E905=Dashboard!$H$4)),1,0)</f>
        <v>1</v>
      </c>
      <c r="V905">
        <f>IF(U905=1,IF(COUNTIFS($C$2:C905,C905,$U$2:U905,1)=1,1,0),0)</f>
        <v>0</v>
      </c>
    </row>
    <row r="906" spans="1:22" x14ac:dyDescent="0.35">
      <c r="A906">
        <v>10905</v>
      </c>
      <c r="B906" s="1">
        <v>45466</v>
      </c>
      <c r="C906">
        <v>1507</v>
      </c>
      <c r="D906" t="s">
        <v>80</v>
      </c>
      <c r="E906" t="s">
        <v>70</v>
      </c>
      <c r="F906">
        <v>4</v>
      </c>
      <c r="G906" s="2">
        <v>159.6</v>
      </c>
      <c r="H906">
        <v>0.1</v>
      </c>
      <c r="I906" t="s">
        <v>71</v>
      </c>
      <c r="J906">
        <v>3</v>
      </c>
      <c r="K906">
        <v>1.7</v>
      </c>
      <c r="L906" s="2">
        <v>574.55999999999995</v>
      </c>
      <c r="M906">
        <v>2024</v>
      </c>
      <c r="N906">
        <v>6</v>
      </c>
      <c r="O906" t="s">
        <v>109</v>
      </c>
      <c r="P906" s="2">
        <v>638.4</v>
      </c>
      <c r="Q906" s="2">
        <v>63.84</v>
      </c>
      <c r="R906" t="s">
        <v>69</v>
      </c>
      <c r="S906">
        <v>0</v>
      </c>
      <c r="T906">
        <v>0</v>
      </c>
      <c r="U906">
        <f>IF(AND(OR(Dashboard!$D$4="Semua",D906=Dashboard!$D$4),OR(Dashboard!$H$4="Semua",E906=Dashboard!$H$4)),1,0)</f>
        <v>1</v>
      </c>
      <c r="V906">
        <f>IF(U906=1,IF(COUNTIFS($C$2:C906,C906,$U$2:U906,1)=1,1,0),0)</f>
        <v>1</v>
      </c>
    </row>
    <row r="907" spans="1:22" x14ac:dyDescent="0.35">
      <c r="A907">
        <v>10906</v>
      </c>
      <c r="B907" s="1">
        <v>45467</v>
      </c>
      <c r="C907">
        <v>1368</v>
      </c>
      <c r="D907" t="s">
        <v>80</v>
      </c>
      <c r="E907" t="s">
        <v>74</v>
      </c>
      <c r="F907">
        <v>1</v>
      </c>
      <c r="G907" s="2">
        <v>584.64</v>
      </c>
      <c r="H907">
        <v>0.16</v>
      </c>
      <c r="I907" t="s">
        <v>64</v>
      </c>
      <c r="J907">
        <v>8</v>
      </c>
      <c r="K907">
        <v>3.3</v>
      </c>
      <c r="L907" s="2">
        <v>491.1</v>
      </c>
      <c r="M907">
        <v>2024</v>
      </c>
      <c r="N907">
        <v>6</v>
      </c>
      <c r="O907" t="s">
        <v>109</v>
      </c>
      <c r="P907" s="2">
        <v>584.64</v>
      </c>
      <c r="Q907" s="2">
        <v>93.54</v>
      </c>
      <c r="R907" t="s">
        <v>76</v>
      </c>
      <c r="S907">
        <v>0</v>
      </c>
      <c r="T907">
        <v>0</v>
      </c>
      <c r="U907">
        <f>IF(AND(OR(Dashboard!$D$4="Semua",D907=Dashboard!$D$4),OR(Dashboard!$H$4="Semua",E907=Dashboard!$H$4)),1,0)</f>
        <v>1</v>
      </c>
      <c r="V907">
        <f>IF(U907=1,IF(COUNTIFS($C$2:C907,C907,$U$2:U907,1)=1,1,0),0)</f>
        <v>0</v>
      </c>
    </row>
    <row r="908" spans="1:22" x14ac:dyDescent="0.35">
      <c r="A908">
        <v>10907</v>
      </c>
      <c r="B908" s="1">
        <v>45468</v>
      </c>
      <c r="C908">
        <v>1408</v>
      </c>
      <c r="D908" t="s">
        <v>80</v>
      </c>
      <c r="E908" t="s">
        <v>74</v>
      </c>
      <c r="F908">
        <v>5</v>
      </c>
      <c r="G908" s="2">
        <v>247.33</v>
      </c>
      <c r="H908">
        <v>0.31</v>
      </c>
      <c r="I908" t="s">
        <v>71</v>
      </c>
      <c r="J908">
        <v>6</v>
      </c>
      <c r="K908">
        <v>1.1000000000000001</v>
      </c>
      <c r="L908" s="2">
        <v>853.29</v>
      </c>
      <c r="M908">
        <v>2024</v>
      </c>
      <c r="N908">
        <v>6</v>
      </c>
      <c r="O908" t="s">
        <v>109</v>
      </c>
      <c r="P908" s="2">
        <v>1236.6500000000001</v>
      </c>
      <c r="Q908" s="2">
        <v>383.36</v>
      </c>
      <c r="R908" t="s">
        <v>72</v>
      </c>
      <c r="S908">
        <v>0</v>
      </c>
      <c r="T908">
        <v>0</v>
      </c>
      <c r="U908">
        <f>IF(AND(OR(Dashboard!$D$4="Semua",D908=Dashboard!$D$4),OR(Dashboard!$H$4="Semua",E908=Dashboard!$H$4)),1,0)</f>
        <v>1</v>
      </c>
      <c r="V908">
        <f>IF(U908=1,IF(COUNTIFS($C$2:C908,C908,$U$2:U908,1)=1,1,0),0)</f>
        <v>1</v>
      </c>
    </row>
    <row r="909" spans="1:22" x14ac:dyDescent="0.35">
      <c r="A909">
        <v>10908</v>
      </c>
      <c r="B909" s="1">
        <v>45469</v>
      </c>
      <c r="C909">
        <v>1823</v>
      </c>
      <c r="D909" t="s">
        <v>62</v>
      </c>
      <c r="E909" t="s">
        <v>63</v>
      </c>
      <c r="F909">
        <v>6</v>
      </c>
      <c r="G909" s="2">
        <v>365.41</v>
      </c>
      <c r="H909">
        <v>0.24</v>
      </c>
      <c r="I909" t="s">
        <v>68</v>
      </c>
      <c r="J909">
        <v>1</v>
      </c>
      <c r="K909">
        <v>2.8</v>
      </c>
      <c r="L909" s="2">
        <v>1666.27</v>
      </c>
      <c r="M909">
        <v>2024</v>
      </c>
      <c r="N909">
        <v>6</v>
      </c>
      <c r="O909" t="s">
        <v>109</v>
      </c>
      <c r="P909" s="2">
        <v>2192.46</v>
      </c>
      <c r="Q909" s="2">
        <v>526.19000000000005</v>
      </c>
      <c r="R909" t="s">
        <v>77</v>
      </c>
      <c r="S909">
        <v>0</v>
      </c>
      <c r="T909">
        <v>0</v>
      </c>
      <c r="U909">
        <f>IF(AND(OR(Dashboard!$D$4="Semua",D909=Dashboard!$D$4),OR(Dashboard!$H$4="Semua",E909=Dashboard!$H$4)),1,0)</f>
        <v>1</v>
      </c>
      <c r="V909">
        <f>IF(U909=1,IF(COUNTIFS($C$2:C909,C909,$U$2:U909,1)=1,1,0),0)</f>
        <v>1</v>
      </c>
    </row>
    <row r="910" spans="1:22" x14ac:dyDescent="0.35">
      <c r="A910">
        <v>10909</v>
      </c>
      <c r="B910" s="1">
        <v>45470</v>
      </c>
      <c r="C910">
        <v>1928</v>
      </c>
      <c r="D910" t="s">
        <v>67</v>
      </c>
      <c r="E910" t="s">
        <v>78</v>
      </c>
      <c r="F910">
        <v>3</v>
      </c>
      <c r="G910" s="2">
        <v>156.30000000000001</v>
      </c>
      <c r="H910">
        <v>0.22</v>
      </c>
      <c r="I910" t="s">
        <v>64</v>
      </c>
      <c r="J910">
        <v>10</v>
      </c>
      <c r="K910">
        <v>3.9</v>
      </c>
      <c r="L910" s="2">
        <v>365.74</v>
      </c>
      <c r="M910">
        <v>2024</v>
      </c>
      <c r="N910">
        <v>6</v>
      </c>
      <c r="O910" t="s">
        <v>109</v>
      </c>
      <c r="P910" s="2">
        <v>468.9</v>
      </c>
      <c r="Q910" s="2">
        <v>103.16</v>
      </c>
      <c r="R910" t="s">
        <v>77</v>
      </c>
      <c r="S910">
        <v>0</v>
      </c>
      <c r="T910">
        <v>0</v>
      </c>
      <c r="U910">
        <f>IF(AND(OR(Dashboard!$D$4="Semua",D910=Dashboard!$D$4),OR(Dashboard!$H$4="Semua",E910=Dashboard!$H$4)),1,0)</f>
        <v>1</v>
      </c>
      <c r="V910">
        <f>IF(U910=1,IF(COUNTIFS($C$2:C910,C910,$U$2:U910,1)=1,1,0),0)</f>
        <v>0</v>
      </c>
    </row>
    <row r="911" spans="1:22" x14ac:dyDescent="0.35">
      <c r="A911">
        <v>10910</v>
      </c>
      <c r="B911" s="1">
        <v>45471</v>
      </c>
      <c r="C911">
        <v>1933</v>
      </c>
      <c r="D911" t="s">
        <v>67</v>
      </c>
      <c r="E911" t="s">
        <v>78</v>
      </c>
      <c r="F911">
        <v>4</v>
      </c>
      <c r="G911" s="2">
        <v>301.92</v>
      </c>
      <c r="H911">
        <v>0.25</v>
      </c>
      <c r="I911" t="s">
        <v>71</v>
      </c>
      <c r="J911">
        <v>5</v>
      </c>
      <c r="K911">
        <v>2.7</v>
      </c>
      <c r="L911" s="2">
        <v>905.76</v>
      </c>
      <c r="M911">
        <v>2024</v>
      </c>
      <c r="N911">
        <v>6</v>
      </c>
      <c r="O911" t="s">
        <v>109</v>
      </c>
      <c r="P911" s="2">
        <v>1207.68</v>
      </c>
      <c r="Q911" s="2">
        <v>301.92</v>
      </c>
      <c r="R911" t="s">
        <v>77</v>
      </c>
      <c r="S911">
        <v>0</v>
      </c>
      <c r="T911">
        <v>0</v>
      </c>
      <c r="U911">
        <f>IF(AND(OR(Dashboard!$D$4="Semua",D911=Dashboard!$D$4),OR(Dashboard!$H$4="Semua",E911=Dashboard!$H$4)),1,0)</f>
        <v>1</v>
      </c>
      <c r="V911">
        <f>IF(U911=1,IF(COUNTIFS($C$2:C911,C911,$U$2:U911,1)=1,1,0),0)</f>
        <v>1</v>
      </c>
    </row>
    <row r="912" spans="1:22" x14ac:dyDescent="0.35">
      <c r="A912">
        <v>10911</v>
      </c>
      <c r="B912" s="1">
        <v>45472</v>
      </c>
      <c r="C912">
        <v>1116</v>
      </c>
      <c r="D912" t="s">
        <v>67</v>
      </c>
      <c r="E912" t="s">
        <v>74</v>
      </c>
      <c r="F912">
        <v>7</v>
      </c>
      <c r="G912" s="2">
        <v>58.36</v>
      </c>
      <c r="H912">
        <v>0.28999999999999998</v>
      </c>
      <c r="I912" t="s">
        <v>71</v>
      </c>
      <c r="J912">
        <v>8</v>
      </c>
      <c r="K912">
        <v>1.5</v>
      </c>
      <c r="L912" s="2">
        <v>290.05</v>
      </c>
      <c r="M912">
        <v>2024</v>
      </c>
      <c r="N912">
        <v>6</v>
      </c>
      <c r="O912" t="s">
        <v>109</v>
      </c>
      <c r="P912" s="2">
        <v>408.52</v>
      </c>
      <c r="Q912" s="2">
        <v>118.47</v>
      </c>
      <c r="R912" t="s">
        <v>66</v>
      </c>
      <c r="S912">
        <v>0</v>
      </c>
      <c r="T912">
        <v>0</v>
      </c>
      <c r="U912">
        <f>IF(AND(OR(Dashboard!$D$4="Semua",D912=Dashboard!$D$4),OR(Dashboard!$H$4="Semua",E912=Dashboard!$H$4)),1,0)</f>
        <v>1</v>
      </c>
      <c r="V912">
        <f>IF(U912=1,IF(COUNTIFS($C$2:C912,C912,$U$2:U912,1)=1,1,0),0)</f>
        <v>0</v>
      </c>
    </row>
    <row r="913" spans="1:22" x14ac:dyDescent="0.35">
      <c r="A913">
        <v>10912</v>
      </c>
      <c r="B913" s="1">
        <v>45473</v>
      </c>
      <c r="C913">
        <v>1133</v>
      </c>
      <c r="D913" t="s">
        <v>73</v>
      </c>
      <c r="E913" t="s">
        <v>70</v>
      </c>
      <c r="F913">
        <v>7</v>
      </c>
      <c r="G913" s="2">
        <v>35.32</v>
      </c>
      <c r="H913">
        <v>0.31</v>
      </c>
      <c r="I913" t="s">
        <v>71</v>
      </c>
      <c r="J913">
        <v>11</v>
      </c>
      <c r="K913">
        <v>1.2</v>
      </c>
      <c r="L913" s="2">
        <v>170.6</v>
      </c>
      <c r="M913">
        <v>2024</v>
      </c>
      <c r="N913">
        <v>6</v>
      </c>
      <c r="O913" t="s">
        <v>109</v>
      </c>
      <c r="P913" s="2">
        <v>247.24</v>
      </c>
      <c r="Q913" s="2">
        <v>76.64</v>
      </c>
      <c r="R913" t="s">
        <v>72</v>
      </c>
      <c r="S913">
        <v>0</v>
      </c>
      <c r="T913">
        <v>0</v>
      </c>
      <c r="U913">
        <f>IF(AND(OR(Dashboard!$D$4="Semua",D913=Dashboard!$D$4),OR(Dashboard!$H$4="Semua",E913=Dashboard!$H$4)),1,0)</f>
        <v>1</v>
      </c>
      <c r="V913">
        <f>IF(U913=1,IF(COUNTIFS($C$2:C913,C913,$U$2:U913,1)=1,1,0),0)</f>
        <v>1</v>
      </c>
    </row>
    <row r="914" spans="1:22" x14ac:dyDescent="0.35">
      <c r="A914">
        <v>10913</v>
      </c>
      <c r="B914" s="1">
        <v>45474</v>
      </c>
      <c r="C914">
        <v>1057</v>
      </c>
      <c r="D914" t="s">
        <v>67</v>
      </c>
      <c r="E914" t="s">
        <v>63</v>
      </c>
      <c r="F914">
        <v>6</v>
      </c>
      <c r="G914" s="2">
        <v>289.20999999999998</v>
      </c>
      <c r="H914">
        <v>0.22</v>
      </c>
      <c r="I914" t="s">
        <v>64</v>
      </c>
      <c r="J914">
        <v>3</v>
      </c>
      <c r="K914">
        <v>4.4000000000000004</v>
      </c>
      <c r="L914" s="2">
        <v>1353.5</v>
      </c>
      <c r="M914">
        <v>2024</v>
      </c>
      <c r="N914">
        <v>7</v>
      </c>
      <c r="O914" t="s">
        <v>110</v>
      </c>
      <c r="P914" s="2">
        <v>1735.26</v>
      </c>
      <c r="Q914" s="2">
        <v>381.76</v>
      </c>
      <c r="R914" t="s">
        <v>77</v>
      </c>
      <c r="S914">
        <v>0</v>
      </c>
      <c r="T914">
        <v>0</v>
      </c>
      <c r="U914">
        <f>IF(AND(OR(Dashboard!$D$4="Semua",D914=Dashboard!$D$4),OR(Dashboard!$H$4="Semua",E914=Dashboard!$H$4)),1,0)</f>
        <v>1</v>
      </c>
      <c r="V914">
        <f>IF(U914=1,IF(COUNTIFS($C$2:C914,C914,$U$2:U914,1)=1,1,0),0)</f>
        <v>0</v>
      </c>
    </row>
    <row r="915" spans="1:22" x14ac:dyDescent="0.35">
      <c r="A915">
        <v>10914</v>
      </c>
      <c r="B915" s="1">
        <v>45475</v>
      </c>
      <c r="C915">
        <v>1555</v>
      </c>
      <c r="D915" t="s">
        <v>73</v>
      </c>
      <c r="E915" t="s">
        <v>63</v>
      </c>
      <c r="F915">
        <v>6</v>
      </c>
      <c r="G915" s="2">
        <v>248.22</v>
      </c>
      <c r="H915">
        <v>0.31</v>
      </c>
      <c r="I915" t="s">
        <v>68</v>
      </c>
      <c r="J915">
        <v>4</v>
      </c>
      <c r="K915">
        <v>4.5999999999999996</v>
      </c>
      <c r="L915" s="2">
        <v>1027.6300000000001</v>
      </c>
      <c r="M915">
        <v>2024</v>
      </c>
      <c r="N915">
        <v>7</v>
      </c>
      <c r="O915" t="s">
        <v>110</v>
      </c>
      <c r="P915" s="2">
        <v>1489.32</v>
      </c>
      <c r="Q915" s="2">
        <v>461.69</v>
      </c>
      <c r="R915" t="s">
        <v>72</v>
      </c>
      <c r="S915">
        <v>0</v>
      </c>
      <c r="T915">
        <v>0</v>
      </c>
      <c r="U915">
        <f>IF(AND(OR(Dashboard!$D$4="Semua",D915=Dashboard!$D$4),OR(Dashboard!$H$4="Semua",E915=Dashboard!$H$4)),1,0)</f>
        <v>1</v>
      </c>
      <c r="V915">
        <f>IF(U915=1,IF(COUNTIFS($C$2:C915,C915,$U$2:U915,1)=1,1,0),0)</f>
        <v>0</v>
      </c>
    </row>
    <row r="916" spans="1:22" x14ac:dyDescent="0.35">
      <c r="A916">
        <v>10915</v>
      </c>
      <c r="B916" s="1">
        <v>45476</v>
      </c>
      <c r="C916">
        <v>1684</v>
      </c>
      <c r="D916" t="s">
        <v>62</v>
      </c>
      <c r="E916" t="s">
        <v>78</v>
      </c>
      <c r="F916">
        <v>4</v>
      </c>
      <c r="G916" s="2">
        <v>95.07</v>
      </c>
      <c r="H916">
        <v>0.19</v>
      </c>
      <c r="I916" t="s">
        <v>68</v>
      </c>
      <c r="J916">
        <v>7</v>
      </c>
      <c r="K916">
        <v>2.4</v>
      </c>
      <c r="L916" s="2">
        <v>308.02999999999997</v>
      </c>
      <c r="M916">
        <v>2024</v>
      </c>
      <c r="N916">
        <v>7</v>
      </c>
      <c r="O916" t="s">
        <v>110</v>
      </c>
      <c r="P916" s="2">
        <v>380.28</v>
      </c>
      <c r="Q916" s="2">
        <v>72.25</v>
      </c>
      <c r="R916" t="s">
        <v>76</v>
      </c>
      <c r="S916">
        <v>0</v>
      </c>
      <c r="T916">
        <v>0</v>
      </c>
      <c r="U916">
        <f>IF(AND(OR(Dashboard!$D$4="Semua",D916=Dashboard!$D$4),OR(Dashboard!$H$4="Semua",E916=Dashboard!$H$4)),1,0)</f>
        <v>1</v>
      </c>
      <c r="V916">
        <f>IF(U916=1,IF(COUNTIFS($C$2:C916,C916,$U$2:U916,1)=1,1,0),0)</f>
        <v>0</v>
      </c>
    </row>
    <row r="917" spans="1:22" x14ac:dyDescent="0.35">
      <c r="A917">
        <v>10916</v>
      </c>
      <c r="B917" s="1">
        <v>45477</v>
      </c>
      <c r="C917">
        <v>1671</v>
      </c>
      <c r="D917" t="s">
        <v>67</v>
      </c>
      <c r="E917" t="s">
        <v>74</v>
      </c>
      <c r="F917">
        <v>3</v>
      </c>
      <c r="G917" s="2">
        <v>417.25</v>
      </c>
      <c r="H917">
        <v>0.1</v>
      </c>
      <c r="I917" t="s">
        <v>71</v>
      </c>
      <c r="J917">
        <v>11</v>
      </c>
      <c r="K917">
        <v>1.7</v>
      </c>
      <c r="L917" s="2">
        <v>1126.58</v>
      </c>
      <c r="M917">
        <v>2024</v>
      </c>
      <c r="N917">
        <v>7</v>
      </c>
      <c r="O917" t="s">
        <v>110</v>
      </c>
      <c r="P917" s="2">
        <v>1251.75</v>
      </c>
      <c r="Q917" s="2">
        <v>125.17</v>
      </c>
      <c r="R917" t="s">
        <v>69</v>
      </c>
      <c r="S917">
        <v>0</v>
      </c>
      <c r="T917">
        <v>0</v>
      </c>
      <c r="U917">
        <f>IF(AND(OR(Dashboard!$D$4="Semua",D917=Dashboard!$D$4),OR(Dashboard!$H$4="Semua",E917=Dashboard!$H$4)),1,0)</f>
        <v>1</v>
      </c>
      <c r="V917">
        <f>IF(U917=1,IF(COUNTIFS($C$2:C917,C917,$U$2:U917,1)=1,1,0),0)</f>
        <v>0</v>
      </c>
    </row>
    <row r="918" spans="1:22" x14ac:dyDescent="0.35">
      <c r="A918">
        <v>10917</v>
      </c>
      <c r="B918" s="1">
        <v>45478</v>
      </c>
      <c r="C918">
        <v>1172</v>
      </c>
      <c r="D918" t="s">
        <v>67</v>
      </c>
      <c r="E918" t="s">
        <v>78</v>
      </c>
      <c r="F918">
        <v>5</v>
      </c>
      <c r="G918" s="2">
        <v>595.85</v>
      </c>
      <c r="H918">
        <v>0.31</v>
      </c>
      <c r="I918" t="s">
        <v>68</v>
      </c>
      <c r="J918">
        <v>6</v>
      </c>
      <c r="K918">
        <v>4.9000000000000004</v>
      </c>
      <c r="L918" s="2">
        <v>2055.6799999999998</v>
      </c>
      <c r="M918">
        <v>2024</v>
      </c>
      <c r="N918">
        <v>7</v>
      </c>
      <c r="O918" t="s">
        <v>110</v>
      </c>
      <c r="P918" s="2">
        <v>2979.25</v>
      </c>
      <c r="Q918" s="2">
        <v>923.57</v>
      </c>
      <c r="R918" t="s">
        <v>72</v>
      </c>
      <c r="S918">
        <v>0</v>
      </c>
      <c r="T918">
        <v>0</v>
      </c>
      <c r="U918">
        <f>IF(AND(OR(Dashboard!$D$4="Semua",D918=Dashboard!$D$4),OR(Dashboard!$H$4="Semua",E918=Dashboard!$H$4)),1,0)</f>
        <v>1</v>
      </c>
      <c r="V918">
        <f>IF(U918=1,IF(COUNTIFS($C$2:C918,C918,$U$2:U918,1)=1,1,0),0)</f>
        <v>0</v>
      </c>
    </row>
    <row r="919" spans="1:22" x14ac:dyDescent="0.35">
      <c r="A919">
        <v>10918</v>
      </c>
      <c r="B919" s="1">
        <v>45479</v>
      </c>
      <c r="C919">
        <v>1828</v>
      </c>
      <c r="D919" t="s">
        <v>67</v>
      </c>
      <c r="E919" t="s">
        <v>78</v>
      </c>
      <c r="F919">
        <v>3</v>
      </c>
      <c r="G919" s="2">
        <v>246.45</v>
      </c>
      <c r="H919">
        <v>0.19</v>
      </c>
      <c r="I919" t="s">
        <v>68</v>
      </c>
      <c r="J919">
        <v>7</v>
      </c>
      <c r="K919">
        <v>3.2</v>
      </c>
      <c r="L919" s="2">
        <v>598.87</v>
      </c>
      <c r="M919">
        <v>2024</v>
      </c>
      <c r="N919">
        <v>7</v>
      </c>
      <c r="O919" t="s">
        <v>110</v>
      </c>
      <c r="P919" s="2">
        <v>739.35</v>
      </c>
      <c r="Q919" s="2">
        <v>140.47999999999999</v>
      </c>
      <c r="R919" t="s">
        <v>76</v>
      </c>
      <c r="S919">
        <v>0</v>
      </c>
      <c r="T919">
        <v>0</v>
      </c>
      <c r="U919">
        <f>IF(AND(OR(Dashboard!$D$4="Semua",D919=Dashboard!$D$4),OR(Dashboard!$H$4="Semua",E919=Dashboard!$H$4)),1,0)</f>
        <v>1</v>
      </c>
      <c r="V919">
        <f>IF(U919=1,IF(COUNTIFS($C$2:C919,C919,$U$2:U919,1)=1,1,0),0)</f>
        <v>0</v>
      </c>
    </row>
    <row r="920" spans="1:22" x14ac:dyDescent="0.35">
      <c r="A920">
        <v>10919</v>
      </c>
      <c r="B920" s="1">
        <v>45480</v>
      </c>
      <c r="C920">
        <v>1814</v>
      </c>
      <c r="D920" t="s">
        <v>73</v>
      </c>
      <c r="E920" t="s">
        <v>74</v>
      </c>
      <c r="F920">
        <v>2</v>
      </c>
      <c r="G920" s="2">
        <v>380.37</v>
      </c>
      <c r="H920">
        <v>0.32</v>
      </c>
      <c r="I920" t="s">
        <v>71</v>
      </c>
      <c r="J920">
        <v>9</v>
      </c>
      <c r="K920">
        <v>2.9</v>
      </c>
      <c r="L920" s="2">
        <v>517.29999999999995</v>
      </c>
      <c r="M920">
        <v>2024</v>
      </c>
      <c r="N920">
        <v>7</v>
      </c>
      <c r="O920" t="s">
        <v>110</v>
      </c>
      <c r="P920" s="2">
        <v>760.74</v>
      </c>
      <c r="Q920" s="2">
        <v>243.44</v>
      </c>
      <c r="R920" t="s">
        <v>72</v>
      </c>
      <c r="S920">
        <v>0</v>
      </c>
      <c r="T920">
        <v>0</v>
      </c>
      <c r="U920">
        <f>IF(AND(OR(Dashboard!$D$4="Semua",D920=Dashboard!$D$4),OR(Dashboard!$H$4="Semua",E920=Dashboard!$H$4)),1,0)</f>
        <v>1</v>
      </c>
      <c r="V920">
        <f>IF(U920=1,IF(COUNTIFS($C$2:C920,C920,$U$2:U920,1)=1,1,0),0)</f>
        <v>1</v>
      </c>
    </row>
    <row r="921" spans="1:22" x14ac:dyDescent="0.35">
      <c r="A921">
        <v>10920</v>
      </c>
      <c r="B921" s="1">
        <v>45481</v>
      </c>
      <c r="C921">
        <v>1148</v>
      </c>
      <c r="D921" t="s">
        <v>73</v>
      </c>
      <c r="E921" t="s">
        <v>70</v>
      </c>
      <c r="F921">
        <v>1</v>
      </c>
      <c r="G921" s="2">
        <v>578.34</v>
      </c>
      <c r="H921">
        <v>0.01</v>
      </c>
      <c r="I921" t="s">
        <v>68</v>
      </c>
      <c r="J921">
        <v>9</v>
      </c>
      <c r="K921">
        <v>4</v>
      </c>
      <c r="L921" s="2">
        <v>572.55999999999995</v>
      </c>
      <c r="M921">
        <v>2024</v>
      </c>
      <c r="N921">
        <v>7</v>
      </c>
      <c r="O921" t="s">
        <v>110</v>
      </c>
      <c r="P921" s="2">
        <v>578.34</v>
      </c>
      <c r="Q921" s="2">
        <v>5.78</v>
      </c>
      <c r="R921" t="s">
        <v>75</v>
      </c>
      <c r="S921">
        <v>0</v>
      </c>
      <c r="T921">
        <v>0</v>
      </c>
      <c r="U921">
        <f>IF(AND(OR(Dashboard!$D$4="Semua",D921=Dashboard!$D$4),OR(Dashboard!$H$4="Semua",E921=Dashboard!$H$4)),1,0)</f>
        <v>1</v>
      </c>
      <c r="V921">
        <f>IF(U921=1,IF(COUNTIFS($C$2:C921,C921,$U$2:U921,1)=1,1,0),0)</f>
        <v>1</v>
      </c>
    </row>
    <row r="922" spans="1:22" x14ac:dyDescent="0.35">
      <c r="A922">
        <v>10921</v>
      </c>
      <c r="B922" s="1">
        <v>45482</v>
      </c>
      <c r="C922">
        <v>1079</v>
      </c>
      <c r="D922" t="s">
        <v>67</v>
      </c>
      <c r="E922" t="s">
        <v>63</v>
      </c>
      <c r="F922">
        <v>1</v>
      </c>
      <c r="G922" s="2">
        <v>501.45</v>
      </c>
      <c r="H922">
        <v>0.14000000000000001</v>
      </c>
      <c r="I922" t="s">
        <v>71</v>
      </c>
      <c r="J922">
        <v>2</v>
      </c>
      <c r="K922">
        <v>1.7</v>
      </c>
      <c r="L922" s="2">
        <v>431.25</v>
      </c>
      <c r="M922">
        <v>2024</v>
      </c>
      <c r="N922">
        <v>7</v>
      </c>
      <c r="O922" t="s">
        <v>110</v>
      </c>
      <c r="P922" s="2">
        <v>501.45</v>
      </c>
      <c r="Q922" s="2">
        <v>70.2</v>
      </c>
      <c r="R922" t="s">
        <v>79</v>
      </c>
      <c r="S922">
        <v>0</v>
      </c>
      <c r="T922">
        <v>0</v>
      </c>
      <c r="U922">
        <f>IF(AND(OR(Dashboard!$D$4="Semua",D922=Dashboard!$D$4),OR(Dashboard!$H$4="Semua",E922=Dashboard!$H$4)),1,0)</f>
        <v>1</v>
      </c>
      <c r="V922">
        <f>IF(U922=1,IF(COUNTIFS($C$2:C922,C922,$U$2:U922,1)=1,1,0),0)</f>
        <v>1</v>
      </c>
    </row>
    <row r="923" spans="1:22" x14ac:dyDescent="0.35">
      <c r="A923">
        <v>10922</v>
      </c>
      <c r="B923" s="1">
        <v>45483</v>
      </c>
      <c r="C923">
        <v>1885</v>
      </c>
      <c r="D923" t="s">
        <v>73</v>
      </c>
      <c r="E923" t="s">
        <v>70</v>
      </c>
      <c r="F923">
        <v>6</v>
      </c>
      <c r="G923" s="2">
        <v>286.18</v>
      </c>
      <c r="H923">
        <v>0.33</v>
      </c>
      <c r="I923" t="s">
        <v>64</v>
      </c>
      <c r="J923">
        <v>3</v>
      </c>
      <c r="K923">
        <v>3.3</v>
      </c>
      <c r="L923" s="2">
        <v>1150.44</v>
      </c>
      <c r="M923">
        <v>2024</v>
      </c>
      <c r="N923">
        <v>7</v>
      </c>
      <c r="O923" t="s">
        <v>110</v>
      </c>
      <c r="P923" s="2">
        <v>1717.08</v>
      </c>
      <c r="Q923" s="2">
        <v>566.64</v>
      </c>
      <c r="R923" t="s">
        <v>72</v>
      </c>
      <c r="S923">
        <v>0</v>
      </c>
      <c r="T923">
        <v>0</v>
      </c>
      <c r="U923">
        <f>IF(AND(OR(Dashboard!$D$4="Semua",D923=Dashboard!$D$4),OR(Dashboard!$H$4="Semua",E923=Dashboard!$H$4)),1,0)</f>
        <v>1</v>
      </c>
      <c r="V923">
        <f>IF(U923=1,IF(COUNTIFS($C$2:C923,C923,$U$2:U923,1)=1,1,0),0)</f>
        <v>1</v>
      </c>
    </row>
    <row r="924" spans="1:22" x14ac:dyDescent="0.35">
      <c r="A924">
        <v>10923</v>
      </c>
      <c r="B924" s="1">
        <v>45484</v>
      </c>
      <c r="C924">
        <v>1212</v>
      </c>
      <c r="D924" t="s">
        <v>67</v>
      </c>
      <c r="E924" t="s">
        <v>74</v>
      </c>
      <c r="F924">
        <v>5</v>
      </c>
      <c r="G924" s="2">
        <v>446.43</v>
      </c>
      <c r="H924">
        <v>0.09</v>
      </c>
      <c r="I924" t="s">
        <v>68</v>
      </c>
      <c r="J924">
        <v>4</v>
      </c>
      <c r="K924">
        <v>4.5999999999999996</v>
      </c>
      <c r="L924" s="2">
        <v>2031.26</v>
      </c>
      <c r="M924">
        <v>2024</v>
      </c>
      <c r="N924">
        <v>7</v>
      </c>
      <c r="O924" t="s">
        <v>110</v>
      </c>
      <c r="P924" s="2">
        <v>2232.15</v>
      </c>
      <c r="Q924" s="2">
        <v>200.89</v>
      </c>
      <c r="R924" t="s">
        <v>69</v>
      </c>
      <c r="S924">
        <v>0</v>
      </c>
      <c r="T924">
        <v>0</v>
      </c>
      <c r="U924">
        <f>IF(AND(OR(Dashboard!$D$4="Semua",D924=Dashboard!$D$4),OR(Dashboard!$H$4="Semua",E924=Dashboard!$H$4)),1,0)</f>
        <v>1</v>
      </c>
      <c r="V924">
        <f>IF(U924=1,IF(COUNTIFS($C$2:C924,C924,$U$2:U924,1)=1,1,0),0)</f>
        <v>1</v>
      </c>
    </row>
    <row r="925" spans="1:22" x14ac:dyDescent="0.35">
      <c r="A925">
        <v>10924</v>
      </c>
      <c r="B925" s="1">
        <v>45485</v>
      </c>
      <c r="C925">
        <v>1202</v>
      </c>
      <c r="D925" t="s">
        <v>62</v>
      </c>
      <c r="E925" t="s">
        <v>74</v>
      </c>
      <c r="F925">
        <v>3</v>
      </c>
      <c r="G925" s="2">
        <v>89.96</v>
      </c>
      <c r="H925">
        <v>0.33</v>
      </c>
      <c r="I925" t="s">
        <v>64</v>
      </c>
      <c r="J925">
        <v>6</v>
      </c>
      <c r="K925">
        <v>1.1000000000000001</v>
      </c>
      <c r="L925" s="2">
        <v>180.82</v>
      </c>
      <c r="M925">
        <v>2024</v>
      </c>
      <c r="N925">
        <v>7</v>
      </c>
      <c r="O925" t="s">
        <v>110</v>
      </c>
      <c r="P925" s="2">
        <v>269.88</v>
      </c>
      <c r="Q925" s="2">
        <v>89.06</v>
      </c>
      <c r="R925" t="s">
        <v>72</v>
      </c>
      <c r="S925">
        <v>0</v>
      </c>
      <c r="T925">
        <v>0</v>
      </c>
      <c r="U925">
        <f>IF(AND(OR(Dashboard!$D$4="Semua",D925=Dashboard!$D$4),OR(Dashboard!$H$4="Semua",E925=Dashboard!$H$4)),1,0)</f>
        <v>1</v>
      </c>
      <c r="V925">
        <f>IF(U925=1,IF(COUNTIFS($C$2:C925,C925,$U$2:U925,1)=1,1,0),0)</f>
        <v>0</v>
      </c>
    </row>
    <row r="926" spans="1:22" x14ac:dyDescent="0.35">
      <c r="A926">
        <v>10925</v>
      </c>
      <c r="B926" s="1">
        <v>45486</v>
      </c>
      <c r="C926">
        <v>1763</v>
      </c>
      <c r="D926" t="s">
        <v>62</v>
      </c>
      <c r="E926" t="s">
        <v>63</v>
      </c>
      <c r="F926">
        <v>6</v>
      </c>
      <c r="G926" s="2">
        <v>314.58</v>
      </c>
      <c r="H926">
        <v>0.33</v>
      </c>
      <c r="I926" t="s">
        <v>68</v>
      </c>
      <c r="J926">
        <v>5</v>
      </c>
      <c r="K926">
        <v>3.7</v>
      </c>
      <c r="L926" s="2">
        <v>1264.6099999999999</v>
      </c>
      <c r="M926">
        <v>2024</v>
      </c>
      <c r="N926">
        <v>7</v>
      </c>
      <c r="O926" t="s">
        <v>110</v>
      </c>
      <c r="P926" s="2">
        <v>1887.48</v>
      </c>
      <c r="Q926" s="2">
        <v>622.87</v>
      </c>
      <c r="R926" t="s">
        <v>72</v>
      </c>
      <c r="S926">
        <v>0</v>
      </c>
      <c r="T926">
        <v>0</v>
      </c>
      <c r="U926">
        <f>IF(AND(OR(Dashboard!$D$4="Semua",D926=Dashboard!$D$4),OR(Dashboard!$H$4="Semua",E926=Dashboard!$H$4)),1,0)</f>
        <v>1</v>
      </c>
      <c r="V926">
        <f>IF(U926=1,IF(COUNTIFS($C$2:C926,C926,$U$2:U926,1)=1,1,0),0)</f>
        <v>0</v>
      </c>
    </row>
    <row r="927" spans="1:22" x14ac:dyDescent="0.35">
      <c r="A927">
        <v>10926</v>
      </c>
      <c r="B927" s="1">
        <v>45487</v>
      </c>
      <c r="C927">
        <v>1228</v>
      </c>
      <c r="D927" t="s">
        <v>80</v>
      </c>
      <c r="E927" t="s">
        <v>70</v>
      </c>
      <c r="F927">
        <v>4</v>
      </c>
      <c r="G927" s="2">
        <v>178.25</v>
      </c>
      <c r="H927">
        <v>0.31</v>
      </c>
      <c r="I927" t="s">
        <v>64</v>
      </c>
      <c r="J927">
        <v>6</v>
      </c>
      <c r="K927">
        <v>3.2</v>
      </c>
      <c r="L927" s="2">
        <v>491.97</v>
      </c>
      <c r="M927">
        <v>2024</v>
      </c>
      <c r="N927">
        <v>7</v>
      </c>
      <c r="O927" t="s">
        <v>110</v>
      </c>
      <c r="P927" s="2">
        <v>713</v>
      </c>
      <c r="Q927" s="2">
        <v>221.03</v>
      </c>
      <c r="R927" t="s">
        <v>72</v>
      </c>
      <c r="S927">
        <v>0</v>
      </c>
      <c r="T927">
        <v>0</v>
      </c>
      <c r="U927">
        <f>IF(AND(OR(Dashboard!$D$4="Semua",D927=Dashboard!$D$4),OR(Dashboard!$H$4="Semua",E927=Dashboard!$H$4)),1,0)</f>
        <v>1</v>
      </c>
      <c r="V927">
        <f>IF(U927=1,IF(COUNTIFS($C$2:C927,C927,$U$2:U927,1)=1,1,0),0)</f>
        <v>1</v>
      </c>
    </row>
    <row r="928" spans="1:22" x14ac:dyDescent="0.35">
      <c r="A928">
        <v>10927</v>
      </c>
      <c r="B928" s="1">
        <v>45488</v>
      </c>
      <c r="C928">
        <v>1675</v>
      </c>
      <c r="D928" t="s">
        <v>73</v>
      </c>
      <c r="E928" t="s">
        <v>63</v>
      </c>
      <c r="F928">
        <v>6</v>
      </c>
      <c r="G928" s="2">
        <v>109.28</v>
      </c>
      <c r="H928">
        <v>0.2</v>
      </c>
      <c r="I928" t="s">
        <v>64</v>
      </c>
      <c r="J928">
        <v>11</v>
      </c>
      <c r="K928">
        <v>4.8</v>
      </c>
      <c r="L928" s="2">
        <v>524.54</v>
      </c>
      <c r="M928">
        <v>2024</v>
      </c>
      <c r="N928">
        <v>7</v>
      </c>
      <c r="O928" t="s">
        <v>110</v>
      </c>
      <c r="P928" s="2">
        <v>655.68</v>
      </c>
      <c r="Q928" s="2">
        <v>131.13999999999999</v>
      </c>
      <c r="R928" t="s">
        <v>76</v>
      </c>
      <c r="S928">
        <v>0</v>
      </c>
      <c r="T928">
        <v>0</v>
      </c>
      <c r="U928">
        <f>IF(AND(OR(Dashboard!$D$4="Semua",D928=Dashboard!$D$4),OR(Dashboard!$H$4="Semua",E928=Dashboard!$H$4)),1,0)</f>
        <v>1</v>
      </c>
      <c r="V928">
        <f>IF(U928=1,IF(COUNTIFS($C$2:C928,C928,$U$2:U928,1)=1,1,0),0)</f>
        <v>0</v>
      </c>
    </row>
    <row r="929" spans="1:22" x14ac:dyDescent="0.35">
      <c r="A929">
        <v>10928</v>
      </c>
      <c r="B929" s="1">
        <v>45489</v>
      </c>
      <c r="C929">
        <v>1226</v>
      </c>
      <c r="D929" t="s">
        <v>62</v>
      </c>
      <c r="E929" t="s">
        <v>78</v>
      </c>
      <c r="F929">
        <v>4</v>
      </c>
      <c r="G929" s="2">
        <v>264.37</v>
      </c>
      <c r="H929">
        <v>0.23</v>
      </c>
      <c r="I929" t="s">
        <v>68</v>
      </c>
      <c r="J929">
        <v>8</v>
      </c>
      <c r="K929">
        <v>2</v>
      </c>
      <c r="L929" s="2">
        <v>814.26</v>
      </c>
      <c r="M929">
        <v>2024</v>
      </c>
      <c r="N929">
        <v>7</v>
      </c>
      <c r="O929" t="s">
        <v>110</v>
      </c>
      <c r="P929" s="2">
        <v>1057.48</v>
      </c>
      <c r="Q929" s="2">
        <v>243.22</v>
      </c>
      <c r="R929" t="s">
        <v>77</v>
      </c>
      <c r="S929">
        <v>0</v>
      </c>
      <c r="T929">
        <v>0</v>
      </c>
      <c r="U929">
        <f>IF(AND(OR(Dashboard!$D$4="Semua",D929=Dashboard!$D$4),OR(Dashboard!$H$4="Semua",E929=Dashboard!$H$4)),1,0)</f>
        <v>1</v>
      </c>
      <c r="V929">
        <f>IF(U929=1,IF(COUNTIFS($C$2:C929,C929,$U$2:U929,1)=1,1,0),0)</f>
        <v>0</v>
      </c>
    </row>
    <row r="930" spans="1:22" x14ac:dyDescent="0.35">
      <c r="A930">
        <v>10929</v>
      </c>
      <c r="B930" s="1">
        <v>45490</v>
      </c>
      <c r="C930">
        <v>1658</v>
      </c>
      <c r="D930" t="s">
        <v>62</v>
      </c>
      <c r="E930" t="s">
        <v>78</v>
      </c>
      <c r="F930">
        <v>4</v>
      </c>
      <c r="G930" s="2">
        <v>91.64</v>
      </c>
      <c r="H930">
        <v>0.3</v>
      </c>
      <c r="I930" t="s">
        <v>68</v>
      </c>
      <c r="J930">
        <v>2</v>
      </c>
      <c r="K930">
        <v>4.4000000000000004</v>
      </c>
      <c r="L930" s="2">
        <v>256.58999999999997</v>
      </c>
      <c r="M930">
        <v>2024</v>
      </c>
      <c r="N930">
        <v>7</v>
      </c>
      <c r="O930" t="s">
        <v>110</v>
      </c>
      <c r="P930" s="2">
        <v>366.56</v>
      </c>
      <c r="Q930" s="2">
        <v>109.97</v>
      </c>
      <c r="R930" t="s">
        <v>66</v>
      </c>
      <c r="S930">
        <v>0</v>
      </c>
      <c r="T930">
        <v>0</v>
      </c>
      <c r="U930">
        <f>IF(AND(OR(Dashboard!$D$4="Semua",D930=Dashboard!$D$4),OR(Dashboard!$H$4="Semua",E930=Dashboard!$H$4)),1,0)</f>
        <v>1</v>
      </c>
      <c r="V930">
        <f>IF(U930=1,IF(COUNTIFS($C$2:C930,C930,$U$2:U930,1)=1,1,0),0)</f>
        <v>0</v>
      </c>
    </row>
    <row r="931" spans="1:22" x14ac:dyDescent="0.35">
      <c r="A931">
        <v>10930</v>
      </c>
      <c r="B931" s="1">
        <v>45491</v>
      </c>
      <c r="C931">
        <v>1531</v>
      </c>
      <c r="D931" t="s">
        <v>73</v>
      </c>
      <c r="E931" t="s">
        <v>78</v>
      </c>
      <c r="F931">
        <v>2</v>
      </c>
      <c r="G931" s="2">
        <v>423.91</v>
      </c>
      <c r="H931">
        <v>0.27</v>
      </c>
      <c r="I931" t="s">
        <v>68</v>
      </c>
      <c r="J931">
        <v>6</v>
      </c>
      <c r="K931">
        <v>2.2000000000000002</v>
      </c>
      <c r="L931" s="2">
        <v>618.91</v>
      </c>
      <c r="M931">
        <v>2024</v>
      </c>
      <c r="N931">
        <v>7</v>
      </c>
      <c r="O931" t="s">
        <v>110</v>
      </c>
      <c r="P931" s="2">
        <v>847.82</v>
      </c>
      <c r="Q931" s="2">
        <v>228.91</v>
      </c>
      <c r="R931" t="s">
        <v>66</v>
      </c>
      <c r="S931">
        <v>0</v>
      </c>
      <c r="T931">
        <v>0</v>
      </c>
      <c r="U931">
        <f>IF(AND(OR(Dashboard!$D$4="Semua",D931=Dashboard!$D$4),OR(Dashboard!$H$4="Semua",E931=Dashboard!$H$4)),1,0)</f>
        <v>1</v>
      </c>
      <c r="V931">
        <f>IF(U931=1,IF(COUNTIFS($C$2:C931,C931,$U$2:U931,1)=1,1,0),0)</f>
        <v>1</v>
      </c>
    </row>
    <row r="932" spans="1:22" x14ac:dyDescent="0.35">
      <c r="A932">
        <v>10931</v>
      </c>
      <c r="B932" s="1">
        <v>45492</v>
      </c>
      <c r="C932">
        <v>1440</v>
      </c>
      <c r="D932" t="s">
        <v>80</v>
      </c>
      <c r="E932" t="s">
        <v>70</v>
      </c>
      <c r="F932">
        <v>2</v>
      </c>
      <c r="G932" s="2">
        <v>281.89999999999998</v>
      </c>
      <c r="H932">
        <v>0.22</v>
      </c>
      <c r="I932" t="s">
        <v>64</v>
      </c>
      <c r="J932">
        <v>9</v>
      </c>
      <c r="K932">
        <v>2.7</v>
      </c>
      <c r="L932" s="2">
        <v>439.76</v>
      </c>
      <c r="M932">
        <v>2024</v>
      </c>
      <c r="N932">
        <v>7</v>
      </c>
      <c r="O932" t="s">
        <v>110</v>
      </c>
      <c r="P932" s="2">
        <v>563.79999999999995</v>
      </c>
      <c r="Q932" s="2">
        <v>124.04</v>
      </c>
      <c r="R932" t="s">
        <v>77</v>
      </c>
      <c r="S932">
        <v>0</v>
      </c>
      <c r="T932">
        <v>0</v>
      </c>
      <c r="U932">
        <f>IF(AND(OR(Dashboard!$D$4="Semua",D932=Dashboard!$D$4),OR(Dashboard!$H$4="Semua",E932=Dashboard!$H$4)),1,0)</f>
        <v>1</v>
      </c>
      <c r="V932">
        <f>IF(U932=1,IF(COUNTIFS($C$2:C932,C932,$U$2:U932,1)=1,1,0),0)</f>
        <v>1</v>
      </c>
    </row>
    <row r="933" spans="1:22" x14ac:dyDescent="0.35">
      <c r="A933">
        <v>10932</v>
      </c>
      <c r="B933" s="1">
        <v>45493</v>
      </c>
      <c r="C933">
        <v>1401</v>
      </c>
      <c r="D933" t="s">
        <v>73</v>
      </c>
      <c r="E933" t="s">
        <v>78</v>
      </c>
      <c r="F933">
        <v>4</v>
      </c>
      <c r="G933" s="2">
        <v>325.72000000000003</v>
      </c>
      <c r="H933">
        <v>0.34</v>
      </c>
      <c r="I933" t="s">
        <v>64</v>
      </c>
      <c r="J933">
        <v>5</v>
      </c>
      <c r="K933">
        <v>1.9</v>
      </c>
      <c r="L933" s="2">
        <v>859.9</v>
      </c>
      <c r="M933">
        <v>2024</v>
      </c>
      <c r="N933">
        <v>7</v>
      </c>
      <c r="O933" t="s">
        <v>110</v>
      </c>
      <c r="P933" s="2">
        <v>1302.8800000000001</v>
      </c>
      <c r="Q933" s="2">
        <v>442.98</v>
      </c>
      <c r="R933" t="s">
        <v>72</v>
      </c>
      <c r="S933">
        <v>0</v>
      </c>
      <c r="T933">
        <v>0</v>
      </c>
      <c r="U933">
        <f>IF(AND(OR(Dashboard!$D$4="Semua",D933=Dashboard!$D$4),OR(Dashboard!$H$4="Semua",E933=Dashboard!$H$4)),1,0)</f>
        <v>1</v>
      </c>
      <c r="V933">
        <f>IF(U933=1,IF(COUNTIFS($C$2:C933,C933,$U$2:U933,1)=1,1,0),0)</f>
        <v>0</v>
      </c>
    </row>
    <row r="934" spans="1:22" x14ac:dyDescent="0.35">
      <c r="A934">
        <v>10933</v>
      </c>
      <c r="B934" s="1">
        <v>45494</v>
      </c>
      <c r="C934">
        <v>1046</v>
      </c>
      <c r="D934" t="s">
        <v>80</v>
      </c>
      <c r="E934" t="s">
        <v>63</v>
      </c>
      <c r="F934">
        <v>5</v>
      </c>
      <c r="G934" s="2">
        <v>100.63</v>
      </c>
      <c r="H934">
        <v>0.24</v>
      </c>
      <c r="I934" t="s">
        <v>68</v>
      </c>
      <c r="J934">
        <v>1</v>
      </c>
      <c r="K934">
        <v>4.5</v>
      </c>
      <c r="L934" s="2">
        <v>382.39</v>
      </c>
      <c r="M934">
        <v>2024</v>
      </c>
      <c r="N934">
        <v>7</v>
      </c>
      <c r="O934" t="s">
        <v>110</v>
      </c>
      <c r="P934" s="2">
        <v>503.15</v>
      </c>
      <c r="Q934" s="2">
        <v>120.76</v>
      </c>
      <c r="R934" t="s">
        <v>77</v>
      </c>
      <c r="S934">
        <v>0</v>
      </c>
      <c r="T934">
        <v>0</v>
      </c>
      <c r="U934">
        <f>IF(AND(OR(Dashboard!$D$4="Semua",D934=Dashboard!$D$4),OR(Dashboard!$H$4="Semua",E934=Dashboard!$H$4)),1,0)</f>
        <v>1</v>
      </c>
      <c r="V934">
        <f>IF(U934=1,IF(COUNTIFS($C$2:C934,C934,$U$2:U934,1)=1,1,0),0)</f>
        <v>0</v>
      </c>
    </row>
    <row r="935" spans="1:22" x14ac:dyDescent="0.35">
      <c r="A935">
        <v>10934</v>
      </c>
      <c r="B935" s="1">
        <v>45495</v>
      </c>
      <c r="C935">
        <v>1232</v>
      </c>
      <c r="D935" t="s">
        <v>62</v>
      </c>
      <c r="E935" t="s">
        <v>70</v>
      </c>
      <c r="F935">
        <v>2</v>
      </c>
      <c r="G935" s="2">
        <v>96.77</v>
      </c>
      <c r="H935">
        <v>0.34</v>
      </c>
      <c r="I935" t="s">
        <v>71</v>
      </c>
      <c r="J935">
        <v>8</v>
      </c>
      <c r="K935">
        <v>1.8</v>
      </c>
      <c r="L935" s="2">
        <v>127.74</v>
      </c>
      <c r="M935">
        <v>2024</v>
      </c>
      <c r="N935">
        <v>7</v>
      </c>
      <c r="O935" t="s">
        <v>110</v>
      </c>
      <c r="P935" s="2">
        <v>193.54</v>
      </c>
      <c r="Q935" s="2">
        <v>65.8</v>
      </c>
      <c r="R935" t="s">
        <v>72</v>
      </c>
      <c r="S935">
        <v>0</v>
      </c>
      <c r="T935">
        <v>0</v>
      </c>
      <c r="U935">
        <f>IF(AND(OR(Dashboard!$D$4="Semua",D935=Dashboard!$D$4),OR(Dashboard!$H$4="Semua",E935=Dashboard!$H$4)),1,0)</f>
        <v>1</v>
      </c>
      <c r="V935">
        <f>IF(U935=1,IF(COUNTIFS($C$2:C935,C935,$U$2:U935,1)=1,1,0),0)</f>
        <v>0</v>
      </c>
    </row>
    <row r="936" spans="1:22" x14ac:dyDescent="0.35">
      <c r="A936">
        <v>10935</v>
      </c>
      <c r="B936" s="1">
        <v>45496</v>
      </c>
      <c r="C936">
        <v>1304</v>
      </c>
      <c r="D936" t="s">
        <v>73</v>
      </c>
      <c r="E936" t="s">
        <v>63</v>
      </c>
      <c r="F936">
        <v>2</v>
      </c>
      <c r="G936" s="2">
        <v>356.3</v>
      </c>
      <c r="H936">
        <v>0.02</v>
      </c>
      <c r="I936" t="s">
        <v>68</v>
      </c>
      <c r="J936">
        <v>4</v>
      </c>
      <c r="K936">
        <v>4.4000000000000004</v>
      </c>
      <c r="L936" s="2">
        <v>698.35</v>
      </c>
      <c r="M936">
        <v>2024</v>
      </c>
      <c r="N936">
        <v>7</v>
      </c>
      <c r="O936" t="s">
        <v>110</v>
      </c>
      <c r="P936" s="2">
        <v>712.6</v>
      </c>
      <c r="Q936" s="2">
        <v>14.25</v>
      </c>
      <c r="R936" t="s">
        <v>75</v>
      </c>
      <c r="S936">
        <v>0</v>
      </c>
      <c r="T936">
        <v>0</v>
      </c>
      <c r="U936">
        <f>IF(AND(OR(Dashboard!$D$4="Semua",D936=Dashboard!$D$4),OR(Dashboard!$H$4="Semua",E936=Dashboard!$H$4)),1,0)</f>
        <v>1</v>
      </c>
      <c r="V936">
        <f>IF(U936=1,IF(COUNTIFS($C$2:C936,C936,$U$2:U936,1)=1,1,0),0)</f>
        <v>0</v>
      </c>
    </row>
    <row r="937" spans="1:22" x14ac:dyDescent="0.35">
      <c r="A937">
        <v>10936</v>
      </c>
      <c r="B937" s="1">
        <v>45497</v>
      </c>
      <c r="C937">
        <v>1525</v>
      </c>
      <c r="D937" t="s">
        <v>62</v>
      </c>
      <c r="E937" t="s">
        <v>74</v>
      </c>
      <c r="F937">
        <v>1</v>
      </c>
      <c r="G937" s="2">
        <v>591.23</v>
      </c>
      <c r="H937">
        <v>0.05</v>
      </c>
      <c r="I937" t="s">
        <v>71</v>
      </c>
      <c r="J937">
        <v>8</v>
      </c>
      <c r="K937">
        <v>2.8</v>
      </c>
      <c r="L937" s="2">
        <v>561.66999999999996</v>
      </c>
      <c r="M937">
        <v>2024</v>
      </c>
      <c r="N937">
        <v>7</v>
      </c>
      <c r="O937" t="s">
        <v>110</v>
      </c>
      <c r="P937" s="2">
        <v>591.23</v>
      </c>
      <c r="Q937" s="2">
        <v>29.56</v>
      </c>
      <c r="R937" t="s">
        <v>75</v>
      </c>
      <c r="S937">
        <v>0</v>
      </c>
      <c r="T937">
        <v>0</v>
      </c>
      <c r="U937">
        <f>IF(AND(OR(Dashboard!$D$4="Semua",D937=Dashboard!$D$4),OR(Dashboard!$H$4="Semua",E937=Dashboard!$H$4)),1,0)</f>
        <v>1</v>
      </c>
      <c r="V937">
        <f>IF(U937=1,IF(COUNTIFS($C$2:C937,C937,$U$2:U937,1)=1,1,0),0)</f>
        <v>1</v>
      </c>
    </row>
    <row r="938" spans="1:22" x14ac:dyDescent="0.35">
      <c r="A938">
        <v>10937</v>
      </c>
      <c r="B938" s="1">
        <v>45498</v>
      </c>
      <c r="C938">
        <v>1142</v>
      </c>
      <c r="D938" t="s">
        <v>67</v>
      </c>
      <c r="E938" t="s">
        <v>70</v>
      </c>
      <c r="F938">
        <v>6</v>
      </c>
      <c r="G938" s="2">
        <v>71.31</v>
      </c>
      <c r="H938">
        <v>0.16</v>
      </c>
      <c r="I938" t="s">
        <v>64</v>
      </c>
      <c r="J938">
        <v>4</v>
      </c>
      <c r="K938">
        <v>4.3</v>
      </c>
      <c r="L938" s="2">
        <v>359.4</v>
      </c>
      <c r="M938">
        <v>2024</v>
      </c>
      <c r="N938">
        <v>7</v>
      </c>
      <c r="O938" t="s">
        <v>110</v>
      </c>
      <c r="P938" s="2">
        <v>427.86</v>
      </c>
      <c r="Q938" s="2">
        <v>68.459999999999994</v>
      </c>
      <c r="R938" t="s">
        <v>76</v>
      </c>
      <c r="S938">
        <v>0</v>
      </c>
      <c r="T938">
        <v>0</v>
      </c>
      <c r="U938">
        <f>IF(AND(OR(Dashboard!$D$4="Semua",D938=Dashboard!$D$4),OR(Dashboard!$H$4="Semua",E938=Dashboard!$H$4)),1,0)</f>
        <v>1</v>
      </c>
      <c r="V938">
        <f>IF(U938=1,IF(COUNTIFS($C$2:C938,C938,$U$2:U938,1)=1,1,0),0)</f>
        <v>0</v>
      </c>
    </row>
    <row r="939" spans="1:22" x14ac:dyDescent="0.35">
      <c r="A939">
        <v>10938</v>
      </c>
      <c r="B939" s="1">
        <v>45499</v>
      </c>
      <c r="C939">
        <v>1414</v>
      </c>
      <c r="D939" t="s">
        <v>62</v>
      </c>
      <c r="E939" t="s">
        <v>63</v>
      </c>
      <c r="F939">
        <v>1</v>
      </c>
      <c r="G939" s="2">
        <v>182.15</v>
      </c>
      <c r="H939">
        <v>0.13</v>
      </c>
      <c r="I939" t="s">
        <v>68</v>
      </c>
      <c r="J939">
        <v>11</v>
      </c>
      <c r="K939">
        <v>2.1</v>
      </c>
      <c r="L939" s="2">
        <v>158.47</v>
      </c>
      <c r="M939">
        <v>2024</v>
      </c>
      <c r="N939">
        <v>7</v>
      </c>
      <c r="O939" t="s">
        <v>110</v>
      </c>
      <c r="P939" s="2">
        <v>182.15</v>
      </c>
      <c r="Q939" s="2">
        <v>23.68</v>
      </c>
      <c r="R939" t="s">
        <v>79</v>
      </c>
      <c r="S939">
        <v>0</v>
      </c>
      <c r="T939">
        <v>0</v>
      </c>
      <c r="U939">
        <f>IF(AND(OR(Dashboard!$D$4="Semua",D939=Dashboard!$D$4),OR(Dashboard!$H$4="Semua",E939=Dashboard!$H$4)),1,0)</f>
        <v>1</v>
      </c>
      <c r="V939">
        <f>IF(U939=1,IF(COUNTIFS($C$2:C939,C939,$U$2:U939,1)=1,1,0),0)</f>
        <v>0</v>
      </c>
    </row>
    <row r="940" spans="1:22" x14ac:dyDescent="0.35">
      <c r="A940">
        <v>10939</v>
      </c>
      <c r="B940" s="1">
        <v>45500</v>
      </c>
      <c r="C940">
        <v>1512</v>
      </c>
      <c r="D940" t="s">
        <v>67</v>
      </c>
      <c r="E940" t="s">
        <v>63</v>
      </c>
      <c r="F940">
        <v>5</v>
      </c>
      <c r="G940" s="2">
        <v>523.63</v>
      </c>
      <c r="H940">
        <v>0.27</v>
      </c>
      <c r="I940" t="s">
        <v>64</v>
      </c>
      <c r="J940">
        <v>8</v>
      </c>
      <c r="K940">
        <v>1.5</v>
      </c>
      <c r="L940" s="2">
        <v>1911.25</v>
      </c>
      <c r="M940">
        <v>2024</v>
      </c>
      <c r="N940">
        <v>7</v>
      </c>
      <c r="O940" t="s">
        <v>110</v>
      </c>
      <c r="P940" s="2">
        <v>2618.15</v>
      </c>
      <c r="Q940" s="2">
        <v>706.9</v>
      </c>
      <c r="R940" t="s">
        <v>66</v>
      </c>
      <c r="S940">
        <v>0</v>
      </c>
      <c r="T940">
        <v>0</v>
      </c>
      <c r="U940">
        <f>IF(AND(OR(Dashboard!$D$4="Semua",D940=Dashboard!$D$4),OR(Dashboard!$H$4="Semua",E940=Dashboard!$H$4)),1,0)</f>
        <v>1</v>
      </c>
      <c r="V940">
        <f>IF(U940=1,IF(COUNTIFS($C$2:C940,C940,$U$2:U940,1)=1,1,0),0)</f>
        <v>0</v>
      </c>
    </row>
    <row r="941" spans="1:22" x14ac:dyDescent="0.35">
      <c r="A941">
        <v>10940</v>
      </c>
      <c r="B941" s="1">
        <v>45501</v>
      </c>
      <c r="C941">
        <v>1372</v>
      </c>
      <c r="D941" t="s">
        <v>80</v>
      </c>
      <c r="E941" t="s">
        <v>70</v>
      </c>
      <c r="F941">
        <v>2</v>
      </c>
      <c r="G941" s="2">
        <v>57.28</v>
      </c>
      <c r="H941">
        <v>0.06</v>
      </c>
      <c r="I941" t="s">
        <v>64</v>
      </c>
      <c r="J941">
        <v>9</v>
      </c>
      <c r="K941">
        <v>3.2</v>
      </c>
      <c r="L941" s="2">
        <v>107.69</v>
      </c>
      <c r="M941">
        <v>2024</v>
      </c>
      <c r="N941">
        <v>7</v>
      </c>
      <c r="O941" t="s">
        <v>110</v>
      </c>
      <c r="P941" s="2">
        <v>114.56</v>
      </c>
      <c r="Q941" s="2">
        <v>6.87</v>
      </c>
      <c r="R941" t="s">
        <v>69</v>
      </c>
      <c r="S941">
        <v>0</v>
      </c>
      <c r="T941">
        <v>0</v>
      </c>
      <c r="U941">
        <f>IF(AND(OR(Dashboard!$D$4="Semua",D941=Dashboard!$D$4),OR(Dashboard!$H$4="Semua",E941=Dashboard!$H$4)),1,0)</f>
        <v>1</v>
      </c>
      <c r="V941">
        <f>IF(U941=1,IF(COUNTIFS($C$2:C941,C941,$U$2:U941,1)=1,1,0),0)</f>
        <v>0</v>
      </c>
    </row>
    <row r="942" spans="1:22" x14ac:dyDescent="0.35">
      <c r="A942">
        <v>10941</v>
      </c>
      <c r="B942" s="1">
        <v>45502</v>
      </c>
      <c r="C942">
        <v>1565</v>
      </c>
      <c r="D942" t="s">
        <v>73</v>
      </c>
      <c r="E942" t="s">
        <v>74</v>
      </c>
      <c r="F942">
        <v>7</v>
      </c>
      <c r="G942" s="2">
        <v>527.39</v>
      </c>
      <c r="H942">
        <v>0.34</v>
      </c>
      <c r="I942" t="s">
        <v>64</v>
      </c>
      <c r="J942">
        <v>5</v>
      </c>
      <c r="K942">
        <v>3</v>
      </c>
      <c r="L942" s="2">
        <v>2436.54</v>
      </c>
      <c r="M942">
        <v>2024</v>
      </c>
      <c r="N942">
        <v>7</v>
      </c>
      <c r="O942" t="s">
        <v>110</v>
      </c>
      <c r="P942" s="2">
        <v>3691.73</v>
      </c>
      <c r="Q942" s="2">
        <v>1255.19</v>
      </c>
      <c r="R942" t="s">
        <v>72</v>
      </c>
      <c r="S942">
        <v>0</v>
      </c>
      <c r="T942">
        <v>0</v>
      </c>
      <c r="U942">
        <f>IF(AND(OR(Dashboard!$D$4="Semua",D942=Dashboard!$D$4),OR(Dashboard!$H$4="Semua",E942=Dashboard!$H$4)),1,0)</f>
        <v>1</v>
      </c>
      <c r="V942">
        <f>IF(U942=1,IF(COUNTIFS($C$2:C942,C942,$U$2:U942,1)=1,1,0),0)</f>
        <v>0</v>
      </c>
    </row>
    <row r="943" spans="1:22" x14ac:dyDescent="0.35">
      <c r="A943">
        <v>10942</v>
      </c>
      <c r="B943" s="1">
        <v>45503</v>
      </c>
      <c r="C943">
        <v>1885</v>
      </c>
      <c r="D943" t="s">
        <v>73</v>
      </c>
      <c r="E943" t="s">
        <v>70</v>
      </c>
      <c r="F943">
        <v>2</v>
      </c>
      <c r="G943" s="2">
        <v>321.70999999999998</v>
      </c>
      <c r="H943">
        <v>0.11</v>
      </c>
      <c r="I943" t="s">
        <v>68</v>
      </c>
      <c r="J943">
        <v>5</v>
      </c>
      <c r="K943">
        <v>2.4</v>
      </c>
      <c r="L943" s="2">
        <v>572.64</v>
      </c>
      <c r="M943">
        <v>2024</v>
      </c>
      <c r="N943">
        <v>7</v>
      </c>
      <c r="O943" t="s">
        <v>110</v>
      </c>
      <c r="P943" s="2">
        <v>643.41999999999996</v>
      </c>
      <c r="Q943" s="2">
        <v>70.78</v>
      </c>
      <c r="R943" t="s">
        <v>79</v>
      </c>
      <c r="S943">
        <v>0</v>
      </c>
      <c r="T943">
        <v>0</v>
      </c>
      <c r="U943">
        <f>IF(AND(OR(Dashboard!$D$4="Semua",D943=Dashboard!$D$4),OR(Dashboard!$H$4="Semua",E943=Dashboard!$H$4)),1,0)</f>
        <v>1</v>
      </c>
      <c r="V943">
        <f>IF(U943=1,IF(COUNTIFS($C$2:C943,C943,$U$2:U943,1)=1,1,0),0)</f>
        <v>0</v>
      </c>
    </row>
    <row r="944" spans="1:22" x14ac:dyDescent="0.35">
      <c r="A944">
        <v>10943</v>
      </c>
      <c r="B944" s="1">
        <v>45504</v>
      </c>
      <c r="C944">
        <v>1258</v>
      </c>
      <c r="D944" t="s">
        <v>73</v>
      </c>
      <c r="E944" t="s">
        <v>78</v>
      </c>
      <c r="F944">
        <v>3</v>
      </c>
      <c r="G944" s="2">
        <v>253.84</v>
      </c>
      <c r="H944">
        <v>0.15</v>
      </c>
      <c r="I944" t="s">
        <v>68</v>
      </c>
      <c r="J944">
        <v>2</v>
      </c>
      <c r="K944">
        <v>3.7</v>
      </c>
      <c r="L944" s="2">
        <v>647.29</v>
      </c>
      <c r="M944">
        <v>2024</v>
      </c>
      <c r="N944">
        <v>7</v>
      </c>
      <c r="O944" t="s">
        <v>110</v>
      </c>
      <c r="P944" s="2">
        <v>761.52</v>
      </c>
      <c r="Q944" s="2">
        <v>114.23</v>
      </c>
      <c r="R944" t="s">
        <v>79</v>
      </c>
      <c r="S944">
        <v>0</v>
      </c>
      <c r="T944">
        <v>0</v>
      </c>
      <c r="U944">
        <f>IF(AND(OR(Dashboard!$D$4="Semua",D944=Dashboard!$D$4),OR(Dashboard!$H$4="Semua",E944=Dashboard!$H$4)),1,0)</f>
        <v>1</v>
      </c>
      <c r="V944">
        <f>IF(U944=1,IF(COUNTIFS($C$2:C944,C944,$U$2:U944,1)=1,1,0),0)</f>
        <v>0</v>
      </c>
    </row>
    <row r="945" spans="1:22" x14ac:dyDescent="0.35">
      <c r="A945">
        <v>10944</v>
      </c>
      <c r="B945" s="1">
        <v>45505</v>
      </c>
      <c r="C945">
        <v>1655</v>
      </c>
      <c r="D945" t="s">
        <v>62</v>
      </c>
      <c r="E945" t="s">
        <v>78</v>
      </c>
      <c r="F945">
        <v>5</v>
      </c>
      <c r="G945" s="2">
        <v>196.16</v>
      </c>
      <c r="H945">
        <v>0.1</v>
      </c>
      <c r="I945" t="s">
        <v>68</v>
      </c>
      <c r="J945">
        <v>9</v>
      </c>
      <c r="K945">
        <v>1.4</v>
      </c>
      <c r="L945" s="2">
        <v>882.72</v>
      </c>
      <c r="M945">
        <v>2024</v>
      </c>
      <c r="N945">
        <v>8</v>
      </c>
      <c r="O945" t="s">
        <v>111</v>
      </c>
      <c r="P945" s="2">
        <v>980.8</v>
      </c>
      <c r="Q945" s="2">
        <v>98.08</v>
      </c>
      <c r="R945" t="s">
        <v>69</v>
      </c>
      <c r="S945">
        <v>0</v>
      </c>
      <c r="T945">
        <v>0</v>
      </c>
      <c r="U945">
        <f>IF(AND(OR(Dashboard!$D$4="Semua",D945=Dashboard!$D$4),OR(Dashboard!$H$4="Semua",E945=Dashboard!$H$4)),1,0)</f>
        <v>1</v>
      </c>
      <c r="V945">
        <f>IF(U945=1,IF(COUNTIFS($C$2:C945,C945,$U$2:U945,1)=1,1,0),0)</f>
        <v>0</v>
      </c>
    </row>
    <row r="946" spans="1:22" x14ac:dyDescent="0.35">
      <c r="A946">
        <v>10945</v>
      </c>
      <c r="B946" s="1">
        <v>45506</v>
      </c>
      <c r="C946">
        <v>1470</v>
      </c>
      <c r="D946" t="s">
        <v>80</v>
      </c>
      <c r="E946" t="s">
        <v>74</v>
      </c>
      <c r="F946">
        <v>7</v>
      </c>
      <c r="G946" s="2">
        <v>188.81</v>
      </c>
      <c r="H946">
        <v>0.2</v>
      </c>
      <c r="I946" t="s">
        <v>71</v>
      </c>
      <c r="J946">
        <v>11</v>
      </c>
      <c r="K946">
        <v>3.5</v>
      </c>
      <c r="L946" s="2">
        <v>1057.3399999999999</v>
      </c>
      <c r="M946">
        <v>2024</v>
      </c>
      <c r="N946">
        <v>8</v>
      </c>
      <c r="O946" t="s">
        <v>111</v>
      </c>
      <c r="P946" s="2">
        <v>1321.67</v>
      </c>
      <c r="Q946" s="2">
        <v>264.33</v>
      </c>
      <c r="R946" t="s">
        <v>76</v>
      </c>
      <c r="S946">
        <v>0</v>
      </c>
      <c r="T946">
        <v>0</v>
      </c>
      <c r="U946">
        <f>IF(AND(OR(Dashboard!$D$4="Semua",D946=Dashboard!$D$4),OR(Dashboard!$H$4="Semua",E946=Dashboard!$H$4)),1,0)</f>
        <v>1</v>
      </c>
      <c r="V946">
        <f>IF(U946=1,IF(COUNTIFS($C$2:C946,C946,$U$2:U946,1)=1,1,0),0)</f>
        <v>0</v>
      </c>
    </row>
    <row r="947" spans="1:22" x14ac:dyDescent="0.35">
      <c r="A947">
        <v>10946</v>
      </c>
      <c r="B947" s="1">
        <v>45507</v>
      </c>
      <c r="C947">
        <v>1952</v>
      </c>
      <c r="D947" t="s">
        <v>62</v>
      </c>
      <c r="E947" t="s">
        <v>63</v>
      </c>
      <c r="F947">
        <v>6</v>
      </c>
      <c r="G947" s="2">
        <v>193.89</v>
      </c>
      <c r="H947">
        <v>0.02</v>
      </c>
      <c r="I947" t="s">
        <v>71</v>
      </c>
      <c r="J947">
        <v>4</v>
      </c>
      <c r="K947">
        <v>1.8</v>
      </c>
      <c r="L947" s="2">
        <v>1140.07</v>
      </c>
      <c r="M947">
        <v>2024</v>
      </c>
      <c r="N947">
        <v>8</v>
      </c>
      <c r="O947" t="s">
        <v>111</v>
      </c>
      <c r="P947" s="2">
        <v>1163.3399999999999</v>
      </c>
      <c r="Q947" s="2">
        <v>23.27</v>
      </c>
      <c r="R947" t="s">
        <v>75</v>
      </c>
      <c r="S947">
        <v>0</v>
      </c>
      <c r="T947">
        <v>0</v>
      </c>
      <c r="U947">
        <f>IF(AND(OR(Dashboard!$D$4="Semua",D947=Dashboard!$D$4),OR(Dashboard!$H$4="Semua",E947=Dashboard!$H$4)),1,0)</f>
        <v>1</v>
      </c>
      <c r="V947">
        <f>IF(U947=1,IF(COUNTIFS($C$2:C947,C947,$U$2:U947,1)=1,1,0),0)</f>
        <v>0</v>
      </c>
    </row>
    <row r="948" spans="1:22" x14ac:dyDescent="0.35">
      <c r="A948">
        <v>10947</v>
      </c>
      <c r="B948" s="1">
        <v>45508</v>
      </c>
      <c r="C948">
        <v>1970</v>
      </c>
      <c r="D948" t="s">
        <v>62</v>
      </c>
      <c r="E948" t="s">
        <v>63</v>
      </c>
      <c r="F948">
        <v>6</v>
      </c>
      <c r="G948" s="2">
        <v>532.61</v>
      </c>
      <c r="H948">
        <v>0.05</v>
      </c>
      <c r="I948" t="s">
        <v>68</v>
      </c>
      <c r="J948">
        <v>3</v>
      </c>
      <c r="K948">
        <v>1.5</v>
      </c>
      <c r="L948" s="2">
        <v>3035.88</v>
      </c>
      <c r="M948">
        <v>2024</v>
      </c>
      <c r="N948">
        <v>8</v>
      </c>
      <c r="O948" t="s">
        <v>111</v>
      </c>
      <c r="P948" s="2">
        <v>3195.66</v>
      </c>
      <c r="Q948" s="2">
        <v>159.78</v>
      </c>
      <c r="R948" t="s">
        <v>75</v>
      </c>
      <c r="S948">
        <v>0</v>
      </c>
      <c r="T948">
        <v>0</v>
      </c>
      <c r="U948">
        <f>IF(AND(OR(Dashboard!$D$4="Semua",D948=Dashboard!$D$4),OR(Dashboard!$H$4="Semua",E948=Dashboard!$H$4)),1,0)</f>
        <v>1</v>
      </c>
      <c r="V948">
        <f>IF(U948=1,IF(COUNTIFS($C$2:C948,C948,$U$2:U948,1)=1,1,0),0)</f>
        <v>1</v>
      </c>
    </row>
    <row r="949" spans="1:22" x14ac:dyDescent="0.35">
      <c r="A949">
        <v>10948</v>
      </c>
      <c r="B949" s="1">
        <v>45509</v>
      </c>
      <c r="C949">
        <v>1011</v>
      </c>
      <c r="D949" t="s">
        <v>73</v>
      </c>
      <c r="E949" t="s">
        <v>63</v>
      </c>
      <c r="F949">
        <v>7</v>
      </c>
      <c r="G949" s="2">
        <v>438.42</v>
      </c>
      <c r="H949">
        <v>0.26</v>
      </c>
      <c r="I949" t="s">
        <v>71</v>
      </c>
      <c r="J949">
        <v>2</v>
      </c>
      <c r="K949">
        <v>4.5999999999999996</v>
      </c>
      <c r="L949" s="2">
        <v>2271.02</v>
      </c>
      <c r="M949">
        <v>2024</v>
      </c>
      <c r="N949">
        <v>8</v>
      </c>
      <c r="O949" t="s">
        <v>111</v>
      </c>
      <c r="P949" s="2">
        <v>3068.94</v>
      </c>
      <c r="Q949" s="2">
        <v>797.92</v>
      </c>
      <c r="R949" t="s">
        <v>66</v>
      </c>
      <c r="S949">
        <v>0</v>
      </c>
      <c r="T949">
        <v>0</v>
      </c>
      <c r="U949">
        <f>IF(AND(OR(Dashboard!$D$4="Semua",D949=Dashboard!$D$4),OR(Dashboard!$H$4="Semua",E949=Dashboard!$H$4)),1,0)</f>
        <v>1</v>
      </c>
      <c r="V949">
        <f>IF(U949=1,IF(COUNTIFS($C$2:C949,C949,$U$2:U949,1)=1,1,0),0)</f>
        <v>0</v>
      </c>
    </row>
    <row r="950" spans="1:22" x14ac:dyDescent="0.35">
      <c r="A950">
        <v>10949</v>
      </c>
      <c r="B950" s="1">
        <v>45510</v>
      </c>
      <c r="C950">
        <v>1329</v>
      </c>
      <c r="D950" t="s">
        <v>67</v>
      </c>
      <c r="E950" t="s">
        <v>70</v>
      </c>
      <c r="F950">
        <v>6</v>
      </c>
      <c r="G950" s="2">
        <v>406.79</v>
      </c>
      <c r="H950">
        <v>7.0000000000000007E-2</v>
      </c>
      <c r="I950" t="s">
        <v>68</v>
      </c>
      <c r="J950">
        <v>3</v>
      </c>
      <c r="K950">
        <v>2.8</v>
      </c>
      <c r="L950" s="2">
        <v>2269.89</v>
      </c>
      <c r="M950">
        <v>2024</v>
      </c>
      <c r="N950">
        <v>8</v>
      </c>
      <c r="O950" t="s">
        <v>111</v>
      </c>
      <c r="P950" s="2">
        <v>2440.7399999999998</v>
      </c>
      <c r="Q950" s="2">
        <v>170.85</v>
      </c>
      <c r="R950" t="s">
        <v>69</v>
      </c>
      <c r="S950">
        <v>0</v>
      </c>
      <c r="T950">
        <v>0</v>
      </c>
      <c r="U950">
        <f>IF(AND(OR(Dashboard!$D$4="Semua",D950=Dashboard!$D$4),OR(Dashboard!$H$4="Semua",E950=Dashboard!$H$4)),1,0)</f>
        <v>1</v>
      </c>
      <c r="V950">
        <f>IF(U950=1,IF(COUNTIFS($C$2:C950,C950,$U$2:U950,1)=1,1,0),0)</f>
        <v>1</v>
      </c>
    </row>
    <row r="951" spans="1:22" x14ac:dyDescent="0.35">
      <c r="A951">
        <v>10950</v>
      </c>
      <c r="B951" s="1">
        <v>45511</v>
      </c>
      <c r="C951">
        <v>1735</v>
      </c>
      <c r="D951" t="s">
        <v>73</v>
      </c>
      <c r="E951" t="s">
        <v>70</v>
      </c>
      <c r="F951">
        <v>7</v>
      </c>
      <c r="G951" s="2">
        <v>482.27</v>
      </c>
      <c r="H951">
        <v>0.08</v>
      </c>
      <c r="I951" t="s">
        <v>68</v>
      </c>
      <c r="J951">
        <v>4</v>
      </c>
      <c r="K951">
        <v>4.0999999999999996</v>
      </c>
      <c r="L951" s="2">
        <v>3105.82</v>
      </c>
      <c r="M951">
        <v>2024</v>
      </c>
      <c r="N951">
        <v>8</v>
      </c>
      <c r="O951" t="s">
        <v>111</v>
      </c>
      <c r="P951" s="2">
        <v>3375.89</v>
      </c>
      <c r="Q951" s="2">
        <v>270.07</v>
      </c>
      <c r="R951" t="s">
        <v>69</v>
      </c>
      <c r="S951">
        <v>0</v>
      </c>
      <c r="T951">
        <v>0</v>
      </c>
      <c r="U951">
        <f>IF(AND(OR(Dashboard!$D$4="Semua",D951=Dashboard!$D$4),OR(Dashboard!$H$4="Semua",E951=Dashboard!$H$4)),1,0)</f>
        <v>1</v>
      </c>
      <c r="V951">
        <f>IF(U951=1,IF(COUNTIFS($C$2:C951,C951,$U$2:U951,1)=1,1,0),0)</f>
        <v>0</v>
      </c>
    </row>
    <row r="952" spans="1:22" x14ac:dyDescent="0.35">
      <c r="A952">
        <v>10951</v>
      </c>
      <c r="B952" s="1">
        <v>45512</v>
      </c>
      <c r="C952">
        <v>1783</v>
      </c>
      <c r="D952" t="s">
        <v>73</v>
      </c>
      <c r="E952" t="s">
        <v>74</v>
      </c>
      <c r="F952">
        <v>5</v>
      </c>
      <c r="G952" s="2">
        <v>165.41</v>
      </c>
      <c r="H952">
        <v>0.28000000000000003</v>
      </c>
      <c r="I952" t="s">
        <v>68</v>
      </c>
      <c r="J952">
        <v>9</v>
      </c>
      <c r="K952">
        <v>1.4</v>
      </c>
      <c r="L952" s="2">
        <v>595.48</v>
      </c>
      <c r="M952">
        <v>2024</v>
      </c>
      <c r="N952">
        <v>8</v>
      </c>
      <c r="O952" t="s">
        <v>111</v>
      </c>
      <c r="P952" s="2">
        <v>827.05</v>
      </c>
      <c r="Q952" s="2">
        <v>231.57</v>
      </c>
      <c r="R952" t="s">
        <v>66</v>
      </c>
      <c r="S952">
        <v>0</v>
      </c>
      <c r="T952">
        <v>0</v>
      </c>
      <c r="U952">
        <f>IF(AND(OR(Dashboard!$D$4="Semua",D952=Dashboard!$D$4),OR(Dashboard!$H$4="Semua",E952=Dashboard!$H$4)),1,0)</f>
        <v>1</v>
      </c>
      <c r="V952">
        <f>IF(U952=1,IF(COUNTIFS($C$2:C952,C952,$U$2:U952,1)=1,1,0),0)</f>
        <v>1</v>
      </c>
    </row>
    <row r="953" spans="1:22" x14ac:dyDescent="0.35">
      <c r="A953">
        <v>10952</v>
      </c>
      <c r="B953" s="1">
        <v>45513</v>
      </c>
      <c r="C953">
        <v>1967</v>
      </c>
      <c r="D953" t="s">
        <v>73</v>
      </c>
      <c r="E953" t="s">
        <v>78</v>
      </c>
      <c r="F953">
        <v>7</v>
      </c>
      <c r="G953" s="2">
        <v>376.56</v>
      </c>
      <c r="H953">
        <v>0.03</v>
      </c>
      <c r="I953" t="s">
        <v>68</v>
      </c>
      <c r="J953">
        <v>6</v>
      </c>
      <c r="K953">
        <v>1.2</v>
      </c>
      <c r="L953" s="2">
        <v>2556.84</v>
      </c>
      <c r="M953">
        <v>2024</v>
      </c>
      <c r="N953">
        <v>8</v>
      </c>
      <c r="O953" t="s">
        <v>111</v>
      </c>
      <c r="P953" s="2">
        <v>2635.92</v>
      </c>
      <c r="Q953" s="2">
        <v>79.08</v>
      </c>
      <c r="R953" t="s">
        <v>75</v>
      </c>
      <c r="S953">
        <v>0</v>
      </c>
      <c r="T953">
        <v>0</v>
      </c>
      <c r="U953">
        <f>IF(AND(OR(Dashboard!$D$4="Semua",D953=Dashboard!$D$4),OR(Dashboard!$H$4="Semua",E953=Dashboard!$H$4)),1,0)</f>
        <v>1</v>
      </c>
      <c r="V953">
        <f>IF(U953=1,IF(COUNTIFS($C$2:C953,C953,$U$2:U953,1)=1,1,0),0)</f>
        <v>0</v>
      </c>
    </row>
    <row r="954" spans="1:22" x14ac:dyDescent="0.35">
      <c r="A954">
        <v>10953</v>
      </c>
      <c r="B954" s="1">
        <v>45514</v>
      </c>
      <c r="C954">
        <v>1357</v>
      </c>
      <c r="D954" t="s">
        <v>67</v>
      </c>
      <c r="E954" t="s">
        <v>63</v>
      </c>
      <c r="F954">
        <v>7</v>
      </c>
      <c r="G954" s="2">
        <v>284.14</v>
      </c>
      <c r="H954">
        <v>0.15</v>
      </c>
      <c r="I954" t="s">
        <v>68</v>
      </c>
      <c r="J954">
        <v>10</v>
      </c>
      <c r="K954">
        <v>3</v>
      </c>
      <c r="L954" s="2">
        <v>1690.63</v>
      </c>
      <c r="M954">
        <v>2024</v>
      </c>
      <c r="N954">
        <v>8</v>
      </c>
      <c r="O954" t="s">
        <v>111</v>
      </c>
      <c r="P954" s="2">
        <v>1988.98</v>
      </c>
      <c r="Q954" s="2">
        <v>298.35000000000002</v>
      </c>
      <c r="R954" t="s">
        <v>79</v>
      </c>
      <c r="S954">
        <v>0</v>
      </c>
      <c r="T954">
        <v>0</v>
      </c>
      <c r="U954">
        <f>IF(AND(OR(Dashboard!$D$4="Semua",D954=Dashboard!$D$4),OR(Dashboard!$H$4="Semua",E954=Dashboard!$H$4)),1,0)</f>
        <v>1</v>
      </c>
      <c r="V954">
        <f>IF(U954=1,IF(COUNTIFS($C$2:C954,C954,$U$2:U954,1)=1,1,0),0)</f>
        <v>1</v>
      </c>
    </row>
    <row r="955" spans="1:22" x14ac:dyDescent="0.35">
      <c r="A955">
        <v>10954</v>
      </c>
      <c r="B955" s="1">
        <v>45515</v>
      </c>
      <c r="C955">
        <v>1971</v>
      </c>
      <c r="D955" t="s">
        <v>73</v>
      </c>
      <c r="E955" t="s">
        <v>78</v>
      </c>
      <c r="F955">
        <v>3</v>
      </c>
      <c r="G955" s="2">
        <v>472.73</v>
      </c>
      <c r="H955">
        <v>0.01</v>
      </c>
      <c r="I955" t="s">
        <v>68</v>
      </c>
      <c r="J955">
        <v>5</v>
      </c>
      <c r="K955">
        <v>2.2999999999999998</v>
      </c>
      <c r="L955" s="2">
        <v>1404.01</v>
      </c>
      <c r="M955">
        <v>2024</v>
      </c>
      <c r="N955">
        <v>8</v>
      </c>
      <c r="O955" t="s">
        <v>111</v>
      </c>
      <c r="P955" s="2">
        <v>1418.19</v>
      </c>
      <c r="Q955" s="2">
        <v>14.18</v>
      </c>
      <c r="R955" t="s">
        <v>75</v>
      </c>
      <c r="S955">
        <v>0</v>
      </c>
      <c r="T955">
        <v>0</v>
      </c>
      <c r="U955">
        <f>IF(AND(OR(Dashboard!$D$4="Semua",D955=Dashboard!$D$4),OR(Dashboard!$H$4="Semua",E955=Dashboard!$H$4)),1,0)</f>
        <v>1</v>
      </c>
      <c r="V955">
        <f>IF(U955=1,IF(COUNTIFS($C$2:C955,C955,$U$2:U955,1)=1,1,0),0)</f>
        <v>0</v>
      </c>
    </row>
    <row r="956" spans="1:22" x14ac:dyDescent="0.35">
      <c r="A956">
        <v>10955</v>
      </c>
      <c r="B956" s="1">
        <v>45516</v>
      </c>
      <c r="C956">
        <v>1407</v>
      </c>
      <c r="D956" t="s">
        <v>73</v>
      </c>
      <c r="E956" t="s">
        <v>70</v>
      </c>
      <c r="F956">
        <v>3</v>
      </c>
      <c r="G956" s="2">
        <v>195.91</v>
      </c>
      <c r="H956">
        <v>0.12</v>
      </c>
      <c r="I956" t="s">
        <v>64</v>
      </c>
      <c r="J956">
        <v>9</v>
      </c>
      <c r="K956">
        <v>1</v>
      </c>
      <c r="L956" s="2">
        <v>517.20000000000005</v>
      </c>
      <c r="M956">
        <v>2024</v>
      </c>
      <c r="N956">
        <v>8</v>
      </c>
      <c r="O956" t="s">
        <v>111</v>
      </c>
      <c r="P956" s="2">
        <v>587.73</v>
      </c>
      <c r="Q956" s="2">
        <v>70.53</v>
      </c>
      <c r="R956" t="s">
        <v>79</v>
      </c>
      <c r="S956">
        <v>0</v>
      </c>
      <c r="T956">
        <v>0</v>
      </c>
      <c r="U956">
        <f>IF(AND(OR(Dashboard!$D$4="Semua",D956=Dashboard!$D$4),OR(Dashboard!$H$4="Semua",E956=Dashboard!$H$4)),1,0)</f>
        <v>1</v>
      </c>
      <c r="V956">
        <f>IF(U956=1,IF(COUNTIFS($C$2:C956,C956,$U$2:U956,1)=1,1,0),0)</f>
        <v>0</v>
      </c>
    </row>
    <row r="957" spans="1:22" x14ac:dyDescent="0.35">
      <c r="A957">
        <v>10956</v>
      </c>
      <c r="B957" s="1">
        <v>45517</v>
      </c>
      <c r="C957">
        <v>1667</v>
      </c>
      <c r="D957" t="s">
        <v>73</v>
      </c>
      <c r="E957" t="s">
        <v>70</v>
      </c>
      <c r="F957">
        <v>1</v>
      </c>
      <c r="G957" s="2">
        <v>391.26</v>
      </c>
      <c r="H957">
        <v>0.24</v>
      </c>
      <c r="I957" t="s">
        <v>71</v>
      </c>
      <c r="J957">
        <v>8</v>
      </c>
      <c r="K957">
        <v>1.7</v>
      </c>
      <c r="L957" s="2">
        <v>297.36</v>
      </c>
      <c r="M957">
        <v>2024</v>
      </c>
      <c r="N957">
        <v>8</v>
      </c>
      <c r="O957" t="s">
        <v>111</v>
      </c>
      <c r="P957" s="2">
        <v>391.26</v>
      </c>
      <c r="Q957" s="2">
        <v>93.9</v>
      </c>
      <c r="R957" t="s">
        <v>77</v>
      </c>
      <c r="S957">
        <v>0</v>
      </c>
      <c r="T957">
        <v>0</v>
      </c>
      <c r="U957">
        <f>IF(AND(OR(Dashboard!$D$4="Semua",D957=Dashboard!$D$4),OR(Dashboard!$H$4="Semua",E957=Dashboard!$H$4)),1,0)</f>
        <v>1</v>
      </c>
      <c r="V957">
        <f>IF(U957=1,IF(COUNTIFS($C$2:C957,C957,$U$2:U957,1)=1,1,0),0)</f>
        <v>1</v>
      </c>
    </row>
    <row r="958" spans="1:22" x14ac:dyDescent="0.35">
      <c r="A958">
        <v>10957</v>
      </c>
      <c r="B958" s="1">
        <v>45518</v>
      </c>
      <c r="C958">
        <v>1372</v>
      </c>
      <c r="D958" t="s">
        <v>73</v>
      </c>
      <c r="E958" t="s">
        <v>70</v>
      </c>
      <c r="F958">
        <v>5</v>
      </c>
      <c r="G958" s="2">
        <v>531.09</v>
      </c>
      <c r="H958">
        <v>0.03</v>
      </c>
      <c r="I958" t="s">
        <v>68</v>
      </c>
      <c r="J958">
        <v>6</v>
      </c>
      <c r="K958">
        <v>1.9</v>
      </c>
      <c r="L958" s="2">
        <v>2575.79</v>
      </c>
      <c r="M958">
        <v>2024</v>
      </c>
      <c r="N958">
        <v>8</v>
      </c>
      <c r="O958" t="s">
        <v>111</v>
      </c>
      <c r="P958" s="2">
        <v>2655.45</v>
      </c>
      <c r="Q958" s="2">
        <v>79.66</v>
      </c>
      <c r="R958" t="s">
        <v>75</v>
      </c>
      <c r="S958">
        <v>0</v>
      </c>
      <c r="T958">
        <v>0</v>
      </c>
      <c r="U958">
        <f>IF(AND(OR(Dashboard!$D$4="Semua",D958=Dashboard!$D$4),OR(Dashboard!$H$4="Semua",E958=Dashboard!$H$4)),1,0)</f>
        <v>1</v>
      </c>
      <c r="V958">
        <f>IF(U958=1,IF(COUNTIFS($C$2:C958,C958,$U$2:U958,1)=1,1,0),0)</f>
        <v>0</v>
      </c>
    </row>
    <row r="959" spans="1:22" x14ac:dyDescent="0.35">
      <c r="A959">
        <v>10958</v>
      </c>
      <c r="B959" s="1">
        <v>45519</v>
      </c>
      <c r="C959">
        <v>1007</v>
      </c>
      <c r="D959" t="s">
        <v>62</v>
      </c>
      <c r="E959" t="s">
        <v>78</v>
      </c>
      <c r="F959">
        <v>5</v>
      </c>
      <c r="G959" s="2">
        <v>250.26</v>
      </c>
      <c r="H959">
        <v>0.31</v>
      </c>
      <c r="I959" t="s">
        <v>71</v>
      </c>
      <c r="J959">
        <v>3</v>
      </c>
      <c r="K959">
        <v>2.2000000000000002</v>
      </c>
      <c r="L959" s="2">
        <v>863.4</v>
      </c>
      <c r="M959">
        <v>2024</v>
      </c>
      <c r="N959">
        <v>8</v>
      </c>
      <c r="O959" t="s">
        <v>111</v>
      </c>
      <c r="P959" s="2">
        <v>1251.3</v>
      </c>
      <c r="Q959" s="2">
        <v>387.9</v>
      </c>
      <c r="R959" t="s">
        <v>72</v>
      </c>
      <c r="S959">
        <v>0</v>
      </c>
      <c r="T959">
        <v>0</v>
      </c>
      <c r="U959">
        <f>IF(AND(OR(Dashboard!$D$4="Semua",D959=Dashboard!$D$4),OR(Dashboard!$H$4="Semua",E959=Dashboard!$H$4)),1,0)</f>
        <v>1</v>
      </c>
      <c r="V959">
        <f>IF(U959=1,IF(COUNTIFS($C$2:C959,C959,$U$2:U959,1)=1,1,0),0)</f>
        <v>1</v>
      </c>
    </row>
    <row r="960" spans="1:22" x14ac:dyDescent="0.35">
      <c r="A960">
        <v>10959</v>
      </c>
      <c r="B960" s="1">
        <v>45520</v>
      </c>
      <c r="C960">
        <v>1121</v>
      </c>
      <c r="D960" t="s">
        <v>80</v>
      </c>
      <c r="E960" t="s">
        <v>74</v>
      </c>
      <c r="F960">
        <v>3</v>
      </c>
      <c r="G960" s="2">
        <v>53.97</v>
      </c>
      <c r="H960">
        <v>0.32</v>
      </c>
      <c r="I960" t="s">
        <v>71</v>
      </c>
      <c r="J960">
        <v>7</v>
      </c>
      <c r="K960">
        <v>4.5</v>
      </c>
      <c r="L960" s="2">
        <v>110.1</v>
      </c>
      <c r="M960">
        <v>2024</v>
      </c>
      <c r="N960">
        <v>8</v>
      </c>
      <c r="O960" t="s">
        <v>111</v>
      </c>
      <c r="P960" s="2">
        <v>161.91</v>
      </c>
      <c r="Q960" s="2">
        <v>51.81</v>
      </c>
      <c r="R960" t="s">
        <v>72</v>
      </c>
      <c r="S960">
        <v>0</v>
      </c>
      <c r="T960">
        <v>0</v>
      </c>
      <c r="U960">
        <f>IF(AND(OR(Dashboard!$D$4="Semua",D960=Dashboard!$D$4),OR(Dashboard!$H$4="Semua",E960=Dashboard!$H$4)),1,0)</f>
        <v>1</v>
      </c>
      <c r="V960">
        <f>IF(U960=1,IF(COUNTIFS($C$2:C960,C960,$U$2:U960,1)=1,1,0),0)</f>
        <v>0</v>
      </c>
    </row>
    <row r="961" spans="1:22" x14ac:dyDescent="0.35">
      <c r="A961">
        <v>10960</v>
      </c>
      <c r="B961" s="1">
        <v>45521</v>
      </c>
      <c r="C961">
        <v>1347</v>
      </c>
      <c r="D961" t="s">
        <v>62</v>
      </c>
      <c r="E961" t="s">
        <v>74</v>
      </c>
      <c r="F961">
        <v>4</v>
      </c>
      <c r="G961" s="2">
        <v>316.89</v>
      </c>
      <c r="H961">
        <v>0.04</v>
      </c>
      <c r="I961" t="s">
        <v>68</v>
      </c>
      <c r="J961">
        <v>10</v>
      </c>
      <c r="K961">
        <v>2.7</v>
      </c>
      <c r="L961" s="2">
        <v>1216.8599999999999</v>
      </c>
      <c r="M961">
        <v>2024</v>
      </c>
      <c r="N961">
        <v>8</v>
      </c>
      <c r="O961" t="s">
        <v>111</v>
      </c>
      <c r="P961" s="2">
        <v>1267.56</v>
      </c>
      <c r="Q961" s="2">
        <v>50.7</v>
      </c>
      <c r="R961" t="s">
        <v>75</v>
      </c>
      <c r="S961">
        <v>0</v>
      </c>
      <c r="T961">
        <v>0</v>
      </c>
      <c r="U961">
        <f>IF(AND(OR(Dashboard!$D$4="Semua",D961=Dashboard!$D$4),OR(Dashboard!$H$4="Semua",E961=Dashboard!$H$4)),1,0)</f>
        <v>1</v>
      </c>
      <c r="V961">
        <f>IF(U961=1,IF(COUNTIFS($C$2:C961,C961,$U$2:U961,1)=1,1,0),0)</f>
        <v>0</v>
      </c>
    </row>
    <row r="962" spans="1:22" x14ac:dyDescent="0.35">
      <c r="A962">
        <v>10961</v>
      </c>
      <c r="B962" s="1">
        <v>45522</v>
      </c>
      <c r="C962">
        <v>1675</v>
      </c>
      <c r="D962" t="s">
        <v>67</v>
      </c>
      <c r="E962" t="s">
        <v>70</v>
      </c>
      <c r="F962">
        <v>4</v>
      </c>
      <c r="G962" s="2">
        <v>217.39</v>
      </c>
      <c r="H962">
        <v>0.35</v>
      </c>
      <c r="I962" t="s">
        <v>71</v>
      </c>
      <c r="J962">
        <v>6</v>
      </c>
      <c r="K962">
        <v>3.7</v>
      </c>
      <c r="L962" s="2">
        <v>565.21</v>
      </c>
      <c r="M962">
        <v>2024</v>
      </c>
      <c r="N962">
        <v>8</v>
      </c>
      <c r="O962" t="s">
        <v>111</v>
      </c>
      <c r="P962" s="2">
        <v>869.56</v>
      </c>
      <c r="Q962" s="2">
        <v>304.35000000000002</v>
      </c>
      <c r="R962" t="s">
        <v>72</v>
      </c>
      <c r="S962">
        <v>0</v>
      </c>
      <c r="T962">
        <v>0</v>
      </c>
      <c r="U962">
        <f>IF(AND(OR(Dashboard!$D$4="Semua",D962=Dashboard!$D$4),OR(Dashboard!$H$4="Semua",E962=Dashboard!$H$4)),1,0)</f>
        <v>1</v>
      </c>
      <c r="V962">
        <f>IF(U962=1,IF(COUNTIFS($C$2:C962,C962,$U$2:U962,1)=1,1,0),0)</f>
        <v>0</v>
      </c>
    </row>
    <row r="963" spans="1:22" x14ac:dyDescent="0.35">
      <c r="A963">
        <v>10962</v>
      </c>
      <c r="B963" s="1">
        <v>45523</v>
      </c>
      <c r="C963">
        <v>1089</v>
      </c>
      <c r="D963" t="s">
        <v>73</v>
      </c>
      <c r="E963" t="s">
        <v>63</v>
      </c>
      <c r="F963">
        <v>1</v>
      </c>
      <c r="G963" s="2">
        <v>408.25</v>
      </c>
      <c r="H963">
        <v>0.1</v>
      </c>
      <c r="I963" t="s">
        <v>71</v>
      </c>
      <c r="J963">
        <v>11</v>
      </c>
      <c r="K963">
        <v>1.1000000000000001</v>
      </c>
      <c r="L963" s="2">
        <v>367.42</v>
      </c>
      <c r="M963">
        <v>2024</v>
      </c>
      <c r="N963">
        <v>8</v>
      </c>
      <c r="O963" t="s">
        <v>111</v>
      </c>
      <c r="P963" s="2">
        <v>408.25</v>
      </c>
      <c r="Q963" s="2">
        <v>40.83</v>
      </c>
      <c r="R963" t="s">
        <v>69</v>
      </c>
      <c r="S963">
        <v>0</v>
      </c>
      <c r="T963">
        <v>0</v>
      </c>
      <c r="U963">
        <f>IF(AND(OR(Dashboard!$D$4="Semua",D963=Dashboard!$D$4),OR(Dashboard!$H$4="Semua",E963=Dashboard!$H$4)),1,0)</f>
        <v>1</v>
      </c>
      <c r="V963">
        <f>IF(U963=1,IF(COUNTIFS($C$2:C963,C963,$U$2:U963,1)=1,1,0),0)</f>
        <v>0</v>
      </c>
    </row>
    <row r="964" spans="1:22" x14ac:dyDescent="0.35">
      <c r="A964">
        <v>10963</v>
      </c>
      <c r="B964" s="1">
        <v>45524</v>
      </c>
      <c r="C964">
        <v>1647</v>
      </c>
      <c r="D964" t="s">
        <v>80</v>
      </c>
      <c r="E964" t="s">
        <v>78</v>
      </c>
      <c r="F964">
        <v>4</v>
      </c>
      <c r="G964" s="2">
        <v>571.35</v>
      </c>
      <c r="H964">
        <v>0.03</v>
      </c>
      <c r="I964" t="s">
        <v>71</v>
      </c>
      <c r="J964">
        <v>8</v>
      </c>
      <c r="K964">
        <v>4.3</v>
      </c>
      <c r="L964" s="2">
        <v>2216.84</v>
      </c>
      <c r="M964">
        <v>2024</v>
      </c>
      <c r="N964">
        <v>8</v>
      </c>
      <c r="O964" t="s">
        <v>111</v>
      </c>
      <c r="P964" s="2">
        <v>2285.4</v>
      </c>
      <c r="Q964" s="2">
        <v>68.56</v>
      </c>
      <c r="R964" t="s">
        <v>75</v>
      </c>
      <c r="S964">
        <v>0</v>
      </c>
      <c r="T964">
        <v>0</v>
      </c>
      <c r="U964">
        <f>IF(AND(OR(Dashboard!$D$4="Semua",D964=Dashboard!$D$4),OR(Dashboard!$H$4="Semua",E964=Dashboard!$H$4)),1,0)</f>
        <v>1</v>
      </c>
      <c r="V964">
        <f>IF(U964=1,IF(COUNTIFS($C$2:C964,C964,$U$2:U964,1)=1,1,0),0)</f>
        <v>0</v>
      </c>
    </row>
    <row r="965" spans="1:22" x14ac:dyDescent="0.35">
      <c r="A965">
        <v>10964</v>
      </c>
      <c r="B965" s="1">
        <v>45525</v>
      </c>
      <c r="C965">
        <v>1697</v>
      </c>
      <c r="D965" t="s">
        <v>73</v>
      </c>
      <c r="E965" t="s">
        <v>70</v>
      </c>
      <c r="F965">
        <v>4</v>
      </c>
      <c r="G965" s="2">
        <v>299.08</v>
      </c>
      <c r="H965">
        <v>0</v>
      </c>
      <c r="I965" t="s">
        <v>71</v>
      </c>
      <c r="J965">
        <v>6</v>
      </c>
      <c r="K965">
        <v>2</v>
      </c>
      <c r="L965" s="2">
        <v>1196.32</v>
      </c>
      <c r="M965">
        <v>2024</v>
      </c>
      <c r="N965">
        <v>8</v>
      </c>
      <c r="O965" t="s">
        <v>111</v>
      </c>
      <c r="P965" s="2">
        <v>1196.32</v>
      </c>
      <c r="Q965" s="2">
        <v>0</v>
      </c>
      <c r="R965" t="s">
        <v>75</v>
      </c>
      <c r="S965">
        <v>0</v>
      </c>
      <c r="T965">
        <v>0</v>
      </c>
      <c r="U965">
        <f>IF(AND(OR(Dashboard!$D$4="Semua",D965=Dashboard!$D$4),OR(Dashboard!$H$4="Semua",E965=Dashboard!$H$4)),1,0)</f>
        <v>1</v>
      </c>
      <c r="V965">
        <f>IF(U965=1,IF(COUNTIFS($C$2:C965,C965,$U$2:U965,1)=1,1,0),0)</f>
        <v>0</v>
      </c>
    </row>
    <row r="966" spans="1:22" x14ac:dyDescent="0.35">
      <c r="A966">
        <v>10965</v>
      </c>
      <c r="B966" s="1">
        <v>45526</v>
      </c>
      <c r="C966">
        <v>1315</v>
      </c>
      <c r="D966" t="s">
        <v>73</v>
      </c>
      <c r="E966" t="s">
        <v>78</v>
      </c>
      <c r="F966">
        <v>4</v>
      </c>
      <c r="G966" s="2">
        <v>287.72000000000003</v>
      </c>
      <c r="H966">
        <v>0.14000000000000001</v>
      </c>
      <c r="I966" t="s">
        <v>71</v>
      </c>
      <c r="J966">
        <v>11</v>
      </c>
      <c r="K966">
        <v>2.2000000000000002</v>
      </c>
      <c r="L966" s="2">
        <v>989.76</v>
      </c>
      <c r="M966">
        <v>2024</v>
      </c>
      <c r="N966">
        <v>8</v>
      </c>
      <c r="O966" t="s">
        <v>111</v>
      </c>
      <c r="P966" s="2">
        <v>1150.8800000000001</v>
      </c>
      <c r="Q966" s="2">
        <v>161.12</v>
      </c>
      <c r="R966" t="s">
        <v>79</v>
      </c>
      <c r="S966">
        <v>0</v>
      </c>
      <c r="T966">
        <v>0</v>
      </c>
      <c r="U966">
        <f>IF(AND(OR(Dashboard!$D$4="Semua",D966=Dashboard!$D$4),OR(Dashboard!$H$4="Semua",E966=Dashboard!$H$4)),1,0)</f>
        <v>1</v>
      </c>
      <c r="V966">
        <f>IF(U966=1,IF(COUNTIFS($C$2:C966,C966,$U$2:U966,1)=1,1,0),0)</f>
        <v>0</v>
      </c>
    </row>
    <row r="967" spans="1:22" x14ac:dyDescent="0.35">
      <c r="A967">
        <v>10966</v>
      </c>
      <c r="B967" s="1">
        <v>45527</v>
      </c>
      <c r="C967">
        <v>1177</v>
      </c>
      <c r="D967" t="s">
        <v>73</v>
      </c>
      <c r="E967" t="s">
        <v>78</v>
      </c>
      <c r="F967">
        <v>2</v>
      </c>
      <c r="G967" s="2">
        <v>397.93</v>
      </c>
      <c r="H967">
        <v>0.22</v>
      </c>
      <c r="I967" t="s">
        <v>68</v>
      </c>
      <c r="J967">
        <v>10</v>
      </c>
      <c r="K967">
        <v>1.2</v>
      </c>
      <c r="L967" s="2">
        <v>620.77</v>
      </c>
      <c r="M967">
        <v>2024</v>
      </c>
      <c r="N967">
        <v>8</v>
      </c>
      <c r="O967" t="s">
        <v>111</v>
      </c>
      <c r="P967" s="2">
        <v>795.86</v>
      </c>
      <c r="Q967" s="2">
        <v>175.09</v>
      </c>
      <c r="R967" t="s">
        <v>77</v>
      </c>
      <c r="S967">
        <v>0</v>
      </c>
      <c r="T967">
        <v>0</v>
      </c>
      <c r="U967">
        <f>IF(AND(OR(Dashboard!$D$4="Semua",D967=Dashboard!$D$4),OR(Dashboard!$H$4="Semua",E967=Dashboard!$H$4)),1,0)</f>
        <v>1</v>
      </c>
      <c r="V967">
        <f>IF(U967=1,IF(COUNTIFS($C$2:C967,C967,$U$2:U967,1)=1,1,0),0)</f>
        <v>1</v>
      </c>
    </row>
    <row r="968" spans="1:22" x14ac:dyDescent="0.35">
      <c r="A968">
        <v>10967</v>
      </c>
      <c r="B968" s="1">
        <v>45528</v>
      </c>
      <c r="C968">
        <v>1539</v>
      </c>
      <c r="D968" t="s">
        <v>73</v>
      </c>
      <c r="E968" t="s">
        <v>74</v>
      </c>
      <c r="F968">
        <v>1</v>
      </c>
      <c r="G968" s="2">
        <v>75.55</v>
      </c>
      <c r="H968">
        <v>0.12</v>
      </c>
      <c r="I968" t="s">
        <v>64</v>
      </c>
      <c r="J968">
        <v>4</v>
      </c>
      <c r="K968">
        <v>2.6</v>
      </c>
      <c r="L968" s="2">
        <v>66.48</v>
      </c>
      <c r="M968">
        <v>2024</v>
      </c>
      <c r="N968">
        <v>8</v>
      </c>
      <c r="O968" t="s">
        <v>111</v>
      </c>
      <c r="P968" s="2">
        <v>75.55</v>
      </c>
      <c r="Q968" s="2">
        <v>9.07</v>
      </c>
      <c r="R968" t="s">
        <v>79</v>
      </c>
      <c r="S968">
        <v>0</v>
      </c>
      <c r="T968">
        <v>0</v>
      </c>
      <c r="U968">
        <f>IF(AND(OR(Dashboard!$D$4="Semua",D968=Dashboard!$D$4),OR(Dashboard!$H$4="Semua",E968=Dashboard!$H$4)),1,0)</f>
        <v>1</v>
      </c>
      <c r="V968">
        <f>IF(U968=1,IF(COUNTIFS($C$2:C968,C968,$U$2:U968,1)=1,1,0),0)</f>
        <v>1</v>
      </c>
    </row>
    <row r="969" spans="1:22" x14ac:dyDescent="0.35">
      <c r="A969">
        <v>10968</v>
      </c>
      <c r="B969" s="1">
        <v>45529</v>
      </c>
      <c r="C969">
        <v>1731</v>
      </c>
      <c r="D969" t="s">
        <v>73</v>
      </c>
      <c r="E969" t="s">
        <v>70</v>
      </c>
      <c r="F969">
        <v>3</v>
      </c>
      <c r="G969" s="2">
        <v>163.30000000000001</v>
      </c>
      <c r="H969">
        <v>0.28999999999999998</v>
      </c>
      <c r="I969" t="s">
        <v>68</v>
      </c>
      <c r="J969">
        <v>10</v>
      </c>
      <c r="K969">
        <v>4.4000000000000004</v>
      </c>
      <c r="L969" s="2">
        <v>347.83</v>
      </c>
      <c r="M969">
        <v>2024</v>
      </c>
      <c r="N969">
        <v>8</v>
      </c>
      <c r="O969" t="s">
        <v>111</v>
      </c>
      <c r="P969" s="2">
        <v>489.9</v>
      </c>
      <c r="Q969" s="2">
        <v>142.07</v>
      </c>
      <c r="R969" t="s">
        <v>66</v>
      </c>
      <c r="S969">
        <v>0</v>
      </c>
      <c r="T969">
        <v>0</v>
      </c>
      <c r="U969">
        <f>IF(AND(OR(Dashboard!$D$4="Semua",D969=Dashboard!$D$4),OR(Dashboard!$H$4="Semua",E969=Dashboard!$H$4)),1,0)</f>
        <v>1</v>
      </c>
      <c r="V969">
        <f>IF(U969=1,IF(COUNTIFS($C$2:C969,C969,$U$2:U969,1)=1,1,0),0)</f>
        <v>1</v>
      </c>
    </row>
    <row r="970" spans="1:22" x14ac:dyDescent="0.35">
      <c r="A970">
        <v>10969</v>
      </c>
      <c r="B970" s="1">
        <v>45530</v>
      </c>
      <c r="C970">
        <v>1868</v>
      </c>
      <c r="D970" t="s">
        <v>67</v>
      </c>
      <c r="E970" t="s">
        <v>74</v>
      </c>
      <c r="F970">
        <v>4</v>
      </c>
      <c r="G970" s="2">
        <v>552.6</v>
      </c>
      <c r="H970">
        <v>0.25</v>
      </c>
      <c r="I970" t="s">
        <v>64</v>
      </c>
      <c r="J970">
        <v>7</v>
      </c>
      <c r="K970">
        <v>2.5</v>
      </c>
      <c r="L970" s="2">
        <v>1657.8</v>
      </c>
      <c r="M970">
        <v>2024</v>
      </c>
      <c r="N970">
        <v>8</v>
      </c>
      <c r="O970" t="s">
        <v>111</v>
      </c>
      <c r="P970" s="2">
        <v>2210.4</v>
      </c>
      <c r="Q970" s="2">
        <v>552.6</v>
      </c>
      <c r="R970" t="s">
        <v>77</v>
      </c>
      <c r="S970">
        <v>0</v>
      </c>
      <c r="T970">
        <v>0</v>
      </c>
      <c r="U970">
        <f>IF(AND(OR(Dashboard!$D$4="Semua",D970=Dashboard!$D$4),OR(Dashboard!$H$4="Semua",E970=Dashboard!$H$4)),1,0)</f>
        <v>1</v>
      </c>
      <c r="V970">
        <f>IF(U970=1,IF(COUNTIFS($C$2:C970,C970,$U$2:U970,1)=1,1,0),0)</f>
        <v>0</v>
      </c>
    </row>
    <row r="971" spans="1:22" x14ac:dyDescent="0.35">
      <c r="A971">
        <v>10970</v>
      </c>
      <c r="B971" s="1">
        <v>45531</v>
      </c>
      <c r="C971">
        <v>1040</v>
      </c>
      <c r="D971" t="s">
        <v>80</v>
      </c>
      <c r="E971" t="s">
        <v>70</v>
      </c>
      <c r="F971">
        <v>6</v>
      </c>
      <c r="G971" s="2">
        <v>406.92</v>
      </c>
      <c r="H971">
        <v>0.12</v>
      </c>
      <c r="I971" t="s">
        <v>68</v>
      </c>
      <c r="J971">
        <v>7</v>
      </c>
      <c r="K971">
        <v>4.5999999999999996</v>
      </c>
      <c r="L971" s="2">
        <v>2148.54</v>
      </c>
      <c r="M971">
        <v>2024</v>
      </c>
      <c r="N971">
        <v>8</v>
      </c>
      <c r="O971" t="s">
        <v>111</v>
      </c>
      <c r="P971" s="2">
        <v>2441.52</v>
      </c>
      <c r="Q971" s="2">
        <v>292.98</v>
      </c>
      <c r="R971" t="s">
        <v>79</v>
      </c>
      <c r="S971">
        <v>0</v>
      </c>
      <c r="T971">
        <v>0</v>
      </c>
      <c r="U971">
        <f>IF(AND(OR(Dashboard!$D$4="Semua",D971=Dashboard!$D$4),OR(Dashboard!$H$4="Semua",E971=Dashboard!$H$4)),1,0)</f>
        <v>1</v>
      </c>
      <c r="V971">
        <f>IF(U971=1,IF(COUNTIFS($C$2:C971,C971,$U$2:U971,1)=1,1,0),0)</f>
        <v>0</v>
      </c>
    </row>
    <row r="972" spans="1:22" x14ac:dyDescent="0.35">
      <c r="A972">
        <v>10971</v>
      </c>
      <c r="B972" s="1">
        <v>45532</v>
      </c>
      <c r="C972">
        <v>1739</v>
      </c>
      <c r="D972" t="s">
        <v>73</v>
      </c>
      <c r="E972" t="s">
        <v>78</v>
      </c>
      <c r="F972">
        <v>7</v>
      </c>
      <c r="G972" s="2">
        <v>22.86</v>
      </c>
      <c r="H972">
        <v>0.26</v>
      </c>
      <c r="I972" t="s">
        <v>68</v>
      </c>
      <c r="J972">
        <v>11</v>
      </c>
      <c r="K972">
        <v>4.5</v>
      </c>
      <c r="L972" s="2">
        <v>118.41</v>
      </c>
      <c r="M972">
        <v>2024</v>
      </c>
      <c r="N972">
        <v>8</v>
      </c>
      <c r="O972" t="s">
        <v>111</v>
      </c>
      <c r="P972" s="2">
        <v>160.02000000000001</v>
      </c>
      <c r="Q972" s="2">
        <v>41.61</v>
      </c>
      <c r="R972" t="s">
        <v>66</v>
      </c>
      <c r="S972">
        <v>0</v>
      </c>
      <c r="T972">
        <v>0</v>
      </c>
      <c r="U972">
        <f>IF(AND(OR(Dashboard!$D$4="Semua",D972=Dashboard!$D$4),OR(Dashboard!$H$4="Semua",E972=Dashboard!$H$4)),1,0)</f>
        <v>1</v>
      </c>
      <c r="V972">
        <f>IF(U972=1,IF(COUNTIFS($C$2:C972,C972,$U$2:U972,1)=1,1,0),0)</f>
        <v>1</v>
      </c>
    </row>
    <row r="973" spans="1:22" x14ac:dyDescent="0.35">
      <c r="A973">
        <v>10972</v>
      </c>
      <c r="B973" s="1">
        <v>45533</v>
      </c>
      <c r="C973">
        <v>1703</v>
      </c>
      <c r="D973" t="s">
        <v>73</v>
      </c>
      <c r="E973" t="s">
        <v>74</v>
      </c>
      <c r="F973">
        <v>2</v>
      </c>
      <c r="G973" s="2">
        <v>134.71</v>
      </c>
      <c r="H973">
        <v>0.33</v>
      </c>
      <c r="I973" t="s">
        <v>71</v>
      </c>
      <c r="J973">
        <v>8</v>
      </c>
      <c r="K973">
        <v>1.2</v>
      </c>
      <c r="L973" s="2">
        <v>180.51</v>
      </c>
      <c r="M973">
        <v>2024</v>
      </c>
      <c r="N973">
        <v>8</v>
      </c>
      <c r="O973" t="s">
        <v>111</v>
      </c>
      <c r="P973" s="2">
        <v>269.42</v>
      </c>
      <c r="Q973" s="2">
        <v>88.91</v>
      </c>
      <c r="R973" t="s">
        <v>72</v>
      </c>
      <c r="S973">
        <v>0</v>
      </c>
      <c r="T973">
        <v>0</v>
      </c>
      <c r="U973">
        <f>IF(AND(OR(Dashboard!$D$4="Semua",D973=Dashboard!$D$4),OR(Dashboard!$H$4="Semua",E973=Dashboard!$H$4)),1,0)</f>
        <v>1</v>
      </c>
      <c r="V973">
        <f>IF(U973=1,IF(COUNTIFS($C$2:C973,C973,$U$2:U973,1)=1,1,0),0)</f>
        <v>0</v>
      </c>
    </row>
    <row r="974" spans="1:22" x14ac:dyDescent="0.35">
      <c r="A974">
        <v>10973</v>
      </c>
      <c r="B974" s="1">
        <v>45534</v>
      </c>
      <c r="C974">
        <v>1922</v>
      </c>
      <c r="D974" t="s">
        <v>80</v>
      </c>
      <c r="E974" t="s">
        <v>78</v>
      </c>
      <c r="F974">
        <v>4</v>
      </c>
      <c r="G974" s="2">
        <v>414.46</v>
      </c>
      <c r="H974">
        <v>0.03</v>
      </c>
      <c r="I974" t="s">
        <v>68</v>
      </c>
      <c r="J974">
        <v>2</v>
      </c>
      <c r="K974">
        <v>2.2000000000000002</v>
      </c>
      <c r="L974" s="2">
        <v>1608.1</v>
      </c>
      <c r="M974">
        <v>2024</v>
      </c>
      <c r="N974">
        <v>8</v>
      </c>
      <c r="O974" t="s">
        <v>111</v>
      </c>
      <c r="P974" s="2">
        <v>1657.84</v>
      </c>
      <c r="Q974" s="2">
        <v>49.74</v>
      </c>
      <c r="R974" t="s">
        <v>75</v>
      </c>
      <c r="S974">
        <v>0</v>
      </c>
      <c r="T974">
        <v>0</v>
      </c>
      <c r="U974">
        <f>IF(AND(OR(Dashboard!$D$4="Semua",D974=Dashboard!$D$4),OR(Dashboard!$H$4="Semua",E974=Dashboard!$H$4)),1,0)</f>
        <v>1</v>
      </c>
      <c r="V974">
        <f>IF(U974=1,IF(COUNTIFS($C$2:C974,C974,$U$2:U974,1)=1,1,0),0)</f>
        <v>1</v>
      </c>
    </row>
    <row r="975" spans="1:22" x14ac:dyDescent="0.35">
      <c r="A975">
        <v>10974</v>
      </c>
      <c r="B975" s="1">
        <v>45535</v>
      </c>
      <c r="C975">
        <v>1501</v>
      </c>
      <c r="D975" t="s">
        <v>73</v>
      </c>
      <c r="E975" t="s">
        <v>70</v>
      </c>
      <c r="F975">
        <v>7</v>
      </c>
      <c r="G975" s="2">
        <v>462.17</v>
      </c>
      <c r="H975">
        <v>0.11</v>
      </c>
      <c r="I975" t="s">
        <v>64</v>
      </c>
      <c r="J975">
        <v>11</v>
      </c>
      <c r="K975">
        <v>4.5999999999999996</v>
      </c>
      <c r="L975" s="2">
        <v>2879.32</v>
      </c>
      <c r="M975">
        <v>2024</v>
      </c>
      <c r="N975">
        <v>8</v>
      </c>
      <c r="O975" t="s">
        <v>111</v>
      </c>
      <c r="P975" s="2">
        <v>3235.19</v>
      </c>
      <c r="Q975" s="2">
        <v>355.87</v>
      </c>
      <c r="R975" t="s">
        <v>79</v>
      </c>
      <c r="S975">
        <v>0</v>
      </c>
      <c r="T975">
        <v>0</v>
      </c>
      <c r="U975">
        <f>IF(AND(OR(Dashboard!$D$4="Semua",D975=Dashboard!$D$4),OR(Dashboard!$H$4="Semua",E975=Dashboard!$H$4)),1,0)</f>
        <v>1</v>
      </c>
      <c r="V975">
        <f>IF(U975=1,IF(COUNTIFS($C$2:C975,C975,$U$2:U975,1)=1,1,0),0)</f>
        <v>1</v>
      </c>
    </row>
    <row r="976" spans="1:22" x14ac:dyDescent="0.35">
      <c r="A976">
        <v>10975</v>
      </c>
      <c r="B976" s="1">
        <v>45536</v>
      </c>
      <c r="C976">
        <v>1958</v>
      </c>
      <c r="D976" t="s">
        <v>73</v>
      </c>
      <c r="E976" t="s">
        <v>63</v>
      </c>
      <c r="F976">
        <v>7</v>
      </c>
      <c r="G976" s="2">
        <v>506.32</v>
      </c>
      <c r="H976">
        <v>0.16</v>
      </c>
      <c r="I976" t="s">
        <v>68</v>
      </c>
      <c r="J976">
        <v>6</v>
      </c>
      <c r="K976">
        <v>1.1000000000000001</v>
      </c>
      <c r="L976" s="2">
        <v>2977.16</v>
      </c>
      <c r="M976">
        <v>2024</v>
      </c>
      <c r="N976">
        <v>9</v>
      </c>
      <c r="O976" t="s">
        <v>112</v>
      </c>
      <c r="P976" s="2">
        <v>3544.24</v>
      </c>
      <c r="Q976" s="2">
        <v>567.08000000000004</v>
      </c>
      <c r="R976" t="s">
        <v>76</v>
      </c>
      <c r="S976">
        <v>0</v>
      </c>
      <c r="T976">
        <v>0</v>
      </c>
      <c r="U976">
        <f>IF(AND(OR(Dashboard!$D$4="Semua",D976=Dashboard!$D$4),OR(Dashboard!$H$4="Semua",E976=Dashboard!$H$4)),1,0)</f>
        <v>1</v>
      </c>
      <c r="V976">
        <f>IF(U976=1,IF(COUNTIFS($C$2:C976,C976,$U$2:U976,1)=1,1,0),0)</f>
        <v>0</v>
      </c>
    </row>
    <row r="977" spans="1:22" x14ac:dyDescent="0.35">
      <c r="A977">
        <v>10976</v>
      </c>
      <c r="B977" s="1">
        <v>45537</v>
      </c>
      <c r="C977">
        <v>1144</v>
      </c>
      <c r="D977" t="s">
        <v>62</v>
      </c>
      <c r="E977" t="s">
        <v>74</v>
      </c>
      <c r="F977">
        <v>2</v>
      </c>
      <c r="G977" s="2">
        <v>185.92</v>
      </c>
      <c r="H977">
        <v>0.17</v>
      </c>
      <c r="I977" t="s">
        <v>71</v>
      </c>
      <c r="J977">
        <v>3</v>
      </c>
      <c r="K977">
        <v>4.0999999999999996</v>
      </c>
      <c r="L977" s="2">
        <v>308.63</v>
      </c>
      <c r="M977">
        <v>2024</v>
      </c>
      <c r="N977">
        <v>9</v>
      </c>
      <c r="O977" t="s">
        <v>112</v>
      </c>
      <c r="P977" s="2">
        <v>371.84</v>
      </c>
      <c r="Q977" s="2">
        <v>63.21</v>
      </c>
      <c r="R977" t="s">
        <v>76</v>
      </c>
      <c r="S977">
        <v>0</v>
      </c>
      <c r="T977">
        <v>0</v>
      </c>
      <c r="U977">
        <f>IF(AND(OR(Dashboard!$D$4="Semua",D977=Dashboard!$D$4),OR(Dashboard!$H$4="Semua",E977=Dashboard!$H$4)),1,0)</f>
        <v>1</v>
      </c>
      <c r="V977">
        <f>IF(U977=1,IF(COUNTIFS($C$2:C977,C977,$U$2:U977,1)=1,1,0),0)</f>
        <v>1</v>
      </c>
    </row>
    <row r="978" spans="1:22" x14ac:dyDescent="0.35">
      <c r="A978">
        <v>10977</v>
      </c>
      <c r="B978" s="1">
        <v>45538</v>
      </c>
      <c r="C978">
        <v>1200</v>
      </c>
      <c r="D978" t="s">
        <v>73</v>
      </c>
      <c r="E978" t="s">
        <v>74</v>
      </c>
      <c r="F978">
        <v>1</v>
      </c>
      <c r="G978" s="2">
        <v>559.65</v>
      </c>
      <c r="H978">
        <v>0.19</v>
      </c>
      <c r="I978" t="s">
        <v>68</v>
      </c>
      <c r="J978">
        <v>8</v>
      </c>
      <c r="K978">
        <v>4.5999999999999996</v>
      </c>
      <c r="L978" s="2">
        <v>453.32</v>
      </c>
      <c r="M978">
        <v>2024</v>
      </c>
      <c r="N978">
        <v>9</v>
      </c>
      <c r="O978" t="s">
        <v>112</v>
      </c>
      <c r="P978" s="2">
        <v>559.65</v>
      </c>
      <c r="Q978" s="2">
        <v>106.33</v>
      </c>
      <c r="R978" t="s">
        <v>76</v>
      </c>
      <c r="S978">
        <v>0</v>
      </c>
      <c r="T978">
        <v>0</v>
      </c>
      <c r="U978">
        <f>IF(AND(OR(Dashboard!$D$4="Semua",D978=Dashboard!$D$4),OR(Dashboard!$H$4="Semua",E978=Dashboard!$H$4)),1,0)</f>
        <v>1</v>
      </c>
      <c r="V978">
        <f>IF(U978=1,IF(COUNTIFS($C$2:C978,C978,$U$2:U978,1)=1,1,0),0)</f>
        <v>0</v>
      </c>
    </row>
    <row r="979" spans="1:22" x14ac:dyDescent="0.35">
      <c r="A979">
        <v>10978</v>
      </c>
      <c r="B979" s="1">
        <v>45539</v>
      </c>
      <c r="C979">
        <v>1928</v>
      </c>
      <c r="D979" t="s">
        <v>73</v>
      </c>
      <c r="E979" t="s">
        <v>78</v>
      </c>
      <c r="F979">
        <v>6</v>
      </c>
      <c r="G979" s="2">
        <v>338.47</v>
      </c>
      <c r="H979">
        <v>0.11</v>
      </c>
      <c r="I979" t="s">
        <v>68</v>
      </c>
      <c r="J979">
        <v>4</v>
      </c>
      <c r="K979">
        <v>4.0999999999999996</v>
      </c>
      <c r="L979" s="2">
        <v>1807.43</v>
      </c>
      <c r="M979">
        <v>2024</v>
      </c>
      <c r="N979">
        <v>9</v>
      </c>
      <c r="O979" t="s">
        <v>112</v>
      </c>
      <c r="P979" s="2">
        <v>2030.82</v>
      </c>
      <c r="Q979" s="2">
        <v>223.39</v>
      </c>
      <c r="R979" t="s">
        <v>79</v>
      </c>
      <c r="S979">
        <v>0</v>
      </c>
      <c r="T979">
        <v>0</v>
      </c>
      <c r="U979">
        <f>IF(AND(OR(Dashboard!$D$4="Semua",D979=Dashboard!$D$4),OR(Dashboard!$H$4="Semua",E979=Dashboard!$H$4)),1,0)</f>
        <v>1</v>
      </c>
      <c r="V979">
        <f>IF(U979=1,IF(COUNTIFS($C$2:C979,C979,$U$2:U979,1)=1,1,0),0)</f>
        <v>0</v>
      </c>
    </row>
    <row r="980" spans="1:22" x14ac:dyDescent="0.35">
      <c r="A980">
        <v>10979</v>
      </c>
      <c r="B980" s="1">
        <v>45540</v>
      </c>
      <c r="C980">
        <v>1723</v>
      </c>
      <c r="D980" t="s">
        <v>67</v>
      </c>
      <c r="E980" t="s">
        <v>78</v>
      </c>
      <c r="F980">
        <v>6</v>
      </c>
      <c r="G980" s="2">
        <v>422.48</v>
      </c>
      <c r="H980">
        <v>0.23</v>
      </c>
      <c r="I980" t="s">
        <v>68</v>
      </c>
      <c r="J980">
        <v>4</v>
      </c>
      <c r="K980">
        <v>4</v>
      </c>
      <c r="L980" s="2">
        <v>1951.86</v>
      </c>
      <c r="M980">
        <v>2024</v>
      </c>
      <c r="N980">
        <v>9</v>
      </c>
      <c r="O980" t="s">
        <v>112</v>
      </c>
      <c r="P980" s="2">
        <v>2534.88</v>
      </c>
      <c r="Q980" s="2">
        <v>583.02</v>
      </c>
      <c r="R980" t="s">
        <v>77</v>
      </c>
      <c r="S980">
        <v>0</v>
      </c>
      <c r="T980">
        <v>0</v>
      </c>
      <c r="U980">
        <f>IF(AND(OR(Dashboard!$D$4="Semua",D980=Dashboard!$D$4),OR(Dashboard!$H$4="Semua",E980=Dashboard!$H$4)),1,0)</f>
        <v>1</v>
      </c>
      <c r="V980">
        <f>IF(U980=1,IF(COUNTIFS($C$2:C980,C980,$U$2:U980,1)=1,1,0),0)</f>
        <v>1</v>
      </c>
    </row>
    <row r="981" spans="1:22" x14ac:dyDescent="0.35">
      <c r="A981">
        <v>10980</v>
      </c>
      <c r="B981" s="1">
        <v>45541</v>
      </c>
      <c r="C981">
        <v>1460</v>
      </c>
      <c r="D981" t="s">
        <v>73</v>
      </c>
      <c r="E981" t="s">
        <v>63</v>
      </c>
      <c r="F981">
        <v>6</v>
      </c>
      <c r="G981" s="2">
        <v>364.09</v>
      </c>
      <c r="H981">
        <v>0.23</v>
      </c>
      <c r="I981" t="s">
        <v>71</v>
      </c>
      <c r="J981">
        <v>2</v>
      </c>
      <c r="K981">
        <v>4.4000000000000004</v>
      </c>
      <c r="L981" s="2">
        <v>1682.1</v>
      </c>
      <c r="M981">
        <v>2024</v>
      </c>
      <c r="N981">
        <v>9</v>
      </c>
      <c r="O981" t="s">
        <v>112</v>
      </c>
      <c r="P981" s="2">
        <v>2184.54</v>
      </c>
      <c r="Q981" s="2">
        <v>502.44</v>
      </c>
      <c r="R981" t="s">
        <v>77</v>
      </c>
      <c r="S981">
        <v>0</v>
      </c>
      <c r="T981">
        <v>0</v>
      </c>
      <c r="U981">
        <f>IF(AND(OR(Dashboard!$D$4="Semua",D981=Dashboard!$D$4),OR(Dashboard!$H$4="Semua",E981=Dashboard!$H$4)),1,0)</f>
        <v>1</v>
      </c>
      <c r="V981">
        <f>IF(U981=1,IF(COUNTIFS($C$2:C981,C981,$U$2:U981,1)=1,1,0),0)</f>
        <v>0</v>
      </c>
    </row>
    <row r="982" spans="1:22" x14ac:dyDescent="0.35">
      <c r="A982">
        <v>10981</v>
      </c>
      <c r="B982" s="1">
        <v>45542</v>
      </c>
      <c r="C982">
        <v>1731</v>
      </c>
      <c r="D982" t="s">
        <v>67</v>
      </c>
      <c r="E982" t="s">
        <v>74</v>
      </c>
      <c r="F982">
        <v>4</v>
      </c>
      <c r="G982" s="2">
        <v>86.8</v>
      </c>
      <c r="H982">
        <v>0.2</v>
      </c>
      <c r="I982" t="s">
        <v>71</v>
      </c>
      <c r="J982">
        <v>6</v>
      </c>
      <c r="K982">
        <v>3.7</v>
      </c>
      <c r="L982" s="2">
        <v>277.76</v>
      </c>
      <c r="M982">
        <v>2024</v>
      </c>
      <c r="N982">
        <v>9</v>
      </c>
      <c r="O982" t="s">
        <v>112</v>
      </c>
      <c r="P982" s="2">
        <v>347.2</v>
      </c>
      <c r="Q982" s="2">
        <v>69.44</v>
      </c>
      <c r="R982" t="s">
        <v>76</v>
      </c>
      <c r="S982">
        <v>0</v>
      </c>
      <c r="T982">
        <v>0</v>
      </c>
      <c r="U982">
        <f>IF(AND(OR(Dashboard!$D$4="Semua",D982=Dashboard!$D$4),OR(Dashboard!$H$4="Semua",E982=Dashboard!$H$4)),1,0)</f>
        <v>1</v>
      </c>
      <c r="V982">
        <f>IF(U982=1,IF(COUNTIFS($C$2:C982,C982,$U$2:U982,1)=1,1,0),0)</f>
        <v>0</v>
      </c>
    </row>
    <row r="983" spans="1:22" x14ac:dyDescent="0.35">
      <c r="A983">
        <v>10982</v>
      </c>
      <c r="B983" s="1">
        <v>45543</v>
      </c>
      <c r="C983">
        <v>1751</v>
      </c>
      <c r="D983" t="s">
        <v>80</v>
      </c>
      <c r="E983" t="s">
        <v>70</v>
      </c>
      <c r="F983">
        <v>2</v>
      </c>
      <c r="G983" s="2">
        <v>578.41999999999996</v>
      </c>
      <c r="H983">
        <v>0.04</v>
      </c>
      <c r="I983" t="s">
        <v>71</v>
      </c>
      <c r="J983">
        <v>6</v>
      </c>
      <c r="K983">
        <v>2.7</v>
      </c>
      <c r="L983" s="2">
        <v>1110.57</v>
      </c>
      <c r="M983">
        <v>2024</v>
      </c>
      <c r="N983">
        <v>9</v>
      </c>
      <c r="O983" t="s">
        <v>112</v>
      </c>
      <c r="P983" s="2">
        <v>1156.8399999999999</v>
      </c>
      <c r="Q983" s="2">
        <v>46.27</v>
      </c>
      <c r="R983" t="s">
        <v>75</v>
      </c>
      <c r="S983">
        <v>0</v>
      </c>
      <c r="T983">
        <v>0</v>
      </c>
      <c r="U983">
        <f>IF(AND(OR(Dashboard!$D$4="Semua",D983=Dashboard!$D$4),OR(Dashboard!$H$4="Semua",E983=Dashboard!$H$4)),1,0)</f>
        <v>1</v>
      </c>
      <c r="V983">
        <f>IF(U983=1,IF(COUNTIFS($C$2:C983,C983,$U$2:U983,1)=1,1,0),0)</f>
        <v>0</v>
      </c>
    </row>
    <row r="984" spans="1:22" x14ac:dyDescent="0.35">
      <c r="A984">
        <v>10983</v>
      </c>
      <c r="B984" s="1">
        <v>45544</v>
      </c>
      <c r="C984">
        <v>1924</v>
      </c>
      <c r="D984" t="s">
        <v>73</v>
      </c>
      <c r="E984" t="s">
        <v>70</v>
      </c>
      <c r="F984">
        <v>6</v>
      </c>
      <c r="G984" s="2">
        <v>86.88</v>
      </c>
      <c r="H984">
        <v>0.17</v>
      </c>
      <c r="I984" t="s">
        <v>64</v>
      </c>
      <c r="J984">
        <v>1</v>
      </c>
      <c r="K984">
        <v>1.3</v>
      </c>
      <c r="L984" s="2">
        <v>432.66</v>
      </c>
      <c r="M984">
        <v>2024</v>
      </c>
      <c r="N984">
        <v>9</v>
      </c>
      <c r="O984" t="s">
        <v>112</v>
      </c>
      <c r="P984" s="2">
        <v>521.28</v>
      </c>
      <c r="Q984" s="2">
        <v>88.62</v>
      </c>
      <c r="R984" t="s">
        <v>76</v>
      </c>
      <c r="S984">
        <v>0</v>
      </c>
      <c r="T984">
        <v>0</v>
      </c>
      <c r="U984">
        <f>IF(AND(OR(Dashboard!$D$4="Semua",D984=Dashboard!$D$4),OR(Dashboard!$H$4="Semua",E984=Dashboard!$H$4)),1,0)</f>
        <v>1</v>
      </c>
      <c r="V984">
        <f>IF(U984=1,IF(COUNTIFS($C$2:C984,C984,$U$2:U984,1)=1,1,0),0)</f>
        <v>1</v>
      </c>
    </row>
    <row r="985" spans="1:22" x14ac:dyDescent="0.35">
      <c r="A985">
        <v>10984</v>
      </c>
      <c r="B985" s="1">
        <v>45545</v>
      </c>
      <c r="C985">
        <v>1908</v>
      </c>
      <c r="D985" t="s">
        <v>67</v>
      </c>
      <c r="E985" t="s">
        <v>74</v>
      </c>
      <c r="F985">
        <v>7</v>
      </c>
      <c r="G985" s="2">
        <v>164.11</v>
      </c>
      <c r="H985">
        <v>0.12</v>
      </c>
      <c r="I985" t="s">
        <v>71</v>
      </c>
      <c r="J985">
        <v>8</v>
      </c>
      <c r="K985">
        <v>4.2</v>
      </c>
      <c r="L985" s="2">
        <v>1010.92</v>
      </c>
      <c r="M985">
        <v>2024</v>
      </c>
      <c r="N985">
        <v>9</v>
      </c>
      <c r="O985" t="s">
        <v>112</v>
      </c>
      <c r="P985" s="2">
        <v>1148.77</v>
      </c>
      <c r="Q985" s="2">
        <v>137.85</v>
      </c>
      <c r="R985" t="s">
        <v>79</v>
      </c>
      <c r="S985">
        <v>0</v>
      </c>
      <c r="T985">
        <v>0</v>
      </c>
      <c r="U985">
        <f>IF(AND(OR(Dashboard!$D$4="Semua",D985=Dashboard!$D$4),OR(Dashboard!$H$4="Semua",E985=Dashboard!$H$4)),1,0)</f>
        <v>1</v>
      </c>
      <c r="V985">
        <f>IF(U985=1,IF(COUNTIFS($C$2:C985,C985,$U$2:U985,1)=1,1,0),0)</f>
        <v>1</v>
      </c>
    </row>
    <row r="986" spans="1:22" x14ac:dyDescent="0.35">
      <c r="A986">
        <v>10985</v>
      </c>
      <c r="B986" s="1">
        <v>45546</v>
      </c>
      <c r="C986">
        <v>1557</v>
      </c>
      <c r="D986" t="s">
        <v>67</v>
      </c>
      <c r="E986" t="s">
        <v>74</v>
      </c>
      <c r="F986">
        <v>7</v>
      </c>
      <c r="G986" s="2">
        <v>490.97</v>
      </c>
      <c r="H986">
        <v>0.17</v>
      </c>
      <c r="I986" t="s">
        <v>64</v>
      </c>
      <c r="J986">
        <v>3</v>
      </c>
      <c r="K986">
        <v>4.5999999999999996</v>
      </c>
      <c r="L986" s="2">
        <v>2852.54</v>
      </c>
      <c r="M986">
        <v>2024</v>
      </c>
      <c r="N986">
        <v>9</v>
      </c>
      <c r="O986" t="s">
        <v>112</v>
      </c>
      <c r="P986" s="2">
        <v>3436.79</v>
      </c>
      <c r="Q986" s="2">
        <v>584.25</v>
      </c>
      <c r="R986" t="s">
        <v>76</v>
      </c>
      <c r="S986">
        <v>0</v>
      </c>
      <c r="T986">
        <v>0</v>
      </c>
      <c r="U986">
        <f>IF(AND(OR(Dashboard!$D$4="Semua",D986=Dashboard!$D$4),OR(Dashboard!$H$4="Semua",E986=Dashboard!$H$4)),1,0)</f>
        <v>1</v>
      </c>
      <c r="V986">
        <f>IF(U986=1,IF(COUNTIFS($C$2:C986,C986,$U$2:U986,1)=1,1,0),0)</f>
        <v>1</v>
      </c>
    </row>
    <row r="987" spans="1:22" x14ac:dyDescent="0.35">
      <c r="A987">
        <v>10986</v>
      </c>
      <c r="B987" s="1">
        <v>45547</v>
      </c>
      <c r="C987">
        <v>1546</v>
      </c>
      <c r="D987" t="s">
        <v>73</v>
      </c>
      <c r="E987" t="s">
        <v>74</v>
      </c>
      <c r="F987">
        <v>5</v>
      </c>
      <c r="G987" s="2">
        <v>376.88</v>
      </c>
      <c r="H987">
        <v>0.32</v>
      </c>
      <c r="I987" t="s">
        <v>68</v>
      </c>
      <c r="J987">
        <v>1</v>
      </c>
      <c r="K987">
        <v>3</v>
      </c>
      <c r="L987" s="2">
        <v>1281.3900000000001</v>
      </c>
      <c r="M987">
        <v>2024</v>
      </c>
      <c r="N987">
        <v>9</v>
      </c>
      <c r="O987" t="s">
        <v>112</v>
      </c>
      <c r="P987" s="2">
        <v>1884.4</v>
      </c>
      <c r="Q987" s="2">
        <v>603.01</v>
      </c>
      <c r="R987" t="s">
        <v>72</v>
      </c>
      <c r="S987">
        <v>0</v>
      </c>
      <c r="T987">
        <v>0</v>
      </c>
      <c r="U987">
        <f>IF(AND(OR(Dashboard!$D$4="Semua",D987=Dashboard!$D$4),OR(Dashboard!$H$4="Semua",E987=Dashboard!$H$4)),1,0)</f>
        <v>1</v>
      </c>
      <c r="V987">
        <f>IF(U987=1,IF(COUNTIFS($C$2:C987,C987,$U$2:U987,1)=1,1,0),0)</f>
        <v>0</v>
      </c>
    </row>
    <row r="988" spans="1:22" x14ac:dyDescent="0.35">
      <c r="A988">
        <v>10987</v>
      </c>
      <c r="B988" s="1">
        <v>45548</v>
      </c>
      <c r="C988">
        <v>1252</v>
      </c>
      <c r="D988" t="s">
        <v>67</v>
      </c>
      <c r="E988" t="s">
        <v>63</v>
      </c>
      <c r="F988">
        <v>5</v>
      </c>
      <c r="G988" s="2">
        <v>505.32</v>
      </c>
      <c r="H988">
        <v>0.17</v>
      </c>
      <c r="I988" t="s">
        <v>68</v>
      </c>
      <c r="J988">
        <v>10</v>
      </c>
      <c r="K988">
        <v>3.1</v>
      </c>
      <c r="L988" s="2">
        <v>2097.08</v>
      </c>
      <c r="M988">
        <v>2024</v>
      </c>
      <c r="N988">
        <v>9</v>
      </c>
      <c r="O988" t="s">
        <v>112</v>
      </c>
      <c r="P988" s="2">
        <v>2526.6</v>
      </c>
      <c r="Q988" s="2">
        <v>429.52</v>
      </c>
      <c r="R988" t="s">
        <v>76</v>
      </c>
      <c r="S988">
        <v>0</v>
      </c>
      <c r="T988">
        <v>0</v>
      </c>
      <c r="U988">
        <f>IF(AND(OR(Dashboard!$D$4="Semua",D988=Dashboard!$D$4),OR(Dashboard!$H$4="Semua",E988=Dashboard!$H$4)),1,0)</f>
        <v>1</v>
      </c>
      <c r="V988">
        <f>IF(U988=1,IF(COUNTIFS($C$2:C988,C988,$U$2:U988,1)=1,1,0),0)</f>
        <v>0</v>
      </c>
    </row>
    <row r="989" spans="1:22" x14ac:dyDescent="0.35">
      <c r="A989">
        <v>10988</v>
      </c>
      <c r="B989" s="1">
        <v>45549</v>
      </c>
      <c r="C989">
        <v>1389</v>
      </c>
      <c r="D989" t="s">
        <v>73</v>
      </c>
      <c r="E989" t="s">
        <v>70</v>
      </c>
      <c r="F989">
        <v>2</v>
      </c>
      <c r="G989" s="2">
        <v>316.70999999999998</v>
      </c>
      <c r="H989">
        <v>0</v>
      </c>
      <c r="I989" t="s">
        <v>68</v>
      </c>
      <c r="J989">
        <v>1</v>
      </c>
      <c r="K989">
        <v>2.6</v>
      </c>
      <c r="L989" s="2">
        <v>633.41999999999996</v>
      </c>
      <c r="M989">
        <v>2024</v>
      </c>
      <c r="N989">
        <v>9</v>
      </c>
      <c r="O989" t="s">
        <v>112</v>
      </c>
      <c r="P989" s="2">
        <v>633.41999999999996</v>
      </c>
      <c r="Q989" s="2">
        <v>0</v>
      </c>
      <c r="R989" t="s">
        <v>75</v>
      </c>
      <c r="S989">
        <v>0</v>
      </c>
      <c r="T989">
        <v>0</v>
      </c>
      <c r="U989">
        <f>IF(AND(OR(Dashboard!$D$4="Semua",D989=Dashboard!$D$4),OR(Dashboard!$H$4="Semua",E989=Dashboard!$H$4)),1,0)</f>
        <v>1</v>
      </c>
      <c r="V989">
        <f>IF(U989=1,IF(COUNTIFS($C$2:C989,C989,$U$2:U989,1)=1,1,0),0)</f>
        <v>0</v>
      </c>
    </row>
    <row r="990" spans="1:22" x14ac:dyDescent="0.35">
      <c r="A990">
        <v>10989</v>
      </c>
      <c r="B990" s="1">
        <v>45550</v>
      </c>
      <c r="C990">
        <v>1593</v>
      </c>
      <c r="D990" t="s">
        <v>67</v>
      </c>
      <c r="E990" t="s">
        <v>70</v>
      </c>
      <c r="F990">
        <v>4</v>
      </c>
      <c r="G990" s="2">
        <v>235.54</v>
      </c>
      <c r="H990">
        <v>0.15</v>
      </c>
      <c r="I990" t="s">
        <v>68</v>
      </c>
      <c r="J990">
        <v>1</v>
      </c>
      <c r="K990">
        <v>4.4000000000000004</v>
      </c>
      <c r="L990" s="2">
        <v>800.84</v>
      </c>
      <c r="M990">
        <v>2024</v>
      </c>
      <c r="N990">
        <v>9</v>
      </c>
      <c r="O990" t="s">
        <v>112</v>
      </c>
      <c r="P990" s="2">
        <v>942.16</v>
      </c>
      <c r="Q990" s="2">
        <v>141.32</v>
      </c>
      <c r="R990" t="s">
        <v>79</v>
      </c>
      <c r="S990">
        <v>0</v>
      </c>
      <c r="T990">
        <v>0</v>
      </c>
      <c r="U990">
        <f>IF(AND(OR(Dashboard!$D$4="Semua",D990=Dashboard!$D$4),OR(Dashboard!$H$4="Semua",E990=Dashboard!$H$4)),1,0)</f>
        <v>1</v>
      </c>
      <c r="V990">
        <f>IF(U990=1,IF(COUNTIFS($C$2:C990,C990,$U$2:U990,1)=1,1,0),0)</f>
        <v>1</v>
      </c>
    </row>
    <row r="991" spans="1:22" x14ac:dyDescent="0.35">
      <c r="A991">
        <v>10990</v>
      </c>
      <c r="B991" s="1">
        <v>45551</v>
      </c>
      <c r="C991">
        <v>1882</v>
      </c>
      <c r="D991" t="s">
        <v>73</v>
      </c>
      <c r="E991" t="s">
        <v>78</v>
      </c>
      <c r="F991">
        <v>4</v>
      </c>
      <c r="G991" s="2">
        <v>554.28</v>
      </c>
      <c r="H991">
        <v>0.28999999999999998</v>
      </c>
      <c r="I991" t="s">
        <v>71</v>
      </c>
      <c r="J991">
        <v>5</v>
      </c>
      <c r="K991">
        <v>1.1000000000000001</v>
      </c>
      <c r="L991" s="2">
        <v>1574.16</v>
      </c>
      <c r="M991">
        <v>2024</v>
      </c>
      <c r="N991">
        <v>9</v>
      </c>
      <c r="O991" t="s">
        <v>112</v>
      </c>
      <c r="P991" s="2">
        <v>2217.12</v>
      </c>
      <c r="Q991" s="2">
        <v>642.96</v>
      </c>
      <c r="R991" t="s">
        <v>66</v>
      </c>
      <c r="S991">
        <v>0</v>
      </c>
      <c r="T991">
        <v>0</v>
      </c>
      <c r="U991">
        <f>IF(AND(OR(Dashboard!$D$4="Semua",D991=Dashboard!$D$4),OR(Dashboard!$H$4="Semua",E991=Dashboard!$H$4)),1,0)</f>
        <v>1</v>
      </c>
      <c r="V991">
        <f>IF(U991=1,IF(COUNTIFS($C$2:C991,C991,$U$2:U991,1)=1,1,0),0)</f>
        <v>0</v>
      </c>
    </row>
    <row r="992" spans="1:22" x14ac:dyDescent="0.35">
      <c r="A992">
        <v>10991</v>
      </c>
      <c r="B992" s="1">
        <v>45552</v>
      </c>
      <c r="C992">
        <v>1255</v>
      </c>
      <c r="D992" t="s">
        <v>67</v>
      </c>
      <c r="E992" t="s">
        <v>78</v>
      </c>
      <c r="F992">
        <v>1</v>
      </c>
      <c r="G992" s="2">
        <v>36.21</v>
      </c>
      <c r="H992">
        <v>0.27</v>
      </c>
      <c r="I992" t="s">
        <v>71</v>
      </c>
      <c r="J992">
        <v>5</v>
      </c>
      <c r="K992">
        <v>3.5</v>
      </c>
      <c r="L992" s="2">
        <v>26.43</v>
      </c>
      <c r="M992">
        <v>2024</v>
      </c>
      <c r="N992">
        <v>9</v>
      </c>
      <c r="O992" t="s">
        <v>112</v>
      </c>
      <c r="P992" s="2">
        <v>36.21</v>
      </c>
      <c r="Q992" s="2">
        <v>9.7799999999999994</v>
      </c>
      <c r="R992" t="s">
        <v>66</v>
      </c>
      <c r="S992">
        <v>0</v>
      </c>
      <c r="T992">
        <v>0</v>
      </c>
      <c r="U992">
        <f>IF(AND(OR(Dashboard!$D$4="Semua",D992=Dashboard!$D$4),OR(Dashboard!$H$4="Semua",E992=Dashboard!$H$4)),1,0)</f>
        <v>1</v>
      </c>
      <c r="V992">
        <f>IF(U992=1,IF(COUNTIFS($C$2:C992,C992,$U$2:U992,1)=1,1,0),0)</f>
        <v>0</v>
      </c>
    </row>
    <row r="993" spans="1:22" x14ac:dyDescent="0.35">
      <c r="A993">
        <v>10992</v>
      </c>
      <c r="B993" s="1">
        <v>45553</v>
      </c>
      <c r="C993">
        <v>1708</v>
      </c>
      <c r="D993" t="s">
        <v>73</v>
      </c>
      <c r="E993" t="s">
        <v>74</v>
      </c>
      <c r="F993">
        <v>1</v>
      </c>
      <c r="G993" s="2">
        <v>515.84</v>
      </c>
      <c r="H993">
        <v>0.18</v>
      </c>
      <c r="I993" t="s">
        <v>71</v>
      </c>
      <c r="J993">
        <v>1</v>
      </c>
      <c r="K993">
        <v>4.5999999999999996</v>
      </c>
      <c r="L993" s="2">
        <v>422.99</v>
      </c>
      <c r="M993">
        <v>2024</v>
      </c>
      <c r="N993">
        <v>9</v>
      </c>
      <c r="O993" t="s">
        <v>112</v>
      </c>
      <c r="P993" s="2">
        <v>515.84</v>
      </c>
      <c r="Q993" s="2">
        <v>92.85</v>
      </c>
      <c r="R993" t="s">
        <v>76</v>
      </c>
      <c r="S993">
        <v>0</v>
      </c>
      <c r="T993">
        <v>0</v>
      </c>
      <c r="U993">
        <f>IF(AND(OR(Dashboard!$D$4="Semua",D993=Dashboard!$D$4),OR(Dashboard!$H$4="Semua",E993=Dashboard!$H$4)),1,0)</f>
        <v>1</v>
      </c>
      <c r="V993">
        <f>IF(U993=1,IF(COUNTIFS($C$2:C993,C993,$U$2:U993,1)=1,1,0),0)</f>
        <v>1</v>
      </c>
    </row>
    <row r="994" spans="1:22" x14ac:dyDescent="0.35">
      <c r="A994">
        <v>10993</v>
      </c>
      <c r="B994" s="1">
        <v>45554</v>
      </c>
      <c r="C994">
        <v>1814</v>
      </c>
      <c r="D994" t="s">
        <v>80</v>
      </c>
      <c r="E994" t="s">
        <v>78</v>
      </c>
      <c r="F994">
        <v>6</v>
      </c>
      <c r="G994" s="2">
        <v>150.03</v>
      </c>
      <c r="H994">
        <v>0.09</v>
      </c>
      <c r="I994" t="s">
        <v>71</v>
      </c>
      <c r="J994">
        <v>5</v>
      </c>
      <c r="K994">
        <v>1.4</v>
      </c>
      <c r="L994" s="2">
        <v>819.16</v>
      </c>
      <c r="M994">
        <v>2024</v>
      </c>
      <c r="N994">
        <v>9</v>
      </c>
      <c r="O994" t="s">
        <v>112</v>
      </c>
      <c r="P994" s="2">
        <v>900.18</v>
      </c>
      <c r="Q994" s="2">
        <v>81.02</v>
      </c>
      <c r="R994" t="s">
        <v>69</v>
      </c>
      <c r="S994">
        <v>0</v>
      </c>
      <c r="T994">
        <v>0</v>
      </c>
      <c r="U994">
        <f>IF(AND(OR(Dashboard!$D$4="Semua",D994=Dashboard!$D$4),OR(Dashboard!$H$4="Semua",E994=Dashboard!$H$4)),1,0)</f>
        <v>1</v>
      </c>
      <c r="V994">
        <f>IF(U994=1,IF(COUNTIFS($C$2:C994,C994,$U$2:U994,1)=1,1,0),0)</f>
        <v>0</v>
      </c>
    </row>
    <row r="995" spans="1:22" x14ac:dyDescent="0.35">
      <c r="A995">
        <v>10994</v>
      </c>
      <c r="B995" s="1">
        <v>45555</v>
      </c>
      <c r="C995">
        <v>1920</v>
      </c>
      <c r="D995" t="s">
        <v>73</v>
      </c>
      <c r="E995" t="s">
        <v>63</v>
      </c>
      <c r="F995">
        <v>3</v>
      </c>
      <c r="G995" s="2">
        <v>511.51</v>
      </c>
      <c r="H995">
        <v>0.16</v>
      </c>
      <c r="I995" t="s">
        <v>64</v>
      </c>
      <c r="J995">
        <v>7</v>
      </c>
      <c r="K995">
        <v>4.8</v>
      </c>
      <c r="L995" s="2">
        <v>1289.01</v>
      </c>
      <c r="M995">
        <v>2024</v>
      </c>
      <c r="N995">
        <v>9</v>
      </c>
      <c r="O995" t="s">
        <v>112</v>
      </c>
      <c r="P995" s="2">
        <v>1534.53</v>
      </c>
      <c r="Q995" s="2">
        <v>245.52</v>
      </c>
      <c r="R995" t="s">
        <v>76</v>
      </c>
      <c r="S995">
        <v>0</v>
      </c>
      <c r="T995">
        <v>0</v>
      </c>
      <c r="U995">
        <f>IF(AND(OR(Dashboard!$D$4="Semua",D995=Dashboard!$D$4),OR(Dashboard!$H$4="Semua",E995=Dashboard!$H$4)),1,0)</f>
        <v>1</v>
      </c>
      <c r="V995">
        <f>IF(U995=1,IF(COUNTIFS($C$2:C995,C995,$U$2:U995,1)=1,1,0),0)</f>
        <v>0</v>
      </c>
    </row>
    <row r="996" spans="1:22" x14ac:dyDescent="0.35">
      <c r="A996">
        <v>10995</v>
      </c>
      <c r="B996" s="1">
        <v>45556</v>
      </c>
      <c r="C996">
        <v>1449</v>
      </c>
      <c r="D996" t="s">
        <v>67</v>
      </c>
      <c r="E996" t="s">
        <v>70</v>
      </c>
      <c r="F996">
        <v>7</v>
      </c>
      <c r="G996" s="2">
        <v>96.43</v>
      </c>
      <c r="H996">
        <v>0.2</v>
      </c>
      <c r="I996" t="s">
        <v>64</v>
      </c>
      <c r="J996">
        <v>5</v>
      </c>
      <c r="K996">
        <v>4.9000000000000004</v>
      </c>
      <c r="L996" s="2">
        <v>540.01</v>
      </c>
      <c r="M996">
        <v>2024</v>
      </c>
      <c r="N996">
        <v>9</v>
      </c>
      <c r="O996" t="s">
        <v>112</v>
      </c>
      <c r="P996" s="2">
        <v>675.01</v>
      </c>
      <c r="Q996" s="2">
        <v>135</v>
      </c>
      <c r="R996" t="s">
        <v>76</v>
      </c>
      <c r="S996">
        <v>0</v>
      </c>
      <c r="T996">
        <v>0</v>
      </c>
      <c r="U996">
        <f>IF(AND(OR(Dashboard!$D$4="Semua",D996=Dashboard!$D$4),OR(Dashboard!$H$4="Semua",E996=Dashboard!$H$4)),1,0)</f>
        <v>1</v>
      </c>
      <c r="V996">
        <f>IF(U996=1,IF(COUNTIFS($C$2:C996,C996,$U$2:U996,1)=1,1,0),0)</f>
        <v>1</v>
      </c>
    </row>
    <row r="997" spans="1:22" x14ac:dyDescent="0.35">
      <c r="A997">
        <v>10996</v>
      </c>
      <c r="B997" s="1">
        <v>45557</v>
      </c>
      <c r="C997">
        <v>1009</v>
      </c>
      <c r="D997" t="s">
        <v>67</v>
      </c>
      <c r="E997" t="s">
        <v>70</v>
      </c>
      <c r="F997">
        <v>1</v>
      </c>
      <c r="G997" s="2">
        <v>354.43</v>
      </c>
      <c r="H997">
        <v>0.35</v>
      </c>
      <c r="I997" t="s">
        <v>68</v>
      </c>
      <c r="J997">
        <v>9</v>
      </c>
      <c r="K997">
        <v>4.7</v>
      </c>
      <c r="L997" s="2">
        <v>230.38</v>
      </c>
      <c r="M997">
        <v>2024</v>
      </c>
      <c r="N997">
        <v>9</v>
      </c>
      <c r="O997" t="s">
        <v>112</v>
      </c>
      <c r="P997" s="2">
        <v>354.43</v>
      </c>
      <c r="Q997" s="2">
        <v>124.05</v>
      </c>
      <c r="R997" t="s">
        <v>72</v>
      </c>
      <c r="S997">
        <v>0</v>
      </c>
      <c r="T997">
        <v>0</v>
      </c>
      <c r="U997">
        <f>IF(AND(OR(Dashboard!$D$4="Semua",D997=Dashboard!$D$4),OR(Dashboard!$H$4="Semua",E997=Dashboard!$H$4)),1,0)</f>
        <v>1</v>
      </c>
      <c r="V997">
        <f>IF(U997=1,IF(COUNTIFS($C$2:C997,C997,$U$2:U997,1)=1,1,0),0)</f>
        <v>1</v>
      </c>
    </row>
    <row r="998" spans="1:22" x14ac:dyDescent="0.35">
      <c r="A998">
        <v>10997</v>
      </c>
      <c r="B998" s="1">
        <v>45558</v>
      </c>
      <c r="C998">
        <v>1823</v>
      </c>
      <c r="D998" t="s">
        <v>80</v>
      </c>
      <c r="E998" t="s">
        <v>78</v>
      </c>
      <c r="F998">
        <v>4</v>
      </c>
      <c r="G998" s="2">
        <v>534.54</v>
      </c>
      <c r="H998">
        <v>0.23</v>
      </c>
      <c r="I998" t="s">
        <v>68</v>
      </c>
      <c r="J998">
        <v>4</v>
      </c>
      <c r="K998">
        <v>2.9</v>
      </c>
      <c r="L998" s="2">
        <v>1646.38</v>
      </c>
      <c r="M998">
        <v>2024</v>
      </c>
      <c r="N998">
        <v>9</v>
      </c>
      <c r="O998" t="s">
        <v>112</v>
      </c>
      <c r="P998" s="2">
        <v>2138.16</v>
      </c>
      <c r="Q998" s="2">
        <v>491.78</v>
      </c>
      <c r="R998" t="s">
        <v>77</v>
      </c>
      <c r="S998">
        <v>0</v>
      </c>
      <c r="T998">
        <v>0</v>
      </c>
      <c r="U998">
        <f>IF(AND(OR(Dashboard!$D$4="Semua",D998=Dashboard!$D$4),OR(Dashboard!$H$4="Semua",E998=Dashboard!$H$4)),1,0)</f>
        <v>1</v>
      </c>
      <c r="V998">
        <f>IF(U998=1,IF(COUNTIFS($C$2:C998,C998,$U$2:U998,1)=1,1,0),0)</f>
        <v>0</v>
      </c>
    </row>
    <row r="999" spans="1:22" x14ac:dyDescent="0.35">
      <c r="A999">
        <v>10998</v>
      </c>
      <c r="B999" s="1">
        <v>45559</v>
      </c>
      <c r="C999">
        <v>1797</v>
      </c>
      <c r="D999" t="s">
        <v>67</v>
      </c>
      <c r="E999" t="s">
        <v>74</v>
      </c>
      <c r="F999">
        <v>7</v>
      </c>
      <c r="G999" s="2">
        <v>292.02</v>
      </c>
      <c r="H999">
        <v>0.24</v>
      </c>
      <c r="I999" t="s">
        <v>68</v>
      </c>
      <c r="J999">
        <v>9</v>
      </c>
      <c r="K999">
        <v>2.5</v>
      </c>
      <c r="L999" s="2">
        <v>1553.55</v>
      </c>
      <c r="M999">
        <v>2024</v>
      </c>
      <c r="N999">
        <v>9</v>
      </c>
      <c r="O999" t="s">
        <v>112</v>
      </c>
      <c r="P999" s="2">
        <v>2044.14</v>
      </c>
      <c r="Q999" s="2">
        <v>490.59</v>
      </c>
      <c r="R999" t="s">
        <v>77</v>
      </c>
      <c r="S999">
        <v>0</v>
      </c>
      <c r="T999">
        <v>0</v>
      </c>
      <c r="U999">
        <f>IF(AND(OR(Dashboard!$D$4="Semua",D999=Dashboard!$D$4),OR(Dashboard!$H$4="Semua",E999=Dashboard!$H$4)),1,0)</f>
        <v>1</v>
      </c>
      <c r="V999">
        <f>IF(U999=1,IF(COUNTIFS($C$2:C999,C999,$U$2:U999,1)=1,1,0),0)</f>
        <v>0</v>
      </c>
    </row>
    <row r="1000" spans="1:22" x14ac:dyDescent="0.35">
      <c r="A1000">
        <v>10999</v>
      </c>
      <c r="B1000" s="1">
        <v>45560</v>
      </c>
      <c r="C1000">
        <v>1241</v>
      </c>
      <c r="D1000" t="s">
        <v>80</v>
      </c>
      <c r="E1000" t="s">
        <v>78</v>
      </c>
      <c r="F1000">
        <v>3</v>
      </c>
      <c r="G1000" s="2">
        <v>451.74</v>
      </c>
      <c r="H1000">
        <v>0.17</v>
      </c>
      <c r="I1000" t="s">
        <v>68</v>
      </c>
      <c r="J1000">
        <v>8</v>
      </c>
      <c r="K1000">
        <v>3.8</v>
      </c>
      <c r="L1000" s="2">
        <v>1124.83</v>
      </c>
      <c r="M1000">
        <v>2024</v>
      </c>
      <c r="N1000">
        <v>9</v>
      </c>
      <c r="O1000" t="s">
        <v>112</v>
      </c>
      <c r="P1000" s="2">
        <v>1355.22</v>
      </c>
      <c r="Q1000" s="2">
        <v>230.39</v>
      </c>
      <c r="R1000" t="s">
        <v>76</v>
      </c>
      <c r="S1000">
        <v>0</v>
      </c>
      <c r="T1000">
        <v>0</v>
      </c>
      <c r="U1000">
        <f>IF(AND(OR(Dashboard!$D$4="Semua",D1000=Dashboard!$D$4),OR(Dashboard!$H$4="Semua",E1000=Dashboard!$H$4)),1,0)</f>
        <v>1</v>
      </c>
      <c r="V1000">
        <f>IF(U1000=1,IF(COUNTIFS($C$2:C1000,C1000,$U$2:U1000,1)=1,1,0),0)</f>
        <v>0</v>
      </c>
    </row>
    <row r="1001" spans="1:22" x14ac:dyDescent="0.35">
      <c r="A1001">
        <v>11000</v>
      </c>
      <c r="B1001" s="1">
        <v>45561</v>
      </c>
      <c r="C1001">
        <v>1250</v>
      </c>
      <c r="D1001" t="s">
        <v>80</v>
      </c>
      <c r="E1001" t="s">
        <v>74</v>
      </c>
      <c r="F1001">
        <v>1</v>
      </c>
      <c r="G1001" s="2">
        <v>485.73</v>
      </c>
      <c r="H1001">
        <v>0.12</v>
      </c>
      <c r="I1001" t="s">
        <v>71</v>
      </c>
      <c r="J1001">
        <v>1</v>
      </c>
      <c r="K1001">
        <v>2.2999999999999998</v>
      </c>
      <c r="L1001" s="2">
        <v>427.44</v>
      </c>
      <c r="M1001">
        <v>2024</v>
      </c>
      <c r="N1001">
        <v>9</v>
      </c>
      <c r="O1001" t="s">
        <v>112</v>
      </c>
      <c r="P1001" s="2">
        <v>485.73</v>
      </c>
      <c r="Q1001" s="2">
        <v>58.29</v>
      </c>
      <c r="R1001" t="s">
        <v>79</v>
      </c>
      <c r="S1001">
        <v>0</v>
      </c>
      <c r="T1001">
        <v>0</v>
      </c>
      <c r="U1001">
        <f>IF(AND(OR(Dashboard!$D$4="Semua",D1001=Dashboard!$D$4),OR(Dashboard!$H$4="Semua",E1001=Dashboard!$H$4)),1,0)</f>
        <v>1</v>
      </c>
      <c r="V1001">
        <f>IF(U1001=1,IF(COUNTIFS($C$2:C1001,C1001,$U$2:U1001,1)=1,1,0),0)</f>
        <v>1</v>
      </c>
    </row>
    <row r="1002" spans="1:22" x14ac:dyDescent="0.35">
      <c r="A1002">
        <v>11001</v>
      </c>
      <c r="B1002" s="1">
        <v>45562</v>
      </c>
      <c r="C1002">
        <v>1876</v>
      </c>
      <c r="D1002" t="s">
        <v>62</v>
      </c>
      <c r="E1002" t="s">
        <v>63</v>
      </c>
      <c r="F1002">
        <v>2</v>
      </c>
      <c r="G1002" s="2">
        <v>445.85</v>
      </c>
      <c r="H1002">
        <v>0.28000000000000003</v>
      </c>
      <c r="I1002" t="s">
        <v>71</v>
      </c>
      <c r="J1002">
        <v>4</v>
      </c>
      <c r="K1002">
        <v>1.3</v>
      </c>
      <c r="L1002" s="2">
        <v>642.02</v>
      </c>
      <c r="M1002">
        <v>2024</v>
      </c>
      <c r="N1002">
        <v>9</v>
      </c>
      <c r="O1002" t="s">
        <v>112</v>
      </c>
      <c r="P1002" s="2">
        <v>891.7</v>
      </c>
      <c r="Q1002" s="2">
        <v>249.68</v>
      </c>
      <c r="R1002" t="s">
        <v>66</v>
      </c>
      <c r="S1002">
        <v>0</v>
      </c>
      <c r="T1002">
        <v>0</v>
      </c>
      <c r="U1002">
        <f>IF(AND(OR(Dashboard!$D$4="Semua",D1002=Dashboard!$D$4),OR(Dashboard!$H$4="Semua",E1002=Dashboard!$H$4)),1,0)</f>
        <v>1</v>
      </c>
      <c r="V1002">
        <f>IF(U1002=1,IF(COUNTIFS($C$2:C1002,C1002,$U$2:U1002,1)=1,1,0),0)</f>
        <v>0</v>
      </c>
    </row>
    <row r="1003" spans="1:22" x14ac:dyDescent="0.35">
      <c r="A1003">
        <v>11002</v>
      </c>
      <c r="B1003" s="1">
        <v>45563</v>
      </c>
      <c r="C1003">
        <v>1004</v>
      </c>
      <c r="D1003" t="s">
        <v>73</v>
      </c>
      <c r="E1003" t="s">
        <v>70</v>
      </c>
      <c r="F1003">
        <v>5</v>
      </c>
      <c r="G1003" s="2">
        <v>556.32000000000005</v>
      </c>
      <c r="H1003">
        <v>0.17</v>
      </c>
      <c r="I1003" t="s">
        <v>68</v>
      </c>
      <c r="J1003">
        <v>7</v>
      </c>
      <c r="K1003">
        <v>4.5999999999999996</v>
      </c>
      <c r="L1003" s="2">
        <v>2308.73</v>
      </c>
      <c r="M1003">
        <v>2024</v>
      </c>
      <c r="N1003">
        <v>9</v>
      </c>
      <c r="O1003" t="s">
        <v>112</v>
      </c>
      <c r="P1003" s="2">
        <v>2781.6</v>
      </c>
      <c r="Q1003" s="2">
        <v>472.87</v>
      </c>
      <c r="R1003" t="s">
        <v>76</v>
      </c>
      <c r="S1003">
        <v>0</v>
      </c>
      <c r="T1003">
        <v>0</v>
      </c>
      <c r="U1003">
        <f>IF(AND(OR(Dashboard!$D$4="Semua",D1003=Dashboard!$D$4),OR(Dashboard!$H$4="Semua",E1003=Dashboard!$H$4)),1,0)</f>
        <v>1</v>
      </c>
      <c r="V1003">
        <f>IF(U1003=1,IF(COUNTIFS($C$2:C1003,C1003,$U$2:U1003,1)=1,1,0),0)</f>
        <v>0</v>
      </c>
    </row>
    <row r="1004" spans="1:22" x14ac:dyDescent="0.35">
      <c r="A1004">
        <v>11003</v>
      </c>
      <c r="B1004" s="1">
        <v>45564</v>
      </c>
      <c r="C1004">
        <v>1118</v>
      </c>
      <c r="D1004" t="s">
        <v>67</v>
      </c>
      <c r="E1004" t="s">
        <v>63</v>
      </c>
      <c r="F1004">
        <v>1</v>
      </c>
      <c r="G1004" s="2">
        <v>276.39999999999998</v>
      </c>
      <c r="H1004">
        <v>0.35</v>
      </c>
      <c r="I1004" t="s">
        <v>71</v>
      </c>
      <c r="J1004">
        <v>1</v>
      </c>
      <c r="K1004">
        <v>3.5</v>
      </c>
      <c r="L1004" s="2">
        <v>179.66</v>
      </c>
      <c r="M1004">
        <v>2024</v>
      </c>
      <c r="N1004">
        <v>9</v>
      </c>
      <c r="O1004" t="s">
        <v>112</v>
      </c>
      <c r="P1004" s="2">
        <v>276.39999999999998</v>
      </c>
      <c r="Q1004" s="2">
        <v>96.74</v>
      </c>
      <c r="R1004" t="s">
        <v>72</v>
      </c>
      <c r="S1004">
        <v>0</v>
      </c>
      <c r="T1004">
        <v>0</v>
      </c>
      <c r="U1004">
        <f>IF(AND(OR(Dashboard!$D$4="Semua",D1004=Dashboard!$D$4),OR(Dashboard!$H$4="Semua",E1004=Dashboard!$H$4)),1,0)</f>
        <v>1</v>
      </c>
      <c r="V1004">
        <f>IF(U1004=1,IF(COUNTIFS($C$2:C1004,C1004,$U$2:U1004,1)=1,1,0),0)</f>
        <v>1</v>
      </c>
    </row>
    <row r="1005" spans="1:22" x14ac:dyDescent="0.35">
      <c r="A1005">
        <v>11004</v>
      </c>
      <c r="B1005" s="1">
        <v>45565</v>
      </c>
      <c r="C1005">
        <v>1800</v>
      </c>
      <c r="D1005" t="s">
        <v>80</v>
      </c>
      <c r="E1005" t="s">
        <v>70</v>
      </c>
      <c r="F1005">
        <v>1</v>
      </c>
      <c r="G1005" s="2">
        <v>116.28</v>
      </c>
      <c r="H1005">
        <v>0.16</v>
      </c>
      <c r="I1005" t="s">
        <v>71</v>
      </c>
      <c r="J1005">
        <v>8</v>
      </c>
      <c r="K1005">
        <v>1.8</v>
      </c>
      <c r="L1005" s="2">
        <v>97.68</v>
      </c>
      <c r="M1005">
        <v>2024</v>
      </c>
      <c r="N1005">
        <v>9</v>
      </c>
      <c r="O1005" t="s">
        <v>112</v>
      </c>
      <c r="P1005" s="2">
        <v>116.28</v>
      </c>
      <c r="Q1005" s="2">
        <v>18.600000000000001</v>
      </c>
      <c r="R1005" t="s">
        <v>76</v>
      </c>
      <c r="S1005">
        <v>0</v>
      </c>
      <c r="T1005">
        <v>0</v>
      </c>
      <c r="U1005">
        <f>IF(AND(OR(Dashboard!$D$4="Semua",D1005=Dashboard!$D$4),OR(Dashboard!$H$4="Semua",E1005=Dashboard!$H$4)),1,0)</f>
        <v>1</v>
      </c>
      <c r="V1005">
        <f>IF(U1005=1,IF(COUNTIFS($C$2:C1005,C1005,$U$2:U1005,1)=1,1,0),0)</f>
        <v>0</v>
      </c>
    </row>
    <row r="1006" spans="1:22" x14ac:dyDescent="0.35">
      <c r="A1006">
        <v>11005</v>
      </c>
      <c r="B1006" s="1">
        <v>45566</v>
      </c>
      <c r="C1006">
        <v>1373</v>
      </c>
      <c r="D1006" t="s">
        <v>62</v>
      </c>
      <c r="E1006" t="s">
        <v>63</v>
      </c>
      <c r="F1006">
        <v>2</v>
      </c>
      <c r="G1006" s="2">
        <v>42.97</v>
      </c>
      <c r="H1006">
        <v>0.02</v>
      </c>
      <c r="I1006" t="s">
        <v>68</v>
      </c>
      <c r="J1006">
        <v>11</v>
      </c>
      <c r="K1006">
        <v>1.1000000000000001</v>
      </c>
      <c r="L1006" s="2">
        <v>84.22</v>
      </c>
      <c r="M1006">
        <v>2024</v>
      </c>
      <c r="N1006">
        <v>10</v>
      </c>
      <c r="O1006" t="s">
        <v>113</v>
      </c>
      <c r="P1006" s="2">
        <v>85.94</v>
      </c>
      <c r="Q1006" s="2">
        <v>1.72</v>
      </c>
      <c r="R1006" t="s">
        <v>75</v>
      </c>
      <c r="S1006">
        <v>0</v>
      </c>
      <c r="T1006">
        <v>0</v>
      </c>
      <c r="U1006">
        <f>IF(AND(OR(Dashboard!$D$4="Semua",D1006=Dashboard!$D$4),OR(Dashboard!$H$4="Semua",E1006=Dashboard!$H$4)),1,0)</f>
        <v>1</v>
      </c>
      <c r="V1006">
        <f>IF(U1006=1,IF(COUNTIFS($C$2:C1006,C1006,$U$2:U1006,1)=1,1,0),0)</f>
        <v>0</v>
      </c>
    </row>
    <row r="1007" spans="1:22" x14ac:dyDescent="0.35">
      <c r="A1007">
        <v>11006</v>
      </c>
      <c r="B1007" s="1">
        <v>45567</v>
      </c>
      <c r="C1007">
        <v>1064</v>
      </c>
      <c r="D1007" t="s">
        <v>62</v>
      </c>
      <c r="E1007" t="s">
        <v>78</v>
      </c>
      <c r="F1007">
        <v>4</v>
      </c>
      <c r="G1007" s="2">
        <v>159.18</v>
      </c>
      <c r="H1007">
        <v>0.24</v>
      </c>
      <c r="I1007" t="s">
        <v>68</v>
      </c>
      <c r="J1007">
        <v>2</v>
      </c>
      <c r="K1007">
        <v>3.9</v>
      </c>
      <c r="L1007" s="2">
        <v>483.91</v>
      </c>
      <c r="M1007">
        <v>2024</v>
      </c>
      <c r="N1007">
        <v>10</v>
      </c>
      <c r="O1007" t="s">
        <v>113</v>
      </c>
      <c r="P1007" s="2">
        <v>636.72</v>
      </c>
      <c r="Q1007" s="2">
        <v>152.81</v>
      </c>
      <c r="R1007" t="s">
        <v>77</v>
      </c>
      <c r="S1007">
        <v>0</v>
      </c>
      <c r="T1007">
        <v>0</v>
      </c>
      <c r="U1007">
        <f>IF(AND(OR(Dashboard!$D$4="Semua",D1007=Dashboard!$D$4),OR(Dashboard!$H$4="Semua",E1007=Dashboard!$H$4)),1,0)</f>
        <v>1</v>
      </c>
      <c r="V1007">
        <f>IF(U1007=1,IF(COUNTIFS($C$2:C1007,C1007,$U$2:U1007,1)=1,1,0),0)</f>
        <v>0</v>
      </c>
    </row>
    <row r="1008" spans="1:22" x14ac:dyDescent="0.35">
      <c r="A1008">
        <v>11007</v>
      </c>
      <c r="B1008" s="1">
        <v>45568</v>
      </c>
      <c r="C1008">
        <v>1145</v>
      </c>
      <c r="D1008" t="s">
        <v>67</v>
      </c>
      <c r="E1008" t="s">
        <v>63</v>
      </c>
      <c r="F1008">
        <v>6</v>
      </c>
      <c r="G1008" s="2">
        <v>98.77</v>
      </c>
      <c r="H1008">
        <v>0.02</v>
      </c>
      <c r="I1008" t="s">
        <v>64</v>
      </c>
      <c r="J1008">
        <v>8</v>
      </c>
      <c r="K1008">
        <v>4.4000000000000004</v>
      </c>
      <c r="L1008" s="2">
        <v>580.77</v>
      </c>
      <c r="M1008">
        <v>2024</v>
      </c>
      <c r="N1008">
        <v>10</v>
      </c>
      <c r="O1008" t="s">
        <v>113</v>
      </c>
      <c r="P1008" s="2">
        <v>592.62</v>
      </c>
      <c r="Q1008" s="2">
        <v>11.85</v>
      </c>
      <c r="R1008" t="s">
        <v>75</v>
      </c>
      <c r="S1008">
        <v>0</v>
      </c>
      <c r="T1008">
        <v>0</v>
      </c>
      <c r="U1008">
        <f>IF(AND(OR(Dashboard!$D$4="Semua",D1008=Dashboard!$D$4),OR(Dashboard!$H$4="Semua",E1008=Dashboard!$H$4)),1,0)</f>
        <v>1</v>
      </c>
      <c r="V1008">
        <f>IF(U1008=1,IF(COUNTIFS($C$2:C1008,C1008,$U$2:U1008,1)=1,1,0),0)</f>
        <v>1</v>
      </c>
    </row>
    <row r="1009" spans="1:22" x14ac:dyDescent="0.35">
      <c r="A1009">
        <v>11008</v>
      </c>
      <c r="B1009" s="1">
        <v>45569</v>
      </c>
      <c r="C1009">
        <v>1223</v>
      </c>
      <c r="D1009" t="s">
        <v>73</v>
      </c>
      <c r="E1009" t="s">
        <v>63</v>
      </c>
      <c r="F1009">
        <v>2</v>
      </c>
      <c r="G1009" s="2">
        <v>341.4</v>
      </c>
      <c r="H1009">
        <v>0.09</v>
      </c>
      <c r="I1009" t="s">
        <v>71</v>
      </c>
      <c r="J1009">
        <v>11</v>
      </c>
      <c r="K1009">
        <v>2.6</v>
      </c>
      <c r="L1009" s="2">
        <v>621.35</v>
      </c>
      <c r="M1009">
        <v>2024</v>
      </c>
      <c r="N1009">
        <v>10</v>
      </c>
      <c r="O1009" t="s">
        <v>113</v>
      </c>
      <c r="P1009" s="2">
        <v>682.8</v>
      </c>
      <c r="Q1009" s="2">
        <v>61.45</v>
      </c>
      <c r="R1009" t="s">
        <v>69</v>
      </c>
      <c r="S1009">
        <v>0</v>
      </c>
      <c r="T1009">
        <v>0</v>
      </c>
      <c r="U1009">
        <f>IF(AND(OR(Dashboard!$D$4="Semua",D1009=Dashboard!$D$4),OR(Dashboard!$H$4="Semua",E1009=Dashboard!$H$4)),1,0)</f>
        <v>1</v>
      </c>
      <c r="V1009">
        <f>IF(U1009=1,IF(COUNTIFS($C$2:C1009,C1009,$U$2:U1009,1)=1,1,0),0)</f>
        <v>1</v>
      </c>
    </row>
    <row r="1010" spans="1:22" x14ac:dyDescent="0.35">
      <c r="A1010">
        <v>11009</v>
      </c>
      <c r="B1010" s="1">
        <v>45570</v>
      </c>
      <c r="C1010">
        <v>1238</v>
      </c>
      <c r="D1010" t="s">
        <v>67</v>
      </c>
      <c r="E1010" t="s">
        <v>78</v>
      </c>
      <c r="F1010">
        <v>6</v>
      </c>
      <c r="G1010" s="2">
        <v>123.19</v>
      </c>
      <c r="H1010">
        <v>0.12</v>
      </c>
      <c r="I1010" t="s">
        <v>68</v>
      </c>
      <c r="J1010">
        <v>4</v>
      </c>
      <c r="K1010">
        <v>1.3</v>
      </c>
      <c r="L1010" s="2">
        <v>650.44000000000005</v>
      </c>
      <c r="M1010">
        <v>2024</v>
      </c>
      <c r="N1010">
        <v>10</v>
      </c>
      <c r="O1010" t="s">
        <v>113</v>
      </c>
      <c r="P1010" s="2">
        <v>739.14</v>
      </c>
      <c r="Q1010" s="2">
        <v>88.7</v>
      </c>
      <c r="R1010" t="s">
        <v>79</v>
      </c>
      <c r="S1010">
        <v>0</v>
      </c>
      <c r="T1010">
        <v>0</v>
      </c>
      <c r="U1010">
        <f>IF(AND(OR(Dashboard!$D$4="Semua",D1010=Dashboard!$D$4),OR(Dashboard!$H$4="Semua",E1010=Dashboard!$H$4)),1,0)</f>
        <v>1</v>
      </c>
      <c r="V1010">
        <f>IF(U1010=1,IF(COUNTIFS($C$2:C1010,C1010,$U$2:U1010,1)=1,1,0),0)</f>
        <v>1</v>
      </c>
    </row>
    <row r="1011" spans="1:22" x14ac:dyDescent="0.35">
      <c r="A1011">
        <v>11010</v>
      </c>
      <c r="B1011" s="1">
        <v>45571</v>
      </c>
      <c r="C1011">
        <v>1176</v>
      </c>
      <c r="D1011" t="s">
        <v>80</v>
      </c>
      <c r="E1011" t="s">
        <v>70</v>
      </c>
      <c r="F1011">
        <v>1</v>
      </c>
      <c r="G1011" s="2">
        <v>37.78</v>
      </c>
      <c r="H1011">
        <v>0.26</v>
      </c>
      <c r="I1011" t="s">
        <v>68</v>
      </c>
      <c r="J1011">
        <v>8</v>
      </c>
      <c r="K1011">
        <v>3.6</v>
      </c>
      <c r="L1011" s="2">
        <v>27.96</v>
      </c>
      <c r="M1011">
        <v>2024</v>
      </c>
      <c r="N1011">
        <v>10</v>
      </c>
      <c r="O1011" t="s">
        <v>113</v>
      </c>
      <c r="P1011" s="2">
        <v>37.78</v>
      </c>
      <c r="Q1011" s="2">
        <v>9.82</v>
      </c>
      <c r="R1011" t="s">
        <v>66</v>
      </c>
      <c r="S1011">
        <v>0</v>
      </c>
      <c r="T1011">
        <v>0</v>
      </c>
      <c r="U1011">
        <f>IF(AND(OR(Dashboard!$D$4="Semua",D1011=Dashboard!$D$4),OR(Dashboard!$H$4="Semua",E1011=Dashboard!$H$4)),1,0)</f>
        <v>1</v>
      </c>
      <c r="V1011">
        <f>IF(U1011=1,IF(COUNTIFS($C$2:C1011,C1011,$U$2:U1011,1)=1,1,0),0)</f>
        <v>0</v>
      </c>
    </row>
    <row r="1012" spans="1:22" x14ac:dyDescent="0.35">
      <c r="A1012">
        <v>11011</v>
      </c>
      <c r="B1012" s="1">
        <v>45572</v>
      </c>
      <c r="C1012">
        <v>1778</v>
      </c>
      <c r="D1012" t="s">
        <v>67</v>
      </c>
      <c r="E1012" t="s">
        <v>70</v>
      </c>
      <c r="F1012">
        <v>4</v>
      </c>
      <c r="G1012" s="2">
        <v>36.049999999999997</v>
      </c>
      <c r="H1012">
        <v>0.17</v>
      </c>
      <c r="I1012" t="s">
        <v>68</v>
      </c>
      <c r="J1012">
        <v>1</v>
      </c>
      <c r="K1012">
        <v>2.2000000000000002</v>
      </c>
      <c r="L1012" s="2">
        <v>119.69</v>
      </c>
      <c r="M1012">
        <v>2024</v>
      </c>
      <c r="N1012">
        <v>10</v>
      </c>
      <c r="O1012" t="s">
        <v>113</v>
      </c>
      <c r="P1012" s="2">
        <v>144.19999999999999</v>
      </c>
      <c r="Q1012" s="2">
        <v>24.51</v>
      </c>
      <c r="R1012" t="s">
        <v>76</v>
      </c>
      <c r="S1012">
        <v>0</v>
      </c>
      <c r="T1012">
        <v>0</v>
      </c>
      <c r="U1012">
        <f>IF(AND(OR(Dashboard!$D$4="Semua",D1012=Dashboard!$D$4),OR(Dashboard!$H$4="Semua",E1012=Dashboard!$H$4)),1,0)</f>
        <v>1</v>
      </c>
      <c r="V1012">
        <f>IF(U1012=1,IF(COUNTIFS($C$2:C1012,C1012,$U$2:U1012,1)=1,1,0),0)</f>
        <v>0</v>
      </c>
    </row>
    <row r="1013" spans="1:22" x14ac:dyDescent="0.35">
      <c r="A1013">
        <v>11012</v>
      </c>
      <c r="B1013" s="1">
        <v>45573</v>
      </c>
      <c r="C1013">
        <v>1852</v>
      </c>
      <c r="D1013" t="s">
        <v>67</v>
      </c>
      <c r="E1013" t="s">
        <v>78</v>
      </c>
      <c r="F1013">
        <v>3</v>
      </c>
      <c r="G1013" s="2">
        <v>501.47</v>
      </c>
      <c r="H1013">
        <v>0.01</v>
      </c>
      <c r="I1013" t="s">
        <v>68</v>
      </c>
      <c r="J1013">
        <v>5</v>
      </c>
      <c r="K1013">
        <v>1.6</v>
      </c>
      <c r="L1013" s="2">
        <v>1489.37</v>
      </c>
      <c r="M1013">
        <v>2024</v>
      </c>
      <c r="N1013">
        <v>10</v>
      </c>
      <c r="O1013" t="s">
        <v>113</v>
      </c>
      <c r="P1013" s="2">
        <v>1504.41</v>
      </c>
      <c r="Q1013" s="2">
        <v>15.04</v>
      </c>
      <c r="R1013" t="s">
        <v>75</v>
      </c>
      <c r="S1013">
        <v>0</v>
      </c>
      <c r="T1013">
        <v>0</v>
      </c>
      <c r="U1013">
        <f>IF(AND(OR(Dashboard!$D$4="Semua",D1013=Dashboard!$D$4),OR(Dashboard!$H$4="Semua",E1013=Dashboard!$H$4)),1,0)</f>
        <v>1</v>
      </c>
      <c r="V1013">
        <f>IF(U1013=1,IF(COUNTIFS($C$2:C1013,C1013,$U$2:U1013,1)=1,1,0),0)</f>
        <v>1</v>
      </c>
    </row>
    <row r="1014" spans="1:22" x14ac:dyDescent="0.35">
      <c r="A1014">
        <v>11013</v>
      </c>
      <c r="B1014" s="1">
        <v>45574</v>
      </c>
      <c r="C1014">
        <v>1281</v>
      </c>
      <c r="D1014" t="s">
        <v>80</v>
      </c>
      <c r="E1014" t="s">
        <v>63</v>
      </c>
      <c r="F1014">
        <v>1</v>
      </c>
      <c r="G1014" s="2">
        <v>361</v>
      </c>
      <c r="H1014">
        <v>0.22</v>
      </c>
      <c r="I1014" t="s">
        <v>64</v>
      </c>
      <c r="J1014">
        <v>9</v>
      </c>
      <c r="K1014">
        <v>3</v>
      </c>
      <c r="L1014" s="2">
        <v>281.58</v>
      </c>
      <c r="M1014">
        <v>2024</v>
      </c>
      <c r="N1014">
        <v>10</v>
      </c>
      <c r="O1014" t="s">
        <v>113</v>
      </c>
      <c r="P1014" s="2">
        <v>361</v>
      </c>
      <c r="Q1014" s="2">
        <v>79.42</v>
      </c>
      <c r="R1014" t="s">
        <v>77</v>
      </c>
      <c r="S1014">
        <v>0</v>
      </c>
      <c r="T1014">
        <v>0</v>
      </c>
      <c r="U1014">
        <f>IF(AND(OR(Dashboard!$D$4="Semua",D1014=Dashboard!$D$4),OR(Dashboard!$H$4="Semua",E1014=Dashboard!$H$4)),1,0)</f>
        <v>1</v>
      </c>
      <c r="V1014">
        <f>IF(U1014=1,IF(COUNTIFS($C$2:C1014,C1014,$U$2:U1014,1)=1,1,0),0)</f>
        <v>1</v>
      </c>
    </row>
    <row r="1015" spans="1:22" x14ac:dyDescent="0.35">
      <c r="A1015">
        <v>11014</v>
      </c>
      <c r="B1015" s="1">
        <v>45575</v>
      </c>
      <c r="C1015">
        <v>1062</v>
      </c>
      <c r="D1015" t="s">
        <v>67</v>
      </c>
      <c r="E1015" t="s">
        <v>63</v>
      </c>
      <c r="F1015">
        <v>2</v>
      </c>
      <c r="G1015" s="2">
        <v>224.48</v>
      </c>
      <c r="H1015">
        <v>0.14000000000000001</v>
      </c>
      <c r="I1015" t="s">
        <v>68</v>
      </c>
      <c r="J1015">
        <v>7</v>
      </c>
      <c r="K1015">
        <v>2.9</v>
      </c>
      <c r="L1015" s="2">
        <v>386.11</v>
      </c>
      <c r="M1015">
        <v>2024</v>
      </c>
      <c r="N1015">
        <v>10</v>
      </c>
      <c r="O1015" t="s">
        <v>113</v>
      </c>
      <c r="P1015" s="2">
        <v>448.96</v>
      </c>
      <c r="Q1015" s="2">
        <v>62.85</v>
      </c>
      <c r="R1015" t="s">
        <v>79</v>
      </c>
      <c r="S1015">
        <v>0</v>
      </c>
      <c r="T1015">
        <v>0</v>
      </c>
      <c r="U1015">
        <f>IF(AND(OR(Dashboard!$D$4="Semua",D1015=Dashboard!$D$4),OR(Dashboard!$H$4="Semua",E1015=Dashboard!$H$4)),1,0)</f>
        <v>1</v>
      </c>
      <c r="V1015">
        <f>IF(U1015=1,IF(COUNTIFS($C$2:C1015,C1015,$U$2:U1015,1)=1,1,0),0)</f>
        <v>0</v>
      </c>
    </row>
    <row r="1016" spans="1:22" x14ac:dyDescent="0.35">
      <c r="A1016">
        <v>11015</v>
      </c>
      <c r="B1016" s="1">
        <v>45576</v>
      </c>
      <c r="C1016">
        <v>1216</v>
      </c>
      <c r="D1016" t="s">
        <v>62</v>
      </c>
      <c r="E1016" t="s">
        <v>63</v>
      </c>
      <c r="F1016">
        <v>3</v>
      </c>
      <c r="G1016" s="2">
        <v>538.12</v>
      </c>
      <c r="H1016">
        <v>0.32</v>
      </c>
      <c r="I1016" t="s">
        <v>68</v>
      </c>
      <c r="J1016">
        <v>3</v>
      </c>
      <c r="K1016">
        <v>3.1</v>
      </c>
      <c r="L1016" s="2">
        <v>1097.76</v>
      </c>
      <c r="M1016">
        <v>2024</v>
      </c>
      <c r="N1016">
        <v>10</v>
      </c>
      <c r="O1016" t="s">
        <v>113</v>
      </c>
      <c r="P1016" s="2">
        <v>1614.36</v>
      </c>
      <c r="Q1016" s="2">
        <v>516.6</v>
      </c>
      <c r="R1016" t="s">
        <v>72</v>
      </c>
      <c r="S1016">
        <v>0</v>
      </c>
      <c r="T1016">
        <v>0</v>
      </c>
      <c r="U1016">
        <f>IF(AND(OR(Dashboard!$D$4="Semua",D1016=Dashboard!$D$4),OR(Dashboard!$H$4="Semua",E1016=Dashboard!$H$4)),1,0)</f>
        <v>1</v>
      </c>
      <c r="V1016">
        <f>IF(U1016=1,IF(COUNTIFS($C$2:C1016,C1016,$U$2:U1016,1)=1,1,0),0)</f>
        <v>0</v>
      </c>
    </row>
    <row r="1017" spans="1:22" x14ac:dyDescent="0.35">
      <c r="A1017">
        <v>11016</v>
      </c>
      <c r="B1017" s="1">
        <v>45577</v>
      </c>
      <c r="C1017">
        <v>1853</v>
      </c>
      <c r="D1017" t="s">
        <v>67</v>
      </c>
      <c r="E1017" t="s">
        <v>74</v>
      </c>
      <c r="F1017">
        <v>5</v>
      </c>
      <c r="G1017" s="2">
        <v>56.07</v>
      </c>
      <c r="H1017">
        <v>0.17</v>
      </c>
      <c r="I1017" t="s">
        <v>68</v>
      </c>
      <c r="J1017">
        <v>4</v>
      </c>
      <c r="K1017">
        <v>4.3</v>
      </c>
      <c r="L1017" s="2">
        <v>232.69</v>
      </c>
      <c r="M1017">
        <v>2024</v>
      </c>
      <c r="N1017">
        <v>10</v>
      </c>
      <c r="O1017" t="s">
        <v>113</v>
      </c>
      <c r="P1017" s="2">
        <v>280.35000000000002</v>
      </c>
      <c r="Q1017" s="2">
        <v>47.66</v>
      </c>
      <c r="R1017" t="s">
        <v>76</v>
      </c>
      <c r="S1017">
        <v>0</v>
      </c>
      <c r="T1017">
        <v>0</v>
      </c>
      <c r="U1017">
        <f>IF(AND(OR(Dashboard!$D$4="Semua",D1017=Dashboard!$D$4),OR(Dashboard!$H$4="Semua",E1017=Dashboard!$H$4)),1,0)</f>
        <v>1</v>
      </c>
      <c r="V1017">
        <f>IF(U1017=1,IF(COUNTIFS($C$2:C1017,C1017,$U$2:U1017,1)=1,1,0),0)</f>
        <v>0</v>
      </c>
    </row>
    <row r="1018" spans="1:22" x14ac:dyDescent="0.35">
      <c r="A1018">
        <v>11017</v>
      </c>
      <c r="B1018" s="1">
        <v>45578</v>
      </c>
      <c r="C1018">
        <v>1826</v>
      </c>
      <c r="D1018" t="s">
        <v>73</v>
      </c>
      <c r="E1018" t="s">
        <v>70</v>
      </c>
      <c r="F1018">
        <v>3</v>
      </c>
      <c r="G1018" s="2">
        <v>588.49</v>
      </c>
      <c r="H1018">
        <v>0.25</v>
      </c>
      <c r="I1018" t="s">
        <v>71</v>
      </c>
      <c r="J1018">
        <v>10</v>
      </c>
      <c r="K1018">
        <v>2.9</v>
      </c>
      <c r="L1018" s="2">
        <v>1324.1</v>
      </c>
      <c r="M1018">
        <v>2024</v>
      </c>
      <c r="N1018">
        <v>10</v>
      </c>
      <c r="O1018" t="s">
        <v>113</v>
      </c>
      <c r="P1018" s="2">
        <v>1765.47</v>
      </c>
      <c r="Q1018" s="2">
        <v>441.37</v>
      </c>
      <c r="R1018" t="s">
        <v>77</v>
      </c>
      <c r="S1018">
        <v>0</v>
      </c>
      <c r="T1018">
        <v>0</v>
      </c>
      <c r="U1018">
        <f>IF(AND(OR(Dashboard!$D$4="Semua",D1018=Dashboard!$D$4),OR(Dashboard!$H$4="Semua",E1018=Dashboard!$H$4)),1,0)</f>
        <v>1</v>
      </c>
      <c r="V1018">
        <f>IF(U1018=1,IF(COUNTIFS($C$2:C1018,C1018,$U$2:U1018,1)=1,1,0),0)</f>
        <v>0</v>
      </c>
    </row>
    <row r="1019" spans="1:22" x14ac:dyDescent="0.35">
      <c r="A1019">
        <v>11018</v>
      </c>
      <c r="B1019" s="1">
        <v>45579</v>
      </c>
      <c r="C1019">
        <v>1794</v>
      </c>
      <c r="D1019" t="s">
        <v>67</v>
      </c>
      <c r="E1019" t="s">
        <v>63</v>
      </c>
      <c r="F1019">
        <v>2</v>
      </c>
      <c r="G1019" s="2">
        <v>375.53</v>
      </c>
      <c r="H1019">
        <v>0.08</v>
      </c>
      <c r="I1019" t="s">
        <v>68</v>
      </c>
      <c r="J1019">
        <v>7</v>
      </c>
      <c r="K1019">
        <v>4.5999999999999996</v>
      </c>
      <c r="L1019" s="2">
        <v>690.98</v>
      </c>
      <c r="M1019">
        <v>2024</v>
      </c>
      <c r="N1019">
        <v>10</v>
      </c>
      <c r="O1019" t="s">
        <v>113</v>
      </c>
      <c r="P1019" s="2">
        <v>751.06</v>
      </c>
      <c r="Q1019" s="2">
        <v>60.08</v>
      </c>
      <c r="R1019" t="s">
        <v>69</v>
      </c>
      <c r="S1019">
        <v>0</v>
      </c>
      <c r="T1019">
        <v>0</v>
      </c>
      <c r="U1019">
        <f>IF(AND(OR(Dashboard!$D$4="Semua",D1019=Dashboard!$D$4),OR(Dashboard!$H$4="Semua",E1019=Dashboard!$H$4)),1,0)</f>
        <v>1</v>
      </c>
      <c r="V1019">
        <f>IF(U1019=1,IF(COUNTIFS($C$2:C1019,C1019,$U$2:U1019,1)=1,1,0),0)</f>
        <v>0</v>
      </c>
    </row>
    <row r="1020" spans="1:22" x14ac:dyDescent="0.35">
      <c r="A1020">
        <v>11019</v>
      </c>
      <c r="B1020" s="1">
        <v>45580</v>
      </c>
      <c r="C1020">
        <v>1688</v>
      </c>
      <c r="D1020" t="s">
        <v>80</v>
      </c>
      <c r="E1020" t="s">
        <v>70</v>
      </c>
      <c r="F1020">
        <v>7</v>
      </c>
      <c r="G1020" s="2">
        <v>122.33</v>
      </c>
      <c r="H1020">
        <v>0.27</v>
      </c>
      <c r="I1020" t="s">
        <v>68</v>
      </c>
      <c r="J1020">
        <v>6</v>
      </c>
      <c r="K1020">
        <v>4.4000000000000004</v>
      </c>
      <c r="L1020" s="2">
        <v>625.11</v>
      </c>
      <c r="M1020">
        <v>2024</v>
      </c>
      <c r="N1020">
        <v>10</v>
      </c>
      <c r="O1020" t="s">
        <v>113</v>
      </c>
      <c r="P1020" s="2">
        <v>856.31</v>
      </c>
      <c r="Q1020" s="2">
        <v>231.2</v>
      </c>
      <c r="R1020" t="s">
        <v>66</v>
      </c>
      <c r="S1020">
        <v>0</v>
      </c>
      <c r="T1020">
        <v>0</v>
      </c>
      <c r="U1020">
        <f>IF(AND(OR(Dashboard!$D$4="Semua",D1020=Dashboard!$D$4),OR(Dashboard!$H$4="Semua",E1020=Dashboard!$H$4)),1,0)</f>
        <v>1</v>
      </c>
      <c r="V1020">
        <f>IF(U1020=1,IF(COUNTIFS($C$2:C1020,C1020,$U$2:U1020,1)=1,1,0),0)</f>
        <v>0</v>
      </c>
    </row>
    <row r="1021" spans="1:22" x14ac:dyDescent="0.35">
      <c r="A1021">
        <v>11020</v>
      </c>
      <c r="B1021" s="1">
        <v>45581</v>
      </c>
      <c r="C1021">
        <v>1460</v>
      </c>
      <c r="D1021" t="s">
        <v>73</v>
      </c>
      <c r="E1021" t="s">
        <v>63</v>
      </c>
      <c r="F1021">
        <v>3</v>
      </c>
      <c r="G1021" s="2">
        <v>412.26</v>
      </c>
      <c r="H1021">
        <v>0.25</v>
      </c>
      <c r="I1021" t="s">
        <v>71</v>
      </c>
      <c r="J1021">
        <v>4</v>
      </c>
      <c r="K1021">
        <v>3.6</v>
      </c>
      <c r="L1021" s="2">
        <v>927.58</v>
      </c>
      <c r="M1021">
        <v>2024</v>
      </c>
      <c r="N1021">
        <v>10</v>
      </c>
      <c r="O1021" t="s">
        <v>113</v>
      </c>
      <c r="P1021" s="2">
        <v>1236.78</v>
      </c>
      <c r="Q1021" s="2">
        <v>309.2</v>
      </c>
      <c r="R1021" t="s">
        <v>77</v>
      </c>
      <c r="S1021">
        <v>0</v>
      </c>
      <c r="T1021">
        <v>0</v>
      </c>
      <c r="U1021">
        <f>IF(AND(OR(Dashboard!$D$4="Semua",D1021=Dashboard!$D$4),OR(Dashboard!$H$4="Semua",E1021=Dashboard!$H$4)),1,0)</f>
        <v>1</v>
      </c>
      <c r="V1021">
        <f>IF(U1021=1,IF(COUNTIFS($C$2:C1021,C1021,$U$2:U1021,1)=1,1,0),0)</f>
        <v>0</v>
      </c>
    </row>
    <row r="1022" spans="1:22" x14ac:dyDescent="0.35">
      <c r="A1022">
        <v>11021</v>
      </c>
      <c r="B1022" s="1">
        <v>45582</v>
      </c>
      <c r="C1022">
        <v>1928</v>
      </c>
      <c r="D1022" t="s">
        <v>73</v>
      </c>
      <c r="E1022" t="s">
        <v>78</v>
      </c>
      <c r="F1022">
        <v>2</v>
      </c>
      <c r="G1022" s="2">
        <v>461.58</v>
      </c>
      <c r="H1022">
        <v>0.32</v>
      </c>
      <c r="I1022" t="s">
        <v>68</v>
      </c>
      <c r="J1022">
        <v>3</v>
      </c>
      <c r="K1022">
        <v>1.2</v>
      </c>
      <c r="L1022" s="2">
        <v>627.75</v>
      </c>
      <c r="M1022">
        <v>2024</v>
      </c>
      <c r="N1022">
        <v>10</v>
      </c>
      <c r="O1022" t="s">
        <v>113</v>
      </c>
      <c r="P1022" s="2">
        <v>923.16</v>
      </c>
      <c r="Q1022" s="2">
        <v>295.41000000000003</v>
      </c>
      <c r="R1022" t="s">
        <v>72</v>
      </c>
      <c r="S1022">
        <v>0</v>
      </c>
      <c r="T1022">
        <v>0</v>
      </c>
      <c r="U1022">
        <f>IF(AND(OR(Dashboard!$D$4="Semua",D1022=Dashboard!$D$4),OR(Dashboard!$H$4="Semua",E1022=Dashboard!$H$4)),1,0)</f>
        <v>1</v>
      </c>
      <c r="V1022">
        <f>IF(U1022=1,IF(COUNTIFS($C$2:C1022,C1022,$U$2:U1022,1)=1,1,0),0)</f>
        <v>0</v>
      </c>
    </row>
    <row r="1023" spans="1:22" x14ac:dyDescent="0.35">
      <c r="A1023">
        <v>11022</v>
      </c>
      <c r="B1023" s="1">
        <v>45583</v>
      </c>
      <c r="C1023">
        <v>1609</v>
      </c>
      <c r="D1023" t="s">
        <v>62</v>
      </c>
      <c r="E1023" t="s">
        <v>78</v>
      </c>
      <c r="F1023">
        <v>7</v>
      </c>
      <c r="G1023" s="2">
        <v>266.17</v>
      </c>
      <c r="H1023">
        <v>0.01</v>
      </c>
      <c r="I1023" t="s">
        <v>68</v>
      </c>
      <c r="J1023">
        <v>11</v>
      </c>
      <c r="K1023">
        <v>4.5</v>
      </c>
      <c r="L1023" s="2">
        <v>1844.56</v>
      </c>
      <c r="M1023">
        <v>2024</v>
      </c>
      <c r="N1023">
        <v>10</v>
      </c>
      <c r="O1023" t="s">
        <v>113</v>
      </c>
      <c r="P1023" s="2">
        <v>1863.19</v>
      </c>
      <c r="Q1023" s="2">
        <v>18.63</v>
      </c>
      <c r="R1023" t="s">
        <v>75</v>
      </c>
      <c r="S1023">
        <v>0</v>
      </c>
      <c r="T1023">
        <v>0</v>
      </c>
      <c r="U1023">
        <f>IF(AND(OR(Dashboard!$D$4="Semua",D1023=Dashboard!$D$4),OR(Dashboard!$H$4="Semua",E1023=Dashboard!$H$4)),1,0)</f>
        <v>1</v>
      </c>
      <c r="V1023">
        <f>IF(U1023=1,IF(COUNTIFS($C$2:C1023,C1023,$U$2:U1023,1)=1,1,0),0)</f>
        <v>0</v>
      </c>
    </row>
    <row r="1024" spans="1:22" x14ac:dyDescent="0.35">
      <c r="A1024">
        <v>11023</v>
      </c>
      <c r="B1024" s="1">
        <v>45584</v>
      </c>
      <c r="C1024">
        <v>1104</v>
      </c>
      <c r="D1024" t="s">
        <v>73</v>
      </c>
      <c r="E1024" t="s">
        <v>70</v>
      </c>
      <c r="F1024">
        <v>1</v>
      </c>
      <c r="G1024" s="2">
        <v>519.05999999999995</v>
      </c>
      <c r="H1024">
        <v>0.16</v>
      </c>
      <c r="I1024" t="s">
        <v>68</v>
      </c>
      <c r="J1024">
        <v>2</v>
      </c>
      <c r="K1024">
        <v>4.5999999999999996</v>
      </c>
      <c r="L1024" s="2">
        <v>436.01</v>
      </c>
      <c r="M1024">
        <v>2024</v>
      </c>
      <c r="N1024">
        <v>10</v>
      </c>
      <c r="O1024" t="s">
        <v>113</v>
      </c>
      <c r="P1024" s="2">
        <v>519.05999999999995</v>
      </c>
      <c r="Q1024" s="2">
        <v>83.05</v>
      </c>
      <c r="R1024" t="s">
        <v>76</v>
      </c>
      <c r="S1024">
        <v>0</v>
      </c>
      <c r="T1024">
        <v>0</v>
      </c>
      <c r="U1024">
        <f>IF(AND(OR(Dashboard!$D$4="Semua",D1024=Dashboard!$D$4),OR(Dashboard!$H$4="Semua",E1024=Dashboard!$H$4)),1,0)</f>
        <v>1</v>
      </c>
      <c r="V1024">
        <f>IF(U1024=1,IF(COUNTIFS($C$2:C1024,C1024,$U$2:U1024,1)=1,1,0),0)</f>
        <v>1</v>
      </c>
    </row>
    <row r="1025" spans="1:22" x14ac:dyDescent="0.35">
      <c r="A1025">
        <v>11024</v>
      </c>
      <c r="B1025" s="1">
        <v>45585</v>
      </c>
      <c r="C1025">
        <v>1098</v>
      </c>
      <c r="D1025" t="s">
        <v>67</v>
      </c>
      <c r="E1025" t="s">
        <v>70</v>
      </c>
      <c r="F1025">
        <v>7</v>
      </c>
      <c r="G1025" s="2">
        <v>103.18</v>
      </c>
      <c r="H1025">
        <v>0.24</v>
      </c>
      <c r="I1025" t="s">
        <v>71</v>
      </c>
      <c r="J1025">
        <v>10</v>
      </c>
      <c r="K1025">
        <v>2.5</v>
      </c>
      <c r="L1025" s="2">
        <v>548.91999999999996</v>
      </c>
      <c r="M1025">
        <v>2024</v>
      </c>
      <c r="N1025">
        <v>10</v>
      </c>
      <c r="O1025" t="s">
        <v>113</v>
      </c>
      <c r="P1025" s="2">
        <v>722.26</v>
      </c>
      <c r="Q1025" s="2">
        <v>173.34</v>
      </c>
      <c r="R1025" t="s">
        <v>77</v>
      </c>
      <c r="S1025">
        <v>0</v>
      </c>
      <c r="T1025">
        <v>0</v>
      </c>
      <c r="U1025">
        <f>IF(AND(OR(Dashboard!$D$4="Semua",D1025=Dashboard!$D$4),OR(Dashboard!$H$4="Semua",E1025=Dashboard!$H$4)),1,0)</f>
        <v>1</v>
      </c>
      <c r="V1025">
        <f>IF(U1025=1,IF(COUNTIFS($C$2:C1025,C1025,$U$2:U1025,1)=1,1,0),0)</f>
        <v>0</v>
      </c>
    </row>
    <row r="1026" spans="1:22" x14ac:dyDescent="0.35">
      <c r="A1026">
        <v>11025</v>
      </c>
      <c r="B1026" s="1">
        <v>45586</v>
      </c>
      <c r="C1026">
        <v>1510</v>
      </c>
      <c r="D1026" t="s">
        <v>67</v>
      </c>
      <c r="E1026" t="s">
        <v>78</v>
      </c>
      <c r="F1026">
        <v>4</v>
      </c>
      <c r="G1026" s="2">
        <v>178.12</v>
      </c>
      <c r="H1026">
        <v>0.03</v>
      </c>
      <c r="I1026" t="s">
        <v>64</v>
      </c>
      <c r="J1026">
        <v>9</v>
      </c>
      <c r="K1026">
        <v>3.1</v>
      </c>
      <c r="L1026" s="2">
        <v>691.11</v>
      </c>
      <c r="M1026">
        <v>2024</v>
      </c>
      <c r="N1026">
        <v>10</v>
      </c>
      <c r="O1026" t="s">
        <v>113</v>
      </c>
      <c r="P1026" s="2">
        <v>712.48</v>
      </c>
      <c r="Q1026" s="2">
        <v>21.37</v>
      </c>
      <c r="R1026" t="s">
        <v>75</v>
      </c>
      <c r="S1026">
        <v>0</v>
      </c>
      <c r="T1026">
        <v>0</v>
      </c>
      <c r="U1026">
        <f>IF(AND(OR(Dashboard!$D$4="Semua",D1026=Dashboard!$D$4),OR(Dashboard!$H$4="Semua",E1026=Dashboard!$H$4)),1,0)</f>
        <v>1</v>
      </c>
      <c r="V1026">
        <f>IF(U1026=1,IF(COUNTIFS($C$2:C1026,C1026,$U$2:U1026,1)=1,1,0),0)</f>
        <v>0</v>
      </c>
    </row>
    <row r="1027" spans="1:22" x14ac:dyDescent="0.35">
      <c r="A1027">
        <v>11026</v>
      </c>
      <c r="B1027" s="1">
        <v>45587</v>
      </c>
      <c r="C1027">
        <v>1384</v>
      </c>
      <c r="D1027" t="s">
        <v>67</v>
      </c>
      <c r="E1027" t="s">
        <v>74</v>
      </c>
      <c r="F1027">
        <v>5</v>
      </c>
      <c r="G1027" s="2">
        <v>69.69</v>
      </c>
      <c r="H1027">
        <v>0.14000000000000001</v>
      </c>
      <c r="I1027" t="s">
        <v>68</v>
      </c>
      <c r="J1027">
        <v>3</v>
      </c>
      <c r="K1027">
        <v>2.1</v>
      </c>
      <c r="L1027" s="2">
        <v>299.67</v>
      </c>
      <c r="M1027">
        <v>2024</v>
      </c>
      <c r="N1027">
        <v>10</v>
      </c>
      <c r="O1027" t="s">
        <v>113</v>
      </c>
      <c r="P1027" s="2">
        <v>348.45</v>
      </c>
      <c r="Q1027" s="2">
        <v>48.78</v>
      </c>
      <c r="R1027" t="s">
        <v>79</v>
      </c>
      <c r="S1027">
        <v>0</v>
      </c>
      <c r="T1027">
        <v>0</v>
      </c>
      <c r="U1027">
        <f>IF(AND(OR(Dashboard!$D$4="Semua",D1027=Dashboard!$D$4),OR(Dashboard!$H$4="Semua",E1027=Dashboard!$H$4)),1,0)</f>
        <v>1</v>
      </c>
      <c r="V1027">
        <f>IF(U1027=1,IF(COUNTIFS($C$2:C1027,C1027,$U$2:U1027,1)=1,1,0),0)</f>
        <v>0</v>
      </c>
    </row>
    <row r="1028" spans="1:22" x14ac:dyDescent="0.35">
      <c r="A1028">
        <v>11027</v>
      </c>
      <c r="B1028" s="1">
        <v>45588</v>
      </c>
      <c r="C1028">
        <v>1404</v>
      </c>
      <c r="D1028" t="s">
        <v>67</v>
      </c>
      <c r="E1028" t="s">
        <v>78</v>
      </c>
      <c r="F1028">
        <v>7</v>
      </c>
      <c r="G1028" s="2">
        <v>138.36000000000001</v>
      </c>
      <c r="H1028">
        <v>0.33</v>
      </c>
      <c r="I1028" t="s">
        <v>68</v>
      </c>
      <c r="J1028">
        <v>7</v>
      </c>
      <c r="K1028">
        <v>1.1000000000000001</v>
      </c>
      <c r="L1028" s="2">
        <v>648.91</v>
      </c>
      <c r="M1028">
        <v>2024</v>
      </c>
      <c r="N1028">
        <v>10</v>
      </c>
      <c r="O1028" t="s">
        <v>113</v>
      </c>
      <c r="P1028" s="2">
        <v>968.52</v>
      </c>
      <c r="Q1028" s="2">
        <v>319.61</v>
      </c>
      <c r="R1028" t="s">
        <v>72</v>
      </c>
      <c r="S1028">
        <v>0</v>
      </c>
      <c r="T1028">
        <v>0</v>
      </c>
      <c r="U1028">
        <f>IF(AND(OR(Dashboard!$D$4="Semua",D1028=Dashboard!$D$4),OR(Dashboard!$H$4="Semua",E1028=Dashboard!$H$4)),1,0)</f>
        <v>1</v>
      </c>
      <c r="V1028">
        <f>IF(U1028=1,IF(COUNTIFS($C$2:C1028,C1028,$U$2:U1028,1)=1,1,0),0)</f>
        <v>1</v>
      </c>
    </row>
    <row r="1029" spans="1:22" x14ac:dyDescent="0.35">
      <c r="A1029">
        <v>11028</v>
      </c>
      <c r="B1029" s="1">
        <v>45589</v>
      </c>
      <c r="C1029">
        <v>1822</v>
      </c>
      <c r="D1029" t="s">
        <v>73</v>
      </c>
      <c r="E1029" t="s">
        <v>63</v>
      </c>
      <c r="F1029">
        <v>4</v>
      </c>
      <c r="G1029" s="2">
        <v>154.66</v>
      </c>
      <c r="H1029">
        <v>0.15</v>
      </c>
      <c r="I1029" t="s">
        <v>68</v>
      </c>
      <c r="J1029">
        <v>1</v>
      </c>
      <c r="K1029">
        <v>2.9</v>
      </c>
      <c r="L1029" s="2">
        <v>525.84</v>
      </c>
      <c r="M1029">
        <v>2024</v>
      </c>
      <c r="N1029">
        <v>10</v>
      </c>
      <c r="O1029" t="s">
        <v>113</v>
      </c>
      <c r="P1029" s="2">
        <v>618.64</v>
      </c>
      <c r="Q1029" s="2">
        <v>92.8</v>
      </c>
      <c r="R1029" t="s">
        <v>79</v>
      </c>
      <c r="S1029">
        <v>0</v>
      </c>
      <c r="T1029">
        <v>0</v>
      </c>
      <c r="U1029">
        <f>IF(AND(OR(Dashboard!$D$4="Semua",D1029=Dashboard!$D$4),OR(Dashboard!$H$4="Semua",E1029=Dashboard!$H$4)),1,0)</f>
        <v>1</v>
      </c>
      <c r="V1029">
        <f>IF(U1029=1,IF(COUNTIFS($C$2:C1029,C1029,$U$2:U1029,1)=1,1,0),0)</f>
        <v>0</v>
      </c>
    </row>
    <row r="1030" spans="1:22" x14ac:dyDescent="0.35">
      <c r="A1030">
        <v>11029</v>
      </c>
      <c r="B1030" s="1">
        <v>45590</v>
      </c>
      <c r="C1030">
        <v>1517</v>
      </c>
      <c r="D1030" t="s">
        <v>67</v>
      </c>
      <c r="E1030" t="s">
        <v>74</v>
      </c>
      <c r="F1030">
        <v>4</v>
      </c>
      <c r="G1030" s="2">
        <v>551.82000000000005</v>
      </c>
      <c r="H1030">
        <v>0.34</v>
      </c>
      <c r="I1030" t="s">
        <v>71</v>
      </c>
      <c r="J1030">
        <v>8</v>
      </c>
      <c r="K1030">
        <v>1.5</v>
      </c>
      <c r="L1030" s="2">
        <v>1456.8</v>
      </c>
      <c r="M1030">
        <v>2024</v>
      </c>
      <c r="N1030">
        <v>10</v>
      </c>
      <c r="O1030" t="s">
        <v>113</v>
      </c>
      <c r="P1030" s="2">
        <v>2207.2800000000002</v>
      </c>
      <c r="Q1030" s="2">
        <v>750.48</v>
      </c>
      <c r="R1030" t="s">
        <v>72</v>
      </c>
      <c r="S1030">
        <v>0</v>
      </c>
      <c r="T1030">
        <v>0</v>
      </c>
      <c r="U1030">
        <f>IF(AND(OR(Dashboard!$D$4="Semua",D1030=Dashboard!$D$4),OR(Dashboard!$H$4="Semua",E1030=Dashboard!$H$4)),1,0)</f>
        <v>1</v>
      </c>
      <c r="V1030">
        <f>IF(U1030=1,IF(COUNTIFS($C$2:C1030,C1030,$U$2:U1030,1)=1,1,0),0)</f>
        <v>0</v>
      </c>
    </row>
    <row r="1031" spans="1:22" x14ac:dyDescent="0.35">
      <c r="A1031">
        <v>11030</v>
      </c>
      <c r="B1031" s="1">
        <v>45591</v>
      </c>
      <c r="C1031">
        <v>1475</v>
      </c>
      <c r="D1031" t="s">
        <v>67</v>
      </c>
      <c r="E1031" t="s">
        <v>78</v>
      </c>
      <c r="F1031">
        <v>4</v>
      </c>
      <c r="G1031" s="2">
        <v>60.69</v>
      </c>
      <c r="H1031">
        <v>0.02</v>
      </c>
      <c r="I1031" t="s">
        <v>71</v>
      </c>
      <c r="J1031">
        <v>1</v>
      </c>
      <c r="K1031">
        <v>1.7</v>
      </c>
      <c r="L1031" s="2">
        <v>237.9</v>
      </c>
      <c r="M1031">
        <v>2024</v>
      </c>
      <c r="N1031">
        <v>10</v>
      </c>
      <c r="O1031" t="s">
        <v>113</v>
      </c>
      <c r="P1031" s="2">
        <v>242.76</v>
      </c>
      <c r="Q1031" s="2">
        <v>4.8600000000000003</v>
      </c>
      <c r="R1031" t="s">
        <v>75</v>
      </c>
      <c r="S1031">
        <v>0</v>
      </c>
      <c r="T1031">
        <v>0</v>
      </c>
      <c r="U1031">
        <f>IF(AND(OR(Dashboard!$D$4="Semua",D1031=Dashboard!$D$4),OR(Dashboard!$H$4="Semua",E1031=Dashboard!$H$4)),1,0)</f>
        <v>1</v>
      </c>
      <c r="V1031">
        <f>IF(U1031=1,IF(COUNTIFS($C$2:C1031,C1031,$U$2:U1031,1)=1,1,0),0)</f>
        <v>0</v>
      </c>
    </row>
    <row r="1032" spans="1:22" x14ac:dyDescent="0.35">
      <c r="A1032">
        <v>11031</v>
      </c>
      <c r="B1032" s="1">
        <v>45592</v>
      </c>
      <c r="C1032">
        <v>1976</v>
      </c>
      <c r="D1032" t="s">
        <v>80</v>
      </c>
      <c r="E1032" t="s">
        <v>74</v>
      </c>
      <c r="F1032">
        <v>7</v>
      </c>
      <c r="G1032" s="2">
        <v>265.04000000000002</v>
      </c>
      <c r="H1032">
        <v>0.25</v>
      </c>
      <c r="I1032" t="s">
        <v>71</v>
      </c>
      <c r="J1032">
        <v>2</v>
      </c>
      <c r="K1032">
        <v>2.9</v>
      </c>
      <c r="L1032" s="2">
        <v>1391.46</v>
      </c>
      <c r="M1032">
        <v>2024</v>
      </c>
      <c r="N1032">
        <v>10</v>
      </c>
      <c r="O1032" t="s">
        <v>113</v>
      </c>
      <c r="P1032" s="2">
        <v>1855.28</v>
      </c>
      <c r="Q1032" s="2">
        <v>463.82</v>
      </c>
      <c r="R1032" t="s">
        <v>77</v>
      </c>
      <c r="S1032">
        <v>0</v>
      </c>
      <c r="T1032">
        <v>0</v>
      </c>
      <c r="U1032">
        <f>IF(AND(OR(Dashboard!$D$4="Semua",D1032=Dashboard!$D$4),OR(Dashboard!$H$4="Semua",E1032=Dashboard!$H$4)),1,0)</f>
        <v>1</v>
      </c>
      <c r="V1032">
        <f>IF(U1032=1,IF(COUNTIFS($C$2:C1032,C1032,$U$2:U1032,1)=1,1,0),0)</f>
        <v>1</v>
      </c>
    </row>
    <row r="1033" spans="1:22" x14ac:dyDescent="0.35">
      <c r="A1033">
        <v>11032</v>
      </c>
      <c r="B1033" s="1">
        <v>45593</v>
      </c>
      <c r="C1033">
        <v>1708</v>
      </c>
      <c r="D1033" t="s">
        <v>73</v>
      </c>
      <c r="E1033" t="s">
        <v>74</v>
      </c>
      <c r="F1033">
        <v>2</v>
      </c>
      <c r="G1033" s="2">
        <v>326.45</v>
      </c>
      <c r="H1033">
        <v>0.2</v>
      </c>
      <c r="I1033" t="s">
        <v>71</v>
      </c>
      <c r="J1033">
        <v>1</v>
      </c>
      <c r="K1033">
        <v>4.5</v>
      </c>
      <c r="L1033" s="2">
        <v>522.32000000000005</v>
      </c>
      <c r="M1033">
        <v>2024</v>
      </c>
      <c r="N1033">
        <v>10</v>
      </c>
      <c r="O1033" t="s">
        <v>113</v>
      </c>
      <c r="P1033" s="2">
        <v>652.9</v>
      </c>
      <c r="Q1033" s="2">
        <v>130.58000000000001</v>
      </c>
      <c r="R1033" t="s">
        <v>76</v>
      </c>
      <c r="S1033">
        <v>0</v>
      </c>
      <c r="T1033">
        <v>0</v>
      </c>
      <c r="U1033">
        <f>IF(AND(OR(Dashboard!$D$4="Semua",D1033=Dashboard!$D$4),OR(Dashboard!$H$4="Semua",E1033=Dashboard!$H$4)),1,0)</f>
        <v>1</v>
      </c>
      <c r="V1033">
        <f>IF(U1033=1,IF(COUNTIFS($C$2:C1033,C1033,$U$2:U1033,1)=1,1,0),0)</f>
        <v>0</v>
      </c>
    </row>
    <row r="1034" spans="1:22" x14ac:dyDescent="0.35">
      <c r="A1034">
        <v>11033</v>
      </c>
      <c r="B1034" s="1">
        <v>45594</v>
      </c>
      <c r="C1034">
        <v>1862</v>
      </c>
      <c r="D1034" t="s">
        <v>67</v>
      </c>
      <c r="E1034" t="s">
        <v>74</v>
      </c>
      <c r="F1034">
        <v>2</v>
      </c>
      <c r="G1034" s="2">
        <v>540.74</v>
      </c>
      <c r="H1034">
        <v>0.18</v>
      </c>
      <c r="I1034" t="s">
        <v>64</v>
      </c>
      <c r="J1034">
        <v>4</v>
      </c>
      <c r="K1034">
        <v>4.4000000000000004</v>
      </c>
      <c r="L1034" s="2">
        <v>886.81</v>
      </c>
      <c r="M1034">
        <v>2024</v>
      </c>
      <c r="N1034">
        <v>10</v>
      </c>
      <c r="O1034" t="s">
        <v>113</v>
      </c>
      <c r="P1034" s="2">
        <v>1081.48</v>
      </c>
      <c r="Q1034" s="2">
        <v>194.67</v>
      </c>
      <c r="R1034" t="s">
        <v>76</v>
      </c>
      <c r="S1034">
        <v>0</v>
      </c>
      <c r="T1034">
        <v>0</v>
      </c>
      <c r="U1034">
        <f>IF(AND(OR(Dashboard!$D$4="Semua",D1034=Dashboard!$D$4),OR(Dashboard!$H$4="Semua",E1034=Dashboard!$H$4)),1,0)</f>
        <v>1</v>
      </c>
      <c r="V1034">
        <f>IF(U1034=1,IF(COUNTIFS($C$2:C1034,C1034,$U$2:U1034,1)=1,1,0),0)</f>
        <v>0</v>
      </c>
    </row>
    <row r="1035" spans="1:22" x14ac:dyDescent="0.35">
      <c r="A1035">
        <v>11034</v>
      </c>
      <c r="B1035" s="1">
        <v>45595</v>
      </c>
      <c r="C1035">
        <v>1644</v>
      </c>
      <c r="D1035" t="s">
        <v>73</v>
      </c>
      <c r="E1035" t="s">
        <v>70</v>
      </c>
      <c r="F1035">
        <v>5</v>
      </c>
      <c r="G1035" s="2">
        <v>598.65</v>
      </c>
      <c r="H1035">
        <v>0.34</v>
      </c>
      <c r="I1035" t="s">
        <v>64</v>
      </c>
      <c r="J1035">
        <v>2</v>
      </c>
      <c r="K1035">
        <v>4.9000000000000004</v>
      </c>
      <c r="L1035" s="2">
        <v>1975.54</v>
      </c>
      <c r="M1035">
        <v>2024</v>
      </c>
      <c r="N1035">
        <v>10</v>
      </c>
      <c r="O1035" t="s">
        <v>113</v>
      </c>
      <c r="P1035" s="2">
        <v>2993.25</v>
      </c>
      <c r="Q1035" s="2">
        <v>1017.71</v>
      </c>
      <c r="R1035" t="s">
        <v>72</v>
      </c>
      <c r="S1035">
        <v>0</v>
      </c>
      <c r="T1035">
        <v>0</v>
      </c>
      <c r="U1035">
        <f>IF(AND(OR(Dashboard!$D$4="Semua",D1035=Dashboard!$D$4),OR(Dashboard!$H$4="Semua",E1035=Dashboard!$H$4)),1,0)</f>
        <v>1</v>
      </c>
      <c r="V1035">
        <f>IF(U1035=1,IF(COUNTIFS($C$2:C1035,C1035,$U$2:U1035,1)=1,1,0),0)</f>
        <v>1</v>
      </c>
    </row>
    <row r="1036" spans="1:22" x14ac:dyDescent="0.35">
      <c r="A1036">
        <v>11035</v>
      </c>
      <c r="B1036" s="1">
        <v>45596</v>
      </c>
      <c r="C1036">
        <v>1869</v>
      </c>
      <c r="D1036" t="s">
        <v>73</v>
      </c>
      <c r="E1036" t="s">
        <v>78</v>
      </c>
      <c r="F1036">
        <v>2</v>
      </c>
      <c r="G1036" s="2">
        <v>455.73</v>
      </c>
      <c r="H1036">
        <v>0.05</v>
      </c>
      <c r="I1036" t="s">
        <v>71</v>
      </c>
      <c r="J1036">
        <v>1</v>
      </c>
      <c r="K1036">
        <v>2.9</v>
      </c>
      <c r="L1036" s="2">
        <v>865.89</v>
      </c>
      <c r="M1036">
        <v>2024</v>
      </c>
      <c r="N1036">
        <v>10</v>
      </c>
      <c r="O1036" t="s">
        <v>113</v>
      </c>
      <c r="P1036" s="2">
        <v>911.46</v>
      </c>
      <c r="Q1036" s="2">
        <v>45.57</v>
      </c>
      <c r="R1036" t="s">
        <v>75</v>
      </c>
      <c r="S1036">
        <v>0</v>
      </c>
      <c r="T1036">
        <v>0</v>
      </c>
      <c r="U1036">
        <f>IF(AND(OR(Dashboard!$D$4="Semua",D1036=Dashboard!$D$4),OR(Dashboard!$H$4="Semua",E1036=Dashboard!$H$4)),1,0)</f>
        <v>1</v>
      </c>
      <c r="V1036">
        <f>IF(U1036=1,IF(COUNTIFS($C$2:C1036,C1036,$U$2:U1036,1)=1,1,0),0)</f>
        <v>1</v>
      </c>
    </row>
    <row r="1037" spans="1:22" x14ac:dyDescent="0.35">
      <c r="A1037">
        <v>11036</v>
      </c>
      <c r="B1037" s="1">
        <v>45597</v>
      </c>
      <c r="C1037">
        <v>1770</v>
      </c>
      <c r="D1037" t="s">
        <v>73</v>
      </c>
      <c r="E1037" t="s">
        <v>70</v>
      </c>
      <c r="F1037">
        <v>6</v>
      </c>
      <c r="G1037" s="2">
        <v>582.91</v>
      </c>
      <c r="H1037">
        <v>0.31</v>
      </c>
      <c r="I1037" t="s">
        <v>71</v>
      </c>
      <c r="J1037">
        <v>1</v>
      </c>
      <c r="K1037">
        <v>3.2</v>
      </c>
      <c r="L1037" s="2">
        <v>2413.25</v>
      </c>
      <c r="M1037">
        <v>2024</v>
      </c>
      <c r="N1037">
        <v>11</v>
      </c>
      <c r="O1037" t="s">
        <v>114</v>
      </c>
      <c r="P1037" s="2">
        <v>3497.46</v>
      </c>
      <c r="Q1037" s="2">
        <v>1084.21</v>
      </c>
      <c r="R1037" t="s">
        <v>72</v>
      </c>
      <c r="S1037">
        <v>0</v>
      </c>
      <c r="T1037">
        <v>0</v>
      </c>
      <c r="U1037">
        <f>IF(AND(OR(Dashboard!$D$4="Semua",D1037=Dashboard!$D$4),OR(Dashboard!$H$4="Semua",E1037=Dashboard!$H$4)),1,0)</f>
        <v>1</v>
      </c>
      <c r="V1037">
        <f>IF(U1037=1,IF(COUNTIFS($C$2:C1037,C1037,$U$2:U1037,1)=1,1,0),0)</f>
        <v>0</v>
      </c>
    </row>
    <row r="1038" spans="1:22" x14ac:dyDescent="0.35">
      <c r="A1038">
        <v>11037</v>
      </c>
      <c r="B1038" s="1">
        <v>45598</v>
      </c>
      <c r="C1038">
        <v>1436</v>
      </c>
      <c r="D1038" t="s">
        <v>73</v>
      </c>
      <c r="E1038" t="s">
        <v>70</v>
      </c>
      <c r="F1038">
        <v>2</v>
      </c>
      <c r="G1038" s="2">
        <v>475.45</v>
      </c>
      <c r="H1038">
        <v>0.24</v>
      </c>
      <c r="I1038" t="s">
        <v>68</v>
      </c>
      <c r="J1038">
        <v>2</v>
      </c>
      <c r="K1038">
        <v>4.3</v>
      </c>
      <c r="L1038" s="2">
        <v>722.68</v>
      </c>
      <c r="M1038">
        <v>2024</v>
      </c>
      <c r="N1038">
        <v>11</v>
      </c>
      <c r="O1038" t="s">
        <v>114</v>
      </c>
      <c r="P1038" s="2">
        <v>950.9</v>
      </c>
      <c r="Q1038" s="2">
        <v>228.22</v>
      </c>
      <c r="R1038" t="s">
        <v>77</v>
      </c>
      <c r="S1038">
        <v>0</v>
      </c>
      <c r="T1038">
        <v>0</v>
      </c>
      <c r="U1038">
        <f>IF(AND(OR(Dashboard!$D$4="Semua",D1038=Dashboard!$D$4),OR(Dashboard!$H$4="Semua",E1038=Dashboard!$H$4)),1,0)</f>
        <v>1</v>
      </c>
      <c r="V1038">
        <f>IF(U1038=1,IF(COUNTIFS($C$2:C1038,C1038,$U$2:U1038,1)=1,1,0),0)</f>
        <v>1</v>
      </c>
    </row>
    <row r="1039" spans="1:22" x14ac:dyDescent="0.35">
      <c r="A1039">
        <v>11038</v>
      </c>
      <c r="B1039" s="1">
        <v>45599</v>
      </c>
      <c r="C1039">
        <v>1022</v>
      </c>
      <c r="D1039" t="s">
        <v>80</v>
      </c>
      <c r="E1039" t="s">
        <v>63</v>
      </c>
      <c r="F1039">
        <v>2</v>
      </c>
      <c r="G1039" s="2">
        <v>578.47</v>
      </c>
      <c r="H1039">
        <v>0.09</v>
      </c>
      <c r="I1039" t="s">
        <v>71</v>
      </c>
      <c r="J1039">
        <v>6</v>
      </c>
      <c r="K1039">
        <v>3.8</v>
      </c>
      <c r="L1039" s="2">
        <v>1052.82</v>
      </c>
      <c r="M1039">
        <v>2024</v>
      </c>
      <c r="N1039">
        <v>11</v>
      </c>
      <c r="O1039" t="s">
        <v>114</v>
      </c>
      <c r="P1039" s="2">
        <v>1156.94</v>
      </c>
      <c r="Q1039" s="2">
        <v>104.12</v>
      </c>
      <c r="R1039" t="s">
        <v>69</v>
      </c>
      <c r="S1039">
        <v>0</v>
      </c>
      <c r="T1039">
        <v>0</v>
      </c>
      <c r="U1039">
        <f>IF(AND(OR(Dashboard!$D$4="Semua",D1039=Dashboard!$D$4),OR(Dashboard!$H$4="Semua",E1039=Dashboard!$H$4)),1,0)</f>
        <v>1</v>
      </c>
      <c r="V1039">
        <f>IF(U1039=1,IF(COUNTIFS($C$2:C1039,C1039,$U$2:U1039,1)=1,1,0),0)</f>
        <v>0</v>
      </c>
    </row>
    <row r="1040" spans="1:22" x14ac:dyDescent="0.35">
      <c r="A1040">
        <v>11039</v>
      </c>
      <c r="B1040" s="1">
        <v>45600</v>
      </c>
      <c r="C1040">
        <v>1996</v>
      </c>
      <c r="D1040" t="s">
        <v>73</v>
      </c>
      <c r="E1040" t="s">
        <v>63</v>
      </c>
      <c r="F1040">
        <v>2</v>
      </c>
      <c r="G1040" s="2">
        <v>428.75</v>
      </c>
      <c r="H1040">
        <v>0.32</v>
      </c>
      <c r="I1040" t="s">
        <v>71</v>
      </c>
      <c r="J1040">
        <v>2</v>
      </c>
      <c r="K1040">
        <v>1.7</v>
      </c>
      <c r="L1040" s="2">
        <v>583.1</v>
      </c>
      <c r="M1040">
        <v>2024</v>
      </c>
      <c r="N1040">
        <v>11</v>
      </c>
      <c r="O1040" t="s">
        <v>114</v>
      </c>
      <c r="P1040" s="2">
        <v>857.5</v>
      </c>
      <c r="Q1040" s="2">
        <v>274.39999999999998</v>
      </c>
      <c r="R1040" t="s">
        <v>72</v>
      </c>
      <c r="S1040">
        <v>0</v>
      </c>
      <c r="T1040">
        <v>0</v>
      </c>
      <c r="U1040">
        <f>IF(AND(OR(Dashboard!$D$4="Semua",D1040=Dashboard!$D$4),OR(Dashboard!$H$4="Semua",E1040=Dashboard!$H$4)),1,0)</f>
        <v>1</v>
      </c>
      <c r="V1040">
        <f>IF(U1040=1,IF(COUNTIFS($C$2:C1040,C1040,$U$2:U1040,1)=1,1,0),0)</f>
        <v>0</v>
      </c>
    </row>
    <row r="1041" spans="1:22" x14ac:dyDescent="0.35">
      <c r="A1041">
        <v>11040</v>
      </c>
      <c r="B1041" s="1">
        <v>45601</v>
      </c>
      <c r="C1041">
        <v>1564</v>
      </c>
      <c r="D1041" t="s">
        <v>62</v>
      </c>
      <c r="E1041" t="s">
        <v>74</v>
      </c>
      <c r="F1041">
        <v>1</v>
      </c>
      <c r="G1041" s="2">
        <v>61.66</v>
      </c>
      <c r="H1041">
        <v>0.15</v>
      </c>
      <c r="I1041" t="s">
        <v>71</v>
      </c>
      <c r="J1041">
        <v>11</v>
      </c>
      <c r="K1041">
        <v>2.6</v>
      </c>
      <c r="L1041" s="2">
        <v>52.41</v>
      </c>
      <c r="M1041">
        <v>2024</v>
      </c>
      <c r="N1041">
        <v>11</v>
      </c>
      <c r="O1041" t="s">
        <v>114</v>
      </c>
      <c r="P1041" s="2">
        <v>61.66</v>
      </c>
      <c r="Q1041" s="2">
        <v>9.25</v>
      </c>
      <c r="R1041" t="s">
        <v>79</v>
      </c>
      <c r="S1041">
        <v>0</v>
      </c>
      <c r="T1041">
        <v>0</v>
      </c>
      <c r="U1041">
        <f>IF(AND(OR(Dashboard!$D$4="Semua",D1041=Dashboard!$D$4),OR(Dashboard!$H$4="Semua",E1041=Dashboard!$H$4)),1,0)</f>
        <v>1</v>
      </c>
      <c r="V1041">
        <f>IF(U1041=1,IF(COUNTIFS($C$2:C1041,C1041,$U$2:U1041,1)=1,1,0),0)</f>
        <v>0</v>
      </c>
    </row>
    <row r="1042" spans="1:22" x14ac:dyDescent="0.35">
      <c r="A1042">
        <v>11041</v>
      </c>
      <c r="B1042" s="1">
        <v>45602</v>
      </c>
      <c r="C1042">
        <v>1676</v>
      </c>
      <c r="D1042" t="s">
        <v>62</v>
      </c>
      <c r="E1042" t="s">
        <v>74</v>
      </c>
      <c r="F1042">
        <v>5</v>
      </c>
      <c r="G1042" s="2">
        <v>250.12</v>
      </c>
      <c r="H1042">
        <v>0.28000000000000003</v>
      </c>
      <c r="I1042" t="s">
        <v>68</v>
      </c>
      <c r="J1042">
        <v>2</v>
      </c>
      <c r="K1042">
        <v>4.7</v>
      </c>
      <c r="L1042" s="2">
        <v>900.43</v>
      </c>
      <c r="M1042">
        <v>2024</v>
      </c>
      <c r="N1042">
        <v>11</v>
      </c>
      <c r="O1042" t="s">
        <v>114</v>
      </c>
      <c r="P1042" s="2">
        <v>1250.5999999999999</v>
      </c>
      <c r="Q1042" s="2">
        <v>350.17</v>
      </c>
      <c r="R1042" t="s">
        <v>66</v>
      </c>
      <c r="S1042">
        <v>0</v>
      </c>
      <c r="T1042">
        <v>0</v>
      </c>
      <c r="U1042">
        <f>IF(AND(OR(Dashboard!$D$4="Semua",D1042=Dashboard!$D$4),OR(Dashboard!$H$4="Semua",E1042=Dashboard!$H$4)),1,0)</f>
        <v>1</v>
      </c>
      <c r="V1042">
        <f>IF(U1042=1,IF(COUNTIFS($C$2:C1042,C1042,$U$2:U1042,1)=1,1,0),0)</f>
        <v>0</v>
      </c>
    </row>
    <row r="1043" spans="1:22" x14ac:dyDescent="0.35">
      <c r="A1043">
        <v>11042</v>
      </c>
      <c r="B1043" s="1">
        <v>45603</v>
      </c>
      <c r="C1043">
        <v>1713</v>
      </c>
      <c r="D1043" t="s">
        <v>67</v>
      </c>
      <c r="E1043" t="s">
        <v>63</v>
      </c>
      <c r="F1043">
        <v>6</v>
      </c>
      <c r="G1043" s="2">
        <v>393.26</v>
      </c>
      <c r="H1043">
        <v>0.14000000000000001</v>
      </c>
      <c r="I1043" t="s">
        <v>71</v>
      </c>
      <c r="J1043">
        <v>8</v>
      </c>
      <c r="K1043">
        <v>1.6</v>
      </c>
      <c r="L1043" s="2">
        <v>2029.22</v>
      </c>
      <c r="M1043">
        <v>2024</v>
      </c>
      <c r="N1043">
        <v>11</v>
      </c>
      <c r="O1043" t="s">
        <v>114</v>
      </c>
      <c r="P1043" s="2">
        <v>2359.56</v>
      </c>
      <c r="Q1043" s="2">
        <v>330.34</v>
      </c>
      <c r="R1043" t="s">
        <v>79</v>
      </c>
      <c r="S1043">
        <v>0</v>
      </c>
      <c r="T1043">
        <v>0</v>
      </c>
      <c r="U1043">
        <f>IF(AND(OR(Dashboard!$D$4="Semua",D1043=Dashboard!$D$4),OR(Dashboard!$H$4="Semua",E1043=Dashboard!$H$4)),1,0)</f>
        <v>1</v>
      </c>
      <c r="V1043">
        <f>IF(U1043=1,IF(COUNTIFS($C$2:C1043,C1043,$U$2:U1043,1)=1,1,0),0)</f>
        <v>0</v>
      </c>
    </row>
    <row r="1044" spans="1:22" x14ac:dyDescent="0.35">
      <c r="A1044">
        <v>11043</v>
      </c>
      <c r="B1044" s="1">
        <v>45604</v>
      </c>
      <c r="C1044">
        <v>1457</v>
      </c>
      <c r="D1044" t="s">
        <v>73</v>
      </c>
      <c r="E1044" t="s">
        <v>63</v>
      </c>
      <c r="F1044">
        <v>2</v>
      </c>
      <c r="G1044" s="2">
        <v>220.17</v>
      </c>
      <c r="H1044">
        <v>0.3</v>
      </c>
      <c r="I1044" t="s">
        <v>71</v>
      </c>
      <c r="J1044">
        <v>5</v>
      </c>
      <c r="K1044">
        <v>1.8</v>
      </c>
      <c r="L1044" s="2">
        <v>308.24</v>
      </c>
      <c r="M1044">
        <v>2024</v>
      </c>
      <c r="N1044">
        <v>11</v>
      </c>
      <c r="O1044" t="s">
        <v>114</v>
      </c>
      <c r="P1044" s="2">
        <v>440.34</v>
      </c>
      <c r="Q1044" s="2">
        <v>132.1</v>
      </c>
      <c r="R1044" t="s">
        <v>66</v>
      </c>
      <c r="S1044">
        <v>0</v>
      </c>
      <c r="T1044">
        <v>0</v>
      </c>
      <c r="U1044">
        <f>IF(AND(OR(Dashboard!$D$4="Semua",D1044=Dashboard!$D$4),OR(Dashboard!$H$4="Semua",E1044=Dashboard!$H$4)),1,0)</f>
        <v>1</v>
      </c>
      <c r="V1044">
        <f>IF(U1044=1,IF(COUNTIFS($C$2:C1044,C1044,$U$2:U1044,1)=1,1,0),0)</f>
        <v>1</v>
      </c>
    </row>
    <row r="1045" spans="1:22" x14ac:dyDescent="0.35">
      <c r="A1045">
        <v>11044</v>
      </c>
      <c r="B1045" s="1">
        <v>45605</v>
      </c>
      <c r="C1045">
        <v>1082</v>
      </c>
      <c r="D1045" t="s">
        <v>67</v>
      </c>
      <c r="E1045" t="s">
        <v>78</v>
      </c>
      <c r="F1045">
        <v>5</v>
      </c>
      <c r="G1045" s="2">
        <v>174.93</v>
      </c>
      <c r="H1045">
        <v>0.22</v>
      </c>
      <c r="I1045" t="s">
        <v>71</v>
      </c>
      <c r="J1045">
        <v>8</v>
      </c>
      <c r="K1045">
        <v>2.6</v>
      </c>
      <c r="L1045" s="2">
        <v>682.23</v>
      </c>
      <c r="M1045">
        <v>2024</v>
      </c>
      <c r="N1045">
        <v>11</v>
      </c>
      <c r="O1045" t="s">
        <v>114</v>
      </c>
      <c r="P1045" s="2">
        <v>874.65</v>
      </c>
      <c r="Q1045" s="2">
        <v>192.42</v>
      </c>
      <c r="R1045" t="s">
        <v>77</v>
      </c>
      <c r="S1045">
        <v>0</v>
      </c>
      <c r="T1045">
        <v>0</v>
      </c>
      <c r="U1045">
        <f>IF(AND(OR(Dashboard!$D$4="Semua",D1045=Dashboard!$D$4),OR(Dashboard!$H$4="Semua",E1045=Dashboard!$H$4)),1,0)</f>
        <v>1</v>
      </c>
      <c r="V1045">
        <f>IF(U1045=1,IF(COUNTIFS($C$2:C1045,C1045,$U$2:U1045,1)=1,1,0),0)</f>
        <v>1</v>
      </c>
    </row>
    <row r="1046" spans="1:22" x14ac:dyDescent="0.35">
      <c r="A1046">
        <v>11045</v>
      </c>
      <c r="B1046" s="1">
        <v>45606</v>
      </c>
      <c r="C1046">
        <v>1144</v>
      </c>
      <c r="D1046" t="s">
        <v>80</v>
      </c>
      <c r="E1046" t="s">
        <v>74</v>
      </c>
      <c r="F1046">
        <v>3</v>
      </c>
      <c r="G1046" s="2">
        <v>352.78</v>
      </c>
      <c r="H1046">
        <v>0.05</v>
      </c>
      <c r="I1046" t="s">
        <v>68</v>
      </c>
      <c r="J1046">
        <v>8</v>
      </c>
      <c r="K1046">
        <v>4.8</v>
      </c>
      <c r="L1046" s="2">
        <v>1005.42</v>
      </c>
      <c r="M1046">
        <v>2024</v>
      </c>
      <c r="N1046">
        <v>11</v>
      </c>
      <c r="O1046" t="s">
        <v>114</v>
      </c>
      <c r="P1046" s="2">
        <v>1058.3399999999999</v>
      </c>
      <c r="Q1046" s="2">
        <v>52.92</v>
      </c>
      <c r="R1046" t="s">
        <v>75</v>
      </c>
      <c r="S1046">
        <v>0</v>
      </c>
      <c r="T1046">
        <v>0</v>
      </c>
      <c r="U1046">
        <f>IF(AND(OR(Dashboard!$D$4="Semua",D1046=Dashboard!$D$4),OR(Dashboard!$H$4="Semua",E1046=Dashboard!$H$4)),1,0)</f>
        <v>1</v>
      </c>
      <c r="V1046">
        <f>IF(U1046=1,IF(COUNTIFS($C$2:C1046,C1046,$U$2:U1046,1)=1,1,0),0)</f>
        <v>0</v>
      </c>
    </row>
    <row r="1047" spans="1:22" x14ac:dyDescent="0.35">
      <c r="A1047">
        <v>11046</v>
      </c>
      <c r="B1047" s="1">
        <v>45607</v>
      </c>
      <c r="C1047">
        <v>1084</v>
      </c>
      <c r="D1047" t="s">
        <v>67</v>
      </c>
      <c r="E1047" t="s">
        <v>74</v>
      </c>
      <c r="F1047">
        <v>1</v>
      </c>
      <c r="G1047" s="2">
        <v>561.1</v>
      </c>
      <c r="H1047">
        <v>0.23</v>
      </c>
      <c r="I1047" t="s">
        <v>68</v>
      </c>
      <c r="J1047">
        <v>2</v>
      </c>
      <c r="K1047">
        <v>1.5</v>
      </c>
      <c r="L1047" s="2">
        <v>432.05</v>
      </c>
      <c r="M1047">
        <v>2024</v>
      </c>
      <c r="N1047">
        <v>11</v>
      </c>
      <c r="O1047" t="s">
        <v>114</v>
      </c>
      <c r="P1047" s="2">
        <v>561.1</v>
      </c>
      <c r="Q1047" s="2">
        <v>129.05000000000001</v>
      </c>
      <c r="R1047" t="s">
        <v>77</v>
      </c>
      <c r="S1047">
        <v>0</v>
      </c>
      <c r="T1047">
        <v>0</v>
      </c>
      <c r="U1047">
        <f>IF(AND(OR(Dashboard!$D$4="Semua",D1047=Dashboard!$D$4),OR(Dashboard!$H$4="Semua",E1047=Dashboard!$H$4)),1,0)</f>
        <v>1</v>
      </c>
      <c r="V1047">
        <f>IF(U1047=1,IF(COUNTIFS($C$2:C1047,C1047,$U$2:U1047,1)=1,1,0),0)</f>
        <v>1</v>
      </c>
    </row>
    <row r="1048" spans="1:22" x14ac:dyDescent="0.35">
      <c r="A1048">
        <v>11047</v>
      </c>
      <c r="B1048" s="1">
        <v>45608</v>
      </c>
      <c r="C1048">
        <v>1077</v>
      </c>
      <c r="D1048" t="s">
        <v>73</v>
      </c>
      <c r="E1048" t="s">
        <v>63</v>
      </c>
      <c r="F1048">
        <v>7</v>
      </c>
      <c r="G1048" s="2">
        <v>35.46</v>
      </c>
      <c r="H1048">
        <v>7.0000000000000007E-2</v>
      </c>
      <c r="I1048" t="s">
        <v>68</v>
      </c>
      <c r="J1048">
        <v>7</v>
      </c>
      <c r="K1048">
        <v>3.7</v>
      </c>
      <c r="L1048" s="2">
        <v>230.84</v>
      </c>
      <c r="M1048">
        <v>2024</v>
      </c>
      <c r="N1048">
        <v>11</v>
      </c>
      <c r="O1048" t="s">
        <v>114</v>
      </c>
      <c r="P1048" s="2">
        <v>248.22</v>
      </c>
      <c r="Q1048" s="2">
        <v>17.38</v>
      </c>
      <c r="R1048" t="s">
        <v>69</v>
      </c>
      <c r="S1048">
        <v>0</v>
      </c>
      <c r="T1048">
        <v>0</v>
      </c>
      <c r="U1048">
        <f>IF(AND(OR(Dashboard!$D$4="Semua",D1048=Dashboard!$D$4),OR(Dashboard!$H$4="Semua",E1048=Dashboard!$H$4)),1,0)</f>
        <v>1</v>
      </c>
      <c r="V1048">
        <f>IF(U1048=1,IF(COUNTIFS($C$2:C1048,C1048,$U$2:U1048,1)=1,1,0),0)</f>
        <v>1</v>
      </c>
    </row>
    <row r="1049" spans="1:22" x14ac:dyDescent="0.35">
      <c r="A1049">
        <v>11048</v>
      </c>
      <c r="B1049" s="1">
        <v>45609</v>
      </c>
      <c r="C1049">
        <v>1456</v>
      </c>
      <c r="D1049" t="s">
        <v>67</v>
      </c>
      <c r="E1049" t="s">
        <v>78</v>
      </c>
      <c r="F1049">
        <v>2</v>
      </c>
      <c r="G1049" s="2">
        <v>465</v>
      </c>
      <c r="H1049">
        <v>0.14000000000000001</v>
      </c>
      <c r="I1049" t="s">
        <v>64</v>
      </c>
      <c r="J1049">
        <v>9</v>
      </c>
      <c r="K1049">
        <v>1.5</v>
      </c>
      <c r="L1049" s="2">
        <v>799.8</v>
      </c>
      <c r="M1049">
        <v>2024</v>
      </c>
      <c r="N1049">
        <v>11</v>
      </c>
      <c r="O1049" t="s">
        <v>114</v>
      </c>
      <c r="P1049" s="2">
        <v>930</v>
      </c>
      <c r="Q1049" s="2">
        <v>130.19999999999999</v>
      </c>
      <c r="R1049" t="s">
        <v>79</v>
      </c>
      <c r="S1049">
        <v>0</v>
      </c>
      <c r="T1049">
        <v>0</v>
      </c>
      <c r="U1049">
        <f>IF(AND(OR(Dashboard!$D$4="Semua",D1049=Dashboard!$D$4),OR(Dashboard!$H$4="Semua",E1049=Dashboard!$H$4)),1,0)</f>
        <v>1</v>
      </c>
      <c r="V1049">
        <f>IF(U1049=1,IF(COUNTIFS($C$2:C1049,C1049,$U$2:U1049,1)=1,1,0),0)</f>
        <v>0</v>
      </c>
    </row>
    <row r="1050" spans="1:22" x14ac:dyDescent="0.35">
      <c r="A1050">
        <v>11049</v>
      </c>
      <c r="B1050" s="1">
        <v>45610</v>
      </c>
      <c r="C1050">
        <v>1877</v>
      </c>
      <c r="D1050" t="s">
        <v>80</v>
      </c>
      <c r="E1050" t="s">
        <v>63</v>
      </c>
      <c r="F1050">
        <v>6</v>
      </c>
      <c r="G1050" s="2">
        <v>437.8</v>
      </c>
      <c r="H1050">
        <v>0.06</v>
      </c>
      <c r="I1050" t="s">
        <v>71</v>
      </c>
      <c r="J1050">
        <v>8</v>
      </c>
      <c r="K1050">
        <v>3.1</v>
      </c>
      <c r="L1050" s="2">
        <v>2469.19</v>
      </c>
      <c r="M1050">
        <v>2024</v>
      </c>
      <c r="N1050">
        <v>11</v>
      </c>
      <c r="O1050" t="s">
        <v>114</v>
      </c>
      <c r="P1050" s="2">
        <v>2626.8</v>
      </c>
      <c r="Q1050" s="2">
        <v>157.61000000000001</v>
      </c>
      <c r="R1050" t="s">
        <v>69</v>
      </c>
      <c r="S1050">
        <v>0</v>
      </c>
      <c r="T1050">
        <v>0</v>
      </c>
      <c r="U1050">
        <f>IF(AND(OR(Dashboard!$D$4="Semua",D1050=Dashboard!$D$4),OR(Dashboard!$H$4="Semua",E1050=Dashboard!$H$4)),1,0)</f>
        <v>1</v>
      </c>
      <c r="V1050">
        <f>IF(U1050=1,IF(COUNTIFS($C$2:C1050,C1050,$U$2:U1050,1)=1,1,0),0)</f>
        <v>0</v>
      </c>
    </row>
    <row r="1051" spans="1:22" x14ac:dyDescent="0.35">
      <c r="A1051">
        <v>11050</v>
      </c>
      <c r="B1051" s="1">
        <v>45611</v>
      </c>
      <c r="C1051">
        <v>1000</v>
      </c>
      <c r="D1051" t="s">
        <v>80</v>
      </c>
      <c r="E1051" t="s">
        <v>63</v>
      </c>
      <c r="F1051">
        <v>1</v>
      </c>
      <c r="G1051" s="2">
        <v>578.91</v>
      </c>
      <c r="H1051">
        <v>0.01</v>
      </c>
      <c r="I1051" t="s">
        <v>68</v>
      </c>
      <c r="J1051">
        <v>9</v>
      </c>
      <c r="K1051">
        <v>3.1</v>
      </c>
      <c r="L1051" s="2">
        <v>573.12</v>
      </c>
      <c r="M1051">
        <v>2024</v>
      </c>
      <c r="N1051">
        <v>11</v>
      </c>
      <c r="O1051" t="s">
        <v>114</v>
      </c>
      <c r="P1051" s="2">
        <v>578.91</v>
      </c>
      <c r="Q1051" s="2">
        <v>5.79</v>
      </c>
      <c r="R1051" t="s">
        <v>75</v>
      </c>
      <c r="S1051">
        <v>0</v>
      </c>
      <c r="T1051">
        <v>0</v>
      </c>
      <c r="U1051">
        <f>IF(AND(OR(Dashboard!$D$4="Semua",D1051=Dashboard!$D$4),OR(Dashboard!$H$4="Semua",E1051=Dashboard!$H$4)),1,0)</f>
        <v>1</v>
      </c>
      <c r="V1051">
        <f>IF(U1051=1,IF(COUNTIFS($C$2:C1051,C1051,$U$2:U1051,1)=1,1,0),0)</f>
        <v>0</v>
      </c>
    </row>
    <row r="1052" spans="1:22" x14ac:dyDescent="0.35">
      <c r="A1052">
        <v>11051</v>
      </c>
      <c r="B1052" s="1">
        <v>45612</v>
      </c>
      <c r="C1052">
        <v>1050</v>
      </c>
      <c r="D1052" t="s">
        <v>73</v>
      </c>
      <c r="E1052" t="s">
        <v>70</v>
      </c>
      <c r="F1052">
        <v>6</v>
      </c>
      <c r="G1052" s="2">
        <v>559.47</v>
      </c>
      <c r="H1052">
        <v>7.0000000000000007E-2</v>
      </c>
      <c r="I1052" t="s">
        <v>68</v>
      </c>
      <c r="J1052">
        <v>8</v>
      </c>
      <c r="K1052">
        <v>1.2</v>
      </c>
      <c r="L1052" s="2">
        <v>3121.84</v>
      </c>
      <c r="M1052">
        <v>2024</v>
      </c>
      <c r="N1052">
        <v>11</v>
      </c>
      <c r="O1052" t="s">
        <v>114</v>
      </c>
      <c r="P1052" s="2">
        <v>3356.82</v>
      </c>
      <c r="Q1052" s="2">
        <v>234.98</v>
      </c>
      <c r="R1052" t="s">
        <v>69</v>
      </c>
      <c r="S1052">
        <v>0</v>
      </c>
      <c r="T1052">
        <v>0</v>
      </c>
      <c r="U1052">
        <f>IF(AND(OR(Dashboard!$D$4="Semua",D1052=Dashboard!$D$4),OR(Dashboard!$H$4="Semua",E1052=Dashboard!$H$4)),1,0)</f>
        <v>1</v>
      </c>
      <c r="V1052">
        <f>IF(U1052=1,IF(COUNTIFS($C$2:C1052,C1052,$U$2:U1052,1)=1,1,0),0)</f>
        <v>0</v>
      </c>
    </row>
    <row r="1053" spans="1:22" x14ac:dyDescent="0.35">
      <c r="A1053">
        <v>11052</v>
      </c>
      <c r="B1053" s="1">
        <v>45613</v>
      </c>
      <c r="C1053">
        <v>1684</v>
      </c>
      <c r="D1053" t="s">
        <v>80</v>
      </c>
      <c r="E1053" t="s">
        <v>74</v>
      </c>
      <c r="F1053">
        <v>7</v>
      </c>
      <c r="G1053" s="2">
        <v>460.91</v>
      </c>
      <c r="H1053">
        <v>0.19</v>
      </c>
      <c r="I1053" t="s">
        <v>71</v>
      </c>
      <c r="J1053">
        <v>4</v>
      </c>
      <c r="K1053">
        <v>4.8</v>
      </c>
      <c r="L1053" s="2">
        <v>2613.36</v>
      </c>
      <c r="M1053">
        <v>2024</v>
      </c>
      <c r="N1053">
        <v>11</v>
      </c>
      <c r="O1053" t="s">
        <v>114</v>
      </c>
      <c r="P1053" s="2">
        <v>3226.37</v>
      </c>
      <c r="Q1053" s="2">
        <v>613.01</v>
      </c>
      <c r="R1053" t="s">
        <v>76</v>
      </c>
      <c r="S1053">
        <v>0</v>
      </c>
      <c r="T1053">
        <v>0</v>
      </c>
      <c r="U1053">
        <f>IF(AND(OR(Dashboard!$D$4="Semua",D1053=Dashboard!$D$4),OR(Dashboard!$H$4="Semua",E1053=Dashboard!$H$4)),1,0)</f>
        <v>1</v>
      </c>
      <c r="V1053">
        <f>IF(U1053=1,IF(COUNTIFS($C$2:C1053,C1053,$U$2:U1053,1)=1,1,0),0)</f>
        <v>0</v>
      </c>
    </row>
    <row r="1054" spans="1:22" x14ac:dyDescent="0.35">
      <c r="A1054">
        <v>11053</v>
      </c>
      <c r="B1054" s="1">
        <v>45614</v>
      </c>
      <c r="C1054">
        <v>1716</v>
      </c>
      <c r="D1054" t="s">
        <v>73</v>
      </c>
      <c r="E1054" t="s">
        <v>78</v>
      </c>
      <c r="F1054">
        <v>7</v>
      </c>
      <c r="G1054" s="2">
        <v>319.44</v>
      </c>
      <c r="H1054">
        <v>0.17</v>
      </c>
      <c r="I1054" t="s">
        <v>68</v>
      </c>
      <c r="J1054">
        <v>10</v>
      </c>
      <c r="K1054">
        <v>4.2</v>
      </c>
      <c r="L1054" s="2">
        <v>1855.95</v>
      </c>
      <c r="M1054">
        <v>2024</v>
      </c>
      <c r="N1054">
        <v>11</v>
      </c>
      <c r="O1054" t="s">
        <v>114</v>
      </c>
      <c r="P1054" s="2">
        <v>2236.08</v>
      </c>
      <c r="Q1054" s="2">
        <v>380.13</v>
      </c>
      <c r="R1054" t="s">
        <v>76</v>
      </c>
      <c r="S1054">
        <v>0</v>
      </c>
      <c r="T1054">
        <v>0</v>
      </c>
      <c r="U1054">
        <f>IF(AND(OR(Dashboard!$D$4="Semua",D1054=Dashboard!$D$4),OR(Dashboard!$H$4="Semua",E1054=Dashboard!$H$4)),1,0)</f>
        <v>1</v>
      </c>
      <c r="V1054">
        <f>IF(U1054=1,IF(COUNTIFS($C$2:C1054,C1054,$U$2:U1054,1)=1,1,0),0)</f>
        <v>1</v>
      </c>
    </row>
    <row r="1055" spans="1:22" x14ac:dyDescent="0.35">
      <c r="A1055">
        <v>11054</v>
      </c>
      <c r="B1055" s="1">
        <v>45615</v>
      </c>
      <c r="C1055">
        <v>1771</v>
      </c>
      <c r="D1055" t="s">
        <v>73</v>
      </c>
      <c r="E1055" t="s">
        <v>70</v>
      </c>
      <c r="F1055">
        <v>1</v>
      </c>
      <c r="G1055" s="2">
        <v>134.5</v>
      </c>
      <c r="H1055">
        <v>0.18</v>
      </c>
      <c r="I1055" t="s">
        <v>64</v>
      </c>
      <c r="J1055">
        <v>7</v>
      </c>
      <c r="K1055">
        <v>2.2000000000000002</v>
      </c>
      <c r="L1055" s="2">
        <v>110.29</v>
      </c>
      <c r="M1055">
        <v>2024</v>
      </c>
      <c r="N1055">
        <v>11</v>
      </c>
      <c r="O1055" t="s">
        <v>114</v>
      </c>
      <c r="P1055" s="2">
        <v>134.5</v>
      </c>
      <c r="Q1055" s="2">
        <v>24.21</v>
      </c>
      <c r="R1055" t="s">
        <v>76</v>
      </c>
      <c r="S1055">
        <v>0</v>
      </c>
      <c r="T1055">
        <v>0</v>
      </c>
      <c r="U1055">
        <f>IF(AND(OR(Dashboard!$D$4="Semua",D1055=Dashboard!$D$4),OR(Dashboard!$H$4="Semua",E1055=Dashboard!$H$4)),1,0)</f>
        <v>1</v>
      </c>
      <c r="V1055">
        <f>IF(U1055=1,IF(COUNTIFS($C$2:C1055,C1055,$U$2:U1055,1)=1,1,0),0)</f>
        <v>0</v>
      </c>
    </row>
    <row r="1056" spans="1:22" x14ac:dyDescent="0.35">
      <c r="A1056">
        <v>11055</v>
      </c>
      <c r="B1056" s="1">
        <v>45616</v>
      </c>
      <c r="C1056">
        <v>1445</v>
      </c>
      <c r="D1056" t="s">
        <v>62</v>
      </c>
      <c r="E1056" t="s">
        <v>74</v>
      </c>
      <c r="F1056">
        <v>3</v>
      </c>
      <c r="G1056" s="2">
        <v>333.96</v>
      </c>
      <c r="H1056">
        <v>0.09</v>
      </c>
      <c r="I1056" t="s">
        <v>71</v>
      </c>
      <c r="J1056">
        <v>9</v>
      </c>
      <c r="K1056">
        <v>1.5</v>
      </c>
      <c r="L1056" s="2">
        <v>911.71</v>
      </c>
      <c r="M1056">
        <v>2024</v>
      </c>
      <c r="N1056">
        <v>11</v>
      </c>
      <c r="O1056" t="s">
        <v>114</v>
      </c>
      <c r="P1056" s="2">
        <v>1001.88</v>
      </c>
      <c r="Q1056" s="2">
        <v>90.17</v>
      </c>
      <c r="R1056" t="s">
        <v>69</v>
      </c>
      <c r="S1056">
        <v>0</v>
      </c>
      <c r="T1056">
        <v>0</v>
      </c>
      <c r="U1056">
        <f>IF(AND(OR(Dashboard!$D$4="Semua",D1056=Dashboard!$D$4),OR(Dashboard!$H$4="Semua",E1056=Dashboard!$H$4)),1,0)</f>
        <v>1</v>
      </c>
      <c r="V1056">
        <f>IF(U1056=1,IF(COUNTIFS($C$2:C1056,C1056,$U$2:U1056,1)=1,1,0),0)</f>
        <v>1</v>
      </c>
    </row>
    <row r="1057" spans="1:22" x14ac:dyDescent="0.35">
      <c r="A1057">
        <v>11056</v>
      </c>
      <c r="B1057" s="1">
        <v>45617</v>
      </c>
      <c r="C1057">
        <v>1448</v>
      </c>
      <c r="D1057" t="s">
        <v>73</v>
      </c>
      <c r="E1057" t="s">
        <v>63</v>
      </c>
      <c r="F1057">
        <v>5</v>
      </c>
      <c r="G1057" s="2">
        <v>462.73</v>
      </c>
      <c r="H1057">
        <v>0.24</v>
      </c>
      <c r="I1057" t="s">
        <v>68</v>
      </c>
      <c r="J1057">
        <v>9</v>
      </c>
      <c r="K1057">
        <v>2.4</v>
      </c>
      <c r="L1057" s="2">
        <v>1758.37</v>
      </c>
      <c r="M1057">
        <v>2024</v>
      </c>
      <c r="N1057">
        <v>11</v>
      </c>
      <c r="O1057" t="s">
        <v>114</v>
      </c>
      <c r="P1057" s="2">
        <v>2313.65</v>
      </c>
      <c r="Q1057" s="2">
        <v>555.28</v>
      </c>
      <c r="R1057" t="s">
        <v>77</v>
      </c>
      <c r="S1057">
        <v>0</v>
      </c>
      <c r="T1057">
        <v>0</v>
      </c>
      <c r="U1057">
        <f>IF(AND(OR(Dashboard!$D$4="Semua",D1057=Dashboard!$D$4),OR(Dashboard!$H$4="Semua",E1057=Dashboard!$H$4)),1,0)</f>
        <v>1</v>
      </c>
      <c r="V1057">
        <f>IF(U1057=1,IF(COUNTIFS($C$2:C1057,C1057,$U$2:U1057,1)=1,1,0),0)</f>
        <v>1</v>
      </c>
    </row>
    <row r="1058" spans="1:22" x14ac:dyDescent="0.35">
      <c r="A1058">
        <v>11057</v>
      </c>
      <c r="B1058" s="1">
        <v>45618</v>
      </c>
      <c r="C1058">
        <v>1880</v>
      </c>
      <c r="D1058" t="s">
        <v>73</v>
      </c>
      <c r="E1058" t="s">
        <v>78</v>
      </c>
      <c r="F1058">
        <v>1</v>
      </c>
      <c r="G1058" s="2">
        <v>538.97</v>
      </c>
      <c r="H1058">
        <v>0.25</v>
      </c>
      <c r="I1058" t="s">
        <v>71</v>
      </c>
      <c r="J1058">
        <v>4</v>
      </c>
      <c r="K1058">
        <v>4.5999999999999996</v>
      </c>
      <c r="L1058" s="2">
        <v>404.23</v>
      </c>
      <c r="M1058">
        <v>2024</v>
      </c>
      <c r="N1058">
        <v>11</v>
      </c>
      <c r="O1058" t="s">
        <v>114</v>
      </c>
      <c r="P1058" s="2">
        <v>538.97</v>
      </c>
      <c r="Q1058" s="2">
        <v>134.74</v>
      </c>
      <c r="R1058" t="s">
        <v>77</v>
      </c>
      <c r="S1058">
        <v>0</v>
      </c>
      <c r="T1058">
        <v>0</v>
      </c>
      <c r="U1058">
        <f>IF(AND(OR(Dashboard!$D$4="Semua",D1058=Dashboard!$D$4),OR(Dashboard!$H$4="Semua",E1058=Dashboard!$H$4)),1,0)</f>
        <v>1</v>
      </c>
      <c r="V1058">
        <f>IF(U1058=1,IF(COUNTIFS($C$2:C1058,C1058,$U$2:U1058,1)=1,1,0),0)</f>
        <v>0</v>
      </c>
    </row>
    <row r="1059" spans="1:22" x14ac:dyDescent="0.35">
      <c r="A1059">
        <v>11058</v>
      </c>
      <c r="B1059" s="1">
        <v>45619</v>
      </c>
      <c r="C1059">
        <v>1487</v>
      </c>
      <c r="D1059" t="s">
        <v>73</v>
      </c>
      <c r="E1059" t="s">
        <v>74</v>
      </c>
      <c r="F1059">
        <v>4</v>
      </c>
      <c r="G1059" s="2">
        <v>476.98</v>
      </c>
      <c r="H1059">
        <v>0.13</v>
      </c>
      <c r="I1059" t="s">
        <v>68</v>
      </c>
      <c r="J1059">
        <v>7</v>
      </c>
      <c r="K1059">
        <v>1.5</v>
      </c>
      <c r="L1059" s="2">
        <v>1659.89</v>
      </c>
      <c r="M1059">
        <v>2024</v>
      </c>
      <c r="N1059">
        <v>11</v>
      </c>
      <c r="O1059" t="s">
        <v>114</v>
      </c>
      <c r="P1059" s="2">
        <v>1907.92</v>
      </c>
      <c r="Q1059" s="2">
        <v>248.03</v>
      </c>
      <c r="R1059" t="s">
        <v>79</v>
      </c>
      <c r="S1059">
        <v>0</v>
      </c>
      <c r="T1059">
        <v>0</v>
      </c>
      <c r="U1059">
        <f>IF(AND(OR(Dashboard!$D$4="Semua",D1059=Dashboard!$D$4),OR(Dashboard!$H$4="Semua",E1059=Dashboard!$H$4)),1,0)</f>
        <v>1</v>
      </c>
      <c r="V1059">
        <f>IF(U1059=1,IF(COUNTIFS($C$2:C1059,C1059,$U$2:U1059,1)=1,1,0),0)</f>
        <v>0</v>
      </c>
    </row>
    <row r="1060" spans="1:22" x14ac:dyDescent="0.35">
      <c r="A1060">
        <v>11059</v>
      </c>
      <c r="B1060" s="1">
        <v>45620</v>
      </c>
      <c r="C1060">
        <v>1799</v>
      </c>
      <c r="D1060" t="s">
        <v>62</v>
      </c>
      <c r="E1060" t="s">
        <v>63</v>
      </c>
      <c r="F1060">
        <v>7</v>
      </c>
      <c r="G1060" s="2">
        <v>129.22999999999999</v>
      </c>
      <c r="H1060">
        <v>0.31</v>
      </c>
      <c r="I1060" t="s">
        <v>64</v>
      </c>
      <c r="J1060">
        <v>6</v>
      </c>
      <c r="K1060">
        <v>2.4</v>
      </c>
      <c r="L1060" s="2">
        <v>624.17999999999995</v>
      </c>
      <c r="M1060">
        <v>2024</v>
      </c>
      <c r="N1060">
        <v>11</v>
      </c>
      <c r="O1060" t="s">
        <v>114</v>
      </c>
      <c r="P1060" s="2">
        <v>904.61</v>
      </c>
      <c r="Q1060" s="2">
        <v>280.43</v>
      </c>
      <c r="R1060" t="s">
        <v>72</v>
      </c>
      <c r="S1060">
        <v>0</v>
      </c>
      <c r="T1060">
        <v>0</v>
      </c>
      <c r="U1060">
        <f>IF(AND(OR(Dashboard!$D$4="Semua",D1060=Dashboard!$D$4),OR(Dashboard!$H$4="Semua",E1060=Dashboard!$H$4)),1,0)</f>
        <v>1</v>
      </c>
      <c r="V1060">
        <f>IF(U1060=1,IF(COUNTIFS($C$2:C1060,C1060,$U$2:U1060,1)=1,1,0),0)</f>
        <v>0</v>
      </c>
    </row>
    <row r="1061" spans="1:22" x14ac:dyDescent="0.35">
      <c r="A1061">
        <v>11060</v>
      </c>
      <c r="B1061" s="1">
        <v>45621</v>
      </c>
      <c r="C1061">
        <v>1033</v>
      </c>
      <c r="D1061" t="s">
        <v>80</v>
      </c>
      <c r="E1061" t="s">
        <v>70</v>
      </c>
      <c r="F1061">
        <v>3</v>
      </c>
      <c r="G1061" s="2">
        <v>365.82</v>
      </c>
      <c r="H1061">
        <v>0.23</v>
      </c>
      <c r="I1061" t="s">
        <v>68</v>
      </c>
      <c r="J1061">
        <v>3</v>
      </c>
      <c r="K1061">
        <v>3</v>
      </c>
      <c r="L1061" s="2">
        <v>845.04</v>
      </c>
      <c r="M1061">
        <v>2024</v>
      </c>
      <c r="N1061">
        <v>11</v>
      </c>
      <c r="O1061" t="s">
        <v>114</v>
      </c>
      <c r="P1061" s="2">
        <v>1097.46</v>
      </c>
      <c r="Q1061" s="2">
        <v>252.42</v>
      </c>
      <c r="R1061" t="s">
        <v>77</v>
      </c>
      <c r="S1061">
        <v>0</v>
      </c>
      <c r="T1061">
        <v>0</v>
      </c>
      <c r="U1061">
        <f>IF(AND(OR(Dashboard!$D$4="Semua",D1061=Dashboard!$D$4),OR(Dashboard!$H$4="Semua",E1061=Dashboard!$H$4)),1,0)</f>
        <v>1</v>
      </c>
      <c r="V1061">
        <f>IF(U1061=1,IF(COUNTIFS($C$2:C1061,C1061,$U$2:U1061,1)=1,1,0),0)</f>
        <v>1</v>
      </c>
    </row>
    <row r="1062" spans="1:22" x14ac:dyDescent="0.35">
      <c r="A1062">
        <v>11061</v>
      </c>
      <c r="B1062" s="1">
        <v>45622</v>
      </c>
      <c r="C1062">
        <v>1347</v>
      </c>
      <c r="D1062" t="s">
        <v>67</v>
      </c>
      <c r="E1062" t="s">
        <v>78</v>
      </c>
      <c r="F1062">
        <v>7</v>
      </c>
      <c r="G1062" s="2">
        <v>209.32</v>
      </c>
      <c r="H1062">
        <v>0.25</v>
      </c>
      <c r="I1062" t="s">
        <v>64</v>
      </c>
      <c r="J1062">
        <v>10</v>
      </c>
      <c r="K1062">
        <v>1.1000000000000001</v>
      </c>
      <c r="L1062" s="2">
        <v>1098.93</v>
      </c>
      <c r="M1062">
        <v>2024</v>
      </c>
      <c r="N1062">
        <v>11</v>
      </c>
      <c r="O1062" t="s">
        <v>114</v>
      </c>
      <c r="P1062" s="2">
        <v>1465.24</v>
      </c>
      <c r="Q1062" s="2">
        <v>366.31</v>
      </c>
      <c r="R1062" t="s">
        <v>77</v>
      </c>
      <c r="S1062">
        <v>0</v>
      </c>
      <c r="T1062">
        <v>0</v>
      </c>
      <c r="U1062">
        <f>IF(AND(OR(Dashboard!$D$4="Semua",D1062=Dashboard!$D$4),OR(Dashboard!$H$4="Semua",E1062=Dashboard!$H$4)),1,0)</f>
        <v>1</v>
      </c>
      <c r="V1062">
        <f>IF(U1062=1,IF(COUNTIFS($C$2:C1062,C1062,$U$2:U1062,1)=1,1,0),0)</f>
        <v>0</v>
      </c>
    </row>
    <row r="1063" spans="1:22" x14ac:dyDescent="0.35">
      <c r="A1063">
        <v>11062</v>
      </c>
      <c r="B1063" s="1">
        <v>45623</v>
      </c>
      <c r="C1063">
        <v>1094</v>
      </c>
      <c r="D1063" t="s">
        <v>80</v>
      </c>
      <c r="E1063" t="s">
        <v>74</v>
      </c>
      <c r="F1063">
        <v>4</v>
      </c>
      <c r="G1063" s="2">
        <v>20.39</v>
      </c>
      <c r="H1063">
        <v>0.1</v>
      </c>
      <c r="I1063" t="s">
        <v>71</v>
      </c>
      <c r="J1063">
        <v>6</v>
      </c>
      <c r="K1063">
        <v>2.1</v>
      </c>
      <c r="L1063" s="2">
        <v>73.400000000000006</v>
      </c>
      <c r="M1063">
        <v>2024</v>
      </c>
      <c r="N1063">
        <v>11</v>
      </c>
      <c r="O1063" t="s">
        <v>114</v>
      </c>
      <c r="P1063" s="2">
        <v>81.56</v>
      </c>
      <c r="Q1063" s="2">
        <v>8.16</v>
      </c>
      <c r="R1063" t="s">
        <v>69</v>
      </c>
      <c r="S1063">
        <v>0</v>
      </c>
      <c r="T1063">
        <v>0</v>
      </c>
      <c r="U1063">
        <f>IF(AND(OR(Dashboard!$D$4="Semua",D1063=Dashboard!$D$4),OR(Dashboard!$H$4="Semua",E1063=Dashboard!$H$4)),1,0)</f>
        <v>1</v>
      </c>
      <c r="V1063">
        <f>IF(U1063=1,IF(COUNTIFS($C$2:C1063,C1063,$U$2:U1063,1)=1,1,0),0)</f>
        <v>1</v>
      </c>
    </row>
    <row r="1064" spans="1:22" x14ac:dyDescent="0.35">
      <c r="A1064">
        <v>11063</v>
      </c>
      <c r="B1064" s="1">
        <v>45624</v>
      </c>
      <c r="C1064">
        <v>1071</v>
      </c>
      <c r="D1064" t="s">
        <v>73</v>
      </c>
      <c r="E1064" t="s">
        <v>70</v>
      </c>
      <c r="F1064">
        <v>3</v>
      </c>
      <c r="G1064" s="2">
        <v>132.13</v>
      </c>
      <c r="H1064">
        <v>0</v>
      </c>
      <c r="I1064" t="s">
        <v>64</v>
      </c>
      <c r="J1064">
        <v>8</v>
      </c>
      <c r="K1064">
        <v>3.4</v>
      </c>
      <c r="L1064" s="2">
        <v>396.39</v>
      </c>
      <c r="M1064">
        <v>2024</v>
      </c>
      <c r="N1064">
        <v>11</v>
      </c>
      <c r="O1064" t="s">
        <v>114</v>
      </c>
      <c r="P1064" s="2">
        <v>396.39</v>
      </c>
      <c r="Q1064" s="2">
        <v>0</v>
      </c>
      <c r="R1064" t="s">
        <v>75</v>
      </c>
      <c r="S1064">
        <v>0</v>
      </c>
      <c r="T1064">
        <v>0</v>
      </c>
      <c r="U1064">
        <f>IF(AND(OR(Dashboard!$D$4="Semua",D1064=Dashboard!$D$4),OR(Dashboard!$H$4="Semua",E1064=Dashboard!$H$4)),1,0)</f>
        <v>1</v>
      </c>
      <c r="V1064">
        <f>IF(U1064=1,IF(COUNTIFS($C$2:C1064,C1064,$U$2:U1064,1)=1,1,0),0)</f>
        <v>0</v>
      </c>
    </row>
    <row r="1065" spans="1:22" x14ac:dyDescent="0.35">
      <c r="A1065">
        <v>11064</v>
      </c>
      <c r="B1065" s="1">
        <v>45625</v>
      </c>
      <c r="C1065">
        <v>1550</v>
      </c>
      <c r="D1065" t="s">
        <v>67</v>
      </c>
      <c r="E1065" t="s">
        <v>63</v>
      </c>
      <c r="F1065">
        <v>7</v>
      </c>
      <c r="G1065" s="2">
        <v>81.23</v>
      </c>
      <c r="H1065">
        <v>0.3</v>
      </c>
      <c r="I1065" t="s">
        <v>68</v>
      </c>
      <c r="J1065">
        <v>2</v>
      </c>
      <c r="K1065">
        <v>2.2999999999999998</v>
      </c>
      <c r="L1065" s="2">
        <v>398.03</v>
      </c>
      <c r="M1065">
        <v>2024</v>
      </c>
      <c r="N1065">
        <v>11</v>
      </c>
      <c r="O1065" t="s">
        <v>114</v>
      </c>
      <c r="P1065" s="2">
        <v>568.61</v>
      </c>
      <c r="Q1065" s="2">
        <v>170.58</v>
      </c>
      <c r="R1065" t="s">
        <v>66</v>
      </c>
      <c r="S1065">
        <v>0</v>
      </c>
      <c r="T1065">
        <v>0</v>
      </c>
      <c r="U1065">
        <f>IF(AND(OR(Dashboard!$D$4="Semua",D1065=Dashboard!$D$4),OR(Dashboard!$H$4="Semua",E1065=Dashboard!$H$4)),1,0)</f>
        <v>1</v>
      </c>
      <c r="V1065">
        <f>IF(U1065=1,IF(COUNTIFS($C$2:C1065,C1065,$U$2:U1065,1)=1,1,0),0)</f>
        <v>0</v>
      </c>
    </row>
    <row r="1066" spans="1:22" x14ac:dyDescent="0.35">
      <c r="A1066">
        <v>11065</v>
      </c>
      <c r="B1066" s="1">
        <v>45626</v>
      </c>
      <c r="C1066">
        <v>1153</v>
      </c>
      <c r="D1066" t="s">
        <v>67</v>
      </c>
      <c r="E1066" t="s">
        <v>63</v>
      </c>
      <c r="F1066">
        <v>4</v>
      </c>
      <c r="G1066" s="2">
        <v>507.99</v>
      </c>
      <c r="H1066">
        <v>0.28999999999999998</v>
      </c>
      <c r="I1066" t="s">
        <v>68</v>
      </c>
      <c r="J1066">
        <v>3</v>
      </c>
      <c r="K1066">
        <v>4.5</v>
      </c>
      <c r="L1066" s="2">
        <v>1442.69</v>
      </c>
      <c r="M1066">
        <v>2024</v>
      </c>
      <c r="N1066">
        <v>11</v>
      </c>
      <c r="O1066" t="s">
        <v>114</v>
      </c>
      <c r="P1066" s="2">
        <v>2031.96</v>
      </c>
      <c r="Q1066" s="2">
        <v>589.27</v>
      </c>
      <c r="R1066" t="s">
        <v>66</v>
      </c>
      <c r="S1066">
        <v>0</v>
      </c>
      <c r="T1066">
        <v>0</v>
      </c>
      <c r="U1066">
        <f>IF(AND(OR(Dashboard!$D$4="Semua",D1066=Dashboard!$D$4),OR(Dashboard!$H$4="Semua",E1066=Dashboard!$H$4)),1,0)</f>
        <v>1</v>
      </c>
      <c r="V1066">
        <f>IF(U1066=1,IF(COUNTIFS($C$2:C1066,C1066,$U$2:U1066,1)=1,1,0),0)</f>
        <v>0</v>
      </c>
    </row>
    <row r="1067" spans="1:22" x14ac:dyDescent="0.35">
      <c r="A1067">
        <v>11066</v>
      </c>
      <c r="B1067" s="1">
        <v>45627</v>
      </c>
      <c r="C1067">
        <v>1249</v>
      </c>
      <c r="D1067" t="s">
        <v>73</v>
      </c>
      <c r="E1067" t="s">
        <v>74</v>
      </c>
      <c r="F1067">
        <v>4</v>
      </c>
      <c r="G1067" s="2">
        <v>166.23</v>
      </c>
      <c r="H1067">
        <v>0.04</v>
      </c>
      <c r="I1067" t="s">
        <v>71</v>
      </c>
      <c r="J1067">
        <v>8</v>
      </c>
      <c r="K1067">
        <v>4.7</v>
      </c>
      <c r="L1067" s="2">
        <v>638.32000000000005</v>
      </c>
      <c r="M1067">
        <v>2024</v>
      </c>
      <c r="N1067">
        <v>12</v>
      </c>
      <c r="O1067" t="s">
        <v>115</v>
      </c>
      <c r="P1067" s="2">
        <v>664.92</v>
      </c>
      <c r="Q1067" s="2">
        <v>26.6</v>
      </c>
      <c r="R1067" t="s">
        <v>75</v>
      </c>
      <c r="S1067">
        <v>0</v>
      </c>
      <c r="T1067">
        <v>0</v>
      </c>
      <c r="U1067">
        <f>IF(AND(OR(Dashboard!$D$4="Semua",D1067=Dashboard!$D$4),OR(Dashboard!$H$4="Semua",E1067=Dashboard!$H$4)),1,0)</f>
        <v>1</v>
      </c>
      <c r="V1067">
        <f>IF(U1067=1,IF(COUNTIFS($C$2:C1067,C1067,$U$2:U1067,1)=1,1,0),0)</f>
        <v>1</v>
      </c>
    </row>
    <row r="1068" spans="1:22" x14ac:dyDescent="0.35">
      <c r="A1068">
        <v>11067</v>
      </c>
      <c r="B1068" s="1">
        <v>45628</v>
      </c>
      <c r="C1068">
        <v>1673</v>
      </c>
      <c r="D1068" t="s">
        <v>67</v>
      </c>
      <c r="E1068" t="s">
        <v>63</v>
      </c>
      <c r="F1068">
        <v>7</v>
      </c>
      <c r="G1068" s="2">
        <v>181.55</v>
      </c>
      <c r="H1068">
        <v>0.13</v>
      </c>
      <c r="I1068" t="s">
        <v>71</v>
      </c>
      <c r="J1068">
        <v>4</v>
      </c>
      <c r="K1068">
        <v>2.8</v>
      </c>
      <c r="L1068" s="2">
        <v>1105.6400000000001</v>
      </c>
      <c r="M1068">
        <v>2024</v>
      </c>
      <c r="N1068">
        <v>12</v>
      </c>
      <c r="O1068" t="s">
        <v>115</v>
      </c>
      <c r="P1068" s="2">
        <v>1270.8499999999999</v>
      </c>
      <c r="Q1068" s="2">
        <v>165.21</v>
      </c>
      <c r="R1068" t="s">
        <v>79</v>
      </c>
      <c r="S1068">
        <v>0</v>
      </c>
      <c r="T1068">
        <v>0</v>
      </c>
      <c r="U1068">
        <f>IF(AND(OR(Dashboard!$D$4="Semua",D1068=Dashboard!$D$4),OR(Dashboard!$H$4="Semua",E1068=Dashboard!$H$4)),1,0)</f>
        <v>1</v>
      </c>
      <c r="V1068">
        <f>IF(U1068=1,IF(COUNTIFS($C$2:C1068,C1068,$U$2:U1068,1)=1,1,0),0)</f>
        <v>1</v>
      </c>
    </row>
    <row r="1069" spans="1:22" x14ac:dyDescent="0.35">
      <c r="A1069">
        <v>11068</v>
      </c>
      <c r="B1069" s="1">
        <v>45629</v>
      </c>
      <c r="C1069">
        <v>1437</v>
      </c>
      <c r="D1069" t="s">
        <v>62</v>
      </c>
      <c r="E1069" t="s">
        <v>78</v>
      </c>
      <c r="F1069">
        <v>7</v>
      </c>
      <c r="G1069" s="2">
        <v>576.55999999999995</v>
      </c>
      <c r="H1069">
        <v>0.23</v>
      </c>
      <c r="I1069" t="s">
        <v>68</v>
      </c>
      <c r="J1069">
        <v>4</v>
      </c>
      <c r="K1069">
        <v>3.1</v>
      </c>
      <c r="L1069" s="2">
        <v>3107.66</v>
      </c>
      <c r="M1069">
        <v>2024</v>
      </c>
      <c r="N1069">
        <v>12</v>
      </c>
      <c r="O1069" t="s">
        <v>115</v>
      </c>
      <c r="P1069" s="2">
        <v>4035.92</v>
      </c>
      <c r="Q1069" s="2">
        <v>928.26</v>
      </c>
      <c r="R1069" t="s">
        <v>77</v>
      </c>
      <c r="S1069">
        <v>0</v>
      </c>
      <c r="T1069">
        <v>0</v>
      </c>
      <c r="U1069">
        <f>IF(AND(OR(Dashboard!$D$4="Semua",D1069=Dashboard!$D$4),OR(Dashboard!$H$4="Semua",E1069=Dashboard!$H$4)),1,0)</f>
        <v>1</v>
      </c>
      <c r="V1069">
        <f>IF(U1069=1,IF(COUNTIFS($C$2:C1069,C1069,$U$2:U1069,1)=1,1,0),0)</f>
        <v>0</v>
      </c>
    </row>
    <row r="1070" spans="1:22" x14ac:dyDescent="0.35">
      <c r="A1070">
        <v>11069</v>
      </c>
      <c r="B1070" s="1">
        <v>45630</v>
      </c>
      <c r="C1070">
        <v>1117</v>
      </c>
      <c r="D1070" t="s">
        <v>73</v>
      </c>
      <c r="E1070" t="s">
        <v>74</v>
      </c>
      <c r="F1070">
        <v>6</v>
      </c>
      <c r="G1070" s="2">
        <v>236.77</v>
      </c>
      <c r="H1070">
        <v>0.23</v>
      </c>
      <c r="I1070" t="s">
        <v>68</v>
      </c>
      <c r="J1070">
        <v>2</v>
      </c>
      <c r="K1070">
        <v>3.5</v>
      </c>
      <c r="L1070" s="2">
        <v>1093.8800000000001</v>
      </c>
      <c r="M1070">
        <v>2024</v>
      </c>
      <c r="N1070">
        <v>12</v>
      </c>
      <c r="O1070" t="s">
        <v>115</v>
      </c>
      <c r="P1070" s="2">
        <v>1420.62</v>
      </c>
      <c r="Q1070" s="2">
        <v>326.74</v>
      </c>
      <c r="R1070" t="s">
        <v>77</v>
      </c>
      <c r="S1070">
        <v>0</v>
      </c>
      <c r="T1070">
        <v>0</v>
      </c>
      <c r="U1070">
        <f>IF(AND(OR(Dashboard!$D$4="Semua",D1070=Dashboard!$D$4),OR(Dashboard!$H$4="Semua",E1070=Dashboard!$H$4)),1,0)</f>
        <v>1</v>
      </c>
      <c r="V1070">
        <f>IF(U1070=1,IF(COUNTIFS($C$2:C1070,C1070,$U$2:U1070,1)=1,1,0),0)</f>
        <v>0</v>
      </c>
    </row>
    <row r="1071" spans="1:22" x14ac:dyDescent="0.35">
      <c r="A1071">
        <v>11070</v>
      </c>
      <c r="B1071" s="1">
        <v>45631</v>
      </c>
      <c r="C1071">
        <v>1770</v>
      </c>
      <c r="D1071" t="s">
        <v>73</v>
      </c>
      <c r="E1071" t="s">
        <v>70</v>
      </c>
      <c r="F1071">
        <v>1</v>
      </c>
      <c r="G1071" s="2">
        <v>20.61</v>
      </c>
      <c r="H1071">
        <v>0.3</v>
      </c>
      <c r="I1071" t="s">
        <v>68</v>
      </c>
      <c r="J1071">
        <v>11</v>
      </c>
      <c r="K1071">
        <v>3.7</v>
      </c>
      <c r="L1071" s="2">
        <v>14.43</v>
      </c>
      <c r="M1071">
        <v>2024</v>
      </c>
      <c r="N1071">
        <v>12</v>
      </c>
      <c r="O1071" t="s">
        <v>115</v>
      </c>
      <c r="P1071" s="2">
        <v>20.61</v>
      </c>
      <c r="Q1071" s="2">
        <v>6.18</v>
      </c>
      <c r="R1071" t="s">
        <v>66</v>
      </c>
      <c r="S1071">
        <v>0</v>
      </c>
      <c r="T1071">
        <v>0</v>
      </c>
      <c r="U1071">
        <f>IF(AND(OR(Dashboard!$D$4="Semua",D1071=Dashboard!$D$4),OR(Dashboard!$H$4="Semua",E1071=Dashboard!$H$4)),1,0)</f>
        <v>1</v>
      </c>
      <c r="V1071">
        <f>IF(U1071=1,IF(COUNTIFS($C$2:C1071,C1071,$U$2:U1071,1)=1,1,0),0)</f>
        <v>0</v>
      </c>
    </row>
    <row r="1072" spans="1:22" x14ac:dyDescent="0.35">
      <c r="A1072">
        <v>11071</v>
      </c>
      <c r="B1072" s="1">
        <v>45632</v>
      </c>
      <c r="C1072">
        <v>1890</v>
      </c>
      <c r="D1072" t="s">
        <v>73</v>
      </c>
      <c r="E1072" t="s">
        <v>74</v>
      </c>
      <c r="F1072">
        <v>1</v>
      </c>
      <c r="G1072" s="2">
        <v>181.05</v>
      </c>
      <c r="H1072">
        <v>0.05</v>
      </c>
      <c r="I1072" t="s">
        <v>71</v>
      </c>
      <c r="J1072">
        <v>10</v>
      </c>
      <c r="K1072">
        <v>1.3</v>
      </c>
      <c r="L1072" s="2">
        <v>172</v>
      </c>
      <c r="M1072">
        <v>2024</v>
      </c>
      <c r="N1072">
        <v>12</v>
      </c>
      <c r="O1072" t="s">
        <v>115</v>
      </c>
      <c r="P1072" s="2">
        <v>181.05</v>
      </c>
      <c r="Q1072" s="2">
        <v>9.0500000000000007</v>
      </c>
      <c r="R1072" t="s">
        <v>75</v>
      </c>
      <c r="S1072">
        <v>0</v>
      </c>
      <c r="T1072">
        <v>0</v>
      </c>
      <c r="U1072">
        <f>IF(AND(OR(Dashboard!$D$4="Semua",D1072=Dashboard!$D$4),OR(Dashboard!$H$4="Semua",E1072=Dashboard!$H$4)),1,0)</f>
        <v>1</v>
      </c>
      <c r="V1072">
        <f>IF(U1072=1,IF(COUNTIFS($C$2:C1072,C1072,$U$2:U1072,1)=1,1,0),0)</f>
        <v>0</v>
      </c>
    </row>
    <row r="1073" spans="1:22" x14ac:dyDescent="0.35">
      <c r="A1073">
        <v>11072</v>
      </c>
      <c r="B1073" s="1">
        <v>45633</v>
      </c>
      <c r="C1073">
        <v>1305</v>
      </c>
      <c r="D1073" t="s">
        <v>73</v>
      </c>
      <c r="E1073" t="s">
        <v>74</v>
      </c>
      <c r="F1073">
        <v>3</v>
      </c>
      <c r="G1073" s="2">
        <v>84.79</v>
      </c>
      <c r="H1073">
        <v>0.15</v>
      </c>
      <c r="I1073" t="s">
        <v>68</v>
      </c>
      <c r="J1073">
        <v>1</v>
      </c>
      <c r="K1073">
        <v>1.2</v>
      </c>
      <c r="L1073" s="2">
        <v>216.21</v>
      </c>
      <c r="M1073">
        <v>2024</v>
      </c>
      <c r="N1073">
        <v>12</v>
      </c>
      <c r="O1073" t="s">
        <v>115</v>
      </c>
      <c r="P1073" s="2">
        <v>254.37</v>
      </c>
      <c r="Q1073" s="2">
        <v>38.159999999999997</v>
      </c>
      <c r="R1073" t="s">
        <v>79</v>
      </c>
      <c r="S1073">
        <v>0</v>
      </c>
      <c r="T1073">
        <v>0</v>
      </c>
      <c r="U1073">
        <f>IF(AND(OR(Dashboard!$D$4="Semua",D1073=Dashboard!$D$4),OR(Dashboard!$H$4="Semua",E1073=Dashboard!$H$4)),1,0)</f>
        <v>1</v>
      </c>
      <c r="V1073">
        <f>IF(U1073=1,IF(COUNTIFS($C$2:C1073,C1073,$U$2:U1073,1)=1,1,0),0)</f>
        <v>1</v>
      </c>
    </row>
    <row r="1074" spans="1:22" x14ac:dyDescent="0.35">
      <c r="A1074">
        <v>11073</v>
      </c>
      <c r="B1074" s="1">
        <v>45634</v>
      </c>
      <c r="C1074">
        <v>1267</v>
      </c>
      <c r="D1074" t="s">
        <v>62</v>
      </c>
      <c r="E1074" t="s">
        <v>70</v>
      </c>
      <c r="F1074">
        <v>5</v>
      </c>
      <c r="G1074" s="2">
        <v>75.14</v>
      </c>
      <c r="H1074">
        <v>0.03</v>
      </c>
      <c r="I1074" t="s">
        <v>68</v>
      </c>
      <c r="J1074">
        <v>7</v>
      </c>
      <c r="K1074">
        <v>4.5</v>
      </c>
      <c r="L1074" s="2">
        <v>364.43</v>
      </c>
      <c r="M1074">
        <v>2024</v>
      </c>
      <c r="N1074">
        <v>12</v>
      </c>
      <c r="O1074" t="s">
        <v>115</v>
      </c>
      <c r="P1074" s="2">
        <v>375.7</v>
      </c>
      <c r="Q1074" s="2">
        <v>11.27</v>
      </c>
      <c r="R1074" t="s">
        <v>75</v>
      </c>
      <c r="S1074">
        <v>0</v>
      </c>
      <c r="T1074">
        <v>0</v>
      </c>
      <c r="U1074">
        <f>IF(AND(OR(Dashboard!$D$4="Semua",D1074=Dashboard!$D$4),OR(Dashboard!$H$4="Semua",E1074=Dashboard!$H$4)),1,0)</f>
        <v>1</v>
      </c>
      <c r="V1074">
        <f>IF(U1074=1,IF(COUNTIFS($C$2:C1074,C1074,$U$2:U1074,1)=1,1,0),0)</f>
        <v>0</v>
      </c>
    </row>
    <row r="1075" spans="1:22" x14ac:dyDescent="0.35">
      <c r="A1075">
        <v>11074</v>
      </c>
      <c r="B1075" s="1">
        <v>45635</v>
      </c>
      <c r="C1075">
        <v>1960</v>
      </c>
      <c r="D1075" t="s">
        <v>67</v>
      </c>
      <c r="E1075" t="s">
        <v>63</v>
      </c>
      <c r="F1075">
        <v>7</v>
      </c>
      <c r="G1075" s="2">
        <v>60.33</v>
      </c>
      <c r="H1075">
        <v>0.14000000000000001</v>
      </c>
      <c r="I1075" t="s">
        <v>68</v>
      </c>
      <c r="J1075">
        <v>4</v>
      </c>
      <c r="K1075">
        <v>1.9</v>
      </c>
      <c r="L1075" s="2">
        <v>363.19</v>
      </c>
      <c r="M1075">
        <v>2024</v>
      </c>
      <c r="N1075">
        <v>12</v>
      </c>
      <c r="O1075" t="s">
        <v>115</v>
      </c>
      <c r="P1075" s="2">
        <v>422.31</v>
      </c>
      <c r="Q1075" s="2">
        <v>59.12</v>
      </c>
      <c r="R1075" t="s">
        <v>79</v>
      </c>
      <c r="S1075">
        <v>0</v>
      </c>
      <c r="T1075">
        <v>0</v>
      </c>
      <c r="U1075">
        <f>IF(AND(OR(Dashboard!$D$4="Semua",D1075=Dashboard!$D$4),OR(Dashboard!$H$4="Semua",E1075=Dashboard!$H$4)),1,0)</f>
        <v>1</v>
      </c>
      <c r="V1075">
        <f>IF(U1075=1,IF(COUNTIFS($C$2:C1075,C1075,$U$2:U1075,1)=1,1,0),0)</f>
        <v>0</v>
      </c>
    </row>
    <row r="1076" spans="1:22" x14ac:dyDescent="0.35">
      <c r="A1076">
        <v>11075</v>
      </c>
      <c r="B1076" s="1">
        <v>45636</v>
      </c>
      <c r="C1076">
        <v>1053</v>
      </c>
      <c r="D1076" t="s">
        <v>67</v>
      </c>
      <c r="E1076" t="s">
        <v>70</v>
      </c>
      <c r="F1076">
        <v>6</v>
      </c>
      <c r="G1076" s="2">
        <v>362.06</v>
      </c>
      <c r="H1076">
        <v>0.01</v>
      </c>
      <c r="I1076" t="s">
        <v>68</v>
      </c>
      <c r="J1076">
        <v>6</v>
      </c>
      <c r="K1076">
        <v>3.3</v>
      </c>
      <c r="L1076" s="2">
        <v>2150.64</v>
      </c>
      <c r="M1076">
        <v>2024</v>
      </c>
      <c r="N1076">
        <v>12</v>
      </c>
      <c r="O1076" t="s">
        <v>115</v>
      </c>
      <c r="P1076" s="2">
        <v>2172.36</v>
      </c>
      <c r="Q1076" s="2">
        <v>21.72</v>
      </c>
      <c r="R1076" t="s">
        <v>75</v>
      </c>
      <c r="S1076">
        <v>0</v>
      </c>
      <c r="T1076">
        <v>0</v>
      </c>
      <c r="U1076">
        <f>IF(AND(OR(Dashboard!$D$4="Semua",D1076=Dashboard!$D$4),OR(Dashboard!$H$4="Semua",E1076=Dashboard!$H$4)),1,0)</f>
        <v>1</v>
      </c>
      <c r="V1076">
        <f>IF(U1076=1,IF(COUNTIFS($C$2:C1076,C1076,$U$2:U1076,1)=1,1,0),0)</f>
        <v>0</v>
      </c>
    </row>
    <row r="1077" spans="1:22" x14ac:dyDescent="0.35">
      <c r="A1077">
        <v>11076</v>
      </c>
      <c r="B1077" s="1">
        <v>45637</v>
      </c>
      <c r="C1077">
        <v>1235</v>
      </c>
      <c r="D1077" t="s">
        <v>80</v>
      </c>
      <c r="E1077" t="s">
        <v>78</v>
      </c>
      <c r="F1077">
        <v>1</v>
      </c>
      <c r="G1077" s="2">
        <v>125.77</v>
      </c>
      <c r="H1077">
        <v>0.31</v>
      </c>
      <c r="I1077" t="s">
        <v>68</v>
      </c>
      <c r="J1077">
        <v>8</v>
      </c>
      <c r="K1077">
        <v>3.5</v>
      </c>
      <c r="L1077" s="2">
        <v>86.78</v>
      </c>
      <c r="M1077">
        <v>2024</v>
      </c>
      <c r="N1077">
        <v>12</v>
      </c>
      <c r="O1077" t="s">
        <v>115</v>
      </c>
      <c r="P1077" s="2">
        <v>125.77</v>
      </c>
      <c r="Q1077" s="2">
        <v>38.99</v>
      </c>
      <c r="R1077" t="s">
        <v>72</v>
      </c>
      <c r="S1077">
        <v>0</v>
      </c>
      <c r="T1077">
        <v>0</v>
      </c>
      <c r="U1077">
        <f>IF(AND(OR(Dashboard!$D$4="Semua",D1077=Dashboard!$D$4),OR(Dashboard!$H$4="Semua",E1077=Dashboard!$H$4)),1,0)</f>
        <v>1</v>
      </c>
      <c r="V1077">
        <f>IF(U1077=1,IF(COUNTIFS($C$2:C1077,C1077,$U$2:U1077,1)=1,1,0),0)</f>
        <v>1</v>
      </c>
    </row>
    <row r="1078" spans="1:22" x14ac:dyDescent="0.35">
      <c r="A1078">
        <v>11077</v>
      </c>
      <c r="B1078" s="1">
        <v>45638</v>
      </c>
      <c r="C1078">
        <v>1388</v>
      </c>
      <c r="D1078" t="s">
        <v>73</v>
      </c>
      <c r="E1078" t="s">
        <v>63</v>
      </c>
      <c r="F1078">
        <v>1</v>
      </c>
      <c r="G1078" s="2">
        <v>226.33</v>
      </c>
      <c r="H1078">
        <v>0.18</v>
      </c>
      <c r="I1078" t="s">
        <v>64</v>
      </c>
      <c r="J1078">
        <v>11</v>
      </c>
      <c r="K1078">
        <v>1.7</v>
      </c>
      <c r="L1078" s="2">
        <v>185.59</v>
      </c>
      <c r="M1078">
        <v>2024</v>
      </c>
      <c r="N1078">
        <v>12</v>
      </c>
      <c r="O1078" t="s">
        <v>115</v>
      </c>
      <c r="P1078" s="2">
        <v>226.33</v>
      </c>
      <c r="Q1078" s="2">
        <v>40.74</v>
      </c>
      <c r="R1078" t="s">
        <v>76</v>
      </c>
      <c r="S1078">
        <v>0</v>
      </c>
      <c r="T1078">
        <v>0</v>
      </c>
      <c r="U1078">
        <f>IF(AND(OR(Dashboard!$D$4="Semua",D1078=Dashboard!$D$4),OR(Dashboard!$H$4="Semua",E1078=Dashboard!$H$4)),1,0)</f>
        <v>1</v>
      </c>
      <c r="V1078">
        <f>IF(U1078=1,IF(COUNTIFS($C$2:C1078,C1078,$U$2:U1078,1)=1,1,0),0)</f>
        <v>1</v>
      </c>
    </row>
    <row r="1079" spans="1:22" x14ac:dyDescent="0.35">
      <c r="A1079">
        <v>11078</v>
      </c>
      <c r="B1079" s="1">
        <v>45639</v>
      </c>
      <c r="C1079">
        <v>1989</v>
      </c>
      <c r="D1079" t="s">
        <v>67</v>
      </c>
      <c r="E1079" t="s">
        <v>74</v>
      </c>
      <c r="F1079">
        <v>6</v>
      </c>
      <c r="G1079" s="2">
        <v>519.28</v>
      </c>
      <c r="H1079">
        <v>0.3</v>
      </c>
      <c r="I1079" t="s">
        <v>68</v>
      </c>
      <c r="J1079">
        <v>7</v>
      </c>
      <c r="K1079">
        <v>4</v>
      </c>
      <c r="L1079" s="2">
        <v>2180.98</v>
      </c>
      <c r="M1079">
        <v>2024</v>
      </c>
      <c r="N1079">
        <v>12</v>
      </c>
      <c r="O1079" t="s">
        <v>115</v>
      </c>
      <c r="P1079" s="2">
        <v>3115.68</v>
      </c>
      <c r="Q1079" s="2">
        <v>934.7</v>
      </c>
      <c r="R1079" t="s">
        <v>66</v>
      </c>
      <c r="S1079">
        <v>0</v>
      </c>
      <c r="T1079">
        <v>0</v>
      </c>
      <c r="U1079">
        <f>IF(AND(OR(Dashboard!$D$4="Semua",D1079=Dashboard!$D$4),OR(Dashboard!$H$4="Semua",E1079=Dashboard!$H$4)),1,0)</f>
        <v>1</v>
      </c>
      <c r="V1079">
        <f>IF(U1079=1,IF(COUNTIFS($C$2:C1079,C1079,$U$2:U1079,1)=1,1,0),0)</f>
        <v>0</v>
      </c>
    </row>
    <row r="1080" spans="1:22" x14ac:dyDescent="0.35">
      <c r="A1080">
        <v>11079</v>
      </c>
      <c r="B1080" s="1">
        <v>45640</v>
      </c>
      <c r="C1080">
        <v>1733</v>
      </c>
      <c r="D1080" t="s">
        <v>67</v>
      </c>
      <c r="E1080" t="s">
        <v>63</v>
      </c>
      <c r="F1080">
        <v>2</v>
      </c>
      <c r="G1080" s="2">
        <v>263.24</v>
      </c>
      <c r="H1080">
        <v>0.02</v>
      </c>
      <c r="I1080" t="s">
        <v>64</v>
      </c>
      <c r="J1080">
        <v>7</v>
      </c>
      <c r="K1080">
        <v>4.5</v>
      </c>
      <c r="L1080" s="2">
        <v>515.95000000000005</v>
      </c>
      <c r="M1080">
        <v>2024</v>
      </c>
      <c r="N1080">
        <v>12</v>
      </c>
      <c r="O1080" t="s">
        <v>115</v>
      </c>
      <c r="P1080" s="2">
        <v>526.48</v>
      </c>
      <c r="Q1080" s="2">
        <v>10.53</v>
      </c>
      <c r="R1080" t="s">
        <v>75</v>
      </c>
      <c r="S1080">
        <v>0</v>
      </c>
      <c r="T1080">
        <v>0</v>
      </c>
      <c r="U1080">
        <f>IF(AND(OR(Dashboard!$D$4="Semua",D1080=Dashboard!$D$4),OR(Dashboard!$H$4="Semua",E1080=Dashboard!$H$4)),1,0)</f>
        <v>1</v>
      </c>
      <c r="V1080">
        <f>IF(U1080=1,IF(COUNTIFS($C$2:C1080,C1080,$U$2:U1080,1)=1,1,0),0)</f>
        <v>0</v>
      </c>
    </row>
    <row r="1081" spans="1:22" x14ac:dyDescent="0.35">
      <c r="A1081">
        <v>11080</v>
      </c>
      <c r="B1081" s="1">
        <v>45641</v>
      </c>
      <c r="C1081">
        <v>1762</v>
      </c>
      <c r="D1081" t="s">
        <v>67</v>
      </c>
      <c r="E1081" t="s">
        <v>63</v>
      </c>
      <c r="F1081">
        <v>6</v>
      </c>
      <c r="G1081" s="2">
        <v>550.67999999999995</v>
      </c>
      <c r="H1081">
        <v>0.08</v>
      </c>
      <c r="I1081" t="s">
        <v>68</v>
      </c>
      <c r="J1081">
        <v>6</v>
      </c>
      <c r="K1081">
        <v>2.1</v>
      </c>
      <c r="L1081" s="2">
        <v>3039.75</v>
      </c>
      <c r="M1081">
        <v>2024</v>
      </c>
      <c r="N1081">
        <v>12</v>
      </c>
      <c r="O1081" t="s">
        <v>115</v>
      </c>
      <c r="P1081" s="2">
        <v>3304.08</v>
      </c>
      <c r="Q1081" s="2">
        <v>264.33</v>
      </c>
      <c r="R1081" t="s">
        <v>69</v>
      </c>
      <c r="S1081">
        <v>0</v>
      </c>
      <c r="T1081">
        <v>0</v>
      </c>
      <c r="U1081">
        <f>IF(AND(OR(Dashboard!$D$4="Semua",D1081=Dashboard!$D$4),OR(Dashboard!$H$4="Semua",E1081=Dashboard!$H$4)),1,0)</f>
        <v>1</v>
      </c>
      <c r="V1081">
        <f>IF(U1081=1,IF(COUNTIFS($C$2:C1081,C1081,$U$2:U1081,1)=1,1,0),0)</f>
        <v>1</v>
      </c>
    </row>
    <row r="1082" spans="1:22" x14ac:dyDescent="0.35">
      <c r="A1082">
        <v>11081</v>
      </c>
      <c r="B1082" s="1">
        <v>45642</v>
      </c>
      <c r="C1082">
        <v>1824</v>
      </c>
      <c r="D1082" t="s">
        <v>62</v>
      </c>
      <c r="E1082" t="s">
        <v>78</v>
      </c>
      <c r="F1082">
        <v>1</v>
      </c>
      <c r="G1082" s="2">
        <v>306.29000000000002</v>
      </c>
      <c r="H1082">
        <v>0.09</v>
      </c>
      <c r="I1082" t="s">
        <v>68</v>
      </c>
      <c r="J1082">
        <v>11</v>
      </c>
      <c r="K1082">
        <v>4.5</v>
      </c>
      <c r="L1082" s="2">
        <v>278.72000000000003</v>
      </c>
      <c r="M1082">
        <v>2024</v>
      </c>
      <c r="N1082">
        <v>12</v>
      </c>
      <c r="O1082" t="s">
        <v>115</v>
      </c>
      <c r="P1082" s="2">
        <v>306.29000000000002</v>
      </c>
      <c r="Q1082" s="2">
        <v>27.57</v>
      </c>
      <c r="R1082" t="s">
        <v>69</v>
      </c>
      <c r="S1082">
        <v>0</v>
      </c>
      <c r="T1082">
        <v>0</v>
      </c>
      <c r="U1082">
        <f>IF(AND(OR(Dashboard!$D$4="Semua",D1082=Dashboard!$D$4),OR(Dashboard!$H$4="Semua",E1082=Dashboard!$H$4)),1,0)</f>
        <v>1</v>
      </c>
      <c r="V1082">
        <f>IF(U1082=1,IF(COUNTIFS($C$2:C1082,C1082,$U$2:U1082,1)=1,1,0),0)</f>
        <v>0</v>
      </c>
    </row>
    <row r="1083" spans="1:22" x14ac:dyDescent="0.35">
      <c r="A1083">
        <v>11082</v>
      </c>
      <c r="B1083" s="1">
        <v>45643</v>
      </c>
      <c r="C1083">
        <v>1400</v>
      </c>
      <c r="D1083" t="s">
        <v>80</v>
      </c>
      <c r="E1083" t="s">
        <v>63</v>
      </c>
      <c r="F1083">
        <v>5</v>
      </c>
      <c r="G1083" s="2">
        <v>248.32</v>
      </c>
      <c r="H1083">
        <v>0.14000000000000001</v>
      </c>
      <c r="I1083" t="s">
        <v>68</v>
      </c>
      <c r="J1083">
        <v>4</v>
      </c>
      <c r="K1083">
        <v>1.3</v>
      </c>
      <c r="L1083" s="2">
        <v>1067.78</v>
      </c>
      <c r="M1083">
        <v>2024</v>
      </c>
      <c r="N1083">
        <v>12</v>
      </c>
      <c r="O1083" t="s">
        <v>115</v>
      </c>
      <c r="P1083" s="2">
        <v>1241.5999999999999</v>
      </c>
      <c r="Q1083" s="2">
        <v>173.82</v>
      </c>
      <c r="R1083" t="s">
        <v>79</v>
      </c>
      <c r="S1083">
        <v>0</v>
      </c>
      <c r="T1083">
        <v>0</v>
      </c>
      <c r="U1083">
        <f>IF(AND(OR(Dashboard!$D$4="Semua",D1083=Dashboard!$D$4),OR(Dashboard!$H$4="Semua",E1083=Dashboard!$H$4)),1,0)</f>
        <v>1</v>
      </c>
      <c r="V1083">
        <f>IF(U1083=1,IF(COUNTIFS($C$2:C1083,C1083,$U$2:U1083,1)=1,1,0),0)</f>
        <v>0</v>
      </c>
    </row>
    <row r="1084" spans="1:22" x14ac:dyDescent="0.35">
      <c r="A1084">
        <v>11083</v>
      </c>
      <c r="B1084" s="1">
        <v>45644</v>
      </c>
      <c r="C1084">
        <v>1623</v>
      </c>
      <c r="D1084" t="s">
        <v>67</v>
      </c>
      <c r="E1084" t="s">
        <v>63</v>
      </c>
      <c r="F1084">
        <v>2</v>
      </c>
      <c r="G1084" s="2">
        <v>453.98</v>
      </c>
      <c r="H1084">
        <v>0.28000000000000003</v>
      </c>
      <c r="I1084" t="s">
        <v>71</v>
      </c>
      <c r="J1084">
        <v>4</v>
      </c>
      <c r="K1084">
        <v>4.2</v>
      </c>
      <c r="L1084" s="2">
        <v>653.73</v>
      </c>
      <c r="M1084">
        <v>2024</v>
      </c>
      <c r="N1084">
        <v>12</v>
      </c>
      <c r="O1084" t="s">
        <v>115</v>
      </c>
      <c r="P1084" s="2">
        <v>907.96</v>
      </c>
      <c r="Q1084" s="2">
        <v>254.23</v>
      </c>
      <c r="R1084" t="s">
        <v>66</v>
      </c>
      <c r="S1084">
        <v>0</v>
      </c>
      <c r="T1084">
        <v>0</v>
      </c>
      <c r="U1084">
        <f>IF(AND(OR(Dashboard!$D$4="Semua",D1084=Dashboard!$D$4),OR(Dashboard!$H$4="Semua",E1084=Dashboard!$H$4)),1,0)</f>
        <v>1</v>
      </c>
      <c r="V1084">
        <f>IF(U1084=1,IF(COUNTIFS($C$2:C1084,C1084,$U$2:U1084,1)=1,1,0),0)</f>
        <v>0</v>
      </c>
    </row>
    <row r="1085" spans="1:22" x14ac:dyDescent="0.35">
      <c r="A1085">
        <v>11084</v>
      </c>
      <c r="B1085" s="1">
        <v>45645</v>
      </c>
      <c r="C1085">
        <v>1766</v>
      </c>
      <c r="D1085" t="s">
        <v>80</v>
      </c>
      <c r="E1085" t="s">
        <v>63</v>
      </c>
      <c r="F1085">
        <v>4</v>
      </c>
      <c r="G1085" s="2">
        <v>57.81</v>
      </c>
      <c r="H1085">
        <v>0.14000000000000001</v>
      </c>
      <c r="I1085" t="s">
        <v>71</v>
      </c>
      <c r="J1085">
        <v>9</v>
      </c>
      <c r="K1085">
        <v>3.6</v>
      </c>
      <c r="L1085" s="2">
        <v>198.87</v>
      </c>
      <c r="M1085">
        <v>2024</v>
      </c>
      <c r="N1085">
        <v>12</v>
      </c>
      <c r="O1085" t="s">
        <v>115</v>
      </c>
      <c r="P1085" s="2">
        <v>231.24</v>
      </c>
      <c r="Q1085" s="2">
        <v>32.369999999999997</v>
      </c>
      <c r="R1085" t="s">
        <v>79</v>
      </c>
      <c r="S1085">
        <v>0</v>
      </c>
      <c r="T1085">
        <v>0</v>
      </c>
      <c r="U1085">
        <f>IF(AND(OR(Dashboard!$D$4="Semua",D1085=Dashboard!$D$4),OR(Dashboard!$H$4="Semua",E1085=Dashboard!$H$4)),1,0)</f>
        <v>1</v>
      </c>
      <c r="V1085">
        <f>IF(U1085=1,IF(COUNTIFS($C$2:C1085,C1085,$U$2:U1085,1)=1,1,0),0)</f>
        <v>0</v>
      </c>
    </row>
    <row r="1086" spans="1:22" x14ac:dyDescent="0.35">
      <c r="A1086">
        <v>11085</v>
      </c>
      <c r="B1086" s="1">
        <v>45646</v>
      </c>
      <c r="C1086">
        <v>1302</v>
      </c>
      <c r="D1086" t="s">
        <v>73</v>
      </c>
      <c r="E1086" t="s">
        <v>74</v>
      </c>
      <c r="F1086">
        <v>6</v>
      </c>
      <c r="G1086" s="2">
        <v>67.34</v>
      </c>
      <c r="H1086">
        <v>7.0000000000000007E-2</v>
      </c>
      <c r="I1086" t="s">
        <v>71</v>
      </c>
      <c r="J1086">
        <v>11</v>
      </c>
      <c r="K1086">
        <v>3.3</v>
      </c>
      <c r="L1086" s="2">
        <v>375.76</v>
      </c>
      <c r="M1086">
        <v>2024</v>
      </c>
      <c r="N1086">
        <v>12</v>
      </c>
      <c r="O1086" t="s">
        <v>115</v>
      </c>
      <c r="P1086" s="2">
        <v>404.04</v>
      </c>
      <c r="Q1086" s="2">
        <v>28.28</v>
      </c>
      <c r="R1086" t="s">
        <v>69</v>
      </c>
      <c r="S1086">
        <v>0</v>
      </c>
      <c r="T1086">
        <v>0</v>
      </c>
      <c r="U1086">
        <f>IF(AND(OR(Dashboard!$D$4="Semua",D1086=Dashboard!$D$4),OR(Dashboard!$H$4="Semua",E1086=Dashboard!$H$4)),1,0)</f>
        <v>1</v>
      </c>
      <c r="V1086">
        <f>IF(U1086=1,IF(COUNTIFS($C$2:C1086,C1086,$U$2:U1086,1)=1,1,0),0)</f>
        <v>1</v>
      </c>
    </row>
    <row r="1087" spans="1:22" x14ac:dyDescent="0.35">
      <c r="A1087">
        <v>11086</v>
      </c>
      <c r="B1087" s="1">
        <v>45647</v>
      </c>
      <c r="C1087">
        <v>1918</v>
      </c>
      <c r="D1087" t="s">
        <v>73</v>
      </c>
      <c r="E1087" t="s">
        <v>63</v>
      </c>
      <c r="F1087">
        <v>4</v>
      </c>
      <c r="G1087" s="2">
        <v>396.4</v>
      </c>
      <c r="H1087">
        <v>0.02</v>
      </c>
      <c r="I1087" t="s">
        <v>68</v>
      </c>
      <c r="J1087">
        <v>5</v>
      </c>
      <c r="K1087">
        <v>1.9</v>
      </c>
      <c r="L1087" s="2">
        <v>1553.89</v>
      </c>
      <c r="M1087">
        <v>2024</v>
      </c>
      <c r="N1087">
        <v>12</v>
      </c>
      <c r="O1087" t="s">
        <v>115</v>
      </c>
      <c r="P1087" s="2">
        <v>1585.6</v>
      </c>
      <c r="Q1087" s="2">
        <v>31.71</v>
      </c>
      <c r="R1087" t="s">
        <v>75</v>
      </c>
      <c r="S1087">
        <v>0</v>
      </c>
      <c r="T1087">
        <v>0</v>
      </c>
      <c r="U1087">
        <f>IF(AND(OR(Dashboard!$D$4="Semua",D1087=Dashboard!$D$4),OR(Dashboard!$H$4="Semua",E1087=Dashboard!$H$4)),1,0)</f>
        <v>1</v>
      </c>
      <c r="V1087">
        <f>IF(U1087=1,IF(COUNTIFS($C$2:C1087,C1087,$U$2:U1087,1)=1,1,0),0)</f>
        <v>1</v>
      </c>
    </row>
    <row r="1088" spans="1:22" x14ac:dyDescent="0.35">
      <c r="A1088">
        <v>11087</v>
      </c>
      <c r="B1088" s="1">
        <v>45648</v>
      </c>
      <c r="C1088">
        <v>1206</v>
      </c>
      <c r="D1088" t="s">
        <v>73</v>
      </c>
      <c r="E1088" t="s">
        <v>70</v>
      </c>
      <c r="F1088">
        <v>2</v>
      </c>
      <c r="G1088" s="2">
        <v>299.86</v>
      </c>
      <c r="H1088">
        <v>0.03</v>
      </c>
      <c r="I1088" t="s">
        <v>64</v>
      </c>
      <c r="J1088">
        <v>9</v>
      </c>
      <c r="K1088">
        <v>2.4</v>
      </c>
      <c r="L1088" s="2">
        <v>581.73</v>
      </c>
      <c r="M1088">
        <v>2024</v>
      </c>
      <c r="N1088">
        <v>12</v>
      </c>
      <c r="O1088" t="s">
        <v>115</v>
      </c>
      <c r="P1088" s="2">
        <v>599.72</v>
      </c>
      <c r="Q1088" s="2">
        <v>17.989999999999998</v>
      </c>
      <c r="R1088" t="s">
        <v>75</v>
      </c>
      <c r="S1088">
        <v>0</v>
      </c>
      <c r="T1088">
        <v>0</v>
      </c>
      <c r="U1088">
        <f>IF(AND(OR(Dashboard!$D$4="Semua",D1088=Dashboard!$D$4),OR(Dashboard!$H$4="Semua",E1088=Dashboard!$H$4)),1,0)</f>
        <v>1</v>
      </c>
      <c r="V1088">
        <f>IF(U1088=1,IF(COUNTIFS($C$2:C1088,C1088,$U$2:U1088,1)=1,1,0),0)</f>
        <v>0</v>
      </c>
    </row>
    <row r="1089" spans="1:22" x14ac:dyDescent="0.35">
      <c r="A1089">
        <v>11088</v>
      </c>
      <c r="B1089" s="1">
        <v>45649</v>
      </c>
      <c r="C1089">
        <v>1228</v>
      </c>
      <c r="D1089" t="s">
        <v>73</v>
      </c>
      <c r="E1089" t="s">
        <v>63</v>
      </c>
      <c r="F1089">
        <v>2</v>
      </c>
      <c r="G1089" s="2">
        <v>477.39</v>
      </c>
      <c r="H1089">
        <v>0.27</v>
      </c>
      <c r="I1089" t="s">
        <v>64</v>
      </c>
      <c r="J1089">
        <v>11</v>
      </c>
      <c r="K1089">
        <v>4.5999999999999996</v>
      </c>
      <c r="L1089" s="2">
        <v>696.99</v>
      </c>
      <c r="M1089">
        <v>2024</v>
      </c>
      <c r="N1089">
        <v>12</v>
      </c>
      <c r="O1089" t="s">
        <v>115</v>
      </c>
      <c r="P1089" s="2">
        <v>954.78</v>
      </c>
      <c r="Q1089" s="2">
        <v>257.79000000000002</v>
      </c>
      <c r="R1089" t="s">
        <v>66</v>
      </c>
      <c r="S1089">
        <v>0</v>
      </c>
      <c r="T1089">
        <v>0</v>
      </c>
      <c r="U1089">
        <f>IF(AND(OR(Dashboard!$D$4="Semua",D1089=Dashboard!$D$4),OR(Dashboard!$H$4="Semua",E1089=Dashboard!$H$4)),1,0)</f>
        <v>1</v>
      </c>
      <c r="V1089">
        <f>IF(U1089=1,IF(COUNTIFS($C$2:C1089,C1089,$U$2:U1089,1)=1,1,0),0)</f>
        <v>0</v>
      </c>
    </row>
    <row r="1090" spans="1:22" x14ac:dyDescent="0.35">
      <c r="A1090">
        <v>11089</v>
      </c>
      <c r="B1090" s="1">
        <v>45650</v>
      </c>
      <c r="C1090">
        <v>1852</v>
      </c>
      <c r="D1090" t="s">
        <v>67</v>
      </c>
      <c r="E1090" t="s">
        <v>78</v>
      </c>
      <c r="F1090">
        <v>2</v>
      </c>
      <c r="G1090" s="2">
        <v>551.02</v>
      </c>
      <c r="H1090">
        <v>0.16</v>
      </c>
      <c r="I1090" t="s">
        <v>68</v>
      </c>
      <c r="J1090">
        <v>9</v>
      </c>
      <c r="K1090">
        <v>2.9</v>
      </c>
      <c r="L1090" s="2">
        <v>925.71</v>
      </c>
      <c r="M1090">
        <v>2024</v>
      </c>
      <c r="N1090">
        <v>12</v>
      </c>
      <c r="O1090" t="s">
        <v>115</v>
      </c>
      <c r="P1090" s="2">
        <v>1102.04</v>
      </c>
      <c r="Q1090" s="2">
        <v>176.33</v>
      </c>
      <c r="R1090" t="s">
        <v>76</v>
      </c>
      <c r="S1090">
        <v>0</v>
      </c>
      <c r="T1090">
        <v>0</v>
      </c>
      <c r="U1090">
        <f>IF(AND(OR(Dashboard!$D$4="Semua",D1090=Dashboard!$D$4),OR(Dashboard!$H$4="Semua",E1090=Dashboard!$H$4)),1,0)</f>
        <v>1</v>
      </c>
      <c r="V1090">
        <f>IF(U1090=1,IF(COUNTIFS($C$2:C1090,C1090,$U$2:U1090,1)=1,1,0),0)</f>
        <v>0</v>
      </c>
    </row>
    <row r="1091" spans="1:22" x14ac:dyDescent="0.35">
      <c r="A1091">
        <v>11090</v>
      </c>
      <c r="B1091" s="1">
        <v>45651</v>
      </c>
      <c r="C1091">
        <v>1909</v>
      </c>
      <c r="D1091" t="s">
        <v>67</v>
      </c>
      <c r="E1091" t="s">
        <v>63</v>
      </c>
      <c r="F1091">
        <v>3</v>
      </c>
      <c r="G1091" s="2">
        <v>242.19</v>
      </c>
      <c r="H1091">
        <v>0.25</v>
      </c>
      <c r="I1091" t="s">
        <v>71</v>
      </c>
      <c r="J1091">
        <v>4</v>
      </c>
      <c r="K1091">
        <v>3.4</v>
      </c>
      <c r="L1091" s="2">
        <v>544.92999999999995</v>
      </c>
      <c r="M1091">
        <v>2024</v>
      </c>
      <c r="N1091">
        <v>12</v>
      </c>
      <c r="O1091" t="s">
        <v>115</v>
      </c>
      <c r="P1091" s="2">
        <v>726.57</v>
      </c>
      <c r="Q1091" s="2">
        <v>181.64</v>
      </c>
      <c r="R1091" t="s">
        <v>77</v>
      </c>
      <c r="S1091">
        <v>0</v>
      </c>
      <c r="T1091">
        <v>0</v>
      </c>
      <c r="U1091">
        <f>IF(AND(OR(Dashboard!$D$4="Semua",D1091=Dashboard!$D$4),OR(Dashboard!$H$4="Semua",E1091=Dashboard!$H$4)),1,0)</f>
        <v>1</v>
      </c>
      <c r="V1091">
        <f>IF(U1091=1,IF(COUNTIFS($C$2:C1091,C1091,$U$2:U1091,1)=1,1,0),0)</f>
        <v>1</v>
      </c>
    </row>
    <row r="1092" spans="1:22" x14ac:dyDescent="0.35">
      <c r="A1092">
        <v>11091</v>
      </c>
      <c r="B1092" s="1">
        <v>45652</v>
      </c>
      <c r="C1092">
        <v>1577</v>
      </c>
      <c r="D1092" t="s">
        <v>62</v>
      </c>
      <c r="E1092" t="s">
        <v>63</v>
      </c>
      <c r="F1092">
        <v>6</v>
      </c>
      <c r="G1092" s="2">
        <v>363.9</v>
      </c>
      <c r="H1092">
        <v>0.24</v>
      </c>
      <c r="I1092" t="s">
        <v>71</v>
      </c>
      <c r="J1092">
        <v>2</v>
      </c>
      <c r="K1092">
        <v>4.7</v>
      </c>
      <c r="L1092" s="2">
        <v>1659.38</v>
      </c>
      <c r="M1092">
        <v>2024</v>
      </c>
      <c r="N1092">
        <v>12</v>
      </c>
      <c r="O1092" t="s">
        <v>115</v>
      </c>
      <c r="P1092" s="2">
        <v>2183.4</v>
      </c>
      <c r="Q1092" s="2">
        <v>524.02</v>
      </c>
      <c r="R1092" t="s">
        <v>77</v>
      </c>
      <c r="S1092">
        <v>0</v>
      </c>
      <c r="T1092">
        <v>0</v>
      </c>
      <c r="U1092">
        <f>IF(AND(OR(Dashboard!$D$4="Semua",D1092=Dashboard!$D$4),OR(Dashboard!$H$4="Semua",E1092=Dashboard!$H$4)),1,0)</f>
        <v>1</v>
      </c>
      <c r="V1092">
        <f>IF(U1092=1,IF(COUNTIFS($C$2:C1092,C1092,$U$2:U1092,1)=1,1,0),0)</f>
        <v>0</v>
      </c>
    </row>
    <row r="1093" spans="1:22" x14ac:dyDescent="0.35">
      <c r="A1093">
        <v>11092</v>
      </c>
      <c r="B1093" s="1">
        <v>45653</v>
      </c>
      <c r="C1093">
        <v>1074</v>
      </c>
      <c r="D1093" t="s">
        <v>67</v>
      </c>
      <c r="E1093" t="s">
        <v>74</v>
      </c>
      <c r="F1093">
        <v>7</v>
      </c>
      <c r="G1093" s="2">
        <v>307.91000000000003</v>
      </c>
      <c r="H1093">
        <v>0.05</v>
      </c>
      <c r="I1093" t="s">
        <v>68</v>
      </c>
      <c r="J1093">
        <v>2</v>
      </c>
      <c r="K1093">
        <v>2.9</v>
      </c>
      <c r="L1093" s="2">
        <v>2047.6</v>
      </c>
      <c r="M1093">
        <v>2024</v>
      </c>
      <c r="N1093">
        <v>12</v>
      </c>
      <c r="O1093" t="s">
        <v>115</v>
      </c>
      <c r="P1093" s="2">
        <v>2155.37</v>
      </c>
      <c r="Q1093" s="2">
        <v>107.77</v>
      </c>
      <c r="R1093" t="s">
        <v>75</v>
      </c>
      <c r="S1093">
        <v>0</v>
      </c>
      <c r="T1093">
        <v>0</v>
      </c>
      <c r="U1093">
        <f>IF(AND(OR(Dashboard!$D$4="Semua",D1093=Dashboard!$D$4),OR(Dashboard!$H$4="Semua",E1093=Dashboard!$H$4)),1,0)</f>
        <v>1</v>
      </c>
      <c r="V1093">
        <f>IF(U1093=1,IF(COUNTIFS($C$2:C1093,C1093,$U$2:U1093,1)=1,1,0),0)</f>
        <v>0</v>
      </c>
    </row>
    <row r="1094" spans="1:22" x14ac:dyDescent="0.35">
      <c r="A1094">
        <v>11093</v>
      </c>
      <c r="B1094" s="1">
        <v>45654</v>
      </c>
      <c r="C1094">
        <v>1434</v>
      </c>
      <c r="D1094" t="s">
        <v>67</v>
      </c>
      <c r="E1094" t="s">
        <v>70</v>
      </c>
      <c r="F1094">
        <v>5</v>
      </c>
      <c r="G1094" s="2">
        <v>589.24</v>
      </c>
      <c r="H1094">
        <v>0.05</v>
      </c>
      <c r="I1094" t="s">
        <v>68</v>
      </c>
      <c r="J1094">
        <v>9</v>
      </c>
      <c r="K1094">
        <v>2.6</v>
      </c>
      <c r="L1094" s="2">
        <v>2798.89</v>
      </c>
      <c r="M1094">
        <v>2024</v>
      </c>
      <c r="N1094">
        <v>12</v>
      </c>
      <c r="O1094" t="s">
        <v>115</v>
      </c>
      <c r="P1094" s="2">
        <v>2946.2</v>
      </c>
      <c r="Q1094" s="2">
        <v>147.31</v>
      </c>
      <c r="R1094" t="s">
        <v>75</v>
      </c>
      <c r="S1094">
        <v>0</v>
      </c>
      <c r="T1094">
        <v>0</v>
      </c>
      <c r="U1094">
        <f>IF(AND(OR(Dashboard!$D$4="Semua",D1094=Dashboard!$D$4),OR(Dashboard!$H$4="Semua",E1094=Dashboard!$H$4)),1,0)</f>
        <v>1</v>
      </c>
      <c r="V1094">
        <f>IF(U1094=1,IF(COUNTIFS($C$2:C1094,C1094,$U$2:U1094,1)=1,1,0),0)</f>
        <v>0</v>
      </c>
    </row>
    <row r="1095" spans="1:22" x14ac:dyDescent="0.35">
      <c r="A1095">
        <v>11094</v>
      </c>
      <c r="B1095" s="1">
        <v>45655</v>
      </c>
      <c r="C1095">
        <v>1102</v>
      </c>
      <c r="D1095" t="s">
        <v>73</v>
      </c>
      <c r="E1095" t="s">
        <v>63</v>
      </c>
      <c r="F1095">
        <v>5</v>
      </c>
      <c r="G1095" s="2">
        <v>501.18</v>
      </c>
      <c r="H1095">
        <v>0.26</v>
      </c>
      <c r="I1095" t="s">
        <v>71</v>
      </c>
      <c r="J1095">
        <v>9</v>
      </c>
      <c r="K1095">
        <v>4.5999999999999996</v>
      </c>
      <c r="L1095" s="2">
        <v>1854.37</v>
      </c>
      <c r="M1095">
        <v>2024</v>
      </c>
      <c r="N1095">
        <v>12</v>
      </c>
      <c r="O1095" t="s">
        <v>115</v>
      </c>
      <c r="P1095" s="2">
        <v>2505.9</v>
      </c>
      <c r="Q1095" s="2">
        <v>651.53</v>
      </c>
      <c r="R1095" t="s">
        <v>66</v>
      </c>
      <c r="S1095">
        <v>0</v>
      </c>
      <c r="T1095">
        <v>0</v>
      </c>
      <c r="U1095">
        <f>IF(AND(OR(Dashboard!$D$4="Semua",D1095=Dashboard!$D$4),OR(Dashboard!$H$4="Semua",E1095=Dashboard!$H$4)),1,0)</f>
        <v>1</v>
      </c>
      <c r="V1095">
        <f>IF(U1095=1,IF(COUNTIFS($C$2:C1095,C1095,$U$2:U1095,1)=1,1,0),0)</f>
        <v>0</v>
      </c>
    </row>
    <row r="1096" spans="1:22" x14ac:dyDescent="0.35">
      <c r="A1096">
        <v>11095</v>
      </c>
      <c r="B1096" s="1">
        <v>45656</v>
      </c>
      <c r="C1096">
        <v>1421</v>
      </c>
      <c r="D1096" t="s">
        <v>73</v>
      </c>
      <c r="E1096" t="s">
        <v>70</v>
      </c>
      <c r="F1096">
        <v>4</v>
      </c>
      <c r="G1096" s="2">
        <v>548.37</v>
      </c>
      <c r="H1096">
        <v>0.25</v>
      </c>
      <c r="I1096" t="s">
        <v>64</v>
      </c>
      <c r="J1096">
        <v>3</v>
      </c>
      <c r="K1096">
        <v>4.5999999999999996</v>
      </c>
      <c r="L1096" s="2">
        <v>1645.11</v>
      </c>
      <c r="M1096">
        <v>2024</v>
      </c>
      <c r="N1096">
        <v>12</v>
      </c>
      <c r="O1096" t="s">
        <v>115</v>
      </c>
      <c r="P1096" s="2">
        <v>2193.48</v>
      </c>
      <c r="Q1096" s="2">
        <v>548.37</v>
      </c>
      <c r="R1096" t="s">
        <v>77</v>
      </c>
      <c r="S1096">
        <v>0</v>
      </c>
      <c r="T1096">
        <v>0</v>
      </c>
      <c r="U1096">
        <f>IF(AND(OR(Dashboard!$D$4="Semua",D1096=Dashboard!$D$4),OR(Dashboard!$H$4="Semua",E1096=Dashboard!$H$4)),1,0)</f>
        <v>1</v>
      </c>
      <c r="V1096">
        <f>IF(U1096=1,IF(COUNTIFS($C$2:C1096,C1096,$U$2:U1096,1)=1,1,0),0)</f>
        <v>0</v>
      </c>
    </row>
    <row r="1097" spans="1:22" x14ac:dyDescent="0.35">
      <c r="A1097">
        <v>11096</v>
      </c>
      <c r="B1097" s="1">
        <v>45657</v>
      </c>
      <c r="C1097">
        <v>1703</v>
      </c>
      <c r="D1097" t="s">
        <v>67</v>
      </c>
      <c r="E1097" t="s">
        <v>78</v>
      </c>
      <c r="F1097">
        <v>4</v>
      </c>
      <c r="G1097" s="2">
        <v>163.79</v>
      </c>
      <c r="H1097">
        <v>0.13</v>
      </c>
      <c r="I1097" t="s">
        <v>68</v>
      </c>
      <c r="J1097">
        <v>5</v>
      </c>
      <c r="K1097">
        <v>2.4</v>
      </c>
      <c r="L1097" s="2">
        <v>569.99</v>
      </c>
      <c r="M1097">
        <v>2024</v>
      </c>
      <c r="N1097">
        <v>12</v>
      </c>
      <c r="O1097" t="s">
        <v>115</v>
      </c>
      <c r="P1097" s="2">
        <v>655.16</v>
      </c>
      <c r="Q1097" s="2">
        <v>85.17</v>
      </c>
      <c r="R1097" t="s">
        <v>79</v>
      </c>
      <c r="S1097">
        <v>0</v>
      </c>
      <c r="T1097">
        <v>0</v>
      </c>
      <c r="U1097">
        <f>IF(AND(OR(Dashboard!$D$4="Semua",D1097=Dashboard!$D$4),OR(Dashboard!$H$4="Semua",E1097=Dashboard!$H$4)),1,0)</f>
        <v>1</v>
      </c>
      <c r="V1097">
        <f>IF(U1097=1,IF(COUNTIFS($C$2:C1097,C1097,$U$2:U1097,1)=1,1,0),0)</f>
        <v>0</v>
      </c>
    </row>
    <row r="1098" spans="1:22" x14ac:dyDescent="0.35">
      <c r="A1098">
        <v>11097</v>
      </c>
      <c r="B1098" s="1">
        <v>45658</v>
      </c>
      <c r="C1098">
        <v>1763</v>
      </c>
      <c r="D1098" t="s">
        <v>67</v>
      </c>
      <c r="E1098" t="s">
        <v>74</v>
      </c>
      <c r="F1098">
        <v>7</v>
      </c>
      <c r="G1098" s="2">
        <v>466.93</v>
      </c>
      <c r="H1098">
        <v>0.03</v>
      </c>
      <c r="I1098" t="s">
        <v>71</v>
      </c>
      <c r="J1098">
        <v>5</v>
      </c>
      <c r="K1098">
        <v>3.4</v>
      </c>
      <c r="L1098" s="2">
        <v>3170.45</v>
      </c>
      <c r="M1098">
        <v>2025</v>
      </c>
      <c r="N1098">
        <v>1</v>
      </c>
      <c r="O1098" t="s">
        <v>116</v>
      </c>
      <c r="P1098" s="2">
        <v>3268.51</v>
      </c>
      <c r="Q1098" s="2">
        <v>98.06</v>
      </c>
      <c r="R1098" t="s">
        <v>75</v>
      </c>
      <c r="S1098">
        <v>0</v>
      </c>
      <c r="T1098">
        <v>0</v>
      </c>
      <c r="U1098">
        <f>IF(AND(OR(Dashboard!$D$4="Semua",D1098=Dashboard!$D$4),OR(Dashboard!$H$4="Semua",E1098=Dashboard!$H$4)),1,0)</f>
        <v>1</v>
      </c>
      <c r="V1098">
        <f>IF(U1098=1,IF(COUNTIFS($C$2:C1098,C1098,$U$2:U1098,1)=1,1,0),0)</f>
        <v>0</v>
      </c>
    </row>
    <row r="1099" spans="1:22" x14ac:dyDescent="0.35">
      <c r="A1099">
        <v>11098</v>
      </c>
      <c r="B1099" s="1">
        <v>45659</v>
      </c>
      <c r="C1099">
        <v>1737</v>
      </c>
      <c r="D1099" t="s">
        <v>80</v>
      </c>
      <c r="E1099" t="s">
        <v>70</v>
      </c>
      <c r="F1099">
        <v>4</v>
      </c>
      <c r="G1099" s="2">
        <v>170.3</v>
      </c>
      <c r="H1099">
        <v>0</v>
      </c>
      <c r="I1099" t="s">
        <v>64</v>
      </c>
      <c r="J1099">
        <v>2</v>
      </c>
      <c r="K1099">
        <v>4.9000000000000004</v>
      </c>
      <c r="L1099" s="2">
        <v>681.2</v>
      </c>
      <c r="M1099">
        <v>2025</v>
      </c>
      <c r="N1099">
        <v>1</v>
      </c>
      <c r="O1099" t="s">
        <v>116</v>
      </c>
      <c r="P1099" s="2">
        <v>681.2</v>
      </c>
      <c r="Q1099" s="2">
        <v>0</v>
      </c>
      <c r="R1099" t="s">
        <v>75</v>
      </c>
      <c r="S1099">
        <v>0</v>
      </c>
      <c r="T1099">
        <v>0</v>
      </c>
      <c r="U1099">
        <f>IF(AND(OR(Dashboard!$D$4="Semua",D1099=Dashboard!$D$4),OR(Dashboard!$H$4="Semua",E1099=Dashboard!$H$4)),1,0)</f>
        <v>1</v>
      </c>
      <c r="V1099">
        <f>IF(U1099=1,IF(COUNTIFS($C$2:C1099,C1099,$U$2:U1099,1)=1,1,0),0)</f>
        <v>1</v>
      </c>
    </row>
    <row r="1100" spans="1:22" x14ac:dyDescent="0.35">
      <c r="A1100">
        <v>11099</v>
      </c>
      <c r="B1100" s="1">
        <v>45660</v>
      </c>
      <c r="C1100">
        <v>1805</v>
      </c>
      <c r="D1100" t="s">
        <v>73</v>
      </c>
      <c r="E1100" t="s">
        <v>74</v>
      </c>
      <c r="F1100">
        <v>6</v>
      </c>
      <c r="G1100" s="2">
        <v>137.11000000000001</v>
      </c>
      <c r="H1100">
        <v>0.1</v>
      </c>
      <c r="I1100" t="s">
        <v>68</v>
      </c>
      <c r="J1100">
        <v>2</v>
      </c>
      <c r="K1100">
        <v>1.2</v>
      </c>
      <c r="L1100" s="2">
        <v>740.39</v>
      </c>
      <c r="M1100">
        <v>2025</v>
      </c>
      <c r="N1100">
        <v>1</v>
      </c>
      <c r="O1100" t="s">
        <v>116</v>
      </c>
      <c r="P1100" s="2">
        <v>822.66</v>
      </c>
      <c r="Q1100" s="2">
        <v>82.27</v>
      </c>
      <c r="R1100" t="s">
        <v>69</v>
      </c>
      <c r="S1100">
        <v>0</v>
      </c>
      <c r="T1100">
        <v>0</v>
      </c>
      <c r="U1100">
        <f>IF(AND(OR(Dashboard!$D$4="Semua",D1100=Dashboard!$D$4),OR(Dashboard!$H$4="Semua",E1100=Dashboard!$H$4)),1,0)</f>
        <v>1</v>
      </c>
      <c r="V1100">
        <f>IF(U1100=1,IF(COUNTIFS($C$2:C1100,C1100,$U$2:U1100,1)=1,1,0),0)</f>
        <v>0</v>
      </c>
    </row>
    <row r="1101" spans="1:22" x14ac:dyDescent="0.35">
      <c r="A1101">
        <v>11100</v>
      </c>
      <c r="B1101" s="1">
        <v>45661</v>
      </c>
      <c r="C1101">
        <v>1305</v>
      </c>
      <c r="D1101" t="s">
        <v>73</v>
      </c>
      <c r="E1101" t="s">
        <v>63</v>
      </c>
      <c r="F1101">
        <v>1</v>
      </c>
      <c r="G1101" s="2">
        <v>567.4</v>
      </c>
      <c r="H1101">
        <v>0</v>
      </c>
      <c r="I1101" t="s">
        <v>68</v>
      </c>
      <c r="J1101">
        <v>10</v>
      </c>
      <c r="K1101">
        <v>1.2</v>
      </c>
      <c r="L1101" s="2">
        <v>567.4</v>
      </c>
      <c r="M1101">
        <v>2025</v>
      </c>
      <c r="N1101">
        <v>1</v>
      </c>
      <c r="O1101" t="s">
        <v>116</v>
      </c>
      <c r="P1101" s="2">
        <v>567.4</v>
      </c>
      <c r="Q1101" s="2">
        <v>0</v>
      </c>
      <c r="R1101" t="s">
        <v>75</v>
      </c>
      <c r="S1101">
        <v>0</v>
      </c>
      <c r="T1101">
        <v>0</v>
      </c>
      <c r="U1101">
        <f>IF(AND(OR(Dashboard!$D$4="Semua",D1101=Dashboard!$D$4),OR(Dashboard!$H$4="Semua",E1101=Dashboard!$H$4)),1,0)</f>
        <v>1</v>
      </c>
      <c r="V1101">
        <f>IF(U1101=1,IF(COUNTIFS($C$2:C1101,C1101,$U$2:U1101,1)=1,1,0),0)</f>
        <v>0</v>
      </c>
    </row>
    <row r="1102" spans="1:22" x14ac:dyDescent="0.35">
      <c r="A1102">
        <v>11101</v>
      </c>
      <c r="B1102" s="1">
        <v>45662</v>
      </c>
      <c r="C1102">
        <v>1097</v>
      </c>
      <c r="D1102" t="s">
        <v>67</v>
      </c>
      <c r="E1102" t="s">
        <v>78</v>
      </c>
      <c r="F1102">
        <v>4</v>
      </c>
      <c r="G1102" s="2">
        <v>26.29</v>
      </c>
      <c r="H1102">
        <v>0.08</v>
      </c>
      <c r="I1102" t="s">
        <v>71</v>
      </c>
      <c r="J1102">
        <v>1</v>
      </c>
      <c r="K1102">
        <v>3.1</v>
      </c>
      <c r="L1102" s="2">
        <v>96.75</v>
      </c>
      <c r="M1102">
        <v>2025</v>
      </c>
      <c r="N1102">
        <v>1</v>
      </c>
      <c r="O1102" t="s">
        <v>116</v>
      </c>
      <c r="P1102" s="2">
        <v>105.16</v>
      </c>
      <c r="Q1102" s="2">
        <v>8.41</v>
      </c>
      <c r="R1102" t="s">
        <v>69</v>
      </c>
      <c r="S1102">
        <v>0</v>
      </c>
      <c r="T1102">
        <v>0</v>
      </c>
      <c r="U1102">
        <f>IF(AND(OR(Dashboard!$D$4="Semua",D1102=Dashboard!$D$4),OR(Dashboard!$H$4="Semua",E1102=Dashboard!$H$4)),1,0)</f>
        <v>1</v>
      </c>
      <c r="V1102">
        <f>IF(U1102=1,IF(COUNTIFS($C$2:C1102,C1102,$U$2:U1102,1)=1,1,0),0)</f>
        <v>1</v>
      </c>
    </row>
    <row r="1103" spans="1:22" x14ac:dyDescent="0.35">
      <c r="A1103">
        <v>11102</v>
      </c>
      <c r="B1103" s="1">
        <v>45663</v>
      </c>
      <c r="C1103">
        <v>1849</v>
      </c>
      <c r="D1103" t="s">
        <v>73</v>
      </c>
      <c r="E1103" t="s">
        <v>74</v>
      </c>
      <c r="F1103">
        <v>2</v>
      </c>
      <c r="G1103" s="2">
        <v>579.75</v>
      </c>
      <c r="H1103">
        <v>0.15</v>
      </c>
      <c r="I1103" t="s">
        <v>68</v>
      </c>
      <c r="J1103">
        <v>2</v>
      </c>
      <c r="K1103">
        <v>2.2000000000000002</v>
      </c>
      <c r="L1103" s="2">
        <v>985.58</v>
      </c>
      <c r="M1103">
        <v>2025</v>
      </c>
      <c r="N1103">
        <v>1</v>
      </c>
      <c r="O1103" t="s">
        <v>116</v>
      </c>
      <c r="P1103" s="2">
        <v>1159.5</v>
      </c>
      <c r="Q1103" s="2">
        <v>173.92</v>
      </c>
      <c r="R1103" t="s">
        <v>79</v>
      </c>
      <c r="S1103">
        <v>0</v>
      </c>
      <c r="T1103">
        <v>0</v>
      </c>
      <c r="U1103">
        <f>IF(AND(OR(Dashboard!$D$4="Semua",D1103=Dashboard!$D$4),OR(Dashboard!$H$4="Semua",E1103=Dashboard!$H$4)),1,0)</f>
        <v>1</v>
      </c>
      <c r="V1103">
        <f>IF(U1103=1,IF(COUNTIFS($C$2:C1103,C1103,$U$2:U1103,1)=1,1,0),0)</f>
        <v>1</v>
      </c>
    </row>
    <row r="1104" spans="1:22" x14ac:dyDescent="0.35">
      <c r="A1104">
        <v>11103</v>
      </c>
      <c r="B1104" s="1">
        <v>45664</v>
      </c>
      <c r="C1104">
        <v>1797</v>
      </c>
      <c r="D1104" t="s">
        <v>73</v>
      </c>
      <c r="E1104" t="s">
        <v>63</v>
      </c>
      <c r="F1104">
        <v>4</v>
      </c>
      <c r="G1104" s="2">
        <v>102.32</v>
      </c>
      <c r="H1104">
        <v>0.04</v>
      </c>
      <c r="I1104" t="s">
        <v>68</v>
      </c>
      <c r="J1104">
        <v>11</v>
      </c>
      <c r="K1104">
        <v>3.3</v>
      </c>
      <c r="L1104" s="2">
        <v>392.91</v>
      </c>
      <c r="M1104">
        <v>2025</v>
      </c>
      <c r="N1104">
        <v>1</v>
      </c>
      <c r="O1104" t="s">
        <v>116</v>
      </c>
      <c r="P1104" s="2">
        <v>409.28</v>
      </c>
      <c r="Q1104" s="2">
        <v>16.37</v>
      </c>
      <c r="R1104" t="s">
        <v>75</v>
      </c>
      <c r="S1104">
        <v>0</v>
      </c>
      <c r="T1104">
        <v>0</v>
      </c>
      <c r="U1104">
        <f>IF(AND(OR(Dashboard!$D$4="Semua",D1104=Dashboard!$D$4),OR(Dashboard!$H$4="Semua",E1104=Dashboard!$H$4)),1,0)</f>
        <v>1</v>
      </c>
      <c r="V1104">
        <f>IF(U1104=1,IF(COUNTIFS($C$2:C1104,C1104,$U$2:U1104,1)=1,1,0),0)</f>
        <v>0</v>
      </c>
    </row>
    <row r="1105" spans="1:22" x14ac:dyDescent="0.35">
      <c r="A1105">
        <v>11104</v>
      </c>
      <c r="B1105" s="1">
        <v>45665</v>
      </c>
      <c r="C1105">
        <v>1334</v>
      </c>
      <c r="D1105" t="s">
        <v>80</v>
      </c>
      <c r="E1105" t="s">
        <v>70</v>
      </c>
      <c r="F1105">
        <v>2</v>
      </c>
      <c r="G1105" s="2">
        <v>494.37</v>
      </c>
      <c r="H1105">
        <v>0.04</v>
      </c>
      <c r="I1105" t="s">
        <v>68</v>
      </c>
      <c r="J1105">
        <v>7</v>
      </c>
      <c r="K1105">
        <v>3.9</v>
      </c>
      <c r="L1105" s="2">
        <v>949.19</v>
      </c>
      <c r="M1105">
        <v>2025</v>
      </c>
      <c r="N1105">
        <v>1</v>
      </c>
      <c r="O1105" t="s">
        <v>116</v>
      </c>
      <c r="P1105" s="2">
        <v>988.74</v>
      </c>
      <c r="Q1105" s="2">
        <v>39.549999999999997</v>
      </c>
      <c r="R1105" t="s">
        <v>75</v>
      </c>
      <c r="S1105">
        <v>0</v>
      </c>
      <c r="T1105">
        <v>0</v>
      </c>
      <c r="U1105">
        <f>IF(AND(OR(Dashboard!$D$4="Semua",D1105=Dashboard!$D$4),OR(Dashboard!$H$4="Semua",E1105=Dashboard!$H$4)),1,0)</f>
        <v>1</v>
      </c>
      <c r="V1105">
        <f>IF(U1105=1,IF(COUNTIFS($C$2:C1105,C1105,$U$2:U1105,1)=1,1,0),0)</f>
        <v>1</v>
      </c>
    </row>
    <row r="1106" spans="1:22" x14ac:dyDescent="0.35">
      <c r="A1106">
        <v>11105</v>
      </c>
      <c r="B1106" s="1">
        <v>45666</v>
      </c>
      <c r="C1106">
        <v>1858</v>
      </c>
      <c r="D1106" t="s">
        <v>73</v>
      </c>
      <c r="E1106" t="s">
        <v>78</v>
      </c>
      <c r="F1106">
        <v>3</v>
      </c>
      <c r="G1106" s="2">
        <v>176.41</v>
      </c>
      <c r="H1106">
        <v>0.31</v>
      </c>
      <c r="I1106" t="s">
        <v>68</v>
      </c>
      <c r="J1106">
        <v>1</v>
      </c>
      <c r="K1106">
        <v>1.3</v>
      </c>
      <c r="L1106" s="2">
        <v>365.17</v>
      </c>
      <c r="M1106">
        <v>2025</v>
      </c>
      <c r="N1106">
        <v>1</v>
      </c>
      <c r="O1106" t="s">
        <v>116</v>
      </c>
      <c r="P1106" s="2">
        <v>529.23</v>
      </c>
      <c r="Q1106" s="2">
        <v>164.06</v>
      </c>
      <c r="R1106" t="s">
        <v>72</v>
      </c>
      <c r="S1106">
        <v>0</v>
      </c>
      <c r="T1106">
        <v>0</v>
      </c>
      <c r="U1106">
        <f>IF(AND(OR(Dashboard!$D$4="Semua",D1106=Dashboard!$D$4),OR(Dashboard!$H$4="Semua",E1106=Dashboard!$H$4)),1,0)</f>
        <v>1</v>
      </c>
      <c r="V1106">
        <f>IF(U1106=1,IF(COUNTIFS($C$2:C1106,C1106,$U$2:U1106,1)=1,1,0),0)</f>
        <v>1</v>
      </c>
    </row>
    <row r="1107" spans="1:22" x14ac:dyDescent="0.35">
      <c r="A1107">
        <v>11106</v>
      </c>
      <c r="B1107" s="1">
        <v>45667</v>
      </c>
      <c r="C1107">
        <v>1434</v>
      </c>
      <c r="D1107" t="s">
        <v>67</v>
      </c>
      <c r="E1107" t="s">
        <v>78</v>
      </c>
      <c r="F1107">
        <v>1</v>
      </c>
      <c r="G1107" s="2">
        <v>220.16</v>
      </c>
      <c r="H1107">
        <v>0.2</v>
      </c>
      <c r="I1107" t="s">
        <v>64</v>
      </c>
      <c r="J1107">
        <v>1</v>
      </c>
      <c r="K1107">
        <v>4.5</v>
      </c>
      <c r="L1107" s="2">
        <v>176.13</v>
      </c>
      <c r="M1107">
        <v>2025</v>
      </c>
      <c r="N1107">
        <v>1</v>
      </c>
      <c r="O1107" t="s">
        <v>116</v>
      </c>
      <c r="P1107" s="2">
        <v>220.16</v>
      </c>
      <c r="Q1107" s="2">
        <v>44.03</v>
      </c>
      <c r="R1107" t="s">
        <v>76</v>
      </c>
      <c r="S1107">
        <v>0</v>
      </c>
      <c r="T1107">
        <v>0</v>
      </c>
      <c r="U1107">
        <f>IF(AND(OR(Dashboard!$D$4="Semua",D1107=Dashboard!$D$4),OR(Dashboard!$H$4="Semua",E1107=Dashboard!$H$4)),1,0)</f>
        <v>1</v>
      </c>
      <c r="V1107">
        <f>IF(U1107=1,IF(COUNTIFS($C$2:C1107,C1107,$U$2:U1107,1)=1,1,0),0)</f>
        <v>0</v>
      </c>
    </row>
    <row r="1108" spans="1:22" x14ac:dyDescent="0.35">
      <c r="A1108">
        <v>11107</v>
      </c>
      <c r="B1108" s="1">
        <v>45668</v>
      </c>
      <c r="C1108">
        <v>1446</v>
      </c>
      <c r="D1108" t="s">
        <v>73</v>
      </c>
      <c r="E1108" t="s">
        <v>70</v>
      </c>
      <c r="F1108">
        <v>1</v>
      </c>
      <c r="G1108" s="2">
        <v>141.80000000000001</v>
      </c>
      <c r="H1108">
        <v>0.33</v>
      </c>
      <c r="I1108" t="s">
        <v>71</v>
      </c>
      <c r="J1108">
        <v>9</v>
      </c>
      <c r="K1108">
        <v>2.1</v>
      </c>
      <c r="L1108" s="2">
        <v>95.01</v>
      </c>
      <c r="M1108">
        <v>2025</v>
      </c>
      <c r="N1108">
        <v>1</v>
      </c>
      <c r="O1108" t="s">
        <v>116</v>
      </c>
      <c r="P1108" s="2">
        <v>141.80000000000001</v>
      </c>
      <c r="Q1108" s="2">
        <v>46.79</v>
      </c>
      <c r="R1108" t="s">
        <v>72</v>
      </c>
      <c r="S1108">
        <v>0</v>
      </c>
      <c r="T1108">
        <v>0</v>
      </c>
      <c r="U1108">
        <f>IF(AND(OR(Dashboard!$D$4="Semua",D1108=Dashboard!$D$4),OR(Dashboard!$H$4="Semua",E1108=Dashboard!$H$4)),1,0)</f>
        <v>1</v>
      </c>
      <c r="V1108">
        <f>IF(U1108=1,IF(COUNTIFS($C$2:C1108,C1108,$U$2:U1108,1)=1,1,0),0)</f>
        <v>0</v>
      </c>
    </row>
    <row r="1109" spans="1:22" x14ac:dyDescent="0.35">
      <c r="A1109">
        <v>11108</v>
      </c>
      <c r="B1109" s="1">
        <v>45669</v>
      </c>
      <c r="C1109">
        <v>1993</v>
      </c>
      <c r="D1109" t="s">
        <v>73</v>
      </c>
      <c r="E1109" t="s">
        <v>70</v>
      </c>
      <c r="F1109">
        <v>7</v>
      </c>
      <c r="G1109" s="2">
        <v>357.53</v>
      </c>
      <c r="H1109">
        <v>0.12</v>
      </c>
      <c r="I1109" t="s">
        <v>68</v>
      </c>
      <c r="J1109">
        <v>2</v>
      </c>
      <c r="K1109">
        <v>2.5</v>
      </c>
      <c r="L1109" s="2">
        <v>2202.38</v>
      </c>
      <c r="M1109">
        <v>2025</v>
      </c>
      <c r="N1109">
        <v>1</v>
      </c>
      <c r="O1109" t="s">
        <v>116</v>
      </c>
      <c r="P1109" s="2">
        <v>2502.71</v>
      </c>
      <c r="Q1109" s="2">
        <v>300.33</v>
      </c>
      <c r="R1109" t="s">
        <v>79</v>
      </c>
      <c r="S1109">
        <v>0</v>
      </c>
      <c r="T1109">
        <v>0</v>
      </c>
      <c r="U1109">
        <f>IF(AND(OR(Dashboard!$D$4="Semua",D1109=Dashboard!$D$4),OR(Dashboard!$H$4="Semua",E1109=Dashboard!$H$4)),1,0)</f>
        <v>1</v>
      </c>
      <c r="V1109">
        <f>IF(U1109=1,IF(COUNTIFS($C$2:C1109,C1109,$U$2:U1109,1)=1,1,0),0)</f>
        <v>1</v>
      </c>
    </row>
    <row r="1110" spans="1:22" x14ac:dyDescent="0.35">
      <c r="A1110">
        <v>11109</v>
      </c>
      <c r="B1110" s="1">
        <v>45670</v>
      </c>
      <c r="C1110">
        <v>1307</v>
      </c>
      <c r="D1110" t="s">
        <v>67</v>
      </c>
      <c r="E1110" t="s">
        <v>78</v>
      </c>
      <c r="F1110">
        <v>6</v>
      </c>
      <c r="G1110" s="2">
        <v>218.64</v>
      </c>
      <c r="H1110">
        <v>0.24</v>
      </c>
      <c r="I1110" t="s">
        <v>71</v>
      </c>
      <c r="J1110">
        <v>11</v>
      </c>
      <c r="K1110">
        <v>2.2999999999999998</v>
      </c>
      <c r="L1110" s="2">
        <v>997</v>
      </c>
      <c r="M1110">
        <v>2025</v>
      </c>
      <c r="N1110">
        <v>1</v>
      </c>
      <c r="O1110" t="s">
        <v>116</v>
      </c>
      <c r="P1110" s="2">
        <v>1311.84</v>
      </c>
      <c r="Q1110" s="2">
        <v>314.83999999999997</v>
      </c>
      <c r="R1110" t="s">
        <v>77</v>
      </c>
      <c r="S1110">
        <v>0</v>
      </c>
      <c r="T1110">
        <v>0</v>
      </c>
      <c r="U1110">
        <f>IF(AND(OR(Dashboard!$D$4="Semua",D1110=Dashboard!$D$4),OR(Dashboard!$H$4="Semua",E1110=Dashboard!$H$4)),1,0)</f>
        <v>1</v>
      </c>
      <c r="V1110">
        <f>IF(U1110=1,IF(COUNTIFS($C$2:C1110,C1110,$U$2:U1110,1)=1,1,0),0)</f>
        <v>1</v>
      </c>
    </row>
    <row r="1111" spans="1:22" x14ac:dyDescent="0.35">
      <c r="A1111">
        <v>11110</v>
      </c>
      <c r="B1111" s="1">
        <v>45671</v>
      </c>
      <c r="C1111">
        <v>1248</v>
      </c>
      <c r="D1111" t="s">
        <v>80</v>
      </c>
      <c r="E1111" t="s">
        <v>74</v>
      </c>
      <c r="F1111">
        <v>6</v>
      </c>
      <c r="G1111" s="2">
        <v>399.57</v>
      </c>
      <c r="H1111">
        <v>7.0000000000000007E-2</v>
      </c>
      <c r="I1111" t="s">
        <v>64</v>
      </c>
      <c r="J1111">
        <v>4</v>
      </c>
      <c r="K1111">
        <v>4.4000000000000004</v>
      </c>
      <c r="L1111" s="2">
        <v>2229.6</v>
      </c>
      <c r="M1111">
        <v>2025</v>
      </c>
      <c r="N1111">
        <v>1</v>
      </c>
      <c r="O1111" t="s">
        <v>116</v>
      </c>
      <c r="P1111" s="2">
        <v>2397.42</v>
      </c>
      <c r="Q1111" s="2">
        <v>167.82</v>
      </c>
      <c r="R1111" t="s">
        <v>69</v>
      </c>
      <c r="S1111">
        <v>0</v>
      </c>
      <c r="T1111">
        <v>0</v>
      </c>
      <c r="U1111">
        <f>IF(AND(OR(Dashboard!$D$4="Semua",D1111=Dashboard!$D$4),OR(Dashboard!$H$4="Semua",E1111=Dashboard!$H$4)),1,0)</f>
        <v>1</v>
      </c>
      <c r="V1111">
        <f>IF(U1111=1,IF(COUNTIFS($C$2:C1111,C1111,$U$2:U1111,1)=1,1,0),0)</f>
        <v>1</v>
      </c>
    </row>
    <row r="1112" spans="1:22" x14ac:dyDescent="0.35">
      <c r="A1112">
        <v>11111</v>
      </c>
      <c r="B1112" s="1">
        <v>45672</v>
      </c>
      <c r="C1112">
        <v>1165</v>
      </c>
      <c r="D1112" t="s">
        <v>67</v>
      </c>
      <c r="E1112" t="s">
        <v>78</v>
      </c>
      <c r="F1112">
        <v>5</v>
      </c>
      <c r="G1112" s="2">
        <v>24.15</v>
      </c>
      <c r="H1112">
        <v>0.22</v>
      </c>
      <c r="I1112" t="s">
        <v>68</v>
      </c>
      <c r="J1112">
        <v>11</v>
      </c>
      <c r="K1112">
        <v>1.7</v>
      </c>
      <c r="L1112" s="2">
        <v>94.18</v>
      </c>
      <c r="M1112">
        <v>2025</v>
      </c>
      <c r="N1112">
        <v>1</v>
      </c>
      <c r="O1112" t="s">
        <v>116</v>
      </c>
      <c r="P1112" s="2">
        <v>120.75</v>
      </c>
      <c r="Q1112" s="2">
        <v>26.57</v>
      </c>
      <c r="R1112" t="s">
        <v>77</v>
      </c>
      <c r="S1112">
        <v>0</v>
      </c>
      <c r="T1112">
        <v>0</v>
      </c>
      <c r="U1112">
        <f>IF(AND(OR(Dashboard!$D$4="Semua",D1112=Dashboard!$D$4),OR(Dashboard!$H$4="Semua",E1112=Dashboard!$H$4)),1,0)</f>
        <v>1</v>
      </c>
      <c r="V1112">
        <f>IF(U1112=1,IF(COUNTIFS($C$2:C1112,C1112,$U$2:U1112,1)=1,1,0),0)</f>
        <v>1</v>
      </c>
    </row>
    <row r="1113" spans="1:22" x14ac:dyDescent="0.35">
      <c r="A1113">
        <v>11112</v>
      </c>
      <c r="B1113" s="1">
        <v>45673</v>
      </c>
      <c r="C1113">
        <v>1480</v>
      </c>
      <c r="D1113" t="s">
        <v>80</v>
      </c>
      <c r="E1113" t="s">
        <v>70</v>
      </c>
      <c r="F1113">
        <v>3</v>
      </c>
      <c r="G1113" s="2">
        <v>52.66</v>
      </c>
      <c r="H1113">
        <v>0.05</v>
      </c>
      <c r="I1113" t="s">
        <v>68</v>
      </c>
      <c r="J1113">
        <v>3</v>
      </c>
      <c r="K1113">
        <v>1.1000000000000001</v>
      </c>
      <c r="L1113" s="2">
        <v>150.08000000000001</v>
      </c>
      <c r="M1113">
        <v>2025</v>
      </c>
      <c r="N1113">
        <v>1</v>
      </c>
      <c r="O1113" t="s">
        <v>116</v>
      </c>
      <c r="P1113" s="2">
        <v>157.97999999999999</v>
      </c>
      <c r="Q1113" s="2">
        <v>7.9</v>
      </c>
      <c r="R1113" t="s">
        <v>75</v>
      </c>
      <c r="S1113">
        <v>0</v>
      </c>
      <c r="T1113">
        <v>0</v>
      </c>
      <c r="U1113">
        <f>IF(AND(OR(Dashboard!$D$4="Semua",D1113=Dashboard!$D$4),OR(Dashboard!$H$4="Semua",E1113=Dashboard!$H$4)),1,0)</f>
        <v>1</v>
      </c>
      <c r="V1113">
        <f>IF(U1113=1,IF(COUNTIFS($C$2:C1113,C1113,$U$2:U1113,1)=1,1,0),0)</f>
        <v>0</v>
      </c>
    </row>
    <row r="1114" spans="1:22" x14ac:dyDescent="0.35">
      <c r="A1114">
        <v>11113</v>
      </c>
      <c r="B1114" s="1">
        <v>45674</v>
      </c>
      <c r="C1114">
        <v>1983</v>
      </c>
      <c r="D1114" t="s">
        <v>73</v>
      </c>
      <c r="E1114" t="s">
        <v>74</v>
      </c>
      <c r="F1114">
        <v>7</v>
      </c>
      <c r="G1114" s="2">
        <v>73.3</v>
      </c>
      <c r="H1114">
        <v>0</v>
      </c>
      <c r="I1114" t="s">
        <v>64</v>
      </c>
      <c r="J1114">
        <v>11</v>
      </c>
      <c r="K1114">
        <v>4.9000000000000004</v>
      </c>
      <c r="L1114" s="2">
        <v>513.1</v>
      </c>
      <c r="M1114">
        <v>2025</v>
      </c>
      <c r="N1114">
        <v>1</v>
      </c>
      <c r="O1114" t="s">
        <v>116</v>
      </c>
      <c r="P1114" s="2">
        <v>513.1</v>
      </c>
      <c r="Q1114" s="2">
        <v>0</v>
      </c>
      <c r="R1114" t="s">
        <v>75</v>
      </c>
      <c r="S1114">
        <v>0</v>
      </c>
      <c r="T1114">
        <v>0</v>
      </c>
      <c r="U1114">
        <f>IF(AND(OR(Dashboard!$D$4="Semua",D1114=Dashboard!$D$4),OR(Dashboard!$H$4="Semua",E1114=Dashboard!$H$4)),1,0)</f>
        <v>1</v>
      </c>
      <c r="V1114">
        <f>IF(U1114=1,IF(COUNTIFS($C$2:C1114,C1114,$U$2:U1114,1)=1,1,0),0)</f>
        <v>1</v>
      </c>
    </row>
    <row r="1115" spans="1:22" x14ac:dyDescent="0.35">
      <c r="A1115">
        <v>11114</v>
      </c>
      <c r="B1115" s="1">
        <v>45675</v>
      </c>
      <c r="C1115">
        <v>1334</v>
      </c>
      <c r="D1115" t="s">
        <v>80</v>
      </c>
      <c r="E1115" t="s">
        <v>63</v>
      </c>
      <c r="F1115">
        <v>6</v>
      </c>
      <c r="G1115" s="2">
        <v>260.11</v>
      </c>
      <c r="H1115">
        <v>0.33</v>
      </c>
      <c r="I1115" t="s">
        <v>64</v>
      </c>
      <c r="J1115">
        <v>4</v>
      </c>
      <c r="K1115">
        <v>4.9000000000000004</v>
      </c>
      <c r="L1115" s="2">
        <v>1045.6400000000001</v>
      </c>
      <c r="M1115">
        <v>2025</v>
      </c>
      <c r="N1115">
        <v>1</v>
      </c>
      <c r="O1115" t="s">
        <v>116</v>
      </c>
      <c r="P1115" s="2">
        <v>1560.66</v>
      </c>
      <c r="Q1115" s="2">
        <v>515.02</v>
      </c>
      <c r="R1115" t="s">
        <v>72</v>
      </c>
      <c r="S1115">
        <v>0</v>
      </c>
      <c r="T1115">
        <v>0</v>
      </c>
      <c r="U1115">
        <f>IF(AND(OR(Dashboard!$D$4="Semua",D1115=Dashboard!$D$4),OR(Dashboard!$H$4="Semua",E1115=Dashboard!$H$4)),1,0)</f>
        <v>1</v>
      </c>
      <c r="V1115">
        <f>IF(U1115=1,IF(COUNTIFS($C$2:C1115,C1115,$U$2:U1115,1)=1,1,0),0)</f>
        <v>0</v>
      </c>
    </row>
    <row r="1116" spans="1:22" x14ac:dyDescent="0.35">
      <c r="A1116">
        <v>11115</v>
      </c>
      <c r="B1116" s="1">
        <v>45676</v>
      </c>
      <c r="C1116">
        <v>1541</v>
      </c>
      <c r="D1116" t="s">
        <v>73</v>
      </c>
      <c r="E1116" t="s">
        <v>78</v>
      </c>
      <c r="F1116">
        <v>2</v>
      </c>
      <c r="G1116" s="2">
        <v>491.66</v>
      </c>
      <c r="H1116">
        <v>0.19</v>
      </c>
      <c r="I1116" t="s">
        <v>68</v>
      </c>
      <c r="J1116">
        <v>11</v>
      </c>
      <c r="K1116">
        <v>2</v>
      </c>
      <c r="L1116" s="2">
        <v>796.49</v>
      </c>
      <c r="M1116">
        <v>2025</v>
      </c>
      <c r="N1116">
        <v>1</v>
      </c>
      <c r="O1116" t="s">
        <v>116</v>
      </c>
      <c r="P1116" s="2">
        <v>983.32</v>
      </c>
      <c r="Q1116" s="2">
        <v>186.83</v>
      </c>
      <c r="R1116" t="s">
        <v>76</v>
      </c>
      <c r="S1116">
        <v>0</v>
      </c>
      <c r="T1116">
        <v>0</v>
      </c>
      <c r="U1116">
        <f>IF(AND(OR(Dashboard!$D$4="Semua",D1116=Dashboard!$D$4),OR(Dashboard!$H$4="Semua",E1116=Dashboard!$H$4)),1,0)</f>
        <v>1</v>
      </c>
      <c r="V1116">
        <f>IF(U1116=1,IF(COUNTIFS($C$2:C1116,C1116,$U$2:U1116,1)=1,1,0),0)</f>
        <v>1</v>
      </c>
    </row>
    <row r="1117" spans="1:22" x14ac:dyDescent="0.35">
      <c r="A1117">
        <v>11116</v>
      </c>
      <c r="B1117" s="1">
        <v>45677</v>
      </c>
      <c r="C1117">
        <v>1758</v>
      </c>
      <c r="D1117" t="s">
        <v>80</v>
      </c>
      <c r="E1117" t="s">
        <v>70</v>
      </c>
      <c r="F1117">
        <v>3</v>
      </c>
      <c r="G1117" s="2">
        <v>534.58000000000004</v>
      </c>
      <c r="H1117">
        <v>0.32</v>
      </c>
      <c r="I1117" t="s">
        <v>68</v>
      </c>
      <c r="J1117">
        <v>11</v>
      </c>
      <c r="K1117">
        <v>1</v>
      </c>
      <c r="L1117" s="2">
        <v>1090.54</v>
      </c>
      <c r="M1117">
        <v>2025</v>
      </c>
      <c r="N1117">
        <v>1</v>
      </c>
      <c r="O1117" t="s">
        <v>116</v>
      </c>
      <c r="P1117" s="2">
        <v>1603.74</v>
      </c>
      <c r="Q1117" s="2">
        <v>513.20000000000005</v>
      </c>
      <c r="R1117" t="s">
        <v>72</v>
      </c>
      <c r="S1117">
        <v>0</v>
      </c>
      <c r="T1117">
        <v>0</v>
      </c>
      <c r="U1117">
        <f>IF(AND(OR(Dashboard!$D$4="Semua",D1117=Dashboard!$D$4),OR(Dashboard!$H$4="Semua",E1117=Dashboard!$H$4)),1,0)</f>
        <v>1</v>
      </c>
      <c r="V1117">
        <f>IF(U1117=1,IF(COUNTIFS($C$2:C1117,C1117,$U$2:U1117,1)=1,1,0),0)</f>
        <v>0</v>
      </c>
    </row>
    <row r="1118" spans="1:22" x14ac:dyDescent="0.35">
      <c r="A1118">
        <v>11117</v>
      </c>
      <c r="B1118" s="1">
        <v>45678</v>
      </c>
      <c r="C1118">
        <v>1105</v>
      </c>
      <c r="D1118" t="s">
        <v>67</v>
      </c>
      <c r="E1118" t="s">
        <v>63</v>
      </c>
      <c r="F1118">
        <v>1</v>
      </c>
      <c r="G1118" s="2">
        <v>158.21</v>
      </c>
      <c r="H1118">
        <v>0.12</v>
      </c>
      <c r="I1118" t="s">
        <v>68</v>
      </c>
      <c r="J1118">
        <v>7</v>
      </c>
      <c r="K1118">
        <v>3.6</v>
      </c>
      <c r="L1118" s="2">
        <v>139.22</v>
      </c>
      <c r="M1118">
        <v>2025</v>
      </c>
      <c r="N1118">
        <v>1</v>
      </c>
      <c r="O1118" t="s">
        <v>116</v>
      </c>
      <c r="P1118" s="2">
        <v>158.21</v>
      </c>
      <c r="Q1118" s="2">
        <v>18.989999999999998</v>
      </c>
      <c r="R1118" t="s">
        <v>79</v>
      </c>
      <c r="S1118">
        <v>0</v>
      </c>
      <c r="T1118">
        <v>0</v>
      </c>
      <c r="U1118">
        <f>IF(AND(OR(Dashboard!$D$4="Semua",D1118=Dashboard!$D$4),OR(Dashboard!$H$4="Semua",E1118=Dashboard!$H$4)),1,0)</f>
        <v>1</v>
      </c>
      <c r="V1118">
        <f>IF(U1118=1,IF(COUNTIFS($C$2:C1118,C1118,$U$2:U1118,1)=1,1,0),0)</f>
        <v>0</v>
      </c>
    </row>
    <row r="1119" spans="1:22" x14ac:dyDescent="0.35">
      <c r="A1119">
        <v>11118</v>
      </c>
      <c r="B1119" s="1">
        <v>45679</v>
      </c>
      <c r="C1119">
        <v>1562</v>
      </c>
      <c r="D1119" t="s">
        <v>62</v>
      </c>
      <c r="E1119" t="s">
        <v>78</v>
      </c>
      <c r="F1119">
        <v>2</v>
      </c>
      <c r="G1119" s="2">
        <v>351.01</v>
      </c>
      <c r="H1119">
        <v>0.11</v>
      </c>
      <c r="I1119" t="s">
        <v>68</v>
      </c>
      <c r="J1119">
        <v>10</v>
      </c>
      <c r="K1119">
        <v>3.6</v>
      </c>
      <c r="L1119" s="2">
        <v>624.79999999999995</v>
      </c>
      <c r="M1119">
        <v>2025</v>
      </c>
      <c r="N1119">
        <v>1</v>
      </c>
      <c r="O1119" t="s">
        <v>116</v>
      </c>
      <c r="P1119" s="2">
        <v>702.02</v>
      </c>
      <c r="Q1119" s="2">
        <v>77.22</v>
      </c>
      <c r="R1119" t="s">
        <v>79</v>
      </c>
      <c r="S1119">
        <v>0</v>
      </c>
      <c r="T1119">
        <v>0</v>
      </c>
      <c r="U1119">
        <f>IF(AND(OR(Dashboard!$D$4="Semua",D1119=Dashboard!$D$4),OR(Dashboard!$H$4="Semua",E1119=Dashboard!$H$4)),1,0)</f>
        <v>1</v>
      </c>
      <c r="V1119">
        <f>IF(U1119=1,IF(COUNTIFS($C$2:C1119,C1119,$U$2:U1119,1)=1,1,0),0)</f>
        <v>0</v>
      </c>
    </row>
    <row r="1120" spans="1:22" x14ac:dyDescent="0.35">
      <c r="A1120">
        <v>11119</v>
      </c>
      <c r="B1120" s="1">
        <v>45680</v>
      </c>
      <c r="C1120">
        <v>1080</v>
      </c>
      <c r="D1120" t="s">
        <v>67</v>
      </c>
      <c r="E1120" t="s">
        <v>78</v>
      </c>
      <c r="F1120">
        <v>7</v>
      </c>
      <c r="G1120" s="2">
        <v>464.49</v>
      </c>
      <c r="H1120">
        <v>0.14000000000000001</v>
      </c>
      <c r="I1120" t="s">
        <v>71</v>
      </c>
      <c r="J1120">
        <v>2</v>
      </c>
      <c r="K1120">
        <v>4.8</v>
      </c>
      <c r="L1120" s="2">
        <v>2796.23</v>
      </c>
      <c r="M1120">
        <v>2025</v>
      </c>
      <c r="N1120">
        <v>1</v>
      </c>
      <c r="O1120" t="s">
        <v>116</v>
      </c>
      <c r="P1120" s="2">
        <v>3251.43</v>
      </c>
      <c r="Q1120" s="2">
        <v>455.2</v>
      </c>
      <c r="R1120" t="s">
        <v>79</v>
      </c>
      <c r="S1120">
        <v>0</v>
      </c>
      <c r="T1120">
        <v>0</v>
      </c>
      <c r="U1120">
        <f>IF(AND(OR(Dashboard!$D$4="Semua",D1120=Dashboard!$D$4),OR(Dashboard!$H$4="Semua",E1120=Dashboard!$H$4)),1,0)</f>
        <v>1</v>
      </c>
      <c r="V1120">
        <f>IF(U1120=1,IF(COUNTIFS($C$2:C1120,C1120,$U$2:U1120,1)=1,1,0),0)</f>
        <v>0</v>
      </c>
    </row>
    <row r="1121" spans="1:22" x14ac:dyDescent="0.35">
      <c r="A1121">
        <v>11120</v>
      </c>
      <c r="B1121" s="1">
        <v>45681</v>
      </c>
      <c r="C1121">
        <v>1132</v>
      </c>
      <c r="D1121" t="s">
        <v>73</v>
      </c>
      <c r="E1121" t="s">
        <v>74</v>
      </c>
      <c r="F1121">
        <v>7</v>
      </c>
      <c r="G1121" s="2">
        <v>183.97</v>
      </c>
      <c r="H1121">
        <v>0.25</v>
      </c>
      <c r="I1121" t="s">
        <v>68</v>
      </c>
      <c r="J1121">
        <v>2</v>
      </c>
      <c r="K1121">
        <v>2.2000000000000002</v>
      </c>
      <c r="L1121" s="2">
        <v>965.84</v>
      </c>
      <c r="M1121">
        <v>2025</v>
      </c>
      <c r="N1121">
        <v>1</v>
      </c>
      <c r="O1121" t="s">
        <v>116</v>
      </c>
      <c r="P1121" s="2">
        <v>1287.79</v>
      </c>
      <c r="Q1121" s="2">
        <v>321.95</v>
      </c>
      <c r="R1121" t="s">
        <v>77</v>
      </c>
      <c r="S1121">
        <v>0</v>
      </c>
      <c r="T1121">
        <v>0</v>
      </c>
      <c r="U1121">
        <f>IF(AND(OR(Dashboard!$D$4="Semua",D1121=Dashboard!$D$4),OR(Dashboard!$H$4="Semua",E1121=Dashboard!$H$4)),1,0)</f>
        <v>1</v>
      </c>
      <c r="V1121">
        <f>IF(U1121=1,IF(COUNTIFS($C$2:C1121,C1121,$U$2:U1121,1)=1,1,0),0)</f>
        <v>0</v>
      </c>
    </row>
    <row r="1122" spans="1:22" x14ac:dyDescent="0.35">
      <c r="A1122">
        <v>11121</v>
      </c>
      <c r="B1122" s="1">
        <v>45682</v>
      </c>
      <c r="C1122">
        <v>1796</v>
      </c>
      <c r="D1122" t="s">
        <v>73</v>
      </c>
      <c r="E1122" t="s">
        <v>70</v>
      </c>
      <c r="F1122">
        <v>3</v>
      </c>
      <c r="G1122" s="2">
        <v>254.27</v>
      </c>
      <c r="H1122">
        <v>0.2</v>
      </c>
      <c r="I1122" t="s">
        <v>68</v>
      </c>
      <c r="J1122">
        <v>9</v>
      </c>
      <c r="K1122">
        <v>1.8</v>
      </c>
      <c r="L1122" s="2">
        <v>610.25</v>
      </c>
      <c r="M1122">
        <v>2025</v>
      </c>
      <c r="N1122">
        <v>1</v>
      </c>
      <c r="O1122" t="s">
        <v>116</v>
      </c>
      <c r="P1122" s="2">
        <v>762.81</v>
      </c>
      <c r="Q1122" s="2">
        <v>152.56</v>
      </c>
      <c r="R1122" t="s">
        <v>76</v>
      </c>
      <c r="S1122">
        <v>0</v>
      </c>
      <c r="T1122">
        <v>0</v>
      </c>
      <c r="U1122">
        <f>IF(AND(OR(Dashboard!$D$4="Semua",D1122=Dashboard!$D$4),OR(Dashboard!$H$4="Semua",E1122=Dashboard!$H$4)),1,0)</f>
        <v>1</v>
      </c>
      <c r="V1122">
        <f>IF(U1122=1,IF(COUNTIFS($C$2:C1122,C1122,$U$2:U1122,1)=1,1,0),0)</f>
        <v>1</v>
      </c>
    </row>
    <row r="1123" spans="1:22" x14ac:dyDescent="0.35">
      <c r="A1123">
        <v>11122</v>
      </c>
      <c r="B1123" s="1">
        <v>45683</v>
      </c>
      <c r="C1123">
        <v>1899</v>
      </c>
      <c r="D1123" t="s">
        <v>80</v>
      </c>
      <c r="E1123" t="s">
        <v>63</v>
      </c>
      <c r="F1123">
        <v>1</v>
      </c>
      <c r="G1123" s="2">
        <v>321.52</v>
      </c>
      <c r="H1123">
        <v>0.32</v>
      </c>
      <c r="I1123" t="s">
        <v>71</v>
      </c>
      <c r="J1123">
        <v>6</v>
      </c>
      <c r="K1123">
        <v>3.5</v>
      </c>
      <c r="L1123" s="2">
        <v>218.63</v>
      </c>
      <c r="M1123">
        <v>2025</v>
      </c>
      <c r="N1123">
        <v>1</v>
      </c>
      <c r="O1123" t="s">
        <v>116</v>
      </c>
      <c r="P1123" s="2">
        <v>321.52</v>
      </c>
      <c r="Q1123" s="2">
        <v>102.89</v>
      </c>
      <c r="R1123" t="s">
        <v>72</v>
      </c>
      <c r="S1123">
        <v>0</v>
      </c>
      <c r="T1123">
        <v>0</v>
      </c>
      <c r="U1123">
        <f>IF(AND(OR(Dashboard!$D$4="Semua",D1123=Dashboard!$D$4),OR(Dashboard!$H$4="Semua",E1123=Dashboard!$H$4)),1,0)</f>
        <v>1</v>
      </c>
      <c r="V1123">
        <f>IF(U1123=1,IF(COUNTIFS($C$2:C1123,C1123,$U$2:U1123,1)=1,1,0),0)</f>
        <v>0</v>
      </c>
    </row>
    <row r="1124" spans="1:22" x14ac:dyDescent="0.35">
      <c r="A1124">
        <v>11123</v>
      </c>
      <c r="B1124" s="1">
        <v>45684</v>
      </c>
      <c r="C1124">
        <v>1137</v>
      </c>
      <c r="D1124" t="s">
        <v>67</v>
      </c>
      <c r="E1124" t="s">
        <v>78</v>
      </c>
      <c r="F1124">
        <v>6</v>
      </c>
      <c r="G1124" s="2">
        <v>93.9</v>
      </c>
      <c r="H1124">
        <v>0.01</v>
      </c>
      <c r="I1124" t="s">
        <v>64</v>
      </c>
      <c r="J1124">
        <v>11</v>
      </c>
      <c r="K1124">
        <v>3.3</v>
      </c>
      <c r="L1124" s="2">
        <v>557.77</v>
      </c>
      <c r="M1124">
        <v>2025</v>
      </c>
      <c r="N1124">
        <v>1</v>
      </c>
      <c r="O1124" t="s">
        <v>116</v>
      </c>
      <c r="P1124" s="2">
        <v>563.4</v>
      </c>
      <c r="Q1124" s="2">
        <v>5.63</v>
      </c>
      <c r="R1124" t="s">
        <v>75</v>
      </c>
      <c r="S1124">
        <v>0</v>
      </c>
      <c r="T1124">
        <v>0</v>
      </c>
      <c r="U1124">
        <f>IF(AND(OR(Dashboard!$D$4="Semua",D1124=Dashboard!$D$4),OR(Dashboard!$H$4="Semua",E1124=Dashboard!$H$4)),1,0)</f>
        <v>1</v>
      </c>
      <c r="V1124">
        <f>IF(U1124=1,IF(COUNTIFS($C$2:C1124,C1124,$U$2:U1124,1)=1,1,0),0)</f>
        <v>1</v>
      </c>
    </row>
    <row r="1125" spans="1:22" x14ac:dyDescent="0.35">
      <c r="A1125">
        <v>11124</v>
      </c>
      <c r="B1125" s="1">
        <v>45685</v>
      </c>
      <c r="C1125">
        <v>1183</v>
      </c>
      <c r="D1125" t="s">
        <v>80</v>
      </c>
      <c r="E1125" t="s">
        <v>74</v>
      </c>
      <c r="F1125">
        <v>2</v>
      </c>
      <c r="G1125" s="2">
        <v>30.2</v>
      </c>
      <c r="H1125">
        <v>0.25</v>
      </c>
      <c r="I1125" t="s">
        <v>68</v>
      </c>
      <c r="J1125">
        <v>7</v>
      </c>
      <c r="K1125">
        <v>3.9</v>
      </c>
      <c r="L1125" s="2">
        <v>45.3</v>
      </c>
      <c r="M1125">
        <v>2025</v>
      </c>
      <c r="N1125">
        <v>1</v>
      </c>
      <c r="O1125" t="s">
        <v>116</v>
      </c>
      <c r="P1125" s="2">
        <v>60.4</v>
      </c>
      <c r="Q1125" s="2">
        <v>15.1</v>
      </c>
      <c r="R1125" t="s">
        <v>77</v>
      </c>
      <c r="S1125">
        <v>0</v>
      </c>
      <c r="T1125">
        <v>0</v>
      </c>
      <c r="U1125">
        <f>IF(AND(OR(Dashboard!$D$4="Semua",D1125=Dashboard!$D$4),OR(Dashboard!$H$4="Semua",E1125=Dashboard!$H$4)),1,0)</f>
        <v>1</v>
      </c>
      <c r="V1125">
        <f>IF(U1125=1,IF(COUNTIFS($C$2:C1125,C1125,$U$2:U1125,1)=1,1,0),0)</f>
        <v>0</v>
      </c>
    </row>
    <row r="1126" spans="1:22" x14ac:dyDescent="0.35">
      <c r="A1126">
        <v>11125</v>
      </c>
      <c r="B1126" s="1">
        <v>45686</v>
      </c>
      <c r="C1126">
        <v>1400</v>
      </c>
      <c r="D1126" t="s">
        <v>73</v>
      </c>
      <c r="E1126" t="s">
        <v>63</v>
      </c>
      <c r="F1126">
        <v>2</v>
      </c>
      <c r="G1126" s="2">
        <v>104.39</v>
      </c>
      <c r="H1126">
        <v>0.12</v>
      </c>
      <c r="I1126" t="s">
        <v>68</v>
      </c>
      <c r="J1126">
        <v>5</v>
      </c>
      <c r="K1126">
        <v>4.5</v>
      </c>
      <c r="L1126" s="2">
        <v>183.73</v>
      </c>
      <c r="M1126">
        <v>2025</v>
      </c>
      <c r="N1126">
        <v>1</v>
      </c>
      <c r="O1126" t="s">
        <v>116</v>
      </c>
      <c r="P1126" s="2">
        <v>208.78</v>
      </c>
      <c r="Q1126" s="2">
        <v>25.05</v>
      </c>
      <c r="R1126" t="s">
        <v>79</v>
      </c>
      <c r="S1126">
        <v>0</v>
      </c>
      <c r="T1126">
        <v>0</v>
      </c>
      <c r="U1126">
        <f>IF(AND(OR(Dashboard!$D$4="Semua",D1126=Dashboard!$D$4),OR(Dashboard!$H$4="Semua",E1126=Dashboard!$H$4)),1,0)</f>
        <v>1</v>
      </c>
      <c r="V1126">
        <f>IF(U1126=1,IF(COUNTIFS($C$2:C1126,C1126,$U$2:U1126,1)=1,1,0),0)</f>
        <v>0</v>
      </c>
    </row>
    <row r="1127" spans="1:22" x14ac:dyDescent="0.35">
      <c r="A1127">
        <v>11126</v>
      </c>
      <c r="B1127" s="1">
        <v>45687</v>
      </c>
      <c r="C1127">
        <v>1329</v>
      </c>
      <c r="D1127" t="s">
        <v>73</v>
      </c>
      <c r="E1127" t="s">
        <v>63</v>
      </c>
      <c r="F1127">
        <v>1</v>
      </c>
      <c r="G1127" s="2">
        <v>381.71</v>
      </c>
      <c r="H1127">
        <v>0.06</v>
      </c>
      <c r="I1127" t="s">
        <v>64</v>
      </c>
      <c r="J1127">
        <v>5</v>
      </c>
      <c r="K1127">
        <v>3.2</v>
      </c>
      <c r="L1127" s="2">
        <v>358.81</v>
      </c>
      <c r="M1127">
        <v>2025</v>
      </c>
      <c r="N1127">
        <v>1</v>
      </c>
      <c r="O1127" t="s">
        <v>116</v>
      </c>
      <c r="P1127" s="2">
        <v>381.71</v>
      </c>
      <c r="Q1127" s="2">
        <v>22.9</v>
      </c>
      <c r="R1127" t="s">
        <v>69</v>
      </c>
      <c r="S1127">
        <v>0</v>
      </c>
      <c r="T1127">
        <v>0</v>
      </c>
      <c r="U1127">
        <f>IF(AND(OR(Dashboard!$D$4="Semua",D1127=Dashboard!$D$4),OR(Dashboard!$H$4="Semua",E1127=Dashboard!$H$4)),1,0)</f>
        <v>1</v>
      </c>
      <c r="V1127">
        <f>IF(U1127=1,IF(COUNTIFS($C$2:C1127,C1127,$U$2:U1127,1)=1,1,0),0)</f>
        <v>0</v>
      </c>
    </row>
    <row r="1128" spans="1:22" x14ac:dyDescent="0.35">
      <c r="A1128">
        <v>11127</v>
      </c>
      <c r="B1128" s="1">
        <v>45688</v>
      </c>
      <c r="C1128">
        <v>1784</v>
      </c>
      <c r="D1128" t="s">
        <v>73</v>
      </c>
      <c r="E1128" t="s">
        <v>78</v>
      </c>
      <c r="F1128">
        <v>2</v>
      </c>
      <c r="G1128" s="2">
        <v>58.07</v>
      </c>
      <c r="H1128">
        <v>0.18</v>
      </c>
      <c r="I1128" t="s">
        <v>71</v>
      </c>
      <c r="J1128">
        <v>4</v>
      </c>
      <c r="K1128">
        <v>1.6</v>
      </c>
      <c r="L1128" s="2">
        <v>95.23</v>
      </c>
      <c r="M1128">
        <v>2025</v>
      </c>
      <c r="N1128">
        <v>1</v>
      </c>
      <c r="O1128" t="s">
        <v>116</v>
      </c>
      <c r="P1128" s="2">
        <v>116.14</v>
      </c>
      <c r="Q1128" s="2">
        <v>20.91</v>
      </c>
      <c r="R1128" t="s">
        <v>76</v>
      </c>
      <c r="S1128">
        <v>0</v>
      </c>
      <c r="T1128">
        <v>0</v>
      </c>
      <c r="U1128">
        <f>IF(AND(OR(Dashboard!$D$4="Semua",D1128=Dashboard!$D$4),OR(Dashboard!$H$4="Semua",E1128=Dashboard!$H$4)),1,0)</f>
        <v>1</v>
      </c>
      <c r="V1128">
        <f>IF(U1128=1,IF(COUNTIFS($C$2:C1128,C1128,$U$2:U1128,1)=1,1,0),0)</f>
        <v>0</v>
      </c>
    </row>
    <row r="1129" spans="1:22" x14ac:dyDescent="0.35">
      <c r="A1129">
        <v>11128</v>
      </c>
      <c r="B1129" s="1">
        <v>45689</v>
      </c>
      <c r="C1129">
        <v>1507</v>
      </c>
      <c r="D1129" t="s">
        <v>62</v>
      </c>
      <c r="E1129" t="s">
        <v>63</v>
      </c>
      <c r="F1129">
        <v>6</v>
      </c>
      <c r="G1129" s="2">
        <v>125.97</v>
      </c>
      <c r="H1129">
        <v>0.18</v>
      </c>
      <c r="I1129" t="s">
        <v>68</v>
      </c>
      <c r="J1129">
        <v>8</v>
      </c>
      <c r="K1129">
        <v>3.4</v>
      </c>
      <c r="L1129" s="2">
        <v>619.77</v>
      </c>
      <c r="M1129">
        <v>2025</v>
      </c>
      <c r="N1129">
        <v>2</v>
      </c>
      <c r="O1129" t="s">
        <v>117</v>
      </c>
      <c r="P1129" s="2">
        <v>755.82</v>
      </c>
      <c r="Q1129" s="2">
        <v>136.05000000000001</v>
      </c>
      <c r="R1129" t="s">
        <v>76</v>
      </c>
      <c r="S1129">
        <v>0</v>
      </c>
      <c r="T1129">
        <v>0</v>
      </c>
      <c r="U1129">
        <f>IF(AND(OR(Dashboard!$D$4="Semua",D1129=Dashboard!$D$4),OR(Dashboard!$H$4="Semua",E1129=Dashboard!$H$4)),1,0)</f>
        <v>1</v>
      </c>
      <c r="V1129">
        <f>IF(U1129=1,IF(COUNTIFS($C$2:C1129,C1129,$U$2:U1129,1)=1,1,0),0)</f>
        <v>0</v>
      </c>
    </row>
    <row r="1130" spans="1:22" x14ac:dyDescent="0.35">
      <c r="A1130">
        <v>11129</v>
      </c>
      <c r="B1130" s="1">
        <v>45690</v>
      </c>
      <c r="C1130">
        <v>1851</v>
      </c>
      <c r="D1130" t="s">
        <v>80</v>
      </c>
      <c r="E1130" t="s">
        <v>78</v>
      </c>
      <c r="F1130">
        <v>6</v>
      </c>
      <c r="G1130" s="2">
        <v>212.64</v>
      </c>
      <c r="H1130">
        <v>0.05</v>
      </c>
      <c r="I1130" t="s">
        <v>68</v>
      </c>
      <c r="J1130">
        <v>7</v>
      </c>
      <c r="K1130">
        <v>2.5</v>
      </c>
      <c r="L1130" s="2">
        <v>1212.05</v>
      </c>
      <c r="M1130">
        <v>2025</v>
      </c>
      <c r="N1130">
        <v>2</v>
      </c>
      <c r="O1130" t="s">
        <v>117</v>
      </c>
      <c r="P1130" s="2">
        <v>1275.8399999999999</v>
      </c>
      <c r="Q1130" s="2">
        <v>63.79</v>
      </c>
      <c r="R1130" t="s">
        <v>75</v>
      </c>
      <c r="S1130">
        <v>0</v>
      </c>
      <c r="T1130">
        <v>0</v>
      </c>
      <c r="U1130">
        <f>IF(AND(OR(Dashboard!$D$4="Semua",D1130=Dashboard!$D$4),OR(Dashboard!$H$4="Semua",E1130=Dashboard!$H$4)),1,0)</f>
        <v>1</v>
      </c>
      <c r="V1130">
        <f>IF(U1130=1,IF(COUNTIFS($C$2:C1130,C1130,$U$2:U1130,1)=1,1,0),0)</f>
        <v>0</v>
      </c>
    </row>
    <row r="1131" spans="1:22" x14ac:dyDescent="0.35">
      <c r="A1131">
        <v>11130</v>
      </c>
      <c r="B1131" s="1">
        <v>45691</v>
      </c>
      <c r="C1131">
        <v>1983</v>
      </c>
      <c r="D1131" t="s">
        <v>62</v>
      </c>
      <c r="E1131" t="s">
        <v>74</v>
      </c>
      <c r="F1131">
        <v>6</v>
      </c>
      <c r="G1131" s="2">
        <v>60.55</v>
      </c>
      <c r="H1131">
        <v>7.0000000000000007E-2</v>
      </c>
      <c r="I1131" t="s">
        <v>68</v>
      </c>
      <c r="J1131">
        <v>10</v>
      </c>
      <c r="K1131">
        <v>2.8</v>
      </c>
      <c r="L1131" s="2">
        <v>337.87</v>
      </c>
      <c r="M1131">
        <v>2025</v>
      </c>
      <c r="N1131">
        <v>2</v>
      </c>
      <c r="O1131" t="s">
        <v>117</v>
      </c>
      <c r="P1131" s="2">
        <v>363.3</v>
      </c>
      <c r="Q1131" s="2">
        <v>25.43</v>
      </c>
      <c r="R1131" t="s">
        <v>69</v>
      </c>
      <c r="S1131">
        <v>0</v>
      </c>
      <c r="T1131">
        <v>0</v>
      </c>
      <c r="U1131">
        <f>IF(AND(OR(Dashboard!$D$4="Semua",D1131=Dashboard!$D$4),OR(Dashboard!$H$4="Semua",E1131=Dashboard!$H$4)),1,0)</f>
        <v>1</v>
      </c>
      <c r="V1131">
        <f>IF(U1131=1,IF(COUNTIFS($C$2:C1131,C1131,$U$2:U1131,1)=1,1,0),0)</f>
        <v>0</v>
      </c>
    </row>
    <row r="1132" spans="1:22" x14ac:dyDescent="0.35">
      <c r="A1132">
        <v>11131</v>
      </c>
      <c r="B1132" s="1">
        <v>45692</v>
      </c>
      <c r="C1132">
        <v>1068</v>
      </c>
      <c r="D1132" t="s">
        <v>73</v>
      </c>
      <c r="E1132" t="s">
        <v>74</v>
      </c>
      <c r="F1132">
        <v>1</v>
      </c>
      <c r="G1132" s="2">
        <v>127.14</v>
      </c>
      <c r="H1132">
        <v>0.14000000000000001</v>
      </c>
      <c r="I1132" t="s">
        <v>71</v>
      </c>
      <c r="J1132">
        <v>2</v>
      </c>
      <c r="K1132">
        <v>4.8</v>
      </c>
      <c r="L1132" s="2">
        <v>109.34</v>
      </c>
      <c r="M1132">
        <v>2025</v>
      </c>
      <c r="N1132">
        <v>2</v>
      </c>
      <c r="O1132" t="s">
        <v>117</v>
      </c>
      <c r="P1132" s="2">
        <v>127.14</v>
      </c>
      <c r="Q1132" s="2">
        <v>17.8</v>
      </c>
      <c r="R1132" t="s">
        <v>79</v>
      </c>
      <c r="S1132">
        <v>0</v>
      </c>
      <c r="T1132">
        <v>0</v>
      </c>
      <c r="U1132">
        <f>IF(AND(OR(Dashboard!$D$4="Semua",D1132=Dashboard!$D$4),OR(Dashboard!$H$4="Semua",E1132=Dashboard!$H$4)),1,0)</f>
        <v>1</v>
      </c>
      <c r="V1132">
        <f>IF(U1132=1,IF(COUNTIFS($C$2:C1132,C1132,$U$2:U1132,1)=1,1,0),0)</f>
        <v>0</v>
      </c>
    </row>
    <row r="1133" spans="1:22" x14ac:dyDescent="0.35">
      <c r="A1133">
        <v>11132</v>
      </c>
      <c r="B1133" s="1">
        <v>45693</v>
      </c>
      <c r="C1133">
        <v>1545</v>
      </c>
      <c r="D1133" t="s">
        <v>67</v>
      </c>
      <c r="E1133" t="s">
        <v>63</v>
      </c>
      <c r="F1133">
        <v>4</v>
      </c>
      <c r="G1133" s="2">
        <v>548.09</v>
      </c>
      <c r="H1133">
        <v>0.14000000000000001</v>
      </c>
      <c r="I1133" t="s">
        <v>68</v>
      </c>
      <c r="J1133">
        <v>2</v>
      </c>
      <c r="K1133">
        <v>3.2</v>
      </c>
      <c r="L1133" s="2">
        <v>1885.43</v>
      </c>
      <c r="M1133">
        <v>2025</v>
      </c>
      <c r="N1133">
        <v>2</v>
      </c>
      <c r="O1133" t="s">
        <v>117</v>
      </c>
      <c r="P1133" s="2">
        <v>2192.36</v>
      </c>
      <c r="Q1133" s="2">
        <v>306.93</v>
      </c>
      <c r="R1133" t="s">
        <v>79</v>
      </c>
      <c r="S1133">
        <v>0</v>
      </c>
      <c r="T1133">
        <v>0</v>
      </c>
      <c r="U1133">
        <f>IF(AND(OR(Dashboard!$D$4="Semua",D1133=Dashboard!$D$4),OR(Dashboard!$H$4="Semua",E1133=Dashboard!$H$4)),1,0)</f>
        <v>1</v>
      </c>
      <c r="V1133">
        <f>IF(U1133=1,IF(COUNTIFS($C$2:C1133,C1133,$U$2:U1133,1)=1,1,0),0)</f>
        <v>1</v>
      </c>
    </row>
    <row r="1134" spans="1:22" x14ac:dyDescent="0.35">
      <c r="A1134">
        <v>11133</v>
      </c>
      <c r="B1134" s="1">
        <v>45694</v>
      </c>
      <c r="C1134">
        <v>1773</v>
      </c>
      <c r="D1134" t="s">
        <v>80</v>
      </c>
      <c r="E1134" t="s">
        <v>78</v>
      </c>
      <c r="F1134">
        <v>4</v>
      </c>
      <c r="G1134" s="2">
        <v>26.29</v>
      </c>
      <c r="H1134">
        <v>0.11</v>
      </c>
      <c r="I1134" t="s">
        <v>68</v>
      </c>
      <c r="J1134">
        <v>6</v>
      </c>
      <c r="K1134">
        <v>1.6</v>
      </c>
      <c r="L1134" s="2">
        <v>93.59</v>
      </c>
      <c r="M1134">
        <v>2025</v>
      </c>
      <c r="N1134">
        <v>2</v>
      </c>
      <c r="O1134" t="s">
        <v>117</v>
      </c>
      <c r="P1134" s="2">
        <v>105.16</v>
      </c>
      <c r="Q1134" s="2">
        <v>11.57</v>
      </c>
      <c r="R1134" t="s">
        <v>79</v>
      </c>
      <c r="S1134">
        <v>0</v>
      </c>
      <c r="T1134">
        <v>0</v>
      </c>
      <c r="U1134">
        <f>IF(AND(OR(Dashboard!$D$4="Semua",D1134=Dashboard!$D$4),OR(Dashboard!$H$4="Semua",E1134=Dashboard!$H$4)),1,0)</f>
        <v>1</v>
      </c>
      <c r="V1134">
        <f>IF(U1134=1,IF(COUNTIFS($C$2:C1134,C1134,$U$2:U1134,1)=1,1,0),0)</f>
        <v>0</v>
      </c>
    </row>
    <row r="1135" spans="1:22" x14ac:dyDescent="0.35">
      <c r="A1135">
        <v>11134</v>
      </c>
      <c r="B1135" s="1">
        <v>45695</v>
      </c>
      <c r="C1135">
        <v>1052</v>
      </c>
      <c r="D1135" t="s">
        <v>73</v>
      </c>
      <c r="E1135" t="s">
        <v>70</v>
      </c>
      <c r="F1135">
        <v>7</v>
      </c>
      <c r="G1135" s="2">
        <v>397.26</v>
      </c>
      <c r="H1135">
        <v>0.05</v>
      </c>
      <c r="I1135" t="s">
        <v>68</v>
      </c>
      <c r="J1135">
        <v>11</v>
      </c>
      <c r="K1135">
        <v>2.8</v>
      </c>
      <c r="L1135" s="2">
        <v>2641.78</v>
      </c>
      <c r="M1135">
        <v>2025</v>
      </c>
      <c r="N1135">
        <v>2</v>
      </c>
      <c r="O1135" t="s">
        <v>117</v>
      </c>
      <c r="P1135" s="2">
        <v>2780.82</v>
      </c>
      <c r="Q1135" s="2">
        <v>139.04</v>
      </c>
      <c r="R1135" t="s">
        <v>75</v>
      </c>
      <c r="S1135">
        <v>0</v>
      </c>
      <c r="T1135">
        <v>0</v>
      </c>
      <c r="U1135">
        <f>IF(AND(OR(Dashboard!$D$4="Semua",D1135=Dashboard!$D$4),OR(Dashboard!$H$4="Semua",E1135=Dashboard!$H$4)),1,0)</f>
        <v>1</v>
      </c>
      <c r="V1135">
        <f>IF(U1135=1,IF(COUNTIFS($C$2:C1135,C1135,$U$2:U1135,1)=1,1,0),0)</f>
        <v>0</v>
      </c>
    </row>
    <row r="1136" spans="1:22" x14ac:dyDescent="0.35">
      <c r="A1136">
        <v>11135</v>
      </c>
      <c r="B1136" s="1">
        <v>45696</v>
      </c>
      <c r="C1136">
        <v>1449</v>
      </c>
      <c r="D1136" t="s">
        <v>80</v>
      </c>
      <c r="E1136" t="s">
        <v>74</v>
      </c>
      <c r="F1136">
        <v>7</v>
      </c>
      <c r="G1136" s="2">
        <v>239.88</v>
      </c>
      <c r="H1136">
        <v>0</v>
      </c>
      <c r="I1136" t="s">
        <v>68</v>
      </c>
      <c r="J1136">
        <v>1</v>
      </c>
      <c r="K1136">
        <v>1.9</v>
      </c>
      <c r="L1136" s="2">
        <v>1679.16</v>
      </c>
      <c r="M1136">
        <v>2025</v>
      </c>
      <c r="N1136">
        <v>2</v>
      </c>
      <c r="O1136" t="s">
        <v>117</v>
      </c>
      <c r="P1136" s="2">
        <v>1679.16</v>
      </c>
      <c r="Q1136" s="2">
        <v>0</v>
      </c>
      <c r="R1136" t="s">
        <v>75</v>
      </c>
      <c r="S1136">
        <v>0</v>
      </c>
      <c r="T1136">
        <v>0</v>
      </c>
      <c r="U1136">
        <f>IF(AND(OR(Dashboard!$D$4="Semua",D1136=Dashboard!$D$4),OR(Dashboard!$H$4="Semua",E1136=Dashboard!$H$4)),1,0)</f>
        <v>1</v>
      </c>
      <c r="V1136">
        <f>IF(U1136=1,IF(COUNTIFS($C$2:C1136,C1136,$U$2:U1136,1)=1,1,0),0)</f>
        <v>0</v>
      </c>
    </row>
    <row r="1137" spans="1:22" x14ac:dyDescent="0.35">
      <c r="A1137">
        <v>11136</v>
      </c>
      <c r="B1137" s="1">
        <v>45697</v>
      </c>
      <c r="C1137">
        <v>1204</v>
      </c>
      <c r="D1137" t="s">
        <v>62</v>
      </c>
      <c r="E1137" t="s">
        <v>78</v>
      </c>
      <c r="F1137">
        <v>2</v>
      </c>
      <c r="G1137" s="2">
        <v>408.5</v>
      </c>
      <c r="H1137">
        <v>0.34</v>
      </c>
      <c r="I1137" t="s">
        <v>71</v>
      </c>
      <c r="J1137">
        <v>7</v>
      </c>
      <c r="K1137">
        <v>1.5</v>
      </c>
      <c r="L1137" s="2">
        <v>539.22</v>
      </c>
      <c r="M1137">
        <v>2025</v>
      </c>
      <c r="N1137">
        <v>2</v>
      </c>
      <c r="O1137" t="s">
        <v>117</v>
      </c>
      <c r="P1137" s="2">
        <v>817</v>
      </c>
      <c r="Q1137" s="2">
        <v>277.77999999999997</v>
      </c>
      <c r="R1137" t="s">
        <v>72</v>
      </c>
      <c r="S1137">
        <v>0</v>
      </c>
      <c r="T1137">
        <v>0</v>
      </c>
      <c r="U1137">
        <f>IF(AND(OR(Dashboard!$D$4="Semua",D1137=Dashboard!$D$4),OR(Dashboard!$H$4="Semua",E1137=Dashboard!$H$4)),1,0)</f>
        <v>1</v>
      </c>
      <c r="V1137">
        <f>IF(U1137=1,IF(COUNTIFS($C$2:C1137,C1137,$U$2:U1137,1)=1,1,0),0)</f>
        <v>1</v>
      </c>
    </row>
    <row r="1138" spans="1:22" x14ac:dyDescent="0.35">
      <c r="A1138">
        <v>11137</v>
      </c>
      <c r="B1138" s="1">
        <v>45698</v>
      </c>
      <c r="C1138">
        <v>1125</v>
      </c>
      <c r="D1138" t="s">
        <v>62</v>
      </c>
      <c r="E1138" t="s">
        <v>78</v>
      </c>
      <c r="F1138">
        <v>6</v>
      </c>
      <c r="G1138" s="2">
        <v>359.38</v>
      </c>
      <c r="H1138">
        <v>0.33</v>
      </c>
      <c r="I1138" t="s">
        <v>68</v>
      </c>
      <c r="J1138">
        <v>8</v>
      </c>
      <c r="K1138">
        <v>3.8</v>
      </c>
      <c r="L1138" s="2">
        <v>1444.71</v>
      </c>
      <c r="M1138">
        <v>2025</v>
      </c>
      <c r="N1138">
        <v>2</v>
      </c>
      <c r="O1138" t="s">
        <v>117</v>
      </c>
      <c r="P1138" s="2">
        <v>2156.2800000000002</v>
      </c>
      <c r="Q1138" s="2">
        <v>711.57</v>
      </c>
      <c r="R1138" t="s">
        <v>72</v>
      </c>
      <c r="S1138">
        <v>0</v>
      </c>
      <c r="T1138">
        <v>0</v>
      </c>
      <c r="U1138">
        <f>IF(AND(OR(Dashboard!$D$4="Semua",D1138=Dashboard!$D$4),OR(Dashboard!$H$4="Semua",E1138=Dashboard!$H$4)),1,0)</f>
        <v>1</v>
      </c>
      <c r="V1138">
        <f>IF(U1138=1,IF(COUNTIFS($C$2:C1138,C1138,$U$2:U1138,1)=1,1,0),0)</f>
        <v>0</v>
      </c>
    </row>
    <row r="1139" spans="1:22" x14ac:dyDescent="0.35">
      <c r="A1139">
        <v>11138</v>
      </c>
      <c r="B1139" s="1">
        <v>45699</v>
      </c>
      <c r="C1139">
        <v>1746</v>
      </c>
      <c r="D1139" t="s">
        <v>80</v>
      </c>
      <c r="E1139" t="s">
        <v>78</v>
      </c>
      <c r="F1139">
        <v>2</v>
      </c>
      <c r="G1139" s="2">
        <v>145.75</v>
      </c>
      <c r="H1139">
        <v>0.17</v>
      </c>
      <c r="I1139" t="s">
        <v>68</v>
      </c>
      <c r="J1139">
        <v>10</v>
      </c>
      <c r="K1139">
        <v>3.5</v>
      </c>
      <c r="L1139" s="2">
        <v>241.94</v>
      </c>
      <c r="M1139">
        <v>2025</v>
      </c>
      <c r="N1139">
        <v>2</v>
      </c>
      <c r="O1139" t="s">
        <v>117</v>
      </c>
      <c r="P1139" s="2">
        <v>291.5</v>
      </c>
      <c r="Q1139" s="2">
        <v>49.56</v>
      </c>
      <c r="R1139" t="s">
        <v>76</v>
      </c>
      <c r="S1139">
        <v>0</v>
      </c>
      <c r="T1139">
        <v>0</v>
      </c>
      <c r="U1139">
        <f>IF(AND(OR(Dashboard!$D$4="Semua",D1139=Dashboard!$D$4),OR(Dashboard!$H$4="Semua",E1139=Dashboard!$H$4)),1,0)</f>
        <v>1</v>
      </c>
      <c r="V1139">
        <f>IF(U1139=1,IF(COUNTIFS($C$2:C1139,C1139,$U$2:U1139,1)=1,1,0),0)</f>
        <v>1</v>
      </c>
    </row>
    <row r="1140" spans="1:22" x14ac:dyDescent="0.35">
      <c r="A1140">
        <v>11139</v>
      </c>
      <c r="B1140" s="1">
        <v>45700</v>
      </c>
      <c r="C1140">
        <v>1042</v>
      </c>
      <c r="D1140" t="s">
        <v>73</v>
      </c>
      <c r="E1140" t="s">
        <v>63</v>
      </c>
      <c r="F1140">
        <v>1</v>
      </c>
      <c r="G1140" s="2">
        <v>510.62</v>
      </c>
      <c r="H1140">
        <v>0.35</v>
      </c>
      <c r="I1140" t="s">
        <v>64</v>
      </c>
      <c r="J1140">
        <v>8</v>
      </c>
      <c r="K1140">
        <v>3</v>
      </c>
      <c r="L1140" s="2">
        <v>331.9</v>
      </c>
      <c r="M1140">
        <v>2025</v>
      </c>
      <c r="N1140">
        <v>2</v>
      </c>
      <c r="O1140" t="s">
        <v>117</v>
      </c>
      <c r="P1140" s="2">
        <v>510.62</v>
      </c>
      <c r="Q1140" s="2">
        <v>178.72</v>
      </c>
      <c r="R1140" t="s">
        <v>72</v>
      </c>
      <c r="S1140">
        <v>0</v>
      </c>
      <c r="T1140">
        <v>0</v>
      </c>
      <c r="U1140">
        <f>IF(AND(OR(Dashboard!$D$4="Semua",D1140=Dashboard!$D$4),OR(Dashboard!$H$4="Semua",E1140=Dashboard!$H$4)),1,0)</f>
        <v>1</v>
      </c>
      <c r="V1140">
        <f>IF(U1140=1,IF(COUNTIFS($C$2:C1140,C1140,$U$2:U1140,1)=1,1,0),0)</f>
        <v>0</v>
      </c>
    </row>
    <row r="1141" spans="1:22" x14ac:dyDescent="0.35">
      <c r="A1141">
        <v>11140</v>
      </c>
      <c r="B1141" s="1">
        <v>45701</v>
      </c>
      <c r="C1141">
        <v>1751</v>
      </c>
      <c r="D1141" t="s">
        <v>73</v>
      </c>
      <c r="E1141" t="s">
        <v>70</v>
      </c>
      <c r="F1141">
        <v>2</v>
      </c>
      <c r="G1141" s="2">
        <v>302.79000000000002</v>
      </c>
      <c r="H1141">
        <v>0.24</v>
      </c>
      <c r="I1141" t="s">
        <v>71</v>
      </c>
      <c r="J1141">
        <v>3</v>
      </c>
      <c r="K1141">
        <v>2.7</v>
      </c>
      <c r="L1141" s="2">
        <v>460.24</v>
      </c>
      <c r="M1141">
        <v>2025</v>
      </c>
      <c r="N1141">
        <v>2</v>
      </c>
      <c r="O1141" t="s">
        <v>117</v>
      </c>
      <c r="P1141" s="2">
        <v>605.58000000000004</v>
      </c>
      <c r="Q1141" s="2">
        <v>145.34</v>
      </c>
      <c r="R1141" t="s">
        <v>77</v>
      </c>
      <c r="S1141">
        <v>0</v>
      </c>
      <c r="T1141">
        <v>0</v>
      </c>
      <c r="U1141">
        <f>IF(AND(OR(Dashboard!$D$4="Semua",D1141=Dashboard!$D$4),OR(Dashboard!$H$4="Semua",E1141=Dashboard!$H$4)),1,0)</f>
        <v>1</v>
      </c>
      <c r="V1141">
        <f>IF(U1141=1,IF(COUNTIFS($C$2:C1141,C1141,$U$2:U1141,1)=1,1,0),0)</f>
        <v>0</v>
      </c>
    </row>
    <row r="1142" spans="1:22" x14ac:dyDescent="0.35">
      <c r="A1142">
        <v>11141</v>
      </c>
      <c r="B1142" s="1">
        <v>45702</v>
      </c>
      <c r="C1142">
        <v>1970</v>
      </c>
      <c r="D1142" t="s">
        <v>62</v>
      </c>
      <c r="E1142" t="s">
        <v>63</v>
      </c>
      <c r="F1142">
        <v>5</v>
      </c>
      <c r="G1142" s="2">
        <v>496.18</v>
      </c>
      <c r="H1142">
        <v>0.02</v>
      </c>
      <c r="I1142" t="s">
        <v>68</v>
      </c>
      <c r="J1142">
        <v>7</v>
      </c>
      <c r="K1142">
        <v>2.2999999999999998</v>
      </c>
      <c r="L1142" s="2">
        <v>2431.2800000000002</v>
      </c>
      <c r="M1142">
        <v>2025</v>
      </c>
      <c r="N1142">
        <v>2</v>
      </c>
      <c r="O1142" t="s">
        <v>117</v>
      </c>
      <c r="P1142" s="2">
        <v>2480.9</v>
      </c>
      <c r="Q1142" s="2">
        <v>49.62</v>
      </c>
      <c r="R1142" t="s">
        <v>75</v>
      </c>
      <c r="S1142">
        <v>0</v>
      </c>
      <c r="T1142">
        <v>0</v>
      </c>
      <c r="U1142">
        <f>IF(AND(OR(Dashboard!$D$4="Semua",D1142=Dashboard!$D$4),OR(Dashboard!$H$4="Semua",E1142=Dashboard!$H$4)),1,0)</f>
        <v>1</v>
      </c>
      <c r="V1142">
        <f>IF(U1142=1,IF(COUNTIFS($C$2:C1142,C1142,$U$2:U1142,1)=1,1,0),0)</f>
        <v>0</v>
      </c>
    </row>
    <row r="1143" spans="1:22" x14ac:dyDescent="0.35">
      <c r="A1143">
        <v>11142</v>
      </c>
      <c r="B1143" s="1">
        <v>45703</v>
      </c>
      <c r="C1143">
        <v>1882</v>
      </c>
      <c r="D1143" t="s">
        <v>73</v>
      </c>
      <c r="E1143" t="s">
        <v>74</v>
      </c>
      <c r="F1143">
        <v>4</v>
      </c>
      <c r="G1143" s="2">
        <v>252.52</v>
      </c>
      <c r="H1143">
        <v>0.04</v>
      </c>
      <c r="I1143" t="s">
        <v>71</v>
      </c>
      <c r="J1143">
        <v>1</v>
      </c>
      <c r="K1143">
        <v>1.4</v>
      </c>
      <c r="L1143" s="2">
        <v>969.68</v>
      </c>
      <c r="M1143">
        <v>2025</v>
      </c>
      <c r="N1143">
        <v>2</v>
      </c>
      <c r="O1143" t="s">
        <v>117</v>
      </c>
      <c r="P1143" s="2">
        <v>1010.08</v>
      </c>
      <c r="Q1143" s="2">
        <v>40.4</v>
      </c>
      <c r="R1143" t="s">
        <v>75</v>
      </c>
      <c r="S1143">
        <v>0</v>
      </c>
      <c r="T1143">
        <v>0</v>
      </c>
      <c r="U1143">
        <f>IF(AND(OR(Dashboard!$D$4="Semua",D1143=Dashboard!$D$4),OR(Dashboard!$H$4="Semua",E1143=Dashboard!$H$4)),1,0)</f>
        <v>1</v>
      </c>
      <c r="V1143">
        <f>IF(U1143=1,IF(COUNTIFS($C$2:C1143,C1143,$U$2:U1143,1)=1,1,0),0)</f>
        <v>0</v>
      </c>
    </row>
    <row r="1144" spans="1:22" x14ac:dyDescent="0.35">
      <c r="A1144">
        <v>11143</v>
      </c>
      <c r="B1144" s="1">
        <v>45704</v>
      </c>
      <c r="C1144">
        <v>1110</v>
      </c>
      <c r="D1144" t="s">
        <v>80</v>
      </c>
      <c r="E1144" t="s">
        <v>63</v>
      </c>
      <c r="F1144">
        <v>2</v>
      </c>
      <c r="G1144" s="2">
        <v>591.04</v>
      </c>
      <c r="H1144">
        <v>0.32</v>
      </c>
      <c r="I1144" t="s">
        <v>68</v>
      </c>
      <c r="J1144">
        <v>11</v>
      </c>
      <c r="K1144">
        <v>2.2000000000000002</v>
      </c>
      <c r="L1144" s="2">
        <v>803.81</v>
      </c>
      <c r="M1144">
        <v>2025</v>
      </c>
      <c r="N1144">
        <v>2</v>
      </c>
      <c r="O1144" t="s">
        <v>117</v>
      </c>
      <c r="P1144" s="2">
        <v>1182.08</v>
      </c>
      <c r="Q1144" s="2">
        <v>378.27</v>
      </c>
      <c r="R1144" t="s">
        <v>72</v>
      </c>
      <c r="S1144">
        <v>0</v>
      </c>
      <c r="T1144">
        <v>0</v>
      </c>
      <c r="U1144">
        <f>IF(AND(OR(Dashboard!$D$4="Semua",D1144=Dashboard!$D$4),OR(Dashboard!$H$4="Semua",E1144=Dashboard!$H$4)),1,0)</f>
        <v>1</v>
      </c>
      <c r="V1144">
        <f>IF(U1144=1,IF(COUNTIFS($C$2:C1144,C1144,$U$2:U1144,1)=1,1,0),0)</f>
        <v>1</v>
      </c>
    </row>
    <row r="1145" spans="1:22" x14ac:dyDescent="0.35">
      <c r="A1145">
        <v>11144</v>
      </c>
      <c r="B1145" s="1">
        <v>45705</v>
      </c>
      <c r="C1145">
        <v>1760</v>
      </c>
      <c r="D1145" t="s">
        <v>80</v>
      </c>
      <c r="E1145" t="s">
        <v>78</v>
      </c>
      <c r="F1145">
        <v>2</v>
      </c>
      <c r="G1145" s="2">
        <v>465.74</v>
      </c>
      <c r="H1145">
        <v>0.22</v>
      </c>
      <c r="I1145" t="s">
        <v>71</v>
      </c>
      <c r="J1145">
        <v>3</v>
      </c>
      <c r="K1145">
        <v>4.4000000000000004</v>
      </c>
      <c r="L1145" s="2">
        <v>726.55</v>
      </c>
      <c r="M1145">
        <v>2025</v>
      </c>
      <c r="N1145">
        <v>2</v>
      </c>
      <c r="O1145" t="s">
        <v>117</v>
      </c>
      <c r="P1145" s="2">
        <v>931.48</v>
      </c>
      <c r="Q1145" s="2">
        <v>204.93</v>
      </c>
      <c r="R1145" t="s">
        <v>77</v>
      </c>
      <c r="S1145">
        <v>0</v>
      </c>
      <c r="T1145">
        <v>0</v>
      </c>
      <c r="U1145">
        <f>IF(AND(OR(Dashboard!$D$4="Semua",D1145=Dashboard!$D$4),OR(Dashboard!$H$4="Semua",E1145=Dashboard!$H$4)),1,0)</f>
        <v>1</v>
      </c>
      <c r="V1145">
        <f>IF(U1145=1,IF(COUNTIFS($C$2:C1145,C1145,$U$2:U1145,1)=1,1,0),0)</f>
        <v>0</v>
      </c>
    </row>
    <row r="1146" spans="1:22" x14ac:dyDescent="0.35">
      <c r="A1146">
        <v>11145</v>
      </c>
      <c r="B1146" s="1">
        <v>45706</v>
      </c>
      <c r="C1146">
        <v>1662</v>
      </c>
      <c r="D1146" t="s">
        <v>67</v>
      </c>
      <c r="E1146" t="s">
        <v>63</v>
      </c>
      <c r="F1146">
        <v>3</v>
      </c>
      <c r="G1146" s="2">
        <v>580.08000000000004</v>
      </c>
      <c r="H1146">
        <v>0.3</v>
      </c>
      <c r="I1146" t="s">
        <v>71</v>
      </c>
      <c r="J1146">
        <v>6</v>
      </c>
      <c r="K1146">
        <v>4.0999999999999996</v>
      </c>
      <c r="L1146" s="2">
        <v>1218.17</v>
      </c>
      <c r="M1146">
        <v>2025</v>
      </c>
      <c r="N1146">
        <v>2</v>
      </c>
      <c r="O1146" t="s">
        <v>117</v>
      </c>
      <c r="P1146" s="2">
        <v>1740.24</v>
      </c>
      <c r="Q1146" s="2">
        <v>522.07000000000005</v>
      </c>
      <c r="R1146" t="s">
        <v>66</v>
      </c>
      <c r="S1146">
        <v>0</v>
      </c>
      <c r="T1146">
        <v>0</v>
      </c>
      <c r="U1146">
        <f>IF(AND(OR(Dashboard!$D$4="Semua",D1146=Dashboard!$D$4),OR(Dashboard!$H$4="Semua",E1146=Dashboard!$H$4)),1,0)</f>
        <v>1</v>
      </c>
      <c r="V1146">
        <f>IF(U1146=1,IF(COUNTIFS($C$2:C1146,C1146,$U$2:U1146,1)=1,1,0),0)</f>
        <v>0</v>
      </c>
    </row>
    <row r="1147" spans="1:22" x14ac:dyDescent="0.35">
      <c r="A1147">
        <v>11146</v>
      </c>
      <c r="B1147" s="1">
        <v>45707</v>
      </c>
      <c r="C1147">
        <v>1182</v>
      </c>
      <c r="D1147" t="s">
        <v>62</v>
      </c>
      <c r="E1147" t="s">
        <v>78</v>
      </c>
      <c r="F1147">
        <v>2</v>
      </c>
      <c r="G1147" s="2">
        <v>315.88</v>
      </c>
      <c r="H1147">
        <v>0.31</v>
      </c>
      <c r="I1147" t="s">
        <v>71</v>
      </c>
      <c r="J1147">
        <v>9</v>
      </c>
      <c r="K1147">
        <v>4.9000000000000004</v>
      </c>
      <c r="L1147" s="2">
        <v>435.91</v>
      </c>
      <c r="M1147">
        <v>2025</v>
      </c>
      <c r="N1147">
        <v>2</v>
      </c>
      <c r="O1147" t="s">
        <v>117</v>
      </c>
      <c r="P1147" s="2">
        <v>631.76</v>
      </c>
      <c r="Q1147" s="2">
        <v>195.85</v>
      </c>
      <c r="R1147" t="s">
        <v>72</v>
      </c>
      <c r="S1147">
        <v>0</v>
      </c>
      <c r="T1147">
        <v>0</v>
      </c>
      <c r="U1147">
        <f>IF(AND(OR(Dashboard!$D$4="Semua",D1147=Dashboard!$D$4),OR(Dashboard!$H$4="Semua",E1147=Dashboard!$H$4)),1,0)</f>
        <v>1</v>
      </c>
      <c r="V1147">
        <f>IF(U1147=1,IF(COUNTIFS($C$2:C1147,C1147,$U$2:U1147,1)=1,1,0),0)</f>
        <v>1</v>
      </c>
    </row>
    <row r="1148" spans="1:22" x14ac:dyDescent="0.35">
      <c r="A1148">
        <v>11147</v>
      </c>
      <c r="B1148" s="1">
        <v>45708</v>
      </c>
      <c r="C1148">
        <v>1847</v>
      </c>
      <c r="D1148" t="s">
        <v>73</v>
      </c>
      <c r="E1148" t="s">
        <v>70</v>
      </c>
      <c r="F1148">
        <v>5</v>
      </c>
      <c r="G1148" s="2">
        <v>292.11</v>
      </c>
      <c r="H1148">
        <v>0.16</v>
      </c>
      <c r="I1148" t="s">
        <v>71</v>
      </c>
      <c r="J1148">
        <v>5</v>
      </c>
      <c r="K1148">
        <v>3.6</v>
      </c>
      <c r="L1148" s="2">
        <v>1226.8599999999999</v>
      </c>
      <c r="M1148">
        <v>2025</v>
      </c>
      <c r="N1148">
        <v>2</v>
      </c>
      <c r="O1148" t="s">
        <v>117</v>
      </c>
      <c r="P1148" s="2">
        <v>1460.55</v>
      </c>
      <c r="Q1148" s="2">
        <v>233.69</v>
      </c>
      <c r="R1148" t="s">
        <v>76</v>
      </c>
      <c r="S1148">
        <v>0</v>
      </c>
      <c r="T1148">
        <v>0</v>
      </c>
      <c r="U1148">
        <f>IF(AND(OR(Dashboard!$D$4="Semua",D1148=Dashboard!$D$4),OR(Dashboard!$H$4="Semua",E1148=Dashboard!$H$4)),1,0)</f>
        <v>1</v>
      </c>
      <c r="V1148">
        <f>IF(U1148=1,IF(COUNTIFS($C$2:C1148,C1148,$U$2:U1148,1)=1,1,0),0)</f>
        <v>1</v>
      </c>
    </row>
    <row r="1149" spans="1:22" x14ac:dyDescent="0.35">
      <c r="A1149">
        <v>11148</v>
      </c>
      <c r="B1149" s="1">
        <v>45709</v>
      </c>
      <c r="C1149">
        <v>1094</v>
      </c>
      <c r="D1149" t="s">
        <v>73</v>
      </c>
      <c r="E1149" t="s">
        <v>63</v>
      </c>
      <c r="F1149">
        <v>4</v>
      </c>
      <c r="G1149" s="2">
        <v>456.94</v>
      </c>
      <c r="H1149">
        <v>0.02</v>
      </c>
      <c r="I1149" t="s">
        <v>68</v>
      </c>
      <c r="J1149">
        <v>5</v>
      </c>
      <c r="K1149">
        <v>3.2</v>
      </c>
      <c r="L1149" s="2">
        <v>1791.2</v>
      </c>
      <c r="M1149">
        <v>2025</v>
      </c>
      <c r="N1149">
        <v>2</v>
      </c>
      <c r="O1149" t="s">
        <v>117</v>
      </c>
      <c r="P1149" s="2">
        <v>1827.76</v>
      </c>
      <c r="Q1149" s="2">
        <v>36.56</v>
      </c>
      <c r="R1149" t="s">
        <v>75</v>
      </c>
      <c r="S1149">
        <v>0</v>
      </c>
      <c r="T1149">
        <v>0</v>
      </c>
      <c r="U1149">
        <f>IF(AND(OR(Dashboard!$D$4="Semua",D1149=Dashboard!$D$4),OR(Dashboard!$H$4="Semua",E1149=Dashboard!$H$4)),1,0)</f>
        <v>1</v>
      </c>
      <c r="V1149">
        <f>IF(U1149=1,IF(COUNTIFS($C$2:C1149,C1149,$U$2:U1149,1)=1,1,0),0)</f>
        <v>0</v>
      </c>
    </row>
    <row r="1150" spans="1:22" x14ac:dyDescent="0.35">
      <c r="A1150">
        <v>11149</v>
      </c>
      <c r="B1150" s="1">
        <v>45710</v>
      </c>
      <c r="C1150">
        <v>1970</v>
      </c>
      <c r="D1150" t="s">
        <v>73</v>
      </c>
      <c r="E1150" t="s">
        <v>63</v>
      </c>
      <c r="F1150">
        <v>3</v>
      </c>
      <c r="G1150" s="2">
        <v>529.97</v>
      </c>
      <c r="H1150">
        <v>7.0000000000000007E-2</v>
      </c>
      <c r="I1150" t="s">
        <v>71</v>
      </c>
      <c r="J1150">
        <v>9</v>
      </c>
      <c r="K1150">
        <v>2.2000000000000002</v>
      </c>
      <c r="L1150" s="2">
        <v>1478.62</v>
      </c>
      <c r="M1150">
        <v>2025</v>
      </c>
      <c r="N1150">
        <v>2</v>
      </c>
      <c r="O1150" t="s">
        <v>117</v>
      </c>
      <c r="P1150" s="2">
        <v>1589.91</v>
      </c>
      <c r="Q1150" s="2">
        <v>111.29</v>
      </c>
      <c r="R1150" t="s">
        <v>69</v>
      </c>
      <c r="S1150">
        <v>0</v>
      </c>
      <c r="T1150">
        <v>0</v>
      </c>
      <c r="U1150">
        <f>IF(AND(OR(Dashboard!$D$4="Semua",D1150=Dashboard!$D$4),OR(Dashboard!$H$4="Semua",E1150=Dashboard!$H$4)),1,0)</f>
        <v>1</v>
      </c>
      <c r="V1150">
        <f>IF(U1150=1,IF(COUNTIFS($C$2:C1150,C1150,$U$2:U1150,1)=1,1,0),0)</f>
        <v>0</v>
      </c>
    </row>
    <row r="1151" spans="1:22" x14ac:dyDescent="0.35">
      <c r="A1151">
        <v>11150</v>
      </c>
      <c r="B1151" s="1">
        <v>45711</v>
      </c>
      <c r="C1151">
        <v>1373</v>
      </c>
      <c r="D1151" t="s">
        <v>67</v>
      </c>
      <c r="E1151" t="s">
        <v>63</v>
      </c>
      <c r="F1151">
        <v>1</v>
      </c>
      <c r="G1151" s="2">
        <v>579.03</v>
      </c>
      <c r="H1151">
        <v>0.02</v>
      </c>
      <c r="I1151" t="s">
        <v>68</v>
      </c>
      <c r="J1151">
        <v>9</v>
      </c>
      <c r="K1151">
        <v>1.3</v>
      </c>
      <c r="L1151" s="2">
        <v>567.45000000000005</v>
      </c>
      <c r="M1151">
        <v>2025</v>
      </c>
      <c r="N1151">
        <v>2</v>
      </c>
      <c r="O1151" t="s">
        <v>117</v>
      </c>
      <c r="P1151" s="2">
        <v>579.03</v>
      </c>
      <c r="Q1151" s="2">
        <v>11.58</v>
      </c>
      <c r="R1151" t="s">
        <v>75</v>
      </c>
      <c r="S1151">
        <v>0</v>
      </c>
      <c r="T1151">
        <v>0</v>
      </c>
      <c r="U1151">
        <f>IF(AND(OR(Dashboard!$D$4="Semua",D1151=Dashboard!$D$4),OR(Dashboard!$H$4="Semua",E1151=Dashboard!$H$4)),1,0)</f>
        <v>1</v>
      </c>
      <c r="V1151">
        <f>IF(U1151=1,IF(COUNTIFS($C$2:C1151,C1151,$U$2:U1151,1)=1,1,0),0)</f>
        <v>0</v>
      </c>
    </row>
    <row r="1152" spans="1:22" x14ac:dyDescent="0.35">
      <c r="A1152">
        <v>11151</v>
      </c>
      <c r="B1152" s="1">
        <v>45712</v>
      </c>
      <c r="C1152">
        <v>1911</v>
      </c>
      <c r="D1152" t="s">
        <v>73</v>
      </c>
      <c r="E1152" t="s">
        <v>78</v>
      </c>
      <c r="F1152">
        <v>7</v>
      </c>
      <c r="G1152" s="2">
        <v>204.86</v>
      </c>
      <c r="H1152">
        <v>7.0000000000000007E-2</v>
      </c>
      <c r="I1152" t="s">
        <v>68</v>
      </c>
      <c r="J1152">
        <v>6</v>
      </c>
      <c r="K1152">
        <v>3.5</v>
      </c>
      <c r="L1152" s="2">
        <v>1333.64</v>
      </c>
      <c r="M1152">
        <v>2025</v>
      </c>
      <c r="N1152">
        <v>2</v>
      </c>
      <c r="O1152" t="s">
        <v>117</v>
      </c>
      <c r="P1152" s="2">
        <v>1434.02</v>
      </c>
      <c r="Q1152" s="2">
        <v>100.38</v>
      </c>
      <c r="R1152" t="s">
        <v>69</v>
      </c>
      <c r="S1152">
        <v>0</v>
      </c>
      <c r="T1152">
        <v>0</v>
      </c>
      <c r="U1152">
        <f>IF(AND(OR(Dashboard!$D$4="Semua",D1152=Dashboard!$D$4),OR(Dashboard!$H$4="Semua",E1152=Dashboard!$H$4)),1,0)</f>
        <v>1</v>
      </c>
      <c r="V1152">
        <f>IF(U1152=1,IF(COUNTIFS($C$2:C1152,C1152,$U$2:U1152,1)=1,1,0),0)</f>
        <v>0</v>
      </c>
    </row>
    <row r="1153" spans="1:22" x14ac:dyDescent="0.35">
      <c r="A1153">
        <v>11152</v>
      </c>
      <c r="B1153" s="1">
        <v>45713</v>
      </c>
      <c r="C1153">
        <v>1519</v>
      </c>
      <c r="D1153" t="s">
        <v>73</v>
      </c>
      <c r="E1153" t="s">
        <v>78</v>
      </c>
      <c r="F1153">
        <v>1</v>
      </c>
      <c r="G1153" s="2">
        <v>482.24</v>
      </c>
      <c r="H1153">
        <v>0.14000000000000001</v>
      </c>
      <c r="I1153" t="s">
        <v>64</v>
      </c>
      <c r="J1153">
        <v>5</v>
      </c>
      <c r="K1153">
        <v>3</v>
      </c>
      <c r="L1153" s="2">
        <v>414.73</v>
      </c>
      <c r="M1153">
        <v>2025</v>
      </c>
      <c r="N1153">
        <v>2</v>
      </c>
      <c r="O1153" t="s">
        <v>117</v>
      </c>
      <c r="P1153" s="2">
        <v>482.24</v>
      </c>
      <c r="Q1153" s="2">
        <v>67.510000000000005</v>
      </c>
      <c r="R1153" t="s">
        <v>79</v>
      </c>
      <c r="S1153">
        <v>0</v>
      </c>
      <c r="T1153">
        <v>0</v>
      </c>
      <c r="U1153">
        <f>IF(AND(OR(Dashboard!$D$4="Semua",D1153=Dashboard!$D$4),OR(Dashboard!$H$4="Semua",E1153=Dashboard!$H$4)),1,0)</f>
        <v>1</v>
      </c>
      <c r="V1153">
        <f>IF(U1153=1,IF(COUNTIFS($C$2:C1153,C1153,$U$2:U1153,1)=1,1,0),0)</f>
        <v>1</v>
      </c>
    </row>
    <row r="1154" spans="1:22" x14ac:dyDescent="0.35">
      <c r="A1154">
        <v>11153</v>
      </c>
      <c r="B1154" s="1">
        <v>45714</v>
      </c>
      <c r="C1154">
        <v>1899</v>
      </c>
      <c r="D1154" t="s">
        <v>80</v>
      </c>
      <c r="E1154" t="s">
        <v>63</v>
      </c>
      <c r="F1154">
        <v>4</v>
      </c>
      <c r="G1154" s="2">
        <v>138.22999999999999</v>
      </c>
      <c r="H1154">
        <v>0.04</v>
      </c>
      <c r="I1154" t="s">
        <v>71</v>
      </c>
      <c r="J1154">
        <v>10</v>
      </c>
      <c r="K1154">
        <v>4</v>
      </c>
      <c r="L1154" s="2">
        <v>530.79999999999995</v>
      </c>
      <c r="M1154">
        <v>2025</v>
      </c>
      <c r="N1154">
        <v>2</v>
      </c>
      <c r="O1154" t="s">
        <v>117</v>
      </c>
      <c r="P1154" s="2">
        <v>552.91999999999996</v>
      </c>
      <c r="Q1154" s="2">
        <v>22.12</v>
      </c>
      <c r="R1154" t="s">
        <v>75</v>
      </c>
      <c r="S1154">
        <v>0</v>
      </c>
      <c r="T1154">
        <v>0</v>
      </c>
      <c r="U1154">
        <f>IF(AND(OR(Dashboard!$D$4="Semua",D1154=Dashboard!$D$4),OR(Dashboard!$H$4="Semua",E1154=Dashboard!$H$4)),1,0)</f>
        <v>1</v>
      </c>
      <c r="V1154">
        <f>IF(U1154=1,IF(COUNTIFS($C$2:C1154,C1154,$U$2:U1154,1)=1,1,0),0)</f>
        <v>0</v>
      </c>
    </row>
    <row r="1155" spans="1:22" x14ac:dyDescent="0.35">
      <c r="A1155">
        <v>11154</v>
      </c>
      <c r="B1155" s="1">
        <v>45715</v>
      </c>
      <c r="C1155">
        <v>1359</v>
      </c>
      <c r="D1155" t="s">
        <v>62</v>
      </c>
      <c r="E1155" t="s">
        <v>63</v>
      </c>
      <c r="F1155">
        <v>7</v>
      </c>
      <c r="G1155" s="2">
        <v>334.16</v>
      </c>
      <c r="H1155">
        <v>0.06</v>
      </c>
      <c r="I1155" t="s">
        <v>64</v>
      </c>
      <c r="J1155">
        <v>2</v>
      </c>
      <c r="K1155">
        <v>2.6</v>
      </c>
      <c r="L1155" s="2">
        <v>2198.77</v>
      </c>
      <c r="M1155">
        <v>2025</v>
      </c>
      <c r="N1155">
        <v>2</v>
      </c>
      <c r="O1155" t="s">
        <v>117</v>
      </c>
      <c r="P1155" s="2">
        <v>2339.12</v>
      </c>
      <c r="Q1155" s="2">
        <v>140.35</v>
      </c>
      <c r="R1155" t="s">
        <v>69</v>
      </c>
      <c r="S1155">
        <v>0</v>
      </c>
      <c r="T1155">
        <v>0</v>
      </c>
      <c r="U1155">
        <f>IF(AND(OR(Dashboard!$D$4="Semua",D1155=Dashboard!$D$4),OR(Dashboard!$H$4="Semua",E1155=Dashboard!$H$4)),1,0)</f>
        <v>1</v>
      </c>
      <c r="V1155">
        <f>IF(U1155=1,IF(COUNTIFS($C$2:C1155,C1155,$U$2:U1155,1)=1,1,0),0)</f>
        <v>1</v>
      </c>
    </row>
    <row r="1156" spans="1:22" x14ac:dyDescent="0.35">
      <c r="A1156">
        <v>11155</v>
      </c>
      <c r="B1156" s="1">
        <v>45716</v>
      </c>
      <c r="C1156">
        <v>1899</v>
      </c>
      <c r="D1156" t="s">
        <v>73</v>
      </c>
      <c r="E1156" t="s">
        <v>70</v>
      </c>
      <c r="F1156">
        <v>1</v>
      </c>
      <c r="G1156" s="2">
        <v>120.21</v>
      </c>
      <c r="H1156">
        <v>0.16</v>
      </c>
      <c r="I1156" t="s">
        <v>68</v>
      </c>
      <c r="J1156">
        <v>11</v>
      </c>
      <c r="K1156">
        <v>4.9000000000000004</v>
      </c>
      <c r="L1156" s="2">
        <v>100.98</v>
      </c>
      <c r="M1156">
        <v>2025</v>
      </c>
      <c r="N1156">
        <v>2</v>
      </c>
      <c r="O1156" t="s">
        <v>117</v>
      </c>
      <c r="P1156" s="2">
        <v>120.21</v>
      </c>
      <c r="Q1156" s="2">
        <v>19.23</v>
      </c>
      <c r="R1156" t="s">
        <v>76</v>
      </c>
      <c r="S1156">
        <v>0</v>
      </c>
      <c r="T1156">
        <v>0</v>
      </c>
      <c r="U1156">
        <f>IF(AND(OR(Dashboard!$D$4="Semua",D1156=Dashboard!$D$4),OR(Dashboard!$H$4="Semua",E1156=Dashboard!$H$4)),1,0)</f>
        <v>1</v>
      </c>
      <c r="V1156">
        <f>IF(U1156=1,IF(COUNTIFS($C$2:C1156,C1156,$U$2:U1156,1)=1,1,0),0)</f>
        <v>0</v>
      </c>
    </row>
    <row r="1157" spans="1:22" x14ac:dyDescent="0.35">
      <c r="A1157">
        <v>11156</v>
      </c>
      <c r="B1157" s="1">
        <v>45717</v>
      </c>
      <c r="C1157">
        <v>1695</v>
      </c>
      <c r="D1157" t="s">
        <v>67</v>
      </c>
      <c r="E1157" t="s">
        <v>70</v>
      </c>
      <c r="F1157">
        <v>5</v>
      </c>
      <c r="G1157" s="2">
        <v>218.23</v>
      </c>
      <c r="H1157">
        <v>0.12</v>
      </c>
      <c r="I1157" t="s">
        <v>71</v>
      </c>
      <c r="J1157">
        <v>8</v>
      </c>
      <c r="K1157">
        <v>2.6</v>
      </c>
      <c r="L1157" s="2">
        <v>960.21</v>
      </c>
      <c r="M1157">
        <v>2025</v>
      </c>
      <c r="N1157">
        <v>3</v>
      </c>
      <c r="O1157" t="s">
        <v>118</v>
      </c>
      <c r="P1157" s="2">
        <v>1091.1500000000001</v>
      </c>
      <c r="Q1157" s="2">
        <v>130.94</v>
      </c>
      <c r="R1157" t="s">
        <v>79</v>
      </c>
      <c r="S1157">
        <v>0</v>
      </c>
      <c r="T1157">
        <v>0</v>
      </c>
      <c r="U1157">
        <f>IF(AND(OR(Dashboard!$D$4="Semua",D1157=Dashboard!$D$4),OR(Dashboard!$H$4="Semua",E1157=Dashboard!$H$4)),1,0)</f>
        <v>1</v>
      </c>
      <c r="V1157">
        <f>IF(U1157=1,IF(COUNTIFS($C$2:C1157,C1157,$U$2:U1157,1)=1,1,0),0)</f>
        <v>1</v>
      </c>
    </row>
    <row r="1158" spans="1:22" x14ac:dyDescent="0.35">
      <c r="A1158">
        <v>11157</v>
      </c>
      <c r="B1158" s="1">
        <v>45718</v>
      </c>
      <c r="C1158">
        <v>1280</v>
      </c>
      <c r="D1158" t="s">
        <v>62</v>
      </c>
      <c r="E1158" t="s">
        <v>74</v>
      </c>
      <c r="F1158">
        <v>2</v>
      </c>
      <c r="G1158" s="2">
        <v>559.84</v>
      </c>
      <c r="H1158">
        <v>0.16</v>
      </c>
      <c r="I1158" t="s">
        <v>68</v>
      </c>
      <c r="J1158">
        <v>8</v>
      </c>
      <c r="K1158">
        <v>2.2999999999999998</v>
      </c>
      <c r="L1158" s="2">
        <v>940.53</v>
      </c>
      <c r="M1158">
        <v>2025</v>
      </c>
      <c r="N1158">
        <v>3</v>
      </c>
      <c r="O1158" t="s">
        <v>118</v>
      </c>
      <c r="P1158" s="2">
        <v>1119.68</v>
      </c>
      <c r="Q1158" s="2">
        <v>179.15</v>
      </c>
      <c r="R1158" t="s">
        <v>76</v>
      </c>
      <c r="S1158">
        <v>0</v>
      </c>
      <c r="T1158">
        <v>0</v>
      </c>
      <c r="U1158">
        <f>IF(AND(OR(Dashboard!$D$4="Semua",D1158=Dashboard!$D$4),OR(Dashboard!$H$4="Semua",E1158=Dashboard!$H$4)),1,0)</f>
        <v>1</v>
      </c>
      <c r="V1158">
        <f>IF(U1158=1,IF(COUNTIFS($C$2:C1158,C1158,$U$2:U1158,1)=1,1,0),0)</f>
        <v>1</v>
      </c>
    </row>
    <row r="1159" spans="1:22" x14ac:dyDescent="0.35">
      <c r="A1159">
        <v>11158</v>
      </c>
      <c r="B1159" s="1">
        <v>45719</v>
      </c>
      <c r="C1159">
        <v>1194</v>
      </c>
      <c r="D1159" t="s">
        <v>73</v>
      </c>
      <c r="E1159" t="s">
        <v>70</v>
      </c>
      <c r="F1159">
        <v>4</v>
      </c>
      <c r="G1159" s="2">
        <v>100.46</v>
      </c>
      <c r="H1159">
        <v>0.15</v>
      </c>
      <c r="I1159" t="s">
        <v>71</v>
      </c>
      <c r="J1159">
        <v>7</v>
      </c>
      <c r="K1159">
        <v>4.5</v>
      </c>
      <c r="L1159" s="2">
        <v>341.56</v>
      </c>
      <c r="M1159">
        <v>2025</v>
      </c>
      <c r="N1159">
        <v>3</v>
      </c>
      <c r="O1159" t="s">
        <v>118</v>
      </c>
      <c r="P1159" s="2">
        <v>401.84</v>
      </c>
      <c r="Q1159" s="2">
        <v>60.28</v>
      </c>
      <c r="R1159" t="s">
        <v>79</v>
      </c>
      <c r="S1159">
        <v>0</v>
      </c>
      <c r="T1159">
        <v>0</v>
      </c>
      <c r="U1159">
        <f>IF(AND(OR(Dashboard!$D$4="Semua",D1159=Dashboard!$D$4),OR(Dashboard!$H$4="Semua",E1159=Dashboard!$H$4)),1,0)</f>
        <v>1</v>
      </c>
      <c r="V1159">
        <f>IF(U1159=1,IF(COUNTIFS($C$2:C1159,C1159,$U$2:U1159,1)=1,1,0),0)</f>
        <v>0</v>
      </c>
    </row>
    <row r="1160" spans="1:22" x14ac:dyDescent="0.35">
      <c r="A1160">
        <v>11159</v>
      </c>
      <c r="B1160" s="1">
        <v>45720</v>
      </c>
      <c r="C1160">
        <v>1863</v>
      </c>
      <c r="D1160" t="s">
        <v>73</v>
      </c>
      <c r="E1160" t="s">
        <v>70</v>
      </c>
      <c r="F1160">
        <v>7</v>
      </c>
      <c r="G1160" s="2">
        <v>384.95</v>
      </c>
      <c r="H1160">
        <v>0.23</v>
      </c>
      <c r="I1160" t="s">
        <v>68</v>
      </c>
      <c r="J1160">
        <v>8</v>
      </c>
      <c r="K1160">
        <v>2.6</v>
      </c>
      <c r="L1160" s="2">
        <v>2074.88</v>
      </c>
      <c r="M1160">
        <v>2025</v>
      </c>
      <c r="N1160">
        <v>3</v>
      </c>
      <c r="O1160" t="s">
        <v>118</v>
      </c>
      <c r="P1160" s="2">
        <v>2694.65</v>
      </c>
      <c r="Q1160" s="2">
        <v>619.77</v>
      </c>
      <c r="R1160" t="s">
        <v>77</v>
      </c>
      <c r="S1160">
        <v>0</v>
      </c>
      <c r="T1160">
        <v>0</v>
      </c>
      <c r="U1160">
        <f>IF(AND(OR(Dashboard!$D$4="Semua",D1160=Dashboard!$D$4),OR(Dashboard!$H$4="Semua",E1160=Dashboard!$H$4)),1,0)</f>
        <v>1</v>
      </c>
      <c r="V1160">
        <f>IF(U1160=1,IF(COUNTIFS($C$2:C1160,C1160,$U$2:U1160,1)=1,1,0),0)</f>
        <v>0</v>
      </c>
    </row>
    <row r="1161" spans="1:22" x14ac:dyDescent="0.35">
      <c r="A1161">
        <v>11160</v>
      </c>
      <c r="B1161" s="1">
        <v>45721</v>
      </c>
      <c r="C1161">
        <v>1194</v>
      </c>
      <c r="D1161" t="s">
        <v>73</v>
      </c>
      <c r="E1161" t="s">
        <v>70</v>
      </c>
      <c r="F1161">
        <v>3</v>
      </c>
      <c r="G1161" s="2">
        <v>361.88</v>
      </c>
      <c r="H1161">
        <v>0.33</v>
      </c>
      <c r="I1161" t="s">
        <v>68</v>
      </c>
      <c r="J1161">
        <v>3</v>
      </c>
      <c r="K1161">
        <v>4.5</v>
      </c>
      <c r="L1161" s="2">
        <v>727.38</v>
      </c>
      <c r="M1161">
        <v>2025</v>
      </c>
      <c r="N1161">
        <v>3</v>
      </c>
      <c r="O1161" t="s">
        <v>118</v>
      </c>
      <c r="P1161" s="2">
        <v>1085.6400000000001</v>
      </c>
      <c r="Q1161" s="2">
        <v>358.26</v>
      </c>
      <c r="R1161" t="s">
        <v>72</v>
      </c>
      <c r="S1161">
        <v>0</v>
      </c>
      <c r="T1161">
        <v>0</v>
      </c>
      <c r="U1161">
        <f>IF(AND(OR(Dashboard!$D$4="Semua",D1161=Dashboard!$D$4),OR(Dashboard!$H$4="Semua",E1161=Dashboard!$H$4)),1,0)</f>
        <v>1</v>
      </c>
      <c r="V1161">
        <f>IF(U1161=1,IF(COUNTIFS($C$2:C1161,C1161,$U$2:U1161,1)=1,1,0),0)</f>
        <v>0</v>
      </c>
    </row>
    <row r="1162" spans="1:22" x14ac:dyDescent="0.35">
      <c r="A1162">
        <v>11161</v>
      </c>
      <c r="B1162" s="1">
        <v>45722</v>
      </c>
      <c r="C1162">
        <v>1666</v>
      </c>
      <c r="D1162" t="s">
        <v>67</v>
      </c>
      <c r="E1162" t="s">
        <v>78</v>
      </c>
      <c r="F1162">
        <v>2</v>
      </c>
      <c r="G1162" s="2">
        <v>85.63</v>
      </c>
      <c r="H1162">
        <v>0.04</v>
      </c>
      <c r="I1162" t="s">
        <v>68</v>
      </c>
      <c r="J1162">
        <v>3</v>
      </c>
      <c r="K1162">
        <v>1.1000000000000001</v>
      </c>
      <c r="L1162" s="2">
        <v>164.41</v>
      </c>
      <c r="M1162">
        <v>2025</v>
      </c>
      <c r="N1162">
        <v>3</v>
      </c>
      <c r="O1162" t="s">
        <v>118</v>
      </c>
      <c r="P1162" s="2">
        <v>171.26</v>
      </c>
      <c r="Q1162" s="2">
        <v>6.85</v>
      </c>
      <c r="R1162" t="s">
        <v>75</v>
      </c>
      <c r="S1162">
        <v>0</v>
      </c>
      <c r="T1162">
        <v>0</v>
      </c>
      <c r="U1162">
        <f>IF(AND(OR(Dashboard!$D$4="Semua",D1162=Dashboard!$D$4),OR(Dashboard!$H$4="Semua",E1162=Dashboard!$H$4)),1,0)</f>
        <v>1</v>
      </c>
      <c r="V1162">
        <f>IF(U1162=1,IF(COUNTIFS($C$2:C1162,C1162,$U$2:U1162,1)=1,1,0),0)</f>
        <v>1</v>
      </c>
    </row>
    <row r="1163" spans="1:22" x14ac:dyDescent="0.35">
      <c r="A1163">
        <v>11162</v>
      </c>
      <c r="B1163" s="1">
        <v>45723</v>
      </c>
      <c r="C1163">
        <v>1092</v>
      </c>
      <c r="D1163" t="s">
        <v>73</v>
      </c>
      <c r="E1163" t="s">
        <v>70</v>
      </c>
      <c r="F1163">
        <v>1</v>
      </c>
      <c r="G1163" s="2">
        <v>205.7</v>
      </c>
      <c r="H1163">
        <v>0.03</v>
      </c>
      <c r="I1163" t="s">
        <v>71</v>
      </c>
      <c r="J1163">
        <v>2</v>
      </c>
      <c r="K1163">
        <v>3.8</v>
      </c>
      <c r="L1163" s="2">
        <v>199.53</v>
      </c>
      <c r="M1163">
        <v>2025</v>
      </c>
      <c r="N1163">
        <v>3</v>
      </c>
      <c r="O1163" t="s">
        <v>118</v>
      </c>
      <c r="P1163" s="2">
        <v>205.7</v>
      </c>
      <c r="Q1163" s="2">
        <v>6.17</v>
      </c>
      <c r="R1163" t="s">
        <v>75</v>
      </c>
      <c r="S1163">
        <v>0</v>
      </c>
      <c r="T1163">
        <v>0</v>
      </c>
      <c r="U1163">
        <f>IF(AND(OR(Dashboard!$D$4="Semua",D1163=Dashboard!$D$4),OR(Dashboard!$H$4="Semua",E1163=Dashboard!$H$4)),1,0)</f>
        <v>1</v>
      </c>
      <c r="V1163">
        <f>IF(U1163=1,IF(COUNTIFS($C$2:C1163,C1163,$U$2:U1163,1)=1,1,0),0)</f>
        <v>1</v>
      </c>
    </row>
    <row r="1164" spans="1:22" x14ac:dyDescent="0.35">
      <c r="A1164">
        <v>11163</v>
      </c>
      <c r="B1164" s="1">
        <v>45724</v>
      </c>
      <c r="C1164">
        <v>1671</v>
      </c>
      <c r="D1164" t="s">
        <v>62</v>
      </c>
      <c r="E1164" t="s">
        <v>70</v>
      </c>
      <c r="F1164">
        <v>1</v>
      </c>
      <c r="G1164" s="2">
        <v>344.34</v>
      </c>
      <c r="H1164">
        <v>0.3</v>
      </c>
      <c r="I1164" t="s">
        <v>68</v>
      </c>
      <c r="J1164">
        <v>1</v>
      </c>
      <c r="K1164">
        <v>1.3</v>
      </c>
      <c r="L1164" s="2">
        <v>241.04</v>
      </c>
      <c r="M1164">
        <v>2025</v>
      </c>
      <c r="N1164">
        <v>3</v>
      </c>
      <c r="O1164" t="s">
        <v>118</v>
      </c>
      <c r="P1164" s="2">
        <v>344.34</v>
      </c>
      <c r="Q1164" s="2">
        <v>103.3</v>
      </c>
      <c r="R1164" t="s">
        <v>66</v>
      </c>
      <c r="S1164">
        <v>0</v>
      </c>
      <c r="T1164">
        <v>0</v>
      </c>
      <c r="U1164">
        <f>IF(AND(OR(Dashboard!$D$4="Semua",D1164=Dashboard!$D$4),OR(Dashboard!$H$4="Semua",E1164=Dashboard!$H$4)),1,0)</f>
        <v>1</v>
      </c>
      <c r="V1164">
        <f>IF(U1164=1,IF(COUNTIFS($C$2:C1164,C1164,$U$2:U1164,1)=1,1,0),0)</f>
        <v>0</v>
      </c>
    </row>
    <row r="1165" spans="1:22" x14ac:dyDescent="0.35">
      <c r="A1165">
        <v>11164</v>
      </c>
      <c r="B1165" s="1">
        <v>45725</v>
      </c>
      <c r="C1165">
        <v>1945</v>
      </c>
      <c r="D1165" t="s">
        <v>67</v>
      </c>
      <c r="E1165" t="s">
        <v>63</v>
      </c>
      <c r="F1165">
        <v>3</v>
      </c>
      <c r="G1165" s="2">
        <v>124.5</v>
      </c>
      <c r="H1165">
        <v>0.18</v>
      </c>
      <c r="I1165" t="s">
        <v>64</v>
      </c>
      <c r="J1165">
        <v>3</v>
      </c>
      <c r="K1165">
        <v>1.6</v>
      </c>
      <c r="L1165" s="2">
        <v>306.27</v>
      </c>
      <c r="M1165">
        <v>2025</v>
      </c>
      <c r="N1165">
        <v>3</v>
      </c>
      <c r="O1165" t="s">
        <v>118</v>
      </c>
      <c r="P1165" s="2">
        <v>373.5</v>
      </c>
      <c r="Q1165" s="2">
        <v>67.23</v>
      </c>
      <c r="R1165" t="s">
        <v>76</v>
      </c>
      <c r="S1165">
        <v>0</v>
      </c>
      <c r="T1165">
        <v>0</v>
      </c>
      <c r="U1165">
        <f>IF(AND(OR(Dashboard!$D$4="Semua",D1165=Dashboard!$D$4),OR(Dashboard!$H$4="Semua",E1165=Dashboard!$H$4)),1,0)</f>
        <v>1</v>
      </c>
      <c r="V1165">
        <f>IF(U1165=1,IF(COUNTIFS($C$2:C1165,C1165,$U$2:U1165,1)=1,1,0),0)</f>
        <v>0</v>
      </c>
    </row>
    <row r="1166" spans="1:22" x14ac:dyDescent="0.35">
      <c r="A1166">
        <v>11165</v>
      </c>
      <c r="B1166" s="1">
        <v>45726</v>
      </c>
      <c r="C1166">
        <v>1060</v>
      </c>
      <c r="D1166" t="s">
        <v>67</v>
      </c>
      <c r="E1166" t="s">
        <v>78</v>
      </c>
      <c r="F1166">
        <v>5</v>
      </c>
      <c r="G1166" s="2">
        <v>483.36</v>
      </c>
      <c r="H1166">
        <v>0.27</v>
      </c>
      <c r="I1166" t="s">
        <v>68</v>
      </c>
      <c r="J1166">
        <v>3</v>
      </c>
      <c r="K1166">
        <v>3.8</v>
      </c>
      <c r="L1166" s="2">
        <v>1764.26</v>
      </c>
      <c r="M1166">
        <v>2025</v>
      </c>
      <c r="N1166">
        <v>3</v>
      </c>
      <c r="O1166" t="s">
        <v>118</v>
      </c>
      <c r="P1166" s="2">
        <v>2416.8000000000002</v>
      </c>
      <c r="Q1166" s="2">
        <v>652.54</v>
      </c>
      <c r="R1166" t="s">
        <v>66</v>
      </c>
      <c r="S1166">
        <v>0</v>
      </c>
      <c r="T1166">
        <v>0</v>
      </c>
      <c r="U1166">
        <f>IF(AND(OR(Dashboard!$D$4="Semua",D1166=Dashboard!$D$4),OR(Dashboard!$H$4="Semua",E1166=Dashboard!$H$4)),1,0)</f>
        <v>1</v>
      </c>
      <c r="V1166">
        <f>IF(U1166=1,IF(COUNTIFS($C$2:C1166,C1166,$U$2:U1166,1)=1,1,0),0)</f>
        <v>1</v>
      </c>
    </row>
    <row r="1167" spans="1:22" x14ac:dyDescent="0.35">
      <c r="A1167">
        <v>11166</v>
      </c>
      <c r="B1167" s="1">
        <v>45727</v>
      </c>
      <c r="C1167">
        <v>1633</v>
      </c>
      <c r="D1167" t="s">
        <v>73</v>
      </c>
      <c r="E1167" t="s">
        <v>74</v>
      </c>
      <c r="F1167">
        <v>3</v>
      </c>
      <c r="G1167" s="2">
        <v>583.71</v>
      </c>
      <c r="H1167">
        <v>0.08</v>
      </c>
      <c r="I1167" t="s">
        <v>68</v>
      </c>
      <c r="J1167">
        <v>7</v>
      </c>
      <c r="K1167">
        <v>2.2000000000000002</v>
      </c>
      <c r="L1167" s="2">
        <v>1611.04</v>
      </c>
      <c r="M1167">
        <v>2025</v>
      </c>
      <c r="N1167">
        <v>3</v>
      </c>
      <c r="O1167" t="s">
        <v>118</v>
      </c>
      <c r="P1167" s="2">
        <v>1751.13</v>
      </c>
      <c r="Q1167" s="2">
        <v>140.09</v>
      </c>
      <c r="R1167" t="s">
        <v>69</v>
      </c>
      <c r="S1167">
        <v>0</v>
      </c>
      <c r="T1167">
        <v>0</v>
      </c>
      <c r="U1167">
        <f>IF(AND(OR(Dashboard!$D$4="Semua",D1167=Dashboard!$D$4),OR(Dashboard!$H$4="Semua",E1167=Dashboard!$H$4)),1,0)</f>
        <v>1</v>
      </c>
      <c r="V1167">
        <f>IF(U1167=1,IF(COUNTIFS($C$2:C1167,C1167,$U$2:U1167,1)=1,1,0),0)</f>
        <v>0</v>
      </c>
    </row>
    <row r="1168" spans="1:22" x14ac:dyDescent="0.35">
      <c r="A1168">
        <v>11167</v>
      </c>
      <c r="B1168" s="1">
        <v>45728</v>
      </c>
      <c r="C1168">
        <v>1050</v>
      </c>
      <c r="D1168" t="s">
        <v>67</v>
      </c>
      <c r="E1168" t="s">
        <v>74</v>
      </c>
      <c r="F1168">
        <v>4</v>
      </c>
      <c r="G1168" s="2">
        <v>140.63</v>
      </c>
      <c r="H1168">
        <v>0.28999999999999998</v>
      </c>
      <c r="I1168" t="s">
        <v>68</v>
      </c>
      <c r="J1168">
        <v>10</v>
      </c>
      <c r="K1168">
        <v>1.8</v>
      </c>
      <c r="L1168" s="2">
        <v>399.39</v>
      </c>
      <c r="M1168">
        <v>2025</v>
      </c>
      <c r="N1168">
        <v>3</v>
      </c>
      <c r="O1168" t="s">
        <v>118</v>
      </c>
      <c r="P1168" s="2">
        <v>562.52</v>
      </c>
      <c r="Q1168" s="2">
        <v>163.13</v>
      </c>
      <c r="R1168" t="s">
        <v>66</v>
      </c>
      <c r="S1168">
        <v>0</v>
      </c>
      <c r="T1168">
        <v>0</v>
      </c>
      <c r="U1168">
        <f>IF(AND(OR(Dashboard!$D$4="Semua",D1168=Dashboard!$D$4),OR(Dashboard!$H$4="Semua",E1168=Dashboard!$H$4)),1,0)</f>
        <v>1</v>
      </c>
      <c r="V1168">
        <f>IF(U1168=1,IF(COUNTIFS($C$2:C1168,C1168,$U$2:U1168,1)=1,1,0),0)</f>
        <v>0</v>
      </c>
    </row>
    <row r="1169" spans="1:22" x14ac:dyDescent="0.35">
      <c r="A1169">
        <v>11168</v>
      </c>
      <c r="B1169" s="1">
        <v>45729</v>
      </c>
      <c r="C1169">
        <v>1402</v>
      </c>
      <c r="D1169" t="s">
        <v>80</v>
      </c>
      <c r="E1169" t="s">
        <v>70</v>
      </c>
      <c r="F1169">
        <v>3</v>
      </c>
      <c r="G1169" s="2">
        <v>124.34</v>
      </c>
      <c r="H1169">
        <v>0.32</v>
      </c>
      <c r="I1169" t="s">
        <v>64</v>
      </c>
      <c r="J1169">
        <v>9</v>
      </c>
      <c r="K1169">
        <v>4.2</v>
      </c>
      <c r="L1169" s="2">
        <v>253.65</v>
      </c>
      <c r="M1169">
        <v>2025</v>
      </c>
      <c r="N1169">
        <v>3</v>
      </c>
      <c r="O1169" t="s">
        <v>118</v>
      </c>
      <c r="P1169" s="2">
        <v>373.02</v>
      </c>
      <c r="Q1169" s="2">
        <v>119.37</v>
      </c>
      <c r="R1169" t="s">
        <v>72</v>
      </c>
      <c r="S1169">
        <v>0</v>
      </c>
      <c r="T1169">
        <v>0</v>
      </c>
      <c r="U1169">
        <f>IF(AND(OR(Dashboard!$D$4="Semua",D1169=Dashboard!$D$4),OR(Dashboard!$H$4="Semua",E1169=Dashboard!$H$4)),1,0)</f>
        <v>1</v>
      </c>
      <c r="V1169">
        <f>IF(U1169=1,IF(COUNTIFS($C$2:C1169,C1169,$U$2:U1169,1)=1,1,0),0)</f>
        <v>0</v>
      </c>
    </row>
    <row r="1170" spans="1:22" x14ac:dyDescent="0.35">
      <c r="A1170">
        <v>11169</v>
      </c>
      <c r="B1170" s="1">
        <v>45730</v>
      </c>
      <c r="C1170">
        <v>1788</v>
      </c>
      <c r="D1170" t="s">
        <v>80</v>
      </c>
      <c r="E1170" t="s">
        <v>74</v>
      </c>
      <c r="F1170">
        <v>1</v>
      </c>
      <c r="G1170" s="2">
        <v>281.14</v>
      </c>
      <c r="H1170">
        <v>0.22</v>
      </c>
      <c r="I1170" t="s">
        <v>68</v>
      </c>
      <c r="J1170">
        <v>1</v>
      </c>
      <c r="K1170">
        <v>4.8</v>
      </c>
      <c r="L1170" s="2">
        <v>219.29</v>
      </c>
      <c r="M1170">
        <v>2025</v>
      </c>
      <c r="N1170">
        <v>3</v>
      </c>
      <c r="O1170" t="s">
        <v>118</v>
      </c>
      <c r="P1170" s="2">
        <v>281.14</v>
      </c>
      <c r="Q1170" s="2">
        <v>61.85</v>
      </c>
      <c r="R1170" t="s">
        <v>77</v>
      </c>
      <c r="S1170">
        <v>0</v>
      </c>
      <c r="T1170">
        <v>0</v>
      </c>
      <c r="U1170">
        <f>IF(AND(OR(Dashboard!$D$4="Semua",D1170=Dashboard!$D$4),OR(Dashboard!$H$4="Semua",E1170=Dashboard!$H$4)),1,0)</f>
        <v>1</v>
      </c>
      <c r="V1170">
        <f>IF(U1170=1,IF(COUNTIFS($C$2:C1170,C1170,$U$2:U1170,1)=1,1,0),0)</f>
        <v>1</v>
      </c>
    </row>
    <row r="1171" spans="1:22" x14ac:dyDescent="0.35">
      <c r="A1171">
        <v>11170</v>
      </c>
      <c r="B1171" s="1">
        <v>45731</v>
      </c>
      <c r="C1171">
        <v>1004</v>
      </c>
      <c r="D1171" t="s">
        <v>80</v>
      </c>
      <c r="E1171" t="s">
        <v>74</v>
      </c>
      <c r="F1171">
        <v>5</v>
      </c>
      <c r="G1171" s="2">
        <v>452.44</v>
      </c>
      <c r="H1171">
        <v>0.04</v>
      </c>
      <c r="I1171" t="s">
        <v>68</v>
      </c>
      <c r="J1171">
        <v>8</v>
      </c>
      <c r="K1171">
        <v>1.9</v>
      </c>
      <c r="L1171" s="2">
        <v>2171.71</v>
      </c>
      <c r="M1171">
        <v>2025</v>
      </c>
      <c r="N1171">
        <v>3</v>
      </c>
      <c r="O1171" t="s">
        <v>118</v>
      </c>
      <c r="P1171" s="2">
        <v>2262.1999999999998</v>
      </c>
      <c r="Q1171" s="2">
        <v>90.49</v>
      </c>
      <c r="R1171" t="s">
        <v>75</v>
      </c>
      <c r="S1171">
        <v>0</v>
      </c>
      <c r="T1171">
        <v>0</v>
      </c>
      <c r="U1171">
        <f>IF(AND(OR(Dashboard!$D$4="Semua",D1171=Dashboard!$D$4),OR(Dashboard!$H$4="Semua",E1171=Dashboard!$H$4)),1,0)</f>
        <v>1</v>
      </c>
      <c r="V1171">
        <f>IF(U1171=1,IF(COUNTIFS($C$2:C1171,C1171,$U$2:U1171,1)=1,1,0),0)</f>
        <v>0</v>
      </c>
    </row>
    <row r="1172" spans="1:22" x14ac:dyDescent="0.35">
      <c r="A1172">
        <v>11171</v>
      </c>
      <c r="B1172" s="1">
        <v>45732</v>
      </c>
      <c r="C1172">
        <v>1465</v>
      </c>
      <c r="D1172" t="s">
        <v>67</v>
      </c>
      <c r="E1172" t="s">
        <v>74</v>
      </c>
      <c r="F1172">
        <v>5</v>
      </c>
      <c r="G1172" s="2">
        <v>179.74</v>
      </c>
      <c r="H1172">
        <v>0.31</v>
      </c>
      <c r="I1172" t="s">
        <v>71</v>
      </c>
      <c r="J1172">
        <v>1</v>
      </c>
      <c r="K1172">
        <v>2.2999999999999998</v>
      </c>
      <c r="L1172" s="2">
        <v>620.1</v>
      </c>
      <c r="M1172">
        <v>2025</v>
      </c>
      <c r="N1172">
        <v>3</v>
      </c>
      <c r="O1172" t="s">
        <v>118</v>
      </c>
      <c r="P1172" s="2">
        <v>898.7</v>
      </c>
      <c r="Q1172" s="2">
        <v>278.60000000000002</v>
      </c>
      <c r="R1172" t="s">
        <v>72</v>
      </c>
      <c r="S1172">
        <v>0</v>
      </c>
      <c r="T1172">
        <v>0</v>
      </c>
      <c r="U1172">
        <f>IF(AND(OR(Dashboard!$D$4="Semua",D1172=Dashboard!$D$4),OR(Dashboard!$H$4="Semua",E1172=Dashboard!$H$4)),1,0)</f>
        <v>1</v>
      </c>
      <c r="V1172">
        <f>IF(U1172=1,IF(COUNTIFS($C$2:C1172,C1172,$U$2:U1172,1)=1,1,0),0)</f>
        <v>1</v>
      </c>
    </row>
    <row r="1173" spans="1:22" x14ac:dyDescent="0.35">
      <c r="A1173">
        <v>11172</v>
      </c>
      <c r="B1173" s="1">
        <v>45733</v>
      </c>
      <c r="C1173">
        <v>1603</v>
      </c>
      <c r="D1173" t="s">
        <v>62</v>
      </c>
      <c r="E1173" t="s">
        <v>70</v>
      </c>
      <c r="F1173">
        <v>6</v>
      </c>
      <c r="G1173" s="2">
        <v>26.63</v>
      </c>
      <c r="H1173">
        <v>0.28000000000000003</v>
      </c>
      <c r="I1173" t="s">
        <v>68</v>
      </c>
      <c r="J1173">
        <v>3</v>
      </c>
      <c r="K1173">
        <v>3.9</v>
      </c>
      <c r="L1173" s="2">
        <v>115.04</v>
      </c>
      <c r="M1173">
        <v>2025</v>
      </c>
      <c r="N1173">
        <v>3</v>
      </c>
      <c r="O1173" t="s">
        <v>118</v>
      </c>
      <c r="P1173" s="2">
        <v>159.78</v>
      </c>
      <c r="Q1173" s="2">
        <v>44.74</v>
      </c>
      <c r="R1173" t="s">
        <v>66</v>
      </c>
      <c r="S1173">
        <v>0</v>
      </c>
      <c r="T1173">
        <v>0</v>
      </c>
      <c r="U1173">
        <f>IF(AND(OR(Dashboard!$D$4="Semua",D1173=Dashboard!$D$4),OR(Dashboard!$H$4="Semua",E1173=Dashboard!$H$4)),1,0)</f>
        <v>1</v>
      </c>
      <c r="V1173">
        <f>IF(U1173=1,IF(COUNTIFS($C$2:C1173,C1173,$U$2:U1173,1)=1,1,0),0)</f>
        <v>0</v>
      </c>
    </row>
    <row r="1174" spans="1:22" x14ac:dyDescent="0.35">
      <c r="A1174">
        <v>11173</v>
      </c>
      <c r="B1174" s="1">
        <v>45734</v>
      </c>
      <c r="C1174">
        <v>1681</v>
      </c>
      <c r="D1174" t="s">
        <v>80</v>
      </c>
      <c r="E1174" t="s">
        <v>74</v>
      </c>
      <c r="F1174">
        <v>3</v>
      </c>
      <c r="G1174" s="2">
        <v>331.61</v>
      </c>
      <c r="H1174">
        <v>0.26</v>
      </c>
      <c r="I1174" t="s">
        <v>71</v>
      </c>
      <c r="J1174">
        <v>4</v>
      </c>
      <c r="K1174">
        <v>4.3</v>
      </c>
      <c r="L1174" s="2">
        <v>736.17</v>
      </c>
      <c r="M1174">
        <v>2025</v>
      </c>
      <c r="N1174">
        <v>3</v>
      </c>
      <c r="O1174" t="s">
        <v>118</v>
      </c>
      <c r="P1174" s="2">
        <v>994.83</v>
      </c>
      <c r="Q1174" s="2">
        <v>258.66000000000003</v>
      </c>
      <c r="R1174" t="s">
        <v>66</v>
      </c>
      <c r="S1174">
        <v>0</v>
      </c>
      <c r="T1174">
        <v>0</v>
      </c>
      <c r="U1174">
        <f>IF(AND(OR(Dashboard!$D$4="Semua",D1174=Dashboard!$D$4),OR(Dashboard!$H$4="Semua",E1174=Dashboard!$H$4)),1,0)</f>
        <v>1</v>
      </c>
      <c r="V1174">
        <f>IF(U1174=1,IF(COUNTIFS($C$2:C1174,C1174,$U$2:U1174,1)=1,1,0),0)</f>
        <v>0</v>
      </c>
    </row>
    <row r="1175" spans="1:22" x14ac:dyDescent="0.35">
      <c r="A1175">
        <v>11174</v>
      </c>
      <c r="B1175" s="1">
        <v>45735</v>
      </c>
      <c r="C1175">
        <v>1828</v>
      </c>
      <c r="D1175" t="s">
        <v>80</v>
      </c>
      <c r="E1175" t="s">
        <v>70</v>
      </c>
      <c r="F1175">
        <v>4</v>
      </c>
      <c r="G1175" s="2">
        <v>574.61</v>
      </c>
      <c r="H1175">
        <v>0.01</v>
      </c>
      <c r="I1175" t="s">
        <v>68</v>
      </c>
      <c r="J1175">
        <v>11</v>
      </c>
      <c r="K1175">
        <v>5</v>
      </c>
      <c r="L1175" s="2">
        <v>2275.46</v>
      </c>
      <c r="M1175">
        <v>2025</v>
      </c>
      <c r="N1175">
        <v>3</v>
      </c>
      <c r="O1175" t="s">
        <v>118</v>
      </c>
      <c r="P1175" s="2">
        <v>2298.44</v>
      </c>
      <c r="Q1175" s="2">
        <v>22.98</v>
      </c>
      <c r="R1175" t="s">
        <v>75</v>
      </c>
      <c r="S1175">
        <v>0</v>
      </c>
      <c r="T1175">
        <v>0</v>
      </c>
      <c r="U1175">
        <f>IF(AND(OR(Dashboard!$D$4="Semua",D1175=Dashboard!$D$4),OR(Dashboard!$H$4="Semua",E1175=Dashboard!$H$4)),1,0)</f>
        <v>1</v>
      </c>
      <c r="V1175">
        <f>IF(U1175=1,IF(COUNTIFS($C$2:C1175,C1175,$U$2:U1175,1)=1,1,0),0)</f>
        <v>0</v>
      </c>
    </row>
    <row r="1176" spans="1:22" x14ac:dyDescent="0.35">
      <c r="A1176">
        <v>11175</v>
      </c>
      <c r="B1176" s="1">
        <v>45736</v>
      </c>
      <c r="C1176">
        <v>1533</v>
      </c>
      <c r="D1176" t="s">
        <v>73</v>
      </c>
      <c r="E1176" t="s">
        <v>63</v>
      </c>
      <c r="F1176">
        <v>1</v>
      </c>
      <c r="G1176" s="2">
        <v>243.9</v>
      </c>
      <c r="H1176">
        <v>0.28000000000000003</v>
      </c>
      <c r="I1176" t="s">
        <v>71</v>
      </c>
      <c r="J1176">
        <v>8</v>
      </c>
      <c r="K1176">
        <v>2.1</v>
      </c>
      <c r="L1176" s="2">
        <v>175.61</v>
      </c>
      <c r="M1176">
        <v>2025</v>
      </c>
      <c r="N1176">
        <v>3</v>
      </c>
      <c r="O1176" t="s">
        <v>118</v>
      </c>
      <c r="P1176" s="2">
        <v>243.9</v>
      </c>
      <c r="Q1176" s="2">
        <v>68.290000000000006</v>
      </c>
      <c r="R1176" t="s">
        <v>66</v>
      </c>
      <c r="S1176">
        <v>0</v>
      </c>
      <c r="T1176">
        <v>0</v>
      </c>
      <c r="U1176">
        <f>IF(AND(OR(Dashboard!$D$4="Semua",D1176=Dashboard!$D$4),OR(Dashboard!$H$4="Semua",E1176=Dashboard!$H$4)),1,0)</f>
        <v>1</v>
      </c>
      <c r="V1176">
        <f>IF(U1176=1,IF(COUNTIFS($C$2:C1176,C1176,$U$2:U1176,1)=1,1,0),0)</f>
        <v>1</v>
      </c>
    </row>
    <row r="1177" spans="1:22" x14ac:dyDescent="0.35">
      <c r="A1177">
        <v>11176</v>
      </c>
      <c r="B1177" s="1">
        <v>45737</v>
      </c>
      <c r="C1177">
        <v>1404</v>
      </c>
      <c r="D1177" t="s">
        <v>73</v>
      </c>
      <c r="E1177" t="s">
        <v>63</v>
      </c>
      <c r="F1177">
        <v>2</v>
      </c>
      <c r="G1177" s="2">
        <v>260.77999999999997</v>
      </c>
      <c r="H1177">
        <v>0.05</v>
      </c>
      <c r="I1177" t="s">
        <v>68</v>
      </c>
      <c r="J1177">
        <v>1</v>
      </c>
      <c r="K1177">
        <v>3.2</v>
      </c>
      <c r="L1177" s="2">
        <v>495.48</v>
      </c>
      <c r="M1177">
        <v>2025</v>
      </c>
      <c r="N1177">
        <v>3</v>
      </c>
      <c r="O1177" t="s">
        <v>118</v>
      </c>
      <c r="P1177" s="2">
        <v>521.55999999999995</v>
      </c>
      <c r="Q1177" s="2">
        <v>26.08</v>
      </c>
      <c r="R1177" t="s">
        <v>75</v>
      </c>
      <c r="S1177">
        <v>0</v>
      </c>
      <c r="T1177">
        <v>0</v>
      </c>
      <c r="U1177">
        <f>IF(AND(OR(Dashboard!$D$4="Semua",D1177=Dashboard!$D$4),OR(Dashboard!$H$4="Semua",E1177=Dashboard!$H$4)),1,0)</f>
        <v>1</v>
      </c>
      <c r="V1177">
        <f>IF(U1177=1,IF(COUNTIFS($C$2:C1177,C1177,$U$2:U1177,1)=1,1,0),0)</f>
        <v>0</v>
      </c>
    </row>
    <row r="1178" spans="1:22" x14ac:dyDescent="0.35">
      <c r="A1178">
        <v>11177</v>
      </c>
      <c r="B1178" s="1">
        <v>45738</v>
      </c>
      <c r="C1178">
        <v>1837</v>
      </c>
      <c r="D1178" t="s">
        <v>73</v>
      </c>
      <c r="E1178" t="s">
        <v>74</v>
      </c>
      <c r="F1178">
        <v>5</v>
      </c>
      <c r="G1178" s="2">
        <v>581.80999999999995</v>
      </c>
      <c r="H1178">
        <v>0.08</v>
      </c>
      <c r="I1178" t="s">
        <v>71</v>
      </c>
      <c r="J1178">
        <v>2</v>
      </c>
      <c r="K1178">
        <v>1.5</v>
      </c>
      <c r="L1178" s="2">
        <v>2676.33</v>
      </c>
      <c r="M1178">
        <v>2025</v>
      </c>
      <c r="N1178">
        <v>3</v>
      </c>
      <c r="O1178" t="s">
        <v>118</v>
      </c>
      <c r="P1178" s="2">
        <v>2909.05</v>
      </c>
      <c r="Q1178" s="2">
        <v>232.72</v>
      </c>
      <c r="R1178" t="s">
        <v>69</v>
      </c>
      <c r="S1178">
        <v>0</v>
      </c>
      <c r="T1178">
        <v>0</v>
      </c>
      <c r="U1178">
        <f>IF(AND(OR(Dashboard!$D$4="Semua",D1178=Dashboard!$D$4),OR(Dashboard!$H$4="Semua",E1178=Dashboard!$H$4)),1,0)</f>
        <v>1</v>
      </c>
      <c r="V1178">
        <f>IF(U1178=1,IF(COUNTIFS($C$2:C1178,C1178,$U$2:U1178,1)=1,1,0),0)</f>
        <v>0</v>
      </c>
    </row>
    <row r="1179" spans="1:22" x14ac:dyDescent="0.35">
      <c r="A1179">
        <v>11178</v>
      </c>
      <c r="B1179" s="1">
        <v>45739</v>
      </c>
      <c r="C1179">
        <v>1512</v>
      </c>
      <c r="D1179" t="s">
        <v>80</v>
      </c>
      <c r="E1179" t="s">
        <v>63</v>
      </c>
      <c r="F1179">
        <v>3</v>
      </c>
      <c r="G1179" s="2">
        <v>421.35</v>
      </c>
      <c r="H1179">
        <v>0.2</v>
      </c>
      <c r="I1179" t="s">
        <v>71</v>
      </c>
      <c r="J1179">
        <v>11</v>
      </c>
      <c r="K1179">
        <v>2.2999999999999998</v>
      </c>
      <c r="L1179" s="2">
        <v>1011.24</v>
      </c>
      <c r="M1179">
        <v>2025</v>
      </c>
      <c r="N1179">
        <v>3</v>
      </c>
      <c r="O1179" t="s">
        <v>118</v>
      </c>
      <c r="P1179" s="2">
        <v>1264.05</v>
      </c>
      <c r="Q1179" s="2">
        <v>252.81</v>
      </c>
      <c r="R1179" t="s">
        <v>76</v>
      </c>
      <c r="S1179">
        <v>0</v>
      </c>
      <c r="T1179">
        <v>0</v>
      </c>
      <c r="U1179">
        <f>IF(AND(OR(Dashboard!$D$4="Semua",D1179=Dashboard!$D$4),OR(Dashboard!$H$4="Semua",E1179=Dashboard!$H$4)),1,0)</f>
        <v>1</v>
      </c>
      <c r="V1179">
        <f>IF(U1179=1,IF(COUNTIFS($C$2:C1179,C1179,$U$2:U1179,1)=1,1,0),0)</f>
        <v>0</v>
      </c>
    </row>
    <row r="1180" spans="1:22" x14ac:dyDescent="0.35">
      <c r="A1180">
        <v>11179</v>
      </c>
      <c r="B1180" s="1">
        <v>45740</v>
      </c>
      <c r="C1180">
        <v>1644</v>
      </c>
      <c r="D1180" t="s">
        <v>67</v>
      </c>
      <c r="E1180" t="s">
        <v>70</v>
      </c>
      <c r="F1180">
        <v>6</v>
      </c>
      <c r="G1180" s="2">
        <v>435.72</v>
      </c>
      <c r="H1180">
        <v>0.09</v>
      </c>
      <c r="I1180" t="s">
        <v>71</v>
      </c>
      <c r="J1180">
        <v>5</v>
      </c>
      <c r="K1180">
        <v>1.2</v>
      </c>
      <c r="L1180" s="2">
        <v>2379.0300000000002</v>
      </c>
      <c r="M1180">
        <v>2025</v>
      </c>
      <c r="N1180">
        <v>3</v>
      </c>
      <c r="O1180" t="s">
        <v>118</v>
      </c>
      <c r="P1180" s="2">
        <v>2614.3200000000002</v>
      </c>
      <c r="Q1180" s="2">
        <v>235.29</v>
      </c>
      <c r="R1180" t="s">
        <v>69</v>
      </c>
      <c r="S1180">
        <v>0</v>
      </c>
      <c r="T1180">
        <v>0</v>
      </c>
      <c r="U1180">
        <f>IF(AND(OR(Dashboard!$D$4="Semua",D1180=Dashboard!$D$4),OR(Dashboard!$H$4="Semua",E1180=Dashboard!$H$4)),1,0)</f>
        <v>1</v>
      </c>
      <c r="V1180">
        <f>IF(U1180=1,IF(COUNTIFS($C$2:C1180,C1180,$U$2:U1180,1)=1,1,0),0)</f>
        <v>0</v>
      </c>
    </row>
    <row r="1181" spans="1:22" x14ac:dyDescent="0.35">
      <c r="A1181">
        <v>11180</v>
      </c>
      <c r="B1181" s="1">
        <v>45741</v>
      </c>
      <c r="C1181">
        <v>1232</v>
      </c>
      <c r="D1181" t="s">
        <v>67</v>
      </c>
      <c r="E1181" t="s">
        <v>63</v>
      </c>
      <c r="F1181">
        <v>4</v>
      </c>
      <c r="G1181" s="2">
        <v>344.18</v>
      </c>
      <c r="H1181">
        <v>0.23</v>
      </c>
      <c r="I1181" t="s">
        <v>71</v>
      </c>
      <c r="J1181">
        <v>6</v>
      </c>
      <c r="K1181">
        <v>1.8</v>
      </c>
      <c r="L1181" s="2">
        <v>1060.07</v>
      </c>
      <c r="M1181">
        <v>2025</v>
      </c>
      <c r="N1181">
        <v>3</v>
      </c>
      <c r="O1181" t="s">
        <v>118</v>
      </c>
      <c r="P1181" s="2">
        <v>1376.72</v>
      </c>
      <c r="Q1181" s="2">
        <v>316.64999999999998</v>
      </c>
      <c r="R1181" t="s">
        <v>77</v>
      </c>
      <c r="S1181">
        <v>0</v>
      </c>
      <c r="T1181">
        <v>0</v>
      </c>
      <c r="U1181">
        <f>IF(AND(OR(Dashboard!$D$4="Semua",D1181=Dashboard!$D$4),OR(Dashboard!$H$4="Semua",E1181=Dashboard!$H$4)),1,0)</f>
        <v>1</v>
      </c>
      <c r="V1181">
        <f>IF(U1181=1,IF(COUNTIFS($C$2:C1181,C1181,$U$2:U1181,1)=1,1,0),0)</f>
        <v>0</v>
      </c>
    </row>
    <row r="1182" spans="1:22" x14ac:dyDescent="0.35">
      <c r="A1182">
        <v>11181</v>
      </c>
      <c r="B1182" s="1">
        <v>45742</v>
      </c>
      <c r="C1182">
        <v>1523</v>
      </c>
      <c r="D1182" t="s">
        <v>62</v>
      </c>
      <c r="E1182" t="s">
        <v>74</v>
      </c>
      <c r="F1182">
        <v>4</v>
      </c>
      <c r="G1182" s="2">
        <v>585.15</v>
      </c>
      <c r="H1182">
        <v>0.21</v>
      </c>
      <c r="I1182" t="s">
        <v>64</v>
      </c>
      <c r="J1182">
        <v>5</v>
      </c>
      <c r="K1182">
        <v>3</v>
      </c>
      <c r="L1182" s="2">
        <v>1849.07</v>
      </c>
      <c r="M1182">
        <v>2025</v>
      </c>
      <c r="N1182">
        <v>3</v>
      </c>
      <c r="O1182" t="s">
        <v>118</v>
      </c>
      <c r="P1182" s="2">
        <v>2340.6</v>
      </c>
      <c r="Q1182" s="2">
        <v>491.53</v>
      </c>
      <c r="R1182" t="s">
        <v>77</v>
      </c>
      <c r="S1182">
        <v>0</v>
      </c>
      <c r="T1182">
        <v>0</v>
      </c>
      <c r="U1182">
        <f>IF(AND(OR(Dashboard!$D$4="Semua",D1182=Dashboard!$D$4),OR(Dashboard!$H$4="Semua",E1182=Dashboard!$H$4)),1,0)</f>
        <v>1</v>
      </c>
      <c r="V1182">
        <f>IF(U1182=1,IF(COUNTIFS($C$2:C1182,C1182,$U$2:U1182,1)=1,1,0),0)</f>
        <v>1</v>
      </c>
    </row>
    <row r="1183" spans="1:22" x14ac:dyDescent="0.35">
      <c r="A1183">
        <v>11182</v>
      </c>
      <c r="B1183" s="1">
        <v>45743</v>
      </c>
      <c r="C1183">
        <v>1345</v>
      </c>
      <c r="D1183" t="s">
        <v>62</v>
      </c>
      <c r="E1183" t="s">
        <v>70</v>
      </c>
      <c r="F1183">
        <v>7</v>
      </c>
      <c r="G1183" s="2">
        <v>417.99</v>
      </c>
      <c r="H1183">
        <v>0.04</v>
      </c>
      <c r="I1183" t="s">
        <v>68</v>
      </c>
      <c r="J1183">
        <v>3</v>
      </c>
      <c r="K1183">
        <v>1.7</v>
      </c>
      <c r="L1183" s="2">
        <v>2808.89</v>
      </c>
      <c r="M1183">
        <v>2025</v>
      </c>
      <c r="N1183">
        <v>3</v>
      </c>
      <c r="O1183" t="s">
        <v>118</v>
      </c>
      <c r="P1183" s="2">
        <v>2925.93</v>
      </c>
      <c r="Q1183" s="2">
        <v>117.04</v>
      </c>
      <c r="R1183" t="s">
        <v>75</v>
      </c>
      <c r="S1183">
        <v>0</v>
      </c>
      <c r="T1183">
        <v>0</v>
      </c>
      <c r="U1183">
        <f>IF(AND(OR(Dashboard!$D$4="Semua",D1183=Dashboard!$D$4),OR(Dashboard!$H$4="Semua",E1183=Dashboard!$H$4)),1,0)</f>
        <v>1</v>
      </c>
      <c r="V1183">
        <f>IF(U1183=1,IF(COUNTIFS($C$2:C1183,C1183,$U$2:U1183,1)=1,1,0),0)</f>
        <v>0</v>
      </c>
    </row>
    <row r="1184" spans="1:22" x14ac:dyDescent="0.35">
      <c r="A1184">
        <v>11183</v>
      </c>
      <c r="B1184" s="1">
        <v>45744</v>
      </c>
      <c r="C1184">
        <v>1045</v>
      </c>
      <c r="D1184" t="s">
        <v>62</v>
      </c>
      <c r="E1184" t="s">
        <v>78</v>
      </c>
      <c r="F1184">
        <v>1</v>
      </c>
      <c r="G1184" s="2">
        <v>538.59</v>
      </c>
      <c r="H1184">
        <v>0.23</v>
      </c>
      <c r="I1184" t="s">
        <v>68</v>
      </c>
      <c r="J1184">
        <v>10</v>
      </c>
      <c r="K1184">
        <v>4.5999999999999996</v>
      </c>
      <c r="L1184" s="2">
        <v>414.71</v>
      </c>
      <c r="M1184">
        <v>2025</v>
      </c>
      <c r="N1184">
        <v>3</v>
      </c>
      <c r="O1184" t="s">
        <v>118</v>
      </c>
      <c r="P1184" s="2">
        <v>538.59</v>
      </c>
      <c r="Q1184" s="2">
        <v>123.88</v>
      </c>
      <c r="R1184" t="s">
        <v>77</v>
      </c>
      <c r="S1184">
        <v>0</v>
      </c>
      <c r="T1184">
        <v>0</v>
      </c>
      <c r="U1184">
        <f>IF(AND(OR(Dashboard!$D$4="Semua",D1184=Dashboard!$D$4),OR(Dashboard!$H$4="Semua",E1184=Dashboard!$H$4)),1,0)</f>
        <v>1</v>
      </c>
      <c r="V1184">
        <f>IF(U1184=1,IF(COUNTIFS($C$2:C1184,C1184,$U$2:U1184,1)=1,1,0),0)</f>
        <v>0</v>
      </c>
    </row>
    <row r="1185" spans="1:22" x14ac:dyDescent="0.35">
      <c r="A1185">
        <v>11184</v>
      </c>
      <c r="B1185" s="1">
        <v>45745</v>
      </c>
      <c r="C1185">
        <v>1545</v>
      </c>
      <c r="D1185" t="s">
        <v>73</v>
      </c>
      <c r="E1185" t="s">
        <v>70</v>
      </c>
      <c r="F1185">
        <v>5</v>
      </c>
      <c r="G1185" s="2">
        <v>424.14</v>
      </c>
      <c r="H1185">
        <v>0.32</v>
      </c>
      <c r="I1185" t="s">
        <v>71</v>
      </c>
      <c r="J1185">
        <v>7</v>
      </c>
      <c r="K1185">
        <v>3.8</v>
      </c>
      <c r="L1185" s="2">
        <v>1442.08</v>
      </c>
      <c r="M1185">
        <v>2025</v>
      </c>
      <c r="N1185">
        <v>3</v>
      </c>
      <c r="O1185" t="s">
        <v>118</v>
      </c>
      <c r="P1185" s="2">
        <v>2120.6999999999998</v>
      </c>
      <c r="Q1185" s="2">
        <v>678.62</v>
      </c>
      <c r="R1185" t="s">
        <v>72</v>
      </c>
      <c r="S1185">
        <v>0</v>
      </c>
      <c r="T1185">
        <v>0</v>
      </c>
      <c r="U1185">
        <f>IF(AND(OR(Dashboard!$D$4="Semua",D1185=Dashboard!$D$4),OR(Dashboard!$H$4="Semua",E1185=Dashboard!$H$4)),1,0)</f>
        <v>1</v>
      </c>
      <c r="V1185">
        <f>IF(U1185=1,IF(COUNTIFS($C$2:C1185,C1185,$U$2:U1185,1)=1,1,0),0)</f>
        <v>0</v>
      </c>
    </row>
    <row r="1186" spans="1:22" x14ac:dyDescent="0.35">
      <c r="A1186">
        <v>11185</v>
      </c>
      <c r="B1186" s="1">
        <v>45746</v>
      </c>
      <c r="C1186">
        <v>1944</v>
      </c>
      <c r="D1186" t="s">
        <v>80</v>
      </c>
      <c r="E1186" t="s">
        <v>63</v>
      </c>
      <c r="F1186">
        <v>1</v>
      </c>
      <c r="G1186" s="2">
        <v>445.04</v>
      </c>
      <c r="H1186">
        <v>0.06</v>
      </c>
      <c r="I1186" t="s">
        <v>71</v>
      </c>
      <c r="J1186">
        <v>1</v>
      </c>
      <c r="K1186">
        <v>1.1000000000000001</v>
      </c>
      <c r="L1186" s="2">
        <v>418.34</v>
      </c>
      <c r="M1186">
        <v>2025</v>
      </c>
      <c r="N1186">
        <v>3</v>
      </c>
      <c r="O1186" t="s">
        <v>118</v>
      </c>
      <c r="P1186" s="2">
        <v>445.04</v>
      </c>
      <c r="Q1186" s="2">
        <v>26.7</v>
      </c>
      <c r="R1186" t="s">
        <v>69</v>
      </c>
      <c r="S1186">
        <v>0</v>
      </c>
      <c r="T1186">
        <v>0</v>
      </c>
      <c r="U1186">
        <f>IF(AND(OR(Dashboard!$D$4="Semua",D1186=Dashboard!$D$4),OR(Dashboard!$H$4="Semua",E1186=Dashboard!$H$4)),1,0)</f>
        <v>1</v>
      </c>
      <c r="V1186">
        <f>IF(U1186=1,IF(COUNTIFS($C$2:C1186,C1186,$U$2:U1186,1)=1,1,0),0)</f>
        <v>1</v>
      </c>
    </row>
    <row r="1187" spans="1:22" x14ac:dyDescent="0.35">
      <c r="A1187">
        <v>11186</v>
      </c>
      <c r="B1187" s="1">
        <v>45747</v>
      </c>
      <c r="C1187">
        <v>1077</v>
      </c>
      <c r="D1187" t="s">
        <v>73</v>
      </c>
      <c r="E1187" t="s">
        <v>78</v>
      </c>
      <c r="F1187">
        <v>6</v>
      </c>
      <c r="G1187" s="2">
        <v>184.89</v>
      </c>
      <c r="H1187">
        <v>0.21</v>
      </c>
      <c r="I1187" t="s">
        <v>68</v>
      </c>
      <c r="J1187">
        <v>2</v>
      </c>
      <c r="K1187">
        <v>4.5</v>
      </c>
      <c r="L1187" s="2">
        <v>876.38</v>
      </c>
      <c r="M1187">
        <v>2025</v>
      </c>
      <c r="N1187">
        <v>3</v>
      </c>
      <c r="O1187" t="s">
        <v>118</v>
      </c>
      <c r="P1187" s="2">
        <v>1109.3399999999999</v>
      </c>
      <c r="Q1187" s="2">
        <v>232.96</v>
      </c>
      <c r="R1187" t="s">
        <v>77</v>
      </c>
      <c r="S1187">
        <v>0</v>
      </c>
      <c r="T1187">
        <v>0</v>
      </c>
      <c r="U1187">
        <f>IF(AND(OR(Dashboard!$D$4="Semua",D1187=Dashboard!$D$4),OR(Dashboard!$H$4="Semua",E1187=Dashboard!$H$4)),1,0)</f>
        <v>1</v>
      </c>
      <c r="V1187">
        <f>IF(U1187=1,IF(COUNTIFS($C$2:C1187,C1187,$U$2:U1187,1)=1,1,0),0)</f>
        <v>0</v>
      </c>
    </row>
    <row r="1188" spans="1:22" x14ac:dyDescent="0.35">
      <c r="A1188">
        <v>11187</v>
      </c>
      <c r="B1188" s="1">
        <v>45748</v>
      </c>
      <c r="C1188">
        <v>1729</v>
      </c>
      <c r="D1188" t="s">
        <v>73</v>
      </c>
      <c r="E1188" t="s">
        <v>70</v>
      </c>
      <c r="F1188">
        <v>2</v>
      </c>
      <c r="G1188" s="2">
        <v>192.54</v>
      </c>
      <c r="H1188">
        <v>0.12</v>
      </c>
      <c r="I1188" t="s">
        <v>71</v>
      </c>
      <c r="J1188">
        <v>11</v>
      </c>
      <c r="K1188">
        <v>4.9000000000000004</v>
      </c>
      <c r="L1188" s="2">
        <v>338.87</v>
      </c>
      <c r="M1188">
        <v>2025</v>
      </c>
      <c r="N1188">
        <v>4</v>
      </c>
      <c r="O1188" t="s">
        <v>119</v>
      </c>
      <c r="P1188" s="2">
        <v>385.08</v>
      </c>
      <c r="Q1188" s="2">
        <v>46.21</v>
      </c>
      <c r="R1188" t="s">
        <v>79</v>
      </c>
      <c r="S1188">
        <v>0</v>
      </c>
      <c r="T1188">
        <v>0</v>
      </c>
      <c r="U1188">
        <f>IF(AND(OR(Dashboard!$D$4="Semua",D1188=Dashboard!$D$4),OR(Dashboard!$H$4="Semua",E1188=Dashboard!$H$4)),1,0)</f>
        <v>1</v>
      </c>
      <c r="V1188">
        <f>IF(U1188=1,IF(COUNTIFS($C$2:C1188,C1188,$U$2:U1188,1)=1,1,0),0)</f>
        <v>0</v>
      </c>
    </row>
    <row r="1189" spans="1:22" x14ac:dyDescent="0.35">
      <c r="A1189">
        <v>11188</v>
      </c>
      <c r="B1189" s="1">
        <v>45749</v>
      </c>
      <c r="C1189">
        <v>1812</v>
      </c>
      <c r="D1189" t="s">
        <v>73</v>
      </c>
      <c r="E1189" t="s">
        <v>78</v>
      </c>
      <c r="F1189">
        <v>2</v>
      </c>
      <c r="G1189" s="2">
        <v>473.05</v>
      </c>
      <c r="H1189">
        <v>0.16</v>
      </c>
      <c r="I1189" t="s">
        <v>68</v>
      </c>
      <c r="J1189">
        <v>9</v>
      </c>
      <c r="K1189">
        <v>3</v>
      </c>
      <c r="L1189" s="2">
        <v>794.72</v>
      </c>
      <c r="M1189">
        <v>2025</v>
      </c>
      <c r="N1189">
        <v>4</v>
      </c>
      <c r="O1189" t="s">
        <v>119</v>
      </c>
      <c r="P1189" s="2">
        <v>946.1</v>
      </c>
      <c r="Q1189" s="2">
        <v>151.38</v>
      </c>
      <c r="R1189" t="s">
        <v>76</v>
      </c>
      <c r="S1189">
        <v>0</v>
      </c>
      <c r="T1189">
        <v>0</v>
      </c>
      <c r="U1189">
        <f>IF(AND(OR(Dashboard!$D$4="Semua",D1189=Dashboard!$D$4),OR(Dashboard!$H$4="Semua",E1189=Dashboard!$H$4)),1,0)</f>
        <v>1</v>
      </c>
      <c r="V1189">
        <f>IF(U1189=1,IF(COUNTIFS($C$2:C1189,C1189,$U$2:U1189,1)=1,1,0),0)</f>
        <v>0</v>
      </c>
    </row>
    <row r="1190" spans="1:22" x14ac:dyDescent="0.35">
      <c r="A1190">
        <v>11189</v>
      </c>
      <c r="B1190" s="1">
        <v>45750</v>
      </c>
      <c r="C1190">
        <v>1922</v>
      </c>
      <c r="D1190" t="s">
        <v>73</v>
      </c>
      <c r="E1190" t="s">
        <v>78</v>
      </c>
      <c r="F1190">
        <v>2</v>
      </c>
      <c r="G1190" s="2">
        <v>188.57</v>
      </c>
      <c r="H1190">
        <v>0.1</v>
      </c>
      <c r="I1190" t="s">
        <v>71</v>
      </c>
      <c r="J1190">
        <v>4</v>
      </c>
      <c r="K1190">
        <v>2.2999999999999998</v>
      </c>
      <c r="L1190" s="2">
        <v>339.43</v>
      </c>
      <c r="M1190">
        <v>2025</v>
      </c>
      <c r="N1190">
        <v>4</v>
      </c>
      <c r="O1190" t="s">
        <v>119</v>
      </c>
      <c r="P1190" s="2">
        <v>377.14</v>
      </c>
      <c r="Q1190" s="2">
        <v>37.71</v>
      </c>
      <c r="R1190" t="s">
        <v>69</v>
      </c>
      <c r="S1190">
        <v>0</v>
      </c>
      <c r="T1190">
        <v>0</v>
      </c>
      <c r="U1190">
        <f>IF(AND(OR(Dashboard!$D$4="Semua",D1190=Dashboard!$D$4),OR(Dashboard!$H$4="Semua",E1190=Dashboard!$H$4)),1,0)</f>
        <v>1</v>
      </c>
      <c r="V1190">
        <f>IF(U1190=1,IF(COUNTIFS($C$2:C1190,C1190,$U$2:U1190,1)=1,1,0),0)</f>
        <v>0</v>
      </c>
    </row>
    <row r="1191" spans="1:22" x14ac:dyDescent="0.35">
      <c r="A1191">
        <v>11190</v>
      </c>
      <c r="B1191" s="1">
        <v>45751</v>
      </c>
      <c r="C1191">
        <v>1072</v>
      </c>
      <c r="D1191" t="s">
        <v>67</v>
      </c>
      <c r="E1191" t="s">
        <v>78</v>
      </c>
      <c r="F1191">
        <v>4</v>
      </c>
      <c r="G1191" s="2">
        <v>344.22</v>
      </c>
      <c r="H1191">
        <v>0.12</v>
      </c>
      <c r="I1191" t="s">
        <v>64</v>
      </c>
      <c r="J1191">
        <v>8</v>
      </c>
      <c r="K1191">
        <v>2.1</v>
      </c>
      <c r="L1191" s="2">
        <v>1211.6500000000001</v>
      </c>
      <c r="M1191">
        <v>2025</v>
      </c>
      <c r="N1191">
        <v>4</v>
      </c>
      <c r="O1191" t="s">
        <v>119</v>
      </c>
      <c r="P1191" s="2">
        <v>1376.88</v>
      </c>
      <c r="Q1191" s="2">
        <v>165.23</v>
      </c>
      <c r="R1191" t="s">
        <v>79</v>
      </c>
      <c r="S1191">
        <v>0</v>
      </c>
      <c r="T1191">
        <v>0</v>
      </c>
      <c r="U1191">
        <f>IF(AND(OR(Dashboard!$D$4="Semua",D1191=Dashboard!$D$4),OR(Dashboard!$H$4="Semua",E1191=Dashboard!$H$4)),1,0)</f>
        <v>1</v>
      </c>
      <c r="V1191">
        <f>IF(U1191=1,IF(COUNTIFS($C$2:C1191,C1191,$U$2:U1191,1)=1,1,0),0)</f>
        <v>1</v>
      </c>
    </row>
    <row r="1192" spans="1:22" x14ac:dyDescent="0.35">
      <c r="A1192">
        <v>11191</v>
      </c>
      <c r="B1192" s="1">
        <v>45752</v>
      </c>
      <c r="C1192">
        <v>1793</v>
      </c>
      <c r="D1192" t="s">
        <v>80</v>
      </c>
      <c r="E1192" t="s">
        <v>70</v>
      </c>
      <c r="F1192">
        <v>5</v>
      </c>
      <c r="G1192" s="2">
        <v>160.87</v>
      </c>
      <c r="H1192">
        <v>0.01</v>
      </c>
      <c r="I1192" t="s">
        <v>71</v>
      </c>
      <c r="J1192">
        <v>9</v>
      </c>
      <c r="K1192">
        <v>1.3</v>
      </c>
      <c r="L1192" s="2">
        <v>796.31</v>
      </c>
      <c r="M1192">
        <v>2025</v>
      </c>
      <c r="N1192">
        <v>4</v>
      </c>
      <c r="O1192" t="s">
        <v>119</v>
      </c>
      <c r="P1192" s="2">
        <v>804.35</v>
      </c>
      <c r="Q1192" s="2">
        <v>8.0399999999999991</v>
      </c>
      <c r="R1192" t="s">
        <v>75</v>
      </c>
      <c r="S1192">
        <v>0</v>
      </c>
      <c r="T1192">
        <v>0</v>
      </c>
      <c r="U1192">
        <f>IF(AND(OR(Dashboard!$D$4="Semua",D1192=Dashboard!$D$4),OR(Dashboard!$H$4="Semua",E1192=Dashboard!$H$4)),1,0)</f>
        <v>1</v>
      </c>
      <c r="V1192">
        <f>IF(U1192=1,IF(COUNTIFS($C$2:C1192,C1192,$U$2:U1192,1)=1,1,0),0)</f>
        <v>1</v>
      </c>
    </row>
    <row r="1193" spans="1:22" x14ac:dyDescent="0.35">
      <c r="A1193">
        <v>11192</v>
      </c>
      <c r="B1193" s="1">
        <v>45753</v>
      </c>
      <c r="C1193">
        <v>1248</v>
      </c>
      <c r="D1193" t="s">
        <v>73</v>
      </c>
      <c r="E1193" t="s">
        <v>63</v>
      </c>
      <c r="F1193">
        <v>1</v>
      </c>
      <c r="G1193" s="2">
        <v>492.94</v>
      </c>
      <c r="H1193">
        <v>0.34</v>
      </c>
      <c r="I1193" t="s">
        <v>68</v>
      </c>
      <c r="J1193">
        <v>7</v>
      </c>
      <c r="K1193">
        <v>3</v>
      </c>
      <c r="L1193" s="2">
        <v>325.33999999999997</v>
      </c>
      <c r="M1193">
        <v>2025</v>
      </c>
      <c r="N1193">
        <v>4</v>
      </c>
      <c r="O1193" t="s">
        <v>119</v>
      </c>
      <c r="P1193" s="2">
        <v>492.94</v>
      </c>
      <c r="Q1193" s="2">
        <v>167.6</v>
      </c>
      <c r="R1193" t="s">
        <v>72</v>
      </c>
      <c r="S1193">
        <v>0</v>
      </c>
      <c r="T1193">
        <v>0</v>
      </c>
      <c r="U1193">
        <f>IF(AND(OR(Dashboard!$D$4="Semua",D1193=Dashboard!$D$4),OR(Dashboard!$H$4="Semua",E1193=Dashboard!$H$4)),1,0)</f>
        <v>1</v>
      </c>
      <c r="V1193">
        <f>IF(U1193=1,IF(COUNTIFS($C$2:C1193,C1193,$U$2:U1193,1)=1,1,0),0)</f>
        <v>0</v>
      </c>
    </row>
    <row r="1194" spans="1:22" x14ac:dyDescent="0.35">
      <c r="A1194">
        <v>11193</v>
      </c>
      <c r="B1194" s="1">
        <v>45754</v>
      </c>
      <c r="C1194">
        <v>1046</v>
      </c>
      <c r="D1194" t="s">
        <v>80</v>
      </c>
      <c r="E1194" t="s">
        <v>70</v>
      </c>
      <c r="F1194">
        <v>1</v>
      </c>
      <c r="G1194" s="2">
        <v>79.64</v>
      </c>
      <c r="H1194">
        <v>0.22</v>
      </c>
      <c r="I1194" t="s">
        <v>71</v>
      </c>
      <c r="J1194">
        <v>1</v>
      </c>
      <c r="K1194">
        <v>1.2</v>
      </c>
      <c r="L1194" s="2">
        <v>62.12</v>
      </c>
      <c r="M1194">
        <v>2025</v>
      </c>
      <c r="N1194">
        <v>4</v>
      </c>
      <c r="O1194" t="s">
        <v>119</v>
      </c>
      <c r="P1194" s="2">
        <v>79.64</v>
      </c>
      <c r="Q1194" s="2">
        <v>17.52</v>
      </c>
      <c r="R1194" t="s">
        <v>77</v>
      </c>
      <c r="S1194">
        <v>0</v>
      </c>
      <c r="T1194">
        <v>0</v>
      </c>
      <c r="U1194">
        <f>IF(AND(OR(Dashboard!$D$4="Semua",D1194=Dashboard!$D$4),OR(Dashboard!$H$4="Semua",E1194=Dashboard!$H$4)),1,0)</f>
        <v>1</v>
      </c>
      <c r="V1194">
        <f>IF(U1194=1,IF(COUNTIFS($C$2:C1194,C1194,$U$2:U1194,1)=1,1,0),0)</f>
        <v>0</v>
      </c>
    </row>
    <row r="1195" spans="1:22" x14ac:dyDescent="0.35">
      <c r="A1195">
        <v>11194</v>
      </c>
      <c r="B1195" s="1">
        <v>45755</v>
      </c>
      <c r="C1195">
        <v>1120</v>
      </c>
      <c r="D1195" t="s">
        <v>67</v>
      </c>
      <c r="E1195" t="s">
        <v>63</v>
      </c>
      <c r="F1195">
        <v>6</v>
      </c>
      <c r="G1195" s="2">
        <v>500.23</v>
      </c>
      <c r="H1195">
        <v>0.18</v>
      </c>
      <c r="I1195" t="s">
        <v>71</v>
      </c>
      <c r="J1195">
        <v>5</v>
      </c>
      <c r="K1195">
        <v>3</v>
      </c>
      <c r="L1195" s="2">
        <v>2461.13</v>
      </c>
      <c r="M1195">
        <v>2025</v>
      </c>
      <c r="N1195">
        <v>4</v>
      </c>
      <c r="O1195" t="s">
        <v>119</v>
      </c>
      <c r="P1195" s="2">
        <v>3001.38</v>
      </c>
      <c r="Q1195" s="2">
        <v>540.25</v>
      </c>
      <c r="R1195" t="s">
        <v>76</v>
      </c>
      <c r="S1195">
        <v>0</v>
      </c>
      <c r="T1195">
        <v>0</v>
      </c>
      <c r="U1195">
        <f>IF(AND(OR(Dashboard!$D$4="Semua",D1195=Dashboard!$D$4),OR(Dashboard!$H$4="Semua",E1195=Dashboard!$H$4)),1,0)</f>
        <v>1</v>
      </c>
      <c r="V1195">
        <f>IF(U1195=1,IF(COUNTIFS($C$2:C1195,C1195,$U$2:U1195,1)=1,1,0),0)</f>
        <v>1</v>
      </c>
    </row>
    <row r="1196" spans="1:22" x14ac:dyDescent="0.35">
      <c r="A1196">
        <v>11195</v>
      </c>
      <c r="B1196" s="1">
        <v>45756</v>
      </c>
      <c r="C1196">
        <v>1213</v>
      </c>
      <c r="D1196" t="s">
        <v>73</v>
      </c>
      <c r="E1196" t="s">
        <v>70</v>
      </c>
      <c r="F1196">
        <v>2</v>
      </c>
      <c r="G1196" s="2">
        <v>367.6</v>
      </c>
      <c r="H1196">
        <v>0.13</v>
      </c>
      <c r="I1196" t="s">
        <v>68</v>
      </c>
      <c r="J1196">
        <v>6</v>
      </c>
      <c r="K1196">
        <v>2</v>
      </c>
      <c r="L1196" s="2">
        <v>639.62</v>
      </c>
      <c r="M1196">
        <v>2025</v>
      </c>
      <c r="N1196">
        <v>4</v>
      </c>
      <c r="O1196" t="s">
        <v>119</v>
      </c>
      <c r="P1196" s="2">
        <v>735.2</v>
      </c>
      <c r="Q1196" s="2">
        <v>95.58</v>
      </c>
      <c r="R1196" t="s">
        <v>79</v>
      </c>
      <c r="S1196">
        <v>0</v>
      </c>
      <c r="T1196">
        <v>0</v>
      </c>
      <c r="U1196">
        <f>IF(AND(OR(Dashboard!$D$4="Semua",D1196=Dashboard!$D$4),OR(Dashboard!$H$4="Semua",E1196=Dashboard!$H$4)),1,0)</f>
        <v>1</v>
      </c>
      <c r="V1196">
        <f>IF(U1196=1,IF(COUNTIFS($C$2:C1196,C1196,$U$2:U1196,1)=1,1,0),0)</f>
        <v>1</v>
      </c>
    </row>
    <row r="1197" spans="1:22" x14ac:dyDescent="0.35">
      <c r="A1197">
        <v>11196</v>
      </c>
      <c r="B1197" s="1">
        <v>45757</v>
      </c>
      <c r="C1197">
        <v>1238</v>
      </c>
      <c r="D1197" t="s">
        <v>67</v>
      </c>
      <c r="E1197" t="s">
        <v>70</v>
      </c>
      <c r="F1197">
        <v>5</v>
      </c>
      <c r="G1197" s="2">
        <v>124.34</v>
      </c>
      <c r="H1197">
        <v>0.19</v>
      </c>
      <c r="I1197" t="s">
        <v>71</v>
      </c>
      <c r="J1197">
        <v>11</v>
      </c>
      <c r="K1197">
        <v>2.9</v>
      </c>
      <c r="L1197" s="2">
        <v>503.58</v>
      </c>
      <c r="M1197">
        <v>2025</v>
      </c>
      <c r="N1197">
        <v>4</v>
      </c>
      <c r="O1197" t="s">
        <v>119</v>
      </c>
      <c r="P1197" s="2">
        <v>621.70000000000005</v>
      </c>
      <c r="Q1197" s="2">
        <v>118.12</v>
      </c>
      <c r="R1197" t="s">
        <v>76</v>
      </c>
      <c r="S1197">
        <v>0</v>
      </c>
      <c r="T1197">
        <v>0</v>
      </c>
      <c r="U1197">
        <f>IF(AND(OR(Dashboard!$D$4="Semua",D1197=Dashboard!$D$4),OR(Dashboard!$H$4="Semua",E1197=Dashboard!$H$4)),1,0)</f>
        <v>1</v>
      </c>
      <c r="V1197">
        <f>IF(U1197=1,IF(COUNTIFS($C$2:C1197,C1197,$U$2:U1197,1)=1,1,0),0)</f>
        <v>0</v>
      </c>
    </row>
    <row r="1198" spans="1:22" x14ac:dyDescent="0.35">
      <c r="A1198">
        <v>11197</v>
      </c>
      <c r="B1198" s="1">
        <v>45758</v>
      </c>
      <c r="C1198">
        <v>1055</v>
      </c>
      <c r="D1198" t="s">
        <v>73</v>
      </c>
      <c r="E1198" t="s">
        <v>70</v>
      </c>
      <c r="F1198">
        <v>5</v>
      </c>
      <c r="G1198" s="2">
        <v>332.09</v>
      </c>
      <c r="H1198">
        <v>0.13</v>
      </c>
      <c r="I1198" t="s">
        <v>64</v>
      </c>
      <c r="J1198">
        <v>8</v>
      </c>
      <c r="K1198">
        <v>2.7</v>
      </c>
      <c r="L1198" s="2">
        <v>1444.59</v>
      </c>
      <c r="M1198">
        <v>2025</v>
      </c>
      <c r="N1198">
        <v>4</v>
      </c>
      <c r="O1198" t="s">
        <v>119</v>
      </c>
      <c r="P1198" s="2">
        <v>1660.45</v>
      </c>
      <c r="Q1198" s="2">
        <v>215.86</v>
      </c>
      <c r="R1198" t="s">
        <v>79</v>
      </c>
      <c r="S1198">
        <v>0</v>
      </c>
      <c r="T1198">
        <v>0</v>
      </c>
      <c r="U1198">
        <f>IF(AND(OR(Dashboard!$D$4="Semua",D1198=Dashboard!$D$4),OR(Dashboard!$H$4="Semua",E1198=Dashboard!$H$4)),1,0)</f>
        <v>1</v>
      </c>
      <c r="V1198">
        <f>IF(U1198=1,IF(COUNTIFS($C$2:C1198,C1198,$U$2:U1198,1)=1,1,0),0)</f>
        <v>1</v>
      </c>
    </row>
    <row r="1199" spans="1:22" x14ac:dyDescent="0.35">
      <c r="A1199">
        <v>11198</v>
      </c>
      <c r="B1199" s="1">
        <v>45759</v>
      </c>
      <c r="C1199">
        <v>1349</v>
      </c>
      <c r="D1199" t="s">
        <v>67</v>
      </c>
      <c r="E1199" t="s">
        <v>63</v>
      </c>
      <c r="F1199">
        <v>6</v>
      </c>
      <c r="G1199" s="2">
        <v>180.26</v>
      </c>
      <c r="H1199">
        <v>0.13</v>
      </c>
      <c r="I1199" t="s">
        <v>68</v>
      </c>
      <c r="J1199">
        <v>10</v>
      </c>
      <c r="K1199">
        <v>2.2000000000000002</v>
      </c>
      <c r="L1199" s="2">
        <v>940.96</v>
      </c>
      <c r="M1199">
        <v>2025</v>
      </c>
      <c r="N1199">
        <v>4</v>
      </c>
      <c r="O1199" t="s">
        <v>119</v>
      </c>
      <c r="P1199" s="2">
        <v>1081.56</v>
      </c>
      <c r="Q1199" s="2">
        <v>140.6</v>
      </c>
      <c r="R1199" t="s">
        <v>79</v>
      </c>
      <c r="S1199">
        <v>0</v>
      </c>
      <c r="T1199">
        <v>0</v>
      </c>
      <c r="U1199">
        <f>IF(AND(OR(Dashboard!$D$4="Semua",D1199=Dashboard!$D$4),OR(Dashboard!$H$4="Semua",E1199=Dashboard!$H$4)),1,0)</f>
        <v>1</v>
      </c>
      <c r="V1199">
        <f>IF(U1199=1,IF(COUNTIFS($C$2:C1199,C1199,$U$2:U1199,1)=1,1,0),0)</f>
        <v>0</v>
      </c>
    </row>
    <row r="1200" spans="1:22" x14ac:dyDescent="0.35">
      <c r="A1200">
        <v>11199</v>
      </c>
      <c r="B1200" s="1">
        <v>45760</v>
      </c>
      <c r="C1200">
        <v>1106</v>
      </c>
      <c r="D1200" t="s">
        <v>67</v>
      </c>
      <c r="E1200" t="s">
        <v>70</v>
      </c>
      <c r="F1200">
        <v>3</v>
      </c>
      <c r="G1200" s="2">
        <v>204.23</v>
      </c>
      <c r="H1200">
        <v>0.16</v>
      </c>
      <c r="I1200" t="s">
        <v>68</v>
      </c>
      <c r="J1200">
        <v>8</v>
      </c>
      <c r="K1200">
        <v>2.8</v>
      </c>
      <c r="L1200" s="2">
        <v>514.66</v>
      </c>
      <c r="M1200">
        <v>2025</v>
      </c>
      <c r="N1200">
        <v>4</v>
      </c>
      <c r="O1200" t="s">
        <v>119</v>
      </c>
      <c r="P1200" s="2">
        <v>612.69000000000005</v>
      </c>
      <c r="Q1200" s="2">
        <v>98.03</v>
      </c>
      <c r="R1200" t="s">
        <v>76</v>
      </c>
      <c r="S1200">
        <v>0</v>
      </c>
      <c r="T1200">
        <v>0</v>
      </c>
      <c r="U1200">
        <f>IF(AND(OR(Dashboard!$D$4="Semua",D1200=Dashboard!$D$4),OR(Dashboard!$H$4="Semua",E1200=Dashboard!$H$4)),1,0)</f>
        <v>1</v>
      </c>
      <c r="V1200">
        <f>IF(U1200=1,IF(COUNTIFS($C$2:C1200,C1200,$U$2:U1200,1)=1,1,0),0)</f>
        <v>0</v>
      </c>
    </row>
    <row r="1201" spans="1:22" x14ac:dyDescent="0.35">
      <c r="A1201">
        <v>11200</v>
      </c>
      <c r="B1201" s="1">
        <v>45761</v>
      </c>
      <c r="C1201">
        <v>1830</v>
      </c>
      <c r="D1201" t="s">
        <v>73</v>
      </c>
      <c r="E1201" t="s">
        <v>78</v>
      </c>
      <c r="F1201">
        <v>5</v>
      </c>
      <c r="G1201" s="2">
        <v>220.64</v>
      </c>
      <c r="H1201">
        <v>0.1</v>
      </c>
      <c r="I1201" t="s">
        <v>68</v>
      </c>
      <c r="J1201">
        <v>9</v>
      </c>
      <c r="K1201">
        <v>2.9</v>
      </c>
      <c r="L1201" s="2">
        <v>992.88</v>
      </c>
      <c r="M1201">
        <v>2025</v>
      </c>
      <c r="N1201">
        <v>4</v>
      </c>
      <c r="O1201" t="s">
        <v>119</v>
      </c>
      <c r="P1201" s="2">
        <v>1103.2</v>
      </c>
      <c r="Q1201" s="2">
        <v>110.32</v>
      </c>
      <c r="R1201" t="s">
        <v>69</v>
      </c>
      <c r="S1201">
        <v>0</v>
      </c>
      <c r="T1201">
        <v>0</v>
      </c>
      <c r="U1201">
        <f>IF(AND(OR(Dashboard!$D$4="Semua",D1201=Dashboard!$D$4),OR(Dashboard!$H$4="Semua",E1201=Dashboard!$H$4)),1,0)</f>
        <v>1</v>
      </c>
      <c r="V1201">
        <f>IF(U1201=1,IF(COUNTIFS($C$2:C1201,C1201,$U$2:U1201,1)=1,1,0),0)</f>
        <v>0</v>
      </c>
    </row>
    <row r="1202" spans="1:22" x14ac:dyDescent="0.35">
      <c r="A1202">
        <v>11201</v>
      </c>
      <c r="B1202" s="1">
        <v>45762</v>
      </c>
      <c r="C1202">
        <v>1047</v>
      </c>
      <c r="D1202" t="s">
        <v>73</v>
      </c>
      <c r="E1202" t="s">
        <v>70</v>
      </c>
      <c r="F1202">
        <v>5</v>
      </c>
      <c r="G1202" s="2">
        <v>52.04</v>
      </c>
      <c r="H1202">
        <v>0.06</v>
      </c>
      <c r="I1202" t="s">
        <v>71</v>
      </c>
      <c r="J1202">
        <v>9</v>
      </c>
      <c r="K1202">
        <v>4.3</v>
      </c>
      <c r="L1202" s="2">
        <v>244.59</v>
      </c>
      <c r="M1202">
        <v>2025</v>
      </c>
      <c r="N1202">
        <v>4</v>
      </c>
      <c r="O1202" t="s">
        <v>119</v>
      </c>
      <c r="P1202" s="2">
        <v>260.2</v>
      </c>
      <c r="Q1202" s="2">
        <v>15.61</v>
      </c>
      <c r="R1202" t="s">
        <v>69</v>
      </c>
      <c r="S1202">
        <v>0</v>
      </c>
      <c r="T1202">
        <v>0</v>
      </c>
      <c r="U1202">
        <f>IF(AND(OR(Dashboard!$D$4="Semua",D1202=Dashboard!$D$4),OR(Dashboard!$H$4="Semua",E1202=Dashboard!$H$4)),1,0)</f>
        <v>1</v>
      </c>
      <c r="V1202">
        <f>IF(U1202=1,IF(COUNTIFS($C$2:C1202,C1202,$U$2:U1202,1)=1,1,0),0)</f>
        <v>0</v>
      </c>
    </row>
    <row r="1203" spans="1:22" x14ac:dyDescent="0.35">
      <c r="A1203">
        <v>11202</v>
      </c>
      <c r="B1203" s="1">
        <v>45763</v>
      </c>
      <c r="C1203">
        <v>1572</v>
      </c>
      <c r="D1203" t="s">
        <v>67</v>
      </c>
      <c r="E1203" t="s">
        <v>78</v>
      </c>
      <c r="F1203">
        <v>1</v>
      </c>
      <c r="G1203" s="2">
        <v>591.79</v>
      </c>
      <c r="H1203">
        <v>0.19</v>
      </c>
      <c r="I1203" t="s">
        <v>64</v>
      </c>
      <c r="J1203">
        <v>4</v>
      </c>
      <c r="K1203">
        <v>3.7</v>
      </c>
      <c r="L1203" s="2">
        <v>479.35</v>
      </c>
      <c r="M1203">
        <v>2025</v>
      </c>
      <c r="N1203">
        <v>4</v>
      </c>
      <c r="O1203" t="s">
        <v>119</v>
      </c>
      <c r="P1203" s="2">
        <v>591.79</v>
      </c>
      <c r="Q1203" s="2">
        <v>112.44</v>
      </c>
      <c r="R1203" t="s">
        <v>76</v>
      </c>
      <c r="S1203">
        <v>0</v>
      </c>
      <c r="T1203">
        <v>0</v>
      </c>
      <c r="U1203">
        <f>IF(AND(OR(Dashboard!$D$4="Semua",D1203=Dashboard!$D$4),OR(Dashboard!$H$4="Semua",E1203=Dashboard!$H$4)),1,0)</f>
        <v>1</v>
      </c>
      <c r="V1203">
        <f>IF(U1203=1,IF(COUNTIFS($C$2:C1203,C1203,$U$2:U1203,1)=1,1,0),0)</f>
        <v>1</v>
      </c>
    </row>
    <row r="1204" spans="1:22" x14ac:dyDescent="0.35">
      <c r="A1204">
        <v>11203</v>
      </c>
      <c r="B1204" s="1">
        <v>45764</v>
      </c>
      <c r="C1204">
        <v>1336</v>
      </c>
      <c r="D1204" t="s">
        <v>62</v>
      </c>
      <c r="E1204" t="s">
        <v>74</v>
      </c>
      <c r="F1204">
        <v>6</v>
      </c>
      <c r="G1204" s="2">
        <v>33.450000000000003</v>
      </c>
      <c r="H1204">
        <v>0.28999999999999998</v>
      </c>
      <c r="I1204" t="s">
        <v>71</v>
      </c>
      <c r="J1204">
        <v>6</v>
      </c>
      <c r="K1204">
        <v>2.7</v>
      </c>
      <c r="L1204" s="2">
        <v>142.5</v>
      </c>
      <c r="M1204">
        <v>2025</v>
      </c>
      <c r="N1204">
        <v>4</v>
      </c>
      <c r="O1204" t="s">
        <v>119</v>
      </c>
      <c r="P1204" s="2">
        <v>200.7</v>
      </c>
      <c r="Q1204" s="2">
        <v>58.2</v>
      </c>
      <c r="R1204" t="s">
        <v>66</v>
      </c>
      <c r="S1204">
        <v>0</v>
      </c>
      <c r="T1204">
        <v>0</v>
      </c>
      <c r="U1204">
        <f>IF(AND(OR(Dashboard!$D$4="Semua",D1204=Dashboard!$D$4),OR(Dashboard!$H$4="Semua",E1204=Dashboard!$H$4)),1,0)</f>
        <v>1</v>
      </c>
      <c r="V1204">
        <f>IF(U1204=1,IF(COUNTIFS($C$2:C1204,C1204,$U$2:U1204,1)=1,1,0),0)</f>
        <v>1</v>
      </c>
    </row>
    <row r="1205" spans="1:22" x14ac:dyDescent="0.35">
      <c r="A1205">
        <v>11204</v>
      </c>
      <c r="B1205" s="1">
        <v>45765</v>
      </c>
      <c r="C1205">
        <v>1025</v>
      </c>
      <c r="D1205" t="s">
        <v>73</v>
      </c>
      <c r="E1205" t="s">
        <v>74</v>
      </c>
      <c r="F1205">
        <v>5</v>
      </c>
      <c r="G1205" s="2">
        <v>402.56</v>
      </c>
      <c r="H1205">
        <v>0.05</v>
      </c>
      <c r="I1205" t="s">
        <v>68</v>
      </c>
      <c r="J1205">
        <v>3</v>
      </c>
      <c r="K1205">
        <v>4.5999999999999996</v>
      </c>
      <c r="L1205" s="2">
        <v>1912.16</v>
      </c>
      <c r="M1205">
        <v>2025</v>
      </c>
      <c r="N1205">
        <v>4</v>
      </c>
      <c r="O1205" t="s">
        <v>119</v>
      </c>
      <c r="P1205" s="2">
        <v>2012.8</v>
      </c>
      <c r="Q1205" s="2">
        <v>100.64</v>
      </c>
      <c r="R1205" t="s">
        <v>75</v>
      </c>
      <c r="S1205">
        <v>0</v>
      </c>
      <c r="T1205">
        <v>0</v>
      </c>
      <c r="U1205">
        <f>IF(AND(OR(Dashboard!$D$4="Semua",D1205=Dashboard!$D$4),OR(Dashboard!$H$4="Semua",E1205=Dashboard!$H$4)),1,0)</f>
        <v>1</v>
      </c>
      <c r="V1205">
        <f>IF(U1205=1,IF(COUNTIFS($C$2:C1205,C1205,$U$2:U1205,1)=1,1,0),0)</f>
        <v>1</v>
      </c>
    </row>
    <row r="1206" spans="1:22" x14ac:dyDescent="0.35">
      <c r="A1206">
        <v>11205</v>
      </c>
      <c r="B1206" s="1">
        <v>45766</v>
      </c>
      <c r="C1206">
        <v>1803</v>
      </c>
      <c r="D1206" t="s">
        <v>80</v>
      </c>
      <c r="E1206" t="s">
        <v>63</v>
      </c>
      <c r="F1206">
        <v>5</v>
      </c>
      <c r="G1206" s="2">
        <v>232.17</v>
      </c>
      <c r="H1206">
        <v>0.01</v>
      </c>
      <c r="I1206" t="s">
        <v>71</v>
      </c>
      <c r="J1206">
        <v>1</v>
      </c>
      <c r="K1206">
        <v>4</v>
      </c>
      <c r="L1206" s="2">
        <v>1149.24</v>
      </c>
      <c r="M1206">
        <v>2025</v>
      </c>
      <c r="N1206">
        <v>4</v>
      </c>
      <c r="O1206" t="s">
        <v>119</v>
      </c>
      <c r="P1206" s="2">
        <v>1160.8499999999999</v>
      </c>
      <c r="Q1206" s="2">
        <v>11.61</v>
      </c>
      <c r="R1206" t="s">
        <v>75</v>
      </c>
      <c r="S1206">
        <v>0</v>
      </c>
      <c r="T1206">
        <v>0</v>
      </c>
      <c r="U1206">
        <f>IF(AND(OR(Dashboard!$D$4="Semua",D1206=Dashboard!$D$4),OR(Dashboard!$H$4="Semua",E1206=Dashboard!$H$4)),1,0)</f>
        <v>1</v>
      </c>
      <c r="V1206">
        <f>IF(U1206=1,IF(COUNTIFS($C$2:C1206,C1206,$U$2:U1206,1)=1,1,0),0)</f>
        <v>0</v>
      </c>
    </row>
    <row r="1207" spans="1:22" x14ac:dyDescent="0.35">
      <c r="A1207">
        <v>11206</v>
      </c>
      <c r="B1207" s="1">
        <v>45767</v>
      </c>
      <c r="C1207">
        <v>1256</v>
      </c>
      <c r="D1207" t="s">
        <v>80</v>
      </c>
      <c r="E1207" t="s">
        <v>63</v>
      </c>
      <c r="F1207">
        <v>1</v>
      </c>
      <c r="G1207" s="2">
        <v>392.92</v>
      </c>
      <c r="H1207">
        <v>0.09</v>
      </c>
      <c r="I1207" t="s">
        <v>71</v>
      </c>
      <c r="J1207">
        <v>6</v>
      </c>
      <c r="K1207">
        <v>1.3</v>
      </c>
      <c r="L1207" s="2">
        <v>357.56</v>
      </c>
      <c r="M1207">
        <v>2025</v>
      </c>
      <c r="N1207">
        <v>4</v>
      </c>
      <c r="O1207" t="s">
        <v>119</v>
      </c>
      <c r="P1207" s="2">
        <v>392.92</v>
      </c>
      <c r="Q1207" s="2">
        <v>35.36</v>
      </c>
      <c r="R1207" t="s">
        <v>69</v>
      </c>
      <c r="S1207">
        <v>0</v>
      </c>
      <c r="T1207">
        <v>0</v>
      </c>
      <c r="U1207">
        <f>IF(AND(OR(Dashboard!$D$4="Semua",D1207=Dashboard!$D$4),OR(Dashboard!$H$4="Semua",E1207=Dashboard!$H$4)),1,0)</f>
        <v>1</v>
      </c>
      <c r="V1207">
        <f>IF(U1207=1,IF(COUNTIFS($C$2:C1207,C1207,$U$2:U1207,1)=1,1,0),0)</f>
        <v>1</v>
      </c>
    </row>
    <row r="1208" spans="1:22" x14ac:dyDescent="0.35">
      <c r="A1208">
        <v>11207</v>
      </c>
      <c r="B1208" s="1">
        <v>45768</v>
      </c>
      <c r="C1208">
        <v>1007</v>
      </c>
      <c r="D1208" t="s">
        <v>62</v>
      </c>
      <c r="E1208" t="s">
        <v>74</v>
      </c>
      <c r="F1208">
        <v>5</v>
      </c>
      <c r="G1208" s="2">
        <v>223.41</v>
      </c>
      <c r="H1208">
        <v>0.34</v>
      </c>
      <c r="I1208" t="s">
        <v>71</v>
      </c>
      <c r="J1208">
        <v>1</v>
      </c>
      <c r="K1208">
        <v>1.6</v>
      </c>
      <c r="L1208" s="2">
        <v>737.25</v>
      </c>
      <c r="M1208">
        <v>2025</v>
      </c>
      <c r="N1208">
        <v>4</v>
      </c>
      <c r="O1208" t="s">
        <v>119</v>
      </c>
      <c r="P1208" s="2">
        <v>1117.05</v>
      </c>
      <c r="Q1208" s="2">
        <v>379.8</v>
      </c>
      <c r="R1208" t="s">
        <v>72</v>
      </c>
      <c r="S1208">
        <v>0</v>
      </c>
      <c r="T1208">
        <v>0</v>
      </c>
      <c r="U1208">
        <f>IF(AND(OR(Dashboard!$D$4="Semua",D1208=Dashboard!$D$4),OR(Dashboard!$H$4="Semua",E1208=Dashboard!$H$4)),1,0)</f>
        <v>1</v>
      </c>
      <c r="V1208">
        <f>IF(U1208=1,IF(COUNTIFS($C$2:C1208,C1208,$U$2:U1208,1)=1,1,0),0)</f>
        <v>0</v>
      </c>
    </row>
    <row r="1209" spans="1:22" x14ac:dyDescent="0.35">
      <c r="A1209">
        <v>11208</v>
      </c>
      <c r="B1209" s="1">
        <v>45769</v>
      </c>
      <c r="C1209">
        <v>1624</v>
      </c>
      <c r="D1209" t="s">
        <v>80</v>
      </c>
      <c r="E1209" t="s">
        <v>70</v>
      </c>
      <c r="F1209">
        <v>1</v>
      </c>
      <c r="G1209" s="2">
        <v>409.14</v>
      </c>
      <c r="H1209">
        <v>0.28999999999999998</v>
      </c>
      <c r="I1209" t="s">
        <v>68</v>
      </c>
      <c r="J1209">
        <v>9</v>
      </c>
      <c r="K1209">
        <v>1.3</v>
      </c>
      <c r="L1209" s="2">
        <v>290.49</v>
      </c>
      <c r="M1209">
        <v>2025</v>
      </c>
      <c r="N1209">
        <v>4</v>
      </c>
      <c r="O1209" t="s">
        <v>119</v>
      </c>
      <c r="P1209" s="2">
        <v>409.14</v>
      </c>
      <c r="Q1209" s="2">
        <v>118.65</v>
      </c>
      <c r="R1209" t="s">
        <v>66</v>
      </c>
      <c r="S1209">
        <v>0</v>
      </c>
      <c r="T1209">
        <v>0</v>
      </c>
      <c r="U1209">
        <f>IF(AND(OR(Dashboard!$D$4="Semua",D1209=Dashboard!$D$4),OR(Dashboard!$H$4="Semua",E1209=Dashboard!$H$4)),1,0)</f>
        <v>1</v>
      </c>
      <c r="V1209">
        <f>IF(U1209=1,IF(COUNTIFS($C$2:C1209,C1209,$U$2:U1209,1)=1,1,0),0)</f>
        <v>0</v>
      </c>
    </row>
    <row r="1210" spans="1:22" x14ac:dyDescent="0.35">
      <c r="A1210">
        <v>11209</v>
      </c>
      <c r="B1210" s="1">
        <v>45770</v>
      </c>
      <c r="C1210">
        <v>1866</v>
      </c>
      <c r="D1210" t="s">
        <v>67</v>
      </c>
      <c r="E1210" t="s">
        <v>70</v>
      </c>
      <c r="F1210">
        <v>3</v>
      </c>
      <c r="G1210" s="2">
        <v>441.6</v>
      </c>
      <c r="H1210">
        <v>0.21</v>
      </c>
      <c r="I1210" t="s">
        <v>71</v>
      </c>
      <c r="J1210">
        <v>11</v>
      </c>
      <c r="K1210">
        <v>2.2999999999999998</v>
      </c>
      <c r="L1210" s="2">
        <v>1046.5899999999999</v>
      </c>
      <c r="M1210">
        <v>2025</v>
      </c>
      <c r="N1210">
        <v>4</v>
      </c>
      <c r="O1210" t="s">
        <v>119</v>
      </c>
      <c r="P1210" s="2">
        <v>1324.8</v>
      </c>
      <c r="Q1210" s="2">
        <v>278.20999999999998</v>
      </c>
      <c r="R1210" t="s">
        <v>77</v>
      </c>
      <c r="S1210">
        <v>0</v>
      </c>
      <c r="T1210">
        <v>0</v>
      </c>
      <c r="U1210">
        <f>IF(AND(OR(Dashboard!$D$4="Semua",D1210=Dashboard!$D$4),OR(Dashboard!$H$4="Semua",E1210=Dashboard!$H$4)),1,0)</f>
        <v>1</v>
      </c>
      <c r="V1210">
        <f>IF(U1210=1,IF(COUNTIFS($C$2:C1210,C1210,$U$2:U1210,1)=1,1,0),0)</f>
        <v>0</v>
      </c>
    </row>
    <row r="1211" spans="1:22" x14ac:dyDescent="0.35">
      <c r="A1211">
        <v>11210</v>
      </c>
      <c r="B1211" s="1">
        <v>45771</v>
      </c>
      <c r="C1211">
        <v>1252</v>
      </c>
      <c r="D1211" t="s">
        <v>80</v>
      </c>
      <c r="E1211" t="s">
        <v>70</v>
      </c>
      <c r="F1211">
        <v>4</v>
      </c>
      <c r="G1211" s="2">
        <v>418.97</v>
      </c>
      <c r="H1211">
        <v>0.33</v>
      </c>
      <c r="I1211" t="s">
        <v>68</v>
      </c>
      <c r="J1211">
        <v>6</v>
      </c>
      <c r="K1211">
        <v>2.7</v>
      </c>
      <c r="L1211" s="2">
        <v>1122.8399999999999</v>
      </c>
      <c r="M1211">
        <v>2025</v>
      </c>
      <c r="N1211">
        <v>4</v>
      </c>
      <c r="O1211" t="s">
        <v>119</v>
      </c>
      <c r="P1211" s="2">
        <v>1675.88</v>
      </c>
      <c r="Q1211" s="2">
        <v>553.04</v>
      </c>
      <c r="R1211" t="s">
        <v>72</v>
      </c>
      <c r="S1211">
        <v>0</v>
      </c>
      <c r="T1211">
        <v>0</v>
      </c>
      <c r="U1211">
        <f>IF(AND(OR(Dashboard!$D$4="Semua",D1211=Dashboard!$D$4),OR(Dashboard!$H$4="Semua",E1211=Dashboard!$H$4)),1,0)</f>
        <v>1</v>
      </c>
      <c r="V1211">
        <f>IF(U1211=1,IF(COUNTIFS($C$2:C1211,C1211,$U$2:U1211,1)=1,1,0),0)</f>
        <v>0</v>
      </c>
    </row>
    <row r="1212" spans="1:22" x14ac:dyDescent="0.35">
      <c r="A1212">
        <v>11211</v>
      </c>
      <c r="B1212" s="1">
        <v>45772</v>
      </c>
      <c r="C1212">
        <v>1691</v>
      </c>
      <c r="D1212" t="s">
        <v>62</v>
      </c>
      <c r="E1212" t="s">
        <v>74</v>
      </c>
      <c r="F1212">
        <v>7</v>
      </c>
      <c r="G1212" s="2">
        <v>81.67</v>
      </c>
      <c r="H1212">
        <v>0.16</v>
      </c>
      <c r="I1212" t="s">
        <v>68</v>
      </c>
      <c r="J1212">
        <v>1</v>
      </c>
      <c r="K1212">
        <v>3</v>
      </c>
      <c r="L1212" s="2">
        <v>480.22</v>
      </c>
      <c r="M1212">
        <v>2025</v>
      </c>
      <c r="N1212">
        <v>4</v>
      </c>
      <c r="O1212" t="s">
        <v>119</v>
      </c>
      <c r="P1212" s="2">
        <v>571.69000000000005</v>
      </c>
      <c r="Q1212" s="2">
        <v>91.47</v>
      </c>
      <c r="R1212" t="s">
        <v>76</v>
      </c>
      <c r="S1212">
        <v>0</v>
      </c>
      <c r="T1212">
        <v>0</v>
      </c>
      <c r="U1212">
        <f>IF(AND(OR(Dashboard!$D$4="Semua",D1212=Dashboard!$D$4),OR(Dashboard!$H$4="Semua",E1212=Dashboard!$H$4)),1,0)</f>
        <v>1</v>
      </c>
      <c r="V1212">
        <f>IF(U1212=1,IF(COUNTIFS($C$2:C1212,C1212,$U$2:U1212,1)=1,1,0),0)</f>
        <v>0</v>
      </c>
    </row>
    <row r="1213" spans="1:22" x14ac:dyDescent="0.35">
      <c r="A1213">
        <v>11212</v>
      </c>
      <c r="B1213" s="1">
        <v>45773</v>
      </c>
      <c r="C1213">
        <v>1718</v>
      </c>
      <c r="D1213" t="s">
        <v>67</v>
      </c>
      <c r="E1213" t="s">
        <v>78</v>
      </c>
      <c r="F1213">
        <v>1</v>
      </c>
      <c r="G1213" s="2">
        <v>399.28</v>
      </c>
      <c r="H1213">
        <v>0.34</v>
      </c>
      <c r="I1213" t="s">
        <v>71</v>
      </c>
      <c r="J1213">
        <v>11</v>
      </c>
      <c r="K1213">
        <v>4.4000000000000004</v>
      </c>
      <c r="L1213" s="2">
        <v>263.52</v>
      </c>
      <c r="M1213">
        <v>2025</v>
      </c>
      <c r="N1213">
        <v>4</v>
      </c>
      <c r="O1213" t="s">
        <v>119</v>
      </c>
      <c r="P1213" s="2">
        <v>399.28</v>
      </c>
      <c r="Q1213" s="2">
        <v>135.76</v>
      </c>
      <c r="R1213" t="s">
        <v>72</v>
      </c>
      <c r="S1213">
        <v>0</v>
      </c>
      <c r="T1213">
        <v>0</v>
      </c>
      <c r="U1213">
        <f>IF(AND(OR(Dashboard!$D$4="Semua",D1213=Dashboard!$D$4),OR(Dashboard!$H$4="Semua",E1213=Dashboard!$H$4)),1,0)</f>
        <v>1</v>
      </c>
      <c r="V1213">
        <f>IF(U1213=1,IF(COUNTIFS($C$2:C1213,C1213,$U$2:U1213,1)=1,1,0),0)</f>
        <v>1</v>
      </c>
    </row>
    <row r="1214" spans="1:22" x14ac:dyDescent="0.35">
      <c r="A1214">
        <v>11213</v>
      </c>
      <c r="B1214" s="1">
        <v>45774</v>
      </c>
      <c r="C1214">
        <v>1302</v>
      </c>
      <c r="D1214" t="s">
        <v>73</v>
      </c>
      <c r="E1214" t="s">
        <v>63</v>
      </c>
      <c r="F1214">
        <v>1</v>
      </c>
      <c r="G1214" s="2">
        <v>178.79</v>
      </c>
      <c r="H1214">
        <v>0.1</v>
      </c>
      <c r="I1214" t="s">
        <v>64</v>
      </c>
      <c r="J1214">
        <v>3</v>
      </c>
      <c r="K1214">
        <v>1.1000000000000001</v>
      </c>
      <c r="L1214" s="2">
        <v>160.91</v>
      </c>
      <c r="M1214">
        <v>2025</v>
      </c>
      <c r="N1214">
        <v>4</v>
      </c>
      <c r="O1214" t="s">
        <v>119</v>
      </c>
      <c r="P1214" s="2">
        <v>178.79</v>
      </c>
      <c r="Q1214" s="2">
        <v>17.88</v>
      </c>
      <c r="R1214" t="s">
        <v>69</v>
      </c>
      <c r="S1214">
        <v>0</v>
      </c>
      <c r="T1214">
        <v>0</v>
      </c>
      <c r="U1214">
        <f>IF(AND(OR(Dashboard!$D$4="Semua",D1214=Dashboard!$D$4),OR(Dashboard!$H$4="Semua",E1214=Dashboard!$H$4)),1,0)</f>
        <v>1</v>
      </c>
      <c r="V1214">
        <f>IF(U1214=1,IF(COUNTIFS($C$2:C1214,C1214,$U$2:U1214,1)=1,1,0),0)</f>
        <v>0</v>
      </c>
    </row>
    <row r="1215" spans="1:22" x14ac:dyDescent="0.35">
      <c r="A1215">
        <v>11214</v>
      </c>
      <c r="B1215" s="1">
        <v>45775</v>
      </c>
      <c r="C1215">
        <v>1638</v>
      </c>
      <c r="D1215" t="s">
        <v>73</v>
      </c>
      <c r="E1215" t="s">
        <v>78</v>
      </c>
      <c r="F1215">
        <v>5</v>
      </c>
      <c r="G1215" s="2">
        <v>31.85</v>
      </c>
      <c r="H1215">
        <v>0.08</v>
      </c>
      <c r="I1215" t="s">
        <v>68</v>
      </c>
      <c r="J1215">
        <v>1</v>
      </c>
      <c r="K1215">
        <v>2.7</v>
      </c>
      <c r="L1215" s="2">
        <v>146.51</v>
      </c>
      <c r="M1215">
        <v>2025</v>
      </c>
      <c r="N1215">
        <v>4</v>
      </c>
      <c r="O1215" t="s">
        <v>119</v>
      </c>
      <c r="P1215" s="2">
        <v>159.25</v>
      </c>
      <c r="Q1215" s="2">
        <v>12.74</v>
      </c>
      <c r="R1215" t="s">
        <v>69</v>
      </c>
      <c r="S1215">
        <v>0</v>
      </c>
      <c r="T1215">
        <v>0</v>
      </c>
      <c r="U1215">
        <f>IF(AND(OR(Dashboard!$D$4="Semua",D1215=Dashboard!$D$4),OR(Dashboard!$H$4="Semua",E1215=Dashboard!$H$4)),1,0)</f>
        <v>1</v>
      </c>
      <c r="V1215">
        <f>IF(U1215=1,IF(COUNTIFS($C$2:C1215,C1215,$U$2:U1215,1)=1,1,0),0)</f>
        <v>0</v>
      </c>
    </row>
    <row r="1216" spans="1:22" x14ac:dyDescent="0.35">
      <c r="A1216">
        <v>11215</v>
      </c>
      <c r="B1216" s="1">
        <v>45776</v>
      </c>
      <c r="C1216">
        <v>1055</v>
      </c>
      <c r="D1216" t="s">
        <v>80</v>
      </c>
      <c r="E1216" t="s">
        <v>74</v>
      </c>
      <c r="F1216">
        <v>1</v>
      </c>
      <c r="G1216" s="2">
        <v>257.68</v>
      </c>
      <c r="H1216">
        <v>0.22</v>
      </c>
      <c r="I1216" t="s">
        <v>64</v>
      </c>
      <c r="J1216">
        <v>2</v>
      </c>
      <c r="K1216">
        <v>2.6</v>
      </c>
      <c r="L1216" s="2">
        <v>200.99</v>
      </c>
      <c r="M1216">
        <v>2025</v>
      </c>
      <c r="N1216">
        <v>4</v>
      </c>
      <c r="O1216" t="s">
        <v>119</v>
      </c>
      <c r="P1216" s="2">
        <v>257.68</v>
      </c>
      <c r="Q1216" s="2">
        <v>56.69</v>
      </c>
      <c r="R1216" t="s">
        <v>77</v>
      </c>
      <c r="S1216">
        <v>0</v>
      </c>
      <c r="T1216">
        <v>0</v>
      </c>
      <c r="U1216">
        <f>IF(AND(OR(Dashboard!$D$4="Semua",D1216=Dashboard!$D$4),OR(Dashboard!$H$4="Semua",E1216=Dashboard!$H$4)),1,0)</f>
        <v>1</v>
      </c>
      <c r="V1216">
        <f>IF(U1216=1,IF(COUNTIFS($C$2:C1216,C1216,$U$2:U1216,1)=1,1,0),0)</f>
        <v>0</v>
      </c>
    </row>
    <row r="1217" spans="1:22" x14ac:dyDescent="0.35">
      <c r="A1217">
        <v>11216</v>
      </c>
      <c r="B1217" s="1">
        <v>45777</v>
      </c>
      <c r="C1217">
        <v>1725</v>
      </c>
      <c r="D1217" t="s">
        <v>80</v>
      </c>
      <c r="E1217" t="s">
        <v>78</v>
      </c>
      <c r="F1217">
        <v>6</v>
      </c>
      <c r="G1217" s="2">
        <v>268.62</v>
      </c>
      <c r="H1217">
        <v>0.13</v>
      </c>
      <c r="I1217" t="s">
        <v>68</v>
      </c>
      <c r="J1217">
        <v>6</v>
      </c>
      <c r="K1217">
        <v>4.8</v>
      </c>
      <c r="L1217" s="2">
        <v>1402.2</v>
      </c>
      <c r="M1217">
        <v>2025</v>
      </c>
      <c r="N1217">
        <v>4</v>
      </c>
      <c r="O1217" t="s">
        <v>119</v>
      </c>
      <c r="P1217" s="2">
        <v>1611.72</v>
      </c>
      <c r="Q1217" s="2">
        <v>209.52</v>
      </c>
      <c r="R1217" t="s">
        <v>79</v>
      </c>
      <c r="S1217">
        <v>0</v>
      </c>
      <c r="T1217">
        <v>0</v>
      </c>
      <c r="U1217">
        <f>IF(AND(OR(Dashboard!$D$4="Semua",D1217=Dashboard!$D$4),OR(Dashboard!$H$4="Semua",E1217=Dashboard!$H$4)),1,0)</f>
        <v>1</v>
      </c>
      <c r="V1217">
        <f>IF(U1217=1,IF(COUNTIFS($C$2:C1217,C1217,$U$2:U1217,1)=1,1,0),0)</f>
        <v>0</v>
      </c>
    </row>
    <row r="1218" spans="1:22" x14ac:dyDescent="0.35">
      <c r="A1218">
        <v>11217</v>
      </c>
      <c r="B1218" s="1">
        <v>45778</v>
      </c>
      <c r="C1218">
        <v>1525</v>
      </c>
      <c r="D1218" t="s">
        <v>73</v>
      </c>
      <c r="E1218" t="s">
        <v>70</v>
      </c>
      <c r="F1218">
        <v>2</v>
      </c>
      <c r="G1218" s="2">
        <v>288.3</v>
      </c>
      <c r="H1218">
        <v>0.22</v>
      </c>
      <c r="I1218" t="s">
        <v>71</v>
      </c>
      <c r="J1218">
        <v>7</v>
      </c>
      <c r="K1218">
        <v>2</v>
      </c>
      <c r="L1218" s="2">
        <v>449.75</v>
      </c>
      <c r="M1218">
        <v>2025</v>
      </c>
      <c r="N1218">
        <v>5</v>
      </c>
      <c r="O1218" t="s">
        <v>120</v>
      </c>
      <c r="P1218" s="2">
        <v>576.6</v>
      </c>
      <c r="Q1218" s="2">
        <v>126.85</v>
      </c>
      <c r="R1218" t="s">
        <v>77</v>
      </c>
      <c r="S1218">
        <v>0</v>
      </c>
      <c r="T1218">
        <v>0</v>
      </c>
      <c r="U1218">
        <f>IF(AND(OR(Dashboard!$D$4="Semua",D1218=Dashboard!$D$4),OR(Dashboard!$H$4="Semua",E1218=Dashboard!$H$4)),1,0)</f>
        <v>1</v>
      </c>
      <c r="V1218">
        <f>IF(U1218=1,IF(COUNTIFS($C$2:C1218,C1218,$U$2:U1218,1)=1,1,0),0)</f>
        <v>0</v>
      </c>
    </row>
    <row r="1219" spans="1:22" x14ac:dyDescent="0.35">
      <c r="A1219">
        <v>11218</v>
      </c>
      <c r="B1219" s="1">
        <v>45779</v>
      </c>
      <c r="C1219">
        <v>1473</v>
      </c>
      <c r="D1219" t="s">
        <v>67</v>
      </c>
      <c r="E1219" t="s">
        <v>70</v>
      </c>
      <c r="F1219">
        <v>2</v>
      </c>
      <c r="G1219" s="2">
        <v>427.32</v>
      </c>
      <c r="H1219">
        <v>0.11</v>
      </c>
      <c r="I1219" t="s">
        <v>68</v>
      </c>
      <c r="J1219">
        <v>1</v>
      </c>
      <c r="K1219">
        <v>1.5</v>
      </c>
      <c r="L1219" s="2">
        <v>760.63</v>
      </c>
      <c r="M1219">
        <v>2025</v>
      </c>
      <c r="N1219">
        <v>5</v>
      </c>
      <c r="O1219" t="s">
        <v>120</v>
      </c>
      <c r="P1219" s="2">
        <v>854.64</v>
      </c>
      <c r="Q1219" s="2">
        <v>94.01</v>
      </c>
      <c r="R1219" t="s">
        <v>79</v>
      </c>
      <c r="S1219">
        <v>0</v>
      </c>
      <c r="T1219">
        <v>0</v>
      </c>
      <c r="U1219">
        <f>IF(AND(OR(Dashboard!$D$4="Semua",D1219=Dashboard!$D$4),OR(Dashboard!$H$4="Semua",E1219=Dashboard!$H$4)),1,0)</f>
        <v>1</v>
      </c>
      <c r="V1219">
        <f>IF(U1219=1,IF(COUNTIFS($C$2:C1219,C1219,$U$2:U1219,1)=1,1,0),0)</f>
        <v>0</v>
      </c>
    </row>
    <row r="1220" spans="1:22" x14ac:dyDescent="0.35">
      <c r="A1220">
        <v>11219</v>
      </c>
      <c r="B1220" s="1">
        <v>45780</v>
      </c>
      <c r="C1220">
        <v>1027</v>
      </c>
      <c r="D1220" t="s">
        <v>67</v>
      </c>
      <c r="E1220" t="s">
        <v>78</v>
      </c>
      <c r="F1220">
        <v>3</v>
      </c>
      <c r="G1220" s="2">
        <v>195.67</v>
      </c>
      <c r="H1220">
        <v>0.22</v>
      </c>
      <c r="I1220" t="s">
        <v>68</v>
      </c>
      <c r="J1220">
        <v>10</v>
      </c>
      <c r="K1220">
        <v>1.6</v>
      </c>
      <c r="L1220" s="2">
        <v>457.87</v>
      </c>
      <c r="M1220">
        <v>2025</v>
      </c>
      <c r="N1220">
        <v>5</v>
      </c>
      <c r="O1220" t="s">
        <v>120</v>
      </c>
      <c r="P1220" s="2">
        <v>587.01</v>
      </c>
      <c r="Q1220" s="2">
        <v>129.13999999999999</v>
      </c>
      <c r="R1220" t="s">
        <v>77</v>
      </c>
      <c r="S1220">
        <v>0</v>
      </c>
      <c r="T1220">
        <v>0</v>
      </c>
      <c r="U1220">
        <f>IF(AND(OR(Dashboard!$D$4="Semua",D1220=Dashboard!$D$4),OR(Dashboard!$H$4="Semua",E1220=Dashboard!$H$4)),1,0)</f>
        <v>1</v>
      </c>
      <c r="V1220">
        <f>IF(U1220=1,IF(COUNTIFS($C$2:C1220,C1220,$U$2:U1220,1)=1,1,0),0)</f>
        <v>0</v>
      </c>
    </row>
    <row r="1221" spans="1:22" x14ac:dyDescent="0.35">
      <c r="A1221">
        <v>11220</v>
      </c>
      <c r="B1221" s="1">
        <v>45781</v>
      </c>
      <c r="C1221">
        <v>1982</v>
      </c>
      <c r="D1221" t="s">
        <v>73</v>
      </c>
      <c r="E1221" t="s">
        <v>74</v>
      </c>
      <c r="F1221">
        <v>1</v>
      </c>
      <c r="G1221" s="2">
        <v>199.44</v>
      </c>
      <c r="H1221">
        <v>0.1</v>
      </c>
      <c r="I1221" t="s">
        <v>71</v>
      </c>
      <c r="J1221">
        <v>5</v>
      </c>
      <c r="K1221">
        <v>3.1</v>
      </c>
      <c r="L1221" s="2">
        <v>179.5</v>
      </c>
      <c r="M1221">
        <v>2025</v>
      </c>
      <c r="N1221">
        <v>5</v>
      </c>
      <c r="O1221" t="s">
        <v>120</v>
      </c>
      <c r="P1221" s="2">
        <v>199.44</v>
      </c>
      <c r="Q1221" s="2">
        <v>19.940000000000001</v>
      </c>
      <c r="R1221" t="s">
        <v>69</v>
      </c>
      <c r="S1221">
        <v>0</v>
      </c>
      <c r="T1221">
        <v>0</v>
      </c>
      <c r="U1221">
        <f>IF(AND(OR(Dashboard!$D$4="Semua",D1221=Dashboard!$D$4),OR(Dashboard!$H$4="Semua",E1221=Dashboard!$H$4)),1,0)</f>
        <v>1</v>
      </c>
      <c r="V1221">
        <f>IF(U1221=1,IF(COUNTIFS($C$2:C1221,C1221,$U$2:U1221,1)=1,1,0),0)</f>
        <v>0</v>
      </c>
    </row>
    <row r="1222" spans="1:22" x14ac:dyDescent="0.35">
      <c r="A1222">
        <v>11221</v>
      </c>
      <c r="B1222" s="1">
        <v>45782</v>
      </c>
      <c r="C1222">
        <v>1077</v>
      </c>
      <c r="D1222" t="s">
        <v>62</v>
      </c>
      <c r="E1222" t="s">
        <v>78</v>
      </c>
      <c r="F1222">
        <v>6</v>
      </c>
      <c r="G1222" s="2">
        <v>50.42</v>
      </c>
      <c r="H1222">
        <v>0.02</v>
      </c>
      <c r="I1222" t="s">
        <v>71</v>
      </c>
      <c r="J1222">
        <v>6</v>
      </c>
      <c r="K1222">
        <v>2.6</v>
      </c>
      <c r="L1222" s="2">
        <v>296.47000000000003</v>
      </c>
      <c r="M1222">
        <v>2025</v>
      </c>
      <c r="N1222">
        <v>5</v>
      </c>
      <c r="O1222" t="s">
        <v>120</v>
      </c>
      <c r="P1222" s="2">
        <v>302.52</v>
      </c>
      <c r="Q1222" s="2">
        <v>6.05</v>
      </c>
      <c r="R1222" t="s">
        <v>75</v>
      </c>
      <c r="S1222">
        <v>0</v>
      </c>
      <c r="T1222">
        <v>0</v>
      </c>
      <c r="U1222">
        <f>IF(AND(OR(Dashboard!$D$4="Semua",D1222=Dashboard!$D$4),OR(Dashboard!$H$4="Semua",E1222=Dashboard!$H$4)),1,0)</f>
        <v>1</v>
      </c>
      <c r="V1222">
        <f>IF(U1222=1,IF(COUNTIFS($C$2:C1222,C1222,$U$2:U1222,1)=1,1,0),0)</f>
        <v>0</v>
      </c>
    </row>
    <row r="1223" spans="1:22" x14ac:dyDescent="0.35">
      <c r="A1223">
        <v>11222</v>
      </c>
      <c r="B1223" s="1">
        <v>45783</v>
      </c>
      <c r="C1223">
        <v>1215</v>
      </c>
      <c r="D1223" t="s">
        <v>73</v>
      </c>
      <c r="E1223" t="s">
        <v>70</v>
      </c>
      <c r="F1223">
        <v>5</v>
      </c>
      <c r="G1223" s="2">
        <v>416.79</v>
      </c>
      <c r="H1223">
        <v>0.32</v>
      </c>
      <c r="I1223" t="s">
        <v>71</v>
      </c>
      <c r="J1223">
        <v>4</v>
      </c>
      <c r="K1223">
        <v>4</v>
      </c>
      <c r="L1223" s="2">
        <v>1417.09</v>
      </c>
      <c r="M1223">
        <v>2025</v>
      </c>
      <c r="N1223">
        <v>5</v>
      </c>
      <c r="O1223" t="s">
        <v>120</v>
      </c>
      <c r="P1223" s="2">
        <v>2083.9499999999998</v>
      </c>
      <c r="Q1223" s="2">
        <v>666.86</v>
      </c>
      <c r="R1223" t="s">
        <v>72</v>
      </c>
      <c r="S1223">
        <v>0</v>
      </c>
      <c r="T1223">
        <v>0</v>
      </c>
      <c r="U1223">
        <f>IF(AND(OR(Dashboard!$D$4="Semua",D1223=Dashboard!$D$4),OR(Dashboard!$H$4="Semua",E1223=Dashboard!$H$4)),1,0)</f>
        <v>1</v>
      </c>
      <c r="V1223">
        <f>IF(U1223=1,IF(COUNTIFS($C$2:C1223,C1223,$U$2:U1223,1)=1,1,0),0)</f>
        <v>1</v>
      </c>
    </row>
    <row r="1224" spans="1:22" x14ac:dyDescent="0.35">
      <c r="A1224">
        <v>11223</v>
      </c>
      <c r="B1224" s="1">
        <v>45784</v>
      </c>
      <c r="C1224">
        <v>1385</v>
      </c>
      <c r="D1224" t="s">
        <v>73</v>
      </c>
      <c r="E1224" t="s">
        <v>70</v>
      </c>
      <c r="F1224">
        <v>5</v>
      </c>
      <c r="G1224" s="2">
        <v>347.18</v>
      </c>
      <c r="H1224">
        <v>0.31</v>
      </c>
      <c r="I1224" t="s">
        <v>71</v>
      </c>
      <c r="J1224">
        <v>6</v>
      </c>
      <c r="K1224">
        <v>2.2999999999999998</v>
      </c>
      <c r="L1224" s="2">
        <v>1197.77</v>
      </c>
      <c r="M1224">
        <v>2025</v>
      </c>
      <c r="N1224">
        <v>5</v>
      </c>
      <c r="O1224" t="s">
        <v>120</v>
      </c>
      <c r="P1224" s="2">
        <v>1735.9</v>
      </c>
      <c r="Q1224" s="2">
        <v>538.13</v>
      </c>
      <c r="R1224" t="s">
        <v>72</v>
      </c>
      <c r="S1224">
        <v>0</v>
      </c>
      <c r="T1224">
        <v>0</v>
      </c>
      <c r="U1224">
        <f>IF(AND(OR(Dashboard!$D$4="Semua",D1224=Dashboard!$D$4),OR(Dashboard!$H$4="Semua",E1224=Dashboard!$H$4)),1,0)</f>
        <v>1</v>
      </c>
      <c r="V1224">
        <f>IF(U1224=1,IF(COUNTIFS($C$2:C1224,C1224,$U$2:U1224,1)=1,1,0),0)</f>
        <v>0</v>
      </c>
    </row>
    <row r="1225" spans="1:22" x14ac:dyDescent="0.35">
      <c r="A1225">
        <v>11224</v>
      </c>
      <c r="B1225" s="1">
        <v>45785</v>
      </c>
      <c r="C1225">
        <v>1364</v>
      </c>
      <c r="D1225" t="s">
        <v>67</v>
      </c>
      <c r="E1225" t="s">
        <v>74</v>
      </c>
      <c r="F1225">
        <v>7</v>
      </c>
      <c r="G1225" s="2">
        <v>219.41</v>
      </c>
      <c r="H1225">
        <v>0.34</v>
      </c>
      <c r="I1225" t="s">
        <v>71</v>
      </c>
      <c r="J1225">
        <v>5</v>
      </c>
      <c r="K1225">
        <v>1.5</v>
      </c>
      <c r="L1225" s="2">
        <v>1013.67</v>
      </c>
      <c r="M1225">
        <v>2025</v>
      </c>
      <c r="N1225">
        <v>5</v>
      </c>
      <c r="O1225" t="s">
        <v>120</v>
      </c>
      <c r="P1225" s="2">
        <v>1535.87</v>
      </c>
      <c r="Q1225" s="2">
        <v>522.20000000000005</v>
      </c>
      <c r="R1225" t="s">
        <v>72</v>
      </c>
      <c r="S1225">
        <v>0</v>
      </c>
      <c r="T1225">
        <v>0</v>
      </c>
      <c r="U1225">
        <f>IF(AND(OR(Dashboard!$D$4="Semua",D1225=Dashboard!$D$4),OR(Dashboard!$H$4="Semua",E1225=Dashboard!$H$4)),1,0)</f>
        <v>1</v>
      </c>
      <c r="V1225">
        <f>IF(U1225=1,IF(COUNTIFS($C$2:C1225,C1225,$U$2:U1225,1)=1,1,0),0)</f>
        <v>0</v>
      </c>
    </row>
    <row r="1226" spans="1:22" x14ac:dyDescent="0.35">
      <c r="A1226">
        <v>11225</v>
      </c>
      <c r="B1226" s="1">
        <v>45786</v>
      </c>
      <c r="C1226">
        <v>1665</v>
      </c>
      <c r="D1226" t="s">
        <v>80</v>
      </c>
      <c r="E1226" t="s">
        <v>78</v>
      </c>
      <c r="F1226">
        <v>4</v>
      </c>
      <c r="G1226" s="2">
        <v>427.54</v>
      </c>
      <c r="H1226">
        <v>0.25</v>
      </c>
      <c r="I1226" t="s">
        <v>64</v>
      </c>
      <c r="J1226">
        <v>11</v>
      </c>
      <c r="K1226">
        <v>2.5</v>
      </c>
      <c r="L1226" s="2">
        <v>1282.6199999999999</v>
      </c>
      <c r="M1226">
        <v>2025</v>
      </c>
      <c r="N1226">
        <v>5</v>
      </c>
      <c r="O1226" t="s">
        <v>120</v>
      </c>
      <c r="P1226" s="2">
        <v>1710.16</v>
      </c>
      <c r="Q1226" s="2">
        <v>427.54</v>
      </c>
      <c r="R1226" t="s">
        <v>77</v>
      </c>
      <c r="S1226">
        <v>0</v>
      </c>
      <c r="T1226">
        <v>0</v>
      </c>
      <c r="U1226">
        <f>IF(AND(OR(Dashboard!$D$4="Semua",D1226=Dashboard!$D$4),OR(Dashboard!$H$4="Semua",E1226=Dashboard!$H$4)),1,0)</f>
        <v>1</v>
      </c>
      <c r="V1226">
        <f>IF(U1226=1,IF(COUNTIFS($C$2:C1226,C1226,$U$2:U1226,1)=1,1,0),0)</f>
        <v>1</v>
      </c>
    </row>
    <row r="1227" spans="1:22" x14ac:dyDescent="0.35">
      <c r="A1227">
        <v>11226</v>
      </c>
      <c r="B1227" s="1">
        <v>45787</v>
      </c>
      <c r="C1227">
        <v>1525</v>
      </c>
      <c r="D1227" t="s">
        <v>73</v>
      </c>
      <c r="E1227" t="s">
        <v>70</v>
      </c>
      <c r="F1227">
        <v>3</v>
      </c>
      <c r="G1227" s="2">
        <v>329.35</v>
      </c>
      <c r="H1227">
        <v>0.24</v>
      </c>
      <c r="I1227" t="s">
        <v>71</v>
      </c>
      <c r="J1227">
        <v>7</v>
      </c>
      <c r="K1227">
        <v>4.5</v>
      </c>
      <c r="L1227" s="2">
        <v>750.92</v>
      </c>
      <c r="M1227">
        <v>2025</v>
      </c>
      <c r="N1227">
        <v>5</v>
      </c>
      <c r="O1227" t="s">
        <v>120</v>
      </c>
      <c r="P1227" s="2">
        <v>988.05</v>
      </c>
      <c r="Q1227" s="2">
        <v>237.13</v>
      </c>
      <c r="R1227" t="s">
        <v>77</v>
      </c>
      <c r="S1227">
        <v>0</v>
      </c>
      <c r="T1227">
        <v>0</v>
      </c>
      <c r="U1227">
        <f>IF(AND(OR(Dashboard!$D$4="Semua",D1227=Dashboard!$D$4),OR(Dashboard!$H$4="Semua",E1227=Dashboard!$H$4)),1,0)</f>
        <v>1</v>
      </c>
      <c r="V1227">
        <f>IF(U1227=1,IF(COUNTIFS($C$2:C1227,C1227,$U$2:U1227,1)=1,1,0),0)</f>
        <v>0</v>
      </c>
    </row>
    <row r="1228" spans="1:22" x14ac:dyDescent="0.35">
      <c r="A1228">
        <v>11227</v>
      </c>
      <c r="B1228" s="1">
        <v>45788</v>
      </c>
      <c r="C1228">
        <v>1698</v>
      </c>
      <c r="D1228" t="s">
        <v>80</v>
      </c>
      <c r="E1228" t="s">
        <v>70</v>
      </c>
      <c r="F1228">
        <v>6</v>
      </c>
      <c r="G1228" s="2">
        <v>289.51</v>
      </c>
      <c r="H1228">
        <v>0.2</v>
      </c>
      <c r="I1228" t="s">
        <v>68</v>
      </c>
      <c r="J1228">
        <v>4</v>
      </c>
      <c r="K1228">
        <v>2.6</v>
      </c>
      <c r="L1228" s="2">
        <v>1389.65</v>
      </c>
      <c r="M1228">
        <v>2025</v>
      </c>
      <c r="N1228">
        <v>5</v>
      </c>
      <c r="O1228" t="s">
        <v>120</v>
      </c>
      <c r="P1228" s="2">
        <v>1737.06</v>
      </c>
      <c r="Q1228" s="2">
        <v>347.41</v>
      </c>
      <c r="R1228" t="s">
        <v>76</v>
      </c>
      <c r="S1228">
        <v>0</v>
      </c>
      <c r="T1228">
        <v>0</v>
      </c>
      <c r="U1228">
        <f>IF(AND(OR(Dashboard!$D$4="Semua",D1228=Dashboard!$D$4),OR(Dashboard!$H$4="Semua",E1228=Dashboard!$H$4)),1,0)</f>
        <v>1</v>
      </c>
      <c r="V1228">
        <f>IF(U1228=1,IF(COUNTIFS($C$2:C1228,C1228,$U$2:U1228,1)=1,1,0),0)</f>
        <v>0</v>
      </c>
    </row>
    <row r="1229" spans="1:22" x14ac:dyDescent="0.35">
      <c r="A1229">
        <v>11228</v>
      </c>
      <c r="B1229" s="1">
        <v>45789</v>
      </c>
      <c r="C1229">
        <v>1311</v>
      </c>
      <c r="D1229" t="s">
        <v>67</v>
      </c>
      <c r="E1229" t="s">
        <v>78</v>
      </c>
      <c r="F1229">
        <v>6</v>
      </c>
      <c r="G1229" s="2">
        <v>314.12</v>
      </c>
      <c r="H1229">
        <v>0.04</v>
      </c>
      <c r="I1229" t="s">
        <v>68</v>
      </c>
      <c r="J1229">
        <v>1</v>
      </c>
      <c r="K1229">
        <v>4.3</v>
      </c>
      <c r="L1229" s="2">
        <v>1809.33</v>
      </c>
      <c r="M1229">
        <v>2025</v>
      </c>
      <c r="N1229">
        <v>5</v>
      </c>
      <c r="O1229" t="s">
        <v>120</v>
      </c>
      <c r="P1229" s="2">
        <v>1884.72</v>
      </c>
      <c r="Q1229" s="2">
        <v>75.39</v>
      </c>
      <c r="R1229" t="s">
        <v>75</v>
      </c>
      <c r="S1229">
        <v>0</v>
      </c>
      <c r="T1229">
        <v>0</v>
      </c>
      <c r="U1229">
        <f>IF(AND(OR(Dashboard!$D$4="Semua",D1229=Dashboard!$D$4),OR(Dashboard!$H$4="Semua",E1229=Dashboard!$H$4)),1,0)</f>
        <v>1</v>
      </c>
      <c r="V1229">
        <f>IF(U1229=1,IF(COUNTIFS($C$2:C1229,C1229,$U$2:U1229,1)=1,1,0),0)</f>
        <v>1</v>
      </c>
    </row>
    <row r="1230" spans="1:22" x14ac:dyDescent="0.35">
      <c r="A1230">
        <v>11229</v>
      </c>
      <c r="B1230" s="1">
        <v>45790</v>
      </c>
      <c r="C1230">
        <v>1882</v>
      </c>
      <c r="D1230" t="s">
        <v>73</v>
      </c>
      <c r="E1230" t="s">
        <v>78</v>
      </c>
      <c r="F1230">
        <v>7</v>
      </c>
      <c r="G1230" s="2">
        <v>387.26</v>
      </c>
      <c r="H1230">
        <v>7.0000000000000007E-2</v>
      </c>
      <c r="I1230" t="s">
        <v>68</v>
      </c>
      <c r="J1230">
        <v>2</v>
      </c>
      <c r="K1230">
        <v>2.5</v>
      </c>
      <c r="L1230" s="2">
        <v>2521.06</v>
      </c>
      <c r="M1230">
        <v>2025</v>
      </c>
      <c r="N1230">
        <v>5</v>
      </c>
      <c r="O1230" t="s">
        <v>120</v>
      </c>
      <c r="P1230" s="2">
        <v>2710.82</v>
      </c>
      <c r="Q1230" s="2">
        <v>189.76</v>
      </c>
      <c r="R1230" t="s">
        <v>69</v>
      </c>
      <c r="S1230">
        <v>0</v>
      </c>
      <c r="T1230">
        <v>0</v>
      </c>
      <c r="U1230">
        <f>IF(AND(OR(Dashboard!$D$4="Semua",D1230=Dashboard!$D$4),OR(Dashboard!$H$4="Semua",E1230=Dashboard!$H$4)),1,0)</f>
        <v>1</v>
      </c>
      <c r="V1230">
        <f>IF(U1230=1,IF(COUNTIFS($C$2:C1230,C1230,$U$2:U1230,1)=1,1,0),0)</f>
        <v>0</v>
      </c>
    </row>
    <row r="1231" spans="1:22" x14ac:dyDescent="0.35">
      <c r="A1231">
        <v>11230</v>
      </c>
      <c r="B1231" s="1">
        <v>45791</v>
      </c>
      <c r="C1231">
        <v>1006</v>
      </c>
      <c r="D1231" t="s">
        <v>73</v>
      </c>
      <c r="E1231" t="s">
        <v>63</v>
      </c>
      <c r="F1231">
        <v>7</v>
      </c>
      <c r="G1231" s="2">
        <v>401.1</v>
      </c>
      <c r="H1231">
        <v>0.1</v>
      </c>
      <c r="I1231" t="s">
        <v>71</v>
      </c>
      <c r="J1231">
        <v>6</v>
      </c>
      <c r="K1231">
        <v>2.1</v>
      </c>
      <c r="L1231" s="2">
        <v>2526.9299999999998</v>
      </c>
      <c r="M1231">
        <v>2025</v>
      </c>
      <c r="N1231">
        <v>5</v>
      </c>
      <c r="O1231" t="s">
        <v>120</v>
      </c>
      <c r="P1231" s="2">
        <v>2807.7</v>
      </c>
      <c r="Q1231" s="2">
        <v>280.77</v>
      </c>
      <c r="R1231" t="s">
        <v>69</v>
      </c>
      <c r="S1231">
        <v>0</v>
      </c>
      <c r="T1231">
        <v>0</v>
      </c>
      <c r="U1231">
        <f>IF(AND(OR(Dashboard!$D$4="Semua",D1231=Dashboard!$D$4),OR(Dashboard!$H$4="Semua",E1231=Dashboard!$H$4)),1,0)</f>
        <v>1</v>
      </c>
      <c r="V1231">
        <f>IF(U1231=1,IF(COUNTIFS($C$2:C1231,C1231,$U$2:U1231,1)=1,1,0),0)</f>
        <v>1</v>
      </c>
    </row>
    <row r="1232" spans="1:22" x14ac:dyDescent="0.35">
      <c r="A1232">
        <v>11231</v>
      </c>
      <c r="B1232" s="1">
        <v>45792</v>
      </c>
      <c r="C1232">
        <v>1002</v>
      </c>
      <c r="D1232" t="s">
        <v>67</v>
      </c>
      <c r="E1232" t="s">
        <v>74</v>
      </c>
      <c r="F1232">
        <v>5</v>
      </c>
      <c r="G1232" s="2">
        <v>184.04</v>
      </c>
      <c r="H1232">
        <v>0.31</v>
      </c>
      <c r="I1232" t="s">
        <v>68</v>
      </c>
      <c r="J1232">
        <v>10</v>
      </c>
      <c r="K1232">
        <v>4.0999999999999996</v>
      </c>
      <c r="L1232" s="2">
        <v>634.94000000000005</v>
      </c>
      <c r="M1232">
        <v>2025</v>
      </c>
      <c r="N1232">
        <v>5</v>
      </c>
      <c r="O1232" t="s">
        <v>120</v>
      </c>
      <c r="P1232" s="2">
        <v>920.2</v>
      </c>
      <c r="Q1232" s="2">
        <v>285.26</v>
      </c>
      <c r="R1232" t="s">
        <v>72</v>
      </c>
      <c r="S1232">
        <v>0</v>
      </c>
      <c r="T1232">
        <v>0</v>
      </c>
      <c r="U1232">
        <f>IF(AND(OR(Dashboard!$D$4="Semua",D1232=Dashboard!$D$4),OR(Dashboard!$H$4="Semua",E1232=Dashboard!$H$4)),1,0)</f>
        <v>1</v>
      </c>
      <c r="V1232">
        <f>IF(U1232=1,IF(COUNTIFS($C$2:C1232,C1232,$U$2:U1232,1)=1,1,0),0)</f>
        <v>1</v>
      </c>
    </row>
    <row r="1233" spans="1:22" x14ac:dyDescent="0.35">
      <c r="A1233">
        <v>11232</v>
      </c>
      <c r="B1233" s="1">
        <v>45793</v>
      </c>
      <c r="C1233">
        <v>1622</v>
      </c>
      <c r="D1233" t="s">
        <v>73</v>
      </c>
      <c r="E1233" t="s">
        <v>74</v>
      </c>
      <c r="F1233">
        <v>4</v>
      </c>
      <c r="G1233" s="2">
        <v>97.33</v>
      </c>
      <c r="H1233">
        <v>0.06</v>
      </c>
      <c r="I1233" t="s">
        <v>68</v>
      </c>
      <c r="J1233">
        <v>11</v>
      </c>
      <c r="K1233">
        <v>1.8</v>
      </c>
      <c r="L1233" s="2">
        <v>365.96</v>
      </c>
      <c r="M1233">
        <v>2025</v>
      </c>
      <c r="N1233">
        <v>5</v>
      </c>
      <c r="O1233" t="s">
        <v>120</v>
      </c>
      <c r="P1233" s="2">
        <v>389.32</v>
      </c>
      <c r="Q1233" s="2">
        <v>23.36</v>
      </c>
      <c r="R1233" t="s">
        <v>69</v>
      </c>
      <c r="S1233">
        <v>0</v>
      </c>
      <c r="T1233">
        <v>0</v>
      </c>
      <c r="U1233">
        <f>IF(AND(OR(Dashboard!$D$4="Semua",D1233=Dashboard!$D$4),OR(Dashboard!$H$4="Semua",E1233=Dashboard!$H$4)),1,0)</f>
        <v>1</v>
      </c>
      <c r="V1233">
        <f>IF(U1233=1,IF(COUNTIFS($C$2:C1233,C1233,$U$2:U1233,1)=1,1,0),0)</f>
        <v>1</v>
      </c>
    </row>
    <row r="1234" spans="1:22" x14ac:dyDescent="0.35">
      <c r="A1234">
        <v>11233</v>
      </c>
      <c r="B1234" s="1">
        <v>45794</v>
      </c>
      <c r="C1234">
        <v>1918</v>
      </c>
      <c r="D1234" t="s">
        <v>62</v>
      </c>
      <c r="E1234" t="s">
        <v>78</v>
      </c>
      <c r="F1234">
        <v>5</v>
      </c>
      <c r="G1234" s="2">
        <v>106.63</v>
      </c>
      <c r="H1234">
        <v>0.32</v>
      </c>
      <c r="I1234" t="s">
        <v>68</v>
      </c>
      <c r="J1234">
        <v>2</v>
      </c>
      <c r="K1234">
        <v>1.9</v>
      </c>
      <c r="L1234" s="2">
        <v>362.54</v>
      </c>
      <c r="M1234">
        <v>2025</v>
      </c>
      <c r="N1234">
        <v>5</v>
      </c>
      <c r="O1234" t="s">
        <v>120</v>
      </c>
      <c r="P1234" s="2">
        <v>533.15</v>
      </c>
      <c r="Q1234" s="2">
        <v>170.61</v>
      </c>
      <c r="R1234" t="s">
        <v>72</v>
      </c>
      <c r="S1234">
        <v>0</v>
      </c>
      <c r="T1234">
        <v>0</v>
      </c>
      <c r="U1234">
        <f>IF(AND(OR(Dashboard!$D$4="Semua",D1234=Dashboard!$D$4),OR(Dashboard!$H$4="Semua",E1234=Dashboard!$H$4)),1,0)</f>
        <v>1</v>
      </c>
      <c r="V1234">
        <f>IF(U1234=1,IF(COUNTIFS($C$2:C1234,C1234,$U$2:U1234,1)=1,1,0),0)</f>
        <v>0</v>
      </c>
    </row>
    <row r="1235" spans="1:22" x14ac:dyDescent="0.35">
      <c r="A1235">
        <v>11234</v>
      </c>
      <c r="B1235" s="1">
        <v>45795</v>
      </c>
      <c r="C1235">
        <v>1749</v>
      </c>
      <c r="D1235" t="s">
        <v>80</v>
      </c>
      <c r="E1235" t="s">
        <v>74</v>
      </c>
      <c r="F1235">
        <v>4</v>
      </c>
      <c r="G1235" s="2">
        <v>389.04</v>
      </c>
      <c r="H1235">
        <v>0.18</v>
      </c>
      <c r="I1235" t="s">
        <v>71</v>
      </c>
      <c r="J1235">
        <v>5</v>
      </c>
      <c r="K1235">
        <v>1.2</v>
      </c>
      <c r="L1235" s="2">
        <v>1276.05</v>
      </c>
      <c r="M1235">
        <v>2025</v>
      </c>
      <c r="N1235">
        <v>5</v>
      </c>
      <c r="O1235" t="s">
        <v>120</v>
      </c>
      <c r="P1235" s="2">
        <v>1556.16</v>
      </c>
      <c r="Q1235" s="2">
        <v>280.11</v>
      </c>
      <c r="R1235" t="s">
        <v>76</v>
      </c>
      <c r="S1235">
        <v>0</v>
      </c>
      <c r="T1235">
        <v>0</v>
      </c>
      <c r="U1235">
        <f>IF(AND(OR(Dashboard!$D$4="Semua",D1235=Dashboard!$D$4),OR(Dashboard!$H$4="Semua",E1235=Dashboard!$H$4)),1,0)</f>
        <v>1</v>
      </c>
      <c r="V1235">
        <f>IF(U1235=1,IF(COUNTIFS($C$2:C1235,C1235,$U$2:U1235,1)=1,1,0),0)</f>
        <v>0</v>
      </c>
    </row>
    <row r="1236" spans="1:22" x14ac:dyDescent="0.35">
      <c r="A1236">
        <v>11235</v>
      </c>
      <c r="B1236" s="1">
        <v>45796</v>
      </c>
      <c r="C1236">
        <v>1362</v>
      </c>
      <c r="D1236" t="s">
        <v>62</v>
      </c>
      <c r="E1236" t="s">
        <v>70</v>
      </c>
      <c r="F1236">
        <v>2</v>
      </c>
      <c r="G1236" s="2">
        <v>525.63</v>
      </c>
      <c r="H1236">
        <v>0.25</v>
      </c>
      <c r="I1236" t="s">
        <v>68</v>
      </c>
      <c r="J1236">
        <v>4</v>
      </c>
      <c r="K1236">
        <v>1.8</v>
      </c>
      <c r="L1236" s="2">
        <v>788.44</v>
      </c>
      <c r="M1236">
        <v>2025</v>
      </c>
      <c r="N1236">
        <v>5</v>
      </c>
      <c r="O1236" t="s">
        <v>120</v>
      </c>
      <c r="P1236" s="2">
        <v>1051.26</v>
      </c>
      <c r="Q1236" s="2">
        <v>262.82</v>
      </c>
      <c r="R1236" t="s">
        <v>77</v>
      </c>
      <c r="S1236">
        <v>0</v>
      </c>
      <c r="T1236">
        <v>0</v>
      </c>
      <c r="U1236">
        <f>IF(AND(OR(Dashboard!$D$4="Semua",D1236=Dashboard!$D$4),OR(Dashboard!$H$4="Semua",E1236=Dashboard!$H$4)),1,0)</f>
        <v>1</v>
      </c>
      <c r="V1236">
        <f>IF(U1236=1,IF(COUNTIFS($C$2:C1236,C1236,$U$2:U1236,1)=1,1,0),0)</f>
        <v>1</v>
      </c>
    </row>
    <row r="1237" spans="1:22" x14ac:dyDescent="0.35">
      <c r="A1237">
        <v>11236</v>
      </c>
      <c r="B1237" s="1">
        <v>45797</v>
      </c>
      <c r="C1237">
        <v>1750</v>
      </c>
      <c r="D1237" t="s">
        <v>73</v>
      </c>
      <c r="E1237" t="s">
        <v>78</v>
      </c>
      <c r="F1237">
        <v>6</v>
      </c>
      <c r="G1237" s="2">
        <v>254.56</v>
      </c>
      <c r="H1237">
        <v>0.04</v>
      </c>
      <c r="I1237" t="s">
        <v>68</v>
      </c>
      <c r="J1237">
        <v>7</v>
      </c>
      <c r="K1237">
        <v>2.5</v>
      </c>
      <c r="L1237" s="2">
        <v>1466.27</v>
      </c>
      <c r="M1237">
        <v>2025</v>
      </c>
      <c r="N1237">
        <v>5</v>
      </c>
      <c r="O1237" t="s">
        <v>120</v>
      </c>
      <c r="P1237" s="2">
        <v>1527.36</v>
      </c>
      <c r="Q1237" s="2">
        <v>61.09</v>
      </c>
      <c r="R1237" t="s">
        <v>75</v>
      </c>
      <c r="S1237">
        <v>0</v>
      </c>
      <c r="T1237">
        <v>0</v>
      </c>
      <c r="U1237">
        <f>IF(AND(OR(Dashboard!$D$4="Semua",D1237=Dashboard!$D$4),OR(Dashboard!$H$4="Semua",E1237=Dashboard!$H$4)),1,0)</f>
        <v>1</v>
      </c>
      <c r="V1237">
        <f>IF(U1237=1,IF(COUNTIFS($C$2:C1237,C1237,$U$2:U1237,1)=1,1,0),0)</f>
        <v>0</v>
      </c>
    </row>
    <row r="1238" spans="1:22" x14ac:dyDescent="0.35">
      <c r="A1238">
        <v>11237</v>
      </c>
      <c r="B1238" s="1">
        <v>45798</v>
      </c>
      <c r="C1238">
        <v>1507</v>
      </c>
      <c r="D1238" t="s">
        <v>62</v>
      </c>
      <c r="E1238" t="s">
        <v>78</v>
      </c>
      <c r="F1238">
        <v>7</v>
      </c>
      <c r="G1238" s="2">
        <v>114.17</v>
      </c>
      <c r="H1238">
        <v>0.09</v>
      </c>
      <c r="I1238" t="s">
        <v>71</v>
      </c>
      <c r="J1238">
        <v>4</v>
      </c>
      <c r="K1238">
        <v>2.6</v>
      </c>
      <c r="L1238" s="2">
        <v>727.26</v>
      </c>
      <c r="M1238">
        <v>2025</v>
      </c>
      <c r="N1238">
        <v>5</v>
      </c>
      <c r="O1238" t="s">
        <v>120</v>
      </c>
      <c r="P1238" s="2">
        <v>799.19</v>
      </c>
      <c r="Q1238" s="2">
        <v>71.930000000000007</v>
      </c>
      <c r="R1238" t="s">
        <v>69</v>
      </c>
      <c r="S1238">
        <v>0</v>
      </c>
      <c r="T1238">
        <v>0</v>
      </c>
      <c r="U1238">
        <f>IF(AND(OR(Dashboard!$D$4="Semua",D1238=Dashboard!$D$4),OR(Dashboard!$H$4="Semua",E1238=Dashboard!$H$4)),1,0)</f>
        <v>1</v>
      </c>
      <c r="V1238">
        <f>IF(U1238=1,IF(COUNTIFS($C$2:C1238,C1238,$U$2:U1238,1)=1,1,0),0)</f>
        <v>0</v>
      </c>
    </row>
    <row r="1239" spans="1:22" x14ac:dyDescent="0.35">
      <c r="A1239">
        <v>11238</v>
      </c>
      <c r="B1239" s="1">
        <v>45799</v>
      </c>
      <c r="C1239">
        <v>1273</v>
      </c>
      <c r="D1239" t="s">
        <v>67</v>
      </c>
      <c r="E1239" t="s">
        <v>78</v>
      </c>
      <c r="F1239">
        <v>2</v>
      </c>
      <c r="G1239" s="2">
        <v>457.61</v>
      </c>
      <c r="H1239">
        <v>0.34</v>
      </c>
      <c r="I1239" t="s">
        <v>71</v>
      </c>
      <c r="J1239">
        <v>7</v>
      </c>
      <c r="K1239">
        <v>2.7</v>
      </c>
      <c r="L1239" s="2">
        <v>604.04999999999995</v>
      </c>
      <c r="M1239">
        <v>2025</v>
      </c>
      <c r="N1239">
        <v>5</v>
      </c>
      <c r="O1239" t="s">
        <v>120</v>
      </c>
      <c r="P1239" s="2">
        <v>915.22</v>
      </c>
      <c r="Q1239" s="2">
        <v>311.17</v>
      </c>
      <c r="R1239" t="s">
        <v>72</v>
      </c>
      <c r="S1239">
        <v>0</v>
      </c>
      <c r="T1239">
        <v>0</v>
      </c>
      <c r="U1239">
        <f>IF(AND(OR(Dashboard!$D$4="Semua",D1239=Dashboard!$D$4),OR(Dashboard!$H$4="Semua",E1239=Dashboard!$H$4)),1,0)</f>
        <v>1</v>
      </c>
      <c r="V1239">
        <f>IF(U1239=1,IF(COUNTIFS($C$2:C1239,C1239,$U$2:U1239,1)=1,1,0),0)</f>
        <v>0</v>
      </c>
    </row>
    <row r="1240" spans="1:22" x14ac:dyDescent="0.35">
      <c r="A1240">
        <v>11239</v>
      </c>
      <c r="B1240" s="1">
        <v>45800</v>
      </c>
      <c r="C1240">
        <v>1505</v>
      </c>
      <c r="D1240" t="s">
        <v>73</v>
      </c>
      <c r="E1240" t="s">
        <v>63</v>
      </c>
      <c r="F1240">
        <v>5</v>
      </c>
      <c r="G1240" s="2">
        <v>502.01</v>
      </c>
      <c r="H1240">
        <v>0.09</v>
      </c>
      <c r="I1240" t="s">
        <v>68</v>
      </c>
      <c r="J1240">
        <v>11</v>
      </c>
      <c r="K1240">
        <v>2.9</v>
      </c>
      <c r="L1240" s="2">
        <v>2284.15</v>
      </c>
      <c r="M1240">
        <v>2025</v>
      </c>
      <c r="N1240">
        <v>5</v>
      </c>
      <c r="O1240" t="s">
        <v>120</v>
      </c>
      <c r="P1240" s="2">
        <v>2510.0500000000002</v>
      </c>
      <c r="Q1240" s="2">
        <v>225.9</v>
      </c>
      <c r="R1240" t="s">
        <v>69</v>
      </c>
      <c r="S1240">
        <v>0</v>
      </c>
      <c r="T1240">
        <v>0</v>
      </c>
      <c r="U1240">
        <f>IF(AND(OR(Dashboard!$D$4="Semua",D1240=Dashboard!$D$4),OR(Dashboard!$H$4="Semua",E1240=Dashboard!$H$4)),1,0)</f>
        <v>1</v>
      </c>
      <c r="V1240">
        <f>IF(U1240=1,IF(COUNTIFS($C$2:C1240,C1240,$U$2:U1240,1)=1,1,0),0)</f>
        <v>0</v>
      </c>
    </row>
    <row r="1241" spans="1:22" x14ac:dyDescent="0.35">
      <c r="A1241">
        <v>11240</v>
      </c>
      <c r="B1241" s="1">
        <v>45801</v>
      </c>
      <c r="C1241">
        <v>1805</v>
      </c>
      <c r="D1241" t="s">
        <v>73</v>
      </c>
      <c r="E1241" t="s">
        <v>74</v>
      </c>
      <c r="F1241">
        <v>3</v>
      </c>
      <c r="G1241" s="2">
        <v>530.14</v>
      </c>
      <c r="H1241">
        <v>0.1</v>
      </c>
      <c r="I1241" t="s">
        <v>71</v>
      </c>
      <c r="J1241">
        <v>8</v>
      </c>
      <c r="K1241">
        <v>3.3</v>
      </c>
      <c r="L1241" s="2">
        <v>1431.38</v>
      </c>
      <c r="M1241">
        <v>2025</v>
      </c>
      <c r="N1241">
        <v>5</v>
      </c>
      <c r="O1241" t="s">
        <v>120</v>
      </c>
      <c r="P1241" s="2">
        <v>1590.42</v>
      </c>
      <c r="Q1241" s="2">
        <v>159.04</v>
      </c>
      <c r="R1241" t="s">
        <v>69</v>
      </c>
      <c r="S1241">
        <v>0</v>
      </c>
      <c r="T1241">
        <v>0</v>
      </c>
      <c r="U1241">
        <f>IF(AND(OR(Dashboard!$D$4="Semua",D1241=Dashboard!$D$4),OR(Dashboard!$H$4="Semua",E1241=Dashboard!$H$4)),1,0)</f>
        <v>1</v>
      </c>
      <c r="V1241">
        <f>IF(U1241=1,IF(COUNTIFS($C$2:C1241,C1241,$U$2:U1241,1)=1,1,0),0)</f>
        <v>0</v>
      </c>
    </row>
    <row r="1242" spans="1:22" x14ac:dyDescent="0.35">
      <c r="A1242">
        <v>11241</v>
      </c>
      <c r="B1242" s="1">
        <v>45802</v>
      </c>
      <c r="C1242">
        <v>1738</v>
      </c>
      <c r="D1242" t="s">
        <v>73</v>
      </c>
      <c r="E1242" t="s">
        <v>63</v>
      </c>
      <c r="F1242">
        <v>1</v>
      </c>
      <c r="G1242" s="2">
        <v>370</v>
      </c>
      <c r="H1242">
        <v>7.0000000000000007E-2</v>
      </c>
      <c r="I1242" t="s">
        <v>68</v>
      </c>
      <c r="J1242">
        <v>7</v>
      </c>
      <c r="K1242">
        <v>1.8</v>
      </c>
      <c r="L1242" s="2">
        <v>344.1</v>
      </c>
      <c r="M1242">
        <v>2025</v>
      </c>
      <c r="N1242">
        <v>5</v>
      </c>
      <c r="O1242" t="s">
        <v>120</v>
      </c>
      <c r="P1242" s="2">
        <v>370</v>
      </c>
      <c r="Q1242" s="2">
        <v>25.9</v>
      </c>
      <c r="R1242" t="s">
        <v>69</v>
      </c>
      <c r="S1242">
        <v>0</v>
      </c>
      <c r="T1242">
        <v>0</v>
      </c>
      <c r="U1242">
        <f>IF(AND(OR(Dashboard!$D$4="Semua",D1242=Dashboard!$D$4),OR(Dashboard!$H$4="Semua",E1242=Dashboard!$H$4)),1,0)</f>
        <v>1</v>
      </c>
      <c r="V1242">
        <f>IF(U1242=1,IF(COUNTIFS($C$2:C1242,C1242,$U$2:U1242,1)=1,1,0),0)</f>
        <v>0</v>
      </c>
    </row>
    <row r="1243" spans="1:22" x14ac:dyDescent="0.35">
      <c r="A1243">
        <v>11242</v>
      </c>
      <c r="B1243" s="1">
        <v>45803</v>
      </c>
      <c r="C1243">
        <v>1882</v>
      </c>
      <c r="D1243" t="s">
        <v>80</v>
      </c>
      <c r="E1243" t="s">
        <v>70</v>
      </c>
      <c r="F1243">
        <v>3</v>
      </c>
      <c r="G1243" s="2">
        <v>518.53</v>
      </c>
      <c r="H1243">
        <v>0.05</v>
      </c>
      <c r="I1243" t="s">
        <v>64</v>
      </c>
      <c r="J1243">
        <v>2</v>
      </c>
      <c r="K1243">
        <v>3.5</v>
      </c>
      <c r="L1243" s="2">
        <v>1477.81</v>
      </c>
      <c r="M1243">
        <v>2025</v>
      </c>
      <c r="N1243">
        <v>5</v>
      </c>
      <c r="O1243" t="s">
        <v>120</v>
      </c>
      <c r="P1243" s="2">
        <v>1555.59</v>
      </c>
      <c r="Q1243" s="2">
        <v>77.78</v>
      </c>
      <c r="R1243" t="s">
        <v>75</v>
      </c>
      <c r="S1243">
        <v>0</v>
      </c>
      <c r="T1243">
        <v>0</v>
      </c>
      <c r="U1243">
        <f>IF(AND(OR(Dashboard!$D$4="Semua",D1243=Dashboard!$D$4),OR(Dashboard!$H$4="Semua",E1243=Dashboard!$H$4)),1,0)</f>
        <v>1</v>
      </c>
      <c r="V1243">
        <f>IF(U1243=1,IF(COUNTIFS($C$2:C1243,C1243,$U$2:U1243,1)=1,1,0),0)</f>
        <v>0</v>
      </c>
    </row>
    <row r="1244" spans="1:22" x14ac:dyDescent="0.35">
      <c r="A1244">
        <v>11243</v>
      </c>
      <c r="B1244" s="1">
        <v>45804</v>
      </c>
      <c r="C1244">
        <v>1014</v>
      </c>
      <c r="D1244" t="s">
        <v>67</v>
      </c>
      <c r="E1244" t="s">
        <v>74</v>
      </c>
      <c r="F1244">
        <v>3</v>
      </c>
      <c r="G1244" s="2">
        <v>24.02</v>
      </c>
      <c r="H1244">
        <v>0.08</v>
      </c>
      <c r="I1244" t="s">
        <v>68</v>
      </c>
      <c r="J1244">
        <v>11</v>
      </c>
      <c r="K1244">
        <v>2.2999999999999998</v>
      </c>
      <c r="L1244" s="2">
        <v>66.3</v>
      </c>
      <c r="M1244">
        <v>2025</v>
      </c>
      <c r="N1244">
        <v>5</v>
      </c>
      <c r="O1244" t="s">
        <v>120</v>
      </c>
      <c r="P1244" s="2">
        <v>72.06</v>
      </c>
      <c r="Q1244" s="2">
        <v>5.76</v>
      </c>
      <c r="R1244" t="s">
        <v>69</v>
      </c>
      <c r="S1244">
        <v>0</v>
      </c>
      <c r="T1244">
        <v>0</v>
      </c>
      <c r="U1244">
        <f>IF(AND(OR(Dashboard!$D$4="Semua",D1244=Dashboard!$D$4),OR(Dashboard!$H$4="Semua",E1244=Dashboard!$H$4)),1,0)</f>
        <v>1</v>
      </c>
      <c r="V1244">
        <f>IF(U1244=1,IF(COUNTIFS($C$2:C1244,C1244,$U$2:U1244,1)=1,1,0),0)</f>
        <v>0</v>
      </c>
    </row>
    <row r="1245" spans="1:22" x14ac:dyDescent="0.35">
      <c r="A1245">
        <v>11244</v>
      </c>
      <c r="B1245" s="1">
        <v>45805</v>
      </c>
      <c r="C1245">
        <v>1191</v>
      </c>
      <c r="D1245" t="s">
        <v>73</v>
      </c>
      <c r="E1245" t="s">
        <v>63</v>
      </c>
      <c r="F1245">
        <v>1</v>
      </c>
      <c r="G1245" s="2">
        <v>77.73</v>
      </c>
      <c r="H1245">
        <v>0.22</v>
      </c>
      <c r="I1245" t="s">
        <v>64</v>
      </c>
      <c r="J1245">
        <v>1</v>
      </c>
      <c r="K1245">
        <v>3.9</v>
      </c>
      <c r="L1245" s="2">
        <v>60.63</v>
      </c>
      <c r="M1245">
        <v>2025</v>
      </c>
      <c r="N1245">
        <v>5</v>
      </c>
      <c r="O1245" t="s">
        <v>120</v>
      </c>
      <c r="P1245" s="2">
        <v>77.73</v>
      </c>
      <c r="Q1245" s="2">
        <v>17.100000000000001</v>
      </c>
      <c r="R1245" t="s">
        <v>77</v>
      </c>
      <c r="S1245">
        <v>0</v>
      </c>
      <c r="T1245">
        <v>0</v>
      </c>
      <c r="U1245">
        <f>IF(AND(OR(Dashboard!$D$4="Semua",D1245=Dashboard!$D$4),OR(Dashboard!$H$4="Semua",E1245=Dashboard!$H$4)),1,0)</f>
        <v>1</v>
      </c>
      <c r="V1245">
        <f>IF(U1245=1,IF(COUNTIFS($C$2:C1245,C1245,$U$2:U1245,1)=1,1,0),0)</f>
        <v>0</v>
      </c>
    </row>
    <row r="1246" spans="1:22" x14ac:dyDescent="0.35">
      <c r="A1246">
        <v>11245</v>
      </c>
      <c r="B1246" s="1">
        <v>45806</v>
      </c>
      <c r="C1246">
        <v>1984</v>
      </c>
      <c r="D1246" t="s">
        <v>67</v>
      </c>
      <c r="E1246" t="s">
        <v>78</v>
      </c>
      <c r="F1246">
        <v>6</v>
      </c>
      <c r="G1246" s="2">
        <v>69.16</v>
      </c>
      <c r="H1246">
        <v>0.16</v>
      </c>
      <c r="I1246" t="s">
        <v>64</v>
      </c>
      <c r="J1246">
        <v>5</v>
      </c>
      <c r="K1246">
        <v>3.2</v>
      </c>
      <c r="L1246" s="2">
        <v>348.57</v>
      </c>
      <c r="M1246">
        <v>2025</v>
      </c>
      <c r="N1246">
        <v>5</v>
      </c>
      <c r="O1246" t="s">
        <v>120</v>
      </c>
      <c r="P1246" s="2">
        <v>414.96</v>
      </c>
      <c r="Q1246" s="2">
        <v>66.39</v>
      </c>
      <c r="R1246" t="s">
        <v>76</v>
      </c>
      <c r="S1246">
        <v>0</v>
      </c>
      <c r="T1246">
        <v>0</v>
      </c>
      <c r="U1246">
        <f>IF(AND(OR(Dashboard!$D$4="Semua",D1246=Dashboard!$D$4),OR(Dashboard!$H$4="Semua",E1246=Dashboard!$H$4)),1,0)</f>
        <v>1</v>
      </c>
      <c r="V1246">
        <f>IF(U1246=1,IF(COUNTIFS($C$2:C1246,C1246,$U$2:U1246,1)=1,1,0),0)</f>
        <v>1</v>
      </c>
    </row>
    <row r="1247" spans="1:22" x14ac:dyDescent="0.35">
      <c r="A1247">
        <v>11246</v>
      </c>
      <c r="B1247" s="1">
        <v>45807</v>
      </c>
      <c r="C1247">
        <v>1630</v>
      </c>
      <c r="D1247" t="s">
        <v>73</v>
      </c>
      <c r="E1247" t="s">
        <v>63</v>
      </c>
      <c r="F1247">
        <v>2</v>
      </c>
      <c r="G1247" s="2">
        <v>431.87</v>
      </c>
      <c r="H1247">
        <v>0.19</v>
      </c>
      <c r="I1247" t="s">
        <v>71</v>
      </c>
      <c r="J1247">
        <v>7</v>
      </c>
      <c r="K1247">
        <v>3.2</v>
      </c>
      <c r="L1247" s="2">
        <v>699.63</v>
      </c>
      <c r="M1247">
        <v>2025</v>
      </c>
      <c r="N1247">
        <v>5</v>
      </c>
      <c r="O1247" t="s">
        <v>120</v>
      </c>
      <c r="P1247" s="2">
        <v>863.74</v>
      </c>
      <c r="Q1247" s="2">
        <v>164.11</v>
      </c>
      <c r="R1247" t="s">
        <v>76</v>
      </c>
      <c r="S1247">
        <v>0</v>
      </c>
      <c r="T1247">
        <v>0</v>
      </c>
      <c r="U1247">
        <f>IF(AND(OR(Dashboard!$D$4="Semua",D1247=Dashboard!$D$4),OR(Dashboard!$H$4="Semua",E1247=Dashboard!$H$4)),1,0)</f>
        <v>1</v>
      </c>
      <c r="V1247">
        <f>IF(U1247=1,IF(COUNTIFS($C$2:C1247,C1247,$U$2:U1247,1)=1,1,0),0)</f>
        <v>1</v>
      </c>
    </row>
    <row r="1248" spans="1:22" x14ac:dyDescent="0.35">
      <c r="A1248">
        <v>11247</v>
      </c>
      <c r="B1248" s="1">
        <v>45808</v>
      </c>
      <c r="C1248">
        <v>1484</v>
      </c>
      <c r="D1248" t="s">
        <v>67</v>
      </c>
      <c r="E1248" t="s">
        <v>78</v>
      </c>
      <c r="F1248">
        <v>2</v>
      </c>
      <c r="G1248" s="2">
        <v>55.71</v>
      </c>
      <c r="H1248">
        <v>0.04</v>
      </c>
      <c r="I1248" t="s">
        <v>68</v>
      </c>
      <c r="J1248">
        <v>1</v>
      </c>
      <c r="K1248">
        <v>3.7</v>
      </c>
      <c r="L1248" s="2">
        <v>106.96</v>
      </c>
      <c r="M1248">
        <v>2025</v>
      </c>
      <c r="N1248">
        <v>5</v>
      </c>
      <c r="O1248" t="s">
        <v>120</v>
      </c>
      <c r="P1248" s="2">
        <v>111.42</v>
      </c>
      <c r="Q1248" s="2">
        <v>4.46</v>
      </c>
      <c r="R1248" t="s">
        <v>75</v>
      </c>
      <c r="S1248">
        <v>0</v>
      </c>
      <c r="T1248">
        <v>0</v>
      </c>
      <c r="U1248">
        <f>IF(AND(OR(Dashboard!$D$4="Semua",D1248=Dashboard!$D$4),OR(Dashboard!$H$4="Semua",E1248=Dashboard!$H$4)),1,0)</f>
        <v>1</v>
      </c>
      <c r="V1248">
        <f>IF(U1248=1,IF(COUNTIFS($C$2:C1248,C1248,$U$2:U1248,1)=1,1,0),0)</f>
        <v>0</v>
      </c>
    </row>
    <row r="1249" spans="1:22" x14ac:dyDescent="0.35">
      <c r="A1249">
        <v>11248</v>
      </c>
      <c r="B1249" s="1">
        <v>45809</v>
      </c>
      <c r="C1249">
        <v>1027</v>
      </c>
      <c r="D1249" t="s">
        <v>67</v>
      </c>
      <c r="E1249" t="s">
        <v>63</v>
      </c>
      <c r="F1249">
        <v>6</v>
      </c>
      <c r="G1249" s="2">
        <v>305.37</v>
      </c>
      <c r="H1249">
        <v>0.28000000000000003</v>
      </c>
      <c r="I1249" t="s">
        <v>71</v>
      </c>
      <c r="J1249">
        <v>11</v>
      </c>
      <c r="K1249">
        <v>2.2999999999999998</v>
      </c>
      <c r="L1249" s="2">
        <v>1319.2</v>
      </c>
      <c r="M1249">
        <v>2025</v>
      </c>
      <c r="N1249">
        <v>6</v>
      </c>
      <c r="O1249" t="s">
        <v>121</v>
      </c>
      <c r="P1249" s="2">
        <v>1832.22</v>
      </c>
      <c r="Q1249" s="2">
        <v>513.02</v>
      </c>
      <c r="R1249" t="s">
        <v>66</v>
      </c>
      <c r="S1249">
        <v>0</v>
      </c>
      <c r="T1249">
        <v>0</v>
      </c>
      <c r="U1249">
        <f>IF(AND(OR(Dashboard!$D$4="Semua",D1249=Dashboard!$D$4),OR(Dashboard!$H$4="Semua",E1249=Dashboard!$H$4)),1,0)</f>
        <v>1</v>
      </c>
      <c r="V1249">
        <f>IF(U1249=1,IF(COUNTIFS($C$2:C1249,C1249,$U$2:U1249,1)=1,1,0),0)</f>
        <v>0</v>
      </c>
    </row>
    <row r="1250" spans="1:22" x14ac:dyDescent="0.35">
      <c r="A1250">
        <v>11249</v>
      </c>
      <c r="B1250" s="1">
        <v>45810</v>
      </c>
      <c r="C1250">
        <v>1713</v>
      </c>
      <c r="D1250" t="s">
        <v>80</v>
      </c>
      <c r="E1250" t="s">
        <v>63</v>
      </c>
      <c r="F1250">
        <v>1</v>
      </c>
      <c r="G1250" s="2">
        <v>291.52999999999997</v>
      </c>
      <c r="H1250">
        <v>0.27</v>
      </c>
      <c r="I1250" t="s">
        <v>68</v>
      </c>
      <c r="J1250">
        <v>8</v>
      </c>
      <c r="K1250">
        <v>2.7</v>
      </c>
      <c r="L1250" s="2">
        <v>212.82</v>
      </c>
      <c r="M1250">
        <v>2025</v>
      </c>
      <c r="N1250">
        <v>6</v>
      </c>
      <c r="O1250" t="s">
        <v>121</v>
      </c>
      <c r="P1250" s="2">
        <v>291.52999999999997</v>
      </c>
      <c r="Q1250" s="2">
        <v>78.709999999999994</v>
      </c>
      <c r="R1250" t="s">
        <v>66</v>
      </c>
      <c r="S1250">
        <v>0</v>
      </c>
      <c r="T1250">
        <v>0</v>
      </c>
      <c r="U1250">
        <f>IF(AND(OR(Dashboard!$D$4="Semua",D1250=Dashboard!$D$4),OR(Dashboard!$H$4="Semua",E1250=Dashboard!$H$4)),1,0)</f>
        <v>1</v>
      </c>
      <c r="V1250">
        <f>IF(U1250=1,IF(COUNTIFS($C$2:C1250,C1250,$U$2:U1250,1)=1,1,0),0)</f>
        <v>0</v>
      </c>
    </row>
    <row r="1251" spans="1:22" x14ac:dyDescent="0.35">
      <c r="A1251">
        <v>11250</v>
      </c>
      <c r="B1251" s="1">
        <v>45811</v>
      </c>
      <c r="C1251">
        <v>1038</v>
      </c>
      <c r="D1251" t="s">
        <v>80</v>
      </c>
      <c r="E1251" t="s">
        <v>63</v>
      </c>
      <c r="F1251">
        <v>4</v>
      </c>
      <c r="G1251" s="2">
        <v>196.76</v>
      </c>
      <c r="H1251">
        <v>0.01</v>
      </c>
      <c r="I1251" t="s">
        <v>64</v>
      </c>
      <c r="J1251">
        <v>3</v>
      </c>
      <c r="K1251">
        <v>3.3</v>
      </c>
      <c r="L1251" s="2">
        <v>779.17</v>
      </c>
      <c r="M1251">
        <v>2025</v>
      </c>
      <c r="N1251">
        <v>6</v>
      </c>
      <c r="O1251" t="s">
        <v>121</v>
      </c>
      <c r="P1251" s="2">
        <v>787.04</v>
      </c>
      <c r="Q1251" s="2">
        <v>7.87</v>
      </c>
      <c r="R1251" t="s">
        <v>75</v>
      </c>
      <c r="S1251">
        <v>0</v>
      </c>
      <c r="T1251">
        <v>0</v>
      </c>
      <c r="U1251">
        <f>IF(AND(OR(Dashboard!$D$4="Semua",D1251=Dashboard!$D$4),OR(Dashboard!$H$4="Semua",E1251=Dashboard!$H$4)),1,0)</f>
        <v>1</v>
      </c>
      <c r="V1251">
        <f>IF(U1251=1,IF(COUNTIFS($C$2:C1251,C1251,$U$2:U1251,1)=1,1,0),0)</f>
        <v>0</v>
      </c>
    </row>
    <row r="1252" spans="1:22" x14ac:dyDescent="0.35">
      <c r="A1252">
        <v>11251</v>
      </c>
      <c r="B1252" s="1">
        <v>45812</v>
      </c>
      <c r="C1252">
        <v>1952</v>
      </c>
      <c r="D1252" t="s">
        <v>67</v>
      </c>
      <c r="E1252" t="s">
        <v>78</v>
      </c>
      <c r="F1252">
        <v>3</v>
      </c>
      <c r="G1252" s="2">
        <v>524.19000000000005</v>
      </c>
      <c r="H1252">
        <v>0.13</v>
      </c>
      <c r="I1252" t="s">
        <v>71</v>
      </c>
      <c r="J1252">
        <v>7</v>
      </c>
      <c r="K1252">
        <v>2.7</v>
      </c>
      <c r="L1252" s="2">
        <v>1368.14</v>
      </c>
      <c r="M1252">
        <v>2025</v>
      </c>
      <c r="N1252">
        <v>6</v>
      </c>
      <c r="O1252" t="s">
        <v>121</v>
      </c>
      <c r="P1252" s="2">
        <v>1572.57</v>
      </c>
      <c r="Q1252" s="2">
        <v>204.43</v>
      </c>
      <c r="R1252" t="s">
        <v>79</v>
      </c>
      <c r="S1252">
        <v>0</v>
      </c>
      <c r="T1252">
        <v>0</v>
      </c>
      <c r="U1252">
        <f>IF(AND(OR(Dashboard!$D$4="Semua",D1252=Dashboard!$D$4),OR(Dashboard!$H$4="Semua",E1252=Dashboard!$H$4)),1,0)</f>
        <v>1</v>
      </c>
      <c r="V1252">
        <f>IF(U1252=1,IF(COUNTIFS($C$2:C1252,C1252,$U$2:U1252,1)=1,1,0),0)</f>
        <v>0</v>
      </c>
    </row>
    <row r="1253" spans="1:22" x14ac:dyDescent="0.35">
      <c r="A1253">
        <v>11252</v>
      </c>
      <c r="B1253" s="1">
        <v>45813</v>
      </c>
      <c r="C1253">
        <v>1272</v>
      </c>
      <c r="D1253" t="s">
        <v>67</v>
      </c>
      <c r="E1253" t="s">
        <v>63</v>
      </c>
      <c r="F1253">
        <v>5</v>
      </c>
      <c r="G1253" s="2">
        <v>114.7</v>
      </c>
      <c r="H1253">
        <v>0.02</v>
      </c>
      <c r="I1253" t="s">
        <v>64</v>
      </c>
      <c r="J1253">
        <v>3</v>
      </c>
      <c r="K1253">
        <v>2.8</v>
      </c>
      <c r="L1253" s="2">
        <v>562.03</v>
      </c>
      <c r="M1253">
        <v>2025</v>
      </c>
      <c r="N1253">
        <v>6</v>
      </c>
      <c r="O1253" t="s">
        <v>121</v>
      </c>
      <c r="P1253" s="2">
        <v>573.5</v>
      </c>
      <c r="Q1253" s="2">
        <v>11.47</v>
      </c>
      <c r="R1253" t="s">
        <v>75</v>
      </c>
      <c r="S1253">
        <v>0</v>
      </c>
      <c r="T1253">
        <v>0</v>
      </c>
      <c r="U1253">
        <f>IF(AND(OR(Dashboard!$D$4="Semua",D1253=Dashboard!$D$4),OR(Dashboard!$H$4="Semua",E1253=Dashboard!$H$4)),1,0)</f>
        <v>1</v>
      </c>
      <c r="V1253">
        <f>IF(U1253=1,IF(COUNTIFS($C$2:C1253,C1253,$U$2:U1253,1)=1,1,0),0)</f>
        <v>0</v>
      </c>
    </row>
    <row r="1254" spans="1:22" x14ac:dyDescent="0.35">
      <c r="A1254">
        <v>11253</v>
      </c>
      <c r="B1254" s="1">
        <v>45814</v>
      </c>
      <c r="C1254">
        <v>1230</v>
      </c>
      <c r="D1254" t="s">
        <v>67</v>
      </c>
      <c r="E1254" t="s">
        <v>74</v>
      </c>
      <c r="F1254">
        <v>2</v>
      </c>
      <c r="G1254" s="2">
        <v>221.19</v>
      </c>
      <c r="H1254">
        <v>0.28000000000000003</v>
      </c>
      <c r="I1254" t="s">
        <v>71</v>
      </c>
      <c r="J1254">
        <v>4</v>
      </c>
      <c r="K1254">
        <v>2.1</v>
      </c>
      <c r="L1254" s="2">
        <v>318.51</v>
      </c>
      <c r="M1254">
        <v>2025</v>
      </c>
      <c r="N1254">
        <v>6</v>
      </c>
      <c r="O1254" t="s">
        <v>121</v>
      </c>
      <c r="P1254" s="2">
        <v>442.38</v>
      </c>
      <c r="Q1254" s="2">
        <v>123.87</v>
      </c>
      <c r="R1254" t="s">
        <v>66</v>
      </c>
      <c r="S1254">
        <v>0</v>
      </c>
      <c r="T1254">
        <v>0</v>
      </c>
      <c r="U1254">
        <f>IF(AND(OR(Dashboard!$D$4="Semua",D1254=Dashboard!$D$4),OR(Dashboard!$H$4="Semua",E1254=Dashboard!$H$4)),1,0)</f>
        <v>1</v>
      </c>
      <c r="V1254">
        <f>IF(U1254=1,IF(COUNTIFS($C$2:C1254,C1254,$U$2:U1254,1)=1,1,0),0)</f>
        <v>0</v>
      </c>
    </row>
    <row r="1255" spans="1:22" x14ac:dyDescent="0.35">
      <c r="A1255">
        <v>11254</v>
      </c>
      <c r="B1255" s="1">
        <v>45815</v>
      </c>
      <c r="C1255">
        <v>1085</v>
      </c>
      <c r="D1255" t="s">
        <v>80</v>
      </c>
      <c r="E1255" t="s">
        <v>74</v>
      </c>
      <c r="F1255">
        <v>6</v>
      </c>
      <c r="G1255" s="2">
        <v>467.89</v>
      </c>
      <c r="H1255">
        <v>0.26</v>
      </c>
      <c r="I1255" t="s">
        <v>71</v>
      </c>
      <c r="J1255">
        <v>8</v>
      </c>
      <c r="K1255">
        <v>2.1</v>
      </c>
      <c r="L1255" s="2">
        <v>2077.4299999999998</v>
      </c>
      <c r="M1255">
        <v>2025</v>
      </c>
      <c r="N1255">
        <v>6</v>
      </c>
      <c r="O1255" t="s">
        <v>121</v>
      </c>
      <c r="P1255" s="2">
        <v>2807.34</v>
      </c>
      <c r="Q1255" s="2">
        <v>729.91</v>
      </c>
      <c r="R1255" t="s">
        <v>66</v>
      </c>
      <c r="S1255">
        <v>0</v>
      </c>
      <c r="T1255">
        <v>0</v>
      </c>
      <c r="U1255">
        <f>IF(AND(OR(Dashboard!$D$4="Semua",D1255=Dashboard!$D$4),OR(Dashboard!$H$4="Semua",E1255=Dashboard!$H$4)),1,0)</f>
        <v>1</v>
      </c>
      <c r="V1255">
        <f>IF(U1255=1,IF(COUNTIFS($C$2:C1255,C1255,$U$2:U1255,1)=1,1,0),0)</f>
        <v>0</v>
      </c>
    </row>
    <row r="1256" spans="1:22" x14ac:dyDescent="0.35">
      <c r="A1256">
        <v>11255</v>
      </c>
      <c r="B1256" s="1">
        <v>45816</v>
      </c>
      <c r="C1256">
        <v>1473</v>
      </c>
      <c r="D1256" t="s">
        <v>73</v>
      </c>
      <c r="E1256" t="s">
        <v>74</v>
      </c>
      <c r="F1256">
        <v>5</v>
      </c>
      <c r="G1256" s="2">
        <v>32.799999999999997</v>
      </c>
      <c r="H1256">
        <v>0.32</v>
      </c>
      <c r="I1256" t="s">
        <v>71</v>
      </c>
      <c r="J1256">
        <v>2</v>
      </c>
      <c r="K1256">
        <v>3.8</v>
      </c>
      <c r="L1256" s="2">
        <v>111.52</v>
      </c>
      <c r="M1256">
        <v>2025</v>
      </c>
      <c r="N1256">
        <v>6</v>
      </c>
      <c r="O1256" t="s">
        <v>121</v>
      </c>
      <c r="P1256" s="2">
        <v>164</v>
      </c>
      <c r="Q1256" s="2">
        <v>52.48</v>
      </c>
      <c r="R1256" t="s">
        <v>72</v>
      </c>
      <c r="S1256">
        <v>0</v>
      </c>
      <c r="T1256">
        <v>0</v>
      </c>
      <c r="U1256">
        <f>IF(AND(OR(Dashboard!$D$4="Semua",D1256=Dashboard!$D$4),OR(Dashboard!$H$4="Semua",E1256=Dashboard!$H$4)),1,0)</f>
        <v>1</v>
      </c>
      <c r="V1256">
        <f>IF(U1256=1,IF(COUNTIFS($C$2:C1256,C1256,$U$2:U1256,1)=1,1,0),0)</f>
        <v>0</v>
      </c>
    </row>
    <row r="1257" spans="1:22" x14ac:dyDescent="0.35">
      <c r="A1257">
        <v>11256</v>
      </c>
      <c r="B1257" s="1">
        <v>45817</v>
      </c>
      <c r="C1257">
        <v>1125</v>
      </c>
      <c r="D1257" t="s">
        <v>73</v>
      </c>
      <c r="E1257" t="s">
        <v>78</v>
      </c>
      <c r="F1257">
        <v>7</v>
      </c>
      <c r="G1257" s="2">
        <v>408.68</v>
      </c>
      <c r="H1257">
        <v>0.08</v>
      </c>
      <c r="I1257" t="s">
        <v>68</v>
      </c>
      <c r="J1257">
        <v>6</v>
      </c>
      <c r="K1257">
        <v>1</v>
      </c>
      <c r="L1257" s="2">
        <v>2631.9</v>
      </c>
      <c r="M1257">
        <v>2025</v>
      </c>
      <c r="N1257">
        <v>6</v>
      </c>
      <c r="O1257" t="s">
        <v>121</v>
      </c>
      <c r="P1257" s="2">
        <v>2860.76</v>
      </c>
      <c r="Q1257" s="2">
        <v>228.86</v>
      </c>
      <c r="R1257" t="s">
        <v>69</v>
      </c>
      <c r="S1257">
        <v>0</v>
      </c>
      <c r="T1257">
        <v>0</v>
      </c>
      <c r="U1257">
        <f>IF(AND(OR(Dashboard!$D$4="Semua",D1257=Dashboard!$D$4),OR(Dashboard!$H$4="Semua",E1257=Dashboard!$H$4)),1,0)</f>
        <v>1</v>
      </c>
      <c r="V1257">
        <f>IF(U1257=1,IF(COUNTIFS($C$2:C1257,C1257,$U$2:U1257,1)=1,1,0),0)</f>
        <v>0</v>
      </c>
    </row>
    <row r="1258" spans="1:22" x14ac:dyDescent="0.35">
      <c r="A1258">
        <v>11257</v>
      </c>
      <c r="B1258" s="1">
        <v>45818</v>
      </c>
      <c r="C1258">
        <v>1811</v>
      </c>
      <c r="D1258" t="s">
        <v>73</v>
      </c>
      <c r="E1258" t="s">
        <v>78</v>
      </c>
      <c r="F1258">
        <v>1</v>
      </c>
      <c r="G1258" s="2">
        <v>492.59</v>
      </c>
      <c r="H1258">
        <v>0.16</v>
      </c>
      <c r="I1258" t="s">
        <v>71</v>
      </c>
      <c r="J1258">
        <v>10</v>
      </c>
      <c r="K1258">
        <v>1.4</v>
      </c>
      <c r="L1258" s="2">
        <v>413.78</v>
      </c>
      <c r="M1258">
        <v>2025</v>
      </c>
      <c r="N1258">
        <v>6</v>
      </c>
      <c r="O1258" t="s">
        <v>121</v>
      </c>
      <c r="P1258" s="2">
        <v>492.59</v>
      </c>
      <c r="Q1258" s="2">
        <v>78.81</v>
      </c>
      <c r="R1258" t="s">
        <v>76</v>
      </c>
      <c r="S1258">
        <v>0</v>
      </c>
      <c r="T1258">
        <v>0</v>
      </c>
      <c r="U1258">
        <f>IF(AND(OR(Dashboard!$D$4="Semua",D1258=Dashboard!$D$4),OR(Dashboard!$H$4="Semua",E1258=Dashboard!$H$4)),1,0)</f>
        <v>1</v>
      </c>
      <c r="V1258">
        <f>IF(U1258=1,IF(COUNTIFS($C$2:C1258,C1258,$U$2:U1258,1)=1,1,0),0)</f>
        <v>1</v>
      </c>
    </row>
    <row r="1259" spans="1:22" x14ac:dyDescent="0.35">
      <c r="A1259">
        <v>11258</v>
      </c>
      <c r="B1259" s="1">
        <v>45819</v>
      </c>
      <c r="C1259">
        <v>1536</v>
      </c>
      <c r="D1259" t="s">
        <v>67</v>
      </c>
      <c r="E1259" t="s">
        <v>74</v>
      </c>
      <c r="F1259">
        <v>5</v>
      </c>
      <c r="G1259" s="2">
        <v>560.38</v>
      </c>
      <c r="H1259">
        <v>0.06</v>
      </c>
      <c r="I1259" t="s">
        <v>71</v>
      </c>
      <c r="J1259">
        <v>9</v>
      </c>
      <c r="K1259">
        <v>4.8</v>
      </c>
      <c r="L1259" s="2">
        <v>2633.79</v>
      </c>
      <c r="M1259">
        <v>2025</v>
      </c>
      <c r="N1259">
        <v>6</v>
      </c>
      <c r="O1259" t="s">
        <v>121</v>
      </c>
      <c r="P1259" s="2">
        <v>2801.9</v>
      </c>
      <c r="Q1259" s="2">
        <v>168.11</v>
      </c>
      <c r="R1259" t="s">
        <v>69</v>
      </c>
      <c r="S1259">
        <v>0</v>
      </c>
      <c r="T1259">
        <v>0</v>
      </c>
      <c r="U1259">
        <f>IF(AND(OR(Dashboard!$D$4="Semua",D1259=Dashboard!$D$4),OR(Dashboard!$H$4="Semua",E1259=Dashboard!$H$4)),1,0)</f>
        <v>1</v>
      </c>
      <c r="V1259">
        <f>IF(U1259=1,IF(COUNTIFS($C$2:C1259,C1259,$U$2:U1259,1)=1,1,0),0)</f>
        <v>1</v>
      </c>
    </row>
    <row r="1260" spans="1:22" x14ac:dyDescent="0.35">
      <c r="A1260">
        <v>11259</v>
      </c>
      <c r="B1260" s="1">
        <v>45820</v>
      </c>
      <c r="C1260">
        <v>1144</v>
      </c>
      <c r="D1260" t="s">
        <v>67</v>
      </c>
      <c r="E1260" t="s">
        <v>74</v>
      </c>
      <c r="F1260">
        <v>5</v>
      </c>
      <c r="G1260" s="2">
        <v>527.63</v>
      </c>
      <c r="H1260">
        <v>0.13</v>
      </c>
      <c r="I1260" t="s">
        <v>64</v>
      </c>
      <c r="J1260">
        <v>10</v>
      </c>
      <c r="K1260">
        <v>1.7</v>
      </c>
      <c r="L1260" s="2">
        <v>2295.19</v>
      </c>
      <c r="M1260">
        <v>2025</v>
      </c>
      <c r="N1260">
        <v>6</v>
      </c>
      <c r="O1260" t="s">
        <v>121</v>
      </c>
      <c r="P1260" s="2">
        <v>2638.15</v>
      </c>
      <c r="Q1260" s="2">
        <v>342.96</v>
      </c>
      <c r="R1260" t="s">
        <v>79</v>
      </c>
      <c r="S1260">
        <v>0</v>
      </c>
      <c r="T1260">
        <v>0</v>
      </c>
      <c r="U1260">
        <f>IF(AND(OR(Dashboard!$D$4="Semua",D1260=Dashboard!$D$4),OR(Dashboard!$H$4="Semua",E1260=Dashboard!$H$4)),1,0)</f>
        <v>1</v>
      </c>
      <c r="V1260">
        <f>IF(U1260=1,IF(COUNTIFS($C$2:C1260,C1260,$U$2:U1260,1)=1,1,0),0)</f>
        <v>0</v>
      </c>
    </row>
    <row r="1261" spans="1:22" x14ac:dyDescent="0.35">
      <c r="A1261">
        <v>11260</v>
      </c>
      <c r="B1261" s="1">
        <v>45821</v>
      </c>
      <c r="C1261">
        <v>1524</v>
      </c>
      <c r="D1261" t="s">
        <v>80</v>
      </c>
      <c r="E1261" t="s">
        <v>74</v>
      </c>
      <c r="F1261">
        <v>3</v>
      </c>
      <c r="G1261" s="2">
        <v>201.84</v>
      </c>
      <c r="H1261">
        <v>0.18</v>
      </c>
      <c r="I1261" t="s">
        <v>71</v>
      </c>
      <c r="J1261">
        <v>9</v>
      </c>
      <c r="K1261">
        <v>2.7</v>
      </c>
      <c r="L1261" s="2">
        <v>496.53</v>
      </c>
      <c r="M1261">
        <v>2025</v>
      </c>
      <c r="N1261">
        <v>6</v>
      </c>
      <c r="O1261" t="s">
        <v>121</v>
      </c>
      <c r="P1261" s="2">
        <v>605.52</v>
      </c>
      <c r="Q1261" s="2">
        <v>108.99</v>
      </c>
      <c r="R1261" t="s">
        <v>76</v>
      </c>
      <c r="S1261">
        <v>0</v>
      </c>
      <c r="T1261">
        <v>0</v>
      </c>
      <c r="U1261">
        <f>IF(AND(OR(Dashboard!$D$4="Semua",D1261=Dashboard!$D$4),OR(Dashboard!$H$4="Semua",E1261=Dashboard!$H$4)),1,0)</f>
        <v>1</v>
      </c>
      <c r="V1261">
        <f>IF(U1261=1,IF(COUNTIFS($C$2:C1261,C1261,$U$2:U1261,1)=1,1,0),0)</f>
        <v>0</v>
      </c>
    </row>
    <row r="1262" spans="1:22" x14ac:dyDescent="0.35">
      <c r="A1262">
        <v>11261</v>
      </c>
      <c r="B1262" s="1">
        <v>45822</v>
      </c>
      <c r="C1262">
        <v>1211</v>
      </c>
      <c r="D1262" t="s">
        <v>73</v>
      </c>
      <c r="E1262" t="s">
        <v>70</v>
      </c>
      <c r="F1262">
        <v>1</v>
      </c>
      <c r="G1262" s="2">
        <v>358.02</v>
      </c>
      <c r="H1262">
        <v>0.02</v>
      </c>
      <c r="I1262" t="s">
        <v>64</v>
      </c>
      <c r="J1262">
        <v>5</v>
      </c>
      <c r="K1262">
        <v>4.4000000000000004</v>
      </c>
      <c r="L1262" s="2">
        <v>350.86</v>
      </c>
      <c r="M1262">
        <v>2025</v>
      </c>
      <c r="N1262">
        <v>6</v>
      </c>
      <c r="O1262" t="s">
        <v>121</v>
      </c>
      <c r="P1262" s="2">
        <v>358.02</v>
      </c>
      <c r="Q1262" s="2">
        <v>7.16</v>
      </c>
      <c r="R1262" t="s">
        <v>75</v>
      </c>
      <c r="S1262">
        <v>0</v>
      </c>
      <c r="T1262">
        <v>0</v>
      </c>
      <c r="U1262">
        <f>IF(AND(OR(Dashboard!$D$4="Semua",D1262=Dashboard!$D$4),OR(Dashboard!$H$4="Semua",E1262=Dashboard!$H$4)),1,0)</f>
        <v>1</v>
      </c>
      <c r="V1262">
        <f>IF(U1262=1,IF(COUNTIFS($C$2:C1262,C1262,$U$2:U1262,1)=1,1,0),0)</f>
        <v>1</v>
      </c>
    </row>
    <row r="1263" spans="1:22" x14ac:dyDescent="0.35">
      <c r="A1263">
        <v>11262</v>
      </c>
      <c r="B1263" s="1">
        <v>45823</v>
      </c>
      <c r="C1263">
        <v>1024</v>
      </c>
      <c r="D1263" t="s">
        <v>67</v>
      </c>
      <c r="E1263" t="s">
        <v>74</v>
      </c>
      <c r="F1263">
        <v>5</v>
      </c>
      <c r="G1263" s="2">
        <v>60.22</v>
      </c>
      <c r="H1263">
        <v>0.25</v>
      </c>
      <c r="I1263" t="s">
        <v>64</v>
      </c>
      <c r="J1263">
        <v>3</v>
      </c>
      <c r="K1263">
        <v>1</v>
      </c>
      <c r="L1263" s="2">
        <v>225.82</v>
      </c>
      <c r="M1263">
        <v>2025</v>
      </c>
      <c r="N1263">
        <v>6</v>
      </c>
      <c r="O1263" t="s">
        <v>121</v>
      </c>
      <c r="P1263" s="2">
        <v>301.10000000000002</v>
      </c>
      <c r="Q1263" s="2">
        <v>75.28</v>
      </c>
      <c r="R1263" t="s">
        <v>77</v>
      </c>
      <c r="S1263">
        <v>0</v>
      </c>
      <c r="T1263">
        <v>0</v>
      </c>
      <c r="U1263">
        <f>IF(AND(OR(Dashboard!$D$4="Semua",D1263=Dashboard!$D$4),OR(Dashboard!$H$4="Semua",E1263=Dashboard!$H$4)),1,0)</f>
        <v>1</v>
      </c>
      <c r="V1263">
        <f>IF(U1263=1,IF(COUNTIFS($C$2:C1263,C1263,$U$2:U1263,1)=1,1,0),0)</f>
        <v>0</v>
      </c>
    </row>
    <row r="1264" spans="1:22" x14ac:dyDescent="0.35">
      <c r="A1264">
        <v>11263</v>
      </c>
      <c r="B1264" s="1">
        <v>45824</v>
      </c>
      <c r="C1264">
        <v>1579</v>
      </c>
      <c r="D1264" t="s">
        <v>80</v>
      </c>
      <c r="E1264" t="s">
        <v>63</v>
      </c>
      <c r="F1264">
        <v>2</v>
      </c>
      <c r="G1264" s="2">
        <v>165.85</v>
      </c>
      <c r="H1264">
        <v>0.19</v>
      </c>
      <c r="I1264" t="s">
        <v>71</v>
      </c>
      <c r="J1264">
        <v>6</v>
      </c>
      <c r="K1264">
        <v>4.7</v>
      </c>
      <c r="L1264" s="2">
        <v>268.68</v>
      </c>
      <c r="M1264">
        <v>2025</v>
      </c>
      <c r="N1264">
        <v>6</v>
      </c>
      <c r="O1264" t="s">
        <v>121</v>
      </c>
      <c r="P1264" s="2">
        <v>331.7</v>
      </c>
      <c r="Q1264" s="2">
        <v>63.02</v>
      </c>
      <c r="R1264" t="s">
        <v>76</v>
      </c>
      <c r="S1264">
        <v>0</v>
      </c>
      <c r="T1264">
        <v>0</v>
      </c>
      <c r="U1264">
        <f>IF(AND(OR(Dashboard!$D$4="Semua",D1264=Dashboard!$D$4),OR(Dashboard!$H$4="Semua",E1264=Dashboard!$H$4)),1,0)</f>
        <v>1</v>
      </c>
      <c r="V1264">
        <f>IF(U1264=1,IF(COUNTIFS($C$2:C1264,C1264,$U$2:U1264,1)=1,1,0),0)</f>
        <v>0</v>
      </c>
    </row>
    <row r="1265" spans="1:22" x14ac:dyDescent="0.35">
      <c r="A1265">
        <v>11264</v>
      </c>
      <c r="B1265" s="1">
        <v>45825</v>
      </c>
      <c r="C1265">
        <v>1393</v>
      </c>
      <c r="D1265" t="s">
        <v>80</v>
      </c>
      <c r="E1265" t="s">
        <v>70</v>
      </c>
      <c r="F1265">
        <v>1</v>
      </c>
      <c r="G1265" s="2">
        <v>70.12</v>
      </c>
      <c r="H1265">
        <v>0.28999999999999998</v>
      </c>
      <c r="I1265" t="s">
        <v>68</v>
      </c>
      <c r="J1265">
        <v>9</v>
      </c>
      <c r="K1265">
        <v>1.2</v>
      </c>
      <c r="L1265" s="2">
        <v>49.79</v>
      </c>
      <c r="M1265">
        <v>2025</v>
      </c>
      <c r="N1265">
        <v>6</v>
      </c>
      <c r="O1265" t="s">
        <v>121</v>
      </c>
      <c r="P1265" s="2">
        <v>70.12</v>
      </c>
      <c r="Q1265" s="2">
        <v>20.329999999999998</v>
      </c>
      <c r="R1265" t="s">
        <v>66</v>
      </c>
      <c r="S1265">
        <v>0</v>
      </c>
      <c r="T1265">
        <v>0</v>
      </c>
      <c r="U1265">
        <f>IF(AND(OR(Dashboard!$D$4="Semua",D1265=Dashboard!$D$4),OR(Dashboard!$H$4="Semua",E1265=Dashboard!$H$4)),1,0)</f>
        <v>1</v>
      </c>
      <c r="V1265">
        <f>IF(U1265=1,IF(COUNTIFS($C$2:C1265,C1265,$U$2:U1265,1)=1,1,0),0)</f>
        <v>0</v>
      </c>
    </row>
    <row r="1266" spans="1:22" x14ac:dyDescent="0.35">
      <c r="A1266">
        <v>11265</v>
      </c>
      <c r="B1266" s="1">
        <v>45826</v>
      </c>
      <c r="C1266">
        <v>1066</v>
      </c>
      <c r="D1266" t="s">
        <v>67</v>
      </c>
      <c r="E1266" t="s">
        <v>70</v>
      </c>
      <c r="F1266">
        <v>2</v>
      </c>
      <c r="G1266" s="2">
        <v>199.38</v>
      </c>
      <c r="H1266">
        <v>0.1</v>
      </c>
      <c r="I1266" t="s">
        <v>71</v>
      </c>
      <c r="J1266">
        <v>6</v>
      </c>
      <c r="K1266">
        <v>1.7</v>
      </c>
      <c r="L1266" s="2">
        <v>358.88</v>
      </c>
      <c r="M1266">
        <v>2025</v>
      </c>
      <c r="N1266">
        <v>6</v>
      </c>
      <c r="O1266" t="s">
        <v>121</v>
      </c>
      <c r="P1266" s="2">
        <v>398.76</v>
      </c>
      <c r="Q1266" s="2">
        <v>39.880000000000003</v>
      </c>
      <c r="R1266" t="s">
        <v>69</v>
      </c>
      <c r="S1266">
        <v>0</v>
      </c>
      <c r="T1266">
        <v>0</v>
      </c>
      <c r="U1266">
        <f>IF(AND(OR(Dashboard!$D$4="Semua",D1266=Dashboard!$D$4),OR(Dashboard!$H$4="Semua",E1266=Dashboard!$H$4)),1,0)</f>
        <v>1</v>
      </c>
      <c r="V1266">
        <f>IF(U1266=1,IF(COUNTIFS($C$2:C1266,C1266,$U$2:U1266,1)=1,1,0),0)</f>
        <v>1</v>
      </c>
    </row>
    <row r="1267" spans="1:22" x14ac:dyDescent="0.35">
      <c r="A1267">
        <v>11266</v>
      </c>
      <c r="B1267" s="1">
        <v>45827</v>
      </c>
      <c r="C1267">
        <v>1232</v>
      </c>
      <c r="D1267" t="s">
        <v>67</v>
      </c>
      <c r="E1267" t="s">
        <v>78</v>
      </c>
      <c r="F1267">
        <v>6</v>
      </c>
      <c r="G1267" s="2">
        <v>526.98</v>
      </c>
      <c r="H1267">
        <v>0.32</v>
      </c>
      <c r="I1267" t="s">
        <v>68</v>
      </c>
      <c r="J1267">
        <v>4</v>
      </c>
      <c r="K1267">
        <v>1.1000000000000001</v>
      </c>
      <c r="L1267" s="2">
        <v>2150.08</v>
      </c>
      <c r="M1267">
        <v>2025</v>
      </c>
      <c r="N1267">
        <v>6</v>
      </c>
      <c r="O1267" t="s">
        <v>121</v>
      </c>
      <c r="P1267" s="2">
        <v>3161.88</v>
      </c>
      <c r="Q1267" s="2">
        <v>1011.8</v>
      </c>
      <c r="R1267" t="s">
        <v>72</v>
      </c>
      <c r="S1267">
        <v>0</v>
      </c>
      <c r="T1267">
        <v>0</v>
      </c>
      <c r="U1267">
        <f>IF(AND(OR(Dashboard!$D$4="Semua",D1267=Dashboard!$D$4),OR(Dashboard!$H$4="Semua",E1267=Dashboard!$H$4)),1,0)</f>
        <v>1</v>
      </c>
      <c r="V1267">
        <f>IF(U1267=1,IF(COUNTIFS($C$2:C1267,C1267,$U$2:U1267,1)=1,1,0),0)</f>
        <v>0</v>
      </c>
    </row>
    <row r="1268" spans="1:22" x14ac:dyDescent="0.35">
      <c r="A1268">
        <v>11267</v>
      </c>
      <c r="B1268" s="1">
        <v>45828</v>
      </c>
      <c r="C1268">
        <v>1108</v>
      </c>
      <c r="D1268" t="s">
        <v>73</v>
      </c>
      <c r="E1268" t="s">
        <v>63</v>
      </c>
      <c r="F1268">
        <v>6</v>
      </c>
      <c r="G1268" s="2">
        <v>218.09</v>
      </c>
      <c r="H1268">
        <v>0.35</v>
      </c>
      <c r="I1268" t="s">
        <v>68</v>
      </c>
      <c r="J1268">
        <v>11</v>
      </c>
      <c r="K1268">
        <v>3.1</v>
      </c>
      <c r="L1268" s="2">
        <v>850.55</v>
      </c>
      <c r="M1268">
        <v>2025</v>
      </c>
      <c r="N1268">
        <v>6</v>
      </c>
      <c r="O1268" t="s">
        <v>121</v>
      </c>
      <c r="P1268" s="2">
        <v>1308.54</v>
      </c>
      <c r="Q1268" s="2">
        <v>457.99</v>
      </c>
      <c r="R1268" t="s">
        <v>72</v>
      </c>
      <c r="S1268">
        <v>0</v>
      </c>
      <c r="T1268">
        <v>0</v>
      </c>
      <c r="U1268">
        <f>IF(AND(OR(Dashboard!$D$4="Semua",D1268=Dashboard!$D$4),OR(Dashboard!$H$4="Semua",E1268=Dashboard!$H$4)),1,0)</f>
        <v>1</v>
      </c>
      <c r="V1268">
        <f>IF(U1268=1,IF(COUNTIFS($C$2:C1268,C1268,$U$2:U1268,1)=1,1,0),0)</f>
        <v>0</v>
      </c>
    </row>
    <row r="1269" spans="1:22" x14ac:dyDescent="0.35">
      <c r="A1269">
        <v>11268</v>
      </c>
      <c r="B1269" s="1">
        <v>45829</v>
      </c>
      <c r="C1269">
        <v>1145</v>
      </c>
      <c r="D1269" t="s">
        <v>62</v>
      </c>
      <c r="E1269" t="s">
        <v>78</v>
      </c>
      <c r="F1269">
        <v>7</v>
      </c>
      <c r="G1269" s="2">
        <v>343.71</v>
      </c>
      <c r="H1269">
        <v>0.32</v>
      </c>
      <c r="I1269" t="s">
        <v>68</v>
      </c>
      <c r="J1269">
        <v>5</v>
      </c>
      <c r="K1269">
        <v>4.8</v>
      </c>
      <c r="L1269" s="2">
        <v>1636.06</v>
      </c>
      <c r="M1269">
        <v>2025</v>
      </c>
      <c r="N1269">
        <v>6</v>
      </c>
      <c r="O1269" t="s">
        <v>121</v>
      </c>
      <c r="P1269" s="2">
        <v>2405.9699999999998</v>
      </c>
      <c r="Q1269" s="2">
        <v>769.91</v>
      </c>
      <c r="R1269" t="s">
        <v>72</v>
      </c>
      <c r="S1269">
        <v>0</v>
      </c>
      <c r="T1269">
        <v>0</v>
      </c>
      <c r="U1269">
        <f>IF(AND(OR(Dashboard!$D$4="Semua",D1269=Dashboard!$D$4),OR(Dashboard!$H$4="Semua",E1269=Dashboard!$H$4)),1,0)</f>
        <v>1</v>
      </c>
      <c r="V1269">
        <f>IF(U1269=1,IF(COUNTIFS($C$2:C1269,C1269,$U$2:U1269,1)=1,1,0),0)</f>
        <v>0</v>
      </c>
    </row>
    <row r="1270" spans="1:22" x14ac:dyDescent="0.35">
      <c r="A1270">
        <v>11269</v>
      </c>
      <c r="B1270" s="1">
        <v>45830</v>
      </c>
      <c r="C1270">
        <v>1110</v>
      </c>
      <c r="D1270" t="s">
        <v>73</v>
      </c>
      <c r="E1270" t="s">
        <v>78</v>
      </c>
      <c r="F1270">
        <v>4</v>
      </c>
      <c r="G1270" s="2">
        <v>268.52999999999997</v>
      </c>
      <c r="H1270">
        <v>0.27</v>
      </c>
      <c r="I1270" t="s">
        <v>64</v>
      </c>
      <c r="J1270">
        <v>7</v>
      </c>
      <c r="K1270">
        <v>4.4000000000000004</v>
      </c>
      <c r="L1270" s="2">
        <v>784.11</v>
      </c>
      <c r="M1270">
        <v>2025</v>
      </c>
      <c r="N1270">
        <v>6</v>
      </c>
      <c r="O1270" t="s">
        <v>121</v>
      </c>
      <c r="P1270" s="2">
        <v>1074.1199999999999</v>
      </c>
      <c r="Q1270" s="2">
        <v>290.01</v>
      </c>
      <c r="R1270" t="s">
        <v>66</v>
      </c>
      <c r="S1270">
        <v>0</v>
      </c>
      <c r="T1270">
        <v>0</v>
      </c>
      <c r="U1270">
        <f>IF(AND(OR(Dashboard!$D$4="Semua",D1270=Dashboard!$D$4),OR(Dashboard!$H$4="Semua",E1270=Dashboard!$H$4)),1,0)</f>
        <v>1</v>
      </c>
      <c r="V1270">
        <f>IF(U1270=1,IF(COUNTIFS($C$2:C1270,C1270,$U$2:U1270,1)=1,1,0),0)</f>
        <v>0</v>
      </c>
    </row>
    <row r="1271" spans="1:22" x14ac:dyDescent="0.35">
      <c r="A1271">
        <v>11270</v>
      </c>
      <c r="B1271" s="1">
        <v>45831</v>
      </c>
      <c r="C1271">
        <v>1227</v>
      </c>
      <c r="D1271" t="s">
        <v>62</v>
      </c>
      <c r="E1271" t="s">
        <v>63</v>
      </c>
      <c r="F1271">
        <v>6</v>
      </c>
      <c r="G1271" s="2">
        <v>283.47000000000003</v>
      </c>
      <c r="H1271">
        <v>0.28000000000000003</v>
      </c>
      <c r="I1271" t="s">
        <v>68</v>
      </c>
      <c r="J1271">
        <v>10</v>
      </c>
      <c r="K1271">
        <v>3.6</v>
      </c>
      <c r="L1271" s="2">
        <v>1224.5899999999999</v>
      </c>
      <c r="M1271">
        <v>2025</v>
      </c>
      <c r="N1271">
        <v>6</v>
      </c>
      <c r="O1271" t="s">
        <v>121</v>
      </c>
      <c r="P1271" s="2">
        <v>1700.82</v>
      </c>
      <c r="Q1271" s="2">
        <v>476.23</v>
      </c>
      <c r="R1271" t="s">
        <v>66</v>
      </c>
      <c r="S1271">
        <v>0</v>
      </c>
      <c r="T1271">
        <v>0</v>
      </c>
      <c r="U1271">
        <f>IF(AND(OR(Dashboard!$D$4="Semua",D1271=Dashboard!$D$4),OR(Dashboard!$H$4="Semua",E1271=Dashboard!$H$4)),1,0)</f>
        <v>1</v>
      </c>
      <c r="V1271">
        <f>IF(U1271=1,IF(COUNTIFS($C$2:C1271,C1271,$U$2:U1271,1)=1,1,0),0)</f>
        <v>1</v>
      </c>
    </row>
    <row r="1272" spans="1:22" x14ac:dyDescent="0.35">
      <c r="A1272">
        <v>11271</v>
      </c>
      <c r="B1272" s="1">
        <v>45832</v>
      </c>
      <c r="C1272">
        <v>1110</v>
      </c>
      <c r="D1272" t="s">
        <v>80</v>
      </c>
      <c r="E1272" t="s">
        <v>78</v>
      </c>
      <c r="F1272">
        <v>5</v>
      </c>
      <c r="G1272" s="2">
        <v>582.20000000000005</v>
      </c>
      <c r="H1272">
        <v>0.2</v>
      </c>
      <c r="I1272" t="s">
        <v>71</v>
      </c>
      <c r="J1272">
        <v>3</v>
      </c>
      <c r="K1272">
        <v>1.7</v>
      </c>
      <c r="L1272" s="2">
        <v>2328.8000000000002</v>
      </c>
      <c r="M1272">
        <v>2025</v>
      </c>
      <c r="N1272">
        <v>6</v>
      </c>
      <c r="O1272" t="s">
        <v>121</v>
      </c>
      <c r="P1272" s="2">
        <v>2911</v>
      </c>
      <c r="Q1272" s="2">
        <v>582.20000000000005</v>
      </c>
      <c r="R1272" t="s">
        <v>76</v>
      </c>
      <c r="S1272">
        <v>0</v>
      </c>
      <c r="T1272">
        <v>0</v>
      </c>
      <c r="U1272">
        <f>IF(AND(OR(Dashboard!$D$4="Semua",D1272=Dashboard!$D$4),OR(Dashboard!$H$4="Semua",E1272=Dashboard!$H$4)),1,0)</f>
        <v>1</v>
      </c>
      <c r="V1272">
        <f>IF(U1272=1,IF(COUNTIFS($C$2:C1272,C1272,$U$2:U1272,1)=1,1,0),0)</f>
        <v>0</v>
      </c>
    </row>
    <row r="1273" spans="1:22" x14ac:dyDescent="0.35">
      <c r="A1273">
        <v>11272</v>
      </c>
      <c r="B1273" s="1">
        <v>45833</v>
      </c>
      <c r="C1273">
        <v>1469</v>
      </c>
      <c r="D1273" t="s">
        <v>67</v>
      </c>
      <c r="E1273" t="s">
        <v>63</v>
      </c>
      <c r="F1273">
        <v>1</v>
      </c>
      <c r="G1273" s="2">
        <v>188.25</v>
      </c>
      <c r="H1273">
        <v>7.0000000000000007E-2</v>
      </c>
      <c r="I1273" t="s">
        <v>64</v>
      </c>
      <c r="J1273">
        <v>9</v>
      </c>
      <c r="K1273">
        <v>4.5</v>
      </c>
      <c r="L1273" s="2">
        <v>175.07</v>
      </c>
      <c r="M1273">
        <v>2025</v>
      </c>
      <c r="N1273">
        <v>6</v>
      </c>
      <c r="O1273" t="s">
        <v>121</v>
      </c>
      <c r="P1273" s="2">
        <v>188.25</v>
      </c>
      <c r="Q1273" s="2">
        <v>13.18</v>
      </c>
      <c r="R1273" t="s">
        <v>69</v>
      </c>
      <c r="S1273">
        <v>0</v>
      </c>
      <c r="T1273">
        <v>0</v>
      </c>
      <c r="U1273">
        <f>IF(AND(OR(Dashboard!$D$4="Semua",D1273=Dashboard!$D$4),OR(Dashboard!$H$4="Semua",E1273=Dashboard!$H$4)),1,0)</f>
        <v>1</v>
      </c>
      <c r="V1273">
        <f>IF(U1273=1,IF(COUNTIFS($C$2:C1273,C1273,$U$2:U1273,1)=1,1,0),0)</f>
        <v>0</v>
      </c>
    </row>
    <row r="1274" spans="1:22" x14ac:dyDescent="0.35">
      <c r="A1274">
        <v>11273</v>
      </c>
      <c r="B1274" s="1">
        <v>45834</v>
      </c>
      <c r="C1274">
        <v>1033</v>
      </c>
      <c r="D1274" t="s">
        <v>73</v>
      </c>
      <c r="E1274" t="s">
        <v>63</v>
      </c>
      <c r="F1274">
        <v>6</v>
      </c>
      <c r="G1274" s="2">
        <v>381.98</v>
      </c>
      <c r="H1274">
        <v>0.24</v>
      </c>
      <c r="I1274" t="s">
        <v>71</v>
      </c>
      <c r="J1274">
        <v>1</v>
      </c>
      <c r="K1274">
        <v>4</v>
      </c>
      <c r="L1274" s="2">
        <v>1741.83</v>
      </c>
      <c r="M1274">
        <v>2025</v>
      </c>
      <c r="N1274">
        <v>6</v>
      </c>
      <c r="O1274" t="s">
        <v>121</v>
      </c>
      <c r="P1274" s="2">
        <v>2291.88</v>
      </c>
      <c r="Q1274" s="2">
        <v>550.04999999999995</v>
      </c>
      <c r="R1274" t="s">
        <v>77</v>
      </c>
      <c r="S1274">
        <v>0</v>
      </c>
      <c r="T1274">
        <v>0</v>
      </c>
      <c r="U1274">
        <f>IF(AND(OR(Dashboard!$D$4="Semua",D1274=Dashboard!$D$4),OR(Dashboard!$H$4="Semua",E1274=Dashboard!$H$4)),1,0)</f>
        <v>1</v>
      </c>
      <c r="V1274">
        <f>IF(U1274=1,IF(COUNTIFS($C$2:C1274,C1274,$U$2:U1274,1)=1,1,0),0)</f>
        <v>0</v>
      </c>
    </row>
    <row r="1275" spans="1:22" x14ac:dyDescent="0.35">
      <c r="A1275">
        <v>11274</v>
      </c>
      <c r="B1275" s="1">
        <v>45835</v>
      </c>
      <c r="C1275">
        <v>1622</v>
      </c>
      <c r="D1275" t="s">
        <v>67</v>
      </c>
      <c r="E1275" t="s">
        <v>78</v>
      </c>
      <c r="F1275">
        <v>2</v>
      </c>
      <c r="G1275" s="2">
        <v>260.74</v>
      </c>
      <c r="H1275">
        <v>0.25</v>
      </c>
      <c r="I1275" t="s">
        <v>71</v>
      </c>
      <c r="J1275">
        <v>8</v>
      </c>
      <c r="K1275">
        <v>2.1</v>
      </c>
      <c r="L1275" s="2">
        <v>391.11</v>
      </c>
      <c r="M1275">
        <v>2025</v>
      </c>
      <c r="N1275">
        <v>6</v>
      </c>
      <c r="O1275" t="s">
        <v>121</v>
      </c>
      <c r="P1275" s="2">
        <v>521.48</v>
      </c>
      <c r="Q1275" s="2">
        <v>130.37</v>
      </c>
      <c r="R1275" t="s">
        <v>77</v>
      </c>
      <c r="S1275">
        <v>0</v>
      </c>
      <c r="T1275">
        <v>0</v>
      </c>
      <c r="U1275">
        <f>IF(AND(OR(Dashboard!$D$4="Semua",D1275=Dashboard!$D$4),OR(Dashboard!$H$4="Semua",E1275=Dashboard!$H$4)),1,0)</f>
        <v>1</v>
      </c>
      <c r="V1275">
        <f>IF(U1275=1,IF(COUNTIFS($C$2:C1275,C1275,$U$2:U1275,1)=1,1,0),0)</f>
        <v>0</v>
      </c>
    </row>
    <row r="1276" spans="1:22" x14ac:dyDescent="0.35">
      <c r="A1276">
        <v>11275</v>
      </c>
      <c r="B1276" s="1">
        <v>45836</v>
      </c>
      <c r="C1276">
        <v>1775</v>
      </c>
      <c r="D1276" t="s">
        <v>67</v>
      </c>
      <c r="E1276" t="s">
        <v>74</v>
      </c>
      <c r="F1276">
        <v>5</v>
      </c>
      <c r="G1276" s="2">
        <v>50.77</v>
      </c>
      <c r="H1276">
        <v>0.34</v>
      </c>
      <c r="I1276" t="s">
        <v>71</v>
      </c>
      <c r="J1276">
        <v>5</v>
      </c>
      <c r="K1276">
        <v>4.2</v>
      </c>
      <c r="L1276" s="2">
        <v>167.54</v>
      </c>
      <c r="M1276">
        <v>2025</v>
      </c>
      <c r="N1276">
        <v>6</v>
      </c>
      <c r="O1276" t="s">
        <v>121</v>
      </c>
      <c r="P1276" s="2">
        <v>253.85</v>
      </c>
      <c r="Q1276" s="2">
        <v>86.31</v>
      </c>
      <c r="R1276" t="s">
        <v>72</v>
      </c>
      <c r="S1276">
        <v>0</v>
      </c>
      <c r="T1276">
        <v>0</v>
      </c>
      <c r="U1276">
        <f>IF(AND(OR(Dashboard!$D$4="Semua",D1276=Dashboard!$D$4),OR(Dashboard!$H$4="Semua",E1276=Dashboard!$H$4)),1,0)</f>
        <v>1</v>
      </c>
      <c r="V1276">
        <f>IF(U1276=1,IF(COUNTIFS($C$2:C1276,C1276,$U$2:U1276,1)=1,1,0),0)</f>
        <v>0</v>
      </c>
    </row>
    <row r="1277" spans="1:22" x14ac:dyDescent="0.35">
      <c r="A1277">
        <v>11276</v>
      </c>
      <c r="B1277" s="1">
        <v>45837</v>
      </c>
      <c r="C1277">
        <v>1935</v>
      </c>
      <c r="D1277" t="s">
        <v>73</v>
      </c>
      <c r="E1277" t="s">
        <v>78</v>
      </c>
      <c r="F1277">
        <v>6</v>
      </c>
      <c r="G1277" s="2">
        <v>301.26</v>
      </c>
      <c r="H1277">
        <v>0.19</v>
      </c>
      <c r="I1277" t="s">
        <v>68</v>
      </c>
      <c r="J1277">
        <v>10</v>
      </c>
      <c r="K1277">
        <v>4.5</v>
      </c>
      <c r="L1277" s="2">
        <v>1464.12</v>
      </c>
      <c r="M1277">
        <v>2025</v>
      </c>
      <c r="N1277">
        <v>6</v>
      </c>
      <c r="O1277" t="s">
        <v>121</v>
      </c>
      <c r="P1277" s="2">
        <v>1807.56</v>
      </c>
      <c r="Q1277" s="2">
        <v>343.44</v>
      </c>
      <c r="R1277" t="s">
        <v>76</v>
      </c>
      <c r="S1277">
        <v>0</v>
      </c>
      <c r="T1277">
        <v>0</v>
      </c>
      <c r="U1277">
        <f>IF(AND(OR(Dashboard!$D$4="Semua",D1277=Dashboard!$D$4),OR(Dashboard!$H$4="Semua",E1277=Dashboard!$H$4)),1,0)</f>
        <v>1</v>
      </c>
      <c r="V1277">
        <f>IF(U1277=1,IF(COUNTIFS($C$2:C1277,C1277,$U$2:U1277,1)=1,1,0),0)</f>
        <v>0</v>
      </c>
    </row>
    <row r="1278" spans="1:22" x14ac:dyDescent="0.35">
      <c r="A1278">
        <v>11277</v>
      </c>
      <c r="B1278" s="1">
        <v>45838</v>
      </c>
      <c r="C1278">
        <v>1368</v>
      </c>
      <c r="D1278" t="s">
        <v>80</v>
      </c>
      <c r="E1278" t="s">
        <v>70</v>
      </c>
      <c r="F1278">
        <v>3</v>
      </c>
      <c r="G1278" s="2">
        <v>490.81</v>
      </c>
      <c r="H1278">
        <v>0.09</v>
      </c>
      <c r="I1278" t="s">
        <v>68</v>
      </c>
      <c r="J1278">
        <v>9</v>
      </c>
      <c r="K1278">
        <v>3.8</v>
      </c>
      <c r="L1278" s="2">
        <v>1339.91</v>
      </c>
      <c r="M1278">
        <v>2025</v>
      </c>
      <c r="N1278">
        <v>6</v>
      </c>
      <c r="O1278" t="s">
        <v>121</v>
      </c>
      <c r="P1278" s="2">
        <v>1472.43</v>
      </c>
      <c r="Q1278" s="2">
        <v>132.52000000000001</v>
      </c>
      <c r="R1278" t="s">
        <v>69</v>
      </c>
      <c r="S1278">
        <v>0</v>
      </c>
      <c r="T1278">
        <v>0</v>
      </c>
      <c r="U1278">
        <f>IF(AND(OR(Dashboard!$D$4="Semua",D1278=Dashboard!$D$4),OR(Dashboard!$H$4="Semua",E1278=Dashboard!$H$4)),1,0)</f>
        <v>1</v>
      </c>
      <c r="V1278">
        <f>IF(U1278=1,IF(COUNTIFS($C$2:C1278,C1278,$U$2:U1278,1)=1,1,0),0)</f>
        <v>0</v>
      </c>
    </row>
    <row r="1279" spans="1:22" x14ac:dyDescent="0.35">
      <c r="A1279">
        <v>11278</v>
      </c>
      <c r="B1279" s="1">
        <v>45839</v>
      </c>
      <c r="C1279">
        <v>1747</v>
      </c>
      <c r="D1279" t="s">
        <v>62</v>
      </c>
      <c r="E1279" t="s">
        <v>78</v>
      </c>
      <c r="F1279">
        <v>2</v>
      </c>
      <c r="G1279" s="2">
        <v>72.77</v>
      </c>
      <c r="H1279">
        <v>0.24</v>
      </c>
      <c r="I1279" t="s">
        <v>64</v>
      </c>
      <c r="J1279">
        <v>2</v>
      </c>
      <c r="K1279">
        <v>1.4</v>
      </c>
      <c r="L1279" s="2">
        <v>110.61</v>
      </c>
      <c r="M1279">
        <v>2025</v>
      </c>
      <c r="N1279">
        <v>7</v>
      </c>
      <c r="O1279" t="s">
        <v>122</v>
      </c>
      <c r="P1279" s="2">
        <v>145.54</v>
      </c>
      <c r="Q1279" s="2">
        <v>34.93</v>
      </c>
      <c r="R1279" t="s">
        <v>77</v>
      </c>
      <c r="S1279">
        <v>0</v>
      </c>
      <c r="T1279">
        <v>0</v>
      </c>
      <c r="U1279">
        <f>IF(AND(OR(Dashboard!$D$4="Semua",D1279=Dashboard!$D$4),OR(Dashboard!$H$4="Semua",E1279=Dashboard!$H$4)),1,0)</f>
        <v>1</v>
      </c>
      <c r="V1279">
        <f>IF(U1279=1,IF(COUNTIFS($C$2:C1279,C1279,$U$2:U1279,1)=1,1,0),0)</f>
        <v>0</v>
      </c>
    </row>
    <row r="1280" spans="1:22" x14ac:dyDescent="0.35">
      <c r="A1280">
        <v>11279</v>
      </c>
      <c r="B1280" s="1">
        <v>45840</v>
      </c>
      <c r="C1280">
        <v>1594</v>
      </c>
      <c r="D1280" t="s">
        <v>67</v>
      </c>
      <c r="E1280" t="s">
        <v>63</v>
      </c>
      <c r="F1280">
        <v>7</v>
      </c>
      <c r="G1280" s="2">
        <v>55.71</v>
      </c>
      <c r="H1280">
        <v>0.34</v>
      </c>
      <c r="I1280" t="s">
        <v>68</v>
      </c>
      <c r="J1280">
        <v>1</v>
      </c>
      <c r="K1280">
        <v>4.9000000000000004</v>
      </c>
      <c r="L1280" s="2">
        <v>257.38</v>
      </c>
      <c r="M1280">
        <v>2025</v>
      </c>
      <c r="N1280">
        <v>7</v>
      </c>
      <c r="O1280" t="s">
        <v>122</v>
      </c>
      <c r="P1280" s="2">
        <v>389.97</v>
      </c>
      <c r="Q1280" s="2">
        <v>132.59</v>
      </c>
      <c r="R1280" t="s">
        <v>72</v>
      </c>
      <c r="S1280">
        <v>0</v>
      </c>
      <c r="T1280">
        <v>0</v>
      </c>
      <c r="U1280">
        <f>IF(AND(OR(Dashboard!$D$4="Semua",D1280=Dashboard!$D$4),OR(Dashboard!$H$4="Semua",E1280=Dashboard!$H$4)),1,0)</f>
        <v>1</v>
      </c>
      <c r="V1280">
        <f>IF(U1280=1,IF(COUNTIFS($C$2:C1280,C1280,$U$2:U1280,1)=1,1,0),0)</f>
        <v>1</v>
      </c>
    </row>
    <row r="1281" spans="1:22" x14ac:dyDescent="0.35">
      <c r="A1281">
        <v>11280</v>
      </c>
      <c r="B1281" s="1">
        <v>45841</v>
      </c>
      <c r="C1281">
        <v>1553</v>
      </c>
      <c r="D1281" t="s">
        <v>80</v>
      </c>
      <c r="E1281" t="s">
        <v>70</v>
      </c>
      <c r="F1281">
        <v>7</v>
      </c>
      <c r="G1281" s="2">
        <v>104.87</v>
      </c>
      <c r="H1281">
        <v>0.06</v>
      </c>
      <c r="I1281" t="s">
        <v>71</v>
      </c>
      <c r="J1281">
        <v>10</v>
      </c>
      <c r="K1281">
        <v>1.3</v>
      </c>
      <c r="L1281" s="2">
        <v>690.04</v>
      </c>
      <c r="M1281">
        <v>2025</v>
      </c>
      <c r="N1281">
        <v>7</v>
      </c>
      <c r="O1281" t="s">
        <v>122</v>
      </c>
      <c r="P1281" s="2">
        <v>734.09</v>
      </c>
      <c r="Q1281" s="2">
        <v>44.05</v>
      </c>
      <c r="R1281" t="s">
        <v>69</v>
      </c>
      <c r="S1281">
        <v>0</v>
      </c>
      <c r="T1281">
        <v>0</v>
      </c>
      <c r="U1281">
        <f>IF(AND(OR(Dashboard!$D$4="Semua",D1281=Dashboard!$D$4),OR(Dashboard!$H$4="Semua",E1281=Dashboard!$H$4)),1,0)</f>
        <v>1</v>
      </c>
      <c r="V1281">
        <f>IF(U1281=1,IF(COUNTIFS($C$2:C1281,C1281,$U$2:U1281,1)=1,1,0),0)</f>
        <v>0</v>
      </c>
    </row>
    <row r="1282" spans="1:22" x14ac:dyDescent="0.35">
      <c r="A1282">
        <v>11281</v>
      </c>
      <c r="B1282" s="1">
        <v>45842</v>
      </c>
      <c r="C1282">
        <v>1424</v>
      </c>
      <c r="D1282" t="s">
        <v>73</v>
      </c>
      <c r="E1282" t="s">
        <v>63</v>
      </c>
      <c r="F1282">
        <v>7</v>
      </c>
      <c r="G1282" s="2">
        <v>462.17</v>
      </c>
      <c r="H1282">
        <v>0.11</v>
      </c>
      <c r="I1282" t="s">
        <v>71</v>
      </c>
      <c r="J1282">
        <v>7</v>
      </c>
      <c r="K1282">
        <v>3.6</v>
      </c>
      <c r="L1282" s="2">
        <v>2879.32</v>
      </c>
      <c r="M1282">
        <v>2025</v>
      </c>
      <c r="N1282">
        <v>7</v>
      </c>
      <c r="O1282" t="s">
        <v>122</v>
      </c>
      <c r="P1282" s="2">
        <v>3235.19</v>
      </c>
      <c r="Q1282" s="2">
        <v>355.87</v>
      </c>
      <c r="R1282" t="s">
        <v>79</v>
      </c>
      <c r="S1282">
        <v>0</v>
      </c>
      <c r="T1282">
        <v>0</v>
      </c>
      <c r="U1282">
        <f>IF(AND(OR(Dashboard!$D$4="Semua",D1282=Dashboard!$D$4),OR(Dashboard!$H$4="Semua",E1282=Dashboard!$H$4)),1,0)</f>
        <v>1</v>
      </c>
      <c r="V1282">
        <f>IF(U1282=1,IF(COUNTIFS($C$2:C1282,C1282,$U$2:U1282,1)=1,1,0),0)</f>
        <v>1</v>
      </c>
    </row>
    <row r="1283" spans="1:22" x14ac:dyDescent="0.35">
      <c r="A1283">
        <v>11282</v>
      </c>
      <c r="B1283" s="1">
        <v>45843</v>
      </c>
      <c r="C1283">
        <v>1612</v>
      </c>
      <c r="D1283" t="s">
        <v>67</v>
      </c>
      <c r="E1283" t="s">
        <v>74</v>
      </c>
      <c r="F1283">
        <v>2</v>
      </c>
      <c r="G1283" s="2">
        <v>438.54</v>
      </c>
      <c r="H1283">
        <v>0.19</v>
      </c>
      <c r="I1283" t="s">
        <v>68</v>
      </c>
      <c r="J1283">
        <v>10</v>
      </c>
      <c r="K1283">
        <v>1.4</v>
      </c>
      <c r="L1283" s="2">
        <v>710.43</v>
      </c>
      <c r="M1283">
        <v>2025</v>
      </c>
      <c r="N1283">
        <v>7</v>
      </c>
      <c r="O1283" t="s">
        <v>122</v>
      </c>
      <c r="P1283" s="2">
        <v>877.08</v>
      </c>
      <c r="Q1283" s="2">
        <v>166.65</v>
      </c>
      <c r="R1283" t="s">
        <v>76</v>
      </c>
      <c r="S1283">
        <v>0</v>
      </c>
      <c r="T1283">
        <v>0</v>
      </c>
      <c r="U1283">
        <f>IF(AND(OR(Dashboard!$D$4="Semua",D1283=Dashboard!$D$4),OR(Dashboard!$H$4="Semua",E1283=Dashboard!$H$4)),1,0)</f>
        <v>1</v>
      </c>
      <c r="V1283">
        <f>IF(U1283=1,IF(COUNTIFS($C$2:C1283,C1283,$U$2:U1283,1)=1,1,0),0)</f>
        <v>0</v>
      </c>
    </row>
    <row r="1284" spans="1:22" x14ac:dyDescent="0.35">
      <c r="A1284">
        <v>11283</v>
      </c>
      <c r="B1284" s="1">
        <v>45844</v>
      </c>
      <c r="C1284">
        <v>1517</v>
      </c>
      <c r="D1284" t="s">
        <v>73</v>
      </c>
      <c r="E1284" t="s">
        <v>74</v>
      </c>
      <c r="F1284">
        <v>7</v>
      </c>
      <c r="G1284" s="2">
        <v>345.54</v>
      </c>
      <c r="H1284">
        <v>0.06</v>
      </c>
      <c r="I1284" t="s">
        <v>64</v>
      </c>
      <c r="J1284">
        <v>11</v>
      </c>
      <c r="K1284">
        <v>4.5999999999999996</v>
      </c>
      <c r="L1284" s="2">
        <v>2273.65</v>
      </c>
      <c r="M1284">
        <v>2025</v>
      </c>
      <c r="N1284">
        <v>7</v>
      </c>
      <c r="O1284" t="s">
        <v>122</v>
      </c>
      <c r="P1284" s="2">
        <v>2418.7800000000002</v>
      </c>
      <c r="Q1284" s="2">
        <v>145.13</v>
      </c>
      <c r="R1284" t="s">
        <v>69</v>
      </c>
      <c r="S1284">
        <v>0</v>
      </c>
      <c r="T1284">
        <v>0</v>
      </c>
      <c r="U1284">
        <f>IF(AND(OR(Dashboard!$D$4="Semua",D1284=Dashboard!$D$4),OR(Dashboard!$H$4="Semua",E1284=Dashboard!$H$4)),1,0)</f>
        <v>1</v>
      </c>
      <c r="V1284">
        <f>IF(U1284=1,IF(COUNTIFS($C$2:C1284,C1284,$U$2:U1284,1)=1,1,0),0)</f>
        <v>0</v>
      </c>
    </row>
    <row r="1285" spans="1:22" x14ac:dyDescent="0.35">
      <c r="A1285">
        <v>11284</v>
      </c>
      <c r="B1285" s="1">
        <v>45845</v>
      </c>
      <c r="C1285">
        <v>1691</v>
      </c>
      <c r="D1285" t="s">
        <v>67</v>
      </c>
      <c r="E1285" t="s">
        <v>70</v>
      </c>
      <c r="F1285">
        <v>4</v>
      </c>
      <c r="G1285" s="2">
        <v>288.91000000000003</v>
      </c>
      <c r="H1285">
        <v>0.01</v>
      </c>
      <c r="I1285" t="s">
        <v>71</v>
      </c>
      <c r="J1285">
        <v>9</v>
      </c>
      <c r="K1285">
        <v>2.4</v>
      </c>
      <c r="L1285" s="2">
        <v>1144.08</v>
      </c>
      <c r="M1285">
        <v>2025</v>
      </c>
      <c r="N1285">
        <v>7</v>
      </c>
      <c r="O1285" t="s">
        <v>122</v>
      </c>
      <c r="P1285" s="2">
        <v>1155.6400000000001</v>
      </c>
      <c r="Q1285" s="2">
        <v>11.56</v>
      </c>
      <c r="R1285" t="s">
        <v>75</v>
      </c>
      <c r="S1285">
        <v>0</v>
      </c>
      <c r="T1285">
        <v>0</v>
      </c>
      <c r="U1285">
        <f>IF(AND(OR(Dashboard!$D$4="Semua",D1285=Dashboard!$D$4),OR(Dashboard!$H$4="Semua",E1285=Dashboard!$H$4)),1,0)</f>
        <v>1</v>
      </c>
      <c r="V1285">
        <f>IF(U1285=1,IF(COUNTIFS($C$2:C1285,C1285,$U$2:U1285,1)=1,1,0),0)</f>
        <v>0</v>
      </c>
    </row>
    <row r="1286" spans="1:22" x14ac:dyDescent="0.35">
      <c r="A1286">
        <v>11285</v>
      </c>
      <c r="B1286" s="1">
        <v>45846</v>
      </c>
      <c r="C1286">
        <v>1281</v>
      </c>
      <c r="D1286" t="s">
        <v>62</v>
      </c>
      <c r="E1286" t="s">
        <v>74</v>
      </c>
      <c r="F1286">
        <v>3</v>
      </c>
      <c r="G1286" s="2">
        <v>534.66999999999996</v>
      </c>
      <c r="H1286">
        <v>0.12</v>
      </c>
      <c r="I1286" t="s">
        <v>68</v>
      </c>
      <c r="J1286">
        <v>5</v>
      </c>
      <c r="K1286">
        <v>3</v>
      </c>
      <c r="L1286" s="2">
        <v>1411.53</v>
      </c>
      <c r="M1286">
        <v>2025</v>
      </c>
      <c r="N1286">
        <v>7</v>
      </c>
      <c r="O1286" t="s">
        <v>122</v>
      </c>
      <c r="P1286" s="2">
        <v>1604.01</v>
      </c>
      <c r="Q1286" s="2">
        <v>192.48</v>
      </c>
      <c r="R1286" t="s">
        <v>79</v>
      </c>
      <c r="S1286">
        <v>0</v>
      </c>
      <c r="T1286">
        <v>0</v>
      </c>
      <c r="U1286">
        <f>IF(AND(OR(Dashboard!$D$4="Semua",D1286=Dashboard!$D$4),OR(Dashboard!$H$4="Semua",E1286=Dashboard!$H$4)),1,0)</f>
        <v>1</v>
      </c>
      <c r="V1286">
        <f>IF(U1286=1,IF(COUNTIFS($C$2:C1286,C1286,$U$2:U1286,1)=1,1,0),0)</f>
        <v>0</v>
      </c>
    </row>
    <row r="1287" spans="1:22" x14ac:dyDescent="0.35">
      <c r="A1287">
        <v>11286</v>
      </c>
      <c r="B1287" s="1">
        <v>45847</v>
      </c>
      <c r="C1287">
        <v>1319</v>
      </c>
      <c r="D1287" t="s">
        <v>80</v>
      </c>
      <c r="E1287" t="s">
        <v>74</v>
      </c>
      <c r="F1287">
        <v>4</v>
      </c>
      <c r="G1287" s="2">
        <v>463.52</v>
      </c>
      <c r="H1287">
        <v>0.3</v>
      </c>
      <c r="I1287" t="s">
        <v>64</v>
      </c>
      <c r="J1287">
        <v>11</v>
      </c>
      <c r="K1287">
        <v>1.7</v>
      </c>
      <c r="L1287" s="2">
        <v>1297.8599999999999</v>
      </c>
      <c r="M1287">
        <v>2025</v>
      </c>
      <c r="N1287">
        <v>7</v>
      </c>
      <c r="O1287" t="s">
        <v>122</v>
      </c>
      <c r="P1287" s="2">
        <v>1854.08</v>
      </c>
      <c r="Q1287" s="2">
        <v>556.22</v>
      </c>
      <c r="R1287" t="s">
        <v>66</v>
      </c>
      <c r="S1287">
        <v>0</v>
      </c>
      <c r="T1287">
        <v>0</v>
      </c>
      <c r="U1287">
        <f>IF(AND(OR(Dashboard!$D$4="Semua",D1287=Dashboard!$D$4),OR(Dashboard!$H$4="Semua",E1287=Dashboard!$H$4)),1,0)</f>
        <v>1</v>
      </c>
      <c r="V1287">
        <f>IF(U1287=1,IF(COUNTIFS($C$2:C1287,C1287,$U$2:U1287,1)=1,1,0),0)</f>
        <v>1</v>
      </c>
    </row>
    <row r="1288" spans="1:22" x14ac:dyDescent="0.35">
      <c r="A1288">
        <v>11287</v>
      </c>
      <c r="B1288" s="1">
        <v>45848</v>
      </c>
      <c r="C1288">
        <v>1737</v>
      </c>
      <c r="D1288" t="s">
        <v>73</v>
      </c>
      <c r="E1288" t="s">
        <v>78</v>
      </c>
      <c r="F1288">
        <v>6</v>
      </c>
      <c r="G1288" s="2">
        <v>489.99</v>
      </c>
      <c r="H1288">
        <v>0.02</v>
      </c>
      <c r="I1288" t="s">
        <v>71</v>
      </c>
      <c r="J1288">
        <v>4</v>
      </c>
      <c r="K1288">
        <v>3.2</v>
      </c>
      <c r="L1288" s="2">
        <v>2881.14</v>
      </c>
      <c r="M1288">
        <v>2025</v>
      </c>
      <c r="N1288">
        <v>7</v>
      </c>
      <c r="O1288" t="s">
        <v>122</v>
      </c>
      <c r="P1288" s="2">
        <v>2939.94</v>
      </c>
      <c r="Q1288" s="2">
        <v>58.8</v>
      </c>
      <c r="R1288" t="s">
        <v>75</v>
      </c>
      <c r="S1288">
        <v>0</v>
      </c>
      <c r="T1288">
        <v>0</v>
      </c>
      <c r="U1288">
        <f>IF(AND(OR(Dashboard!$D$4="Semua",D1288=Dashboard!$D$4),OR(Dashboard!$H$4="Semua",E1288=Dashboard!$H$4)),1,0)</f>
        <v>1</v>
      </c>
      <c r="V1288">
        <f>IF(U1288=1,IF(COUNTIFS($C$2:C1288,C1288,$U$2:U1288,1)=1,1,0),0)</f>
        <v>0</v>
      </c>
    </row>
    <row r="1289" spans="1:22" x14ac:dyDescent="0.35">
      <c r="A1289">
        <v>11288</v>
      </c>
      <c r="B1289" s="1">
        <v>45849</v>
      </c>
      <c r="C1289">
        <v>1442</v>
      </c>
      <c r="D1289" t="s">
        <v>67</v>
      </c>
      <c r="E1289" t="s">
        <v>78</v>
      </c>
      <c r="F1289">
        <v>3</v>
      </c>
      <c r="G1289" s="2">
        <v>490.76</v>
      </c>
      <c r="H1289">
        <v>0.15</v>
      </c>
      <c r="I1289" t="s">
        <v>71</v>
      </c>
      <c r="J1289">
        <v>4</v>
      </c>
      <c r="K1289">
        <v>4.8</v>
      </c>
      <c r="L1289" s="2">
        <v>1251.44</v>
      </c>
      <c r="M1289">
        <v>2025</v>
      </c>
      <c r="N1289">
        <v>7</v>
      </c>
      <c r="O1289" t="s">
        <v>122</v>
      </c>
      <c r="P1289" s="2">
        <v>1472.28</v>
      </c>
      <c r="Q1289" s="2">
        <v>220.84</v>
      </c>
      <c r="R1289" t="s">
        <v>79</v>
      </c>
      <c r="S1289">
        <v>0</v>
      </c>
      <c r="T1289">
        <v>0</v>
      </c>
      <c r="U1289">
        <f>IF(AND(OR(Dashboard!$D$4="Semua",D1289=Dashboard!$D$4),OR(Dashboard!$H$4="Semua",E1289=Dashboard!$H$4)),1,0)</f>
        <v>1</v>
      </c>
      <c r="V1289">
        <f>IF(U1289=1,IF(COUNTIFS($C$2:C1289,C1289,$U$2:U1289,1)=1,1,0),0)</f>
        <v>1</v>
      </c>
    </row>
    <row r="1290" spans="1:22" x14ac:dyDescent="0.35">
      <c r="A1290">
        <v>11289</v>
      </c>
      <c r="B1290" s="1">
        <v>45850</v>
      </c>
      <c r="C1290">
        <v>1951</v>
      </c>
      <c r="D1290" t="s">
        <v>67</v>
      </c>
      <c r="E1290" t="s">
        <v>74</v>
      </c>
      <c r="F1290">
        <v>2</v>
      </c>
      <c r="G1290" s="2">
        <v>390.99</v>
      </c>
      <c r="H1290">
        <v>0.27</v>
      </c>
      <c r="I1290" t="s">
        <v>71</v>
      </c>
      <c r="J1290">
        <v>8</v>
      </c>
      <c r="K1290">
        <v>4.5999999999999996</v>
      </c>
      <c r="L1290" s="2">
        <v>570.85</v>
      </c>
      <c r="M1290">
        <v>2025</v>
      </c>
      <c r="N1290">
        <v>7</v>
      </c>
      <c r="O1290" t="s">
        <v>122</v>
      </c>
      <c r="P1290" s="2">
        <v>781.98</v>
      </c>
      <c r="Q1290" s="2">
        <v>211.13</v>
      </c>
      <c r="R1290" t="s">
        <v>66</v>
      </c>
      <c r="S1290">
        <v>0</v>
      </c>
      <c r="T1290">
        <v>0</v>
      </c>
      <c r="U1290">
        <f>IF(AND(OR(Dashboard!$D$4="Semua",D1290=Dashboard!$D$4),OR(Dashboard!$H$4="Semua",E1290=Dashboard!$H$4)),1,0)</f>
        <v>1</v>
      </c>
      <c r="V1290">
        <f>IF(U1290=1,IF(COUNTIFS($C$2:C1290,C1290,$U$2:U1290,1)=1,1,0),0)</f>
        <v>0</v>
      </c>
    </row>
    <row r="1291" spans="1:22" x14ac:dyDescent="0.35">
      <c r="A1291">
        <v>11290</v>
      </c>
      <c r="B1291" s="1">
        <v>45851</v>
      </c>
      <c r="C1291">
        <v>1314</v>
      </c>
      <c r="D1291" t="s">
        <v>67</v>
      </c>
      <c r="E1291" t="s">
        <v>74</v>
      </c>
      <c r="F1291">
        <v>4</v>
      </c>
      <c r="G1291" s="2">
        <v>282.94</v>
      </c>
      <c r="H1291">
        <v>0.33</v>
      </c>
      <c r="I1291" t="s">
        <v>68</v>
      </c>
      <c r="J1291">
        <v>1</v>
      </c>
      <c r="K1291">
        <v>1.3</v>
      </c>
      <c r="L1291" s="2">
        <v>758.28</v>
      </c>
      <c r="M1291">
        <v>2025</v>
      </c>
      <c r="N1291">
        <v>7</v>
      </c>
      <c r="O1291" t="s">
        <v>122</v>
      </c>
      <c r="P1291" s="2">
        <v>1131.76</v>
      </c>
      <c r="Q1291" s="2">
        <v>373.48</v>
      </c>
      <c r="R1291" t="s">
        <v>72</v>
      </c>
      <c r="S1291">
        <v>0</v>
      </c>
      <c r="T1291">
        <v>0</v>
      </c>
      <c r="U1291">
        <f>IF(AND(OR(Dashboard!$D$4="Semua",D1291=Dashboard!$D$4),OR(Dashboard!$H$4="Semua",E1291=Dashboard!$H$4)),1,0)</f>
        <v>1</v>
      </c>
      <c r="V1291">
        <f>IF(U1291=1,IF(COUNTIFS($C$2:C1291,C1291,$U$2:U1291,1)=1,1,0),0)</f>
        <v>1</v>
      </c>
    </row>
    <row r="1292" spans="1:22" x14ac:dyDescent="0.35">
      <c r="A1292">
        <v>11291</v>
      </c>
      <c r="B1292" s="1">
        <v>45852</v>
      </c>
      <c r="C1292">
        <v>1876</v>
      </c>
      <c r="D1292" t="s">
        <v>80</v>
      </c>
      <c r="E1292" t="s">
        <v>78</v>
      </c>
      <c r="F1292">
        <v>5</v>
      </c>
      <c r="G1292" s="2">
        <v>520.84</v>
      </c>
      <c r="H1292">
        <v>0.34</v>
      </c>
      <c r="I1292" t="s">
        <v>71</v>
      </c>
      <c r="J1292">
        <v>1</v>
      </c>
      <c r="K1292">
        <v>2.5</v>
      </c>
      <c r="L1292" s="2">
        <v>1718.77</v>
      </c>
      <c r="M1292">
        <v>2025</v>
      </c>
      <c r="N1292">
        <v>7</v>
      </c>
      <c r="O1292" t="s">
        <v>122</v>
      </c>
      <c r="P1292" s="2">
        <v>2604.1999999999998</v>
      </c>
      <c r="Q1292" s="2">
        <v>885.43</v>
      </c>
      <c r="R1292" t="s">
        <v>72</v>
      </c>
      <c r="S1292">
        <v>0</v>
      </c>
      <c r="T1292">
        <v>0</v>
      </c>
      <c r="U1292">
        <f>IF(AND(OR(Dashboard!$D$4="Semua",D1292=Dashboard!$D$4),OR(Dashboard!$H$4="Semua",E1292=Dashboard!$H$4)),1,0)</f>
        <v>1</v>
      </c>
      <c r="V1292">
        <f>IF(U1292=1,IF(COUNTIFS($C$2:C1292,C1292,$U$2:U1292,1)=1,1,0),0)</f>
        <v>0</v>
      </c>
    </row>
    <row r="1293" spans="1:22" x14ac:dyDescent="0.35">
      <c r="A1293">
        <v>11292</v>
      </c>
      <c r="B1293" s="1">
        <v>45853</v>
      </c>
      <c r="C1293">
        <v>1965</v>
      </c>
      <c r="D1293" t="s">
        <v>80</v>
      </c>
      <c r="E1293" t="s">
        <v>74</v>
      </c>
      <c r="F1293">
        <v>3</v>
      </c>
      <c r="G1293" s="2">
        <v>556.71</v>
      </c>
      <c r="H1293">
        <v>0.15</v>
      </c>
      <c r="I1293" t="s">
        <v>68</v>
      </c>
      <c r="J1293">
        <v>8</v>
      </c>
      <c r="K1293">
        <v>2.1</v>
      </c>
      <c r="L1293" s="2">
        <v>1419.61</v>
      </c>
      <c r="M1293">
        <v>2025</v>
      </c>
      <c r="N1293">
        <v>7</v>
      </c>
      <c r="O1293" t="s">
        <v>122</v>
      </c>
      <c r="P1293" s="2">
        <v>1670.13</v>
      </c>
      <c r="Q1293" s="2">
        <v>250.52</v>
      </c>
      <c r="R1293" t="s">
        <v>79</v>
      </c>
      <c r="S1293">
        <v>0</v>
      </c>
      <c r="T1293">
        <v>0</v>
      </c>
      <c r="U1293">
        <f>IF(AND(OR(Dashboard!$D$4="Semua",D1293=Dashboard!$D$4),OR(Dashboard!$H$4="Semua",E1293=Dashboard!$H$4)),1,0)</f>
        <v>1</v>
      </c>
      <c r="V1293">
        <f>IF(U1293=1,IF(COUNTIFS($C$2:C1293,C1293,$U$2:U1293,1)=1,1,0),0)</f>
        <v>1</v>
      </c>
    </row>
    <row r="1294" spans="1:22" x14ac:dyDescent="0.35">
      <c r="A1294">
        <v>11293</v>
      </c>
      <c r="B1294" s="1">
        <v>45854</v>
      </c>
      <c r="C1294">
        <v>1740</v>
      </c>
      <c r="D1294" t="s">
        <v>67</v>
      </c>
      <c r="E1294" t="s">
        <v>74</v>
      </c>
      <c r="F1294">
        <v>2</v>
      </c>
      <c r="G1294" s="2">
        <v>28.93</v>
      </c>
      <c r="H1294">
        <v>0.33</v>
      </c>
      <c r="I1294" t="s">
        <v>71</v>
      </c>
      <c r="J1294">
        <v>2</v>
      </c>
      <c r="K1294">
        <v>2.9</v>
      </c>
      <c r="L1294" s="2">
        <v>38.770000000000003</v>
      </c>
      <c r="M1294">
        <v>2025</v>
      </c>
      <c r="N1294">
        <v>7</v>
      </c>
      <c r="O1294" t="s">
        <v>122</v>
      </c>
      <c r="P1294" s="2">
        <v>57.86</v>
      </c>
      <c r="Q1294" s="2">
        <v>19.09</v>
      </c>
      <c r="R1294" t="s">
        <v>72</v>
      </c>
      <c r="S1294">
        <v>0</v>
      </c>
      <c r="T1294">
        <v>0</v>
      </c>
      <c r="U1294">
        <f>IF(AND(OR(Dashboard!$D$4="Semua",D1294=Dashboard!$D$4),OR(Dashboard!$H$4="Semua",E1294=Dashboard!$H$4)),1,0)</f>
        <v>1</v>
      </c>
      <c r="V1294">
        <f>IF(U1294=1,IF(COUNTIFS($C$2:C1294,C1294,$U$2:U1294,1)=1,1,0),0)</f>
        <v>0</v>
      </c>
    </row>
    <row r="1295" spans="1:22" x14ac:dyDescent="0.35">
      <c r="A1295">
        <v>11294</v>
      </c>
      <c r="B1295" s="1">
        <v>45855</v>
      </c>
      <c r="C1295">
        <v>1376</v>
      </c>
      <c r="D1295" t="s">
        <v>67</v>
      </c>
      <c r="E1295" t="s">
        <v>63</v>
      </c>
      <c r="F1295">
        <v>1</v>
      </c>
      <c r="G1295" s="2">
        <v>45.16</v>
      </c>
      <c r="H1295">
        <v>0.01</v>
      </c>
      <c r="I1295" t="s">
        <v>71</v>
      </c>
      <c r="J1295">
        <v>10</v>
      </c>
      <c r="K1295">
        <v>4.3</v>
      </c>
      <c r="L1295" s="2">
        <v>44.71</v>
      </c>
      <c r="M1295">
        <v>2025</v>
      </c>
      <c r="N1295">
        <v>7</v>
      </c>
      <c r="O1295" t="s">
        <v>122</v>
      </c>
      <c r="P1295" s="2">
        <v>45.16</v>
      </c>
      <c r="Q1295" s="2">
        <v>0.45</v>
      </c>
      <c r="R1295" t="s">
        <v>75</v>
      </c>
      <c r="S1295">
        <v>0</v>
      </c>
      <c r="T1295">
        <v>0</v>
      </c>
      <c r="U1295">
        <f>IF(AND(OR(Dashboard!$D$4="Semua",D1295=Dashboard!$D$4),OR(Dashboard!$H$4="Semua",E1295=Dashboard!$H$4)),1,0)</f>
        <v>1</v>
      </c>
      <c r="V1295">
        <f>IF(U1295=1,IF(COUNTIFS($C$2:C1295,C1295,$U$2:U1295,1)=1,1,0),0)</f>
        <v>0</v>
      </c>
    </row>
    <row r="1296" spans="1:22" x14ac:dyDescent="0.35">
      <c r="A1296">
        <v>11295</v>
      </c>
      <c r="B1296" s="1">
        <v>45856</v>
      </c>
      <c r="C1296">
        <v>1288</v>
      </c>
      <c r="D1296" t="s">
        <v>73</v>
      </c>
      <c r="E1296" t="s">
        <v>74</v>
      </c>
      <c r="F1296">
        <v>3</v>
      </c>
      <c r="G1296" s="2">
        <v>575.86</v>
      </c>
      <c r="H1296">
        <v>0.26</v>
      </c>
      <c r="I1296" t="s">
        <v>64</v>
      </c>
      <c r="J1296">
        <v>6</v>
      </c>
      <c r="K1296">
        <v>4</v>
      </c>
      <c r="L1296" s="2">
        <v>1278.4100000000001</v>
      </c>
      <c r="M1296">
        <v>2025</v>
      </c>
      <c r="N1296">
        <v>7</v>
      </c>
      <c r="O1296" t="s">
        <v>122</v>
      </c>
      <c r="P1296" s="2">
        <v>1727.58</v>
      </c>
      <c r="Q1296" s="2">
        <v>449.17</v>
      </c>
      <c r="R1296" t="s">
        <v>66</v>
      </c>
      <c r="S1296">
        <v>0</v>
      </c>
      <c r="T1296">
        <v>0</v>
      </c>
      <c r="U1296">
        <f>IF(AND(OR(Dashboard!$D$4="Semua",D1296=Dashboard!$D$4),OR(Dashboard!$H$4="Semua",E1296=Dashboard!$H$4)),1,0)</f>
        <v>1</v>
      </c>
      <c r="V1296">
        <f>IF(U1296=1,IF(COUNTIFS($C$2:C1296,C1296,$U$2:U1296,1)=1,1,0),0)</f>
        <v>0</v>
      </c>
    </row>
    <row r="1297" spans="1:22" x14ac:dyDescent="0.35">
      <c r="A1297">
        <v>11296</v>
      </c>
      <c r="B1297" s="1">
        <v>45857</v>
      </c>
      <c r="C1297">
        <v>1436</v>
      </c>
      <c r="D1297" t="s">
        <v>73</v>
      </c>
      <c r="E1297" t="s">
        <v>70</v>
      </c>
      <c r="F1297">
        <v>3</v>
      </c>
      <c r="G1297" s="2">
        <v>177.14</v>
      </c>
      <c r="H1297">
        <v>0.22</v>
      </c>
      <c r="I1297" t="s">
        <v>71</v>
      </c>
      <c r="J1297">
        <v>2</v>
      </c>
      <c r="K1297">
        <v>2.4</v>
      </c>
      <c r="L1297" s="2">
        <v>414.51</v>
      </c>
      <c r="M1297">
        <v>2025</v>
      </c>
      <c r="N1297">
        <v>7</v>
      </c>
      <c r="O1297" t="s">
        <v>122</v>
      </c>
      <c r="P1297" s="2">
        <v>531.41999999999996</v>
      </c>
      <c r="Q1297" s="2">
        <v>116.91</v>
      </c>
      <c r="R1297" t="s">
        <v>77</v>
      </c>
      <c r="S1297">
        <v>0</v>
      </c>
      <c r="T1297">
        <v>0</v>
      </c>
      <c r="U1297">
        <f>IF(AND(OR(Dashboard!$D$4="Semua",D1297=Dashboard!$D$4),OR(Dashboard!$H$4="Semua",E1297=Dashboard!$H$4)),1,0)</f>
        <v>1</v>
      </c>
      <c r="V1297">
        <f>IF(U1297=1,IF(COUNTIFS($C$2:C1297,C1297,$U$2:U1297,1)=1,1,0),0)</f>
        <v>0</v>
      </c>
    </row>
    <row r="1298" spans="1:22" x14ac:dyDescent="0.35">
      <c r="A1298">
        <v>11297</v>
      </c>
      <c r="B1298" s="1">
        <v>45858</v>
      </c>
      <c r="C1298">
        <v>1661</v>
      </c>
      <c r="D1298" t="s">
        <v>67</v>
      </c>
      <c r="E1298" t="s">
        <v>63</v>
      </c>
      <c r="F1298">
        <v>6</v>
      </c>
      <c r="G1298" s="2">
        <v>525.91999999999996</v>
      </c>
      <c r="H1298">
        <v>0.09</v>
      </c>
      <c r="I1298" t="s">
        <v>68</v>
      </c>
      <c r="J1298">
        <v>5</v>
      </c>
      <c r="K1298">
        <v>2.5</v>
      </c>
      <c r="L1298" s="2">
        <v>2871.52</v>
      </c>
      <c r="M1298">
        <v>2025</v>
      </c>
      <c r="N1298">
        <v>7</v>
      </c>
      <c r="O1298" t="s">
        <v>122</v>
      </c>
      <c r="P1298" s="2">
        <v>3155.52</v>
      </c>
      <c r="Q1298" s="2">
        <v>284</v>
      </c>
      <c r="R1298" t="s">
        <v>69</v>
      </c>
      <c r="S1298">
        <v>0</v>
      </c>
      <c r="T1298">
        <v>0</v>
      </c>
      <c r="U1298">
        <f>IF(AND(OR(Dashboard!$D$4="Semua",D1298=Dashboard!$D$4),OR(Dashboard!$H$4="Semua",E1298=Dashboard!$H$4)),1,0)</f>
        <v>1</v>
      </c>
      <c r="V1298">
        <f>IF(U1298=1,IF(COUNTIFS($C$2:C1298,C1298,$U$2:U1298,1)=1,1,0),0)</f>
        <v>0</v>
      </c>
    </row>
    <row r="1299" spans="1:22" x14ac:dyDescent="0.35">
      <c r="A1299">
        <v>11298</v>
      </c>
      <c r="B1299" s="1">
        <v>45859</v>
      </c>
      <c r="C1299">
        <v>1276</v>
      </c>
      <c r="D1299" t="s">
        <v>67</v>
      </c>
      <c r="E1299" t="s">
        <v>70</v>
      </c>
      <c r="F1299">
        <v>5</v>
      </c>
      <c r="G1299" s="2">
        <v>242.45</v>
      </c>
      <c r="H1299">
        <v>0.18</v>
      </c>
      <c r="I1299" t="s">
        <v>64</v>
      </c>
      <c r="J1299">
        <v>3</v>
      </c>
      <c r="K1299">
        <v>3.6</v>
      </c>
      <c r="L1299" s="2">
        <v>994.04</v>
      </c>
      <c r="M1299">
        <v>2025</v>
      </c>
      <c r="N1299">
        <v>7</v>
      </c>
      <c r="O1299" t="s">
        <v>122</v>
      </c>
      <c r="P1299" s="2">
        <v>1212.25</v>
      </c>
      <c r="Q1299" s="2">
        <v>218.21</v>
      </c>
      <c r="R1299" t="s">
        <v>76</v>
      </c>
      <c r="S1299">
        <v>0</v>
      </c>
      <c r="T1299">
        <v>0</v>
      </c>
      <c r="U1299">
        <f>IF(AND(OR(Dashboard!$D$4="Semua",D1299=Dashboard!$D$4),OR(Dashboard!$H$4="Semua",E1299=Dashboard!$H$4)),1,0)</f>
        <v>1</v>
      </c>
      <c r="V1299">
        <f>IF(U1299=1,IF(COUNTIFS($C$2:C1299,C1299,$U$2:U1299,1)=1,1,0),0)</f>
        <v>0</v>
      </c>
    </row>
    <row r="1300" spans="1:22" x14ac:dyDescent="0.35">
      <c r="A1300">
        <v>11299</v>
      </c>
      <c r="B1300" s="1">
        <v>45860</v>
      </c>
      <c r="C1300">
        <v>1709</v>
      </c>
      <c r="D1300" t="s">
        <v>80</v>
      </c>
      <c r="E1300" t="s">
        <v>74</v>
      </c>
      <c r="F1300">
        <v>6</v>
      </c>
      <c r="G1300" s="2">
        <v>84.67</v>
      </c>
      <c r="H1300">
        <v>0.05</v>
      </c>
      <c r="I1300" t="s">
        <v>71</v>
      </c>
      <c r="J1300">
        <v>7</v>
      </c>
      <c r="K1300">
        <v>1.8</v>
      </c>
      <c r="L1300" s="2">
        <v>482.62</v>
      </c>
      <c r="M1300">
        <v>2025</v>
      </c>
      <c r="N1300">
        <v>7</v>
      </c>
      <c r="O1300" t="s">
        <v>122</v>
      </c>
      <c r="P1300" s="2">
        <v>508.02</v>
      </c>
      <c r="Q1300" s="2">
        <v>25.4</v>
      </c>
      <c r="R1300" t="s">
        <v>75</v>
      </c>
      <c r="S1300">
        <v>0</v>
      </c>
      <c r="T1300">
        <v>0</v>
      </c>
      <c r="U1300">
        <f>IF(AND(OR(Dashboard!$D$4="Semua",D1300=Dashboard!$D$4),OR(Dashboard!$H$4="Semua",E1300=Dashboard!$H$4)),1,0)</f>
        <v>1</v>
      </c>
      <c r="V1300">
        <f>IF(U1300=1,IF(COUNTIFS($C$2:C1300,C1300,$U$2:U1300,1)=1,1,0),0)</f>
        <v>0</v>
      </c>
    </row>
    <row r="1301" spans="1:22" x14ac:dyDescent="0.35">
      <c r="A1301">
        <v>11300</v>
      </c>
      <c r="B1301" s="1">
        <v>45861</v>
      </c>
      <c r="C1301">
        <v>1581</v>
      </c>
      <c r="D1301" t="s">
        <v>80</v>
      </c>
      <c r="E1301" t="s">
        <v>78</v>
      </c>
      <c r="F1301">
        <v>7</v>
      </c>
      <c r="G1301" s="2">
        <v>62.06</v>
      </c>
      <c r="H1301">
        <v>0.31</v>
      </c>
      <c r="I1301" t="s">
        <v>71</v>
      </c>
      <c r="J1301">
        <v>9</v>
      </c>
      <c r="K1301">
        <v>1.4</v>
      </c>
      <c r="L1301" s="2">
        <v>299.75</v>
      </c>
      <c r="M1301">
        <v>2025</v>
      </c>
      <c r="N1301">
        <v>7</v>
      </c>
      <c r="O1301" t="s">
        <v>122</v>
      </c>
      <c r="P1301" s="2">
        <v>434.42</v>
      </c>
      <c r="Q1301" s="2">
        <v>134.66999999999999</v>
      </c>
      <c r="R1301" t="s">
        <v>72</v>
      </c>
      <c r="S1301">
        <v>0</v>
      </c>
      <c r="T1301">
        <v>0</v>
      </c>
      <c r="U1301">
        <f>IF(AND(OR(Dashboard!$D$4="Semua",D1301=Dashboard!$D$4),OR(Dashboard!$H$4="Semua",E1301=Dashboard!$H$4)),1,0)</f>
        <v>1</v>
      </c>
      <c r="V1301">
        <f>IF(U1301=1,IF(COUNTIFS($C$2:C1301,C1301,$U$2:U1301,1)=1,1,0),0)</f>
        <v>1</v>
      </c>
    </row>
    <row r="1302" spans="1:22" x14ac:dyDescent="0.35">
      <c r="A1302">
        <v>11301</v>
      </c>
      <c r="B1302" s="1">
        <v>45862</v>
      </c>
      <c r="C1302">
        <v>1502</v>
      </c>
      <c r="D1302" t="s">
        <v>73</v>
      </c>
      <c r="E1302" t="s">
        <v>63</v>
      </c>
      <c r="F1302">
        <v>3</v>
      </c>
      <c r="G1302" s="2">
        <v>106.56</v>
      </c>
      <c r="H1302">
        <v>0.13</v>
      </c>
      <c r="I1302" t="s">
        <v>68</v>
      </c>
      <c r="J1302">
        <v>2</v>
      </c>
      <c r="K1302">
        <v>2</v>
      </c>
      <c r="L1302" s="2">
        <v>278.12</v>
      </c>
      <c r="M1302">
        <v>2025</v>
      </c>
      <c r="N1302">
        <v>7</v>
      </c>
      <c r="O1302" t="s">
        <v>122</v>
      </c>
      <c r="P1302" s="2">
        <v>319.68</v>
      </c>
      <c r="Q1302" s="2">
        <v>41.56</v>
      </c>
      <c r="R1302" t="s">
        <v>79</v>
      </c>
      <c r="S1302">
        <v>0</v>
      </c>
      <c r="T1302">
        <v>0</v>
      </c>
      <c r="U1302">
        <f>IF(AND(OR(Dashboard!$D$4="Semua",D1302=Dashboard!$D$4),OR(Dashboard!$H$4="Semua",E1302=Dashboard!$H$4)),1,0)</f>
        <v>1</v>
      </c>
      <c r="V1302">
        <f>IF(U1302=1,IF(COUNTIFS($C$2:C1302,C1302,$U$2:U1302,1)=1,1,0),0)</f>
        <v>0</v>
      </c>
    </row>
    <row r="1303" spans="1:22" x14ac:dyDescent="0.35">
      <c r="A1303">
        <v>11302</v>
      </c>
      <c r="B1303" s="1">
        <v>45863</v>
      </c>
      <c r="C1303">
        <v>1623</v>
      </c>
      <c r="D1303" t="s">
        <v>67</v>
      </c>
      <c r="E1303" t="s">
        <v>78</v>
      </c>
      <c r="F1303">
        <v>3</v>
      </c>
      <c r="G1303" s="2">
        <v>161.19</v>
      </c>
      <c r="H1303">
        <v>0.22</v>
      </c>
      <c r="I1303" t="s">
        <v>64</v>
      </c>
      <c r="J1303">
        <v>7</v>
      </c>
      <c r="K1303">
        <v>1.5</v>
      </c>
      <c r="L1303" s="2">
        <v>377.18</v>
      </c>
      <c r="M1303">
        <v>2025</v>
      </c>
      <c r="N1303">
        <v>7</v>
      </c>
      <c r="O1303" t="s">
        <v>122</v>
      </c>
      <c r="P1303" s="2">
        <v>483.57</v>
      </c>
      <c r="Q1303" s="2">
        <v>106.39</v>
      </c>
      <c r="R1303" t="s">
        <v>77</v>
      </c>
      <c r="S1303">
        <v>0</v>
      </c>
      <c r="T1303">
        <v>0</v>
      </c>
      <c r="U1303">
        <f>IF(AND(OR(Dashboard!$D$4="Semua",D1303=Dashboard!$D$4),OR(Dashboard!$H$4="Semua",E1303=Dashboard!$H$4)),1,0)</f>
        <v>1</v>
      </c>
      <c r="V1303">
        <f>IF(U1303=1,IF(COUNTIFS($C$2:C1303,C1303,$U$2:U1303,1)=1,1,0),0)</f>
        <v>0</v>
      </c>
    </row>
    <row r="1304" spans="1:22" x14ac:dyDescent="0.35">
      <c r="A1304">
        <v>11303</v>
      </c>
      <c r="B1304" s="1">
        <v>45864</v>
      </c>
      <c r="C1304">
        <v>1515</v>
      </c>
      <c r="D1304" t="s">
        <v>73</v>
      </c>
      <c r="E1304" t="s">
        <v>63</v>
      </c>
      <c r="F1304">
        <v>7</v>
      </c>
      <c r="G1304" s="2">
        <v>300.77999999999997</v>
      </c>
      <c r="H1304">
        <v>0.06</v>
      </c>
      <c r="I1304" t="s">
        <v>64</v>
      </c>
      <c r="J1304">
        <v>8</v>
      </c>
      <c r="K1304">
        <v>2.4</v>
      </c>
      <c r="L1304" s="2">
        <v>1979.13</v>
      </c>
      <c r="M1304">
        <v>2025</v>
      </c>
      <c r="N1304">
        <v>7</v>
      </c>
      <c r="O1304" t="s">
        <v>122</v>
      </c>
      <c r="P1304" s="2">
        <v>2105.46</v>
      </c>
      <c r="Q1304" s="2">
        <v>126.33</v>
      </c>
      <c r="R1304" t="s">
        <v>69</v>
      </c>
      <c r="S1304">
        <v>0</v>
      </c>
      <c r="T1304">
        <v>0</v>
      </c>
      <c r="U1304">
        <f>IF(AND(OR(Dashboard!$D$4="Semua",D1304=Dashboard!$D$4),OR(Dashboard!$H$4="Semua",E1304=Dashboard!$H$4)),1,0)</f>
        <v>1</v>
      </c>
      <c r="V1304">
        <f>IF(U1304=1,IF(COUNTIFS($C$2:C1304,C1304,$U$2:U1304,1)=1,1,0),0)</f>
        <v>0</v>
      </c>
    </row>
    <row r="1305" spans="1:22" x14ac:dyDescent="0.35">
      <c r="A1305">
        <v>11304</v>
      </c>
      <c r="B1305" s="1">
        <v>45865</v>
      </c>
      <c r="C1305">
        <v>1349</v>
      </c>
      <c r="D1305" t="s">
        <v>73</v>
      </c>
      <c r="E1305" t="s">
        <v>78</v>
      </c>
      <c r="F1305">
        <v>5</v>
      </c>
      <c r="G1305" s="2">
        <v>425.38</v>
      </c>
      <c r="H1305">
        <v>7.0000000000000007E-2</v>
      </c>
      <c r="I1305" t="s">
        <v>71</v>
      </c>
      <c r="J1305">
        <v>10</v>
      </c>
      <c r="K1305">
        <v>4.8</v>
      </c>
      <c r="L1305" s="2">
        <v>1978.02</v>
      </c>
      <c r="M1305">
        <v>2025</v>
      </c>
      <c r="N1305">
        <v>7</v>
      </c>
      <c r="O1305" t="s">
        <v>122</v>
      </c>
      <c r="P1305" s="2">
        <v>2126.9</v>
      </c>
      <c r="Q1305" s="2">
        <v>148.88</v>
      </c>
      <c r="R1305" t="s">
        <v>69</v>
      </c>
      <c r="S1305">
        <v>0</v>
      </c>
      <c r="T1305">
        <v>0</v>
      </c>
      <c r="U1305">
        <f>IF(AND(OR(Dashboard!$D$4="Semua",D1305=Dashboard!$D$4),OR(Dashboard!$H$4="Semua",E1305=Dashboard!$H$4)),1,0)</f>
        <v>1</v>
      </c>
      <c r="V1305">
        <f>IF(U1305=1,IF(COUNTIFS($C$2:C1305,C1305,$U$2:U1305,1)=1,1,0),0)</f>
        <v>0</v>
      </c>
    </row>
    <row r="1306" spans="1:22" x14ac:dyDescent="0.35">
      <c r="A1306">
        <v>11305</v>
      </c>
      <c r="B1306" s="1">
        <v>45866</v>
      </c>
      <c r="C1306">
        <v>1842</v>
      </c>
      <c r="D1306" t="s">
        <v>80</v>
      </c>
      <c r="E1306" t="s">
        <v>63</v>
      </c>
      <c r="F1306">
        <v>5</v>
      </c>
      <c r="G1306" s="2">
        <v>592.04</v>
      </c>
      <c r="H1306">
        <v>0.35</v>
      </c>
      <c r="I1306" t="s">
        <v>64</v>
      </c>
      <c r="J1306">
        <v>8</v>
      </c>
      <c r="K1306">
        <v>1.5</v>
      </c>
      <c r="L1306" s="2">
        <v>1924.13</v>
      </c>
      <c r="M1306">
        <v>2025</v>
      </c>
      <c r="N1306">
        <v>7</v>
      </c>
      <c r="O1306" t="s">
        <v>122</v>
      </c>
      <c r="P1306" s="2">
        <v>2960.2</v>
      </c>
      <c r="Q1306" s="2">
        <v>1036.07</v>
      </c>
      <c r="R1306" t="s">
        <v>72</v>
      </c>
      <c r="S1306">
        <v>0</v>
      </c>
      <c r="T1306">
        <v>0</v>
      </c>
      <c r="U1306">
        <f>IF(AND(OR(Dashboard!$D$4="Semua",D1306=Dashboard!$D$4),OR(Dashboard!$H$4="Semua",E1306=Dashboard!$H$4)),1,0)</f>
        <v>1</v>
      </c>
      <c r="V1306">
        <f>IF(U1306=1,IF(COUNTIFS($C$2:C1306,C1306,$U$2:U1306,1)=1,1,0),0)</f>
        <v>0</v>
      </c>
    </row>
    <row r="1307" spans="1:22" x14ac:dyDescent="0.35">
      <c r="A1307">
        <v>11306</v>
      </c>
      <c r="B1307" s="1">
        <v>45867</v>
      </c>
      <c r="C1307">
        <v>1445</v>
      </c>
      <c r="D1307" t="s">
        <v>73</v>
      </c>
      <c r="E1307" t="s">
        <v>63</v>
      </c>
      <c r="F1307">
        <v>4</v>
      </c>
      <c r="G1307" s="2">
        <v>273.27999999999997</v>
      </c>
      <c r="H1307">
        <v>0.26</v>
      </c>
      <c r="I1307" t="s">
        <v>68</v>
      </c>
      <c r="J1307">
        <v>7</v>
      </c>
      <c r="K1307">
        <v>4.3</v>
      </c>
      <c r="L1307" s="2">
        <v>808.91</v>
      </c>
      <c r="M1307">
        <v>2025</v>
      </c>
      <c r="N1307">
        <v>7</v>
      </c>
      <c r="O1307" t="s">
        <v>122</v>
      </c>
      <c r="P1307" s="2">
        <v>1093.1199999999999</v>
      </c>
      <c r="Q1307" s="2">
        <v>284.20999999999998</v>
      </c>
      <c r="R1307" t="s">
        <v>66</v>
      </c>
      <c r="S1307">
        <v>0</v>
      </c>
      <c r="T1307">
        <v>0</v>
      </c>
      <c r="U1307">
        <f>IF(AND(OR(Dashboard!$D$4="Semua",D1307=Dashboard!$D$4),OR(Dashboard!$H$4="Semua",E1307=Dashboard!$H$4)),1,0)</f>
        <v>1</v>
      </c>
      <c r="V1307">
        <f>IF(U1307=1,IF(COUNTIFS($C$2:C1307,C1307,$U$2:U1307,1)=1,1,0),0)</f>
        <v>0</v>
      </c>
    </row>
    <row r="1308" spans="1:22" x14ac:dyDescent="0.35">
      <c r="A1308">
        <v>11307</v>
      </c>
      <c r="B1308" s="1">
        <v>45868</v>
      </c>
      <c r="C1308">
        <v>1829</v>
      </c>
      <c r="D1308" t="s">
        <v>67</v>
      </c>
      <c r="E1308" t="s">
        <v>70</v>
      </c>
      <c r="F1308">
        <v>2</v>
      </c>
      <c r="G1308" s="2">
        <v>318.14</v>
      </c>
      <c r="H1308">
        <v>0.34</v>
      </c>
      <c r="I1308" t="s">
        <v>64</v>
      </c>
      <c r="J1308">
        <v>4</v>
      </c>
      <c r="K1308">
        <v>3.1</v>
      </c>
      <c r="L1308" s="2">
        <v>419.94</v>
      </c>
      <c r="M1308">
        <v>2025</v>
      </c>
      <c r="N1308">
        <v>7</v>
      </c>
      <c r="O1308" t="s">
        <v>122</v>
      </c>
      <c r="P1308" s="2">
        <v>636.28</v>
      </c>
      <c r="Q1308" s="2">
        <v>216.34</v>
      </c>
      <c r="R1308" t="s">
        <v>72</v>
      </c>
      <c r="S1308">
        <v>0</v>
      </c>
      <c r="T1308">
        <v>0</v>
      </c>
      <c r="U1308">
        <f>IF(AND(OR(Dashboard!$D$4="Semua",D1308=Dashboard!$D$4),OR(Dashboard!$H$4="Semua",E1308=Dashboard!$H$4)),1,0)</f>
        <v>1</v>
      </c>
      <c r="V1308">
        <f>IF(U1308=1,IF(COUNTIFS($C$2:C1308,C1308,$U$2:U1308,1)=1,1,0),0)</f>
        <v>0</v>
      </c>
    </row>
    <row r="1309" spans="1:22" x14ac:dyDescent="0.35">
      <c r="A1309">
        <v>11308</v>
      </c>
      <c r="B1309" s="1">
        <v>45869</v>
      </c>
      <c r="C1309">
        <v>1349</v>
      </c>
      <c r="D1309" t="s">
        <v>73</v>
      </c>
      <c r="E1309" t="s">
        <v>78</v>
      </c>
      <c r="F1309">
        <v>2</v>
      </c>
      <c r="G1309" s="2">
        <v>320.26</v>
      </c>
      <c r="H1309">
        <v>0.1</v>
      </c>
      <c r="I1309" t="s">
        <v>71</v>
      </c>
      <c r="J1309">
        <v>4</v>
      </c>
      <c r="K1309">
        <v>3.5</v>
      </c>
      <c r="L1309" s="2">
        <v>576.47</v>
      </c>
      <c r="M1309">
        <v>2025</v>
      </c>
      <c r="N1309">
        <v>7</v>
      </c>
      <c r="O1309" t="s">
        <v>122</v>
      </c>
      <c r="P1309" s="2">
        <v>640.52</v>
      </c>
      <c r="Q1309" s="2">
        <v>64.05</v>
      </c>
      <c r="R1309" t="s">
        <v>69</v>
      </c>
      <c r="S1309">
        <v>0</v>
      </c>
      <c r="T1309">
        <v>0</v>
      </c>
      <c r="U1309">
        <f>IF(AND(OR(Dashboard!$D$4="Semua",D1309=Dashboard!$D$4),OR(Dashboard!$H$4="Semua",E1309=Dashboard!$H$4)),1,0)</f>
        <v>1</v>
      </c>
      <c r="V1309">
        <f>IF(U1309=1,IF(COUNTIFS($C$2:C1309,C1309,$U$2:U1309,1)=1,1,0),0)</f>
        <v>0</v>
      </c>
    </row>
    <row r="1310" spans="1:22" x14ac:dyDescent="0.35">
      <c r="A1310">
        <v>11309</v>
      </c>
      <c r="B1310" s="1">
        <v>45870</v>
      </c>
      <c r="C1310">
        <v>1606</v>
      </c>
      <c r="D1310" t="s">
        <v>62</v>
      </c>
      <c r="E1310" t="s">
        <v>70</v>
      </c>
      <c r="F1310">
        <v>4</v>
      </c>
      <c r="G1310" s="2">
        <v>330.57</v>
      </c>
      <c r="H1310">
        <v>0.06</v>
      </c>
      <c r="I1310" t="s">
        <v>68</v>
      </c>
      <c r="J1310">
        <v>10</v>
      </c>
      <c r="K1310">
        <v>1.7</v>
      </c>
      <c r="L1310" s="2">
        <v>1242.94</v>
      </c>
      <c r="M1310">
        <v>2025</v>
      </c>
      <c r="N1310">
        <v>8</v>
      </c>
      <c r="O1310" t="s">
        <v>123</v>
      </c>
      <c r="P1310" s="2">
        <v>1322.28</v>
      </c>
      <c r="Q1310" s="2">
        <v>79.34</v>
      </c>
      <c r="R1310" t="s">
        <v>69</v>
      </c>
      <c r="S1310">
        <v>0</v>
      </c>
      <c r="T1310">
        <v>0</v>
      </c>
      <c r="U1310">
        <f>IF(AND(OR(Dashboard!$D$4="Semua",D1310=Dashboard!$D$4),OR(Dashboard!$H$4="Semua",E1310=Dashboard!$H$4)),1,0)</f>
        <v>1</v>
      </c>
      <c r="V1310">
        <f>IF(U1310=1,IF(COUNTIFS($C$2:C1310,C1310,$U$2:U1310,1)=1,1,0),0)</f>
        <v>0</v>
      </c>
    </row>
    <row r="1311" spans="1:22" x14ac:dyDescent="0.35">
      <c r="A1311">
        <v>11310</v>
      </c>
      <c r="B1311" s="1">
        <v>45871</v>
      </c>
      <c r="C1311">
        <v>1663</v>
      </c>
      <c r="D1311" t="s">
        <v>67</v>
      </c>
      <c r="E1311" t="s">
        <v>70</v>
      </c>
      <c r="F1311">
        <v>2</v>
      </c>
      <c r="G1311" s="2">
        <v>317.88</v>
      </c>
      <c r="H1311">
        <v>0.18</v>
      </c>
      <c r="I1311" t="s">
        <v>71</v>
      </c>
      <c r="J1311">
        <v>9</v>
      </c>
      <c r="K1311">
        <v>1.6</v>
      </c>
      <c r="L1311" s="2">
        <v>521.32000000000005</v>
      </c>
      <c r="M1311">
        <v>2025</v>
      </c>
      <c r="N1311">
        <v>8</v>
      </c>
      <c r="O1311" t="s">
        <v>123</v>
      </c>
      <c r="P1311" s="2">
        <v>635.76</v>
      </c>
      <c r="Q1311" s="2">
        <v>114.44</v>
      </c>
      <c r="R1311" t="s">
        <v>76</v>
      </c>
      <c r="S1311">
        <v>0</v>
      </c>
      <c r="T1311">
        <v>0</v>
      </c>
      <c r="U1311">
        <f>IF(AND(OR(Dashboard!$D$4="Semua",D1311=Dashboard!$D$4),OR(Dashboard!$H$4="Semua",E1311=Dashboard!$H$4)),1,0)</f>
        <v>1</v>
      </c>
      <c r="V1311">
        <f>IF(U1311=1,IF(COUNTIFS($C$2:C1311,C1311,$U$2:U1311,1)=1,1,0),0)</f>
        <v>0</v>
      </c>
    </row>
    <row r="1312" spans="1:22" x14ac:dyDescent="0.35">
      <c r="A1312">
        <v>11311</v>
      </c>
      <c r="B1312" s="1">
        <v>45872</v>
      </c>
      <c r="C1312">
        <v>1822</v>
      </c>
      <c r="D1312" t="s">
        <v>73</v>
      </c>
      <c r="E1312" t="s">
        <v>78</v>
      </c>
      <c r="F1312">
        <v>3</v>
      </c>
      <c r="G1312" s="2">
        <v>20.13</v>
      </c>
      <c r="H1312">
        <v>0.17</v>
      </c>
      <c r="I1312" t="s">
        <v>71</v>
      </c>
      <c r="J1312">
        <v>10</v>
      </c>
      <c r="K1312">
        <v>1.7</v>
      </c>
      <c r="L1312" s="2">
        <v>50.12</v>
      </c>
      <c r="M1312">
        <v>2025</v>
      </c>
      <c r="N1312">
        <v>8</v>
      </c>
      <c r="O1312" t="s">
        <v>123</v>
      </c>
      <c r="P1312" s="2">
        <v>60.39</v>
      </c>
      <c r="Q1312" s="2">
        <v>10.27</v>
      </c>
      <c r="R1312" t="s">
        <v>76</v>
      </c>
      <c r="S1312">
        <v>0</v>
      </c>
      <c r="T1312">
        <v>0</v>
      </c>
      <c r="U1312">
        <f>IF(AND(OR(Dashboard!$D$4="Semua",D1312=Dashboard!$D$4),OR(Dashboard!$H$4="Semua",E1312=Dashboard!$H$4)),1,0)</f>
        <v>1</v>
      </c>
      <c r="V1312">
        <f>IF(U1312=1,IF(COUNTIFS($C$2:C1312,C1312,$U$2:U1312,1)=1,1,0),0)</f>
        <v>0</v>
      </c>
    </row>
    <row r="1313" spans="1:22" x14ac:dyDescent="0.35">
      <c r="A1313">
        <v>11312</v>
      </c>
      <c r="B1313" s="1">
        <v>45873</v>
      </c>
      <c r="C1313">
        <v>1136</v>
      </c>
      <c r="D1313" t="s">
        <v>67</v>
      </c>
      <c r="E1313" t="s">
        <v>63</v>
      </c>
      <c r="F1313">
        <v>4</v>
      </c>
      <c r="G1313" s="2">
        <v>16.010000000000002</v>
      </c>
      <c r="H1313">
        <v>0.06</v>
      </c>
      <c r="I1313" t="s">
        <v>68</v>
      </c>
      <c r="J1313">
        <v>9</v>
      </c>
      <c r="K1313">
        <v>3.7</v>
      </c>
      <c r="L1313" s="2">
        <v>60.2</v>
      </c>
      <c r="M1313">
        <v>2025</v>
      </c>
      <c r="N1313">
        <v>8</v>
      </c>
      <c r="O1313" t="s">
        <v>123</v>
      </c>
      <c r="P1313" s="2">
        <v>64.040000000000006</v>
      </c>
      <c r="Q1313" s="2">
        <v>3.84</v>
      </c>
      <c r="R1313" t="s">
        <v>69</v>
      </c>
      <c r="S1313">
        <v>0</v>
      </c>
      <c r="T1313">
        <v>0</v>
      </c>
      <c r="U1313">
        <f>IF(AND(OR(Dashboard!$D$4="Semua",D1313=Dashboard!$D$4),OR(Dashboard!$H$4="Semua",E1313=Dashboard!$H$4)),1,0)</f>
        <v>1</v>
      </c>
      <c r="V1313">
        <f>IF(U1313=1,IF(COUNTIFS($C$2:C1313,C1313,$U$2:U1313,1)=1,1,0),0)</f>
        <v>1</v>
      </c>
    </row>
    <row r="1314" spans="1:22" x14ac:dyDescent="0.35">
      <c r="A1314">
        <v>11313</v>
      </c>
      <c r="B1314" s="1">
        <v>45874</v>
      </c>
      <c r="C1314">
        <v>1758</v>
      </c>
      <c r="D1314" t="s">
        <v>80</v>
      </c>
      <c r="E1314" t="s">
        <v>70</v>
      </c>
      <c r="F1314">
        <v>4</v>
      </c>
      <c r="G1314" s="2">
        <v>72.13</v>
      </c>
      <c r="H1314">
        <v>0.26</v>
      </c>
      <c r="I1314" t="s">
        <v>68</v>
      </c>
      <c r="J1314">
        <v>5</v>
      </c>
      <c r="K1314">
        <v>4</v>
      </c>
      <c r="L1314" s="2">
        <v>213.5</v>
      </c>
      <c r="M1314">
        <v>2025</v>
      </c>
      <c r="N1314">
        <v>8</v>
      </c>
      <c r="O1314" t="s">
        <v>123</v>
      </c>
      <c r="P1314" s="2">
        <v>288.52</v>
      </c>
      <c r="Q1314" s="2">
        <v>75.02</v>
      </c>
      <c r="R1314" t="s">
        <v>66</v>
      </c>
      <c r="S1314">
        <v>0</v>
      </c>
      <c r="T1314">
        <v>0</v>
      </c>
      <c r="U1314">
        <f>IF(AND(OR(Dashboard!$D$4="Semua",D1314=Dashboard!$D$4),OR(Dashboard!$H$4="Semua",E1314=Dashboard!$H$4)),1,0)</f>
        <v>1</v>
      </c>
      <c r="V1314">
        <f>IF(U1314=1,IF(COUNTIFS($C$2:C1314,C1314,$U$2:U1314,1)=1,1,0),0)</f>
        <v>0</v>
      </c>
    </row>
    <row r="1315" spans="1:22" x14ac:dyDescent="0.35">
      <c r="A1315">
        <v>11314</v>
      </c>
      <c r="B1315" s="1">
        <v>45875</v>
      </c>
      <c r="C1315">
        <v>1898</v>
      </c>
      <c r="D1315" t="s">
        <v>62</v>
      </c>
      <c r="E1315" t="s">
        <v>78</v>
      </c>
      <c r="F1315">
        <v>2</v>
      </c>
      <c r="G1315" s="2">
        <v>74.41</v>
      </c>
      <c r="H1315">
        <v>0.13</v>
      </c>
      <c r="I1315" t="s">
        <v>68</v>
      </c>
      <c r="J1315">
        <v>7</v>
      </c>
      <c r="K1315">
        <v>4.7</v>
      </c>
      <c r="L1315" s="2">
        <v>129.47</v>
      </c>
      <c r="M1315">
        <v>2025</v>
      </c>
      <c r="N1315">
        <v>8</v>
      </c>
      <c r="O1315" t="s">
        <v>123</v>
      </c>
      <c r="P1315" s="2">
        <v>148.82</v>
      </c>
      <c r="Q1315" s="2">
        <v>19.350000000000001</v>
      </c>
      <c r="R1315" t="s">
        <v>79</v>
      </c>
      <c r="S1315">
        <v>0</v>
      </c>
      <c r="T1315">
        <v>0</v>
      </c>
      <c r="U1315">
        <f>IF(AND(OR(Dashboard!$D$4="Semua",D1315=Dashboard!$D$4),OR(Dashboard!$H$4="Semua",E1315=Dashboard!$H$4)),1,0)</f>
        <v>1</v>
      </c>
      <c r="V1315">
        <f>IF(U1315=1,IF(COUNTIFS($C$2:C1315,C1315,$U$2:U1315,1)=1,1,0),0)</f>
        <v>1</v>
      </c>
    </row>
    <row r="1316" spans="1:22" x14ac:dyDescent="0.35">
      <c r="A1316">
        <v>11315</v>
      </c>
      <c r="B1316" s="1">
        <v>45876</v>
      </c>
      <c r="C1316">
        <v>1242</v>
      </c>
      <c r="D1316" t="s">
        <v>73</v>
      </c>
      <c r="E1316" t="s">
        <v>63</v>
      </c>
      <c r="F1316">
        <v>1</v>
      </c>
      <c r="G1316" s="2">
        <v>427.36</v>
      </c>
      <c r="H1316">
        <v>7.0000000000000007E-2</v>
      </c>
      <c r="I1316" t="s">
        <v>68</v>
      </c>
      <c r="J1316">
        <v>7</v>
      </c>
      <c r="K1316">
        <v>2.6</v>
      </c>
      <c r="L1316" s="2">
        <v>397.44</v>
      </c>
      <c r="M1316">
        <v>2025</v>
      </c>
      <c r="N1316">
        <v>8</v>
      </c>
      <c r="O1316" t="s">
        <v>123</v>
      </c>
      <c r="P1316" s="2">
        <v>427.36</v>
      </c>
      <c r="Q1316" s="2">
        <v>29.92</v>
      </c>
      <c r="R1316" t="s">
        <v>69</v>
      </c>
      <c r="S1316">
        <v>0</v>
      </c>
      <c r="T1316">
        <v>0</v>
      </c>
      <c r="U1316">
        <f>IF(AND(OR(Dashboard!$D$4="Semua",D1316=Dashboard!$D$4),OR(Dashboard!$H$4="Semua",E1316=Dashboard!$H$4)),1,0)</f>
        <v>1</v>
      </c>
      <c r="V1316">
        <f>IF(U1316=1,IF(COUNTIFS($C$2:C1316,C1316,$U$2:U1316,1)=1,1,0),0)</f>
        <v>0</v>
      </c>
    </row>
    <row r="1317" spans="1:22" x14ac:dyDescent="0.35">
      <c r="A1317">
        <v>11316</v>
      </c>
      <c r="B1317" s="1">
        <v>45877</v>
      </c>
      <c r="C1317">
        <v>1542</v>
      </c>
      <c r="D1317" t="s">
        <v>62</v>
      </c>
      <c r="E1317" t="s">
        <v>70</v>
      </c>
      <c r="F1317">
        <v>2</v>
      </c>
      <c r="G1317" s="2">
        <v>134.88</v>
      </c>
      <c r="H1317">
        <v>0.12</v>
      </c>
      <c r="I1317" t="s">
        <v>68</v>
      </c>
      <c r="J1317">
        <v>9</v>
      </c>
      <c r="K1317">
        <v>2.8</v>
      </c>
      <c r="L1317" s="2">
        <v>237.39</v>
      </c>
      <c r="M1317">
        <v>2025</v>
      </c>
      <c r="N1317">
        <v>8</v>
      </c>
      <c r="O1317" t="s">
        <v>123</v>
      </c>
      <c r="P1317" s="2">
        <v>269.76</v>
      </c>
      <c r="Q1317" s="2">
        <v>32.369999999999997</v>
      </c>
      <c r="R1317" t="s">
        <v>79</v>
      </c>
      <c r="S1317">
        <v>0</v>
      </c>
      <c r="T1317">
        <v>0</v>
      </c>
      <c r="U1317">
        <f>IF(AND(OR(Dashboard!$D$4="Semua",D1317=Dashboard!$D$4),OR(Dashboard!$H$4="Semua",E1317=Dashboard!$H$4)),1,0)</f>
        <v>1</v>
      </c>
      <c r="V1317">
        <f>IF(U1317=1,IF(COUNTIFS($C$2:C1317,C1317,$U$2:U1317,1)=1,1,0),0)</f>
        <v>1</v>
      </c>
    </row>
    <row r="1318" spans="1:22" x14ac:dyDescent="0.35">
      <c r="A1318">
        <v>11317</v>
      </c>
      <c r="B1318" s="1">
        <v>45878</v>
      </c>
      <c r="C1318">
        <v>1039</v>
      </c>
      <c r="D1318" t="s">
        <v>62</v>
      </c>
      <c r="E1318" t="s">
        <v>70</v>
      </c>
      <c r="F1318">
        <v>6</v>
      </c>
      <c r="G1318" s="2">
        <v>538.41</v>
      </c>
      <c r="H1318">
        <v>0.2</v>
      </c>
      <c r="I1318" t="s">
        <v>68</v>
      </c>
      <c r="J1318">
        <v>7</v>
      </c>
      <c r="K1318">
        <v>2.9</v>
      </c>
      <c r="L1318" s="2">
        <v>2584.37</v>
      </c>
      <c r="M1318">
        <v>2025</v>
      </c>
      <c r="N1318">
        <v>8</v>
      </c>
      <c r="O1318" t="s">
        <v>123</v>
      </c>
      <c r="P1318" s="2">
        <v>3230.46</v>
      </c>
      <c r="Q1318" s="2">
        <v>646.09</v>
      </c>
      <c r="R1318" t="s">
        <v>76</v>
      </c>
      <c r="S1318">
        <v>0</v>
      </c>
      <c r="T1318">
        <v>0</v>
      </c>
      <c r="U1318">
        <f>IF(AND(OR(Dashboard!$D$4="Semua",D1318=Dashboard!$D$4),OR(Dashboard!$H$4="Semua",E1318=Dashboard!$H$4)),1,0)</f>
        <v>1</v>
      </c>
      <c r="V1318">
        <f>IF(U1318=1,IF(COUNTIFS($C$2:C1318,C1318,$U$2:U1318,1)=1,1,0),0)</f>
        <v>1</v>
      </c>
    </row>
    <row r="1319" spans="1:22" x14ac:dyDescent="0.35">
      <c r="A1319">
        <v>11318</v>
      </c>
      <c r="B1319" s="1">
        <v>45879</v>
      </c>
      <c r="C1319">
        <v>1228</v>
      </c>
      <c r="D1319" t="s">
        <v>62</v>
      </c>
      <c r="E1319" t="s">
        <v>70</v>
      </c>
      <c r="F1319">
        <v>1</v>
      </c>
      <c r="G1319" s="2">
        <v>558.23</v>
      </c>
      <c r="H1319">
        <v>0.25</v>
      </c>
      <c r="I1319" t="s">
        <v>68</v>
      </c>
      <c r="J1319">
        <v>8</v>
      </c>
      <c r="K1319">
        <v>2.1</v>
      </c>
      <c r="L1319" s="2">
        <v>418.67</v>
      </c>
      <c r="M1319">
        <v>2025</v>
      </c>
      <c r="N1319">
        <v>8</v>
      </c>
      <c r="O1319" t="s">
        <v>123</v>
      </c>
      <c r="P1319" s="2">
        <v>558.23</v>
      </c>
      <c r="Q1319" s="2">
        <v>139.56</v>
      </c>
      <c r="R1319" t="s">
        <v>77</v>
      </c>
      <c r="S1319">
        <v>0</v>
      </c>
      <c r="T1319">
        <v>0</v>
      </c>
      <c r="U1319">
        <f>IF(AND(OR(Dashboard!$D$4="Semua",D1319=Dashboard!$D$4),OR(Dashboard!$H$4="Semua",E1319=Dashboard!$H$4)),1,0)</f>
        <v>1</v>
      </c>
      <c r="V1319">
        <f>IF(U1319=1,IF(COUNTIFS($C$2:C1319,C1319,$U$2:U1319,1)=1,1,0),0)</f>
        <v>0</v>
      </c>
    </row>
    <row r="1320" spans="1:22" x14ac:dyDescent="0.35">
      <c r="A1320">
        <v>11319</v>
      </c>
      <c r="B1320" s="1">
        <v>45880</v>
      </c>
      <c r="C1320">
        <v>1547</v>
      </c>
      <c r="D1320" t="s">
        <v>67</v>
      </c>
      <c r="E1320" t="s">
        <v>63</v>
      </c>
      <c r="F1320">
        <v>4</v>
      </c>
      <c r="G1320" s="2">
        <v>585.9</v>
      </c>
      <c r="H1320">
        <v>0.17</v>
      </c>
      <c r="I1320" t="s">
        <v>64</v>
      </c>
      <c r="J1320">
        <v>7</v>
      </c>
      <c r="K1320">
        <v>2.2999999999999998</v>
      </c>
      <c r="L1320" s="2">
        <v>1945.19</v>
      </c>
      <c r="M1320">
        <v>2025</v>
      </c>
      <c r="N1320">
        <v>8</v>
      </c>
      <c r="O1320" t="s">
        <v>123</v>
      </c>
      <c r="P1320" s="2">
        <v>2343.6</v>
      </c>
      <c r="Q1320" s="2">
        <v>398.41</v>
      </c>
      <c r="R1320" t="s">
        <v>76</v>
      </c>
      <c r="S1320">
        <v>0</v>
      </c>
      <c r="T1320">
        <v>0</v>
      </c>
      <c r="U1320">
        <f>IF(AND(OR(Dashboard!$D$4="Semua",D1320=Dashboard!$D$4),OR(Dashboard!$H$4="Semua",E1320=Dashboard!$H$4)),1,0)</f>
        <v>1</v>
      </c>
      <c r="V1320">
        <f>IF(U1320=1,IF(COUNTIFS($C$2:C1320,C1320,$U$2:U1320,1)=1,1,0),0)</f>
        <v>0</v>
      </c>
    </row>
    <row r="1321" spans="1:22" x14ac:dyDescent="0.35">
      <c r="A1321">
        <v>11320</v>
      </c>
      <c r="B1321" s="1">
        <v>45881</v>
      </c>
      <c r="C1321">
        <v>1919</v>
      </c>
      <c r="D1321" t="s">
        <v>67</v>
      </c>
      <c r="E1321" t="s">
        <v>70</v>
      </c>
      <c r="F1321">
        <v>1</v>
      </c>
      <c r="G1321" s="2">
        <v>564.36</v>
      </c>
      <c r="H1321">
        <v>0.18</v>
      </c>
      <c r="I1321" t="s">
        <v>71</v>
      </c>
      <c r="J1321">
        <v>11</v>
      </c>
      <c r="K1321">
        <v>4.4000000000000004</v>
      </c>
      <c r="L1321" s="2">
        <v>462.78</v>
      </c>
      <c r="M1321">
        <v>2025</v>
      </c>
      <c r="N1321">
        <v>8</v>
      </c>
      <c r="O1321" t="s">
        <v>123</v>
      </c>
      <c r="P1321" s="2">
        <v>564.36</v>
      </c>
      <c r="Q1321" s="2">
        <v>101.58</v>
      </c>
      <c r="R1321" t="s">
        <v>76</v>
      </c>
      <c r="S1321">
        <v>0</v>
      </c>
      <c r="T1321">
        <v>0</v>
      </c>
      <c r="U1321">
        <f>IF(AND(OR(Dashboard!$D$4="Semua",D1321=Dashboard!$D$4),OR(Dashboard!$H$4="Semua",E1321=Dashboard!$H$4)),1,0)</f>
        <v>1</v>
      </c>
      <c r="V1321">
        <f>IF(U1321=1,IF(COUNTIFS($C$2:C1321,C1321,$U$2:U1321,1)=1,1,0),0)</f>
        <v>0</v>
      </c>
    </row>
    <row r="1322" spans="1:22" x14ac:dyDescent="0.35">
      <c r="A1322">
        <v>11321</v>
      </c>
      <c r="B1322" s="1">
        <v>45882</v>
      </c>
      <c r="C1322">
        <v>1222</v>
      </c>
      <c r="D1322" t="s">
        <v>67</v>
      </c>
      <c r="E1322" t="s">
        <v>63</v>
      </c>
      <c r="F1322">
        <v>3</v>
      </c>
      <c r="G1322" s="2">
        <v>174.05</v>
      </c>
      <c r="H1322">
        <v>0.05</v>
      </c>
      <c r="I1322" t="s">
        <v>68</v>
      </c>
      <c r="J1322">
        <v>4</v>
      </c>
      <c r="K1322">
        <v>2.4</v>
      </c>
      <c r="L1322" s="2">
        <v>496.04</v>
      </c>
      <c r="M1322">
        <v>2025</v>
      </c>
      <c r="N1322">
        <v>8</v>
      </c>
      <c r="O1322" t="s">
        <v>123</v>
      </c>
      <c r="P1322" s="2">
        <v>522.15</v>
      </c>
      <c r="Q1322" s="2">
        <v>26.11</v>
      </c>
      <c r="R1322" t="s">
        <v>75</v>
      </c>
      <c r="S1322">
        <v>0</v>
      </c>
      <c r="T1322">
        <v>0</v>
      </c>
      <c r="U1322">
        <f>IF(AND(OR(Dashboard!$D$4="Semua",D1322=Dashboard!$D$4),OR(Dashboard!$H$4="Semua",E1322=Dashboard!$H$4)),1,0)</f>
        <v>1</v>
      </c>
      <c r="V1322">
        <f>IF(U1322=1,IF(COUNTIFS($C$2:C1322,C1322,$U$2:U1322,1)=1,1,0),0)</f>
        <v>0</v>
      </c>
    </row>
    <row r="1323" spans="1:22" x14ac:dyDescent="0.35">
      <c r="A1323">
        <v>11322</v>
      </c>
      <c r="B1323" s="1">
        <v>45883</v>
      </c>
      <c r="C1323">
        <v>1005</v>
      </c>
      <c r="D1323" t="s">
        <v>80</v>
      </c>
      <c r="E1323" t="s">
        <v>74</v>
      </c>
      <c r="F1323">
        <v>5</v>
      </c>
      <c r="G1323" s="2">
        <v>313.22000000000003</v>
      </c>
      <c r="H1323">
        <v>0.32</v>
      </c>
      <c r="I1323" t="s">
        <v>64</v>
      </c>
      <c r="J1323">
        <v>2</v>
      </c>
      <c r="K1323">
        <v>4.5</v>
      </c>
      <c r="L1323" s="2">
        <v>1064.95</v>
      </c>
      <c r="M1323">
        <v>2025</v>
      </c>
      <c r="N1323">
        <v>8</v>
      </c>
      <c r="O1323" t="s">
        <v>123</v>
      </c>
      <c r="P1323" s="2">
        <v>1566.1</v>
      </c>
      <c r="Q1323" s="2">
        <v>501.15</v>
      </c>
      <c r="R1323" t="s">
        <v>72</v>
      </c>
      <c r="S1323">
        <v>0</v>
      </c>
      <c r="T1323">
        <v>0</v>
      </c>
      <c r="U1323">
        <f>IF(AND(OR(Dashboard!$D$4="Semua",D1323=Dashboard!$D$4),OR(Dashboard!$H$4="Semua",E1323=Dashboard!$H$4)),1,0)</f>
        <v>1</v>
      </c>
      <c r="V1323">
        <f>IF(U1323=1,IF(COUNTIFS($C$2:C1323,C1323,$U$2:U1323,1)=1,1,0),0)</f>
        <v>1</v>
      </c>
    </row>
    <row r="1324" spans="1:22" x14ac:dyDescent="0.35">
      <c r="A1324">
        <v>11323</v>
      </c>
      <c r="B1324" s="1">
        <v>45884</v>
      </c>
      <c r="C1324">
        <v>1321</v>
      </c>
      <c r="D1324" t="s">
        <v>67</v>
      </c>
      <c r="E1324" t="s">
        <v>70</v>
      </c>
      <c r="F1324">
        <v>1</v>
      </c>
      <c r="G1324" s="2">
        <v>117.64</v>
      </c>
      <c r="H1324">
        <v>0.33</v>
      </c>
      <c r="I1324" t="s">
        <v>71</v>
      </c>
      <c r="J1324">
        <v>3</v>
      </c>
      <c r="K1324">
        <v>2.2000000000000002</v>
      </c>
      <c r="L1324" s="2">
        <v>78.819999999999993</v>
      </c>
      <c r="M1324">
        <v>2025</v>
      </c>
      <c r="N1324">
        <v>8</v>
      </c>
      <c r="O1324" t="s">
        <v>123</v>
      </c>
      <c r="P1324" s="2">
        <v>117.64</v>
      </c>
      <c r="Q1324" s="2">
        <v>38.82</v>
      </c>
      <c r="R1324" t="s">
        <v>72</v>
      </c>
      <c r="S1324">
        <v>0</v>
      </c>
      <c r="T1324">
        <v>0</v>
      </c>
      <c r="U1324">
        <f>IF(AND(OR(Dashboard!$D$4="Semua",D1324=Dashboard!$D$4),OR(Dashboard!$H$4="Semua",E1324=Dashboard!$H$4)),1,0)</f>
        <v>1</v>
      </c>
      <c r="V1324">
        <f>IF(U1324=1,IF(COUNTIFS($C$2:C1324,C1324,$U$2:U1324,1)=1,1,0),0)</f>
        <v>1</v>
      </c>
    </row>
    <row r="1325" spans="1:22" x14ac:dyDescent="0.35">
      <c r="A1325">
        <v>11324</v>
      </c>
      <c r="B1325" s="1">
        <v>45885</v>
      </c>
      <c r="C1325">
        <v>1467</v>
      </c>
      <c r="D1325" t="s">
        <v>80</v>
      </c>
      <c r="E1325" t="s">
        <v>74</v>
      </c>
      <c r="F1325">
        <v>6</v>
      </c>
      <c r="G1325" s="2">
        <v>486.63</v>
      </c>
      <c r="H1325">
        <v>0.24</v>
      </c>
      <c r="I1325" t="s">
        <v>71</v>
      </c>
      <c r="J1325">
        <v>7</v>
      </c>
      <c r="K1325">
        <v>2.4</v>
      </c>
      <c r="L1325" s="2">
        <v>2219.0300000000002</v>
      </c>
      <c r="M1325">
        <v>2025</v>
      </c>
      <c r="N1325">
        <v>8</v>
      </c>
      <c r="O1325" t="s">
        <v>123</v>
      </c>
      <c r="P1325" s="2">
        <v>2919.78</v>
      </c>
      <c r="Q1325" s="2">
        <v>700.75</v>
      </c>
      <c r="R1325" t="s">
        <v>77</v>
      </c>
      <c r="S1325">
        <v>0</v>
      </c>
      <c r="T1325">
        <v>0</v>
      </c>
      <c r="U1325">
        <f>IF(AND(OR(Dashboard!$D$4="Semua",D1325=Dashboard!$D$4),OR(Dashboard!$H$4="Semua",E1325=Dashboard!$H$4)),1,0)</f>
        <v>1</v>
      </c>
      <c r="V1325">
        <f>IF(U1325=1,IF(COUNTIFS($C$2:C1325,C1325,$U$2:U1325,1)=1,1,0),0)</f>
        <v>1</v>
      </c>
    </row>
    <row r="1326" spans="1:22" x14ac:dyDescent="0.35">
      <c r="A1326">
        <v>11325</v>
      </c>
      <c r="B1326" s="1">
        <v>45886</v>
      </c>
      <c r="C1326">
        <v>1731</v>
      </c>
      <c r="D1326" t="s">
        <v>67</v>
      </c>
      <c r="E1326" t="s">
        <v>78</v>
      </c>
      <c r="F1326">
        <v>5</v>
      </c>
      <c r="G1326" s="2">
        <v>534.73</v>
      </c>
      <c r="H1326">
        <v>0.01</v>
      </c>
      <c r="I1326" t="s">
        <v>71</v>
      </c>
      <c r="J1326">
        <v>11</v>
      </c>
      <c r="K1326">
        <v>3.2</v>
      </c>
      <c r="L1326" s="2">
        <v>2646.91</v>
      </c>
      <c r="M1326">
        <v>2025</v>
      </c>
      <c r="N1326">
        <v>8</v>
      </c>
      <c r="O1326" t="s">
        <v>123</v>
      </c>
      <c r="P1326" s="2">
        <v>2673.65</v>
      </c>
      <c r="Q1326" s="2">
        <v>26.74</v>
      </c>
      <c r="R1326" t="s">
        <v>75</v>
      </c>
      <c r="S1326">
        <v>0</v>
      </c>
      <c r="T1326">
        <v>0</v>
      </c>
      <c r="U1326">
        <f>IF(AND(OR(Dashboard!$D$4="Semua",D1326=Dashboard!$D$4),OR(Dashboard!$H$4="Semua",E1326=Dashboard!$H$4)),1,0)</f>
        <v>1</v>
      </c>
      <c r="V1326">
        <f>IF(U1326=1,IF(COUNTIFS($C$2:C1326,C1326,$U$2:U1326,1)=1,1,0),0)</f>
        <v>0</v>
      </c>
    </row>
    <row r="1327" spans="1:22" x14ac:dyDescent="0.35">
      <c r="A1327">
        <v>11326</v>
      </c>
      <c r="B1327" s="1">
        <v>45887</v>
      </c>
      <c r="C1327">
        <v>1074</v>
      </c>
      <c r="D1327" t="s">
        <v>80</v>
      </c>
      <c r="E1327" t="s">
        <v>70</v>
      </c>
      <c r="F1327">
        <v>3</v>
      </c>
      <c r="G1327" s="2">
        <v>513</v>
      </c>
      <c r="H1327">
        <v>0.19</v>
      </c>
      <c r="I1327" t="s">
        <v>68</v>
      </c>
      <c r="J1327">
        <v>11</v>
      </c>
      <c r="K1327">
        <v>1.4</v>
      </c>
      <c r="L1327" s="2">
        <v>1246.5899999999999</v>
      </c>
      <c r="M1327">
        <v>2025</v>
      </c>
      <c r="N1327">
        <v>8</v>
      </c>
      <c r="O1327" t="s">
        <v>123</v>
      </c>
      <c r="P1327" s="2">
        <v>1539</v>
      </c>
      <c r="Q1327" s="2">
        <v>292.41000000000003</v>
      </c>
      <c r="R1327" t="s">
        <v>76</v>
      </c>
      <c r="S1327">
        <v>0</v>
      </c>
      <c r="T1327">
        <v>0</v>
      </c>
      <c r="U1327">
        <f>IF(AND(OR(Dashboard!$D$4="Semua",D1327=Dashboard!$D$4),OR(Dashboard!$H$4="Semua",E1327=Dashboard!$H$4)),1,0)</f>
        <v>1</v>
      </c>
      <c r="V1327">
        <f>IF(U1327=1,IF(COUNTIFS($C$2:C1327,C1327,$U$2:U1327,1)=1,1,0),0)</f>
        <v>0</v>
      </c>
    </row>
    <row r="1328" spans="1:22" x14ac:dyDescent="0.35">
      <c r="A1328">
        <v>11327</v>
      </c>
      <c r="B1328" s="1">
        <v>45888</v>
      </c>
      <c r="C1328">
        <v>1003</v>
      </c>
      <c r="D1328" t="s">
        <v>80</v>
      </c>
      <c r="E1328" t="s">
        <v>78</v>
      </c>
      <c r="F1328">
        <v>6</v>
      </c>
      <c r="G1328" s="2">
        <v>268.52</v>
      </c>
      <c r="H1328">
        <v>0.22</v>
      </c>
      <c r="I1328" t="s">
        <v>68</v>
      </c>
      <c r="J1328">
        <v>9</v>
      </c>
      <c r="K1328">
        <v>4.7</v>
      </c>
      <c r="L1328" s="2">
        <v>1256.67</v>
      </c>
      <c r="M1328">
        <v>2025</v>
      </c>
      <c r="N1328">
        <v>8</v>
      </c>
      <c r="O1328" t="s">
        <v>123</v>
      </c>
      <c r="P1328" s="2">
        <v>1611.12</v>
      </c>
      <c r="Q1328" s="2">
        <v>354.45</v>
      </c>
      <c r="R1328" t="s">
        <v>77</v>
      </c>
      <c r="S1328">
        <v>0</v>
      </c>
      <c r="T1328">
        <v>0</v>
      </c>
      <c r="U1328">
        <f>IF(AND(OR(Dashboard!$D$4="Semua",D1328=Dashboard!$D$4),OR(Dashboard!$H$4="Semua",E1328=Dashboard!$H$4)),1,0)</f>
        <v>1</v>
      </c>
      <c r="V1328">
        <f>IF(U1328=1,IF(COUNTIFS($C$2:C1328,C1328,$U$2:U1328,1)=1,1,0),0)</f>
        <v>1</v>
      </c>
    </row>
    <row r="1329" spans="1:22" x14ac:dyDescent="0.35">
      <c r="A1329">
        <v>11328</v>
      </c>
      <c r="B1329" s="1">
        <v>45889</v>
      </c>
      <c r="C1329">
        <v>1846</v>
      </c>
      <c r="D1329" t="s">
        <v>73</v>
      </c>
      <c r="E1329" t="s">
        <v>78</v>
      </c>
      <c r="F1329">
        <v>7</v>
      </c>
      <c r="G1329" s="2">
        <v>458.82</v>
      </c>
      <c r="H1329">
        <v>0.35</v>
      </c>
      <c r="I1329" t="s">
        <v>68</v>
      </c>
      <c r="J1329">
        <v>11</v>
      </c>
      <c r="K1329">
        <v>4.3</v>
      </c>
      <c r="L1329" s="2">
        <v>2087.63</v>
      </c>
      <c r="M1329">
        <v>2025</v>
      </c>
      <c r="N1329">
        <v>8</v>
      </c>
      <c r="O1329" t="s">
        <v>123</v>
      </c>
      <c r="P1329" s="2">
        <v>3211.74</v>
      </c>
      <c r="Q1329" s="2">
        <v>1124.1099999999999</v>
      </c>
      <c r="R1329" t="s">
        <v>72</v>
      </c>
      <c r="S1329">
        <v>0</v>
      </c>
      <c r="T1329">
        <v>0</v>
      </c>
      <c r="U1329">
        <f>IF(AND(OR(Dashboard!$D$4="Semua",D1329=Dashboard!$D$4),OR(Dashboard!$H$4="Semua",E1329=Dashboard!$H$4)),1,0)</f>
        <v>1</v>
      </c>
      <c r="V1329">
        <f>IF(U1329=1,IF(COUNTIFS($C$2:C1329,C1329,$U$2:U1329,1)=1,1,0),0)</f>
        <v>1</v>
      </c>
    </row>
    <row r="1330" spans="1:22" x14ac:dyDescent="0.35">
      <c r="A1330">
        <v>11329</v>
      </c>
      <c r="B1330" s="1">
        <v>45890</v>
      </c>
      <c r="C1330">
        <v>1645</v>
      </c>
      <c r="D1330" t="s">
        <v>80</v>
      </c>
      <c r="E1330" t="s">
        <v>78</v>
      </c>
      <c r="F1330">
        <v>5</v>
      </c>
      <c r="G1330" s="2">
        <v>72.08</v>
      </c>
      <c r="H1330">
        <v>0.35</v>
      </c>
      <c r="I1330" t="s">
        <v>71</v>
      </c>
      <c r="J1330">
        <v>2</v>
      </c>
      <c r="K1330">
        <v>3.7</v>
      </c>
      <c r="L1330" s="2">
        <v>234.26</v>
      </c>
      <c r="M1330">
        <v>2025</v>
      </c>
      <c r="N1330">
        <v>8</v>
      </c>
      <c r="O1330" t="s">
        <v>123</v>
      </c>
      <c r="P1330" s="2">
        <v>360.4</v>
      </c>
      <c r="Q1330" s="2">
        <v>126.14</v>
      </c>
      <c r="R1330" t="s">
        <v>72</v>
      </c>
      <c r="S1330">
        <v>0</v>
      </c>
      <c r="T1330">
        <v>0</v>
      </c>
      <c r="U1330">
        <f>IF(AND(OR(Dashboard!$D$4="Semua",D1330=Dashboard!$D$4),OR(Dashboard!$H$4="Semua",E1330=Dashboard!$H$4)),1,0)</f>
        <v>1</v>
      </c>
      <c r="V1330">
        <f>IF(U1330=1,IF(COUNTIFS($C$2:C1330,C1330,$U$2:U1330,1)=1,1,0),0)</f>
        <v>0</v>
      </c>
    </row>
    <row r="1331" spans="1:22" x14ac:dyDescent="0.35">
      <c r="A1331">
        <v>11330</v>
      </c>
      <c r="B1331" s="1">
        <v>45891</v>
      </c>
      <c r="C1331">
        <v>1117</v>
      </c>
      <c r="D1331" t="s">
        <v>67</v>
      </c>
      <c r="E1331" t="s">
        <v>74</v>
      </c>
      <c r="F1331">
        <v>7</v>
      </c>
      <c r="G1331" s="2">
        <v>38.54</v>
      </c>
      <c r="H1331">
        <v>0.3</v>
      </c>
      <c r="I1331" t="s">
        <v>71</v>
      </c>
      <c r="J1331">
        <v>7</v>
      </c>
      <c r="K1331">
        <v>5</v>
      </c>
      <c r="L1331" s="2">
        <v>188.85</v>
      </c>
      <c r="M1331">
        <v>2025</v>
      </c>
      <c r="N1331">
        <v>8</v>
      </c>
      <c r="O1331" t="s">
        <v>123</v>
      </c>
      <c r="P1331" s="2">
        <v>269.77999999999997</v>
      </c>
      <c r="Q1331" s="2">
        <v>80.930000000000007</v>
      </c>
      <c r="R1331" t="s">
        <v>66</v>
      </c>
      <c r="S1331">
        <v>0</v>
      </c>
      <c r="T1331">
        <v>0</v>
      </c>
      <c r="U1331">
        <f>IF(AND(OR(Dashboard!$D$4="Semua",D1331=Dashboard!$D$4),OR(Dashboard!$H$4="Semua",E1331=Dashboard!$H$4)),1,0)</f>
        <v>1</v>
      </c>
      <c r="V1331">
        <f>IF(U1331=1,IF(COUNTIFS($C$2:C1331,C1331,$U$2:U1331,1)=1,1,0),0)</f>
        <v>0</v>
      </c>
    </row>
    <row r="1332" spans="1:22" x14ac:dyDescent="0.35">
      <c r="A1332">
        <v>11331</v>
      </c>
      <c r="B1332" s="1">
        <v>45892</v>
      </c>
      <c r="C1332">
        <v>1880</v>
      </c>
      <c r="D1332" t="s">
        <v>80</v>
      </c>
      <c r="E1332" t="s">
        <v>63</v>
      </c>
      <c r="F1332">
        <v>3</v>
      </c>
      <c r="G1332" s="2">
        <v>455.64</v>
      </c>
      <c r="H1332">
        <v>0.02</v>
      </c>
      <c r="I1332" t="s">
        <v>71</v>
      </c>
      <c r="J1332">
        <v>4</v>
      </c>
      <c r="K1332">
        <v>1.1000000000000001</v>
      </c>
      <c r="L1332" s="2">
        <v>1339.58</v>
      </c>
      <c r="M1332">
        <v>2025</v>
      </c>
      <c r="N1332">
        <v>8</v>
      </c>
      <c r="O1332" t="s">
        <v>123</v>
      </c>
      <c r="P1332" s="2">
        <v>1366.92</v>
      </c>
      <c r="Q1332" s="2">
        <v>27.34</v>
      </c>
      <c r="R1332" t="s">
        <v>75</v>
      </c>
      <c r="S1332">
        <v>0</v>
      </c>
      <c r="T1332">
        <v>0</v>
      </c>
      <c r="U1332">
        <f>IF(AND(OR(Dashboard!$D$4="Semua",D1332=Dashboard!$D$4),OR(Dashboard!$H$4="Semua",E1332=Dashboard!$H$4)),1,0)</f>
        <v>1</v>
      </c>
      <c r="V1332">
        <f>IF(U1332=1,IF(COUNTIFS($C$2:C1332,C1332,$U$2:U1332,1)=1,1,0),0)</f>
        <v>0</v>
      </c>
    </row>
    <row r="1333" spans="1:22" x14ac:dyDescent="0.35">
      <c r="A1333">
        <v>11332</v>
      </c>
      <c r="B1333" s="1">
        <v>45893</v>
      </c>
      <c r="C1333">
        <v>1605</v>
      </c>
      <c r="D1333" t="s">
        <v>67</v>
      </c>
      <c r="E1333" t="s">
        <v>74</v>
      </c>
      <c r="F1333">
        <v>5</v>
      </c>
      <c r="G1333" s="2">
        <v>263.83</v>
      </c>
      <c r="H1333">
        <v>0.33</v>
      </c>
      <c r="I1333" t="s">
        <v>68</v>
      </c>
      <c r="J1333">
        <v>7</v>
      </c>
      <c r="K1333">
        <v>2.6</v>
      </c>
      <c r="L1333" s="2">
        <v>883.83</v>
      </c>
      <c r="M1333">
        <v>2025</v>
      </c>
      <c r="N1333">
        <v>8</v>
      </c>
      <c r="O1333" t="s">
        <v>123</v>
      </c>
      <c r="P1333" s="2">
        <v>1319.15</v>
      </c>
      <c r="Q1333" s="2">
        <v>435.32</v>
      </c>
      <c r="R1333" t="s">
        <v>72</v>
      </c>
      <c r="S1333">
        <v>0</v>
      </c>
      <c r="T1333">
        <v>0</v>
      </c>
      <c r="U1333">
        <f>IF(AND(OR(Dashboard!$D$4="Semua",D1333=Dashboard!$D$4),OR(Dashboard!$H$4="Semua",E1333=Dashboard!$H$4)),1,0)</f>
        <v>1</v>
      </c>
      <c r="V1333">
        <f>IF(U1333=1,IF(COUNTIFS($C$2:C1333,C1333,$U$2:U1333,1)=1,1,0),0)</f>
        <v>1</v>
      </c>
    </row>
    <row r="1334" spans="1:22" x14ac:dyDescent="0.35">
      <c r="A1334">
        <v>11333</v>
      </c>
      <c r="B1334" s="1">
        <v>45894</v>
      </c>
      <c r="C1334">
        <v>1503</v>
      </c>
      <c r="D1334" t="s">
        <v>67</v>
      </c>
      <c r="E1334" t="s">
        <v>74</v>
      </c>
      <c r="F1334">
        <v>5</v>
      </c>
      <c r="G1334" s="2">
        <v>597.4</v>
      </c>
      <c r="H1334">
        <v>0.21</v>
      </c>
      <c r="I1334" t="s">
        <v>71</v>
      </c>
      <c r="J1334">
        <v>5</v>
      </c>
      <c r="K1334">
        <v>4.4000000000000004</v>
      </c>
      <c r="L1334" s="2">
        <v>2359.73</v>
      </c>
      <c r="M1334">
        <v>2025</v>
      </c>
      <c r="N1334">
        <v>8</v>
      </c>
      <c r="O1334" t="s">
        <v>123</v>
      </c>
      <c r="P1334" s="2">
        <v>2987</v>
      </c>
      <c r="Q1334" s="2">
        <v>627.27</v>
      </c>
      <c r="R1334" t="s">
        <v>77</v>
      </c>
      <c r="S1334">
        <v>0</v>
      </c>
      <c r="T1334">
        <v>0</v>
      </c>
      <c r="U1334">
        <f>IF(AND(OR(Dashboard!$D$4="Semua",D1334=Dashboard!$D$4),OR(Dashboard!$H$4="Semua",E1334=Dashboard!$H$4)),1,0)</f>
        <v>1</v>
      </c>
      <c r="V1334">
        <f>IF(U1334=1,IF(COUNTIFS($C$2:C1334,C1334,$U$2:U1334,1)=1,1,0),0)</f>
        <v>0</v>
      </c>
    </row>
    <row r="1335" spans="1:22" x14ac:dyDescent="0.35">
      <c r="A1335">
        <v>11334</v>
      </c>
      <c r="B1335" s="1">
        <v>45895</v>
      </c>
      <c r="C1335">
        <v>1997</v>
      </c>
      <c r="D1335" t="s">
        <v>62</v>
      </c>
      <c r="E1335" t="s">
        <v>78</v>
      </c>
      <c r="F1335">
        <v>2</v>
      </c>
      <c r="G1335" s="2">
        <v>71.89</v>
      </c>
      <c r="H1335">
        <v>0.28000000000000003</v>
      </c>
      <c r="I1335" t="s">
        <v>71</v>
      </c>
      <c r="J1335">
        <v>7</v>
      </c>
      <c r="K1335">
        <v>2.7</v>
      </c>
      <c r="L1335" s="2">
        <v>103.52</v>
      </c>
      <c r="M1335">
        <v>2025</v>
      </c>
      <c r="N1335">
        <v>8</v>
      </c>
      <c r="O1335" t="s">
        <v>123</v>
      </c>
      <c r="P1335" s="2">
        <v>143.78</v>
      </c>
      <c r="Q1335" s="2">
        <v>40.26</v>
      </c>
      <c r="R1335" t="s">
        <v>66</v>
      </c>
      <c r="S1335">
        <v>0</v>
      </c>
      <c r="T1335">
        <v>0</v>
      </c>
      <c r="U1335">
        <f>IF(AND(OR(Dashboard!$D$4="Semua",D1335=Dashboard!$D$4),OR(Dashboard!$H$4="Semua",E1335=Dashboard!$H$4)),1,0)</f>
        <v>1</v>
      </c>
      <c r="V1335">
        <f>IF(U1335=1,IF(COUNTIFS($C$2:C1335,C1335,$U$2:U1335,1)=1,1,0),0)</f>
        <v>1</v>
      </c>
    </row>
    <row r="1336" spans="1:22" x14ac:dyDescent="0.35">
      <c r="A1336">
        <v>11335</v>
      </c>
      <c r="B1336" s="1">
        <v>45896</v>
      </c>
      <c r="C1336">
        <v>1946</v>
      </c>
      <c r="D1336" t="s">
        <v>73</v>
      </c>
      <c r="E1336" t="s">
        <v>70</v>
      </c>
      <c r="F1336">
        <v>6</v>
      </c>
      <c r="G1336" s="2">
        <v>515.54</v>
      </c>
      <c r="H1336">
        <v>0.14000000000000001</v>
      </c>
      <c r="I1336" t="s">
        <v>64</v>
      </c>
      <c r="J1336">
        <v>6</v>
      </c>
      <c r="K1336">
        <v>1</v>
      </c>
      <c r="L1336" s="2">
        <v>2660.19</v>
      </c>
      <c r="M1336">
        <v>2025</v>
      </c>
      <c r="N1336">
        <v>8</v>
      </c>
      <c r="O1336" t="s">
        <v>123</v>
      </c>
      <c r="P1336" s="2">
        <v>3093.24</v>
      </c>
      <c r="Q1336" s="2">
        <v>433.05</v>
      </c>
      <c r="R1336" t="s">
        <v>79</v>
      </c>
      <c r="S1336">
        <v>0</v>
      </c>
      <c r="T1336">
        <v>0</v>
      </c>
      <c r="U1336">
        <f>IF(AND(OR(Dashboard!$D$4="Semua",D1336=Dashboard!$D$4),OR(Dashboard!$H$4="Semua",E1336=Dashboard!$H$4)),1,0)</f>
        <v>1</v>
      </c>
      <c r="V1336">
        <f>IF(U1336=1,IF(COUNTIFS($C$2:C1336,C1336,$U$2:U1336,1)=1,1,0),0)</f>
        <v>1</v>
      </c>
    </row>
    <row r="1337" spans="1:22" x14ac:dyDescent="0.35">
      <c r="A1337">
        <v>11336</v>
      </c>
      <c r="B1337" s="1">
        <v>45897</v>
      </c>
      <c r="C1337">
        <v>1573</v>
      </c>
      <c r="D1337" t="s">
        <v>80</v>
      </c>
      <c r="E1337" t="s">
        <v>63</v>
      </c>
      <c r="F1337">
        <v>6</v>
      </c>
      <c r="G1337" s="2">
        <v>295.79000000000002</v>
      </c>
      <c r="H1337">
        <v>0.11</v>
      </c>
      <c r="I1337" t="s">
        <v>68</v>
      </c>
      <c r="J1337">
        <v>2</v>
      </c>
      <c r="K1337">
        <v>1.6</v>
      </c>
      <c r="L1337" s="2">
        <v>1579.52</v>
      </c>
      <c r="M1337">
        <v>2025</v>
      </c>
      <c r="N1337">
        <v>8</v>
      </c>
      <c r="O1337" t="s">
        <v>123</v>
      </c>
      <c r="P1337" s="2">
        <v>1774.74</v>
      </c>
      <c r="Q1337" s="2">
        <v>195.22</v>
      </c>
      <c r="R1337" t="s">
        <v>79</v>
      </c>
      <c r="S1337">
        <v>0</v>
      </c>
      <c r="T1337">
        <v>0</v>
      </c>
      <c r="U1337">
        <f>IF(AND(OR(Dashboard!$D$4="Semua",D1337=Dashboard!$D$4),OR(Dashboard!$H$4="Semua",E1337=Dashboard!$H$4)),1,0)</f>
        <v>1</v>
      </c>
      <c r="V1337">
        <f>IF(U1337=1,IF(COUNTIFS($C$2:C1337,C1337,$U$2:U1337,1)=1,1,0),0)</f>
        <v>0</v>
      </c>
    </row>
    <row r="1338" spans="1:22" x14ac:dyDescent="0.35">
      <c r="A1338">
        <v>11337</v>
      </c>
      <c r="B1338" s="1">
        <v>45898</v>
      </c>
      <c r="C1338">
        <v>1440</v>
      </c>
      <c r="D1338" t="s">
        <v>67</v>
      </c>
      <c r="E1338" t="s">
        <v>78</v>
      </c>
      <c r="F1338">
        <v>1</v>
      </c>
      <c r="G1338" s="2">
        <v>498.88</v>
      </c>
      <c r="H1338">
        <v>0.16</v>
      </c>
      <c r="I1338" t="s">
        <v>64</v>
      </c>
      <c r="J1338">
        <v>7</v>
      </c>
      <c r="K1338">
        <v>2.7</v>
      </c>
      <c r="L1338" s="2">
        <v>419.06</v>
      </c>
      <c r="M1338">
        <v>2025</v>
      </c>
      <c r="N1338">
        <v>8</v>
      </c>
      <c r="O1338" t="s">
        <v>123</v>
      </c>
      <c r="P1338" s="2">
        <v>498.88</v>
      </c>
      <c r="Q1338" s="2">
        <v>79.819999999999993</v>
      </c>
      <c r="R1338" t="s">
        <v>76</v>
      </c>
      <c r="S1338">
        <v>0</v>
      </c>
      <c r="T1338">
        <v>0</v>
      </c>
      <c r="U1338">
        <f>IF(AND(OR(Dashboard!$D$4="Semua",D1338=Dashboard!$D$4),OR(Dashboard!$H$4="Semua",E1338=Dashboard!$H$4)),1,0)</f>
        <v>1</v>
      </c>
      <c r="V1338">
        <f>IF(U1338=1,IF(COUNTIFS($C$2:C1338,C1338,$U$2:U1338,1)=1,1,0),0)</f>
        <v>0</v>
      </c>
    </row>
    <row r="1339" spans="1:22" x14ac:dyDescent="0.35">
      <c r="A1339">
        <v>11338</v>
      </c>
      <c r="B1339" s="1">
        <v>45899</v>
      </c>
      <c r="C1339">
        <v>1193</v>
      </c>
      <c r="D1339" t="s">
        <v>67</v>
      </c>
      <c r="E1339" t="s">
        <v>63</v>
      </c>
      <c r="F1339">
        <v>7</v>
      </c>
      <c r="G1339" s="2">
        <v>493.02</v>
      </c>
      <c r="H1339">
        <v>0.05</v>
      </c>
      <c r="I1339" t="s">
        <v>64</v>
      </c>
      <c r="J1339">
        <v>5</v>
      </c>
      <c r="K1339">
        <v>3.7</v>
      </c>
      <c r="L1339" s="2">
        <v>3278.58</v>
      </c>
      <c r="M1339">
        <v>2025</v>
      </c>
      <c r="N1339">
        <v>8</v>
      </c>
      <c r="O1339" t="s">
        <v>123</v>
      </c>
      <c r="P1339" s="2">
        <v>3451.14</v>
      </c>
      <c r="Q1339" s="2">
        <v>172.56</v>
      </c>
      <c r="R1339" t="s">
        <v>75</v>
      </c>
      <c r="S1339">
        <v>0</v>
      </c>
      <c r="T1339">
        <v>1</v>
      </c>
      <c r="U1339">
        <f>IF(AND(OR(Dashboard!$D$4="Semua",D1339=Dashboard!$D$4),OR(Dashboard!$H$4="Semua",E1339=Dashboard!$H$4)),1,0)</f>
        <v>1</v>
      </c>
      <c r="V1339">
        <f>IF(U1339=1,IF(COUNTIFS($C$2:C1339,C1339,$U$2:U1339,1)=1,1,0),0)</f>
        <v>0</v>
      </c>
    </row>
    <row r="1340" spans="1:22" x14ac:dyDescent="0.35">
      <c r="A1340">
        <v>11339</v>
      </c>
      <c r="B1340" s="1">
        <v>45900</v>
      </c>
      <c r="C1340">
        <v>1846</v>
      </c>
      <c r="D1340" t="s">
        <v>73</v>
      </c>
      <c r="E1340" t="s">
        <v>74</v>
      </c>
      <c r="F1340">
        <v>7</v>
      </c>
      <c r="G1340" s="2">
        <v>550.86</v>
      </c>
      <c r="H1340">
        <v>0.12</v>
      </c>
      <c r="I1340" t="s">
        <v>71</v>
      </c>
      <c r="J1340">
        <v>9</v>
      </c>
      <c r="K1340">
        <v>1.7</v>
      </c>
      <c r="L1340" s="2">
        <v>3393.3</v>
      </c>
      <c r="M1340">
        <v>2025</v>
      </c>
      <c r="N1340">
        <v>8</v>
      </c>
      <c r="O1340" t="s">
        <v>123</v>
      </c>
      <c r="P1340" s="2">
        <v>3856.02</v>
      </c>
      <c r="Q1340" s="2">
        <v>462.72</v>
      </c>
      <c r="R1340" t="s">
        <v>79</v>
      </c>
      <c r="S1340">
        <v>0</v>
      </c>
      <c r="T1340">
        <v>1</v>
      </c>
      <c r="U1340">
        <f>IF(AND(OR(Dashboard!$D$4="Semua",D1340=Dashboard!$D$4),OR(Dashboard!$H$4="Semua",E1340=Dashboard!$H$4)),1,0)</f>
        <v>1</v>
      </c>
      <c r="V1340">
        <f>IF(U1340=1,IF(COUNTIFS($C$2:C1340,C1340,$U$2:U1340,1)=1,1,0),0)</f>
        <v>0</v>
      </c>
    </row>
    <row r="1341" spans="1:22" x14ac:dyDescent="0.35">
      <c r="A1341">
        <v>11340</v>
      </c>
      <c r="B1341" s="1">
        <v>45901</v>
      </c>
      <c r="C1341">
        <v>1714</v>
      </c>
      <c r="D1341" t="s">
        <v>67</v>
      </c>
      <c r="E1341" t="s">
        <v>63</v>
      </c>
      <c r="F1341">
        <v>6</v>
      </c>
      <c r="G1341" s="2">
        <v>189.24</v>
      </c>
      <c r="H1341">
        <v>0.3</v>
      </c>
      <c r="I1341" t="s">
        <v>71</v>
      </c>
      <c r="J1341">
        <v>11</v>
      </c>
      <c r="K1341">
        <v>2.8</v>
      </c>
      <c r="L1341" s="2">
        <v>794.81</v>
      </c>
      <c r="M1341">
        <v>2025</v>
      </c>
      <c r="N1341">
        <v>9</v>
      </c>
      <c r="O1341" t="s">
        <v>124</v>
      </c>
      <c r="P1341" s="2">
        <v>1135.44</v>
      </c>
      <c r="Q1341" s="2">
        <v>340.63</v>
      </c>
      <c r="R1341" t="s">
        <v>66</v>
      </c>
      <c r="S1341">
        <v>0</v>
      </c>
      <c r="T1341">
        <v>0</v>
      </c>
      <c r="U1341">
        <f>IF(AND(OR(Dashboard!$D$4="Semua",D1341=Dashboard!$D$4),OR(Dashboard!$H$4="Semua",E1341=Dashboard!$H$4)),1,0)</f>
        <v>1</v>
      </c>
      <c r="V1341">
        <f>IF(U1341=1,IF(COUNTIFS($C$2:C1341,C1341,$U$2:U1341,1)=1,1,0),0)</f>
        <v>1</v>
      </c>
    </row>
    <row r="1342" spans="1:22" x14ac:dyDescent="0.35">
      <c r="A1342">
        <v>11341</v>
      </c>
      <c r="B1342" s="1">
        <v>45902</v>
      </c>
      <c r="C1342">
        <v>1391</v>
      </c>
      <c r="D1342" t="s">
        <v>73</v>
      </c>
      <c r="E1342" t="s">
        <v>63</v>
      </c>
      <c r="F1342">
        <v>6</v>
      </c>
      <c r="G1342" s="2">
        <v>570.63</v>
      </c>
      <c r="H1342">
        <v>0.01</v>
      </c>
      <c r="I1342" t="s">
        <v>68</v>
      </c>
      <c r="J1342">
        <v>1</v>
      </c>
      <c r="K1342">
        <v>1.1000000000000001</v>
      </c>
      <c r="L1342" s="2">
        <v>3389.54</v>
      </c>
      <c r="M1342">
        <v>2025</v>
      </c>
      <c r="N1342">
        <v>9</v>
      </c>
      <c r="O1342" t="s">
        <v>124</v>
      </c>
      <c r="P1342" s="2">
        <v>3423.78</v>
      </c>
      <c r="Q1342" s="2">
        <v>34.24</v>
      </c>
      <c r="R1342" t="s">
        <v>75</v>
      </c>
      <c r="S1342">
        <v>0</v>
      </c>
      <c r="T1342">
        <v>1</v>
      </c>
      <c r="U1342">
        <f>IF(AND(OR(Dashboard!$D$4="Semua",D1342=Dashboard!$D$4),OR(Dashboard!$H$4="Semua",E1342=Dashboard!$H$4)),1,0)</f>
        <v>1</v>
      </c>
      <c r="V1342">
        <f>IF(U1342=1,IF(COUNTIFS($C$2:C1342,C1342,$U$2:U1342,1)=1,1,0),0)</f>
        <v>0</v>
      </c>
    </row>
    <row r="1343" spans="1:22" x14ac:dyDescent="0.35">
      <c r="A1343">
        <v>11342</v>
      </c>
      <c r="B1343" s="1">
        <v>45903</v>
      </c>
      <c r="C1343">
        <v>1025</v>
      </c>
      <c r="D1343" t="s">
        <v>73</v>
      </c>
      <c r="E1343" t="s">
        <v>70</v>
      </c>
      <c r="F1343">
        <v>5</v>
      </c>
      <c r="G1343" s="2">
        <v>103.73</v>
      </c>
      <c r="H1343">
        <v>0.05</v>
      </c>
      <c r="I1343" t="s">
        <v>64</v>
      </c>
      <c r="J1343">
        <v>1</v>
      </c>
      <c r="K1343">
        <v>2.9</v>
      </c>
      <c r="L1343" s="2">
        <v>492.72</v>
      </c>
      <c r="M1343">
        <v>2025</v>
      </c>
      <c r="N1343">
        <v>9</v>
      </c>
      <c r="O1343" t="s">
        <v>124</v>
      </c>
      <c r="P1343" s="2">
        <v>518.65</v>
      </c>
      <c r="Q1343" s="2">
        <v>25.93</v>
      </c>
      <c r="R1343" t="s">
        <v>75</v>
      </c>
      <c r="S1343">
        <v>0</v>
      </c>
      <c r="T1343">
        <v>0</v>
      </c>
      <c r="U1343">
        <f>IF(AND(OR(Dashboard!$D$4="Semua",D1343=Dashboard!$D$4),OR(Dashboard!$H$4="Semua",E1343=Dashboard!$H$4)),1,0)</f>
        <v>1</v>
      </c>
      <c r="V1343">
        <f>IF(U1343=1,IF(COUNTIFS($C$2:C1343,C1343,$U$2:U1343,1)=1,1,0),0)</f>
        <v>0</v>
      </c>
    </row>
    <row r="1344" spans="1:22" x14ac:dyDescent="0.35">
      <c r="A1344">
        <v>11343</v>
      </c>
      <c r="B1344" s="1">
        <v>45904</v>
      </c>
      <c r="C1344">
        <v>1434</v>
      </c>
      <c r="D1344" t="s">
        <v>73</v>
      </c>
      <c r="E1344" t="s">
        <v>78</v>
      </c>
      <c r="F1344">
        <v>7</v>
      </c>
      <c r="G1344" s="2">
        <v>62.95</v>
      </c>
      <c r="H1344">
        <v>0.04</v>
      </c>
      <c r="I1344" t="s">
        <v>68</v>
      </c>
      <c r="J1344">
        <v>2</v>
      </c>
      <c r="K1344">
        <v>4.5999999999999996</v>
      </c>
      <c r="L1344" s="2">
        <v>423.02</v>
      </c>
      <c r="M1344">
        <v>2025</v>
      </c>
      <c r="N1344">
        <v>9</v>
      </c>
      <c r="O1344" t="s">
        <v>124</v>
      </c>
      <c r="P1344" s="2">
        <v>440.65</v>
      </c>
      <c r="Q1344" s="2">
        <v>17.63</v>
      </c>
      <c r="R1344" t="s">
        <v>75</v>
      </c>
      <c r="S1344">
        <v>0</v>
      </c>
      <c r="T1344">
        <v>0</v>
      </c>
      <c r="U1344">
        <f>IF(AND(OR(Dashboard!$D$4="Semua",D1344=Dashboard!$D$4),OR(Dashboard!$H$4="Semua",E1344=Dashboard!$H$4)),1,0)</f>
        <v>1</v>
      </c>
      <c r="V1344">
        <f>IF(U1344=1,IF(COUNTIFS($C$2:C1344,C1344,$U$2:U1344,1)=1,1,0),0)</f>
        <v>0</v>
      </c>
    </row>
    <row r="1345" spans="1:22" x14ac:dyDescent="0.35">
      <c r="A1345">
        <v>11344</v>
      </c>
      <c r="B1345" s="1">
        <v>45905</v>
      </c>
      <c r="C1345">
        <v>1172</v>
      </c>
      <c r="D1345" t="s">
        <v>73</v>
      </c>
      <c r="E1345" t="s">
        <v>63</v>
      </c>
      <c r="F1345">
        <v>4</v>
      </c>
      <c r="G1345" s="2">
        <v>267.5</v>
      </c>
      <c r="H1345">
        <v>0.14000000000000001</v>
      </c>
      <c r="I1345" t="s">
        <v>71</v>
      </c>
      <c r="J1345">
        <v>8</v>
      </c>
      <c r="K1345">
        <v>3.4</v>
      </c>
      <c r="L1345" s="2">
        <v>920.2</v>
      </c>
      <c r="M1345">
        <v>2025</v>
      </c>
      <c r="N1345">
        <v>9</v>
      </c>
      <c r="O1345" t="s">
        <v>124</v>
      </c>
      <c r="P1345" s="2">
        <v>1070</v>
      </c>
      <c r="Q1345" s="2">
        <v>149.80000000000001</v>
      </c>
      <c r="R1345" t="s">
        <v>79</v>
      </c>
      <c r="S1345">
        <v>0</v>
      </c>
      <c r="T1345">
        <v>0</v>
      </c>
      <c r="U1345">
        <f>IF(AND(OR(Dashboard!$D$4="Semua",D1345=Dashboard!$D$4),OR(Dashboard!$H$4="Semua",E1345=Dashboard!$H$4)),1,0)</f>
        <v>1</v>
      </c>
      <c r="V1345">
        <f>IF(U1345=1,IF(COUNTIFS($C$2:C1345,C1345,$U$2:U1345,1)=1,1,0),0)</f>
        <v>0</v>
      </c>
    </row>
    <row r="1346" spans="1:22" x14ac:dyDescent="0.35">
      <c r="A1346">
        <v>11345</v>
      </c>
      <c r="B1346" s="1">
        <v>45906</v>
      </c>
      <c r="C1346">
        <v>1299</v>
      </c>
      <c r="D1346" t="s">
        <v>62</v>
      </c>
      <c r="E1346" t="s">
        <v>63</v>
      </c>
      <c r="F1346">
        <v>2</v>
      </c>
      <c r="G1346" s="2">
        <v>499.57</v>
      </c>
      <c r="H1346">
        <v>0.35</v>
      </c>
      <c r="I1346" t="s">
        <v>68</v>
      </c>
      <c r="J1346">
        <v>11</v>
      </c>
      <c r="K1346">
        <v>2.8</v>
      </c>
      <c r="L1346" s="2">
        <v>649.44000000000005</v>
      </c>
      <c r="M1346">
        <v>2025</v>
      </c>
      <c r="N1346">
        <v>9</v>
      </c>
      <c r="O1346" t="s">
        <v>124</v>
      </c>
      <c r="P1346" s="2">
        <v>999.14</v>
      </c>
      <c r="Q1346" s="2">
        <v>349.7</v>
      </c>
      <c r="R1346" t="s">
        <v>72</v>
      </c>
      <c r="S1346">
        <v>0</v>
      </c>
      <c r="T1346">
        <v>0</v>
      </c>
      <c r="U1346">
        <f>IF(AND(OR(Dashboard!$D$4="Semua",D1346=Dashboard!$D$4),OR(Dashboard!$H$4="Semua",E1346=Dashboard!$H$4)),1,0)</f>
        <v>1</v>
      </c>
      <c r="V1346">
        <f>IF(U1346=1,IF(COUNTIFS($C$2:C1346,C1346,$U$2:U1346,1)=1,1,0),0)</f>
        <v>1</v>
      </c>
    </row>
    <row r="1347" spans="1:22" x14ac:dyDescent="0.35">
      <c r="A1347">
        <v>11346</v>
      </c>
      <c r="B1347" s="1">
        <v>45907</v>
      </c>
      <c r="C1347">
        <v>1644</v>
      </c>
      <c r="D1347" t="s">
        <v>62</v>
      </c>
      <c r="E1347" t="s">
        <v>74</v>
      </c>
      <c r="F1347">
        <v>1</v>
      </c>
      <c r="G1347" s="2">
        <v>291.95</v>
      </c>
      <c r="H1347">
        <v>0.06</v>
      </c>
      <c r="I1347" t="s">
        <v>68</v>
      </c>
      <c r="J1347">
        <v>9</v>
      </c>
      <c r="K1347">
        <v>1.6</v>
      </c>
      <c r="L1347" s="2">
        <v>274.43</v>
      </c>
      <c r="M1347">
        <v>2025</v>
      </c>
      <c r="N1347">
        <v>9</v>
      </c>
      <c r="O1347" t="s">
        <v>124</v>
      </c>
      <c r="P1347" s="2">
        <v>291.95</v>
      </c>
      <c r="Q1347" s="2">
        <v>17.52</v>
      </c>
      <c r="R1347" t="s">
        <v>69</v>
      </c>
      <c r="S1347">
        <v>0</v>
      </c>
      <c r="T1347">
        <v>0</v>
      </c>
      <c r="U1347">
        <f>IF(AND(OR(Dashboard!$D$4="Semua",D1347=Dashboard!$D$4),OR(Dashboard!$H$4="Semua",E1347=Dashboard!$H$4)),1,0)</f>
        <v>1</v>
      </c>
      <c r="V1347">
        <f>IF(U1347=1,IF(COUNTIFS($C$2:C1347,C1347,$U$2:U1347,1)=1,1,0),0)</f>
        <v>0</v>
      </c>
    </row>
    <row r="1348" spans="1:22" x14ac:dyDescent="0.35">
      <c r="A1348">
        <v>11347</v>
      </c>
      <c r="B1348" s="1">
        <v>45908</v>
      </c>
      <c r="C1348">
        <v>1325</v>
      </c>
      <c r="D1348" t="s">
        <v>67</v>
      </c>
      <c r="E1348" t="s">
        <v>74</v>
      </c>
      <c r="F1348">
        <v>2</v>
      </c>
      <c r="G1348" s="2">
        <v>500.13</v>
      </c>
      <c r="H1348">
        <v>0.05</v>
      </c>
      <c r="I1348" t="s">
        <v>71</v>
      </c>
      <c r="J1348">
        <v>11</v>
      </c>
      <c r="K1348">
        <v>1.8</v>
      </c>
      <c r="L1348" s="2">
        <v>950.25</v>
      </c>
      <c r="M1348">
        <v>2025</v>
      </c>
      <c r="N1348">
        <v>9</v>
      </c>
      <c r="O1348" t="s">
        <v>124</v>
      </c>
      <c r="P1348" s="2">
        <v>1000.26</v>
      </c>
      <c r="Q1348" s="2">
        <v>50.01</v>
      </c>
      <c r="R1348" t="s">
        <v>75</v>
      </c>
      <c r="S1348">
        <v>0</v>
      </c>
      <c r="T1348">
        <v>0</v>
      </c>
      <c r="U1348">
        <f>IF(AND(OR(Dashboard!$D$4="Semua",D1348=Dashboard!$D$4),OR(Dashboard!$H$4="Semua",E1348=Dashboard!$H$4)),1,0)</f>
        <v>1</v>
      </c>
      <c r="V1348">
        <f>IF(U1348=1,IF(COUNTIFS($C$2:C1348,C1348,$U$2:U1348,1)=1,1,0),0)</f>
        <v>0</v>
      </c>
    </row>
    <row r="1349" spans="1:22" x14ac:dyDescent="0.35">
      <c r="A1349">
        <v>11348</v>
      </c>
      <c r="B1349" s="1">
        <v>45909</v>
      </c>
      <c r="C1349">
        <v>1409</v>
      </c>
      <c r="D1349" t="s">
        <v>80</v>
      </c>
      <c r="E1349" t="s">
        <v>63</v>
      </c>
      <c r="F1349">
        <v>1</v>
      </c>
      <c r="G1349" s="2">
        <v>441.87</v>
      </c>
      <c r="H1349">
        <v>0.32</v>
      </c>
      <c r="I1349" t="s">
        <v>64</v>
      </c>
      <c r="J1349">
        <v>11</v>
      </c>
      <c r="K1349">
        <v>1.3</v>
      </c>
      <c r="L1349" s="2">
        <v>300.47000000000003</v>
      </c>
      <c r="M1349">
        <v>2025</v>
      </c>
      <c r="N1349">
        <v>9</v>
      </c>
      <c r="O1349" t="s">
        <v>124</v>
      </c>
      <c r="P1349" s="2">
        <v>441.87</v>
      </c>
      <c r="Q1349" s="2">
        <v>141.4</v>
      </c>
      <c r="R1349" t="s">
        <v>72</v>
      </c>
      <c r="S1349">
        <v>0</v>
      </c>
      <c r="T1349">
        <v>0</v>
      </c>
      <c r="U1349">
        <f>IF(AND(OR(Dashboard!$D$4="Semua",D1349=Dashboard!$D$4),OR(Dashboard!$H$4="Semua",E1349=Dashboard!$H$4)),1,0)</f>
        <v>1</v>
      </c>
      <c r="V1349">
        <f>IF(U1349=1,IF(COUNTIFS($C$2:C1349,C1349,$U$2:U1349,1)=1,1,0),0)</f>
        <v>1</v>
      </c>
    </row>
    <row r="1350" spans="1:22" x14ac:dyDescent="0.35">
      <c r="A1350">
        <v>11349</v>
      </c>
      <c r="B1350" s="1">
        <v>45910</v>
      </c>
      <c r="C1350">
        <v>1117</v>
      </c>
      <c r="D1350" t="s">
        <v>73</v>
      </c>
      <c r="E1350" t="s">
        <v>78</v>
      </c>
      <c r="F1350">
        <v>3</v>
      </c>
      <c r="G1350" s="2">
        <v>137.52000000000001</v>
      </c>
      <c r="H1350">
        <v>0.31</v>
      </c>
      <c r="I1350" t="s">
        <v>71</v>
      </c>
      <c r="J1350">
        <v>7</v>
      </c>
      <c r="K1350">
        <v>4</v>
      </c>
      <c r="L1350" s="2">
        <v>284.67</v>
      </c>
      <c r="M1350">
        <v>2025</v>
      </c>
      <c r="N1350">
        <v>9</v>
      </c>
      <c r="O1350" t="s">
        <v>124</v>
      </c>
      <c r="P1350" s="2">
        <v>412.56</v>
      </c>
      <c r="Q1350" s="2">
        <v>127.89</v>
      </c>
      <c r="R1350" t="s">
        <v>72</v>
      </c>
      <c r="S1350">
        <v>0</v>
      </c>
      <c r="T1350">
        <v>0</v>
      </c>
      <c r="U1350">
        <f>IF(AND(OR(Dashboard!$D$4="Semua",D1350=Dashboard!$D$4),OR(Dashboard!$H$4="Semua",E1350=Dashboard!$H$4)),1,0)</f>
        <v>1</v>
      </c>
      <c r="V1350">
        <f>IF(U1350=1,IF(COUNTIFS($C$2:C1350,C1350,$U$2:U1350,1)=1,1,0),0)</f>
        <v>0</v>
      </c>
    </row>
    <row r="1351" spans="1:22" x14ac:dyDescent="0.35">
      <c r="A1351">
        <v>11350</v>
      </c>
      <c r="B1351" s="1">
        <v>45911</v>
      </c>
      <c r="C1351">
        <v>1835</v>
      </c>
      <c r="D1351" t="s">
        <v>80</v>
      </c>
      <c r="E1351" t="s">
        <v>63</v>
      </c>
      <c r="F1351">
        <v>5</v>
      </c>
      <c r="G1351" s="2">
        <v>570.1</v>
      </c>
      <c r="H1351">
        <v>0.01</v>
      </c>
      <c r="I1351" t="s">
        <v>64</v>
      </c>
      <c r="J1351">
        <v>1</v>
      </c>
      <c r="K1351">
        <v>1.3</v>
      </c>
      <c r="L1351" s="2">
        <v>2822</v>
      </c>
      <c r="M1351">
        <v>2025</v>
      </c>
      <c r="N1351">
        <v>9</v>
      </c>
      <c r="O1351" t="s">
        <v>124</v>
      </c>
      <c r="P1351" s="2">
        <v>2850.5</v>
      </c>
      <c r="Q1351" s="2">
        <v>28.5</v>
      </c>
      <c r="R1351" t="s">
        <v>75</v>
      </c>
      <c r="S1351">
        <v>0</v>
      </c>
      <c r="T1351">
        <v>0</v>
      </c>
      <c r="U1351">
        <f>IF(AND(OR(Dashboard!$D$4="Semua",D1351=Dashboard!$D$4),OR(Dashboard!$H$4="Semua",E1351=Dashboard!$H$4)),1,0)</f>
        <v>1</v>
      </c>
      <c r="V1351">
        <f>IF(U1351=1,IF(COUNTIFS($C$2:C1351,C1351,$U$2:U1351,1)=1,1,0),0)</f>
        <v>0</v>
      </c>
    </row>
    <row r="1352" spans="1:22" x14ac:dyDescent="0.35">
      <c r="A1352">
        <v>11351</v>
      </c>
      <c r="B1352" s="1">
        <v>45912</v>
      </c>
      <c r="C1352">
        <v>1786</v>
      </c>
      <c r="D1352" t="s">
        <v>80</v>
      </c>
      <c r="E1352" t="s">
        <v>63</v>
      </c>
      <c r="F1352">
        <v>6</v>
      </c>
      <c r="G1352" s="2">
        <v>50.56</v>
      </c>
      <c r="H1352">
        <v>0.26</v>
      </c>
      <c r="I1352" t="s">
        <v>71</v>
      </c>
      <c r="J1352">
        <v>7</v>
      </c>
      <c r="K1352">
        <v>2.5</v>
      </c>
      <c r="L1352" s="2">
        <v>224.49</v>
      </c>
      <c r="M1352">
        <v>2025</v>
      </c>
      <c r="N1352">
        <v>9</v>
      </c>
      <c r="O1352" t="s">
        <v>124</v>
      </c>
      <c r="P1352" s="2">
        <v>303.36</v>
      </c>
      <c r="Q1352" s="2">
        <v>78.87</v>
      </c>
      <c r="R1352" t="s">
        <v>66</v>
      </c>
      <c r="S1352">
        <v>0</v>
      </c>
      <c r="T1352">
        <v>0</v>
      </c>
      <c r="U1352">
        <f>IF(AND(OR(Dashboard!$D$4="Semua",D1352=Dashboard!$D$4),OR(Dashboard!$H$4="Semua",E1352=Dashboard!$H$4)),1,0)</f>
        <v>1</v>
      </c>
      <c r="V1352">
        <f>IF(U1352=1,IF(COUNTIFS($C$2:C1352,C1352,$U$2:U1352,1)=1,1,0),0)</f>
        <v>0</v>
      </c>
    </row>
    <row r="1353" spans="1:22" x14ac:dyDescent="0.35">
      <c r="A1353">
        <v>11352</v>
      </c>
      <c r="B1353" s="1">
        <v>45913</v>
      </c>
      <c r="C1353">
        <v>1723</v>
      </c>
      <c r="D1353" t="s">
        <v>62</v>
      </c>
      <c r="E1353" t="s">
        <v>70</v>
      </c>
      <c r="F1353">
        <v>6</v>
      </c>
      <c r="G1353" s="2">
        <v>540.49</v>
      </c>
      <c r="H1353">
        <v>0.23</v>
      </c>
      <c r="I1353" t="s">
        <v>68</v>
      </c>
      <c r="J1353">
        <v>8</v>
      </c>
      <c r="K1353">
        <v>4</v>
      </c>
      <c r="L1353" s="2">
        <v>2497.06</v>
      </c>
      <c r="M1353">
        <v>2025</v>
      </c>
      <c r="N1353">
        <v>9</v>
      </c>
      <c r="O1353" t="s">
        <v>124</v>
      </c>
      <c r="P1353" s="2">
        <v>3242.94</v>
      </c>
      <c r="Q1353" s="2">
        <v>745.88</v>
      </c>
      <c r="R1353" t="s">
        <v>77</v>
      </c>
      <c r="S1353">
        <v>0</v>
      </c>
      <c r="T1353">
        <v>0</v>
      </c>
      <c r="U1353">
        <f>IF(AND(OR(Dashboard!$D$4="Semua",D1353=Dashboard!$D$4),OR(Dashboard!$H$4="Semua",E1353=Dashboard!$H$4)),1,0)</f>
        <v>1</v>
      </c>
      <c r="V1353">
        <f>IF(U1353=1,IF(COUNTIFS($C$2:C1353,C1353,$U$2:U1353,1)=1,1,0),0)</f>
        <v>0</v>
      </c>
    </row>
    <row r="1354" spans="1:22" x14ac:dyDescent="0.35">
      <c r="A1354">
        <v>11353</v>
      </c>
      <c r="B1354" s="1">
        <v>45914</v>
      </c>
      <c r="C1354">
        <v>1224</v>
      </c>
      <c r="D1354" t="s">
        <v>67</v>
      </c>
      <c r="E1354" t="s">
        <v>78</v>
      </c>
      <c r="F1354">
        <v>4</v>
      </c>
      <c r="G1354" s="2">
        <v>193.1</v>
      </c>
      <c r="H1354">
        <v>0.27</v>
      </c>
      <c r="I1354" t="s">
        <v>68</v>
      </c>
      <c r="J1354">
        <v>7</v>
      </c>
      <c r="K1354">
        <v>3.9</v>
      </c>
      <c r="L1354" s="2">
        <v>563.85</v>
      </c>
      <c r="M1354">
        <v>2025</v>
      </c>
      <c r="N1354">
        <v>9</v>
      </c>
      <c r="O1354" t="s">
        <v>124</v>
      </c>
      <c r="P1354" s="2">
        <v>772.4</v>
      </c>
      <c r="Q1354" s="2">
        <v>208.55</v>
      </c>
      <c r="R1354" t="s">
        <v>66</v>
      </c>
      <c r="S1354">
        <v>0</v>
      </c>
      <c r="T1354">
        <v>0</v>
      </c>
      <c r="U1354">
        <f>IF(AND(OR(Dashboard!$D$4="Semua",D1354=Dashboard!$D$4),OR(Dashboard!$H$4="Semua",E1354=Dashboard!$H$4)),1,0)</f>
        <v>1</v>
      </c>
      <c r="V1354">
        <f>IF(U1354=1,IF(COUNTIFS($C$2:C1354,C1354,$U$2:U1354,1)=1,1,0),0)</f>
        <v>0</v>
      </c>
    </row>
    <row r="1355" spans="1:22" x14ac:dyDescent="0.35">
      <c r="A1355">
        <v>11354</v>
      </c>
      <c r="B1355" s="1">
        <v>45915</v>
      </c>
      <c r="C1355">
        <v>1531</v>
      </c>
      <c r="D1355" t="s">
        <v>80</v>
      </c>
      <c r="E1355" t="s">
        <v>70</v>
      </c>
      <c r="F1355">
        <v>7</v>
      </c>
      <c r="G1355" s="2">
        <v>307.58999999999997</v>
      </c>
      <c r="H1355">
        <v>0.17</v>
      </c>
      <c r="I1355" t="s">
        <v>71</v>
      </c>
      <c r="J1355">
        <v>5</v>
      </c>
      <c r="K1355">
        <v>3.3</v>
      </c>
      <c r="L1355" s="2">
        <v>1787.1</v>
      </c>
      <c r="M1355">
        <v>2025</v>
      </c>
      <c r="N1355">
        <v>9</v>
      </c>
      <c r="O1355" t="s">
        <v>124</v>
      </c>
      <c r="P1355" s="2">
        <v>2153.13</v>
      </c>
      <c r="Q1355" s="2">
        <v>366.03</v>
      </c>
      <c r="R1355" t="s">
        <v>76</v>
      </c>
      <c r="S1355">
        <v>0</v>
      </c>
      <c r="T1355">
        <v>0</v>
      </c>
      <c r="U1355">
        <f>IF(AND(OR(Dashboard!$D$4="Semua",D1355=Dashboard!$D$4),OR(Dashboard!$H$4="Semua",E1355=Dashboard!$H$4)),1,0)</f>
        <v>1</v>
      </c>
      <c r="V1355">
        <f>IF(U1355=1,IF(COUNTIFS($C$2:C1355,C1355,$U$2:U1355,1)=1,1,0),0)</f>
        <v>0</v>
      </c>
    </row>
    <row r="1356" spans="1:22" x14ac:dyDescent="0.35">
      <c r="A1356">
        <v>11355</v>
      </c>
      <c r="B1356" s="1">
        <v>45916</v>
      </c>
      <c r="C1356">
        <v>1112</v>
      </c>
      <c r="D1356" t="s">
        <v>73</v>
      </c>
      <c r="E1356" t="s">
        <v>78</v>
      </c>
      <c r="F1356">
        <v>7</v>
      </c>
      <c r="G1356" s="2">
        <v>262.08</v>
      </c>
      <c r="H1356">
        <v>0.35</v>
      </c>
      <c r="I1356" t="s">
        <v>68</v>
      </c>
      <c r="J1356">
        <v>7</v>
      </c>
      <c r="K1356">
        <v>3.3</v>
      </c>
      <c r="L1356" s="2">
        <v>1192.46</v>
      </c>
      <c r="M1356">
        <v>2025</v>
      </c>
      <c r="N1356">
        <v>9</v>
      </c>
      <c r="O1356" t="s">
        <v>124</v>
      </c>
      <c r="P1356" s="2">
        <v>1834.56</v>
      </c>
      <c r="Q1356" s="2">
        <v>642.1</v>
      </c>
      <c r="R1356" t="s">
        <v>72</v>
      </c>
      <c r="S1356">
        <v>0</v>
      </c>
      <c r="T1356">
        <v>0</v>
      </c>
      <c r="U1356">
        <f>IF(AND(OR(Dashboard!$D$4="Semua",D1356=Dashboard!$D$4),OR(Dashboard!$H$4="Semua",E1356=Dashboard!$H$4)),1,0)</f>
        <v>1</v>
      </c>
      <c r="V1356">
        <f>IF(U1356=1,IF(COUNTIFS($C$2:C1356,C1356,$U$2:U1356,1)=1,1,0),0)</f>
        <v>0</v>
      </c>
    </row>
    <row r="1357" spans="1:22" x14ac:dyDescent="0.35">
      <c r="A1357">
        <v>11356</v>
      </c>
      <c r="B1357" s="1">
        <v>45917</v>
      </c>
      <c r="C1357">
        <v>1139</v>
      </c>
      <c r="D1357" t="s">
        <v>62</v>
      </c>
      <c r="E1357" t="s">
        <v>78</v>
      </c>
      <c r="F1357">
        <v>2</v>
      </c>
      <c r="G1357" s="2">
        <v>115.52</v>
      </c>
      <c r="H1357">
        <v>0.02</v>
      </c>
      <c r="I1357" t="s">
        <v>71</v>
      </c>
      <c r="J1357">
        <v>10</v>
      </c>
      <c r="K1357">
        <v>1.4</v>
      </c>
      <c r="L1357" s="2">
        <v>226.42</v>
      </c>
      <c r="M1357">
        <v>2025</v>
      </c>
      <c r="N1357">
        <v>9</v>
      </c>
      <c r="O1357" t="s">
        <v>124</v>
      </c>
      <c r="P1357" s="2">
        <v>231.04</v>
      </c>
      <c r="Q1357" s="2">
        <v>4.62</v>
      </c>
      <c r="R1357" t="s">
        <v>75</v>
      </c>
      <c r="S1357">
        <v>0</v>
      </c>
      <c r="T1357">
        <v>0</v>
      </c>
      <c r="U1357">
        <f>IF(AND(OR(Dashboard!$D$4="Semua",D1357=Dashboard!$D$4),OR(Dashboard!$H$4="Semua",E1357=Dashboard!$H$4)),1,0)</f>
        <v>1</v>
      </c>
      <c r="V1357">
        <f>IF(U1357=1,IF(COUNTIFS($C$2:C1357,C1357,$U$2:U1357,1)=1,1,0),0)</f>
        <v>1</v>
      </c>
    </row>
    <row r="1358" spans="1:22" x14ac:dyDescent="0.35">
      <c r="A1358">
        <v>11357</v>
      </c>
      <c r="B1358" s="1">
        <v>45918</v>
      </c>
      <c r="C1358">
        <v>1558</v>
      </c>
      <c r="D1358" t="s">
        <v>73</v>
      </c>
      <c r="E1358" t="s">
        <v>78</v>
      </c>
      <c r="F1358">
        <v>2</v>
      </c>
      <c r="G1358" s="2">
        <v>224.52</v>
      </c>
      <c r="H1358">
        <v>0.08</v>
      </c>
      <c r="I1358" t="s">
        <v>68</v>
      </c>
      <c r="J1358">
        <v>11</v>
      </c>
      <c r="K1358">
        <v>1.7</v>
      </c>
      <c r="L1358" s="2">
        <v>413.12</v>
      </c>
      <c r="M1358">
        <v>2025</v>
      </c>
      <c r="N1358">
        <v>9</v>
      </c>
      <c r="O1358" t="s">
        <v>124</v>
      </c>
      <c r="P1358" s="2">
        <v>449.04</v>
      </c>
      <c r="Q1358" s="2">
        <v>35.92</v>
      </c>
      <c r="R1358" t="s">
        <v>69</v>
      </c>
      <c r="S1358">
        <v>0</v>
      </c>
      <c r="T1358">
        <v>0</v>
      </c>
      <c r="U1358">
        <f>IF(AND(OR(Dashboard!$D$4="Semua",D1358=Dashboard!$D$4),OR(Dashboard!$H$4="Semua",E1358=Dashboard!$H$4)),1,0)</f>
        <v>1</v>
      </c>
      <c r="V1358">
        <f>IF(U1358=1,IF(COUNTIFS($C$2:C1358,C1358,$U$2:U1358,1)=1,1,0),0)</f>
        <v>1</v>
      </c>
    </row>
    <row r="1359" spans="1:22" x14ac:dyDescent="0.35">
      <c r="A1359">
        <v>11358</v>
      </c>
      <c r="B1359" s="1">
        <v>45919</v>
      </c>
      <c r="C1359">
        <v>1000</v>
      </c>
      <c r="D1359" t="s">
        <v>67</v>
      </c>
      <c r="E1359" t="s">
        <v>70</v>
      </c>
      <c r="F1359">
        <v>2</v>
      </c>
      <c r="G1359" s="2">
        <v>127.87</v>
      </c>
      <c r="H1359">
        <v>0.14000000000000001</v>
      </c>
      <c r="I1359" t="s">
        <v>68</v>
      </c>
      <c r="J1359">
        <v>2</v>
      </c>
      <c r="K1359">
        <v>3.1</v>
      </c>
      <c r="L1359" s="2">
        <v>219.94</v>
      </c>
      <c r="M1359">
        <v>2025</v>
      </c>
      <c r="N1359">
        <v>9</v>
      </c>
      <c r="O1359" t="s">
        <v>124</v>
      </c>
      <c r="P1359" s="2">
        <v>255.74</v>
      </c>
      <c r="Q1359" s="2">
        <v>35.799999999999997</v>
      </c>
      <c r="R1359" t="s">
        <v>79</v>
      </c>
      <c r="S1359">
        <v>0</v>
      </c>
      <c r="T1359">
        <v>0</v>
      </c>
      <c r="U1359">
        <f>IF(AND(OR(Dashboard!$D$4="Semua",D1359=Dashboard!$D$4),OR(Dashboard!$H$4="Semua",E1359=Dashboard!$H$4)),1,0)</f>
        <v>1</v>
      </c>
      <c r="V1359">
        <f>IF(U1359=1,IF(COUNTIFS($C$2:C1359,C1359,$U$2:U1359,1)=1,1,0),0)</f>
        <v>0</v>
      </c>
    </row>
    <row r="1360" spans="1:22" x14ac:dyDescent="0.35">
      <c r="A1360">
        <v>11359</v>
      </c>
      <c r="B1360" s="1">
        <v>45920</v>
      </c>
      <c r="C1360">
        <v>1089</v>
      </c>
      <c r="D1360" t="s">
        <v>80</v>
      </c>
      <c r="E1360" t="s">
        <v>70</v>
      </c>
      <c r="F1360">
        <v>7</v>
      </c>
      <c r="G1360" s="2">
        <v>134.27000000000001</v>
      </c>
      <c r="H1360">
        <v>0.16</v>
      </c>
      <c r="I1360" t="s">
        <v>71</v>
      </c>
      <c r="J1360">
        <v>9</v>
      </c>
      <c r="K1360">
        <v>2.4</v>
      </c>
      <c r="L1360" s="2">
        <v>789.51</v>
      </c>
      <c r="M1360">
        <v>2025</v>
      </c>
      <c r="N1360">
        <v>9</v>
      </c>
      <c r="O1360" t="s">
        <v>124</v>
      </c>
      <c r="P1360" s="2">
        <v>939.89</v>
      </c>
      <c r="Q1360" s="2">
        <v>150.38</v>
      </c>
      <c r="R1360" t="s">
        <v>76</v>
      </c>
      <c r="S1360">
        <v>0</v>
      </c>
      <c r="T1360">
        <v>0</v>
      </c>
      <c r="U1360">
        <f>IF(AND(OR(Dashboard!$D$4="Semua",D1360=Dashboard!$D$4),OR(Dashboard!$H$4="Semua",E1360=Dashboard!$H$4)),1,0)</f>
        <v>1</v>
      </c>
      <c r="V1360">
        <f>IF(U1360=1,IF(COUNTIFS($C$2:C1360,C1360,$U$2:U1360,1)=1,1,0),0)</f>
        <v>0</v>
      </c>
    </row>
    <row r="1361" spans="1:22" x14ac:dyDescent="0.35">
      <c r="A1361">
        <v>11360</v>
      </c>
      <c r="B1361" s="1">
        <v>45921</v>
      </c>
      <c r="C1361">
        <v>1653</v>
      </c>
      <c r="D1361" t="s">
        <v>80</v>
      </c>
      <c r="E1361" t="s">
        <v>70</v>
      </c>
      <c r="F1361">
        <v>6</v>
      </c>
      <c r="G1361" s="2">
        <v>124.43</v>
      </c>
      <c r="H1361">
        <v>0.32</v>
      </c>
      <c r="I1361" t="s">
        <v>71</v>
      </c>
      <c r="J1361">
        <v>2</v>
      </c>
      <c r="K1361">
        <v>1.1000000000000001</v>
      </c>
      <c r="L1361" s="2">
        <v>507.67</v>
      </c>
      <c r="M1361">
        <v>2025</v>
      </c>
      <c r="N1361">
        <v>9</v>
      </c>
      <c r="O1361" t="s">
        <v>124</v>
      </c>
      <c r="P1361" s="2">
        <v>746.58</v>
      </c>
      <c r="Q1361" s="2">
        <v>238.91</v>
      </c>
      <c r="R1361" t="s">
        <v>72</v>
      </c>
      <c r="S1361">
        <v>0</v>
      </c>
      <c r="T1361">
        <v>0</v>
      </c>
      <c r="U1361">
        <f>IF(AND(OR(Dashboard!$D$4="Semua",D1361=Dashboard!$D$4),OR(Dashboard!$H$4="Semua",E1361=Dashboard!$H$4)),1,0)</f>
        <v>1</v>
      </c>
      <c r="V1361">
        <f>IF(U1361=1,IF(COUNTIFS($C$2:C1361,C1361,$U$2:U1361,1)=1,1,0),0)</f>
        <v>0</v>
      </c>
    </row>
    <row r="1362" spans="1:22" x14ac:dyDescent="0.35">
      <c r="A1362">
        <v>11361</v>
      </c>
      <c r="B1362" s="1">
        <v>45922</v>
      </c>
      <c r="C1362">
        <v>1319</v>
      </c>
      <c r="D1362" t="s">
        <v>73</v>
      </c>
      <c r="E1362" t="s">
        <v>74</v>
      </c>
      <c r="F1362">
        <v>7</v>
      </c>
      <c r="G1362" s="2">
        <v>301.08</v>
      </c>
      <c r="H1362">
        <v>0.2</v>
      </c>
      <c r="I1362" t="s">
        <v>68</v>
      </c>
      <c r="J1362">
        <v>2</v>
      </c>
      <c r="K1362">
        <v>4.2</v>
      </c>
      <c r="L1362" s="2">
        <v>1686.05</v>
      </c>
      <c r="M1362">
        <v>2025</v>
      </c>
      <c r="N1362">
        <v>9</v>
      </c>
      <c r="O1362" t="s">
        <v>124</v>
      </c>
      <c r="P1362" s="2">
        <v>2107.56</v>
      </c>
      <c r="Q1362" s="2">
        <v>421.51</v>
      </c>
      <c r="R1362" t="s">
        <v>76</v>
      </c>
      <c r="S1362">
        <v>0</v>
      </c>
      <c r="T1362">
        <v>0</v>
      </c>
      <c r="U1362">
        <f>IF(AND(OR(Dashboard!$D$4="Semua",D1362=Dashboard!$D$4),OR(Dashboard!$H$4="Semua",E1362=Dashboard!$H$4)),1,0)</f>
        <v>1</v>
      </c>
      <c r="V1362">
        <f>IF(U1362=1,IF(COUNTIFS($C$2:C1362,C1362,$U$2:U1362,1)=1,1,0),0)</f>
        <v>0</v>
      </c>
    </row>
    <row r="1363" spans="1:22" x14ac:dyDescent="0.35">
      <c r="A1363">
        <v>11362</v>
      </c>
      <c r="B1363" s="1">
        <v>45923</v>
      </c>
      <c r="C1363">
        <v>1549</v>
      </c>
      <c r="D1363" t="s">
        <v>62</v>
      </c>
      <c r="E1363" t="s">
        <v>70</v>
      </c>
      <c r="F1363">
        <v>2</v>
      </c>
      <c r="G1363" s="2">
        <v>481.79</v>
      </c>
      <c r="H1363">
        <v>0.02</v>
      </c>
      <c r="I1363" t="s">
        <v>68</v>
      </c>
      <c r="J1363">
        <v>5</v>
      </c>
      <c r="K1363">
        <v>3.6</v>
      </c>
      <c r="L1363" s="2">
        <v>944.31</v>
      </c>
      <c r="M1363">
        <v>2025</v>
      </c>
      <c r="N1363">
        <v>9</v>
      </c>
      <c r="O1363" t="s">
        <v>124</v>
      </c>
      <c r="P1363" s="2">
        <v>963.58</v>
      </c>
      <c r="Q1363" s="2">
        <v>19.27</v>
      </c>
      <c r="R1363" t="s">
        <v>75</v>
      </c>
      <c r="S1363">
        <v>0</v>
      </c>
      <c r="T1363">
        <v>0</v>
      </c>
      <c r="U1363">
        <f>IF(AND(OR(Dashboard!$D$4="Semua",D1363=Dashboard!$D$4),OR(Dashboard!$H$4="Semua",E1363=Dashboard!$H$4)),1,0)</f>
        <v>1</v>
      </c>
      <c r="V1363">
        <f>IF(U1363=1,IF(COUNTIFS($C$2:C1363,C1363,$U$2:U1363,1)=1,1,0),0)</f>
        <v>1</v>
      </c>
    </row>
    <row r="1364" spans="1:22" x14ac:dyDescent="0.35">
      <c r="A1364">
        <v>11363</v>
      </c>
      <c r="B1364" s="1">
        <v>45924</v>
      </c>
      <c r="C1364">
        <v>1804</v>
      </c>
      <c r="D1364" t="s">
        <v>73</v>
      </c>
      <c r="E1364" t="s">
        <v>74</v>
      </c>
      <c r="F1364">
        <v>5</v>
      </c>
      <c r="G1364" s="2">
        <v>347.85</v>
      </c>
      <c r="H1364">
        <v>0.14000000000000001</v>
      </c>
      <c r="I1364" t="s">
        <v>68</v>
      </c>
      <c r="J1364">
        <v>8</v>
      </c>
      <c r="K1364">
        <v>2.2999999999999998</v>
      </c>
      <c r="L1364" s="2">
        <v>1495.76</v>
      </c>
      <c r="M1364">
        <v>2025</v>
      </c>
      <c r="N1364">
        <v>9</v>
      </c>
      <c r="O1364" t="s">
        <v>124</v>
      </c>
      <c r="P1364" s="2">
        <v>1739.25</v>
      </c>
      <c r="Q1364" s="2">
        <v>243.49</v>
      </c>
      <c r="R1364" t="s">
        <v>79</v>
      </c>
      <c r="S1364">
        <v>0</v>
      </c>
      <c r="T1364">
        <v>0</v>
      </c>
      <c r="U1364">
        <f>IF(AND(OR(Dashboard!$D$4="Semua",D1364=Dashboard!$D$4),OR(Dashboard!$H$4="Semua",E1364=Dashboard!$H$4)),1,0)</f>
        <v>1</v>
      </c>
      <c r="V1364">
        <f>IF(U1364=1,IF(COUNTIFS($C$2:C1364,C1364,$U$2:U1364,1)=1,1,0),0)</f>
        <v>0</v>
      </c>
    </row>
    <row r="1365" spans="1:22" x14ac:dyDescent="0.35">
      <c r="A1365">
        <v>11364</v>
      </c>
      <c r="B1365" s="1">
        <v>45925</v>
      </c>
      <c r="C1365">
        <v>1893</v>
      </c>
      <c r="D1365" t="s">
        <v>67</v>
      </c>
      <c r="E1365" t="s">
        <v>74</v>
      </c>
      <c r="F1365">
        <v>1</v>
      </c>
      <c r="G1365" s="2">
        <v>537.53</v>
      </c>
      <c r="H1365">
        <v>0.15</v>
      </c>
      <c r="I1365" t="s">
        <v>68</v>
      </c>
      <c r="J1365">
        <v>6</v>
      </c>
      <c r="K1365">
        <v>1.4</v>
      </c>
      <c r="L1365" s="2">
        <v>456.9</v>
      </c>
      <c r="M1365">
        <v>2025</v>
      </c>
      <c r="N1365">
        <v>9</v>
      </c>
      <c r="O1365" t="s">
        <v>124</v>
      </c>
      <c r="P1365" s="2">
        <v>537.53</v>
      </c>
      <c r="Q1365" s="2">
        <v>80.63</v>
      </c>
      <c r="R1365" t="s">
        <v>79</v>
      </c>
      <c r="S1365">
        <v>0</v>
      </c>
      <c r="T1365">
        <v>0</v>
      </c>
      <c r="U1365">
        <f>IF(AND(OR(Dashboard!$D$4="Semua",D1365=Dashboard!$D$4),OR(Dashboard!$H$4="Semua",E1365=Dashboard!$H$4)),1,0)</f>
        <v>1</v>
      </c>
      <c r="V1365">
        <f>IF(U1365=1,IF(COUNTIFS($C$2:C1365,C1365,$U$2:U1365,1)=1,1,0),0)</f>
        <v>1</v>
      </c>
    </row>
    <row r="1366" spans="1:22" x14ac:dyDescent="0.35">
      <c r="A1366">
        <v>11365</v>
      </c>
      <c r="B1366" s="1">
        <v>45926</v>
      </c>
      <c r="C1366">
        <v>1138</v>
      </c>
      <c r="D1366" t="s">
        <v>73</v>
      </c>
      <c r="E1366" t="s">
        <v>74</v>
      </c>
      <c r="F1366">
        <v>6</v>
      </c>
      <c r="G1366" s="2">
        <v>387.38</v>
      </c>
      <c r="H1366">
        <v>0.34</v>
      </c>
      <c r="I1366" t="s">
        <v>71</v>
      </c>
      <c r="J1366">
        <v>9</v>
      </c>
      <c r="K1366">
        <v>3.4</v>
      </c>
      <c r="L1366" s="2">
        <v>1534.02</v>
      </c>
      <c r="M1366">
        <v>2025</v>
      </c>
      <c r="N1366">
        <v>9</v>
      </c>
      <c r="O1366" t="s">
        <v>124</v>
      </c>
      <c r="P1366" s="2">
        <v>2324.2800000000002</v>
      </c>
      <c r="Q1366" s="2">
        <v>790.26</v>
      </c>
      <c r="R1366" t="s">
        <v>72</v>
      </c>
      <c r="S1366">
        <v>0</v>
      </c>
      <c r="T1366">
        <v>0</v>
      </c>
      <c r="U1366">
        <f>IF(AND(OR(Dashboard!$D$4="Semua",D1366=Dashboard!$D$4),OR(Dashboard!$H$4="Semua",E1366=Dashboard!$H$4)),1,0)</f>
        <v>1</v>
      </c>
      <c r="V1366">
        <f>IF(U1366=1,IF(COUNTIFS($C$2:C1366,C1366,$U$2:U1366,1)=1,1,0),0)</f>
        <v>0</v>
      </c>
    </row>
    <row r="1367" spans="1:22" x14ac:dyDescent="0.35">
      <c r="A1367">
        <v>11366</v>
      </c>
      <c r="B1367" s="1">
        <v>45927</v>
      </c>
      <c r="C1367">
        <v>1510</v>
      </c>
      <c r="D1367" t="s">
        <v>73</v>
      </c>
      <c r="E1367" t="s">
        <v>63</v>
      </c>
      <c r="F1367">
        <v>5</v>
      </c>
      <c r="G1367" s="2">
        <v>418.26</v>
      </c>
      <c r="H1367">
        <v>0.21</v>
      </c>
      <c r="I1367" t="s">
        <v>71</v>
      </c>
      <c r="J1367">
        <v>6</v>
      </c>
      <c r="K1367">
        <v>2.4</v>
      </c>
      <c r="L1367" s="2">
        <v>1652.13</v>
      </c>
      <c r="M1367">
        <v>2025</v>
      </c>
      <c r="N1367">
        <v>9</v>
      </c>
      <c r="O1367" t="s">
        <v>124</v>
      </c>
      <c r="P1367" s="2">
        <v>2091.3000000000002</v>
      </c>
      <c r="Q1367" s="2">
        <v>439.17</v>
      </c>
      <c r="R1367" t="s">
        <v>77</v>
      </c>
      <c r="S1367">
        <v>0</v>
      </c>
      <c r="T1367">
        <v>0</v>
      </c>
      <c r="U1367">
        <f>IF(AND(OR(Dashboard!$D$4="Semua",D1367=Dashboard!$D$4),OR(Dashboard!$H$4="Semua",E1367=Dashboard!$H$4)),1,0)</f>
        <v>1</v>
      </c>
      <c r="V1367">
        <f>IF(U1367=1,IF(COUNTIFS($C$2:C1367,C1367,$U$2:U1367,1)=1,1,0),0)</f>
        <v>0</v>
      </c>
    </row>
    <row r="1368" spans="1:22" x14ac:dyDescent="0.35">
      <c r="A1368">
        <v>11367</v>
      </c>
      <c r="B1368" s="1">
        <v>45928</v>
      </c>
      <c r="C1368">
        <v>1867</v>
      </c>
      <c r="D1368" t="s">
        <v>67</v>
      </c>
      <c r="E1368" t="s">
        <v>63</v>
      </c>
      <c r="F1368">
        <v>3</v>
      </c>
      <c r="G1368" s="2">
        <v>405.55</v>
      </c>
      <c r="H1368">
        <v>0.22</v>
      </c>
      <c r="I1368" t="s">
        <v>68</v>
      </c>
      <c r="J1368">
        <v>5</v>
      </c>
      <c r="K1368">
        <v>2</v>
      </c>
      <c r="L1368" s="2">
        <v>948.99</v>
      </c>
      <c r="M1368">
        <v>2025</v>
      </c>
      <c r="N1368">
        <v>9</v>
      </c>
      <c r="O1368" t="s">
        <v>124</v>
      </c>
      <c r="P1368" s="2">
        <v>1216.6500000000001</v>
      </c>
      <c r="Q1368" s="2">
        <v>267.66000000000003</v>
      </c>
      <c r="R1368" t="s">
        <v>77</v>
      </c>
      <c r="S1368">
        <v>0</v>
      </c>
      <c r="T1368">
        <v>0</v>
      </c>
      <c r="U1368">
        <f>IF(AND(OR(Dashboard!$D$4="Semua",D1368=Dashboard!$D$4),OR(Dashboard!$H$4="Semua",E1368=Dashboard!$H$4)),1,0)</f>
        <v>1</v>
      </c>
      <c r="V1368">
        <f>IF(U1368=1,IF(COUNTIFS($C$2:C1368,C1368,$U$2:U1368,1)=1,1,0),0)</f>
        <v>1</v>
      </c>
    </row>
    <row r="1369" spans="1:22" x14ac:dyDescent="0.35">
      <c r="A1369">
        <v>11368</v>
      </c>
      <c r="B1369" s="1">
        <v>45929</v>
      </c>
      <c r="C1369">
        <v>1844</v>
      </c>
      <c r="D1369" t="s">
        <v>67</v>
      </c>
      <c r="E1369" t="s">
        <v>63</v>
      </c>
      <c r="F1369">
        <v>5</v>
      </c>
      <c r="G1369" s="2">
        <v>277.93</v>
      </c>
      <c r="H1369">
        <v>0.25</v>
      </c>
      <c r="I1369" t="s">
        <v>68</v>
      </c>
      <c r="J1369">
        <v>1</v>
      </c>
      <c r="K1369">
        <v>3.9</v>
      </c>
      <c r="L1369" s="2">
        <v>1042.24</v>
      </c>
      <c r="M1369">
        <v>2025</v>
      </c>
      <c r="N1369">
        <v>9</v>
      </c>
      <c r="O1369" t="s">
        <v>124</v>
      </c>
      <c r="P1369" s="2">
        <v>1389.65</v>
      </c>
      <c r="Q1369" s="2">
        <v>347.41</v>
      </c>
      <c r="R1369" t="s">
        <v>77</v>
      </c>
      <c r="S1369">
        <v>0</v>
      </c>
      <c r="T1369">
        <v>0</v>
      </c>
      <c r="U1369">
        <f>IF(AND(OR(Dashboard!$D$4="Semua",D1369=Dashboard!$D$4),OR(Dashboard!$H$4="Semua",E1369=Dashboard!$H$4)),1,0)</f>
        <v>1</v>
      </c>
      <c r="V1369">
        <f>IF(U1369=1,IF(COUNTIFS($C$2:C1369,C1369,$U$2:U1369,1)=1,1,0),0)</f>
        <v>1</v>
      </c>
    </row>
    <row r="1370" spans="1:22" x14ac:dyDescent="0.35">
      <c r="A1370">
        <v>11369</v>
      </c>
      <c r="B1370" s="1">
        <v>45930</v>
      </c>
      <c r="C1370">
        <v>1258</v>
      </c>
      <c r="D1370" t="s">
        <v>73</v>
      </c>
      <c r="E1370" t="s">
        <v>74</v>
      </c>
      <c r="F1370">
        <v>5</v>
      </c>
      <c r="G1370" s="2">
        <v>418.26</v>
      </c>
      <c r="H1370">
        <v>0.27</v>
      </c>
      <c r="I1370" t="s">
        <v>68</v>
      </c>
      <c r="J1370">
        <v>8</v>
      </c>
      <c r="K1370">
        <v>2.2999999999999998</v>
      </c>
      <c r="L1370" s="2">
        <v>1526.65</v>
      </c>
      <c r="M1370">
        <v>2025</v>
      </c>
      <c r="N1370">
        <v>9</v>
      </c>
      <c r="O1370" t="s">
        <v>124</v>
      </c>
      <c r="P1370" s="2">
        <v>2091.3000000000002</v>
      </c>
      <c r="Q1370" s="2">
        <v>564.65</v>
      </c>
      <c r="R1370" t="s">
        <v>66</v>
      </c>
      <c r="S1370">
        <v>0</v>
      </c>
      <c r="T1370">
        <v>0</v>
      </c>
      <c r="U1370">
        <f>IF(AND(OR(Dashboard!$D$4="Semua",D1370=Dashboard!$D$4),OR(Dashboard!$H$4="Semua",E1370=Dashboard!$H$4)),1,0)</f>
        <v>1</v>
      </c>
      <c r="V1370">
        <f>IF(U1370=1,IF(COUNTIFS($C$2:C1370,C1370,$U$2:U1370,1)=1,1,0),0)</f>
        <v>0</v>
      </c>
    </row>
    <row r="1371" spans="1:22" x14ac:dyDescent="0.35">
      <c r="A1371">
        <v>11370</v>
      </c>
      <c r="B1371" s="1">
        <v>45931</v>
      </c>
      <c r="C1371">
        <v>1672</v>
      </c>
      <c r="D1371" t="s">
        <v>73</v>
      </c>
      <c r="E1371" t="s">
        <v>74</v>
      </c>
      <c r="F1371">
        <v>3</v>
      </c>
      <c r="G1371" s="2">
        <v>55.78</v>
      </c>
      <c r="H1371">
        <v>0.22</v>
      </c>
      <c r="I1371" t="s">
        <v>68</v>
      </c>
      <c r="J1371">
        <v>3</v>
      </c>
      <c r="K1371">
        <v>1.5</v>
      </c>
      <c r="L1371" s="2">
        <v>130.53</v>
      </c>
      <c r="M1371">
        <v>2025</v>
      </c>
      <c r="N1371">
        <v>10</v>
      </c>
      <c r="O1371" t="s">
        <v>125</v>
      </c>
      <c r="P1371" s="2">
        <v>167.34</v>
      </c>
      <c r="Q1371" s="2">
        <v>36.81</v>
      </c>
      <c r="R1371" t="s">
        <v>77</v>
      </c>
      <c r="S1371">
        <v>0</v>
      </c>
      <c r="T1371">
        <v>0</v>
      </c>
      <c r="U1371">
        <f>IF(AND(OR(Dashboard!$D$4="Semua",D1371=Dashboard!$D$4),OR(Dashboard!$H$4="Semua",E1371=Dashboard!$H$4)),1,0)</f>
        <v>1</v>
      </c>
      <c r="V1371">
        <f>IF(U1371=1,IF(COUNTIFS($C$2:C1371,C1371,$U$2:U1371,1)=1,1,0),0)</f>
        <v>0</v>
      </c>
    </row>
    <row r="1372" spans="1:22" x14ac:dyDescent="0.35">
      <c r="A1372">
        <v>11371</v>
      </c>
      <c r="B1372" s="1">
        <v>45932</v>
      </c>
      <c r="C1372">
        <v>1901</v>
      </c>
      <c r="D1372" t="s">
        <v>67</v>
      </c>
      <c r="E1372" t="s">
        <v>78</v>
      </c>
      <c r="F1372">
        <v>5</v>
      </c>
      <c r="G1372" s="2">
        <v>518.01</v>
      </c>
      <c r="H1372">
        <v>0.08</v>
      </c>
      <c r="I1372" t="s">
        <v>71</v>
      </c>
      <c r="J1372">
        <v>2</v>
      </c>
      <c r="K1372">
        <v>2.9</v>
      </c>
      <c r="L1372" s="2">
        <v>2382.85</v>
      </c>
      <c r="M1372">
        <v>2025</v>
      </c>
      <c r="N1372">
        <v>10</v>
      </c>
      <c r="O1372" t="s">
        <v>125</v>
      </c>
      <c r="P1372" s="2">
        <v>2590.0500000000002</v>
      </c>
      <c r="Q1372" s="2">
        <v>207.2</v>
      </c>
      <c r="R1372" t="s">
        <v>69</v>
      </c>
      <c r="S1372">
        <v>0</v>
      </c>
      <c r="T1372">
        <v>0</v>
      </c>
      <c r="U1372">
        <f>IF(AND(OR(Dashboard!$D$4="Semua",D1372=Dashboard!$D$4),OR(Dashboard!$H$4="Semua",E1372=Dashboard!$H$4)),1,0)</f>
        <v>1</v>
      </c>
      <c r="V1372">
        <f>IF(U1372=1,IF(COUNTIFS($C$2:C1372,C1372,$U$2:U1372,1)=1,1,0),0)</f>
        <v>1</v>
      </c>
    </row>
    <row r="1373" spans="1:22" x14ac:dyDescent="0.35">
      <c r="A1373">
        <v>11372</v>
      </c>
      <c r="B1373" s="1">
        <v>45933</v>
      </c>
      <c r="C1373">
        <v>1689</v>
      </c>
      <c r="D1373" t="s">
        <v>80</v>
      </c>
      <c r="E1373" t="s">
        <v>74</v>
      </c>
      <c r="F1373">
        <v>1</v>
      </c>
      <c r="G1373" s="2">
        <v>470.02</v>
      </c>
      <c r="H1373">
        <v>0.31</v>
      </c>
      <c r="I1373" t="s">
        <v>68</v>
      </c>
      <c r="J1373">
        <v>7</v>
      </c>
      <c r="K1373">
        <v>4.3</v>
      </c>
      <c r="L1373" s="2">
        <v>324.31</v>
      </c>
      <c r="M1373">
        <v>2025</v>
      </c>
      <c r="N1373">
        <v>10</v>
      </c>
      <c r="O1373" t="s">
        <v>125</v>
      </c>
      <c r="P1373" s="2">
        <v>470.02</v>
      </c>
      <c r="Q1373" s="2">
        <v>145.71</v>
      </c>
      <c r="R1373" t="s">
        <v>72</v>
      </c>
      <c r="S1373">
        <v>0</v>
      </c>
      <c r="T1373">
        <v>0</v>
      </c>
      <c r="U1373">
        <f>IF(AND(OR(Dashboard!$D$4="Semua",D1373=Dashboard!$D$4),OR(Dashboard!$H$4="Semua",E1373=Dashboard!$H$4)),1,0)</f>
        <v>1</v>
      </c>
      <c r="V1373">
        <f>IF(U1373=1,IF(COUNTIFS($C$2:C1373,C1373,$U$2:U1373,1)=1,1,0),0)</f>
        <v>0</v>
      </c>
    </row>
    <row r="1374" spans="1:22" x14ac:dyDescent="0.35">
      <c r="A1374">
        <v>11373</v>
      </c>
      <c r="B1374" s="1">
        <v>45934</v>
      </c>
      <c r="C1374">
        <v>1009</v>
      </c>
      <c r="D1374" t="s">
        <v>62</v>
      </c>
      <c r="E1374" t="s">
        <v>63</v>
      </c>
      <c r="F1374">
        <v>6</v>
      </c>
      <c r="G1374" s="2">
        <v>158.46</v>
      </c>
      <c r="H1374">
        <v>0.26</v>
      </c>
      <c r="I1374" t="s">
        <v>68</v>
      </c>
      <c r="J1374">
        <v>11</v>
      </c>
      <c r="K1374">
        <v>4.4000000000000004</v>
      </c>
      <c r="L1374" s="2">
        <v>703.56</v>
      </c>
      <c r="M1374">
        <v>2025</v>
      </c>
      <c r="N1374">
        <v>10</v>
      </c>
      <c r="O1374" t="s">
        <v>125</v>
      </c>
      <c r="P1374" s="2">
        <v>950.76</v>
      </c>
      <c r="Q1374" s="2">
        <v>247.2</v>
      </c>
      <c r="R1374" t="s">
        <v>66</v>
      </c>
      <c r="S1374">
        <v>0</v>
      </c>
      <c r="T1374">
        <v>0</v>
      </c>
      <c r="U1374">
        <f>IF(AND(OR(Dashboard!$D$4="Semua",D1374=Dashboard!$D$4),OR(Dashboard!$H$4="Semua",E1374=Dashboard!$H$4)),1,0)</f>
        <v>1</v>
      </c>
      <c r="V1374">
        <f>IF(U1374=1,IF(COUNTIFS($C$2:C1374,C1374,$U$2:U1374,1)=1,1,0),0)</f>
        <v>0</v>
      </c>
    </row>
    <row r="1375" spans="1:22" x14ac:dyDescent="0.35">
      <c r="A1375">
        <v>11374</v>
      </c>
      <c r="B1375" s="1">
        <v>45935</v>
      </c>
      <c r="C1375">
        <v>1260</v>
      </c>
      <c r="D1375" t="s">
        <v>73</v>
      </c>
      <c r="E1375" t="s">
        <v>74</v>
      </c>
      <c r="F1375">
        <v>4</v>
      </c>
      <c r="G1375" s="2">
        <v>464.3</v>
      </c>
      <c r="H1375">
        <v>0.26</v>
      </c>
      <c r="I1375" t="s">
        <v>71</v>
      </c>
      <c r="J1375">
        <v>2</v>
      </c>
      <c r="K1375">
        <v>4.4000000000000004</v>
      </c>
      <c r="L1375" s="2">
        <v>1374.33</v>
      </c>
      <c r="M1375">
        <v>2025</v>
      </c>
      <c r="N1375">
        <v>10</v>
      </c>
      <c r="O1375" t="s">
        <v>125</v>
      </c>
      <c r="P1375" s="2">
        <v>1857.2</v>
      </c>
      <c r="Q1375" s="2">
        <v>482.87</v>
      </c>
      <c r="R1375" t="s">
        <v>66</v>
      </c>
      <c r="S1375">
        <v>0</v>
      </c>
      <c r="T1375">
        <v>0</v>
      </c>
      <c r="U1375">
        <f>IF(AND(OR(Dashboard!$D$4="Semua",D1375=Dashboard!$D$4),OR(Dashboard!$H$4="Semua",E1375=Dashboard!$H$4)),1,0)</f>
        <v>1</v>
      </c>
      <c r="V1375">
        <f>IF(U1375=1,IF(COUNTIFS($C$2:C1375,C1375,$U$2:U1375,1)=1,1,0),0)</f>
        <v>1</v>
      </c>
    </row>
    <row r="1376" spans="1:22" x14ac:dyDescent="0.35">
      <c r="A1376">
        <v>11375</v>
      </c>
      <c r="B1376" s="1">
        <v>45936</v>
      </c>
      <c r="C1376">
        <v>1918</v>
      </c>
      <c r="D1376" t="s">
        <v>67</v>
      </c>
      <c r="E1376" t="s">
        <v>74</v>
      </c>
      <c r="F1376">
        <v>7</v>
      </c>
      <c r="G1376" s="2">
        <v>22.4</v>
      </c>
      <c r="H1376">
        <v>0.35</v>
      </c>
      <c r="I1376" t="s">
        <v>68</v>
      </c>
      <c r="J1376">
        <v>1</v>
      </c>
      <c r="K1376">
        <v>2.7</v>
      </c>
      <c r="L1376" s="2">
        <v>101.92</v>
      </c>
      <c r="M1376">
        <v>2025</v>
      </c>
      <c r="N1376">
        <v>10</v>
      </c>
      <c r="O1376" t="s">
        <v>125</v>
      </c>
      <c r="P1376" s="2">
        <v>156.80000000000001</v>
      </c>
      <c r="Q1376" s="2">
        <v>54.88</v>
      </c>
      <c r="R1376" t="s">
        <v>72</v>
      </c>
      <c r="S1376">
        <v>0</v>
      </c>
      <c r="T1376">
        <v>0</v>
      </c>
      <c r="U1376">
        <f>IF(AND(OR(Dashboard!$D$4="Semua",D1376=Dashboard!$D$4),OR(Dashboard!$H$4="Semua",E1376=Dashboard!$H$4)),1,0)</f>
        <v>1</v>
      </c>
      <c r="V1376">
        <f>IF(U1376=1,IF(COUNTIFS($C$2:C1376,C1376,$U$2:U1376,1)=1,1,0),0)</f>
        <v>0</v>
      </c>
    </row>
    <row r="1377" spans="1:22" x14ac:dyDescent="0.35">
      <c r="A1377">
        <v>11376</v>
      </c>
      <c r="B1377" s="1">
        <v>45937</v>
      </c>
      <c r="C1377">
        <v>1649</v>
      </c>
      <c r="D1377" t="s">
        <v>73</v>
      </c>
      <c r="E1377" t="s">
        <v>78</v>
      </c>
      <c r="F1377">
        <v>3</v>
      </c>
      <c r="G1377" s="2">
        <v>142.09</v>
      </c>
      <c r="H1377">
        <v>0.28000000000000003</v>
      </c>
      <c r="I1377" t="s">
        <v>71</v>
      </c>
      <c r="J1377">
        <v>11</v>
      </c>
      <c r="K1377">
        <v>4.2</v>
      </c>
      <c r="L1377" s="2">
        <v>306.91000000000003</v>
      </c>
      <c r="M1377">
        <v>2025</v>
      </c>
      <c r="N1377">
        <v>10</v>
      </c>
      <c r="O1377" t="s">
        <v>125</v>
      </c>
      <c r="P1377" s="2">
        <v>426.27</v>
      </c>
      <c r="Q1377" s="2">
        <v>119.36</v>
      </c>
      <c r="R1377" t="s">
        <v>66</v>
      </c>
      <c r="S1377">
        <v>0</v>
      </c>
      <c r="T1377">
        <v>0</v>
      </c>
      <c r="U1377">
        <f>IF(AND(OR(Dashboard!$D$4="Semua",D1377=Dashboard!$D$4),OR(Dashboard!$H$4="Semua",E1377=Dashboard!$H$4)),1,0)</f>
        <v>1</v>
      </c>
      <c r="V1377">
        <f>IF(U1377=1,IF(COUNTIFS($C$2:C1377,C1377,$U$2:U1377,1)=1,1,0),0)</f>
        <v>1</v>
      </c>
    </row>
    <row r="1378" spans="1:22" x14ac:dyDescent="0.35">
      <c r="A1378">
        <v>11377</v>
      </c>
      <c r="B1378" s="1">
        <v>45938</v>
      </c>
      <c r="C1378">
        <v>1171</v>
      </c>
      <c r="D1378" t="s">
        <v>73</v>
      </c>
      <c r="E1378" t="s">
        <v>74</v>
      </c>
      <c r="F1378">
        <v>6</v>
      </c>
      <c r="G1378" s="2">
        <v>53.11</v>
      </c>
      <c r="H1378">
        <v>0.28999999999999998</v>
      </c>
      <c r="I1378" t="s">
        <v>71</v>
      </c>
      <c r="J1378">
        <v>2</v>
      </c>
      <c r="K1378">
        <v>4.4000000000000004</v>
      </c>
      <c r="L1378" s="2">
        <v>226.25</v>
      </c>
      <c r="M1378">
        <v>2025</v>
      </c>
      <c r="N1378">
        <v>10</v>
      </c>
      <c r="O1378" t="s">
        <v>125</v>
      </c>
      <c r="P1378" s="2">
        <v>318.66000000000003</v>
      </c>
      <c r="Q1378" s="2">
        <v>92.41</v>
      </c>
      <c r="R1378" t="s">
        <v>66</v>
      </c>
      <c r="S1378">
        <v>0</v>
      </c>
      <c r="T1378">
        <v>0</v>
      </c>
      <c r="U1378">
        <f>IF(AND(OR(Dashboard!$D$4="Semua",D1378=Dashboard!$D$4),OR(Dashboard!$H$4="Semua",E1378=Dashboard!$H$4)),1,0)</f>
        <v>1</v>
      </c>
      <c r="V1378">
        <f>IF(U1378=1,IF(COUNTIFS($C$2:C1378,C1378,$U$2:U1378,1)=1,1,0),0)</f>
        <v>0</v>
      </c>
    </row>
    <row r="1379" spans="1:22" x14ac:dyDescent="0.35">
      <c r="A1379">
        <v>11378</v>
      </c>
      <c r="B1379" s="1">
        <v>45939</v>
      </c>
      <c r="C1379">
        <v>1897</v>
      </c>
      <c r="D1379" t="s">
        <v>80</v>
      </c>
      <c r="E1379" t="s">
        <v>70</v>
      </c>
      <c r="F1379">
        <v>2</v>
      </c>
      <c r="G1379" s="2">
        <v>471.43</v>
      </c>
      <c r="H1379">
        <v>0.33</v>
      </c>
      <c r="I1379" t="s">
        <v>68</v>
      </c>
      <c r="J1379">
        <v>6</v>
      </c>
      <c r="K1379">
        <v>2.8</v>
      </c>
      <c r="L1379" s="2">
        <v>631.72</v>
      </c>
      <c r="M1379">
        <v>2025</v>
      </c>
      <c r="N1379">
        <v>10</v>
      </c>
      <c r="O1379" t="s">
        <v>125</v>
      </c>
      <c r="P1379" s="2">
        <v>942.86</v>
      </c>
      <c r="Q1379" s="2">
        <v>311.14</v>
      </c>
      <c r="R1379" t="s">
        <v>72</v>
      </c>
      <c r="S1379">
        <v>0</v>
      </c>
      <c r="T1379">
        <v>0</v>
      </c>
      <c r="U1379">
        <f>IF(AND(OR(Dashboard!$D$4="Semua",D1379=Dashboard!$D$4),OR(Dashboard!$H$4="Semua",E1379=Dashboard!$H$4)),1,0)</f>
        <v>1</v>
      </c>
      <c r="V1379">
        <f>IF(U1379=1,IF(COUNTIFS($C$2:C1379,C1379,$U$2:U1379,1)=1,1,0),0)</f>
        <v>0</v>
      </c>
    </row>
    <row r="1380" spans="1:22" x14ac:dyDescent="0.35">
      <c r="A1380">
        <v>11379</v>
      </c>
      <c r="B1380" s="1">
        <v>45940</v>
      </c>
      <c r="C1380">
        <v>1012</v>
      </c>
      <c r="D1380" t="s">
        <v>67</v>
      </c>
      <c r="E1380" t="s">
        <v>78</v>
      </c>
      <c r="F1380">
        <v>1</v>
      </c>
      <c r="G1380" s="2">
        <v>457.19</v>
      </c>
      <c r="H1380">
        <v>0.05</v>
      </c>
      <c r="I1380" t="s">
        <v>71</v>
      </c>
      <c r="J1380">
        <v>2</v>
      </c>
      <c r="K1380">
        <v>2.2999999999999998</v>
      </c>
      <c r="L1380" s="2">
        <v>434.33</v>
      </c>
      <c r="M1380">
        <v>2025</v>
      </c>
      <c r="N1380">
        <v>10</v>
      </c>
      <c r="O1380" t="s">
        <v>125</v>
      </c>
      <c r="P1380" s="2">
        <v>457.19</v>
      </c>
      <c r="Q1380" s="2">
        <v>22.86</v>
      </c>
      <c r="R1380" t="s">
        <v>75</v>
      </c>
      <c r="S1380">
        <v>0</v>
      </c>
      <c r="T1380">
        <v>0</v>
      </c>
      <c r="U1380">
        <f>IF(AND(OR(Dashboard!$D$4="Semua",D1380=Dashboard!$D$4),OR(Dashboard!$H$4="Semua",E1380=Dashboard!$H$4)),1,0)</f>
        <v>1</v>
      </c>
      <c r="V1380">
        <f>IF(U1380=1,IF(COUNTIFS($C$2:C1380,C1380,$U$2:U1380,1)=1,1,0),0)</f>
        <v>1</v>
      </c>
    </row>
    <row r="1381" spans="1:22" x14ac:dyDescent="0.35">
      <c r="A1381">
        <v>11380</v>
      </c>
      <c r="B1381" s="1">
        <v>45941</v>
      </c>
      <c r="C1381">
        <v>1167</v>
      </c>
      <c r="D1381" t="s">
        <v>73</v>
      </c>
      <c r="E1381" t="s">
        <v>74</v>
      </c>
      <c r="F1381">
        <v>4</v>
      </c>
      <c r="G1381" s="2">
        <v>490.98</v>
      </c>
      <c r="H1381">
        <v>0.17</v>
      </c>
      <c r="I1381" t="s">
        <v>71</v>
      </c>
      <c r="J1381">
        <v>1</v>
      </c>
      <c r="K1381">
        <v>3.8</v>
      </c>
      <c r="L1381" s="2">
        <v>1630.05</v>
      </c>
      <c r="M1381">
        <v>2025</v>
      </c>
      <c r="N1381">
        <v>10</v>
      </c>
      <c r="O1381" t="s">
        <v>125</v>
      </c>
      <c r="P1381" s="2">
        <v>1963.92</v>
      </c>
      <c r="Q1381" s="2">
        <v>333.87</v>
      </c>
      <c r="R1381" t="s">
        <v>76</v>
      </c>
      <c r="S1381">
        <v>0</v>
      </c>
      <c r="T1381">
        <v>0</v>
      </c>
      <c r="U1381">
        <f>IF(AND(OR(Dashboard!$D$4="Semua",D1381=Dashboard!$D$4),OR(Dashboard!$H$4="Semua",E1381=Dashboard!$H$4)),1,0)</f>
        <v>1</v>
      </c>
      <c r="V1381">
        <f>IF(U1381=1,IF(COUNTIFS($C$2:C1381,C1381,$U$2:U1381,1)=1,1,0),0)</f>
        <v>0</v>
      </c>
    </row>
    <row r="1382" spans="1:22" x14ac:dyDescent="0.35">
      <c r="A1382">
        <v>11381</v>
      </c>
      <c r="B1382" s="1">
        <v>45942</v>
      </c>
      <c r="C1382">
        <v>1641</v>
      </c>
      <c r="D1382" t="s">
        <v>73</v>
      </c>
      <c r="E1382" t="s">
        <v>74</v>
      </c>
      <c r="F1382">
        <v>1</v>
      </c>
      <c r="G1382" s="2">
        <v>17.62</v>
      </c>
      <c r="H1382">
        <v>0.2</v>
      </c>
      <c r="I1382" t="s">
        <v>71</v>
      </c>
      <c r="J1382">
        <v>1</v>
      </c>
      <c r="K1382">
        <v>4.5999999999999996</v>
      </c>
      <c r="L1382" s="2">
        <v>14.1</v>
      </c>
      <c r="M1382">
        <v>2025</v>
      </c>
      <c r="N1382">
        <v>10</v>
      </c>
      <c r="O1382" t="s">
        <v>125</v>
      </c>
      <c r="P1382" s="2">
        <v>17.62</v>
      </c>
      <c r="Q1382" s="2">
        <v>3.52</v>
      </c>
      <c r="R1382" t="s">
        <v>76</v>
      </c>
      <c r="S1382">
        <v>0</v>
      </c>
      <c r="T1382">
        <v>0</v>
      </c>
      <c r="U1382">
        <f>IF(AND(OR(Dashboard!$D$4="Semua",D1382=Dashboard!$D$4),OR(Dashboard!$H$4="Semua",E1382=Dashboard!$H$4)),1,0)</f>
        <v>1</v>
      </c>
      <c r="V1382">
        <f>IF(U1382=1,IF(COUNTIFS($C$2:C1382,C1382,$U$2:U1382,1)=1,1,0),0)</f>
        <v>0</v>
      </c>
    </row>
    <row r="1383" spans="1:22" x14ac:dyDescent="0.35">
      <c r="A1383">
        <v>11382</v>
      </c>
      <c r="B1383" s="1">
        <v>45943</v>
      </c>
      <c r="C1383">
        <v>1595</v>
      </c>
      <c r="D1383" t="s">
        <v>73</v>
      </c>
      <c r="E1383" t="s">
        <v>78</v>
      </c>
      <c r="F1383">
        <v>1</v>
      </c>
      <c r="G1383" s="2">
        <v>308.22000000000003</v>
      </c>
      <c r="H1383">
        <v>0.12</v>
      </c>
      <c r="I1383" t="s">
        <v>71</v>
      </c>
      <c r="J1383">
        <v>4</v>
      </c>
      <c r="K1383">
        <v>4.9000000000000004</v>
      </c>
      <c r="L1383" s="2">
        <v>271.23</v>
      </c>
      <c r="M1383">
        <v>2025</v>
      </c>
      <c r="N1383">
        <v>10</v>
      </c>
      <c r="O1383" t="s">
        <v>125</v>
      </c>
      <c r="P1383" s="2">
        <v>308.22000000000003</v>
      </c>
      <c r="Q1383" s="2">
        <v>36.99</v>
      </c>
      <c r="R1383" t="s">
        <v>79</v>
      </c>
      <c r="S1383">
        <v>0</v>
      </c>
      <c r="T1383">
        <v>0</v>
      </c>
      <c r="U1383">
        <f>IF(AND(OR(Dashboard!$D$4="Semua",D1383=Dashboard!$D$4),OR(Dashboard!$H$4="Semua",E1383=Dashboard!$H$4)),1,0)</f>
        <v>1</v>
      </c>
      <c r="V1383">
        <f>IF(U1383=1,IF(COUNTIFS($C$2:C1383,C1383,$U$2:U1383,1)=1,1,0),0)</f>
        <v>0</v>
      </c>
    </row>
    <row r="1384" spans="1:22" x14ac:dyDescent="0.35">
      <c r="A1384">
        <v>11383</v>
      </c>
      <c r="B1384" s="1">
        <v>45944</v>
      </c>
      <c r="C1384">
        <v>1320</v>
      </c>
      <c r="D1384" t="s">
        <v>80</v>
      </c>
      <c r="E1384" t="s">
        <v>74</v>
      </c>
      <c r="F1384">
        <v>2</v>
      </c>
      <c r="G1384" s="2">
        <v>427.33</v>
      </c>
      <c r="H1384">
        <v>0.28999999999999998</v>
      </c>
      <c r="I1384" t="s">
        <v>64</v>
      </c>
      <c r="J1384">
        <v>8</v>
      </c>
      <c r="K1384">
        <v>2.2000000000000002</v>
      </c>
      <c r="L1384" s="2">
        <v>606.80999999999995</v>
      </c>
      <c r="M1384">
        <v>2025</v>
      </c>
      <c r="N1384">
        <v>10</v>
      </c>
      <c r="O1384" t="s">
        <v>125</v>
      </c>
      <c r="P1384" s="2">
        <v>854.66</v>
      </c>
      <c r="Q1384" s="2">
        <v>247.85</v>
      </c>
      <c r="R1384" t="s">
        <v>66</v>
      </c>
      <c r="S1384">
        <v>0</v>
      </c>
      <c r="T1384">
        <v>0</v>
      </c>
      <c r="U1384">
        <f>IF(AND(OR(Dashboard!$D$4="Semua",D1384=Dashboard!$D$4),OR(Dashboard!$H$4="Semua",E1384=Dashboard!$H$4)),1,0)</f>
        <v>1</v>
      </c>
      <c r="V1384">
        <f>IF(U1384=1,IF(COUNTIFS($C$2:C1384,C1384,$U$2:U1384,1)=1,1,0),0)</f>
        <v>0</v>
      </c>
    </row>
    <row r="1385" spans="1:22" x14ac:dyDescent="0.35">
      <c r="A1385">
        <v>11384</v>
      </c>
      <c r="B1385" s="1">
        <v>45945</v>
      </c>
      <c r="C1385">
        <v>1318</v>
      </c>
      <c r="D1385" t="s">
        <v>62</v>
      </c>
      <c r="E1385" t="s">
        <v>63</v>
      </c>
      <c r="F1385">
        <v>4</v>
      </c>
      <c r="G1385" s="2">
        <v>105.91</v>
      </c>
      <c r="H1385">
        <v>0.27</v>
      </c>
      <c r="I1385" t="s">
        <v>64</v>
      </c>
      <c r="J1385">
        <v>6</v>
      </c>
      <c r="K1385">
        <v>4.8</v>
      </c>
      <c r="L1385" s="2">
        <v>309.26</v>
      </c>
      <c r="M1385">
        <v>2025</v>
      </c>
      <c r="N1385">
        <v>10</v>
      </c>
      <c r="O1385" t="s">
        <v>125</v>
      </c>
      <c r="P1385" s="2">
        <v>423.64</v>
      </c>
      <c r="Q1385" s="2">
        <v>114.38</v>
      </c>
      <c r="R1385" t="s">
        <v>66</v>
      </c>
      <c r="S1385">
        <v>0</v>
      </c>
      <c r="T1385">
        <v>0</v>
      </c>
      <c r="U1385">
        <f>IF(AND(OR(Dashboard!$D$4="Semua",D1385=Dashboard!$D$4),OR(Dashboard!$H$4="Semua",E1385=Dashboard!$H$4)),1,0)</f>
        <v>1</v>
      </c>
      <c r="V1385">
        <f>IF(U1385=1,IF(COUNTIFS($C$2:C1385,C1385,$U$2:U1385,1)=1,1,0),0)</f>
        <v>1</v>
      </c>
    </row>
    <row r="1386" spans="1:22" x14ac:dyDescent="0.35">
      <c r="A1386">
        <v>11385</v>
      </c>
      <c r="B1386" s="1">
        <v>45946</v>
      </c>
      <c r="C1386">
        <v>1612</v>
      </c>
      <c r="D1386" t="s">
        <v>73</v>
      </c>
      <c r="E1386" t="s">
        <v>70</v>
      </c>
      <c r="F1386">
        <v>7</v>
      </c>
      <c r="G1386" s="2">
        <v>395.13</v>
      </c>
      <c r="H1386">
        <v>0.25</v>
      </c>
      <c r="I1386" t="s">
        <v>71</v>
      </c>
      <c r="J1386">
        <v>4</v>
      </c>
      <c r="K1386">
        <v>3</v>
      </c>
      <c r="L1386" s="2">
        <v>2074.4299999999998</v>
      </c>
      <c r="M1386">
        <v>2025</v>
      </c>
      <c r="N1386">
        <v>10</v>
      </c>
      <c r="O1386" t="s">
        <v>125</v>
      </c>
      <c r="P1386" s="2">
        <v>2765.91</v>
      </c>
      <c r="Q1386" s="2">
        <v>691.48</v>
      </c>
      <c r="R1386" t="s">
        <v>77</v>
      </c>
      <c r="S1386">
        <v>0</v>
      </c>
      <c r="T1386">
        <v>0</v>
      </c>
      <c r="U1386">
        <f>IF(AND(OR(Dashboard!$D$4="Semua",D1386=Dashboard!$D$4),OR(Dashboard!$H$4="Semua",E1386=Dashboard!$H$4)),1,0)</f>
        <v>1</v>
      </c>
      <c r="V1386">
        <f>IF(U1386=1,IF(COUNTIFS($C$2:C1386,C1386,$U$2:U1386,1)=1,1,0),0)</f>
        <v>0</v>
      </c>
    </row>
    <row r="1387" spans="1:22" x14ac:dyDescent="0.35">
      <c r="A1387">
        <v>11386</v>
      </c>
      <c r="B1387" s="1">
        <v>45947</v>
      </c>
      <c r="C1387">
        <v>1328</v>
      </c>
      <c r="D1387" t="s">
        <v>73</v>
      </c>
      <c r="E1387" t="s">
        <v>70</v>
      </c>
      <c r="F1387">
        <v>1</v>
      </c>
      <c r="G1387" s="2">
        <v>64.2</v>
      </c>
      <c r="H1387">
        <v>0.35</v>
      </c>
      <c r="I1387" t="s">
        <v>64</v>
      </c>
      <c r="J1387">
        <v>6</v>
      </c>
      <c r="K1387">
        <v>2.2000000000000002</v>
      </c>
      <c r="L1387" s="2">
        <v>41.73</v>
      </c>
      <c r="M1387">
        <v>2025</v>
      </c>
      <c r="N1387">
        <v>10</v>
      </c>
      <c r="O1387" t="s">
        <v>125</v>
      </c>
      <c r="P1387" s="2">
        <v>64.2</v>
      </c>
      <c r="Q1387" s="2">
        <v>22.47</v>
      </c>
      <c r="R1387" t="s">
        <v>72</v>
      </c>
      <c r="S1387">
        <v>0</v>
      </c>
      <c r="T1387">
        <v>0</v>
      </c>
      <c r="U1387">
        <f>IF(AND(OR(Dashboard!$D$4="Semua",D1387=Dashboard!$D$4),OR(Dashboard!$H$4="Semua",E1387=Dashboard!$H$4)),1,0)</f>
        <v>1</v>
      </c>
      <c r="V1387">
        <f>IF(U1387=1,IF(COUNTIFS($C$2:C1387,C1387,$U$2:U1387,1)=1,1,0),0)</f>
        <v>1</v>
      </c>
    </row>
    <row r="1388" spans="1:22" x14ac:dyDescent="0.35">
      <c r="A1388">
        <v>11387</v>
      </c>
      <c r="B1388" s="1">
        <v>45948</v>
      </c>
      <c r="C1388">
        <v>1784</v>
      </c>
      <c r="D1388" t="s">
        <v>62</v>
      </c>
      <c r="E1388" t="s">
        <v>63</v>
      </c>
      <c r="F1388">
        <v>2</v>
      </c>
      <c r="G1388" s="2">
        <v>121.08</v>
      </c>
      <c r="H1388">
        <v>0.09</v>
      </c>
      <c r="I1388" t="s">
        <v>68</v>
      </c>
      <c r="J1388">
        <v>6</v>
      </c>
      <c r="K1388">
        <v>5</v>
      </c>
      <c r="L1388" s="2">
        <v>220.37</v>
      </c>
      <c r="M1388">
        <v>2025</v>
      </c>
      <c r="N1388">
        <v>10</v>
      </c>
      <c r="O1388" t="s">
        <v>125</v>
      </c>
      <c r="P1388" s="2">
        <v>242.16</v>
      </c>
      <c r="Q1388" s="2">
        <v>21.79</v>
      </c>
      <c r="R1388" t="s">
        <v>69</v>
      </c>
      <c r="S1388">
        <v>0</v>
      </c>
      <c r="T1388">
        <v>0</v>
      </c>
      <c r="U1388">
        <f>IF(AND(OR(Dashboard!$D$4="Semua",D1388=Dashboard!$D$4),OR(Dashboard!$H$4="Semua",E1388=Dashboard!$H$4)),1,0)</f>
        <v>1</v>
      </c>
      <c r="V1388">
        <f>IF(U1388=1,IF(COUNTIFS($C$2:C1388,C1388,$U$2:U1388,1)=1,1,0),0)</f>
        <v>0</v>
      </c>
    </row>
    <row r="1389" spans="1:22" x14ac:dyDescent="0.35">
      <c r="A1389">
        <v>11388</v>
      </c>
      <c r="B1389" s="1">
        <v>45949</v>
      </c>
      <c r="C1389">
        <v>1776</v>
      </c>
      <c r="D1389" t="s">
        <v>62</v>
      </c>
      <c r="E1389" t="s">
        <v>74</v>
      </c>
      <c r="F1389">
        <v>3</v>
      </c>
      <c r="G1389" s="2">
        <v>293.33999999999997</v>
      </c>
      <c r="H1389">
        <v>0.26</v>
      </c>
      <c r="I1389" t="s">
        <v>71</v>
      </c>
      <c r="J1389">
        <v>9</v>
      </c>
      <c r="K1389">
        <v>4.5</v>
      </c>
      <c r="L1389" s="2">
        <v>651.21</v>
      </c>
      <c r="M1389">
        <v>2025</v>
      </c>
      <c r="N1389">
        <v>10</v>
      </c>
      <c r="O1389" t="s">
        <v>125</v>
      </c>
      <c r="P1389" s="2">
        <v>880.02</v>
      </c>
      <c r="Q1389" s="2">
        <v>228.81</v>
      </c>
      <c r="R1389" t="s">
        <v>66</v>
      </c>
      <c r="S1389">
        <v>0</v>
      </c>
      <c r="T1389">
        <v>0</v>
      </c>
      <c r="U1389">
        <f>IF(AND(OR(Dashboard!$D$4="Semua",D1389=Dashboard!$D$4),OR(Dashboard!$H$4="Semua",E1389=Dashboard!$H$4)),1,0)</f>
        <v>1</v>
      </c>
      <c r="V1389">
        <f>IF(U1389=1,IF(COUNTIFS($C$2:C1389,C1389,$U$2:U1389,1)=1,1,0),0)</f>
        <v>0</v>
      </c>
    </row>
    <row r="1390" spans="1:22" x14ac:dyDescent="0.35">
      <c r="A1390">
        <v>11389</v>
      </c>
      <c r="B1390" s="1">
        <v>45950</v>
      </c>
      <c r="C1390">
        <v>1970</v>
      </c>
      <c r="D1390" t="s">
        <v>67</v>
      </c>
      <c r="E1390" t="s">
        <v>74</v>
      </c>
      <c r="F1390">
        <v>2</v>
      </c>
      <c r="G1390" s="2">
        <v>397.34</v>
      </c>
      <c r="H1390">
        <v>0.19</v>
      </c>
      <c r="I1390" t="s">
        <v>68</v>
      </c>
      <c r="J1390">
        <v>4</v>
      </c>
      <c r="K1390">
        <v>3.8</v>
      </c>
      <c r="L1390" s="2">
        <v>643.69000000000005</v>
      </c>
      <c r="M1390">
        <v>2025</v>
      </c>
      <c r="N1390">
        <v>10</v>
      </c>
      <c r="O1390" t="s">
        <v>125</v>
      </c>
      <c r="P1390" s="2">
        <v>794.68</v>
      </c>
      <c r="Q1390" s="2">
        <v>150.99</v>
      </c>
      <c r="R1390" t="s">
        <v>76</v>
      </c>
      <c r="S1390">
        <v>0</v>
      </c>
      <c r="T1390">
        <v>0</v>
      </c>
      <c r="U1390">
        <f>IF(AND(OR(Dashboard!$D$4="Semua",D1390=Dashboard!$D$4),OR(Dashboard!$H$4="Semua",E1390=Dashboard!$H$4)),1,0)</f>
        <v>1</v>
      </c>
      <c r="V1390">
        <f>IF(U1390=1,IF(COUNTIFS($C$2:C1390,C1390,$U$2:U1390,1)=1,1,0),0)</f>
        <v>0</v>
      </c>
    </row>
    <row r="1391" spans="1:22" x14ac:dyDescent="0.35">
      <c r="A1391">
        <v>11390</v>
      </c>
      <c r="B1391" s="1">
        <v>45951</v>
      </c>
      <c r="C1391">
        <v>1910</v>
      </c>
      <c r="D1391" t="s">
        <v>73</v>
      </c>
      <c r="E1391" t="s">
        <v>70</v>
      </c>
      <c r="F1391">
        <v>5</v>
      </c>
      <c r="G1391" s="2">
        <v>100.33</v>
      </c>
      <c r="H1391">
        <v>0.11</v>
      </c>
      <c r="I1391" t="s">
        <v>68</v>
      </c>
      <c r="J1391">
        <v>6</v>
      </c>
      <c r="K1391">
        <v>4.5999999999999996</v>
      </c>
      <c r="L1391" s="2">
        <v>446.47</v>
      </c>
      <c r="M1391">
        <v>2025</v>
      </c>
      <c r="N1391">
        <v>10</v>
      </c>
      <c r="O1391" t="s">
        <v>125</v>
      </c>
      <c r="P1391" s="2">
        <v>501.65</v>
      </c>
      <c r="Q1391" s="2">
        <v>55.18</v>
      </c>
      <c r="R1391" t="s">
        <v>79</v>
      </c>
      <c r="S1391">
        <v>0</v>
      </c>
      <c r="T1391">
        <v>0</v>
      </c>
      <c r="U1391">
        <f>IF(AND(OR(Dashboard!$D$4="Semua",D1391=Dashboard!$D$4),OR(Dashboard!$H$4="Semua",E1391=Dashboard!$H$4)),1,0)</f>
        <v>1</v>
      </c>
      <c r="V1391">
        <f>IF(U1391=1,IF(COUNTIFS($C$2:C1391,C1391,$U$2:U1391,1)=1,1,0),0)</f>
        <v>1</v>
      </c>
    </row>
    <row r="1392" spans="1:22" x14ac:dyDescent="0.35">
      <c r="A1392">
        <v>11391</v>
      </c>
      <c r="B1392" s="1">
        <v>45952</v>
      </c>
      <c r="C1392">
        <v>1919</v>
      </c>
      <c r="D1392" t="s">
        <v>73</v>
      </c>
      <c r="E1392" t="s">
        <v>74</v>
      </c>
      <c r="F1392">
        <v>6</v>
      </c>
      <c r="G1392" s="2">
        <v>123.36</v>
      </c>
      <c r="H1392">
        <v>0.06</v>
      </c>
      <c r="I1392" t="s">
        <v>71</v>
      </c>
      <c r="J1392">
        <v>10</v>
      </c>
      <c r="K1392">
        <v>3.7</v>
      </c>
      <c r="L1392" s="2">
        <v>695.75</v>
      </c>
      <c r="M1392">
        <v>2025</v>
      </c>
      <c r="N1392">
        <v>10</v>
      </c>
      <c r="O1392" t="s">
        <v>125</v>
      </c>
      <c r="P1392" s="2">
        <v>740.16</v>
      </c>
      <c r="Q1392" s="2">
        <v>44.41</v>
      </c>
      <c r="R1392" t="s">
        <v>69</v>
      </c>
      <c r="S1392">
        <v>0</v>
      </c>
      <c r="T1392">
        <v>0</v>
      </c>
      <c r="U1392">
        <f>IF(AND(OR(Dashboard!$D$4="Semua",D1392=Dashboard!$D$4),OR(Dashboard!$H$4="Semua",E1392=Dashboard!$H$4)),1,0)</f>
        <v>1</v>
      </c>
      <c r="V1392">
        <f>IF(U1392=1,IF(COUNTIFS($C$2:C1392,C1392,$U$2:U1392,1)=1,1,0),0)</f>
        <v>0</v>
      </c>
    </row>
    <row r="1393" spans="1:22" x14ac:dyDescent="0.35">
      <c r="A1393">
        <v>11392</v>
      </c>
      <c r="B1393" s="1">
        <v>45953</v>
      </c>
      <c r="C1393">
        <v>1549</v>
      </c>
      <c r="D1393" t="s">
        <v>67</v>
      </c>
      <c r="E1393" t="s">
        <v>70</v>
      </c>
      <c r="F1393">
        <v>2</v>
      </c>
      <c r="G1393" s="2">
        <v>134.6</v>
      </c>
      <c r="H1393">
        <v>0.31</v>
      </c>
      <c r="I1393" t="s">
        <v>71</v>
      </c>
      <c r="J1393">
        <v>1</v>
      </c>
      <c r="K1393">
        <v>2.8</v>
      </c>
      <c r="L1393" s="2">
        <v>185.75</v>
      </c>
      <c r="M1393">
        <v>2025</v>
      </c>
      <c r="N1393">
        <v>10</v>
      </c>
      <c r="O1393" t="s">
        <v>125</v>
      </c>
      <c r="P1393" s="2">
        <v>269.2</v>
      </c>
      <c r="Q1393" s="2">
        <v>83.45</v>
      </c>
      <c r="R1393" t="s">
        <v>72</v>
      </c>
      <c r="S1393">
        <v>0</v>
      </c>
      <c r="T1393">
        <v>0</v>
      </c>
      <c r="U1393">
        <f>IF(AND(OR(Dashboard!$D$4="Semua",D1393=Dashboard!$D$4),OR(Dashboard!$H$4="Semua",E1393=Dashboard!$H$4)),1,0)</f>
        <v>1</v>
      </c>
      <c r="V1393">
        <f>IF(U1393=1,IF(COUNTIFS($C$2:C1393,C1393,$U$2:U1393,1)=1,1,0),0)</f>
        <v>0</v>
      </c>
    </row>
    <row r="1394" spans="1:22" x14ac:dyDescent="0.35">
      <c r="A1394">
        <v>11393</v>
      </c>
      <c r="B1394" s="1">
        <v>45954</v>
      </c>
      <c r="C1394">
        <v>1418</v>
      </c>
      <c r="D1394" t="s">
        <v>67</v>
      </c>
      <c r="E1394" t="s">
        <v>70</v>
      </c>
      <c r="F1394">
        <v>2</v>
      </c>
      <c r="G1394" s="2">
        <v>154.63999999999999</v>
      </c>
      <c r="H1394">
        <v>0.21</v>
      </c>
      <c r="I1394" t="s">
        <v>68</v>
      </c>
      <c r="J1394">
        <v>7</v>
      </c>
      <c r="K1394">
        <v>4.8</v>
      </c>
      <c r="L1394" s="2">
        <v>244.33</v>
      </c>
      <c r="M1394">
        <v>2025</v>
      </c>
      <c r="N1394">
        <v>10</v>
      </c>
      <c r="O1394" t="s">
        <v>125</v>
      </c>
      <c r="P1394" s="2">
        <v>309.27999999999997</v>
      </c>
      <c r="Q1394" s="2">
        <v>64.95</v>
      </c>
      <c r="R1394" t="s">
        <v>77</v>
      </c>
      <c r="S1394">
        <v>0</v>
      </c>
      <c r="T1394">
        <v>0</v>
      </c>
      <c r="U1394">
        <f>IF(AND(OR(Dashboard!$D$4="Semua",D1394=Dashboard!$D$4),OR(Dashboard!$H$4="Semua",E1394=Dashboard!$H$4)),1,0)</f>
        <v>1</v>
      </c>
      <c r="V1394">
        <f>IF(U1394=1,IF(COUNTIFS($C$2:C1394,C1394,$U$2:U1394,1)=1,1,0),0)</f>
        <v>0</v>
      </c>
    </row>
    <row r="1395" spans="1:22" x14ac:dyDescent="0.35">
      <c r="A1395">
        <v>11394</v>
      </c>
      <c r="B1395" s="1">
        <v>45955</v>
      </c>
      <c r="C1395">
        <v>1605</v>
      </c>
      <c r="D1395" t="s">
        <v>73</v>
      </c>
      <c r="E1395" t="s">
        <v>63</v>
      </c>
      <c r="F1395">
        <v>2</v>
      </c>
      <c r="G1395" s="2">
        <v>147.53</v>
      </c>
      <c r="H1395">
        <v>0.28999999999999998</v>
      </c>
      <c r="I1395" t="s">
        <v>71</v>
      </c>
      <c r="J1395">
        <v>7</v>
      </c>
      <c r="K1395">
        <v>4.9000000000000004</v>
      </c>
      <c r="L1395" s="2">
        <v>209.49</v>
      </c>
      <c r="M1395">
        <v>2025</v>
      </c>
      <c r="N1395">
        <v>10</v>
      </c>
      <c r="O1395" t="s">
        <v>125</v>
      </c>
      <c r="P1395" s="2">
        <v>295.06</v>
      </c>
      <c r="Q1395" s="2">
        <v>85.57</v>
      </c>
      <c r="R1395" t="s">
        <v>66</v>
      </c>
      <c r="S1395">
        <v>0</v>
      </c>
      <c r="T1395">
        <v>0</v>
      </c>
      <c r="U1395">
        <f>IF(AND(OR(Dashboard!$D$4="Semua",D1395=Dashboard!$D$4),OR(Dashboard!$H$4="Semua",E1395=Dashboard!$H$4)),1,0)</f>
        <v>1</v>
      </c>
      <c r="V1395">
        <f>IF(U1395=1,IF(COUNTIFS($C$2:C1395,C1395,$U$2:U1395,1)=1,1,0),0)</f>
        <v>0</v>
      </c>
    </row>
    <row r="1396" spans="1:22" x14ac:dyDescent="0.35">
      <c r="A1396">
        <v>11395</v>
      </c>
      <c r="B1396" s="1">
        <v>45956</v>
      </c>
      <c r="C1396">
        <v>1094</v>
      </c>
      <c r="D1396" t="s">
        <v>67</v>
      </c>
      <c r="E1396" t="s">
        <v>70</v>
      </c>
      <c r="F1396">
        <v>7</v>
      </c>
      <c r="G1396" s="2">
        <v>246.16</v>
      </c>
      <c r="H1396">
        <v>0.19</v>
      </c>
      <c r="I1396" t="s">
        <v>71</v>
      </c>
      <c r="J1396">
        <v>11</v>
      </c>
      <c r="K1396">
        <v>2.2999999999999998</v>
      </c>
      <c r="L1396" s="2">
        <v>1395.73</v>
      </c>
      <c r="M1396">
        <v>2025</v>
      </c>
      <c r="N1396">
        <v>10</v>
      </c>
      <c r="O1396" t="s">
        <v>125</v>
      </c>
      <c r="P1396" s="2">
        <v>1723.12</v>
      </c>
      <c r="Q1396" s="2">
        <v>327.39</v>
      </c>
      <c r="R1396" t="s">
        <v>76</v>
      </c>
      <c r="S1396">
        <v>0</v>
      </c>
      <c r="T1396">
        <v>0</v>
      </c>
      <c r="U1396">
        <f>IF(AND(OR(Dashboard!$D$4="Semua",D1396=Dashboard!$D$4),OR(Dashboard!$H$4="Semua",E1396=Dashboard!$H$4)),1,0)</f>
        <v>1</v>
      </c>
      <c r="V1396">
        <f>IF(U1396=1,IF(COUNTIFS($C$2:C1396,C1396,$U$2:U1396,1)=1,1,0),0)</f>
        <v>0</v>
      </c>
    </row>
    <row r="1397" spans="1:22" x14ac:dyDescent="0.35">
      <c r="A1397">
        <v>11396</v>
      </c>
      <c r="B1397" s="1">
        <v>45957</v>
      </c>
      <c r="C1397">
        <v>1816</v>
      </c>
      <c r="D1397" t="s">
        <v>73</v>
      </c>
      <c r="E1397" t="s">
        <v>74</v>
      </c>
      <c r="F1397">
        <v>1</v>
      </c>
      <c r="G1397" s="2">
        <v>397.47</v>
      </c>
      <c r="H1397">
        <v>0.08</v>
      </c>
      <c r="I1397" t="s">
        <v>68</v>
      </c>
      <c r="J1397">
        <v>1</v>
      </c>
      <c r="K1397">
        <v>2.4</v>
      </c>
      <c r="L1397" s="2">
        <v>365.67</v>
      </c>
      <c r="M1397">
        <v>2025</v>
      </c>
      <c r="N1397">
        <v>10</v>
      </c>
      <c r="O1397" t="s">
        <v>125</v>
      </c>
      <c r="P1397" s="2">
        <v>397.47</v>
      </c>
      <c r="Q1397" s="2">
        <v>31.8</v>
      </c>
      <c r="R1397" t="s">
        <v>69</v>
      </c>
      <c r="S1397">
        <v>0</v>
      </c>
      <c r="T1397">
        <v>0</v>
      </c>
      <c r="U1397">
        <f>IF(AND(OR(Dashboard!$D$4="Semua",D1397=Dashboard!$D$4),OR(Dashboard!$H$4="Semua",E1397=Dashboard!$H$4)),1,0)</f>
        <v>1</v>
      </c>
      <c r="V1397">
        <f>IF(U1397=1,IF(COUNTIFS($C$2:C1397,C1397,$U$2:U1397,1)=1,1,0),0)</f>
        <v>1</v>
      </c>
    </row>
    <row r="1398" spans="1:22" x14ac:dyDescent="0.35">
      <c r="A1398">
        <v>11397</v>
      </c>
      <c r="B1398" s="1">
        <v>45958</v>
      </c>
      <c r="C1398">
        <v>1580</v>
      </c>
      <c r="D1398" t="s">
        <v>80</v>
      </c>
      <c r="E1398" t="s">
        <v>74</v>
      </c>
      <c r="F1398">
        <v>7</v>
      </c>
      <c r="G1398" s="2">
        <v>271.25</v>
      </c>
      <c r="H1398">
        <v>0.12</v>
      </c>
      <c r="I1398" t="s">
        <v>68</v>
      </c>
      <c r="J1398">
        <v>8</v>
      </c>
      <c r="K1398">
        <v>2.5</v>
      </c>
      <c r="L1398" s="2">
        <v>1670.9</v>
      </c>
      <c r="M1398">
        <v>2025</v>
      </c>
      <c r="N1398">
        <v>10</v>
      </c>
      <c r="O1398" t="s">
        <v>125</v>
      </c>
      <c r="P1398" s="2">
        <v>1898.75</v>
      </c>
      <c r="Q1398" s="2">
        <v>227.85</v>
      </c>
      <c r="R1398" t="s">
        <v>79</v>
      </c>
      <c r="S1398">
        <v>0</v>
      </c>
      <c r="T1398">
        <v>0</v>
      </c>
      <c r="U1398">
        <f>IF(AND(OR(Dashboard!$D$4="Semua",D1398=Dashboard!$D$4),OR(Dashboard!$H$4="Semua",E1398=Dashboard!$H$4)),1,0)</f>
        <v>1</v>
      </c>
      <c r="V1398">
        <f>IF(U1398=1,IF(COUNTIFS($C$2:C1398,C1398,$U$2:U1398,1)=1,1,0),0)</f>
        <v>0</v>
      </c>
    </row>
    <row r="1399" spans="1:22" x14ac:dyDescent="0.35">
      <c r="A1399">
        <v>11398</v>
      </c>
      <c r="B1399" s="1">
        <v>45959</v>
      </c>
      <c r="C1399">
        <v>1317</v>
      </c>
      <c r="D1399" t="s">
        <v>73</v>
      </c>
      <c r="E1399" t="s">
        <v>78</v>
      </c>
      <c r="F1399">
        <v>4</v>
      </c>
      <c r="G1399" s="2">
        <v>468.94</v>
      </c>
      <c r="H1399">
        <v>0.13</v>
      </c>
      <c r="I1399" t="s">
        <v>68</v>
      </c>
      <c r="J1399">
        <v>5</v>
      </c>
      <c r="K1399">
        <v>4.3</v>
      </c>
      <c r="L1399" s="2">
        <v>1631.91</v>
      </c>
      <c r="M1399">
        <v>2025</v>
      </c>
      <c r="N1399">
        <v>10</v>
      </c>
      <c r="O1399" t="s">
        <v>125</v>
      </c>
      <c r="P1399" s="2">
        <v>1875.76</v>
      </c>
      <c r="Q1399" s="2">
        <v>243.85</v>
      </c>
      <c r="R1399" t="s">
        <v>79</v>
      </c>
      <c r="S1399">
        <v>0</v>
      </c>
      <c r="T1399">
        <v>0</v>
      </c>
      <c r="U1399">
        <f>IF(AND(OR(Dashboard!$D$4="Semua",D1399=Dashboard!$D$4),OR(Dashboard!$H$4="Semua",E1399=Dashboard!$H$4)),1,0)</f>
        <v>1</v>
      </c>
      <c r="V1399">
        <f>IF(U1399=1,IF(COUNTIFS($C$2:C1399,C1399,$U$2:U1399,1)=1,1,0),0)</f>
        <v>0</v>
      </c>
    </row>
    <row r="1400" spans="1:22" x14ac:dyDescent="0.35">
      <c r="A1400">
        <v>11399</v>
      </c>
      <c r="B1400" s="1">
        <v>45960</v>
      </c>
      <c r="C1400">
        <v>1955</v>
      </c>
      <c r="D1400" t="s">
        <v>73</v>
      </c>
      <c r="E1400" t="s">
        <v>74</v>
      </c>
      <c r="F1400">
        <v>2</v>
      </c>
      <c r="G1400" s="2">
        <v>435.77</v>
      </c>
      <c r="H1400">
        <v>0.34</v>
      </c>
      <c r="I1400" t="s">
        <v>68</v>
      </c>
      <c r="J1400">
        <v>9</v>
      </c>
      <c r="K1400">
        <v>4.2</v>
      </c>
      <c r="L1400" s="2">
        <v>575.22</v>
      </c>
      <c r="M1400">
        <v>2025</v>
      </c>
      <c r="N1400">
        <v>10</v>
      </c>
      <c r="O1400" t="s">
        <v>125</v>
      </c>
      <c r="P1400" s="2">
        <v>871.54</v>
      </c>
      <c r="Q1400" s="2">
        <v>296.32</v>
      </c>
      <c r="R1400" t="s">
        <v>72</v>
      </c>
      <c r="S1400">
        <v>0</v>
      </c>
      <c r="T1400">
        <v>0</v>
      </c>
      <c r="U1400">
        <f>IF(AND(OR(Dashboard!$D$4="Semua",D1400=Dashboard!$D$4),OR(Dashboard!$H$4="Semua",E1400=Dashboard!$H$4)),1,0)</f>
        <v>1</v>
      </c>
      <c r="V1400">
        <f>IF(U1400=1,IF(COUNTIFS($C$2:C1400,C1400,$U$2:U1400,1)=1,1,0),0)</f>
        <v>0</v>
      </c>
    </row>
    <row r="1401" spans="1:22" x14ac:dyDescent="0.35">
      <c r="A1401">
        <v>11400</v>
      </c>
      <c r="B1401" s="1">
        <v>45961</v>
      </c>
      <c r="C1401">
        <v>1235</v>
      </c>
      <c r="D1401" t="s">
        <v>67</v>
      </c>
      <c r="E1401" t="s">
        <v>78</v>
      </c>
      <c r="F1401">
        <v>2</v>
      </c>
      <c r="G1401" s="2">
        <v>89.02</v>
      </c>
      <c r="H1401">
        <v>0</v>
      </c>
      <c r="I1401" t="s">
        <v>71</v>
      </c>
      <c r="J1401">
        <v>8</v>
      </c>
      <c r="K1401">
        <v>4.9000000000000004</v>
      </c>
      <c r="L1401" s="2">
        <v>178.04</v>
      </c>
      <c r="M1401">
        <v>2025</v>
      </c>
      <c r="N1401">
        <v>10</v>
      </c>
      <c r="O1401" t="s">
        <v>125</v>
      </c>
      <c r="P1401" s="2">
        <v>178.04</v>
      </c>
      <c r="Q1401" s="2">
        <v>0</v>
      </c>
      <c r="R1401" t="s">
        <v>75</v>
      </c>
      <c r="S1401">
        <v>0</v>
      </c>
      <c r="T1401">
        <v>0</v>
      </c>
      <c r="U1401">
        <f>IF(AND(OR(Dashboard!$D$4="Semua",D1401=Dashboard!$D$4),OR(Dashboard!$H$4="Semua",E1401=Dashboard!$H$4)),1,0)</f>
        <v>1</v>
      </c>
      <c r="V1401">
        <f>IF(U1401=1,IF(COUNTIFS($C$2:C1401,C1401,$U$2:U1401,1)=1,1,0),0)</f>
        <v>0</v>
      </c>
    </row>
    <row r="1402" spans="1:22" x14ac:dyDescent="0.35">
      <c r="A1402">
        <v>11401</v>
      </c>
      <c r="B1402" s="1">
        <v>45962</v>
      </c>
      <c r="C1402">
        <v>1945</v>
      </c>
      <c r="D1402" t="s">
        <v>67</v>
      </c>
      <c r="E1402" t="s">
        <v>70</v>
      </c>
      <c r="F1402">
        <v>5</v>
      </c>
      <c r="G1402" s="2">
        <v>43.57</v>
      </c>
      <c r="H1402">
        <v>0.34</v>
      </c>
      <c r="I1402" t="s">
        <v>68</v>
      </c>
      <c r="J1402">
        <v>3</v>
      </c>
      <c r="K1402">
        <v>2.9</v>
      </c>
      <c r="L1402" s="2">
        <v>143.78</v>
      </c>
      <c r="M1402">
        <v>2025</v>
      </c>
      <c r="N1402">
        <v>11</v>
      </c>
      <c r="O1402" t="s">
        <v>126</v>
      </c>
      <c r="P1402" s="2">
        <v>217.85</v>
      </c>
      <c r="Q1402" s="2">
        <v>74.069999999999993</v>
      </c>
      <c r="R1402" t="s">
        <v>72</v>
      </c>
      <c r="S1402">
        <v>0</v>
      </c>
      <c r="T1402">
        <v>0</v>
      </c>
      <c r="U1402">
        <f>IF(AND(OR(Dashboard!$D$4="Semua",D1402=Dashboard!$D$4),OR(Dashboard!$H$4="Semua",E1402=Dashboard!$H$4)),1,0)</f>
        <v>1</v>
      </c>
      <c r="V1402">
        <f>IF(U1402=1,IF(COUNTIFS($C$2:C1402,C1402,$U$2:U1402,1)=1,1,0),0)</f>
        <v>0</v>
      </c>
    </row>
    <row r="1403" spans="1:22" x14ac:dyDescent="0.35">
      <c r="A1403">
        <v>11402</v>
      </c>
      <c r="B1403" s="1">
        <v>45963</v>
      </c>
      <c r="C1403">
        <v>1333</v>
      </c>
      <c r="D1403" t="s">
        <v>62</v>
      </c>
      <c r="E1403" t="s">
        <v>74</v>
      </c>
      <c r="F1403">
        <v>5</v>
      </c>
      <c r="G1403" s="2">
        <v>528.6</v>
      </c>
      <c r="H1403">
        <v>0.34</v>
      </c>
      <c r="I1403" t="s">
        <v>68</v>
      </c>
      <c r="J1403">
        <v>1</v>
      </c>
      <c r="K1403">
        <v>3.9</v>
      </c>
      <c r="L1403" s="2">
        <v>1744.38</v>
      </c>
      <c r="M1403">
        <v>2025</v>
      </c>
      <c r="N1403">
        <v>11</v>
      </c>
      <c r="O1403" t="s">
        <v>126</v>
      </c>
      <c r="P1403" s="2">
        <v>2643</v>
      </c>
      <c r="Q1403" s="2">
        <v>898.62</v>
      </c>
      <c r="R1403" t="s">
        <v>72</v>
      </c>
      <c r="S1403">
        <v>0</v>
      </c>
      <c r="T1403">
        <v>0</v>
      </c>
      <c r="U1403">
        <f>IF(AND(OR(Dashboard!$D$4="Semua",D1403=Dashboard!$D$4),OR(Dashboard!$H$4="Semua",E1403=Dashboard!$H$4)),1,0)</f>
        <v>1</v>
      </c>
      <c r="V1403">
        <f>IF(U1403=1,IF(COUNTIFS($C$2:C1403,C1403,$U$2:U1403,1)=1,1,0),0)</f>
        <v>1</v>
      </c>
    </row>
    <row r="1404" spans="1:22" x14ac:dyDescent="0.35">
      <c r="A1404">
        <v>11403</v>
      </c>
      <c r="B1404" s="1">
        <v>45964</v>
      </c>
      <c r="C1404">
        <v>1884</v>
      </c>
      <c r="D1404" t="s">
        <v>67</v>
      </c>
      <c r="E1404" t="s">
        <v>63</v>
      </c>
      <c r="F1404">
        <v>3</v>
      </c>
      <c r="G1404" s="2">
        <v>61.7</v>
      </c>
      <c r="H1404">
        <v>0.35</v>
      </c>
      <c r="I1404" t="s">
        <v>71</v>
      </c>
      <c r="J1404">
        <v>3</v>
      </c>
      <c r="K1404">
        <v>4.4000000000000004</v>
      </c>
      <c r="L1404" s="2">
        <v>120.32</v>
      </c>
      <c r="M1404">
        <v>2025</v>
      </c>
      <c r="N1404">
        <v>11</v>
      </c>
      <c r="O1404" t="s">
        <v>126</v>
      </c>
      <c r="P1404" s="2">
        <v>185.1</v>
      </c>
      <c r="Q1404" s="2">
        <v>64.78</v>
      </c>
      <c r="R1404" t="s">
        <v>72</v>
      </c>
      <c r="S1404">
        <v>0</v>
      </c>
      <c r="T1404">
        <v>0</v>
      </c>
      <c r="U1404">
        <f>IF(AND(OR(Dashboard!$D$4="Semua",D1404=Dashboard!$D$4),OR(Dashboard!$H$4="Semua",E1404=Dashboard!$H$4)),1,0)</f>
        <v>1</v>
      </c>
      <c r="V1404">
        <f>IF(U1404=1,IF(COUNTIFS($C$2:C1404,C1404,$U$2:U1404,1)=1,1,0),0)</f>
        <v>0</v>
      </c>
    </row>
    <row r="1405" spans="1:22" x14ac:dyDescent="0.35">
      <c r="A1405">
        <v>11404</v>
      </c>
      <c r="B1405" s="1">
        <v>45965</v>
      </c>
      <c r="C1405">
        <v>1375</v>
      </c>
      <c r="D1405" t="s">
        <v>73</v>
      </c>
      <c r="E1405" t="s">
        <v>63</v>
      </c>
      <c r="F1405">
        <v>3</v>
      </c>
      <c r="G1405" s="2">
        <v>101.78</v>
      </c>
      <c r="H1405">
        <v>0.17</v>
      </c>
      <c r="I1405" t="s">
        <v>71</v>
      </c>
      <c r="J1405">
        <v>2</v>
      </c>
      <c r="K1405">
        <v>1.9</v>
      </c>
      <c r="L1405" s="2">
        <v>253.43</v>
      </c>
      <c r="M1405">
        <v>2025</v>
      </c>
      <c r="N1405">
        <v>11</v>
      </c>
      <c r="O1405" t="s">
        <v>126</v>
      </c>
      <c r="P1405" s="2">
        <v>305.33999999999997</v>
      </c>
      <c r="Q1405" s="2">
        <v>51.91</v>
      </c>
      <c r="R1405" t="s">
        <v>76</v>
      </c>
      <c r="S1405">
        <v>0</v>
      </c>
      <c r="T1405">
        <v>0</v>
      </c>
      <c r="U1405">
        <f>IF(AND(OR(Dashboard!$D$4="Semua",D1405=Dashboard!$D$4),OR(Dashboard!$H$4="Semua",E1405=Dashboard!$H$4)),1,0)</f>
        <v>1</v>
      </c>
      <c r="V1405">
        <f>IF(U1405=1,IF(COUNTIFS($C$2:C1405,C1405,$U$2:U1405,1)=1,1,0),0)</f>
        <v>0</v>
      </c>
    </row>
    <row r="1406" spans="1:22" x14ac:dyDescent="0.35">
      <c r="A1406">
        <v>11405</v>
      </c>
      <c r="B1406" s="1">
        <v>45966</v>
      </c>
      <c r="C1406">
        <v>1458</v>
      </c>
      <c r="D1406" t="s">
        <v>80</v>
      </c>
      <c r="E1406" t="s">
        <v>63</v>
      </c>
      <c r="F1406">
        <v>5</v>
      </c>
      <c r="G1406" s="2">
        <v>27.95</v>
      </c>
      <c r="H1406">
        <v>0.34</v>
      </c>
      <c r="I1406" t="s">
        <v>68</v>
      </c>
      <c r="J1406">
        <v>2</v>
      </c>
      <c r="K1406">
        <v>3.5</v>
      </c>
      <c r="L1406" s="2">
        <v>92.23</v>
      </c>
      <c r="M1406">
        <v>2025</v>
      </c>
      <c r="N1406">
        <v>11</v>
      </c>
      <c r="O1406" t="s">
        <v>126</v>
      </c>
      <c r="P1406" s="2">
        <v>139.75</v>
      </c>
      <c r="Q1406" s="2">
        <v>47.52</v>
      </c>
      <c r="R1406" t="s">
        <v>72</v>
      </c>
      <c r="S1406">
        <v>0</v>
      </c>
      <c r="T1406">
        <v>0</v>
      </c>
      <c r="U1406">
        <f>IF(AND(OR(Dashboard!$D$4="Semua",D1406=Dashboard!$D$4),OR(Dashboard!$H$4="Semua",E1406=Dashboard!$H$4)),1,0)</f>
        <v>1</v>
      </c>
      <c r="V1406">
        <f>IF(U1406=1,IF(COUNTIFS($C$2:C1406,C1406,$U$2:U1406,1)=1,1,0),0)</f>
        <v>0</v>
      </c>
    </row>
    <row r="1407" spans="1:22" x14ac:dyDescent="0.35">
      <c r="A1407">
        <v>11406</v>
      </c>
      <c r="B1407" s="1">
        <v>45967</v>
      </c>
      <c r="C1407">
        <v>1136</v>
      </c>
      <c r="D1407" t="s">
        <v>73</v>
      </c>
      <c r="E1407" t="s">
        <v>70</v>
      </c>
      <c r="F1407">
        <v>4</v>
      </c>
      <c r="G1407" s="2">
        <v>382.58</v>
      </c>
      <c r="H1407">
        <v>0.14000000000000001</v>
      </c>
      <c r="I1407" t="s">
        <v>68</v>
      </c>
      <c r="J1407">
        <v>11</v>
      </c>
      <c r="K1407">
        <v>3.2</v>
      </c>
      <c r="L1407" s="2">
        <v>1316.08</v>
      </c>
      <c r="M1407">
        <v>2025</v>
      </c>
      <c r="N1407">
        <v>11</v>
      </c>
      <c r="O1407" t="s">
        <v>126</v>
      </c>
      <c r="P1407" s="2">
        <v>1530.32</v>
      </c>
      <c r="Q1407" s="2">
        <v>214.24</v>
      </c>
      <c r="R1407" t="s">
        <v>79</v>
      </c>
      <c r="S1407">
        <v>0</v>
      </c>
      <c r="T1407">
        <v>0</v>
      </c>
      <c r="U1407">
        <f>IF(AND(OR(Dashboard!$D$4="Semua",D1407=Dashboard!$D$4),OR(Dashboard!$H$4="Semua",E1407=Dashboard!$H$4)),1,0)</f>
        <v>1</v>
      </c>
      <c r="V1407">
        <f>IF(U1407=1,IF(COUNTIFS($C$2:C1407,C1407,$U$2:U1407,1)=1,1,0),0)</f>
        <v>0</v>
      </c>
    </row>
    <row r="1408" spans="1:22" x14ac:dyDescent="0.35">
      <c r="A1408">
        <v>11407</v>
      </c>
      <c r="B1408" s="1">
        <v>45968</v>
      </c>
      <c r="C1408">
        <v>1929</v>
      </c>
      <c r="D1408" t="s">
        <v>62</v>
      </c>
      <c r="E1408" t="s">
        <v>70</v>
      </c>
      <c r="F1408">
        <v>3</v>
      </c>
      <c r="G1408" s="2">
        <v>355.69</v>
      </c>
      <c r="H1408">
        <v>0.01</v>
      </c>
      <c r="I1408" t="s">
        <v>68</v>
      </c>
      <c r="J1408">
        <v>4</v>
      </c>
      <c r="K1408">
        <v>4</v>
      </c>
      <c r="L1408" s="2">
        <v>1056.4000000000001</v>
      </c>
      <c r="M1408">
        <v>2025</v>
      </c>
      <c r="N1408">
        <v>11</v>
      </c>
      <c r="O1408" t="s">
        <v>126</v>
      </c>
      <c r="P1408" s="2">
        <v>1067.07</v>
      </c>
      <c r="Q1408" s="2">
        <v>10.67</v>
      </c>
      <c r="R1408" t="s">
        <v>75</v>
      </c>
      <c r="S1408">
        <v>0</v>
      </c>
      <c r="T1408">
        <v>0</v>
      </c>
      <c r="U1408">
        <f>IF(AND(OR(Dashboard!$D$4="Semua",D1408=Dashboard!$D$4),OR(Dashboard!$H$4="Semua",E1408=Dashboard!$H$4)),1,0)</f>
        <v>1</v>
      </c>
      <c r="V1408">
        <f>IF(U1408=1,IF(COUNTIFS($C$2:C1408,C1408,$U$2:U1408,1)=1,1,0),0)</f>
        <v>0</v>
      </c>
    </row>
    <row r="1409" spans="1:22" x14ac:dyDescent="0.35">
      <c r="A1409">
        <v>11408</v>
      </c>
      <c r="B1409" s="1">
        <v>45969</v>
      </c>
      <c r="C1409">
        <v>1587</v>
      </c>
      <c r="D1409" t="s">
        <v>67</v>
      </c>
      <c r="E1409" t="s">
        <v>78</v>
      </c>
      <c r="F1409">
        <v>6</v>
      </c>
      <c r="G1409" s="2">
        <v>592.34</v>
      </c>
      <c r="H1409">
        <v>0.08</v>
      </c>
      <c r="I1409" t="s">
        <v>71</v>
      </c>
      <c r="J1409">
        <v>2</v>
      </c>
      <c r="K1409">
        <v>3.8</v>
      </c>
      <c r="L1409" s="2">
        <v>3269.72</v>
      </c>
      <c r="M1409">
        <v>2025</v>
      </c>
      <c r="N1409">
        <v>11</v>
      </c>
      <c r="O1409" t="s">
        <v>126</v>
      </c>
      <c r="P1409" s="2">
        <v>3554.04</v>
      </c>
      <c r="Q1409" s="2">
        <v>284.32</v>
      </c>
      <c r="R1409" t="s">
        <v>69</v>
      </c>
      <c r="S1409">
        <v>0</v>
      </c>
      <c r="T1409">
        <v>1</v>
      </c>
      <c r="U1409">
        <f>IF(AND(OR(Dashboard!$D$4="Semua",D1409=Dashboard!$D$4),OR(Dashboard!$H$4="Semua",E1409=Dashboard!$H$4)),1,0)</f>
        <v>1</v>
      </c>
      <c r="V1409">
        <f>IF(U1409=1,IF(COUNTIFS($C$2:C1409,C1409,$U$2:U1409,1)=1,1,0),0)</f>
        <v>0</v>
      </c>
    </row>
    <row r="1410" spans="1:22" x14ac:dyDescent="0.35">
      <c r="A1410">
        <v>11409</v>
      </c>
      <c r="B1410" s="1">
        <v>45970</v>
      </c>
      <c r="C1410">
        <v>1994</v>
      </c>
      <c r="D1410" t="s">
        <v>67</v>
      </c>
      <c r="E1410" t="s">
        <v>63</v>
      </c>
      <c r="F1410">
        <v>6</v>
      </c>
      <c r="G1410" s="2">
        <v>533.86</v>
      </c>
      <c r="H1410">
        <v>0.33</v>
      </c>
      <c r="I1410" t="s">
        <v>64</v>
      </c>
      <c r="J1410">
        <v>8</v>
      </c>
      <c r="K1410">
        <v>4.3</v>
      </c>
      <c r="L1410" s="2">
        <v>2146.12</v>
      </c>
      <c r="M1410">
        <v>2025</v>
      </c>
      <c r="N1410">
        <v>11</v>
      </c>
      <c r="O1410" t="s">
        <v>126</v>
      </c>
      <c r="P1410" s="2">
        <v>3203.16</v>
      </c>
      <c r="Q1410" s="2">
        <v>1057.04</v>
      </c>
      <c r="R1410" t="s">
        <v>72</v>
      </c>
      <c r="S1410">
        <v>0</v>
      </c>
      <c r="T1410">
        <v>0</v>
      </c>
      <c r="U1410">
        <f>IF(AND(OR(Dashboard!$D$4="Semua",D1410=Dashboard!$D$4),OR(Dashboard!$H$4="Semua",E1410=Dashboard!$H$4)),1,0)</f>
        <v>1</v>
      </c>
      <c r="V1410">
        <f>IF(U1410=1,IF(COUNTIFS($C$2:C1410,C1410,$U$2:U1410,1)=1,1,0),0)</f>
        <v>1</v>
      </c>
    </row>
    <row r="1411" spans="1:22" x14ac:dyDescent="0.35">
      <c r="A1411">
        <v>11410</v>
      </c>
      <c r="B1411" s="1">
        <v>45971</v>
      </c>
      <c r="C1411">
        <v>1546</v>
      </c>
      <c r="D1411" t="s">
        <v>73</v>
      </c>
      <c r="E1411" t="s">
        <v>78</v>
      </c>
      <c r="F1411">
        <v>4</v>
      </c>
      <c r="G1411" s="2">
        <v>255.34</v>
      </c>
      <c r="H1411">
        <v>0</v>
      </c>
      <c r="I1411" t="s">
        <v>71</v>
      </c>
      <c r="J1411">
        <v>5</v>
      </c>
      <c r="K1411">
        <v>2.2000000000000002</v>
      </c>
      <c r="L1411" s="2">
        <v>1021.36</v>
      </c>
      <c r="M1411">
        <v>2025</v>
      </c>
      <c r="N1411">
        <v>11</v>
      </c>
      <c r="O1411" t="s">
        <v>126</v>
      </c>
      <c r="P1411" s="2">
        <v>1021.36</v>
      </c>
      <c r="Q1411" s="2">
        <v>0</v>
      </c>
      <c r="R1411" t="s">
        <v>75</v>
      </c>
      <c r="S1411">
        <v>0</v>
      </c>
      <c r="T1411">
        <v>0</v>
      </c>
      <c r="U1411">
        <f>IF(AND(OR(Dashboard!$D$4="Semua",D1411=Dashboard!$D$4),OR(Dashboard!$H$4="Semua",E1411=Dashboard!$H$4)),1,0)</f>
        <v>1</v>
      </c>
      <c r="V1411">
        <f>IF(U1411=1,IF(COUNTIFS($C$2:C1411,C1411,$U$2:U1411,1)=1,1,0),0)</f>
        <v>0</v>
      </c>
    </row>
    <row r="1412" spans="1:22" x14ac:dyDescent="0.35">
      <c r="A1412">
        <v>11411</v>
      </c>
      <c r="B1412" s="1">
        <v>45972</v>
      </c>
      <c r="C1412">
        <v>1512</v>
      </c>
      <c r="D1412" t="s">
        <v>67</v>
      </c>
      <c r="E1412" t="s">
        <v>78</v>
      </c>
      <c r="F1412">
        <v>5</v>
      </c>
      <c r="G1412" s="2">
        <v>232.38</v>
      </c>
      <c r="H1412">
        <v>0.19</v>
      </c>
      <c r="I1412" t="s">
        <v>68</v>
      </c>
      <c r="J1412">
        <v>1</v>
      </c>
      <c r="K1412">
        <v>1.9</v>
      </c>
      <c r="L1412" s="2">
        <v>941.14</v>
      </c>
      <c r="M1412">
        <v>2025</v>
      </c>
      <c r="N1412">
        <v>11</v>
      </c>
      <c r="O1412" t="s">
        <v>126</v>
      </c>
      <c r="P1412" s="2">
        <v>1161.9000000000001</v>
      </c>
      <c r="Q1412" s="2">
        <v>220.76</v>
      </c>
      <c r="R1412" t="s">
        <v>76</v>
      </c>
      <c r="S1412">
        <v>0</v>
      </c>
      <c r="T1412">
        <v>0</v>
      </c>
      <c r="U1412">
        <f>IF(AND(OR(Dashboard!$D$4="Semua",D1412=Dashboard!$D$4),OR(Dashboard!$H$4="Semua",E1412=Dashboard!$H$4)),1,0)</f>
        <v>1</v>
      </c>
      <c r="V1412">
        <f>IF(U1412=1,IF(COUNTIFS($C$2:C1412,C1412,$U$2:U1412,1)=1,1,0),0)</f>
        <v>0</v>
      </c>
    </row>
    <row r="1413" spans="1:22" x14ac:dyDescent="0.35">
      <c r="A1413">
        <v>11412</v>
      </c>
      <c r="B1413" s="1">
        <v>45973</v>
      </c>
      <c r="C1413">
        <v>1295</v>
      </c>
      <c r="D1413" t="s">
        <v>80</v>
      </c>
      <c r="E1413" t="s">
        <v>74</v>
      </c>
      <c r="F1413">
        <v>3</v>
      </c>
      <c r="G1413" s="2">
        <v>188.66</v>
      </c>
      <c r="H1413">
        <v>0.03</v>
      </c>
      <c r="I1413" t="s">
        <v>71</v>
      </c>
      <c r="J1413">
        <v>6</v>
      </c>
      <c r="K1413">
        <v>4.2</v>
      </c>
      <c r="L1413" s="2">
        <v>549</v>
      </c>
      <c r="M1413">
        <v>2025</v>
      </c>
      <c r="N1413">
        <v>11</v>
      </c>
      <c r="O1413" t="s">
        <v>126</v>
      </c>
      <c r="P1413" s="2">
        <v>565.98</v>
      </c>
      <c r="Q1413" s="2">
        <v>16.98</v>
      </c>
      <c r="R1413" t="s">
        <v>75</v>
      </c>
      <c r="S1413">
        <v>0</v>
      </c>
      <c r="T1413">
        <v>0</v>
      </c>
      <c r="U1413">
        <f>IF(AND(OR(Dashboard!$D$4="Semua",D1413=Dashboard!$D$4),OR(Dashboard!$H$4="Semua",E1413=Dashboard!$H$4)),1,0)</f>
        <v>1</v>
      </c>
      <c r="V1413">
        <f>IF(U1413=1,IF(COUNTIFS($C$2:C1413,C1413,$U$2:U1413,1)=1,1,0),0)</f>
        <v>0</v>
      </c>
    </row>
    <row r="1414" spans="1:22" x14ac:dyDescent="0.35">
      <c r="A1414">
        <v>11413</v>
      </c>
      <c r="B1414" s="1">
        <v>45974</v>
      </c>
      <c r="C1414">
        <v>1319</v>
      </c>
      <c r="D1414" t="s">
        <v>80</v>
      </c>
      <c r="E1414" t="s">
        <v>74</v>
      </c>
      <c r="F1414">
        <v>2</v>
      </c>
      <c r="G1414" s="2">
        <v>104.16</v>
      </c>
      <c r="H1414">
        <v>0.1</v>
      </c>
      <c r="I1414" t="s">
        <v>68</v>
      </c>
      <c r="J1414">
        <v>7</v>
      </c>
      <c r="K1414">
        <v>2.4</v>
      </c>
      <c r="L1414" s="2">
        <v>187.49</v>
      </c>
      <c r="M1414">
        <v>2025</v>
      </c>
      <c r="N1414">
        <v>11</v>
      </c>
      <c r="O1414" t="s">
        <v>126</v>
      </c>
      <c r="P1414" s="2">
        <v>208.32</v>
      </c>
      <c r="Q1414" s="2">
        <v>20.83</v>
      </c>
      <c r="R1414" t="s">
        <v>69</v>
      </c>
      <c r="S1414">
        <v>0</v>
      </c>
      <c r="T1414">
        <v>0</v>
      </c>
      <c r="U1414">
        <f>IF(AND(OR(Dashboard!$D$4="Semua",D1414=Dashboard!$D$4),OR(Dashboard!$H$4="Semua",E1414=Dashboard!$H$4)),1,0)</f>
        <v>1</v>
      </c>
      <c r="V1414">
        <f>IF(U1414=1,IF(COUNTIFS($C$2:C1414,C1414,$U$2:U1414,1)=1,1,0),0)</f>
        <v>0</v>
      </c>
    </row>
    <row r="1415" spans="1:22" x14ac:dyDescent="0.35">
      <c r="A1415">
        <v>11414</v>
      </c>
      <c r="B1415" s="1">
        <v>45975</v>
      </c>
      <c r="C1415">
        <v>1917</v>
      </c>
      <c r="D1415" t="s">
        <v>73</v>
      </c>
      <c r="E1415" t="s">
        <v>63</v>
      </c>
      <c r="F1415">
        <v>5</v>
      </c>
      <c r="G1415" s="2">
        <v>95.78</v>
      </c>
      <c r="H1415">
        <v>0.03</v>
      </c>
      <c r="I1415" t="s">
        <v>68</v>
      </c>
      <c r="J1415">
        <v>1</v>
      </c>
      <c r="K1415">
        <v>2.2000000000000002</v>
      </c>
      <c r="L1415" s="2">
        <v>464.53</v>
      </c>
      <c r="M1415">
        <v>2025</v>
      </c>
      <c r="N1415">
        <v>11</v>
      </c>
      <c r="O1415" t="s">
        <v>126</v>
      </c>
      <c r="P1415" s="2">
        <v>478.9</v>
      </c>
      <c r="Q1415" s="2">
        <v>14.37</v>
      </c>
      <c r="R1415" t="s">
        <v>75</v>
      </c>
      <c r="S1415">
        <v>0</v>
      </c>
      <c r="T1415">
        <v>0</v>
      </c>
      <c r="U1415">
        <f>IF(AND(OR(Dashboard!$D$4="Semua",D1415=Dashboard!$D$4),OR(Dashboard!$H$4="Semua",E1415=Dashboard!$H$4)),1,0)</f>
        <v>1</v>
      </c>
      <c r="V1415">
        <f>IF(U1415=1,IF(COUNTIFS($C$2:C1415,C1415,$U$2:U1415,1)=1,1,0),0)</f>
        <v>1</v>
      </c>
    </row>
    <row r="1416" spans="1:22" x14ac:dyDescent="0.35">
      <c r="A1416">
        <v>11415</v>
      </c>
      <c r="B1416" s="1">
        <v>45976</v>
      </c>
      <c r="C1416">
        <v>1571</v>
      </c>
      <c r="D1416" t="s">
        <v>73</v>
      </c>
      <c r="E1416" t="s">
        <v>70</v>
      </c>
      <c r="F1416">
        <v>3</v>
      </c>
      <c r="G1416" s="2">
        <v>92.39</v>
      </c>
      <c r="H1416">
        <v>0.3</v>
      </c>
      <c r="I1416" t="s">
        <v>68</v>
      </c>
      <c r="J1416">
        <v>3</v>
      </c>
      <c r="K1416">
        <v>2.2999999999999998</v>
      </c>
      <c r="L1416" s="2">
        <v>194.02</v>
      </c>
      <c r="M1416">
        <v>2025</v>
      </c>
      <c r="N1416">
        <v>11</v>
      </c>
      <c r="O1416" t="s">
        <v>126</v>
      </c>
      <c r="P1416" s="2">
        <v>277.17</v>
      </c>
      <c r="Q1416" s="2">
        <v>83.15</v>
      </c>
      <c r="R1416" t="s">
        <v>66</v>
      </c>
      <c r="S1416">
        <v>0</v>
      </c>
      <c r="T1416">
        <v>0</v>
      </c>
      <c r="U1416">
        <f>IF(AND(OR(Dashboard!$D$4="Semua",D1416=Dashboard!$D$4),OR(Dashboard!$H$4="Semua",E1416=Dashboard!$H$4)),1,0)</f>
        <v>1</v>
      </c>
      <c r="V1416">
        <f>IF(U1416=1,IF(COUNTIFS($C$2:C1416,C1416,$U$2:U1416,1)=1,1,0),0)</f>
        <v>0</v>
      </c>
    </row>
    <row r="1417" spans="1:22" x14ac:dyDescent="0.35">
      <c r="A1417">
        <v>11416</v>
      </c>
      <c r="B1417" s="1">
        <v>45977</v>
      </c>
      <c r="C1417">
        <v>1831</v>
      </c>
      <c r="D1417" t="s">
        <v>80</v>
      </c>
      <c r="E1417" t="s">
        <v>74</v>
      </c>
      <c r="F1417">
        <v>4</v>
      </c>
      <c r="G1417" s="2">
        <v>81.760000000000005</v>
      </c>
      <c r="H1417">
        <v>0.21</v>
      </c>
      <c r="I1417" t="s">
        <v>71</v>
      </c>
      <c r="J1417">
        <v>9</v>
      </c>
      <c r="K1417">
        <v>1.3</v>
      </c>
      <c r="L1417" s="2">
        <v>258.36</v>
      </c>
      <c r="M1417">
        <v>2025</v>
      </c>
      <c r="N1417">
        <v>11</v>
      </c>
      <c r="O1417" t="s">
        <v>126</v>
      </c>
      <c r="P1417" s="2">
        <v>327.04000000000002</v>
      </c>
      <c r="Q1417" s="2">
        <v>68.680000000000007</v>
      </c>
      <c r="R1417" t="s">
        <v>77</v>
      </c>
      <c r="S1417">
        <v>0</v>
      </c>
      <c r="T1417">
        <v>0</v>
      </c>
      <c r="U1417">
        <f>IF(AND(OR(Dashboard!$D$4="Semua",D1417=Dashboard!$D$4),OR(Dashboard!$H$4="Semua",E1417=Dashboard!$H$4)),1,0)</f>
        <v>1</v>
      </c>
      <c r="V1417">
        <f>IF(U1417=1,IF(COUNTIFS($C$2:C1417,C1417,$U$2:U1417,1)=1,1,0),0)</f>
        <v>0</v>
      </c>
    </row>
    <row r="1418" spans="1:22" x14ac:dyDescent="0.35">
      <c r="A1418">
        <v>11417</v>
      </c>
      <c r="B1418" s="1">
        <v>45978</v>
      </c>
      <c r="C1418">
        <v>1348</v>
      </c>
      <c r="D1418" t="s">
        <v>62</v>
      </c>
      <c r="E1418" t="s">
        <v>70</v>
      </c>
      <c r="F1418">
        <v>6</v>
      </c>
      <c r="G1418" s="2">
        <v>155.69999999999999</v>
      </c>
      <c r="H1418">
        <v>0.32</v>
      </c>
      <c r="I1418" t="s">
        <v>71</v>
      </c>
      <c r="J1418">
        <v>7</v>
      </c>
      <c r="K1418">
        <v>4.0999999999999996</v>
      </c>
      <c r="L1418" s="2">
        <v>635.26</v>
      </c>
      <c r="M1418">
        <v>2025</v>
      </c>
      <c r="N1418">
        <v>11</v>
      </c>
      <c r="O1418" t="s">
        <v>126</v>
      </c>
      <c r="P1418" s="2">
        <v>934.2</v>
      </c>
      <c r="Q1418" s="2">
        <v>298.94</v>
      </c>
      <c r="R1418" t="s">
        <v>72</v>
      </c>
      <c r="S1418">
        <v>0</v>
      </c>
      <c r="T1418">
        <v>0</v>
      </c>
      <c r="U1418">
        <f>IF(AND(OR(Dashboard!$D$4="Semua",D1418=Dashboard!$D$4),OR(Dashboard!$H$4="Semua",E1418=Dashboard!$H$4)),1,0)</f>
        <v>1</v>
      </c>
      <c r="V1418">
        <f>IF(U1418=1,IF(COUNTIFS($C$2:C1418,C1418,$U$2:U1418,1)=1,1,0),0)</f>
        <v>0</v>
      </c>
    </row>
    <row r="1419" spans="1:22" x14ac:dyDescent="0.35">
      <c r="A1419">
        <v>11418</v>
      </c>
      <c r="B1419" s="1">
        <v>45979</v>
      </c>
      <c r="C1419">
        <v>1839</v>
      </c>
      <c r="D1419" t="s">
        <v>73</v>
      </c>
      <c r="E1419" t="s">
        <v>78</v>
      </c>
      <c r="F1419">
        <v>4</v>
      </c>
      <c r="G1419" s="2">
        <v>194.4</v>
      </c>
      <c r="H1419">
        <v>0.24</v>
      </c>
      <c r="I1419" t="s">
        <v>71</v>
      </c>
      <c r="J1419">
        <v>4</v>
      </c>
      <c r="K1419">
        <v>3.9</v>
      </c>
      <c r="L1419" s="2">
        <v>590.98</v>
      </c>
      <c r="M1419">
        <v>2025</v>
      </c>
      <c r="N1419">
        <v>11</v>
      </c>
      <c r="O1419" t="s">
        <v>126</v>
      </c>
      <c r="P1419" s="2">
        <v>777.6</v>
      </c>
      <c r="Q1419" s="2">
        <v>186.62</v>
      </c>
      <c r="R1419" t="s">
        <v>77</v>
      </c>
      <c r="S1419">
        <v>0</v>
      </c>
      <c r="T1419">
        <v>0</v>
      </c>
      <c r="U1419">
        <f>IF(AND(OR(Dashboard!$D$4="Semua",D1419=Dashboard!$D$4),OR(Dashboard!$H$4="Semua",E1419=Dashboard!$H$4)),1,0)</f>
        <v>1</v>
      </c>
      <c r="V1419">
        <f>IF(U1419=1,IF(COUNTIFS($C$2:C1419,C1419,$U$2:U1419,1)=1,1,0),0)</f>
        <v>0</v>
      </c>
    </row>
    <row r="1420" spans="1:22" x14ac:dyDescent="0.35">
      <c r="A1420">
        <v>11419</v>
      </c>
      <c r="B1420" s="1">
        <v>45980</v>
      </c>
      <c r="C1420">
        <v>1778</v>
      </c>
      <c r="D1420" t="s">
        <v>67</v>
      </c>
      <c r="E1420" t="s">
        <v>78</v>
      </c>
      <c r="F1420">
        <v>3</v>
      </c>
      <c r="G1420" s="2">
        <v>577.52</v>
      </c>
      <c r="H1420">
        <v>0.34</v>
      </c>
      <c r="I1420" t="s">
        <v>71</v>
      </c>
      <c r="J1420">
        <v>6</v>
      </c>
      <c r="K1420">
        <v>3.2</v>
      </c>
      <c r="L1420" s="2">
        <v>1143.49</v>
      </c>
      <c r="M1420">
        <v>2025</v>
      </c>
      <c r="N1420">
        <v>11</v>
      </c>
      <c r="O1420" t="s">
        <v>126</v>
      </c>
      <c r="P1420" s="2">
        <v>1732.56</v>
      </c>
      <c r="Q1420" s="2">
        <v>589.07000000000005</v>
      </c>
      <c r="R1420" t="s">
        <v>72</v>
      </c>
      <c r="S1420">
        <v>0</v>
      </c>
      <c r="T1420">
        <v>0</v>
      </c>
      <c r="U1420">
        <f>IF(AND(OR(Dashboard!$D$4="Semua",D1420=Dashboard!$D$4),OR(Dashboard!$H$4="Semua",E1420=Dashboard!$H$4)),1,0)</f>
        <v>1</v>
      </c>
      <c r="V1420">
        <f>IF(U1420=1,IF(COUNTIFS($C$2:C1420,C1420,$U$2:U1420,1)=1,1,0),0)</f>
        <v>0</v>
      </c>
    </row>
    <row r="1421" spans="1:22" x14ac:dyDescent="0.35">
      <c r="A1421">
        <v>11420</v>
      </c>
      <c r="B1421" s="1">
        <v>45981</v>
      </c>
      <c r="C1421">
        <v>1872</v>
      </c>
      <c r="D1421" t="s">
        <v>73</v>
      </c>
      <c r="E1421" t="s">
        <v>78</v>
      </c>
      <c r="F1421">
        <v>4</v>
      </c>
      <c r="G1421" s="2">
        <v>353.41</v>
      </c>
      <c r="H1421">
        <v>0.18</v>
      </c>
      <c r="I1421" t="s">
        <v>68</v>
      </c>
      <c r="J1421">
        <v>6</v>
      </c>
      <c r="K1421">
        <v>3.9</v>
      </c>
      <c r="L1421" s="2">
        <v>1159.18</v>
      </c>
      <c r="M1421">
        <v>2025</v>
      </c>
      <c r="N1421">
        <v>11</v>
      </c>
      <c r="O1421" t="s">
        <v>126</v>
      </c>
      <c r="P1421" s="2">
        <v>1413.64</v>
      </c>
      <c r="Q1421" s="2">
        <v>254.46</v>
      </c>
      <c r="R1421" t="s">
        <v>76</v>
      </c>
      <c r="S1421">
        <v>0</v>
      </c>
      <c r="T1421">
        <v>0</v>
      </c>
      <c r="U1421">
        <f>IF(AND(OR(Dashboard!$D$4="Semua",D1421=Dashboard!$D$4),OR(Dashboard!$H$4="Semua",E1421=Dashboard!$H$4)),1,0)</f>
        <v>1</v>
      </c>
      <c r="V1421">
        <f>IF(U1421=1,IF(COUNTIFS($C$2:C1421,C1421,$U$2:U1421,1)=1,1,0),0)</f>
        <v>0</v>
      </c>
    </row>
    <row r="1422" spans="1:22" x14ac:dyDescent="0.35">
      <c r="A1422">
        <v>11421</v>
      </c>
      <c r="B1422" s="1">
        <v>45982</v>
      </c>
      <c r="C1422">
        <v>1228</v>
      </c>
      <c r="D1422" t="s">
        <v>62</v>
      </c>
      <c r="E1422" t="s">
        <v>78</v>
      </c>
      <c r="F1422">
        <v>3</v>
      </c>
      <c r="G1422" s="2">
        <v>592.74</v>
      </c>
      <c r="H1422">
        <v>0.22</v>
      </c>
      <c r="I1422" t="s">
        <v>68</v>
      </c>
      <c r="J1422">
        <v>3</v>
      </c>
      <c r="K1422">
        <v>2.5</v>
      </c>
      <c r="L1422" s="2">
        <v>1387.01</v>
      </c>
      <c r="M1422">
        <v>2025</v>
      </c>
      <c r="N1422">
        <v>11</v>
      </c>
      <c r="O1422" t="s">
        <v>126</v>
      </c>
      <c r="P1422" s="2">
        <v>1778.22</v>
      </c>
      <c r="Q1422" s="2">
        <v>391.21</v>
      </c>
      <c r="R1422" t="s">
        <v>77</v>
      </c>
      <c r="S1422">
        <v>0</v>
      </c>
      <c r="T1422">
        <v>0</v>
      </c>
      <c r="U1422">
        <f>IF(AND(OR(Dashboard!$D$4="Semua",D1422=Dashboard!$D$4),OR(Dashboard!$H$4="Semua",E1422=Dashboard!$H$4)),1,0)</f>
        <v>1</v>
      </c>
      <c r="V1422">
        <f>IF(U1422=1,IF(COUNTIFS($C$2:C1422,C1422,$U$2:U1422,1)=1,1,0),0)</f>
        <v>0</v>
      </c>
    </row>
    <row r="1423" spans="1:22" x14ac:dyDescent="0.35">
      <c r="A1423">
        <v>11422</v>
      </c>
      <c r="B1423" s="1">
        <v>45983</v>
      </c>
      <c r="C1423">
        <v>1269</v>
      </c>
      <c r="D1423" t="s">
        <v>73</v>
      </c>
      <c r="E1423" t="s">
        <v>63</v>
      </c>
      <c r="F1423">
        <v>3</v>
      </c>
      <c r="G1423" s="2">
        <v>232.89</v>
      </c>
      <c r="H1423">
        <v>0.2</v>
      </c>
      <c r="I1423" t="s">
        <v>71</v>
      </c>
      <c r="J1423">
        <v>2</v>
      </c>
      <c r="K1423">
        <v>2.2000000000000002</v>
      </c>
      <c r="L1423" s="2">
        <v>558.94000000000005</v>
      </c>
      <c r="M1423">
        <v>2025</v>
      </c>
      <c r="N1423">
        <v>11</v>
      </c>
      <c r="O1423" t="s">
        <v>126</v>
      </c>
      <c r="P1423" s="2">
        <v>698.67</v>
      </c>
      <c r="Q1423" s="2">
        <v>139.72999999999999</v>
      </c>
      <c r="R1423" t="s">
        <v>76</v>
      </c>
      <c r="S1423">
        <v>0</v>
      </c>
      <c r="T1423">
        <v>0</v>
      </c>
      <c r="U1423">
        <f>IF(AND(OR(Dashboard!$D$4="Semua",D1423=Dashboard!$D$4),OR(Dashboard!$H$4="Semua",E1423=Dashboard!$H$4)),1,0)</f>
        <v>1</v>
      </c>
      <c r="V1423">
        <f>IF(U1423=1,IF(COUNTIFS($C$2:C1423,C1423,$U$2:U1423,1)=1,1,0),0)</f>
        <v>0</v>
      </c>
    </row>
    <row r="1424" spans="1:22" x14ac:dyDescent="0.35">
      <c r="A1424">
        <v>11423</v>
      </c>
      <c r="B1424" s="1">
        <v>45984</v>
      </c>
      <c r="C1424">
        <v>1827</v>
      </c>
      <c r="D1424" t="s">
        <v>73</v>
      </c>
      <c r="E1424" t="s">
        <v>78</v>
      </c>
      <c r="F1424">
        <v>4</v>
      </c>
      <c r="G1424" s="2">
        <v>282.70999999999998</v>
      </c>
      <c r="H1424">
        <v>0.17</v>
      </c>
      <c r="I1424" t="s">
        <v>71</v>
      </c>
      <c r="J1424">
        <v>5</v>
      </c>
      <c r="K1424">
        <v>4.4000000000000004</v>
      </c>
      <c r="L1424" s="2">
        <v>938.6</v>
      </c>
      <c r="M1424">
        <v>2025</v>
      </c>
      <c r="N1424">
        <v>11</v>
      </c>
      <c r="O1424" t="s">
        <v>126</v>
      </c>
      <c r="P1424" s="2">
        <v>1130.8399999999999</v>
      </c>
      <c r="Q1424" s="2">
        <v>192.24</v>
      </c>
      <c r="R1424" t="s">
        <v>76</v>
      </c>
      <c r="S1424">
        <v>0</v>
      </c>
      <c r="T1424">
        <v>0</v>
      </c>
      <c r="U1424">
        <f>IF(AND(OR(Dashboard!$D$4="Semua",D1424=Dashboard!$D$4),OR(Dashboard!$H$4="Semua",E1424=Dashboard!$H$4)),1,0)</f>
        <v>1</v>
      </c>
      <c r="V1424">
        <f>IF(U1424=1,IF(COUNTIFS($C$2:C1424,C1424,$U$2:U1424,1)=1,1,0),0)</f>
        <v>0</v>
      </c>
    </row>
    <row r="1425" spans="1:22" x14ac:dyDescent="0.35">
      <c r="A1425">
        <v>11424</v>
      </c>
      <c r="B1425" s="1">
        <v>45985</v>
      </c>
      <c r="C1425">
        <v>1797</v>
      </c>
      <c r="D1425" t="s">
        <v>80</v>
      </c>
      <c r="E1425" t="s">
        <v>74</v>
      </c>
      <c r="F1425">
        <v>1</v>
      </c>
      <c r="G1425" s="2">
        <v>204.88</v>
      </c>
      <c r="H1425">
        <v>0.3</v>
      </c>
      <c r="I1425" t="s">
        <v>71</v>
      </c>
      <c r="J1425">
        <v>8</v>
      </c>
      <c r="K1425">
        <v>2.7</v>
      </c>
      <c r="L1425" s="2">
        <v>143.41999999999999</v>
      </c>
      <c r="M1425">
        <v>2025</v>
      </c>
      <c r="N1425">
        <v>11</v>
      </c>
      <c r="O1425" t="s">
        <v>126</v>
      </c>
      <c r="P1425" s="2">
        <v>204.88</v>
      </c>
      <c r="Q1425" s="2">
        <v>61.46</v>
      </c>
      <c r="R1425" t="s">
        <v>66</v>
      </c>
      <c r="S1425">
        <v>0</v>
      </c>
      <c r="T1425">
        <v>0</v>
      </c>
      <c r="U1425">
        <f>IF(AND(OR(Dashboard!$D$4="Semua",D1425=Dashboard!$D$4),OR(Dashboard!$H$4="Semua",E1425=Dashboard!$H$4)),1,0)</f>
        <v>1</v>
      </c>
      <c r="V1425">
        <f>IF(U1425=1,IF(COUNTIFS($C$2:C1425,C1425,$U$2:U1425,1)=1,1,0),0)</f>
        <v>0</v>
      </c>
    </row>
    <row r="1426" spans="1:22" x14ac:dyDescent="0.35">
      <c r="A1426">
        <v>11425</v>
      </c>
      <c r="B1426" s="1">
        <v>45986</v>
      </c>
      <c r="C1426">
        <v>1290</v>
      </c>
      <c r="D1426" t="s">
        <v>73</v>
      </c>
      <c r="E1426" t="s">
        <v>78</v>
      </c>
      <c r="F1426">
        <v>2</v>
      </c>
      <c r="G1426" s="2">
        <v>121.99</v>
      </c>
      <c r="H1426">
        <v>0.23</v>
      </c>
      <c r="I1426" t="s">
        <v>68</v>
      </c>
      <c r="J1426">
        <v>3</v>
      </c>
      <c r="K1426">
        <v>1.8</v>
      </c>
      <c r="L1426" s="2">
        <v>187.86</v>
      </c>
      <c r="M1426">
        <v>2025</v>
      </c>
      <c r="N1426">
        <v>11</v>
      </c>
      <c r="O1426" t="s">
        <v>126</v>
      </c>
      <c r="P1426" s="2">
        <v>243.98</v>
      </c>
      <c r="Q1426" s="2">
        <v>56.12</v>
      </c>
      <c r="R1426" t="s">
        <v>77</v>
      </c>
      <c r="S1426">
        <v>0</v>
      </c>
      <c r="T1426">
        <v>0</v>
      </c>
      <c r="U1426">
        <f>IF(AND(OR(Dashboard!$D$4="Semua",D1426=Dashboard!$D$4),OR(Dashboard!$H$4="Semua",E1426=Dashboard!$H$4)),1,0)</f>
        <v>1</v>
      </c>
      <c r="V1426">
        <f>IF(U1426=1,IF(COUNTIFS($C$2:C1426,C1426,$U$2:U1426,1)=1,1,0),0)</f>
        <v>1</v>
      </c>
    </row>
    <row r="1427" spans="1:22" x14ac:dyDescent="0.35">
      <c r="A1427">
        <v>11426</v>
      </c>
      <c r="B1427" s="1">
        <v>45987</v>
      </c>
      <c r="C1427">
        <v>1724</v>
      </c>
      <c r="D1427" t="s">
        <v>67</v>
      </c>
      <c r="E1427" t="s">
        <v>70</v>
      </c>
      <c r="F1427">
        <v>5</v>
      </c>
      <c r="G1427" s="2">
        <v>98.75</v>
      </c>
      <c r="H1427">
        <v>0.28000000000000003</v>
      </c>
      <c r="I1427" t="s">
        <v>71</v>
      </c>
      <c r="J1427">
        <v>5</v>
      </c>
      <c r="K1427">
        <v>4</v>
      </c>
      <c r="L1427" s="2">
        <v>355.5</v>
      </c>
      <c r="M1427">
        <v>2025</v>
      </c>
      <c r="N1427">
        <v>11</v>
      </c>
      <c r="O1427" t="s">
        <v>126</v>
      </c>
      <c r="P1427" s="2">
        <v>493.75</v>
      </c>
      <c r="Q1427" s="2">
        <v>138.25</v>
      </c>
      <c r="R1427" t="s">
        <v>66</v>
      </c>
      <c r="S1427">
        <v>0</v>
      </c>
      <c r="T1427">
        <v>0</v>
      </c>
      <c r="U1427">
        <f>IF(AND(OR(Dashboard!$D$4="Semua",D1427=Dashboard!$D$4),OR(Dashboard!$H$4="Semua",E1427=Dashboard!$H$4)),1,0)</f>
        <v>1</v>
      </c>
      <c r="V1427">
        <f>IF(U1427=1,IF(COUNTIFS($C$2:C1427,C1427,$U$2:U1427,1)=1,1,0),0)</f>
        <v>0</v>
      </c>
    </row>
    <row r="1428" spans="1:22" x14ac:dyDescent="0.35">
      <c r="A1428">
        <v>11427</v>
      </c>
      <c r="B1428" s="1">
        <v>45988</v>
      </c>
      <c r="C1428">
        <v>1164</v>
      </c>
      <c r="D1428" t="s">
        <v>67</v>
      </c>
      <c r="E1428" t="s">
        <v>74</v>
      </c>
      <c r="F1428">
        <v>6</v>
      </c>
      <c r="G1428" s="2">
        <v>567.87</v>
      </c>
      <c r="H1428">
        <v>0.28000000000000003</v>
      </c>
      <c r="I1428" t="s">
        <v>68</v>
      </c>
      <c r="J1428">
        <v>3</v>
      </c>
      <c r="K1428">
        <v>2.2999999999999998</v>
      </c>
      <c r="L1428" s="2">
        <v>2453.1999999999998</v>
      </c>
      <c r="M1428">
        <v>2025</v>
      </c>
      <c r="N1428">
        <v>11</v>
      </c>
      <c r="O1428" t="s">
        <v>126</v>
      </c>
      <c r="P1428" s="2">
        <v>3407.22</v>
      </c>
      <c r="Q1428" s="2">
        <v>954.02</v>
      </c>
      <c r="R1428" t="s">
        <v>66</v>
      </c>
      <c r="S1428">
        <v>0</v>
      </c>
      <c r="T1428">
        <v>0</v>
      </c>
      <c r="U1428">
        <f>IF(AND(OR(Dashboard!$D$4="Semua",D1428=Dashboard!$D$4),OR(Dashboard!$H$4="Semua",E1428=Dashboard!$H$4)),1,0)</f>
        <v>1</v>
      </c>
      <c r="V1428">
        <f>IF(U1428=1,IF(COUNTIFS($C$2:C1428,C1428,$U$2:U1428,1)=1,1,0),0)</f>
        <v>0</v>
      </c>
    </row>
    <row r="1429" spans="1:22" x14ac:dyDescent="0.35">
      <c r="A1429">
        <v>11428</v>
      </c>
      <c r="B1429" s="1">
        <v>45989</v>
      </c>
      <c r="C1429">
        <v>1004</v>
      </c>
      <c r="D1429" t="s">
        <v>73</v>
      </c>
      <c r="E1429" t="s">
        <v>70</v>
      </c>
      <c r="F1429">
        <v>2</v>
      </c>
      <c r="G1429" s="2">
        <v>592.28</v>
      </c>
      <c r="H1429">
        <v>7.0000000000000007E-2</v>
      </c>
      <c r="I1429" t="s">
        <v>71</v>
      </c>
      <c r="J1429">
        <v>7</v>
      </c>
      <c r="K1429">
        <v>1.8</v>
      </c>
      <c r="L1429" s="2">
        <v>1101.6400000000001</v>
      </c>
      <c r="M1429">
        <v>2025</v>
      </c>
      <c r="N1429">
        <v>11</v>
      </c>
      <c r="O1429" t="s">
        <v>126</v>
      </c>
      <c r="P1429" s="2">
        <v>1184.56</v>
      </c>
      <c r="Q1429" s="2">
        <v>82.92</v>
      </c>
      <c r="R1429" t="s">
        <v>69</v>
      </c>
      <c r="S1429">
        <v>0</v>
      </c>
      <c r="T1429">
        <v>0</v>
      </c>
      <c r="U1429">
        <f>IF(AND(OR(Dashboard!$D$4="Semua",D1429=Dashboard!$D$4),OR(Dashboard!$H$4="Semua",E1429=Dashboard!$H$4)),1,0)</f>
        <v>1</v>
      </c>
      <c r="V1429">
        <f>IF(U1429=1,IF(COUNTIFS($C$2:C1429,C1429,$U$2:U1429,1)=1,1,0),0)</f>
        <v>0</v>
      </c>
    </row>
    <row r="1430" spans="1:22" x14ac:dyDescent="0.35">
      <c r="A1430">
        <v>11429</v>
      </c>
      <c r="B1430" s="1">
        <v>45990</v>
      </c>
      <c r="C1430">
        <v>1850</v>
      </c>
      <c r="D1430" t="s">
        <v>67</v>
      </c>
      <c r="E1430" t="s">
        <v>70</v>
      </c>
      <c r="F1430">
        <v>5</v>
      </c>
      <c r="G1430" s="2">
        <v>41.27</v>
      </c>
      <c r="H1430">
        <v>0.23</v>
      </c>
      <c r="I1430" t="s">
        <v>71</v>
      </c>
      <c r="J1430">
        <v>6</v>
      </c>
      <c r="K1430">
        <v>1.1000000000000001</v>
      </c>
      <c r="L1430" s="2">
        <v>158.88999999999999</v>
      </c>
      <c r="M1430">
        <v>2025</v>
      </c>
      <c r="N1430">
        <v>11</v>
      </c>
      <c r="O1430" t="s">
        <v>126</v>
      </c>
      <c r="P1430" s="2">
        <v>206.35</v>
      </c>
      <c r="Q1430" s="2">
        <v>47.46</v>
      </c>
      <c r="R1430" t="s">
        <v>77</v>
      </c>
      <c r="S1430">
        <v>0</v>
      </c>
      <c r="T1430">
        <v>0</v>
      </c>
      <c r="U1430">
        <f>IF(AND(OR(Dashboard!$D$4="Semua",D1430=Dashboard!$D$4),OR(Dashboard!$H$4="Semua",E1430=Dashboard!$H$4)),1,0)</f>
        <v>1</v>
      </c>
      <c r="V1430">
        <f>IF(U1430=1,IF(COUNTIFS($C$2:C1430,C1430,$U$2:U1430,1)=1,1,0),0)</f>
        <v>0</v>
      </c>
    </row>
    <row r="1431" spans="1:22" x14ac:dyDescent="0.35">
      <c r="A1431">
        <v>11430</v>
      </c>
      <c r="B1431" s="1">
        <v>45991</v>
      </c>
      <c r="C1431">
        <v>1378</v>
      </c>
      <c r="D1431" t="s">
        <v>67</v>
      </c>
      <c r="E1431" t="s">
        <v>63</v>
      </c>
      <c r="F1431">
        <v>5</v>
      </c>
      <c r="G1431" s="2">
        <v>102.95</v>
      </c>
      <c r="H1431">
        <v>7.0000000000000007E-2</v>
      </c>
      <c r="I1431" t="s">
        <v>64</v>
      </c>
      <c r="J1431">
        <v>6</v>
      </c>
      <c r="K1431">
        <v>4.9000000000000004</v>
      </c>
      <c r="L1431" s="2">
        <v>478.72</v>
      </c>
      <c r="M1431">
        <v>2025</v>
      </c>
      <c r="N1431">
        <v>11</v>
      </c>
      <c r="O1431" t="s">
        <v>126</v>
      </c>
      <c r="P1431" s="2">
        <v>514.75</v>
      </c>
      <c r="Q1431" s="2">
        <v>36.03</v>
      </c>
      <c r="R1431" t="s">
        <v>69</v>
      </c>
      <c r="S1431">
        <v>0</v>
      </c>
      <c r="T1431">
        <v>0</v>
      </c>
      <c r="U1431">
        <f>IF(AND(OR(Dashboard!$D$4="Semua",D1431=Dashboard!$D$4),OR(Dashboard!$H$4="Semua",E1431=Dashboard!$H$4)),1,0)</f>
        <v>1</v>
      </c>
      <c r="V1431">
        <f>IF(U1431=1,IF(COUNTIFS($C$2:C1431,C1431,$U$2:U1431,1)=1,1,0),0)</f>
        <v>0</v>
      </c>
    </row>
    <row r="1432" spans="1:22" x14ac:dyDescent="0.35">
      <c r="A1432">
        <v>11431</v>
      </c>
      <c r="B1432" s="1">
        <v>45992</v>
      </c>
      <c r="C1432">
        <v>1077</v>
      </c>
      <c r="D1432" t="s">
        <v>73</v>
      </c>
      <c r="E1432" t="s">
        <v>63</v>
      </c>
      <c r="F1432">
        <v>6</v>
      </c>
      <c r="G1432" s="2">
        <v>262.76</v>
      </c>
      <c r="H1432">
        <v>0.2</v>
      </c>
      <c r="I1432" t="s">
        <v>68</v>
      </c>
      <c r="J1432">
        <v>1</v>
      </c>
      <c r="K1432">
        <v>2.9</v>
      </c>
      <c r="L1432" s="2">
        <v>1261.25</v>
      </c>
      <c r="M1432">
        <v>2025</v>
      </c>
      <c r="N1432">
        <v>12</v>
      </c>
      <c r="O1432" t="s">
        <v>127</v>
      </c>
      <c r="P1432" s="2">
        <v>1576.56</v>
      </c>
      <c r="Q1432" s="2">
        <v>315.31</v>
      </c>
      <c r="R1432" t="s">
        <v>76</v>
      </c>
      <c r="S1432">
        <v>0</v>
      </c>
      <c r="T1432">
        <v>0</v>
      </c>
      <c r="U1432">
        <f>IF(AND(OR(Dashboard!$D$4="Semua",D1432=Dashboard!$D$4),OR(Dashboard!$H$4="Semua",E1432=Dashboard!$H$4)),1,0)</f>
        <v>1</v>
      </c>
      <c r="V1432">
        <f>IF(U1432=1,IF(COUNTIFS($C$2:C1432,C1432,$U$2:U1432,1)=1,1,0),0)</f>
        <v>0</v>
      </c>
    </row>
    <row r="1433" spans="1:22" x14ac:dyDescent="0.35">
      <c r="A1433">
        <v>11432</v>
      </c>
      <c r="B1433" s="1">
        <v>45993</v>
      </c>
      <c r="C1433">
        <v>1409</v>
      </c>
      <c r="D1433" t="s">
        <v>67</v>
      </c>
      <c r="E1433" t="s">
        <v>70</v>
      </c>
      <c r="F1433">
        <v>2</v>
      </c>
      <c r="G1433" s="2">
        <v>124.01</v>
      </c>
      <c r="H1433">
        <v>0.24</v>
      </c>
      <c r="I1433" t="s">
        <v>71</v>
      </c>
      <c r="J1433">
        <v>2</v>
      </c>
      <c r="K1433">
        <v>1.6</v>
      </c>
      <c r="L1433" s="2">
        <v>188.5</v>
      </c>
      <c r="M1433">
        <v>2025</v>
      </c>
      <c r="N1433">
        <v>12</v>
      </c>
      <c r="O1433" t="s">
        <v>127</v>
      </c>
      <c r="P1433" s="2">
        <v>248.02</v>
      </c>
      <c r="Q1433" s="2">
        <v>59.52</v>
      </c>
      <c r="R1433" t="s">
        <v>77</v>
      </c>
      <c r="S1433">
        <v>0</v>
      </c>
      <c r="T1433">
        <v>0</v>
      </c>
      <c r="U1433">
        <f>IF(AND(OR(Dashboard!$D$4="Semua",D1433=Dashboard!$D$4),OR(Dashboard!$H$4="Semua",E1433=Dashboard!$H$4)),1,0)</f>
        <v>1</v>
      </c>
      <c r="V1433">
        <f>IF(U1433=1,IF(COUNTIFS($C$2:C1433,C1433,$U$2:U1433,1)=1,1,0),0)</f>
        <v>0</v>
      </c>
    </row>
    <row r="1434" spans="1:22" x14ac:dyDescent="0.35">
      <c r="A1434">
        <v>11433</v>
      </c>
      <c r="B1434" s="1">
        <v>45994</v>
      </c>
      <c r="C1434">
        <v>1573</v>
      </c>
      <c r="D1434" t="s">
        <v>80</v>
      </c>
      <c r="E1434" t="s">
        <v>70</v>
      </c>
      <c r="F1434">
        <v>6</v>
      </c>
      <c r="G1434" s="2">
        <v>227.87</v>
      </c>
      <c r="H1434">
        <v>0.35</v>
      </c>
      <c r="I1434" t="s">
        <v>71</v>
      </c>
      <c r="J1434">
        <v>6</v>
      </c>
      <c r="K1434">
        <v>4</v>
      </c>
      <c r="L1434" s="2">
        <v>888.69</v>
      </c>
      <c r="M1434">
        <v>2025</v>
      </c>
      <c r="N1434">
        <v>12</v>
      </c>
      <c r="O1434" t="s">
        <v>127</v>
      </c>
      <c r="P1434" s="2">
        <v>1367.22</v>
      </c>
      <c r="Q1434" s="2">
        <v>478.53</v>
      </c>
      <c r="R1434" t="s">
        <v>72</v>
      </c>
      <c r="S1434">
        <v>0</v>
      </c>
      <c r="T1434">
        <v>0</v>
      </c>
      <c r="U1434">
        <f>IF(AND(OR(Dashboard!$D$4="Semua",D1434=Dashboard!$D$4),OR(Dashboard!$H$4="Semua",E1434=Dashboard!$H$4)),1,0)</f>
        <v>1</v>
      </c>
      <c r="V1434">
        <f>IF(U1434=1,IF(COUNTIFS($C$2:C1434,C1434,$U$2:U1434,1)=1,1,0),0)</f>
        <v>0</v>
      </c>
    </row>
    <row r="1435" spans="1:22" x14ac:dyDescent="0.35">
      <c r="A1435">
        <v>11434</v>
      </c>
      <c r="B1435" s="1">
        <v>45995</v>
      </c>
      <c r="C1435">
        <v>1131</v>
      </c>
      <c r="D1435" t="s">
        <v>80</v>
      </c>
      <c r="E1435" t="s">
        <v>78</v>
      </c>
      <c r="F1435">
        <v>3</v>
      </c>
      <c r="G1435" s="2">
        <v>90.52</v>
      </c>
      <c r="H1435">
        <v>0.01</v>
      </c>
      <c r="I1435" t="s">
        <v>68</v>
      </c>
      <c r="J1435">
        <v>8</v>
      </c>
      <c r="K1435">
        <v>4.5999999999999996</v>
      </c>
      <c r="L1435" s="2">
        <v>268.83999999999997</v>
      </c>
      <c r="M1435">
        <v>2025</v>
      </c>
      <c r="N1435">
        <v>12</v>
      </c>
      <c r="O1435" t="s">
        <v>127</v>
      </c>
      <c r="P1435" s="2">
        <v>271.56</v>
      </c>
      <c r="Q1435" s="2">
        <v>2.72</v>
      </c>
      <c r="R1435" t="s">
        <v>75</v>
      </c>
      <c r="S1435">
        <v>0</v>
      </c>
      <c r="T1435">
        <v>0</v>
      </c>
      <c r="U1435">
        <f>IF(AND(OR(Dashboard!$D$4="Semua",D1435=Dashboard!$D$4),OR(Dashboard!$H$4="Semua",E1435=Dashboard!$H$4)),1,0)</f>
        <v>1</v>
      </c>
      <c r="V1435">
        <f>IF(U1435=1,IF(COUNTIFS($C$2:C1435,C1435,$U$2:U1435,1)=1,1,0),0)</f>
        <v>0</v>
      </c>
    </row>
    <row r="1436" spans="1:22" x14ac:dyDescent="0.35">
      <c r="A1436">
        <v>11435</v>
      </c>
      <c r="B1436" s="1">
        <v>45996</v>
      </c>
      <c r="C1436">
        <v>1600</v>
      </c>
      <c r="D1436" t="s">
        <v>73</v>
      </c>
      <c r="E1436" t="s">
        <v>74</v>
      </c>
      <c r="F1436">
        <v>6</v>
      </c>
      <c r="G1436" s="2">
        <v>282.06</v>
      </c>
      <c r="H1436">
        <v>0.03</v>
      </c>
      <c r="I1436" t="s">
        <v>68</v>
      </c>
      <c r="J1436">
        <v>5</v>
      </c>
      <c r="K1436">
        <v>3.1</v>
      </c>
      <c r="L1436" s="2">
        <v>1641.59</v>
      </c>
      <c r="M1436">
        <v>2025</v>
      </c>
      <c r="N1436">
        <v>12</v>
      </c>
      <c r="O1436" t="s">
        <v>127</v>
      </c>
      <c r="P1436" s="2">
        <v>1692.36</v>
      </c>
      <c r="Q1436" s="2">
        <v>50.77</v>
      </c>
      <c r="R1436" t="s">
        <v>75</v>
      </c>
      <c r="S1436">
        <v>0</v>
      </c>
      <c r="T1436">
        <v>0</v>
      </c>
      <c r="U1436">
        <f>IF(AND(OR(Dashboard!$D$4="Semua",D1436=Dashboard!$D$4),OR(Dashboard!$H$4="Semua",E1436=Dashboard!$H$4)),1,0)</f>
        <v>1</v>
      </c>
      <c r="V1436">
        <f>IF(U1436=1,IF(COUNTIFS($C$2:C1436,C1436,$U$2:U1436,1)=1,1,0),0)</f>
        <v>0</v>
      </c>
    </row>
    <row r="1437" spans="1:22" x14ac:dyDescent="0.35">
      <c r="A1437">
        <v>11436</v>
      </c>
      <c r="B1437" s="1">
        <v>45997</v>
      </c>
      <c r="C1437">
        <v>1748</v>
      </c>
      <c r="D1437" t="s">
        <v>73</v>
      </c>
      <c r="E1437" t="s">
        <v>78</v>
      </c>
      <c r="F1437">
        <v>4</v>
      </c>
      <c r="G1437" s="2">
        <v>173.94</v>
      </c>
      <c r="H1437">
        <v>0.03</v>
      </c>
      <c r="I1437" t="s">
        <v>71</v>
      </c>
      <c r="J1437">
        <v>2</v>
      </c>
      <c r="K1437">
        <v>1.1000000000000001</v>
      </c>
      <c r="L1437" s="2">
        <v>674.89</v>
      </c>
      <c r="M1437">
        <v>2025</v>
      </c>
      <c r="N1437">
        <v>12</v>
      </c>
      <c r="O1437" t="s">
        <v>127</v>
      </c>
      <c r="P1437" s="2">
        <v>695.76</v>
      </c>
      <c r="Q1437" s="2">
        <v>20.87</v>
      </c>
      <c r="R1437" t="s">
        <v>75</v>
      </c>
      <c r="S1437">
        <v>0</v>
      </c>
      <c r="T1437">
        <v>0</v>
      </c>
      <c r="U1437">
        <f>IF(AND(OR(Dashboard!$D$4="Semua",D1437=Dashboard!$D$4),OR(Dashboard!$H$4="Semua",E1437=Dashboard!$H$4)),1,0)</f>
        <v>1</v>
      </c>
      <c r="V1437">
        <f>IF(U1437=1,IF(COUNTIFS($C$2:C1437,C1437,$U$2:U1437,1)=1,1,0),0)</f>
        <v>0</v>
      </c>
    </row>
    <row r="1438" spans="1:22" x14ac:dyDescent="0.35">
      <c r="A1438">
        <v>11437</v>
      </c>
      <c r="B1438" s="1">
        <v>45998</v>
      </c>
      <c r="C1438">
        <v>1041</v>
      </c>
      <c r="D1438" t="s">
        <v>73</v>
      </c>
      <c r="E1438" t="s">
        <v>63</v>
      </c>
      <c r="F1438">
        <v>1</v>
      </c>
      <c r="G1438" s="2">
        <v>220.86</v>
      </c>
      <c r="H1438">
        <v>0.14000000000000001</v>
      </c>
      <c r="I1438" t="s">
        <v>68</v>
      </c>
      <c r="J1438">
        <v>5</v>
      </c>
      <c r="K1438">
        <v>2.5</v>
      </c>
      <c r="L1438" s="2">
        <v>189.94</v>
      </c>
      <c r="M1438">
        <v>2025</v>
      </c>
      <c r="N1438">
        <v>12</v>
      </c>
      <c r="O1438" t="s">
        <v>127</v>
      </c>
      <c r="P1438" s="2">
        <v>220.86</v>
      </c>
      <c r="Q1438" s="2">
        <v>30.92</v>
      </c>
      <c r="R1438" t="s">
        <v>79</v>
      </c>
      <c r="S1438">
        <v>0</v>
      </c>
      <c r="T1438">
        <v>0</v>
      </c>
      <c r="U1438">
        <f>IF(AND(OR(Dashboard!$D$4="Semua",D1438=Dashboard!$D$4),OR(Dashboard!$H$4="Semua",E1438=Dashboard!$H$4)),1,0)</f>
        <v>1</v>
      </c>
      <c r="V1438">
        <f>IF(U1438=1,IF(COUNTIFS($C$2:C1438,C1438,$U$2:U1438,1)=1,1,0),0)</f>
        <v>0</v>
      </c>
    </row>
    <row r="1439" spans="1:22" x14ac:dyDescent="0.35">
      <c r="A1439">
        <v>11438</v>
      </c>
      <c r="B1439" s="1">
        <v>45999</v>
      </c>
      <c r="C1439">
        <v>1088</v>
      </c>
      <c r="D1439" t="s">
        <v>67</v>
      </c>
      <c r="E1439" t="s">
        <v>63</v>
      </c>
      <c r="F1439">
        <v>1</v>
      </c>
      <c r="G1439" s="2">
        <v>70.17</v>
      </c>
      <c r="H1439">
        <v>0.28999999999999998</v>
      </c>
      <c r="I1439" t="s">
        <v>68</v>
      </c>
      <c r="J1439">
        <v>9</v>
      </c>
      <c r="K1439">
        <v>2</v>
      </c>
      <c r="L1439" s="2">
        <v>49.82</v>
      </c>
      <c r="M1439">
        <v>2025</v>
      </c>
      <c r="N1439">
        <v>12</v>
      </c>
      <c r="O1439" t="s">
        <v>127</v>
      </c>
      <c r="P1439" s="2">
        <v>70.17</v>
      </c>
      <c r="Q1439" s="2">
        <v>20.350000000000001</v>
      </c>
      <c r="R1439" t="s">
        <v>66</v>
      </c>
      <c r="S1439">
        <v>0</v>
      </c>
      <c r="T1439">
        <v>0</v>
      </c>
      <c r="U1439">
        <f>IF(AND(OR(Dashboard!$D$4="Semua",D1439=Dashboard!$D$4),OR(Dashboard!$H$4="Semua",E1439=Dashboard!$H$4)),1,0)</f>
        <v>1</v>
      </c>
      <c r="V1439">
        <f>IF(U1439=1,IF(COUNTIFS($C$2:C1439,C1439,$U$2:U1439,1)=1,1,0),0)</f>
        <v>1</v>
      </c>
    </row>
    <row r="1440" spans="1:22" x14ac:dyDescent="0.35">
      <c r="A1440">
        <v>11439</v>
      </c>
      <c r="B1440" s="1">
        <v>46000</v>
      </c>
      <c r="C1440">
        <v>1401</v>
      </c>
      <c r="D1440" t="s">
        <v>67</v>
      </c>
      <c r="E1440" t="s">
        <v>78</v>
      </c>
      <c r="F1440">
        <v>1</v>
      </c>
      <c r="G1440" s="2">
        <v>265.45</v>
      </c>
      <c r="H1440">
        <v>0.3</v>
      </c>
      <c r="I1440" t="s">
        <v>64</v>
      </c>
      <c r="J1440">
        <v>6</v>
      </c>
      <c r="K1440">
        <v>3.5</v>
      </c>
      <c r="L1440" s="2">
        <v>185.81</v>
      </c>
      <c r="M1440">
        <v>2025</v>
      </c>
      <c r="N1440">
        <v>12</v>
      </c>
      <c r="O1440" t="s">
        <v>127</v>
      </c>
      <c r="P1440" s="2">
        <v>265.45</v>
      </c>
      <c r="Q1440" s="2">
        <v>79.64</v>
      </c>
      <c r="R1440" t="s">
        <v>66</v>
      </c>
      <c r="S1440">
        <v>0</v>
      </c>
      <c r="T1440">
        <v>0</v>
      </c>
      <c r="U1440">
        <f>IF(AND(OR(Dashboard!$D$4="Semua",D1440=Dashboard!$D$4),OR(Dashboard!$H$4="Semua",E1440=Dashboard!$H$4)),1,0)</f>
        <v>1</v>
      </c>
      <c r="V1440">
        <f>IF(U1440=1,IF(COUNTIFS($C$2:C1440,C1440,$U$2:U1440,1)=1,1,0),0)</f>
        <v>0</v>
      </c>
    </row>
    <row r="1441" spans="1:22" x14ac:dyDescent="0.35">
      <c r="A1441">
        <v>11440</v>
      </c>
      <c r="B1441" s="1">
        <v>46001</v>
      </c>
      <c r="C1441">
        <v>1295</v>
      </c>
      <c r="D1441" t="s">
        <v>80</v>
      </c>
      <c r="E1441" t="s">
        <v>74</v>
      </c>
      <c r="F1441">
        <v>2</v>
      </c>
      <c r="G1441" s="2">
        <v>590.21</v>
      </c>
      <c r="H1441">
        <v>0.26</v>
      </c>
      <c r="I1441" t="s">
        <v>71</v>
      </c>
      <c r="J1441">
        <v>5</v>
      </c>
      <c r="K1441">
        <v>3.1</v>
      </c>
      <c r="L1441" s="2">
        <v>873.51</v>
      </c>
      <c r="M1441">
        <v>2025</v>
      </c>
      <c r="N1441">
        <v>12</v>
      </c>
      <c r="O1441" t="s">
        <v>127</v>
      </c>
      <c r="P1441" s="2">
        <v>1180.42</v>
      </c>
      <c r="Q1441" s="2">
        <v>306.91000000000003</v>
      </c>
      <c r="R1441" t="s">
        <v>66</v>
      </c>
      <c r="S1441">
        <v>0</v>
      </c>
      <c r="T1441">
        <v>0</v>
      </c>
      <c r="U1441">
        <f>IF(AND(OR(Dashboard!$D$4="Semua",D1441=Dashboard!$D$4),OR(Dashboard!$H$4="Semua",E1441=Dashboard!$H$4)),1,0)</f>
        <v>1</v>
      </c>
      <c r="V1441">
        <f>IF(U1441=1,IF(COUNTIFS($C$2:C1441,C1441,$U$2:U1441,1)=1,1,0),0)</f>
        <v>0</v>
      </c>
    </row>
    <row r="1442" spans="1:22" x14ac:dyDescent="0.35">
      <c r="A1442">
        <v>11441</v>
      </c>
      <c r="B1442" s="1">
        <v>46002</v>
      </c>
      <c r="C1442">
        <v>1839</v>
      </c>
      <c r="D1442" t="s">
        <v>73</v>
      </c>
      <c r="E1442" t="s">
        <v>70</v>
      </c>
      <c r="F1442">
        <v>2</v>
      </c>
      <c r="G1442" s="2">
        <v>207.37</v>
      </c>
      <c r="H1442">
        <v>0.31</v>
      </c>
      <c r="I1442" t="s">
        <v>68</v>
      </c>
      <c r="J1442">
        <v>10</v>
      </c>
      <c r="K1442">
        <v>2.4</v>
      </c>
      <c r="L1442" s="2">
        <v>286.17</v>
      </c>
      <c r="M1442">
        <v>2025</v>
      </c>
      <c r="N1442">
        <v>12</v>
      </c>
      <c r="O1442" t="s">
        <v>127</v>
      </c>
      <c r="P1442" s="2">
        <v>414.74</v>
      </c>
      <c r="Q1442" s="2">
        <v>128.57</v>
      </c>
      <c r="R1442" t="s">
        <v>72</v>
      </c>
      <c r="S1442">
        <v>0</v>
      </c>
      <c r="T1442">
        <v>0</v>
      </c>
      <c r="U1442">
        <f>IF(AND(OR(Dashboard!$D$4="Semua",D1442=Dashboard!$D$4),OR(Dashboard!$H$4="Semua",E1442=Dashboard!$H$4)),1,0)</f>
        <v>1</v>
      </c>
      <c r="V1442">
        <f>IF(U1442=1,IF(COUNTIFS($C$2:C1442,C1442,$U$2:U1442,1)=1,1,0),0)</f>
        <v>0</v>
      </c>
    </row>
    <row r="1443" spans="1:22" x14ac:dyDescent="0.35">
      <c r="A1443">
        <v>11442</v>
      </c>
      <c r="B1443" s="1">
        <v>46003</v>
      </c>
      <c r="C1443">
        <v>1294</v>
      </c>
      <c r="D1443" t="s">
        <v>73</v>
      </c>
      <c r="E1443" t="s">
        <v>78</v>
      </c>
      <c r="F1443">
        <v>3</v>
      </c>
      <c r="G1443" s="2">
        <v>527.71</v>
      </c>
      <c r="H1443">
        <v>0.11</v>
      </c>
      <c r="I1443" t="s">
        <v>71</v>
      </c>
      <c r="J1443">
        <v>6</v>
      </c>
      <c r="K1443">
        <v>3.6</v>
      </c>
      <c r="L1443" s="2">
        <v>1408.99</v>
      </c>
      <c r="M1443">
        <v>2025</v>
      </c>
      <c r="N1443">
        <v>12</v>
      </c>
      <c r="O1443" t="s">
        <v>127</v>
      </c>
      <c r="P1443" s="2">
        <v>1583.13</v>
      </c>
      <c r="Q1443" s="2">
        <v>174.14</v>
      </c>
      <c r="R1443" t="s">
        <v>79</v>
      </c>
      <c r="S1443">
        <v>0</v>
      </c>
      <c r="T1443">
        <v>0</v>
      </c>
      <c r="U1443">
        <f>IF(AND(OR(Dashboard!$D$4="Semua",D1443=Dashboard!$D$4),OR(Dashboard!$H$4="Semua",E1443=Dashboard!$H$4)),1,0)</f>
        <v>1</v>
      </c>
      <c r="V1443">
        <f>IF(U1443=1,IF(COUNTIFS($C$2:C1443,C1443,$U$2:U1443,1)=1,1,0),0)</f>
        <v>1</v>
      </c>
    </row>
    <row r="1444" spans="1:22" x14ac:dyDescent="0.35">
      <c r="A1444">
        <v>11443</v>
      </c>
      <c r="B1444" s="1">
        <v>46004</v>
      </c>
      <c r="C1444">
        <v>1615</v>
      </c>
      <c r="D1444" t="s">
        <v>67</v>
      </c>
      <c r="E1444" t="s">
        <v>63</v>
      </c>
      <c r="F1444">
        <v>7</v>
      </c>
      <c r="G1444" s="2">
        <v>508.27</v>
      </c>
      <c r="H1444">
        <v>0.03</v>
      </c>
      <c r="I1444" t="s">
        <v>71</v>
      </c>
      <c r="J1444">
        <v>11</v>
      </c>
      <c r="K1444">
        <v>3.3</v>
      </c>
      <c r="L1444" s="2">
        <v>3451.15</v>
      </c>
      <c r="M1444">
        <v>2025</v>
      </c>
      <c r="N1444">
        <v>12</v>
      </c>
      <c r="O1444" t="s">
        <v>127</v>
      </c>
      <c r="P1444" s="2">
        <v>3557.89</v>
      </c>
      <c r="Q1444" s="2">
        <v>106.74</v>
      </c>
      <c r="R1444" t="s">
        <v>75</v>
      </c>
      <c r="S1444">
        <v>0</v>
      </c>
      <c r="T1444">
        <v>1</v>
      </c>
      <c r="U1444">
        <f>IF(AND(OR(Dashboard!$D$4="Semua",D1444=Dashboard!$D$4),OR(Dashboard!$H$4="Semua",E1444=Dashboard!$H$4)),1,0)</f>
        <v>1</v>
      </c>
      <c r="V1444">
        <f>IF(U1444=1,IF(COUNTIFS($C$2:C1444,C1444,$U$2:U1444,1)=1,1,0),0)</f>
        <v>1</v>
      </c>
    </row>
    <row r="1445" spans="1:22" x14ac:dyDescent="0.35">
      <c r="A1445">
        <v>11444</v>
      </c>
      <c r="B1445" s="1">
        <v>46005</v>
      </c>
      <c r="C1445">
        <v>1525</v>
      </c>
      <c r="D1445" t="s">
        <v>80</v>
      </c>
      <c r="E1445" t="s">
        <v>74</v>
      </c>
      <c r="F1445">
        <v>1</v>
      </c>
      <c r="G1445" s="2">
        <v>571.95000000000005</v>
      </c>
      <c r="H1445">
        <v>0.02</v>
      </c>
      <c r="I1445" t="s">
        <v>64</v>
      </c>
      <c r="J1445">
        <v>9</v>
      </c>
      <c r="K1445">
        <v>4.5999999999999996</v>
      </c>
      <c r="L1445" s="2">
        <v>560.51</v>
      </c>
      <c r="M1445">
        <v>2025</v>
      </c>
      <c r="N1445">
        <v>12</v>
      </c>
      <c r="O1445" t="s">
        <v>127</v>
      </c>
      <c r="P1445" s="2">
        <v>571.95000000000005</v>
      </c>
      <c r="Q1445" s="2">
        <v>11.44</v>
      </c>
      <c r="R1445" t="s">
        <v>75</v>
      </c>
      <c r="S1445">
        <v>0</v>
      </c>
      <c r="T1445">
        <v>0</v>
      </c>
      <c r="U1445">
        <f>IF(AND(OR(Dashboard!$D$4="Semua",D1445=Dashboard!$D$4),OR(Dashboard!$H$4="Semua",E1445=Dashboard!$H$4)),1,0)</f>
        <v>1</v>
      </c>
      <c r="V1445">
        <f>IF(U1445=1,IF(COUNTIFS($C$2:C1445,C1445,$U$2:U1445,1)=1,1,0),0)</f>
        <v>0</v>
      </c>
    </row>
    <row r="1446" spans="1:22" x14ac:dyDescent="0.35">
      <c r="A1446">
        <v>11445</v>
      </c>
      <c r="B1446" s="1">
        <v>46006</v>
      </c>
      <c r="C1446">
        <v>1799</v>
      </c>
      <c r="D1446" t="s">
        <v>73</v>
      </c>
      <c r="E1446" t="s">
        <v>63</v>
      </c>
      <c r="F1446">
        <v>3</v>
      </c>
      <c r="G1446" s="2">
        <v>477.21</v>
      </c>
      <c r="H1446">
        <v>0.3</v>
      </c>
      <c r="I1446" t="s">
        <v>71</v>
      </c>
      <c r="J1446">
        <v>7</v>
      </c>
      <c r="K1446">
        <v>3.4</v>
      </c>
      <c r="L1446" s="2">
        <v>1002.14</v>
      </c>
      <c r="M1446">
        <v>2025</v>
      </c>
      <c r="N1446">
        <v>12</v>
      </c>
      <c r="O1446" t="s">
        <v>127</v>
      </c>
      <c r="P1446" s="2">
        <v>1431.63</v>
      </c>
      <c r="Q1446" s="2">
        <v>429.49</v>
      </c>
      <c r="R1446" t="s">
        <v>66</v>
      </c>
      <c r="S1446">
        <v>0</v>
      </c>
      <c r="T1446">
        <v>0</v>
      </c>
      <c r="U1446">
        <f>IF(AND(OR(Dashboard!$D$4="Semua",D1446=Dashboard!$D$4),OR(Dashboard!$H$4="Semua",E1446=Dashboard!$H$4)),1,0)</f>
        <v>1</v>
      </c>
      <c r="V1446">
        <f>IF(U1446=1,IF(COUNTIFS($C$2:C1446,C1446,$U$2:U1446,1)=1,1,0),0)</f>
        <v>0</v>
      </c>
    </row>
    <row r="1447" spans="1:22" x14ac:dyDescent="0.35">
      <c r="A1447">
        <v>11446</v>
      </c>
      <c r="B1447" s="1">
        <v>46007</v>
      </c>
      <c r="C1447">
        <v>1690</v>
      </c>
      <c r="D1447" t="s">
        <v>67</v>
      </c>
      <c r="E1447" t="s">
        <v>74</v>
      </c>
      <c r="F1447">
        <v>7</v>
      </c>
      <c r="G1447" s="2">
        <v>400.86</v>
      </c>
      <c r="H1447">
        <v>0.26</v>
      </c>
      <c r="I1447" t="s">
        <v>64</v>
      </c>
      <c r="J1447">
        <v>10</v>
      </c>
      <c r="K1447">
        <v>3</v>
      </c>
      <c r="L1447" s="2">
        <v>2076.4499999999998</v>
      </c>
      <c r="M1447">
        <v>2025</v>
      </c>
      <c r="N1447">
        <v>12</v>
      </c>
      <c r="O1447" t="s">
        <v>127</v>
      </c>
      <c r="P1447" s="2">
        <v>2806.02</v>
      </c>
      <c r="Q1447" s="2">
        <v>729.57</v>
      </c>
      <c r="R1447" t="s">
        <v>66</v>
      </c>
      <c r="S1447">
        <v>0</v>
      </c>
      <c r="T1447">
        <v>0</v>
      </c>
      <c r="U1447">
        <f>IF(AND(OR(Dashboard!$D$4="Semua",D1447=Dashboard!$D$4),OR(Dashboard!$H$4="Semua",E1447=Dashboard!$H$4)),1,0)</f>
        <v>1</v>
      </c>
      <c r="V1447">
        <f>IF(U1447=1,IF(COUNTIFS($C$2:C1447,C1447,$U$2:U1447,1)=1,1,0),0)</f>
        <v>0</v>
      </c>
    </row>
    <row r="1448" spans="1:22" x14ac:dyDescent="0.35">
      <c r="A1448">
        <v>11447</v>
      </c>
      <c r="B1448" s="1">
        <v>46008</v>
      </c>
      <c r="C1448">
        <v>1636</v>
      </c>
      <c r="D1448" t="s">
        <v>73</v>
      </c>
      <c r="E1448" t="s">
        <v>74</v>
      </c>
      <c r="F1448">
        <v>1</v>
      </c>
      <c r="G1448" s="2">
        <v>516.1</v>
      </c>
      <c r="H1448">
        <v>0.24</v>
      </c>
      <c r="I1448" t="s">
        <v>68</v>
      </c>
      <c r="J1448">
        <v>3</v>
      </c>
      <c r="K1448">
        <v>4.3</v>
      </c>
      <c r="L1448" s="2">
        <v>392.24</v>
      </c>
      <c r="M1448">
        <v>2025</v>
      </c>
      <c r="N1448">
        <v>12</v>
      </c>
      <c r="O1448" t="s">
        <v>127</v>
      </c>
      <c r="P1448" s="2">
        <v>516.1</v>
      </c>
      <c r="Q1448" s="2">
        <v>123.86</v>
      </c>
      <c r="R1448" t="s">
        <v>77</v>
      </c>
      <c r="S1448">
        <v>0</v>
      </c>
      <c r="T1448">
        <v>0</v>
      </c>
      <c r="U1448">
        <f>IF(AND(OR(Dashboard!$D$4="Semua",D1448=Dashboard!$D$4),OR(Dashboard!$H$4="Semua",E1448=Dashboard!$H$4)),1,0)</f>
        <v>1</v>
      </c>
      <c r="V1448">
        <f>IF(U1448=1,IF(COUNTIFS($C$2:C1448,C1448,$U$2:U1448,1)=1,1,0),0)</f>
        <v>1</v>
      </c>
    </row>
    <row r="1449" spans="1:22" x14ac:dyDescent="0.35">
      <c r="A1449">
        <v>11448</v>
      </c>
      <c r="B1449" s="1">
        <v>46009</v>
      </c>
      <c r="C1449">
        <v>1421</v>
      </c>
      <c r="D1449" t="s">
        <v>62</v>
      </c>
      <c r="E1449" t="s">
        <v>74</v>
      </c>
      <c r="F1449">
        <v>2</v>
      </c>
      <c r="G1449" s="2">
        <v>59.25</v>
      </c>
      <c r="H1449">
        <v>0.12</v>
      </c>
      <c r="I1449" t="s">
        <v>71</v>
      </c>
      <c r="J1449">
        <v>10</v>
      </c>
      <c r="K1449">
        <v>1.8</v>
      </c>
      <c r="L1449" s="2">
        <v>104.28</v>
      </c>
      <c r="M1449">
        <v>2025</v>
      </c>
      <c r="N1449">
        <v>12</v>
      </c>
      <c r="O1449" t="s">
        <v>127</v>
      </c>
      <c r="P1449" s="2">
        <v>118.5</v>
      </c>
      <c r="Q1449" s="2">
        <v>14.22</v>
      </c>
      <c r="R1449" t="s">
        <v>79</v>
      </c>
      <c r="S1449">
        <v>0</v>
      </c>
      <c r="T1449">
        <v>0</v>
      </c>
      <c r="U1449">
        <f>IF(AND(OR(Dashboard!$D$4="Semua",D1449=Dashboard!$D$4),OR(Dashboard!$H$4="Semua",E1449=Dashboard!$H$4)),1,0)</f>
        <v>1</v>
      </c>
      <c r="V1449">
        <f>IF(U1449=1,IF(COUNTIFS($C$2:C1449,C1449,$U$2:U1449,1)=1,1,0),0)</f>
        <v>0</v>
      </c>
    </row>
    <row r="1450" spans="1:22" x14ac:dyDescent="0.35">
      <c r="A1450">
        <v>11449</v>
      </c>
      <c r="B1450" s="1">
        <v>46010</v>
      </c>
      <c r="C1450">
        <v>1864</v>
      </c>
      <c r="D1450" t="s">
        <v>62</v>
      </c>
      <c r="E1450" t="s">
        <v>78</v>
      </c>
      <c r="F1450">
        <v>7</v>
      </c>
      <c r="G1450" s="2">
        <v>285.76</v>
      </c>
      <c r="H1450">
        <v>0.13</v>
      </c>
      <c r="I1450" t="s">
        <v>68</v>
      </c>
      <c r="J1450">
        <v>10</v>
      </c>
      <c r="K1450">
        <v>2</v>
      </c>
      <c r="L1450" s="2">
        <v>1740.28</v>
      </c>
      <c r="M1450">
        <v>2025</v>
      </c>
      <c r="N1450">
        <v>12</v>
      </c>
      <c r="O1450" t="s">
        <v>127</v>
      </c>
      <c r="P1450" s="2">
        <v>2000.32</v>
      </c>
      <c r="Q1450" s="2">
        <v>260.04000000000002</v>
      </c>
      <c r="R1450" t="s">
        <v>79</v>
      </c>
      <c r="S1450">
        <v>0</v>
      </c>
      <c r="T1450">
        <v>0</v>
      </c>
      <c r="U1450">
        <f>IF(AND(OR(Dashboard!$D$4="Semua",D1450=Dashboard!$D$4),OR(Dashboard!$H$4="Semua",E1450=Dashboard!$H$4)),1,0)</f>
        <v>1</v>
      </c>
      <c r="V1450">
        <f>IF(U1450=1,IF(COUNTIFS($C$2:C1450,C1450,$U$2:U1450,1)=1,1,0),0)</f>
        <v>1</v>
      </c>
    </row>
    <row r="1451" spans="1:22" x14ac:dyDescent="0.35">
      <c r="A1451">
        <v>11450</v>
      </c>
      <c r="B1451" s="1">
        <v>46011</v>
      </c>
      <c r="C1451">
        <v>1022</v>
      </c>
      <c r="D1451" t="s">
        <v>73</v>
      </c>
      <c r="E1451" t="s">
        <v>78</v>
      </c>
      <c r="F1451">
        <v>4</v>
      </c>
      <c r="G1451" s="2">
        <v>593.71</v>
      </c>
      <c r="H1451">
        <v>0.34</v>
      </c>
      <c r="I1451" t="s">
        <v>68</v>
      </c>
      <c r="J1451">
        <v>5</v>
      </c>
      <c r="K1451">
        <v>4.0999999999999996</v>
      </c>
      <c r="L1451" s="2">
        <v>1567.39</v>
      </c>
      <c r="M1451">
        <v>2025</v>
      </c>
      <c r="N1451">
        <v>12</v>
      </c>
      <c r="O1451" t="s">
        <v>127</v>
      </c>
      <c r="P1451" s="2">
        <v>2374.84</v>
      </c>
      <c r="Q1451" s="2">
        <v>807.45</v>
      </c>
      <c r="R1451" t="s">
        <v>72</v>
      </c>
      <c r="S1451">
        <v>0</v>
      </c>
      <c r="T1451">
        <v>0</v>
      </c>
      <c r="U1451">
        <f>IF(AND(OR(Dashboard!$D$4="Semua",D1451=Dashboard!$D$4),OR(Dashboard!$H$4="Semua",E1451=Dashboard!$H$4)),1,0)</f>
        <v>1</v>
      </c>
      <c r="V1451">
        <f>IF(U1451=1,IF(COUNTIFS($C$2:C1451,C1451,$U$2:U1451,1)=1,1,0),0)</f>
        <v>0</v>
      </c>
    </row>
    <row r="1452" spans="1:22" x14ac:dyDescent="0.35">
      <c r="A1452">
        <v>11451</v>
      </c>
      <c r="B1452" s="1">
        <v>46012</v>
      </c>
      <c r="C1452">
        <v>1574</v>
      </c>
      <c r="D1452" t="s">
        <v>73</v>
      </c>
      <c r="E1452" t="s">
        <v>78</v>
      </c>
      <c r="F1452">
        <v>4</v>
      </c>
      <c r="G1452" s="2">
        <v>465.22</v>
      </c>
      <c r="H1452">
        <v>0.02</v>
      </c>
      <c r="I1452" t="s">
        <v>71</v>
      </c>
      <c r="J1452">
        <v>4</v>
      </c>
      <c r="K1452">
        <v>2.8</v>
      </c>
      <c r="L1452" s="2">
        <v>1823.66</v>
      </c>
      <c r="M1452">
        <v>2025</v>
      </c>
      <c r="N1452">
        <v>12</v>
      </c>
      <c r="O1452" t="s">
        <v>127</v>
      </c>
      <c r="P1452" s="2">
        <v>1860.88</v>
      </c>
      <c r="Q1452" s="2">
        <v>37.22</v>
      </c>
      <c r="R1452" t="s">
        <v>75</v>
      </c>
      <c r="S1452">
        <v>0</v>
      </c>
      <c r="T1452">
        <v>0</v>
      </c>
      <c r="U1452">
        <f>IF(AND(OR(Dashboard!$D$4="Semua",D1452=Dashboard!$D$4),OR(Dashboard!$H$4="Semua",E1452=Dashboard!$H$4)),1,0)</f>
        <v>1</v>
      </c>
      <c r="V1452">
        <f>IF(U1452=1,IF(COUNTIFS($C$2:C1452,C1452,$U$2:U1452,1)=1,1,0),0)</f>
        <v>0</v>
      </c>
    </row>
    <row r="1453" spans="1:22" x14ac:dyDescent="0.35">
      <c r="A1453">
        <v>11452</v>
      </c>
      <c r="B1453" s="1">
        <v>46013</v>
      </c>
      <c r="C1453">
        <v>1142</v>
      </c>
      <c r="D1453" t="s">
        <v>67</v>
      </c>
      <c r="E1453" t="s">
        <v>74</v>
      </c>
      <c r="F1453">
        <v>4</v>
      </c>
      <c r="G1453" s="2">
        <v>577.80999999999995</v>
      </c>
      <c r="H1453">
        <v>0.27</v>
      </c>
      <c r="I1453" t="s">
        <v>68</v>
      </c>
      <c r="J1453">
        <v>11</v>
      </c>
      <c r="K1453">
        <v>2.6</v>
      </c>
      <c r="L1453" s="2">
        <v>1687.21</v>
      </c>
      <c r="M1453">
        <v>2025</v>
      </c>
      <c r="N1453">
        <v>12</v>
      </c>
      <c r="O1453" t="s">
        <v>127</v>
      </c>
      <c r="P1453" s="2">
        <v>2311.2399999999998</v>
      </c>
      <c r="Q1453" s="2">
        <v>624.03</v>
      </c>
      <c r="R1453" t="s">
        <v>66</v>
      </c>
      <c r="S1453">
        <v>0</v>
      </c>
      <c r="T1453">
        <v>0</v>
      </c>
      <c r="U1453">
        <f>IF(AND(OR(Dashboard!$D$4="Semua",D1453=Dashboard!$D$4),OR(Dashboard!$H$4="Semua",E1453=Dashboard!$H$4)),1,0)</f>
        <v>1</v>
      </c>
      <c r="V1453">
        <f>IF(U1453=1,IF(COUNTIFS($C$2:C1453,C1453,$U$2:U1453,1)=1,1,0),0)</f>
        <v>0</v>
      </c>
    </row>
    <row r="1454" spans="1:22" x14ac:dyDescent="0.35">
      <c r="A1454">
        <v>11453</v>
      </c>
      <c r="B1454" s="1">
        <v>46014</v>
      </c>
      <c r="C1454">
        <v>1992</v>
      </c>
      <c r="D1454" t="s">
        <v>73</v>
      </c>
      <c r="E1454" t="s">
        <v>74</v>
      </c>
      <c r="F1454">
        <v>6</v>
      </c>
      <c r="G1454" s="2">
        <v>471.09</v>
      </c>
      <c r="H1454">
        <v>0.11</v>
      </c>
      <c r="I1454" t="s">
        <v>71</v>
      </c>
      <c r="J1454">
        <v>5</v>
      </c>
      <c r="K1454">
        <v>4.5</v>
      </c>
      <c r="L1454" s="2">
        <v>2515.62</v>
      </c>
      <c r="M1454">
        <v>2025</v>
      </c>
      <c r="N1454">
        <v>12</v>
      </c>
      <c r="O1454" t="s">
        <v>127</v>
      </c>
      <c r="P1454" s="2">
        <v>2826.54</v>
      </c>
      <c r="Q1454" s="2">
        <v>310.92</v>
      </c>
      <c r="R1454" t="s">
        <v>79</v>
      </c>
      <c r="S1454">
        <v>0</v>
      </c>
      <c r="T1454">
        <v>0</v>
      </c>
      <c r="U1454">
        <f>IF(AND(OR(Dashboard!$D$4="Semua",D1454=Dashboard!$D$4),OR(Dashboard!$H$4="Semua",E1454=Dashboard!$H$4)),1,0)</f>
        <v>1</v>
      </c>
      <c r="V1454">
        <f>IF(U1454=1,IF(COUNTIFS($C$2:C1454,C1454,$U$2:U1454,1)=1,1,0),0)</f>
        <v>0</v>
      </c>
    </row>
    <row r="1455" spans="1:22" x14ac:dyDescent="0.35">
      <c r="A1455">
        <v>11454</v>
      </c>
      <c r="B1455" s="1">
        <v>46015</v>
      </c>
      <c r="C1455">
        <v>1664</v>
      </c>
      <c r="D1455" t="s">
        <v>80</v>
      </c>
      <c r="E1455" t="s">
        <v>63</v>
      </c>
      <c r="F1455">
        <v>4</v>
      </c>
      <c r="G1455" s="2">
        <v>526.80999999999995</v>
      </c>
      <c r="H1455">
        <v>0.01</v>
      </c>
      <c r="I1455" t="s">
        <v>64</v>
      </c>
      <c r="J1455">
        <v>8</v>
      </c>
      <c r="K1455">
        <v>3.4</v>
      </c>
      <c r="L1455" s="2">
        <v>2086.17</v>
      </c>
      <c r="M1455">
        <v>2025</v>
      </c>
      <c r="N1455">
        <v>12</v>
      </c>
      <c r="O1455" t="s">
        <v>127</v>
      </c>
      <c r="P1455" s="2">
        <v>2107.2399999999998</v>
      </c>
      <c r="Q1455" s="2">
        <v>21.07</v>
      </c>
      <c r="R1455" t="s">
        <v>75</v>
      </c>
      <c r="S1455">
        <v>0</v>
      </c>
      <c r="T1455">
        <v>0</v>
      </c>
      <c r="U1455">
        <f>IF(AND(OR(Dashboard!$D$4="Semua",D1455=Dashboard!$D$4),OR(Dashboard!$H$4="Semua",E1455=Dashboard!$H$4)),1,0)</f>
        <v>1</v>
      </c>
      <c r="V1455">
        <f>IF(U1455=1,IF(COUNTIFS($C$2:C1455,C1455,$U$2:U1455,1)=1,1,0),0)</f>
        <v>0</v>
      </c>
    </row>
    <row r="1456" spans="1:22" x14ac:dyDescent="0.35">
      <c r="A1456">
        <v>11455</v>
      </c>
      <c r="B1456" s="1">
        <v>46016</v>
      </c>
      <c r="C1456">
        <v>1144</v>
      </c>
      <c r="D1456" t="s">
        <v>80</v>
      </c>
      <c r="E1456" t="s">
        <v>70</v>
      </c>
      <c r="F1456">
        <v>5</v>
      </c>
      <c r="G1456" s="2">
        <v>428.32</v>
      </c>
      <c r="H1456">
        <v>0.26</v>
      </c>
      <c r="I1456" t="s">
        <v>68</v>
      </c>
      <c r="J1456">
        <v>11</v>
      </c>
      <c r="K1456">
        <v>4.2</v>
      </c>
      <c r="L1456" s="2">
        <v>1584.78</v>
      </c>
      <c r="M1456">
        <v>2025</v>
      </c>
      <c r="N1456">
        <v>12</v>
      </c>
      <c r="O1456" t="s">
        <v>127</v>
      </c>
      <c r="P1456" s="2">
        <v>2141.6</v>
      </c>
      <c r="Q1456" s="2">
        <v>556.82000000000005</v>
      </c>
      <c r="R1456" t="s">
        <v>66</v>
      </c>
      <c r="S1456">
        <v>0</v>
      </c>
      <c r="T1456">
        <v>0</v>
      </c>
      <c r="U1456">
        <f>IF(AND(OR(Dashboard!$D$4="Semua",D1456=Dashboard!$D$4),OR(Dashboard!$H$4="Semua",E1456=Dashboard!$H$4)),1,0)</f>
        <v>1</v>
      </c>
      <c r="V1456">
        <f>IF(U1456=1,IF(COUNTIFS($C$2:C1456,C1456,$U$2:U1456,1)=1,1,0),0)</f>
        <v>0</v>
      </c>
    </row>
    <row r="1457" spans="1:22" x14ac:dyDescent="0.35">
      <c r="A1457">
        <v>11456</v>
      </c>
      <c r="B1457" s="1">
        <v>46017</v>
      </c>
      <c r="C1457">
        <v>1224</v>
      </c>
      <c r="D1457" t="s">
        <v>80</v>
      </c>
      <c r="E1457" t="s">
        <v>78</v>
      </c>
      <c r="F1457">
        <v>1</v>
      </c>
      <c r="G1457" s="2">
        <v>459.89</v>
      </c>
      <c r="H1457">
        <v>0.12</v>
      </c>
      <c r="I1457" t="s">
        <v>68</v>
      </c>
      <c r="J1457">
        <v>6</v>
      </c>
      <c r="K1457">
        <v>4.2</v>
      </c>
      <c r="L1457" s="2">
        <v>404.7</v>
      </c>
      <c r="M1457">
        <v>2025</v>
      </c>
      <c r="N1457">
        <v>12</v>
      </c>
      <c r="O1457" t="s">
        <v>127</v>
      </c>
      <c r="P1457" s="2">
        <v>459.89</v>
      </c>
      <c r="Q1457" s="2">
        <v>55.19</v>
      </c>
      <c r="R1457" t="s">
        <v>79</v>
      </c>
      <c r="S1457">
        <v>0</v>
      </c>
      <c r="T1457">
        <v>0</v>
      </c>
      <c r="U1457">
        <f>IF(AND(OR(Dashboard!$D$4="Semua",D1457=Dashboard!$D$4),OR(Dashboard!$H$4="Semua",E1457=Dashboard!$H$4)),1,0)</f>
        <v>1</v>
      </c>
      <c r="V1457">
        <f>IF(U1457=1,IF(COUNTIFS($C$2:C1457,C1457,$U$2:U1457,1)=1,1,0),0)</f>
        <v>0</v>
      </c>
    </row>
    <row r="1458" spans="1:22" x14ac:dyDescent="0.35">
      <c r="A1458">
        <v>11457</v>
      </c>
      <c r="B1458" s="1">
        <v>46018</v>
      </c>
      <c r="C1458">
        <v>1502</v>
      </c>
      <c r="D1458" t="s">
        <v>80</v>
      </c>
      <c r="E1458" t="s">
        <v>74</v>
      </c>
      <c r="F1458">
        <v>4</v>
      </c>
      <c r="G1458" s="2">
        <v>321.06</v>
      </c>
      <c r="H1458">
        <v>0.25</v>
      </c>
      <c r="I1458" t="s">
        <v>71</v>
      </c>
      <c r="J1458">
        <v>4</v>
      </c>
      <c r="K1458">
        <v>1.5</v>
      </c>
      <c r="L1458" s="2">
        <v>963.18</v>
      </c>
      <c r="M1458">
        <v>2025</v>
      </c>
      <c r="N1458">
        <v>12</v>
      </c>
      <c r="O1458" t="s">
        <v>127</v>
      </c>
      <c r="P1458" s="2">
        <v>1284.24</v>
      </c>
      <c r="Q1458" s="2">
        <v>321.06</v>
      </c>
      <c r="R1458" t="s">
        <v>77</v>
      </c>
      <c r="S1458">
        <v>0</v>
      </c>
      <c r="T1458">
        <v>0</v>
      </c>
      <c r="U1458">
        <f>IF(AND(OR(Dashboard!$D$4="Semua",D1458=Dashboard!$D$4),OR(Dashboard!$H$4="Semua",E1458=Dashboard!$H$4)),1,0)</f>
        <v>1</v>
      </c>
      <c r="V1458">
        <f>IF(U1458=1,IF(COUNTIFS($C$2:C1458,C1458,$U$2:U1458,1)=1,1,0),0)</f>
        <v>0</v>
      </c>
    </row>
    <row r="1459" spans="1:22" x14ac:dyDescent="0.35">
      <c r="A1459">
        <v>11458</v>
      </c>
      <c r="B1459" s="1">
        <v>46019</v>
      </c>
      <c r="C1459">
        <v>1961</v>
      </c>
      <c r="D1459" t="s">
        <v>67</v>
      </c>
      <c r="E1459" t="s">
        <v>63</v>
      </c>
      <c r="F1459">
        <v>7</v>
      </c>
      <c r="G1459" s="2">
        <v>555.67999999999995</v>
      </c>
      <c r="H1459">
        <v>0.25</v>
      </c>
      <c r="I1459" t="s">
        <v>64</v>
      </c>
      <c r="J1459">
        <v>5</v>
      </c>
      <c r="K1459">
        <v>3.6</v>
      </c>
      <c r="L1459" s="2">
        <v>2917.32</v>
      </c>
      <c r="M1459">
        <v>2025</v>
      </c>
      <c r="N1459">
        <v>12</v>
      </c>
      <c r="O1459" t="s">
        <v>127</v>
      </c>
      <c r="P1459" s="2">
        <v>3889.76</v>
      </c>
      <c r="Q1459" s="2">
        <v>972.44</v>
      </c>
      <c r="R1459" t="s">
        <v>77</v>
      </c>
      <c r="S1459">
        <v>0</v>
      </c>
      <c r="T1459">
        <v>0</v>
      </c>
      <c r="U1459">
        <f>IF(AND(OR(Dashboard!$D$4="Semua",D1459=Dashboard!$D$4),OR(Dashboard!$H$4="Semua",E1459=Dashboard!$H$4)),1,0)</f>
        <v>1</v>
      </c>
      <c r="V1459">
        <f>IF(U1459=1,IF(COUNTIFS($C$2:C1459,C1459,$U$2:U1459,1)=1,1,0),0)</f>
        <v>0</v>
      </c>
    </row>
    <row r="1460" spans="1:22" x14ac:dyDescent="0.35">
      <c r="A1460">
        <v>11459</v>
      </c>
      <c r="B1460" s="1">
        <v>46020</v>
      </c>
      <c r="C1460">
        <v>1973</v>
      </c>
      <c r="D1460" t="s">
        <v>73</v>
      </c>
      <c r="E1460" t="s">
        <v>63</v>
      </c>
      <c r="F1460">
        <v>5</v>
      </c>
      <c r="G1460" s="2">
        <v>497.65</v>
      </c>
      <c r="H1460">
        <v>0.19</v>
      </c>
      <c r="I1460" t="s">
        <v>71</v>
      </c>
      <c r="J1460">
        <v>11</v>
      </c>
      <c r="K1460">
        <v>4.8</v>
      </c>
      <c r="L1460" s="2">
        <v>2015.48</v>
      </c>
      <c r="M1460">
        <v>2025</v>
      </c>
      <c r="N1460">
        <v>12</v>
      </c>
      <c r="O1460" t="s">
        <v>127</v>
      </c>
      <c r="P1460" s="2">
        <v>2488.25</v>
      </c>
      <c r="Q1460" s="2">
        <v>472.77</v>
      </c>
      <c r="R1460" t="s">
        <v>76</v>
      </c>
      <c r="S1460">
        <v>0</v>
      </c>
      <c r="T1460">
        <v>0</v>
      </c>
      <c r="U1460">
        <f>IF(AND(OR(Dashboard!$D$4="Semua",D1460=Dashboard!$D$4),OR(Dashboard!$H$4="Semua",E1460=Dashboard!$H$4)),1,0)</f>
        <v>1</v>
      </c>
      <c r="V1460">
        <f>IF(U1460=1,IF(COUNTIFS($C$2:C1460,C1460,$U$2:U1460,1)=1,1,0),0)</f>
        <v>0</v>
      </c>
    </row>
    <row r="1461" spans="1:22" x14ac:dyDescent="0.35">
      <c r="A1461">
        <v>11460</v>
      </c>
      <c r="B1461" s="1">
        <v>46021</v>
      </c>
      <c r="C1461">
        <v>1820</v>
      </c>
      <c r="D1461" t="s">
        <v>80</v>
      </c>
      <c r="E1461" t="s">
        <v>63</v>
      </c>
      <c r="F1461">
        <v>5</v>
      </c>
      <c r="G1461" s="2">
        <v>508.67</v>
      </c>
      <c r="H1461">
        <v>0.27</v>
      </c>
      <c r="I1461" t="s">
        <v>71</v>
      </c>
      <c r="J1461">
        <v>7</v>
      </c>
      <c r="K1461">
        <v>2.9</v>
      </c>
      <c r="L1461" s="2">
        <v>1856.65</v>
      </c>
      <c r="M1461">
        <v>2025</v>
      </c>
      <c r="N1461">
        <v>12</v>
      </c>
      <c r="O1461" t="s">
        <v>127</v>
      </c>
      <c r="P1461" s="2">
        <v>2543.35</v>
      </c>
      <c r="Q1461" s="2">
        <v>686.7</v>
      </c>
      <c r="R1461" t="s">
        <v>66</v>
      </c>
      <c r="S1461">
        <v>0</v>
      </c>
      <c r="T1461">
        <v>0</v>
      </c>
      <c r="U1461">
        <f>IF(AND(OR(Dashboard!$D$4="Semua",D1461=Dashboard!$D$4),OR(Dashboard!$H$4="Semua",E1461=Dashboard!$H$4)),1,0)</f>
        <v>1</v>
      </c>
      <c r="V1461">
        <f>IF(U1461=1,IF(COUNTIFS($C$2:C1461,C1461,$U$2:U1461,1)=1,1,0),0)</f>
        <v>1</v>
      </c>
    </row>
    <row r="1462" spans="1:22" x14ac:dyDescent="0.35">
      <c r="A1462">
        <v>11461</v>
      </c>
      <c r="B1462" s="1">
        <v>46022</v>
      </c>
      <c r="C1462">
        <v>1615</v>
      </c>
      <c r="D1462" t="s">
        <v>67</v>
      </c>
      <c r="E1462" t="s">
        <v>78</v>
      </c>
      <c r="F1462">
        <v>5</v>
      </c>
      <c r="G1462" s="2">
        <v>408.71</v>
      </c>
      <c r="H1462">
        <v>0.2</v>
      </c>
      <c r="I1462" t="s">
        <v>68</v>
      </c>
      <c r="J1462">
        <v>8</v>
      </c>
      <c r="K1462">
        <v>3.9</v>
      </c>
      <c r="L1462" s="2">
        <v>1634.84</v>
      </c>
      <c r="M1462">
        <v>2025</v>
      </c>
      <c r="N1462">
        <v>12</v>
      </c>
      <c r="O1462" t="s">
        <v>127</v>
      </c>
      <c r="P1462" s="2">
        <v>2043.55</v>
      </c>
      <c r="Q1462" s="2">
        <v>408.71</v>
      </c>
      <c r="R1462" t="s">
        <v>76</v>
      </c>
      <c r="S1462">
        <v>0</v>
      </c>
      <c r="T1462">
        <v>0</v>
      </c>
      <c r="U1462">
        <f>IF(AND(OR(Dashboard!$D$4="Semua",D1462=Dashboard!$D$4),OR(Dashboard!$H$4="Semua",E1462=Dashboard!$H$4)),1,0)</f>
        <v>1</v>
      </c>
      <c r="V1462">
        <f>IF(U1462=1,IF(COUNTIFS($C$2:C1462,C1462,$U$2:U1462,1)=1,1,0),0)</f>
        <v>0</v>
      </c>
    </row>
    <row r="1463" spans="1:22" x14ac:dyDescent="0.35">
      <c r="A1463">
        <v>11462</v>
      </c>
      <c r="B1463" s="1">
        <v>46023</v>
      </c>
      <c r="C1463">
        <v>1103</v>
      </c>
      <c r="D1463" t="s">
        <v>80</v>
      </c>
      <c r="E1463" t="s">
        <v>78</v>
      </c>
      <c r="F1463">
        <v>3</v>
      </c>
      <c r="G1463" s="2">
        <v>193.18</v>
      </c>
      <c r="H1463">
        <v>0.1</v>
      </c>
      <c r="I1463" t="s">
        <v>68</v>
      </c>
      <c r="J1463">
        <v>5</v>
      </c>
      <c r="K1463">
        <v>3.3</v>
      </c>
      <c r="L1463" s="2">
        <v>521.59</v>
      </c>
      <c r="M1463">
        <v>2026</v>
      </c>
      <c r="N1463">
        <v>1</v>
      </c>
      <c r="O1463" t="s">
        <v>128</v>
      </c>
      <c r="P1463" s="2">
        <v>579.54</v>
      </c>
      <c r="Q1463" s="2">
        <v>57.95</v>
      </c>
      <c r="R1463" t="s">
        <v>69</v>
      </c>
      <c r="S1463">
        <v>0</v>
      </c>
      <c r="T1463">
        <v>0</v>
      </c>
      <c r="U1463">
        <f>IF(AND(OR(Dashboard!$D$4="Semua",D1463=Dashboard!$D$4),OR(Dashboard!$H$4="Semua",E1463=Dashboard!$H$4)),1,0)</f>
        <v>1</v>
      </c>
      <c r="V1463">
        <f>IF(U1463=1,IF(COUNTIFS($C$2:C1463,C1463,$U$2:U1463,1)=1,1,0),0)</f>
        <v>0</v>
      </c>
    </row>
    <row r="1464" spans="1:22" x14ac:dyDescent="0.35">
      <c r="A1464">
        <v>11463</v>
      </c>
      <c r="B1464" s="1">
        <v>46024</v>
      </c>
      <c r="C1464">
        <v>1946</v>
      </c>
      <c r="D1464" t="s">
        <v>73</v>
      </c>
      <c r="E1464" t="s">
        <v>70</v>
      </c>
      <c r="F1464">
        <v>7</v>
      </c>
      <c r="G1464" s="2">
        <v>35.840000000000003</v>
      </c>
      <c r="H1464">
        <v>0.26</v>
      </c>
      <c r="I1464" t="s">
        <v>71</v>
      </c>
      <c r="J1464">
        <v>2</v>
      </c>
      <c r="K1464">
        <v>1.8</v>
      </c>
      <c r="L1464" s="2">
        <v>185.65</v>
      </c>
      <c r="M1464">
        <v>2026</v>
      </c>
      <c r="N1464">
        <v>1</v>
      </c>
      <c r="O1464" t="s">
        <v>128</v>
      </c>
      <c r="P1464" s="2">
        <v>250.88</v>
      </c>
      <c r="Q1464" s="2">
        <v>65.23</v>
      </c>
      <c r="R1464" t="s">
        <v>66</v>
      </c>
      <c r="S1464">
        <v>0</v>
      </c>
      <c r="T1464">
        <v>0</v>
      </c>
      <c r="U1464">
        <f>IF(AND(OR(Dashboard!$D$4="Semua",D1464=Dashboard!$D$4),OR(Dashboard!$H$4="Semua",E1464=Dashboard!$H$4)),1,0)</f>
        <v>1</v>
      </c>
      <c r="V1464">
        <f>IF(U1464=1,IF(COUNTIFS($C$2:C1464,C1464,$U$2:U1464,1)=1,1,0),0)</f>
        <v>0</v>
      </c>
    </row>
    <row r="1465" spans="1:22" x14ac:dyDescent="0.35">
      <c r="A1465">
        <v>11464</v>
      </c>
      <c r="B1465" s="1">
        <v>46025</v>
      </c>
      <c r="C1465">
        <v>1038</v>
      </c>
      <c r="D1465" t="s">
        <v>73</v>
      </c>
      <c r="E1465" t="s">
        <v>63</v>
      </c>
      <c r="F1465">
        <v>3</v>
      </c>
      <c r="G1465" s="2">
        <v>562.36</v>
      </c>
      <c r="H1465">
        <v>0.21</v>
      </c>
      <c r="I1465" t="s">
        <v>68</v>
      </c>
      <c r="J1465">
        <v>6</v>
      </c>
      <c r="K1465">
        <v>1.8</v>
      </c>
      <c r="L1465" s="2">
        <v>1332.79</v>
      </c>
      <c r="M1465">
        <v>2026</v>
      </c>
      <c r="N1465">
        <v>1</v>
      </c>
      <c r="O1465" t="s">
        <v>128</v>
      </c>
      <c r="P1465" s="2">
        <v>1687.08</v>
      </c>
      <c r="Q1465" s="2">
        <v>354.29</v>
      </c>
      <c r="R1465" t="s">
        <v>77</v>
      </c>
      <c r="S1465">
        <v>0</v>
      </c>
      <c r="T1465">
        <v>0</v>
      </c>
      <c r="U1465">
        <f>IF(AND(OR(Dashboard!$D$4="Semua",D1465=Dashboard!$D$4),OR(Dashboard!$H$4="Semua",E1465=Dashboard!$H$4)),1,0)</f>
        <v>1</v>
      </c>
      <c r="V1465">
        <f>IF(U1465=1,IF(COUNTIFS($C$2:C1465,C1465,$U$2:U1465,1)=1,1,0),0)</f>
        <v>0</v>
      </c>
    </row>
    <row r="1466" spans="1:22" x14ac:dyDescent="0.35">
      <c r="A1466">
        <v>11465</v>
      </c>
      <c r="B1466" s="1">
        <v>46026</v>
      </c>
      <c r="C1466">
        <v>1946</v>
      </c>
      <c r="D1466" t="s">
        <v>62</v>
      </c>
      <c r="E1466" t="s">
        <v>78</v>
      </c>
      <c r="F1466">
        <v>5</v>
      </c>
      <c r="G1466" s="2">
        <v>357.88</v>
      </c>
      <c r="H1466">
        <v>0</v>
      </c>
      <c r="I1466" t="s">
        <v>64</v>
      </c>
      <c r="J1466">
        <v>9</v>
      </c>
      <c r="K1466">
        <v>2.7</v>
      </c>
      <c r="L1466" s="2">
        <v>1789.4</v>
      </c>
      <c r="M1466">
        <v>2026</v>
      </c>
      <c r="N1466">
        <v>1</v>
      </c>
      <c r="O1466" t="s">
        <v>128</v>
      </c>
      <c r="P1466" s="2">
        <v>1789.4</v>
      </c>
      <c r="Q1466" s="2">
        <v>0</v>
      </c>
      <c r="R1466" t="s">
        <v>75</v>
      </c>
      <c r="S1466">
        <v>0</v>
      </c>
      <c r="T1466">
        <v>0</v>
      </c>
      <c r="U1466">
        <f>IF(AND(OR(Dashboard!$D$4="Semua",D1466=Dashboard!$D$4),OR(Dashboard!$H$4="Semua",E1466=Dashboard!$H$4)),1,0)</f>
        <v>1</v>
      </c>
      <c r="V1466">
        <f>IF(U1466=1,IF(COUNTIFS($C$2:C1466,C1466,$U$2:U1466,1)=1,1,0),0)</f>
        <v>0</v>
      </c>
    </row>
    <row r="1467" spans="1:22" x14ac:dyDescent="0.35">
      <c r="A1467">
        <v>11466</v>
      </c>
      <c r="B1467" s="1">
        <v>46027</v>
      </c>
      <c r="C1467">
        <v>1197</v>
      </c>
      <c r="D1467" t="s">
        <v>73</v>
      </c>
      <c r="E1467" t="s">
        <v>63</v>
      </c>
      <c r="F1467">
        <v>6</v>
      </c>
      <c r="G1467" s="2">
        <v>189.41</v>
      </c>
      <c r="H1467">
        <v>0.32</v>
      </c>
      <c r="I1467" t="s">
        <v>71</v>
      </c>
      <c r="J1467">
        <v>3</v>
      </c>
      <c r="K1467">
        <v>2.9</v>
      </c>
      <c r="L1467" s="2">
        <v>772.79</v>
      </c>
      <c r="M1467">
        <v>2026</v>
      </c>
      <c r="N1467">
        <v>1</v>
      </c>
      <c r="O1467" t="s">
        <v>128</v>
      </c>
      <c r="P1467" s="2">
        <v>1136.46</v>
      </c>
      <c r="Q1467" s="2">
        <v>363.67</v>
      </c>
      <c r="R1467" t="s">
        <v>72</v>
      </c>
      <c r="S1467">
        <v>0</v>
      </c>
      <c r="T1467">
        <v>0</v>
      </c>
      <c r="U1467">
        <f>IF(AND(OR(Dashboard!$D$4="Semua",D1467=Dashboard!$D$4),OR(Dashboard!$H$4="Semua",E1467=Dashboard!$H$4)),1,0)</f>
        <v>1</v>
      </c>
      <c r="V1467">
        <f>IF(U1467=1,IF(COUNTIFS($C$2:C1467,C1467,$U$2:U1467,1)=1,1,0),0)</f>
        <v>0</v>
      </c>
    </row>
    <row r="1468" spans="1:22" x14ac:dyDescent="0.35">
      <c r="A1468">
        <v>11467</v>
      </c>
      <c r="B1468" s="1">
        <v>46028</v>
      </c>
      <c r="C1468">
        <v>1645</v>
      </c>
      <c r="D1468" t="s">
        <v>62</v>
      </c>
      <c r="E1468" t="s">
        <v>74</v>
      </c>
      <c r="F1468">
        <v>4</v>
      </c>
      <c r="G1468" s="2">
        <v>102.24</v>
      </c>
      <c r="H1468">
        <v>0.19</v>
      </c>
      <c r="I1468" t="s">
        <v>71</v>
      </c>
      <c r="J1468">
        <v>7</v>
      </c>
      <c r="K1468">
        <v>3</v>
      </c>
      <c r="L1468" s="2">
        <v>331.26</v>
      </c>
      <c r="M1468">
        <v>2026</v>
      </c>
      <c r="N1468">
        <v>1</v>
      </c>
      <c r="O1468" t="s">
        <v>128</v>
      </c>
      <c r="P1468" s="2">
        <v>408.96</v>
      </c>
      <c r="Q1468" s="2">
        <v>77.7</v>
      </c>
      <c r="R1468" t="s">
        <v>76</v>
      </c>
      <c r="S1468">
        <v>0</v>
      </c>
      <c r="T1468">
        <v>0</v>
      </c>
      <c r="U1468">
        <f>IF(AND(OR(Dashboard!$D$4="Semua",D1468=Dashboard!$D$4),OR(Dashboard!$H$4="Semua",E1468=Dashboard!$H$4)),1,0)</f>
        <v>1</v>
      </c>
      <c r="V1468">
        <f>IF(U1468=1,IF(COUNTIFS($C$2:C1468,C1468,$U$2:U1468,1)=1,1,0),0)</f>
        <v>0</v>
      </c>
    </row>
    <row r="1469" spans="1:22" x14ac:dyDescent="0.35">
      <c r="A1469">
        <v>11468</v>
      </c>
      <c r="B1469" s="1">
        <v>46029</v>
      </c>
      <c r="C1469">
        <v>1578</v>
      </c>
      <c r="D1469" t="s">
        <v>62</v>
      </c>
      <c r="E1469" t="s">
        <v>63</v>
      </c>
      <c r="F1469">
        <v>1</v>
      </c>
      <c r="G1469" s="2">
        <v>500.27</v>
      </c>
      <c r="H1469">
        <v>0.3</v>
      </c>
      <c r="I1469" t="s">
        <v>71</v>
      </c>
      <c r="J1469">
        <v>8</v>
      </c>
      <c r="K1469">
        <v>4.8</v>
      </c>
      <c r="L1469" s="2">
        <v>350.19</v>
      </c>
      <c r="M1469">
        <v>2026</v>
      </c>
      <c r="N1469">
        <v>1</v>
      </c>
      <c r="O1469" t="s">
        <v>128</v>
      </c>
      <c r="P1469" s="2">
        <v>500.27</v>
      </c>
      <c r="Q1469" s="2">
        <v>150.08000000000001</v>
      </c>
      <c r="R1469" t="s">
        <v>66</v>
      </c>
      <c r="S1469">
        <v>0</v>
      </c>
      <c r="T1469">
        <v>0</v>
      </c>
      <c r="U1469">
        <f>IF(AND(OR(Dashboard!$D$4="Semua",D1469=Dashboard!$D$4),OR(Dashboard!$H$4="Semua",E1469=Dashboard!$H$4)),1,0)</f>
        <v>1</v>
      </c>
      <c r="V1469">
        <f>IF(U1469=1,IF(COUNTIFS($C$2:C1469,C1469,$U$2:U1469,1)=1,1,0),0)</f>
        <v>1</v>
      </c>
    </row>
    <row r="1470" spans="1:22" x14ac:dyDescent="0.35">
      <c r="A1470">
        <v>11469</v>
      </c>
      <c r="B1470" s="1">
        <v>46030</v>
      </c>
      <c r="C1470">
        <v>1390</v>
      </c>
      <c r="D1470" t="s">
        <v>80</v>
      </c>
      <c r="E1470" t="s">
        <v>70</v>
      </c>
      <c r="F1470">
        <v>7</v>
      </c>
      <c r="G1470" s="2">
        <v>504.36</v>
      </c>
      <c r="H1470">
        <v>0.31</v>
      </c>
      <c r="I1470" t="s">
        <v>71</v>
      </c>
      <c r="J1470">
        <v>6</v>
      </c>
      <c r="K1470">
        <v>1.4</v>
      </c>
      <c r="L1470" s="2">
        <v>2436.06</v>
      </c>
      <c r="M1470">
        <v>2026</v>
      </c>
      <c r="N1470">
        <v>1</v>
      </c>
      <c r="O1470" t="s">
        <v>128</v>
      </c>
      <c r="P1470" s="2">
        <v>3530.52</v>
      </c>
      <c r="Q1470" s="2">
        <v>1094.46</v>
      </c>
      <c r="R1470" t="s">
        <v>72</v>
      </c>
      <c r="S1470">
        <v>0</v>
      </c>
      <c r="T1470">
        <v>0</v>
      </c>
      <c r="U1470">
        <f>IF(AND(OR(Dashboard!$D$4="Semua",D1470=Dashboard!$D$4),OR(Dashboard!$H$4="Semua",E1470=Dashboard!$H$4)),1,0)</f>
        <v>1</v>
      </c>
      <c r="V1470">
        <f>IF(U1470=1,IF(COUNTIFS($C$2:C1470,C1470,$U$2:U1470,1)=1,1,0),0)</f>
        <v>1</v>
      </c>
    </row>
    <row r="1471" spans="1:22" x14ac:dyDescent="0.35">
      <c r="A1471">
        <v>11470</v>
      </c>
      <c r="B1471" s="1">
        <v>46031</v>
      </c>
      <c r="C1471">
        <v>1178</v>
      </c>
      <c r="D1471" t="s">
        <v>80</v>
      </c>
      <c r="E1471" t="s">
        <v>78</v>
      </c>
      <c r="F1471">
        <v>6</v>
      </c>
      <c r="G1471" s="2">
        <v>491.49</v>
      </c>
      <c r="H1471">
        <v>0.16</v>
      </c>
      <c r="I1471" t="s">
        <v>71</v>
      </c>
      <c r="J1471">
        <v>3</v>
      </c>
      <c r="K1471">
        <v>2.5</v>
      </c>
      <c r="L1471" s="2">
        <v>2477.11</v>
      </c>
      <c r="M1471">
        <v>2026</v>
      </c>
      <c r="N1471">
        <v>1</v>
      </c>
      <c r="O1471" t="s">
        <v>128</v>
      </c>
      <c r="P1471" s="2">
        <v>2948.94</v>
      </c>
      <c r="Q1471" s="2">
        <v>471.83</v>
      </c>
      <c r="R1471" t="s">
        <v>76</v>
      </c>
      <c r="S1471">
        <v>0</v>
      </c>
      <c r="T1471">
        <v>0</v>
      </c>
      <c r="U1471">
        <f>IF(AND(OR(Dashboard!$D$4="Semua",D1471=Dashboard!$D$4),OR(Dashboard!$H$4="Semua",E1471=Dashboard!$H$4)),1,0)</f>
        <v>1</v>
      </c>
      <c r="V1471">
        <f>IF(U1471=1,IF(COUNTIFS($C$2:C1471,C1471,$U$2:U1471,1)=1,1,0),0)</f>
        <v>1</v>
      </c>
    </row>
    <row r="1472" spans="1:22" x14ac:dyDescent="0.35">
      <c r="A1472">
        <v>11471</v>
      </c>
      <c r="B1472" s="1">
        <v>46032</v>
      </c>
      <c r="C1472">
        <v>1967</v>
      </c>
      <c r="D1472" t="s">
        <v>67</v>
      </c>
      <c r="E1472" t="s">
        <v>74</v>
      </c>
      <c r="F1472">
        <v>2</v>
      </c>
      <c r="G1472" s="2">
        <v>392.37</v>
      </c>
      <c r="H1472">
        <v>0.18</v>
      </c>
      <c r="I1472" t="s">
        <v>64</v>
      </c>
      <c r="J1472">
        <v>1</v>
      </c>
      <c r="K1472">
        <v>3.1</v>
      </c>
      <c r="L1472" s="2">
        <v>643.49</v>
      </c>
      <c r="M1472">
        <v>2026</v>
      </c>
      <c r="N1472">
        <v>1</v>
      </c>
      <c r="O1472" t="s">
        <v>128</v>
      </c>
      <c r="P1472" s="2">
        <v>784.74</v>
      </c>
      <c r="Q1472" s="2">
        <v>141.25</v>
      </c>
      <c r="R1472" t="s">
        <v>76</v>
      </c>
      <c r="S1472">
        <v>0</v>
      </c>
      <c r="T1472">
        <v>0</v>
      </c>
      <c r="U1472">
        <f>IF(AND(OR(Dashboard!$D$4="Semua",D1472=Dashboard!$D$4),OR(Dashboard!$H$4="Semua",E1472=Dashboard!$H$4)),1,0)</f>
        <v>1</v>
      </c>
      <c r="V1472">
        <f>IF(U1472=1,IF(COUNTIFS($C$2:C1472,C1472,$U$2:U1472,1)=1,1,0),0)</f>
        <v>0</v>
      </c>
    </row>
    <row r="1473" spans="1:22" x14ac:dyDescent="0.35">
      <c r="A1473">
        <v>11472</v>
      </c>
      <c r="B1473" s="1">
        <v>46033</v>
      </c>
      <c r="C1473">
        <v>1553</v>
      </c>
      <c r="D1473" t="s">
        <v>62</v>
      </c>
      <c r="E1473" t="s">
        <v>78</v>
      </c>
      <c r="F1473">
        <v>3</v>
      </c>
      <c r="G1473" s="2">
        <v>229.12</v>
      </c>
      <c r="H1473">
        <v>0.15</v>
      </c>
      <c r="I1473" t="s">
        <v>64</v>
      </c>
      <c r="J1473">
        <v>3</v>
      </c>
      <c r="K1473">
        <v>4.9000000000000004</v>
      </c>
      <c r="L1473" s="2">
        <v>584.26</v>
      </c>
      <c r="M1473">
        <v>2026</v>
      </c>
      <c r="N1473">
        <v>1</v>
      </c>
      <c r="O1473" t="s">
        <v>128</v>
      </c>
      <c r="P1473" s="2">
        <v>687.36</v>
      </c>
      <c r="Q1473" s="2">
        <v>103.1</v>
      </c>
      <c r="R1473" t="s">
        <v>79</v>
      </c>
      <c r="S1473">
        <v>0</v>
      </c>
      <c r="T1473">
        <v>0</v>
      </c>
      <c r="U1473">
        <f>IF(AND(OR(Dashboard!$D$4="Semua",D1473=Dashboard!$D$4),OR(Dashboard!$H$4="Semua",E1473=Dashboard!$H$4)),1,0)</f>
        <v>1</v>
      </c>
      <c r="V1473">
        <f>IF(U1473=1,IF(COUNTIFS($C$2:C1473,C1473,$U$2:U1473,1)=1,1,0),0)</f>
        <v>0</v>
      </c>
    </row>
    <row r="1474" spans="1:22" x14ac:dyDescent="0.35">
      <c r="A1474">
        <v>11473</v>
      </c>
      <c r="B1474" s="1">
        <v>46034</v>
      </c>
      <c r="C1474">
        <v>1447</v>
      </c>
      <c r="D1474" t="s">
        <v>73</v>
      </c>
      <c r="E1474" t="s">
        <v>74</v>
      </c>
      <c r="F1474">
        <v>4</v>
      </c>
      <c r="G1474" s="2">
        <v>192.88</v>
      </c>
      <c r="H1474">
        <v>0.16</v>
      </c>
      <c r="I1474" t="s">
        <v>64</v>
      </c>
      <c r="J1474">
        <v>11</v>
      </c>
      <c r="K1474">
        <v>3</v>
      </c>
      <c r="L1474" s="2">
        <v>648.08000000000004</v>
      </c>
      <c r="M1474">
        <v>2026</v>
      </c>
      <c r="N1474">
        <v>1</v>
      </c>
      <c r="O1474" t="s">
        <v>128</v>
      </c>
      <c r="P1474" s="2">
        <v>771.52</v>
      </c>
      <c r="Q1474" s="2">
        <v>123.44</v>
      </c>
      <c r="R1474" t="s">
        <v>76</v>
      </c>
      <c r="S1474">
        <v>0</v>
      </c>
      <c r="T1474">
        <v>0</v>
      </c>
      <c r="U1474">
        <f>IF(AND(OR(Dashboard!$D$4="Semua",D1474=Dashboard!$D$4),OR(Dashboard!$H$4="Semua",E1474=Dashboard!$H$4)),1,0)</f>
        <v>1</v>
      </c>
      <c r="V1474">
        <f>IF(U1474=1,IF(COUNTIFS($C$2:C1474,C1474,$U$2:U1474,1)=1,1,0),0)</f>
        <v>1</v>
      </c>
    </row>
    <row r="1475" spans="1:22" x14ac:dyDescent="0.35">
      <c r="A1475">
        <v>11474</v>
      </c>
      <c r="B1475" s="1">
        <v>46035</v>
      </c>
      <c r="C1475">
        <v>1499</v>
      </c>
      <c r="D1475" t="s">
        <v>67</v>
      </c>
      <c r="E1475" t="s">
        <v>63</v>
      </c>
      <c r="F1475">
        <v>4</v>
      </c>
      <c r="G1475" s="2">
        <v>20</v>
      </c>
      <c r="H1475">
        <v>0.31</v>
      </c>
      <c r="I1475" t="s">
        <v>64</v>
      </c>
      <c r="J1475">
        <v>6</v>
      </c>
      <c r="K1475">
        <v>4.0999999999999996</v>
      </c>
      <c r="L1475" s="2">
        <v>55.2</v>
      </c>
      <c r="M1475">
        <v>2026</v>
      </c>
      <c r="N1475">
        <v>1</v>
      </c>
      <c r="O1475" t="s">
        <v>128</v>
      </c>
      <c r="P1475" s="2">
        <v>80</v>
      </c>
      <c r="Q1475" s="2">
        <v>24.8</v>
      </c>
      <c r="R1475" t="s">
        <v>72</v>
      </c>
      <c r="S1475">
        <v>0</v>
      </c>
      <c r="T1475">
        <v>0</v>
      </c>
      <c r="U1475">
        <f>IF(AND(OR(Dashboard!$D$4="Semua",D1475=Dashboard!$D$4),OR(Dashboard!$H$4="Semua",E1475=Dashboard!$H$4)),1,0)</f>
        <v>1</v>
      </c>
      <c r="V1475">
        <f>IF(U1475=1,IF(COUNTIFS($C$2:C1475,C1475,$U$2:U1475,1)=1,1,0),0)</f>
        <v>0</v>
      </c>
    </row>
    <row r="1476" spans="1:22" x14ac:dyDescent="0.35">
      <c r="A1476">
        <v>11475</v>
      </c>
      <c r="B1476" s="1">
        <v>46036</v>
      </c>
      <c r="C1476">
        <v>1014</v>
      </c>
      <c r="D1476" t="s">
        <v>67</v>
      </c>
      <c r="E1476" t="s">
        <v>63</v>
      </c>
      <c r="F1476">
        <v>2</v>
      </c>
      <c r="G1476" s="2">
        <v>502.66</v>
      </c>
      <c r="H1476">
        <v>0.28000000000000003</v>
      </c>
      <c r="I1476" t="s">
        <v>71</v>
      </c>
      <c r="J1476">
        <v>11</v>
      </c>
      <c r="K1476">
        <v>4</v>
      </c>
      <c r="L1476" s="2">
        <v>723.83</v>
      </c>
      <c r="M1476">
        <v>2026</v>
      </c>
      <c r="N1476">
        <v>1</v>
      </c>
      <c r="O1476" t="s">
        <v>128</v>
      </c>
      <c r="P1476" s="2">
        <v>1005.32</v>
      </c>
      <c r="Q1476" s="2">
        <v>281.49</v>
      </c>
      <c r="R1476" t="s">
        <v>66</v>
      </c>
      <c r="S1476">
        <v>0</v>
      </c>
      <c r="T1476">
        <v>0</v>
      </c>
      <c r="U1476">
        <f>IF(AND(OR(Dashboard!$D$4="Semua",D1476=Dashboard!$D$4),OR(Dashboard!$H$4="Semua",E1476=Dashboard!$H$4)),1,0)</f>
        <v>1</v>
      </c>
      <c r="V1476">
        <f>IF(U1476=1,IF(COUNTIFS($C$2:C1476,C1476,$U$2:U1476,1)=1,1,0),0)</f>
        <v>0</v>
      </c>
    </row>
    <row r="1477" spans="1:22" x14ac:dyDescent="0.35">
      <c r="A1477">
        <v>11476</v>
      </c>
      <c r="B1477" s="1">
        <v>46037</v>
      </c>
      <c r="C1477">
        <v>1622</v>
      </c>
      <c r="D1477" t="s">
        <v>67</v>
      </c>
      <c r="E1477" t="s">
        <v>70</v>
      </c>
      <c r="F1477">
        <v>2</v>
      </c>
      <c r="G1477" s="2">
        <v>66.150000000000006</v>
      </c>
      <c r="H1477">
        <v>0.04</v>
      </c>
      <c r="I1477" t="s">
        <v>71</v>
      </c>
      <c r="J1477">
        <v>4</v>
      </c>
      <c r="K1477">
        <v>3.3</v>
      </c>
      <c r="L1477" s="2">
        <v>127.01</v>
      </c>
      <c r="M1477">
        <v>2026</v>
      </c>
      <c r="N1477">
        <v>1</v>
      </c>
      <c r="O1477" t="s">
        <v>128</v>
      </c>
      <c r="P1477" s="2">
        <v>132.30000000000001</v>
      </c>
      <c r="Q1477" s="2">
        <v>5.29</v>
      </c>
      <c r="R1477" t="s">
        <v>75</v>
      </c>
      <c r="S1477">
        <v>0</v>
      </c>
      <c r="T1477">
        <v>0</v>
      </c>
      <c r="U1477">
        <f>IF(AND(OR(Dashboard!$D$4="Semua",D1477=Dashboard!$D$4),OR(Dashboard!$H$4="Semua",E1477=Dashboard!$H$4)),1,0)</f>
        <v>1</v>
      </c>
      <c r="V1477">
        <f>IF(U1477=1,IF(COUNTIFS($C$2:C1477,C1477,$U$2:U1477,1)=1,1,0),0)</f>
        <v>0</v>
      </c>
    </row>
    <row r="1478" spans="1:22" x14ac:dyDescent="0.35">
      <c r="A1478">
        <v>11477</v>
      </c>
      <c r="B1478" s="1">
        <v>46038</v>
      </c>
      <c r="C1478">
        <v>1668</v>
      </c>
      <c r="D1478" t="s">
        <v>67</v>
      </c>
      <c r="E1478" t="s">
        <v>70</v>
      </c>
      <c r="F1478">
        <v>7</v>
      </c>
      <c r="G1478" s="2">
        <v>383.99</v>
      </c>
      <c r="H1478">
        <v>0.21</v>
      </c>
      <c r="I1478" t="s">
        <v>68</v>
      </c>
      <c r="J1478">
        <v>1</v>
      </c>
      <c r="K1478">
        <v>1.5</v>
      </c>
      <c r="L1478" s="2">
        <v>2123.46</v>
      </c>
      <c r="M1478">
        <v>2026</v>
      </c>
      <c r="N1478">
        <v>1</v>
      </c>
      <c r="O1478" t="s">
        <v>128</v>
      </c>
      <c r="P1478" s="2">
        <v>2687.93</v>
      </c>
      <c r="Q1478" s="2">
        <v>564.47</v>
      </c>
      <c r="R1478" t="s">
        <v>77</v>
      </c>
      <c r="S1478">
        <v>0</v>
      </c>
      <c r="T1478">
        <v>0</v>
      </c>
      <c r="U1478">
        <f>IF(AND(OR(Dashboard!$D$4="Semua",D1478=Dashboard!$D$4),OR(Dashboard!$H$4="Semua",E1478=Dashboard!$H$4)),1,0)</f>
        <v>1</v>
      </c>
      <c r="V1478">
        <f>IF(U1478=1,IF(COUNTIFS($C$2:C1478,C1478,$U$2:U1478,1)=1,1,0),0)</f>
        <v>1</v>
      </c>
    </row>
    <row r="1479" spans="1:22" x14ac:dyDescent="0.35">
      <c r="A1479">
        <v>11478</v>
      </c>
      <c r="B1479" s="1">
        <v>46039</v>
      </c>
      <c r="C1479">
        <v>1288</v>
      </c>
      <c r="D1479" t="s">
        <v>73</v>
      </c>
      <c r="E1479" t="s">
        <v>74</v>
      </c>
      <c r="F1479">
        <v>4</v>
      </c>
      <c r="G1479" s="2">
        <v>309.88</v>
      </c>
      <c r="H1479">
        <v>0.35</v>
      </c>
      <c r="I1479" t="s">
        <v>68</v>
      </c>
      <c r="J1479">
        <v>6</v>
      </c>
      <c r="K1479">
        <v>1.9</v>
      </c>
      <c r="L1479" s="2">
        <v>805.69</v>
      </c>
      <c r="M1479">
        <v>2026</v>
      </c>
      <c r="N1479">
        <v>1</v>
      </c>
      <c r="O1479" t="s">
        <v>128</v>
      </c>
      <c r="P1479" s="2">
        <v>1239.52</v>
      </c>
      <c r="Q1479" s="2">
        <v>433.83</v>
      </c>
      <c r="R1479" t="s">
        <v>72</v>
      </c>
      <c r="S1479">
        <v>0</v>
      </c>
      <c r="T1479">
        <v>0</v>
      </c>
      <c r="U1479">
        <f>IF(AND(OR(Dashboard!$D$4="Semua",D1479=Dashboard!$D$4),OR(Dashboard!$H$4="Semua",E1479=Dashboard!$H$4)),1,0)</f>
        <v>1</v>
      </c>
      <c r="V1479">
        <f>IF(U1479=1,IF(COUNTIFS($C$2:C1479,C1479,$U$2:U1479,1)=1,1,0),0)</f>
        <v>0</v>
      </c>
    </row>
    <row r="1480" spans="1:22" x14ac:dyDescent="0.35">
      <c r="A1480">
        <v>11479</v>
      </c>
      <c r="B1480" s="1">
        <v>46040</v>
      </c>
      <c r="C1480">
        <v>1477</v>
      </c>
      <c r="D1480" t="s">
        <v>67</v>
      </c>
      <c r="E1480" t="s">
        <v>70</v>
      </c>
      <c r="F1480">
        <v>2</v>
      </c>
      <c r="G1480" s="2">
        <v>323.11</v>
      </c>
      <c r="H1480">
        <v>0.21</v>
      </c>
      <c r="I1480" t="s">
        <v>68</v>
      </c>
      <c r="J1480">
        <v>1</v>
      </c>
      <c r="K1480">
        <v>2</v>
      </c>
      <c r="L1480" s="2">
        <v>510.51</v>
      </c>
      <c r="M1480">
        <v>2026</v>
      </c>
      <c r="N1480">
        <v>1</v>
      </c>
      <c r="O1480" t="s">
        <v>128</v>
      </c>
      <c r="P1480" s="2">
        <v>646.22</v>
      </c>
      <c r="Q1480" s="2">
        <v>135.71</v>
      </c>
      <c r="R1480" t="s">
        <v>77</v>
      </c>
      <c r="S1480">
        <v>0</v>
      </c>
      <c r="T1480">
        <v>0</v>
      </c>
      <c r="U1480">
        <f>IF(AND(OR(Dashboard!$D$4="Semua",D1480=Dashboard!$D$4),OR(Dashboard!$H$4="Semua",E1480=Dashboard!$H$4)),1,0)</f>
        <v>1</v>
      </c>
      <c r="V1480">
        <f>IF(U1480=1,IF(COUNTIFS($C$2:C1480,C1480,$U$2:U1480,1)=1,1,0),0)</f>
        <v>1</v>
      </c>
    </row>
    <row r="1481" spans="1:22" x14ac:dyDescent="0.35">
      <c r="A1481">
        <v>11480</v>
      </c>
      <c r="B1481" s="1">
        <v>46041</v>
      </c>
      <c r="C1481">
        <v>1230</v>
      </c>
      <c r="D1481" t="s">
        <v>62</v>
      </c>
      <c r="E1481" t="s">
        <v>70</v>
      </c>
      <c r="F1481">
        <v>4</v>
      </c>
      <c r="G1481" s="2">
        <v>557.13</v>
      </c>
      <c r="H1481">
        <v>0.28000000000000003</v>
      </c>
      <c r="I1481" t="s">
        <v>68</v>
      </c>
      <c r="J1481">
        <v>8</v>
      </c>
      <c r="K1481">
        <v>1.2</v>
      </c>
      <c r="L1481" s="2">
        <v>1604.53</v>
      </c>
      <c r="M1481">
        <v>2026</v>
      </c>
      <c r="N1481">
        <v>1</v>
      </c>
      <c r="O1481" t="s">
        <v>128</v>
      </c>
      <c r="P1481" s="2">
        <v>2228.52</v>
      </c>
      <c r="Q1481" s="2">
        <v>623.99</v>
      </c>
      <c r="R1481" t="s">
        <v>66</v>
      </c>
      <c r="S1481">
        <v>0</v>
      </c>
      <c r="T1481">
        <v>0</v>
      </c>
      <c r="U1481">
        <f>IF(AND(OR(Dashboard!$D$4="Semua",D1481=Dashboard!$D$4),OR(Dashboard!$H$4="Semua",E1481=Dashboard!$H$4)),1,0)</f>
        <v>1</v>
      </c>
      <c r="V1481">
        <f>IF(U1481=1,IF(COUNTIFS($C$2:C1481,C1481,$U$2:U1481,1)=1,1,0),0)</f>
        <v>0</v>
      </c>
    </row>
    <row r="1482" spans="1:22" x14ac:dyDescent="0.35">
      <c r="A1482">
        <v>11481</v>
      </c>
      <c r="B1482" s="1">
        <v>46042</v>
      </c>
      <c r="C1482">
        <v>1922</v>
      </c>
      <c r="D1482" t="s">
        <v>73</v>
      </c>
      <c r="E1482" t="s">
        <v>70</v>
      </c>
      <c r="F1482">
        <v>6</v>
      </c>
      <c r="G1482" s="2">
        <v>33.49</v>
      </c>
      <c r="H1482">
        <v>0.27</v>
      </c>
      <c r="I1482" t="s">
        <v>68</v>
      </c>
      <c r="J1482">
        <v>3</v>
      </c>
      <c r="K1482">
        <v>2.5</v>
      </c>
      <c r="L1482" s="2">
        <v>146.69</v>
      </c>
      <c r="M1482">
        <v>2026</v>
      </c>
      <c r="N1482">
        <v>1</v>
      </c>
      <c r="O1482" t="s">
        <v>128</v>
      </c>
      <c r="P1482" s="2">
        <v>200.94</v>
      </c>
      <c r="Q1482" s="2">
        <v>54.25</v>
      </c>
      <c r="R1482" t="s">
        <v>66</v>
      </c>
      <c r="S1482">
        <v>0</v>
      </c>
      <c r="T1482">
        <v>0</v>
      </c>
      <c r="U1482">
        <f>IF(AND(OR(Dashboard!$D$4="Semua",D1482=Dashboard!$D$4),OR(Dashboard!$H$4="Semua",E1482=Dashboard!$H$4)),1,0)</f>
        <v>1</v>
      </c>
      <c r="V1482">
        <f>IF(U1482=1,IF(COUNTIFS($C$2:C1482,C1482,$U$2:U1482,1)=1,1,0),0)</f>
        <v>0</v>
      </c>
    </row>
    <row r="1483" spans="1:22" x14ac:dyDescent="0.35">
      <c r="A1483">
        <v>11482</v>
      </c>
      <c r="B1483" s="1">
        <v>46043</v>
      </c>
      <c r="C1483">
        <v>1419</v>
      </c>
      <c r="D1483" t="s">
        <v>62</v>
      </c>
      <c r="E1483" t="s">
        <v>70</v>
      </c>
      <c r="F1483">
        <v>7</v>
      </c>
      <c r="G1483" s="2">
        <v>467.43</v>
      </c>
      <c r="H1483">
        <v>0.12</v>
      </c>
      <c r="I1483" t="s">
        <v>68</v>
      </c>
      <c r="J1483">
        <v>3</v>
      </c>
      <c r="K1483">
        <v>3.4</v>
      </c>
      <c r="L1483" s="2">
        <v>2879.37</v>
      </c>
      <c r="M1483">
        <v>2026</v>
      </c>
      <c r="N1483">
        <v>1</v>
      </c>
      <c r="O1483" t="s">
        <v>128</v>
      </c>
      <c r="P1483" s="2">
        <v>3272.01</v>
      </c>
      <c r="Q1483" s="2">
        <v>392.64</v>
      </c>
      <c r="R1483" t="s">
        <v>79</v>
      </c>
      <c r="S1483">
        <v>0</v>
      </c>
      <c r="T1483">
        <v>0</v>
      </c>
      <c r="U1483">
        <f>IF(AND(OR(Dashboard!$D$4="Semua",D1483=Dashboard!$D$4),OR(Dashboard!$H$4="Semua",E1483=Dashboard!$H$4)),1,0)</f>
        <v>1</v>
      </c>
      <c r="V1483">
        <f>IF(U1483=1,IF(COUNTIFS($C$2:C1483,C1483,$U$2:U1483,1)=1,1,0),0)</f>
        <v>0</v>
      </c>
    </row>
    <row r="1484" spans="1:22" x14ac:dyDescent="0.35">
      <c r="A1484">
        <v>11483</v>
      </c>
      <c r="B1484" s="1">
        <v>46044</v>
      </c>
      <c r="C1484">
        <v>1156</v>
      </c>
      <c r="D1484" t="s">
        <v>80</v>
      </c>
      <c r="E1484" t="s">
        <v>63</v>
      </c>
      <c r="F1484">
        <v>2</v>
      </c>
      <c r="G1484" s="2">
        <v>45.45</v>
      </c>
      <c r="H1484">
        <v>0.13</v>
      </c>
      <c r="I1484" t="s">
        <v>64</v>
      </c>
      <c r="J1484">
        <v>1</v>
      </c>
      <c r="K1484">
        <v>1.6</v>
      </c>
      <c r="L1484" s="2">
        <v>79.08</v>
      </c>
      <c r="M1484">
        <v>2026</v>
      </c>
      <c r="N1484">
        <v>1</v>
      </c>
      <c r="O1484" t="s">
        <v>128</v>
      </c>
      <c r="P1484" s="2">
        <v>90.9</v>
      </c>
      <c r="Q1484" s="2">
        <v>11.82</v>
      </c>
      <c r="R1484" t="s">
        <v>79</v>
      </c>
      <c r="S1484">
        <v>0</v>
      </c>
      <c r="T1484">
        <v>0</v>
      </c>
      <c r="U1484">
        <f>IF(AND(OR(Dashboard!$D$4="Semua",D1484=Dashboard!$D$4),OR(Dashboard!$H$4="Semua",E1484=Dashboard!$H$4)),1,0)</f>
        <v>1</v>
      </c>
      <c r="V1484">
        <f>IF(U1484=1,IF(COUNTIFS($C$2:C1484,C1484,$U$2:U1484,1)=1,1,0),0)</f>
        <v>0</v>
      </c>
    </row>
    <row r="1485" spans="1:22" x14ac:dyDescent="0.35">
      <c r="A1485">
        <v>11484</v>
      </c>
      <c r="B1485" s="1">
        <v>46045</v>
      </c>
      <c r="C1485">
        <v>1549</v>
      </c>
      <c r="D1485" t="s">
        <v>80</v>
      </c>
      <c r="E1485" t="s">
        <v>70</v>
      </c>
      <c r="F1485">
        <v>6</v>
      </c>
      <c r="G1485" s="2">
        <v>37.32</v>
      </c>
      <c r="H1485">
        <v>0.25</v>
      </c>
      <c r="I1485" t="s">
        <v>64</v>
      </c>
      <c r="J1485">
        <v>3</v>
      </c>
      <c r="K1485">
        <v>1.7</v>
      </c>
      <c r="L1485" s="2">
        <v>167.94</v>
      </c>
      <c r="M1485">
        <v>2026</v>
      </c>
      <c r="N1485">
        <v>1</v>
      </c>
      <c r="O1485" t="s">
        <v>128</v>
      </c>
      <c r="P1485" s="2">
        <v>223.92</v>
      </c>
      <c r="Q1485" s="2">
        <v>55.98</v>
      </c>
      <c r="R1485" t="s">
        <v>77</v>
      </c>
      <c r="S1485">
        <v>0</v>
      </c>
      <c r="T1485">
        <v>0</v>
      </c>
      <c r="U1485">
        <f>IF(AND(OR(Dashboard!$D$4="Semua",D1485=Dashboard!$D$4),OR(Dashboard!$H$4="Semua",E1485=Dashboard!$H$4)),1,0)</f>
        <v>1</v>
      </c>
      <c r="V1485">
        <f>IF(U1485=1,IF(COUNTIFS($C$2:C1485,C1485,$U$2:U1485,1)=1,1,0),0)</f>
        <v>0</v>
      </c>
    </row>
    <row r="1486" spans="1:22" x14ac:dyDescent="0.35">
      <c r="A1486">
        <v>11485</v>
      </c>
      <c r="B1486" s="1">
        <v>46046</v>
      </c>
      <c r="C1486">
        <v>1440</v>
      </c>
      <c r="D1486" t="s">
        <v>67</v>
      </c>
      <c r="E1486" t="s">
        <v>63</v>
      </c>
      <c r="F1486">
        <v>6</v>
      </c>
      <c r="G1486" s="2">
        <v>266.44</v>
      </c>
      <c r="H1486">
        <v>0.17</v>
      </c>
      <c r="I1486" t="s">
        <v>68</v>
      </c>
      <c r="J1486">
        <v>7</v>
      </c>
      <c r="K1486">
        <v>3.8</v>
      </c>
      <c r="L1486" s="2">
        <v>1326.87</v>
      </c>
      <c r="M1486">
        <v>2026</v>
      </c>
      <c r="N1486">
        <v>1</v>
      </c>
      <c r="O1486" t="s">
        <v>128</v>
      </c>
      <c r="P1486" s="2">
        <v>1598.64</v>
      </c>
      <c r="Q1486" s="2">
        <v>271.77</v>
      </c>
      <c r="R1486" t="s">
        <v>76</v>
      </c>
      <c r="S1486">
        <v>0</v>
      </c>
      <c r="T1486">
        <v>0</v>
      </c>
      <c r="U1486">
        <f>IF(AND(OR(Dashboard!$D$4="Semua",D1486=Dashboard!$D$4),OR(Dashboard!$H$4="Semua",E1486=Dashboard!$H$4)),1,0)</f>
        <v>1</v>
      </c>
      <c r="V1486">
        <f>IF(U1486=1,IF(COUNTIFS($C$2:C1486,C1486,$U$2:U1486,1)=1,1,0),0)</f>
        <v>0</v>
      </c>
    </row>
    <row r="1487" spans="1:22" x14ac:dyDescent="0.35">
      <c r="A1487">
        <v>11486</v>
      </c>
      <c r="B1487" s="1">
        <v>46047</v>
      </c>
      <c r="C1487">
        <v>1096</v>
      </c>
      <c r="D1487" t="s">
        <v>80</v>
      </c>
      <c r="E1487" t="s">
        <v>63</v>
      </c>
      <c r="F1487">
        <v>2</v>
      </c>
      <c r="G1487" s="2">
        <v>51.9</v>
      </c>
      <c r="H1487">
        <v>0.2</v>
      </c>
      <c r="I1487" t="s">
        <v>68</v>
      </c>
      <c r="J1487">
        <v>10</v>
      </c>
      <c r="K1487">
        <v>1.7</v>
      </c>
      <c r="L1487" s="2">
        <v>83.04</v>
      </c>
      <c r="M1487">
        <v>2026</v>
      </c>
      <c r="N1487">
        <v>1</v>
      </c>
      <c r="O1487" t="s">
        <v>128</v>
      </c>
      <c r="P1487" s="2">
        <v>103.8</v>
      </c>
      <c r="Q1487" s="2">
        <v>20.76</v>
      </c>
      <c r="R1487" t="s">
        <v>76</v>
      </c>
      <c r="S1487">
        <v>0</v>
      </c>
      <c r="T1487">
        <v>0</v>
      </c>
      <c r="U1487">
        <f>IF(AND(OR(Dashboard!$D$4="Semua",D1487=Dashboard!$D$4),OR(Dashboard!$H$4="Semua",E1487=Dashboard!$H$4)),1,0)</f>
        <v>1</v>
      </c>
      <c r="V1487">
        <f>IF(U1487=1,IF(COUNTIFS($C$2:C1487,C1487,$U$2:U1487,1)=1,1,0),0)</f>
        <v>1</v>
      </c>
    </row>
    <row r="1488" spans="1:22" x14ac:dyDescent="0.35">
      <c r="A1488">
        <v>11487</v>
      </c>
      <c r="B1488" s="1">
        <v>46048</v>
      </c>
      <c r="C1488">
        <v>1996</v>
      </c>
      <c r="D1488" t="s">
        <v>73</v>
      </c>
      <c r="E1488" t="s">
        <v>78</v>
      </c>
      <c r="F1488">
        <v>7</v>
      </c>
      <c r="G1488" s="2">
        <v>476.65</v>
      </c>
      <c r="H1488">
        <v>0.25</v>
      </c>
      <c r="I1488" t="s">
        <v>64</v>
      </c>
      <c r="J1488">
        <v>8</v>
      </c>
      <c r="K1488">
        <v>1.5</v>
      </c>
      <c r="L1488" s="2">
        <v>2502.41</v>
      </c>
      <c r="M1488">
        <v>2026</v>
      </c>
      <c r="N1488">
        <v>1</v>
      </c>
      <c r="O1488" t="s">
        <v>128</v>
      </c>
      <c r="P1488" s="2">
        <v>3336.55</v>
      </c>
      <c r="Q1488" s="2">
        <v>834.14</v>
      </c>
      <c r="R1488" t="s">
        <v>77</v>
      </c>
      <c r="S1488">
        <v>0</v>
      </c>
      <c r="T1488">
        <v>0</v>
      </c>
      <c r="U1488">
        <f>IF(AND(OR(Dashboard!$D$4="Semua",D1488=Dashboard!$D$4),OR(Dashboard!$H$4="Semua",E1488=Dashboard!$H$4)),1,0)</f>
        <v>1</v>
      </c>
      <c r="V1488">
        <f>IF(U1488=1,IF(COUNTIFS($C$2:C1488,C1488,$U$2:U1488,1)=1,1,0),0)</f>
        <v>0</v>
      </c>
    </row>
    <row r="1489" spans="1:22" x14ac:dyDescent="0.35">
      <c r="A1489">
        <v>11488</v>
      </c>
      <c r="B1489" s="1">
        <v>46049</v>
      </c>
      <c r="C1489">
        <v>1410</v>
      </c>
      <c r="D1489" t="s">
        <v>80</v>
      </c>
      <c r="E1489" t="s">
        <v>63</v>
      </c>
      <c r="F1489">
        <v>4</v>
      </c>
      <c r="G1489" s="2">
        <v>324.79000000000002</v>
      </c>
      <c r="H1489">
        <v>0.27</v>
      </c>
      <c r="I1489" t="s">
        <v>64</v>
      </c>
      <c r="J1489">
        <v>11</v>
      </c>
      <c r="K1489">
        <v>4.9000000000000004</v>
      </c>
      <c r="L1489" s="2">
        <v>948.39</v>
      </c>
      <c r="M1489">
        <v>2026</v>
      </c>
      <c r="N1489">
        <v>1</v>
      </c>
      <c r="O1489" t="s">
        <v>128</v>
      </c>
      <c r="P1489" s="2">
        <v>1299.1600000000001</v>
      </c>
      <c r="Q1489" s="2">
        <v>350.77</v>
      </c>
      <c r="R1489" t="s">
        <v>66</v>
      </c>
      <c r="S1489">
        <v>0</v>
      </c>
      <c r="T1489">
        <v>0</v>
      </c>
      <c r="U1489">
        <f>IF(AND(OR(Dashboard!$D$4="Semua",D1489=Dashboard!$D$4),OR(Dashboard!$H$4="Semua",E1489=Dashboard!$H$4)),1,0)</f>
        <v>1</v>
      </c>
      <c r="V1489">
        <f>IF(U1489=1,IF(COUNTIFS($C$2:C1489,C1489,$U$2:U1489,1)=1,1,0),0)</f>
        <v>0</v>
      </c>
    </row>
    <row r="1490" spans="1:22" x14ac:dyDescent="0.35">
      <c r="A1490">
        <v>11489</v>
      </c>
      <c r="B1490" s="1">
        <v>46050</v>
      </c>
      <c r="C1490">
        <v>1950</v>
      </c>
      <c r="D1490" t="s">
        <v>73</v>
      </c>
      <c r="E1490" t="s">
        <v>63</v>
      </c>
      <c r="F1490">
        <v>5</v>
      </c>
      <c r="G1490" s="2">
        <v>31.99</v>
      </c>
      <c r="H1490">
        <v>0.1</v>
      </c>
      <c r="I1490" t="s">
        <v>64</v>
      </c>
      <c r="J1490">
        <v>8</v>
      </c>
      <c r="K1490">
        <v>1.1000000000000001</v>
      </c>
      <c r="L1490" s="2">
        <v>143.94999999999999</v>
      </c>
      <c r="M1490">
        <v>2026</v>
      </c>
      <c r="N1490">
        <v>1</v>
      </c>
      <c r="O1490" t="s">
        <v>128</v>
      </c>
      <c r="P1490" s="2">
        <v>159.94999999999999</v>
      </c>
      <c r="Q1490" s="2">
        <v>16</v>
      </c>
      <c r="R1490" t="s">
        <v>69</v>
      </c>
      <c r="S1490">
        <v>0</v>
      </c>
      <c r="T1490">
        <v>0</v>
      </c>
      <c r="U1490">
        <f>IF(AND(OR(Dashboard!$D$4="Semua",D1490=Dashboard!$D$4),OR(Dashboard!$H$4="Semua",E1490=Dashboard!$H$4)),1,0)</f>
        <v>1</v>
      </c>
      <c r="V1490">
        <f>IF(U1490=1,IF(COUNTIFS($C$2:C1490,C1490,$U$2:U1490,1)=1,1,0),0)</f>
        <v>0</v>
      </c>
    </row>
    <row r="1491" spans="1:22" x14ac:dyDescent="0.35">
      <c r="A1491">
        <v>11490</v>
      </c>
      <c r="B1491" s="1">
        <v>46051</v>
      </c>
      <c r="C1491">
        <v>1288</v>
      </c>
      <c r="D1491" t="s">
        <v>62</v>
      </c>
      <c r="E1491" t="s">
        <v>70</v>
      </c>
      <c r="F1491">
        <v>4</v>
      </c>
      <c r="G1491" s="2">
        <v>38.69</v>
      </c>
      <c r="H1491">
        <v>0.05</v>
      </c>
      <c r="I1491" t="s">
        <v>64</v>
      </c>
      <c r="J1491">
        <v>3</v>
      </c>
      <c r="K1491">
        <v>2.2999999999999998</v>
      </c>
      <c r="L1491" s="2">
        <v>147.02000000000001</v>
      </c>
      <c r="M1491">
        <v>2026</v>
      </c>
      <c r="N1491">
        <v>1</v>
      </c>
      <c r="O1491" t="s">
        <v>128</v>
      </c>
      <c r="P1491" s="2">
        <v>154.76</v>
      </c>
      <c r="Q1491" s="2">
        <v>7.74</v>
      </c>
      <c r="R1491" t="s">
        <v>75</v>
      </c>
      <c r="S1491">
        <v>0</v>
      </c>
      <c r="T1491">
        <v>0</v>
      </c>
      <c r="U1491">
        <f>IF(AND(OR(Dashboard!$D$4="Semua",D1491=Dashboard!$D$4),OR(Dashboard!$H$4="Semua",E1491=Dashboard!$H$4)),1,0)</f>
        <v>1</v>
      </c>
      <c r="V1491">
        <f>IF(U1491=1,IF(COUNTIFS($C$2:C1491,C1491,$U$2:U1491,1)=1,1,0),0)</f>
        <v>0</v>
      </c>
    </row>
    <row r="1492" spans="1:22" x14ac:dyDescent="0.35">
      <c r="A1492">
        <v>11491</v>
      </c>
      <c r="B1492" s="1">
        <v>46052</v>
      </c>
      <c r="C1492">
        <v>1253</v>
      </c>
      <c r="D1492" t="s">
        <v>62</v>
      </c>
      <c r="E1492" t="s">
        <v>63</v>
      </c>
      <c r="F1492">
        <v>1</v>
      </c>
      <c r="G1492" s="2">
        <v>373.41</v>
      </c>
      <c r="H1492">
        <v>0.1</v>
      </c>
      <c r="I1492" t="s">
        <v>64</v>
      </c>
      <c r="J1492">
        <v>5</v>
      </c>
      <c r="K1492">
        <v>1.1000000000000001</v>
      </c>
      <c r="L1492" s="2">
        <v>336.07</v>
      </c>
      <c r="M1492">
        <v>2026</v>
      </c>
      <c r="N1492">
        <v>1</v>
      </c>
      <c r="O1492" t="s">
        <v>128</v>
      </c>
      <c r="P1492" s="2">
        <v>373.41</v>
      </c>
      <c r="Q1492" s="2">
        <v>37.340000000000003</v>
      </c>
      <c r="R1492" t="s">
        <v>69</v>
      </c>
      <c r="S1492">
        <v>0</v>
      </c>
      <c r="T1492">
        <v>0</v>
      </c>
      <c r="U1492">
        <f>IF(AND(OR(Dashboard!$D$4="Semua",D1492=Dashboard!$D$4),OR(Dashboard!$H$4="Semua",E1492=Dashboard!$H$4)),1,0)</f>
        <v>1</v>
      </c>
      <c r="V1492">
        <f>IF(U1492=1,IF(COUNTIFS($C$2:C1492,C1492,$U$2:U1492,1)=1,1,0),0)</f>
        <v>0</v>
      </c>
    </row>
    <row r="1493" spans="1:22" x14ac:dyDescent="0.35">
      <c r="A1493">
        <v>11492</v>
      </c>
      <c r="B1493" s="1">
        <v>46053</v>
      </c>
      <c r="C1493">
        <v>1195</v>
      </c>
      <c r="D1493" t="s">
        <v>73</v>
      </c>
      <c r="E1493" t="s">
        <v>74</v>
      </c>
      <c r="F1493">
        <v>2</v>
      </c>
      <c r="G1493" s="2">
        <v>486.58</v>
      </c>
      <c r="H1493">
        <v>0.18</v>
      </c>
      <c r="I1493" t="s">
        <v>68</v>
      </c>
      <c r="J1493">
        <v>1</v>
      </c>
      <c r="K1493">
        <v>4.4000000000000004</v>
      </c>
      <c r="L1493" s="2">
        <v>797.99</v>
      </c>
      <c r="M1493">
        <v>2026</v>
      </c>
      <c r="N1493">
        <v>1</v>
      </c>
      <c r="O1493" t="s">
        <v>128</v>
      </c>
      <c r="P1493" s="2">
        <v>973.16</v>
      </c>
      <c r="Q1493" s="2">
        <v>175.17</v>
      </c>
      <c r="R1493" t="s">
        <v>76</v>
      </c>
      <c r="S1493">
        <v>0</v>
      </c>
      <c r="T1493">
        <v>0</v>
      </c>
      <c r="U1493">
        <f>IF(AND(OR(Dashboard!$D$4="Semua",D1493=Dashboard!$D$4),OR(Dashboard!$H$4="Semua",E1493=Dashboard!$H$4)),1,0)</f>
        <v>1</v>
      </c>
      <c r="V1493">
        <f>IF(U1493=1,IF(COUNTIFS($C$2:C1493,C1493,$U$2:U1493,1)=1,1,0),0)</f>
        <v>0</v>
      </c>
    </row>
    <row r="1494" spans="1:22" x14ac:dyDescent="0.35">
      <c r="A1494">
        <v>11493</v>
      </c>
      <c r="B1494" s="1">
        <v>46054</v>
      </c>
      <c r="C1494">
        <v>1597</v>
      </c>
      <c r="D1494" t="s">
        <v>73</v>
      </c>
      <c r="E1494" t="s">
        <v>70</v>
      </c>
      <c r="F1494">
        <v>3</v>
      </c>
      <c r="G1494" s="2">
        <v>271.11</v>
      </c>
      <c r="H1494">
        <v>0.12</v>
      </c>
      <c r="I1494" t="s">
        <v>68</v>
      </c>
      <c r="J1494">
        <v>9</v>
      </c>
      <c r="K1494">
        <v>3.3</v>
      </c>
      <c r="L1494" s="2">
        <v>715.73</v>
      </c>
      <c r="M1494">
        <v>2026</v>
      </c>
      <c r="N1494">
        <v>2</v>
      </c>
      <c r="O1494" t="s">
        <v>129</v>
      </c>
      <c r="P1494" s="2">
        <v>813.33</v>
      </c>
      <c r="Q1494" s="2">
        <v>97.6</v>
      </c>
      <c r="R1494" t="s">
        <v>79</v>
      </c>
      <c r="S1494">
        <v>0</v>
      </c>
      <c r="T1494">
        <v>0</v>
      </c>
      <c r="U1494">
        <f>IF(AND(OR(Dashboard!$D$4="Semua",D1494=Dashboard!$D$4),OR(Dashboard!$H$4="Semua",E1494=Dashboard!$H$4)),1,0)</f>
        <v>1</v>
      </c>
      <c r="V1494">
        <f>IF(U1494=1,IF(COUNTIFS($C$2:C1494,C1494,$U$2:U1494,1)=1,1,0),0)</f>
        <v>1</v>
      </c>
    </row>
    <row r="1495" spans="1:22" x14ac:dyDescent="0.35">
      <c r="A1495">
        <v>11494</v>
      </c>
      <c r="B1495" s="1">
        <v>46055</v>
      </c>
      <c r="C1495">
        <v>1833</v>
      </c>
      <c r="D1495" t="s">
        <v>80</v>
      </c>
      <c r="E1495" t="s">
        <v>70</v>
      </c>
      <c r="F1495">
        <v>7</v>
      </c>
      <c r="G1495" s="2">
        <v>339.43</v>
      </c>
      <c r="H1495">
        <v>0.2</v>
      </c>
      <c r="I1495" t="s">
        <v>71</v>
      </c>
      <c r="J1495">
        <v>8</v>
      </c>
      <c r="K1495">
        <v>1.2</v>
      </c>
      <c r="L1495" s="2">
        <v>1900.81</v>
      </c>
      <c r="M1495">
        <v>2026</v>
      </c>
      <c r="N1495">
        <v>2</v>
      </c>
      <c r="O1495" t="s">
        <v>129</v>
      </c>
      <c r="P1495" s="2">
        <v>2376.0100000000002</v>
      </c>
      <c r="Q1495" s="2">
        <v>475.2</v>
      </c>
      <c r="R1495" t="s">
        <v>76</v>
      </c>
      <c r="S1495">
        <v>0</v>
      </c>
      <c r="T1495">
        <v>0</v>
      </c>
      <c r="U1495">
        <f>IF(AND(OR(Dashboard!$D$4="Semua",D1495=Dashboard!$D$4),OR(Dashboard!$H$4="Semua",E1495=Dashboard!$H$4)),1,0)</f>
        <v>1</v>
      </c>
      <c r="V1495">
        <f>IF(U1495=1,IF(COUNTIFS($C$2:C1495,C1495,$U$2:U1495,1)=1,1,0),0)</f>
        <v>0</v>
      </c>
    </row>
    <row r="1496" spans="1:22" x14ac:dyDescent="0.35">
      <c r="A1496">
        <v>11495</v>
      </c>
      <c r="B1496" s="1">
        <v>46056</v>
      </c>
      <c r="C1496">
        <v>1521</v>
      </c>
      <c r="D1496" t="s">
        <v>73</v>
      </c>
      <c r="E1496" t="s">
        <v>70</v>
      </c>
      <c r="F1496">
        <v>2</v>
      </c>
      <c r="G1496" s="2">
        <v>482.9</v>
      </c>
      <c r="H1496">
        <v>0.02</v>
      </c>
      <c r="I1496" t="s">
        <v>68</v>
      </c>
      <c r="J1496">
        <v>10</v>
      </c>
      <c r="K1496">
        <v>3.5</v>
      </c>
      <c r="L1496" s="2">
        <v>946.48</v>
      </c>
      <c r="M1496">
        <v>2026</v>
      </c>
      <c r="N1496">
        <v>2</v>
      </c>
      <c r="O1496" t="s">
        <v>129</v>
      </c>
      <c r="P1496" s="2">
        <v>965.8</v>
      </c>
      <c r="Q1496" s="2">
        <v>19.32</v>
      </c>
      <c r="R1496" t="s">
        <v>75</v>
      </c>
      <c r="S1496">
        <v>0</v>
      </c>
      <c r="T1496">
        <v>0</v>
      </c>
      <c r="U1496">
        <f>IF(AND(OR(Dashboard!$D$4="Semua",D1496=Dashboard!$D$4),OR(Dashboard!$H$4="Semua",E1496=Dashboard!$H$4)),1,0)</f>
        <v>1</v>
      </c>
      <c r="V1496">
        <f>IF(U1496=1,IF(COUNTIFS($C$2:C1496,C1496,$U$2:U1496,1)=1,1,0),0)</f>
        <v>0</v>
      </c>
    </row>
    <row r="1497" spans="1:22" x14ac:dyDescent="0.35">
      <c r="A1497">
        <v>11496</v>
      </c>
      <c r="B1497" s="1">
        <v>46057</v>
      </c>
      <c r="C1497">
        <v>1516</v>
      </c>
      <c r="D1497" t="s">
        <v>62</v>
      </c>
      <c r="E1497" t="s">
        <v>78</v>
      </c>
      <c r="F1497">
        <v>1</v>
      </c>
      <c r="G1497" s="2">
        <v>372.15</v>
      </c>
      <c r="H1497">
        <v>0.18</v>
      </c>
      <c r="I1497" t="s">
        <v>64</v>
      </c>
      <c r="J1497">
        <v>2</v>
      </c>
      <c r="K1497">
        <v>1.5</v>
      </c>
      <c r="L1497" s="2">
        <v>305.16000000000003</v>
      </c>
      <c r="M1497">
        <v>2026</v>
      </c>
      <c r="N1497">
        <v>2</v>
      </c>
      <c r="O1497" t="s">
        <v>129</v>
      </c>
      <c r="P1497" s="2">
        <v>372.15</v>
      </c>
      <c r="Q1497" s="2">
        <v>66.989999999999995</v>
      </c>
      <c r="R1497" t="s">
        <v>76</v>
      </c>
      <c r="S1497">
        <v>0</v>
      </c>
      <c r="T1497">
        <v>0</v>
      </c>
      <c r="U1497">
        <f>IF(AND(OR(Dashboard!$D$4="Semua",D1497=Dashboard!$D$4),OR(Dashboard!$H$4="Semua",E1497=Dashboard!$H$4)),1,0)</f>
        <v>1</v>
      </c>
      <c r="V1497">
        <f>IF(U1497=1,IF(COUNTIFS($C$2:C1497,C1497,$U$2:U1497,1)=1,1,0),0)</f>
        <v>0</v>
      </c>
    </row>
    <row r="1498" spans="1:22" x14ac:dyDescent="0.35">
      <c r="A1498">
        <v>11497</v>
      </c>
      <c r="B1498" s="1">
        <v>46058</v>
      </c>
      <c r="C1498">
        <v>1634</v>
      </c>
      <c r="D1498" t="s">
        <v>73</v>
      </c>
      <c r="E1498" t="s">
        <v>70</v>
      </c>
      <c r="F1498">
        <v>6</v>
      </c>
      <c r="G1498" s="2">
        <v>146.47999999999999</v>
      </c>
      <c r="H1498">
        <v>0.13</v>
      </c>
      <c r="I1498" t="s">
        <v>71</v>
      </c>
      <c r="J1498">
        <v>10</v>
      </c>
      <c r="K1498">
        <v>3</v>
      </c>
      <c r="L1498" s="2">
        <v>764.63</v>
      </c>
      <c r="M1498">
        <v>2026</v>
      </c>
      <c r="N1498">
        <v>2</v>
      </c>
      <c r="O1498" t="s">
        <v>129</v>
      </c>
      <c r="P1498" s="2">
        <v>878.88</v>
      </c>
      <c r="Q1498" s="2">
        <v>114.25</v>
      </c>
      <c r="R1498" t="s">
        <v>79</v>
      </c>
      <c r="S1498">
        <v>0</v>
      </c>
      <c r="T1498">
        <v>0</v>
      </c>
      <c r="U1498">
        <f>IF(AND(OR(Dashboard!$D$4="Semua",D1498=Dashboard!$D$4),OR(Dashboard!$H$4="Semua",E1498=Dashboard!$H$4)),1,0)</f>
        <v>1</v>
      </c>
      <c r="V1498">
        <f>IF(U1498=1,IF(COUNTIFS($C$2:C1498,C1498,$U$2:U1498,1)=1,1,0),0)</f>
        <v>1</v>
      </c>
    </row>
    <row r="1499" spans="1:22" x14ac:dyDescent="0.35">
      <c r="A1499">
        <v>11498</v>
      </c>
      <c r="B1499" s="1">
        <v>46059</v>
      </c>
      <c r="C1499">
        <v>1841</v>
      </c>
      <c r="D1499" t="s">
        <v>73</v>
      </c>
      <c r="E1499" t="s">
        <v>63</v>
      </c>
      <c r="F1499">
        <v>3</v>
      </c>
      <c r="G1499" s="2">
        <v>373.64</v>
      </c>
      <c r="H1499">
        <v>0.19</v>
      </c>
      <c r="I1499" t="s">
        <v>71</v>
      </c>
      <c r="J1499">
        <v>1</v>
      </c>
      <c r="K1499">
        <v>3.7</v>
      </c>
      <c r="L1499" s="2">
        <v>907.95</v>
      </c>
      <c r="M1499">
        <v>2026</v>
      </c>
      <c r="N1499">
        <v>2</v>
      </c>
      <c r="O1499" t="s">
        <v>129</v>
      </c>
      <c r="P1499" s="2">
        <v>1120.92</v>
      </c>
      <c r="Q1499" s="2">
        <v>212.97</v>
      </c>
      <c r="R1499" t="s">
        <v>76</v>
      </c>
      <c r="S1499">
        <v>0</v>
      </c>
      <c r="T1499">
        <v>0</v>
      </c>
      <c r="U1499">
        <f>IF(AND(OR(Dashboard!$D$4="Semua",D1499=Dashboard!$D$4),OR(Dashboard!$H$4="Semua",E1499=Dashboard!$H$4)),1,0)</f>
        <v>1</v>
      </c>
      <c r="V1499">
        <f>IF(U1499=1,IF(COUNTIFS($C$2:C1499,C1499,$U$2:U1499,1)=1,1,0),0)</f>
        <v>0</v>
      </c>
    </row>
    <row r="1500" spans="1:22" x14ac:dyDescent="0.35">
      <c r="A1500">
        <v>11499</v>
      </c>
      <c r="B1500" s="1">
        <v>46060</v>
      </c>
      <c r="C1500">
        <v>1864</v>
      </c>
      <c r="D1500" t="s">
        <v>62</v>
      </c>
      <c r="E1500" t="s">
        <v>74</v>
      </c>
      <c r="F1500">
        <v>3</v>
      </c>
      <c r="G1500" s="2">
        <v>382.54</v>
      </c>
      <c r="H1500">
        <v>0.15</v>
      </c>
      <c r="I1500" t="s">
        <v>68</v>
      </c>
      <c r="J1500">
        <v>4</v>
      </c>
      <c r="K1500">
        <v>1.6</v>
      </c>
      <c r="L1500" s="2">
        <v>975.48</v>
      </c>
      <c r="M1500">
        <v>2026</v>
      </c>
      <c r="N1500">
        <v>2</v>
      </c>
      <c r="O1500" t="s">
        <v>129</v>
      </c>
      <c r="P1500" s="2">
        <v>1147.6199999999999</v>
      </c>
      <c r="Q1500" s="2">
        <v>172.14</v>
      </c>
      <c r="R1500" t="s">
        <v>79</v>
      </c>
      <c r="S1500">
        <v>0</v>
      </c>
      <c r="T1500">
        <v>0</v>
      </c>
      <c r="U1500">
        <f>IF(AND(OR(Dashboard!$D$4="Semua",D1500=Dashboard!$D$4),OR(Dashboard!$H$4="Semua",E1500=Dashboard!$H$4)),1,0)</f>
        <v>1</v>
      </c>
      <c r="V1500">
        <f>IF(U1500=1,IF(COUNTIFS($C$2:C1500,C1500,$U$2:U1500,1)=1,1,0),0)</f>
        <v>0</v>
      </c>
    </row>
    <row r="1501" spans="1:22" x14ac:dyDescent="0.35">
      <c r="A1501">
        <v>11500</v>
      </c>
      <c r="B1501" s="1">
        <v>46061</v>
      </c>
      <c r="C1501">
        <v>1117</v>
      </c>
      <c r="D1501" t="s">
        <v>80</v>
      </c>
      <c r="E1501" t="s">
        <v>70</v>
      </c>
      <c r="F1501">
        <v>4</v>
      </c>
      <c r="G1501" s="2">
        <v>444.45</v>
      </c>
      <c r="H1501">
        <v>0.1</v>
      </c>
      <c r="I1501" t="s">
        <v>71</v>
      </c>
      <c r="J1501">
        <v>9</v>
      </c>
      <c r="K1501">
        <v>3</v>
      </c>
      <c r="L1501" s="2">
        <v>1600.02</v>
      </c>
      <c r="M1501">
        <v>2026</v>
      </c>
      <c r="N1501">
        <v>2</v>
      </c>
      <c r="O1501" t="s">
        <v>129</v>
      </c>
      <c r="P1501" s="2">
        <v>1777.8</v>
      </c>
      <c r="Q1501" s="2">
        <v>177.78</v>
      </c>
      <c r="R1501" t="s">
        <v>69</v>
      </c>
      <c r="S1501">
        <v>0</v>
      </c>
      <c r="T1501">
        <v>0</v>
      </c>
      <c r="U1501">
        <f>IF(AND(OR(Dashboard!$D$4="Semua",D1501=Dashboard!$D$4),OR(Dashboard!$H$4="Semua",E1501=Dashboard!$H$4)),1,0)</f>
        <v>1</v>
      </c>
      <c r="V1501">
        <f>IF(U1501=1,IF(COUNTIFS($C$2:C1501,C1501,$U$2:U1501,1)=1,1,0),0)</f>
        <v>0</v>
      </c>
    </row>
    <row r="1502" spans="1:22" x14ac:dyDescent="0.35">
      <c r="A1502">
        <v>11501</v>
      </c>
      <c r="B1502" s="1">
        <v>46062</v>
      </c>
      <c r="C1502">
        <v>1805</v>
      </c>
      <c r="D1502" t="s">
        <v>80</v>
      </c>
      <c r="E1502" t="s">
        <v>70</v>
      </c>
      <c r="F1502">
        <v>5</v>
      </c>
      <c r="G1502" s="2">
        <v>378.21</v>
      </c>
      <c r="H1502">
        <v>0.32</v>
      </c>
      <c r="I1502" t="s">
        <v>71</v>
      </c>
      <c r="J1502">
        <v>8</v>
      </c>
      <c r="K1502">
        <v>2.8</v>
      </c>
      <c r="L1502" s="2">
        <v>1285.9100000000001</v>
      </c>
      <c r="M1502">
        <v>2026</v>
      </c>
      <c r="N1502">
        <v>2</v>
      </c>
      <c r="O1502" t="s">
        <v>129</v>
      </c>
      <c r="P1502" s="2">
        <v>1891.05</v>
      </c>
      <c r="Q1502" s="2">
        <v>605.14</v>
      </c>
      <c r="R1502" t="s">
        <v>72</v>
      </c>
      <c r="S1502">
        <v>0</v>
      </c>
      <c r="T1502">
        <v>0</v>
      </c>
      <c r="U1502">
        <f>IF(AND(OR(Dashboard!$D$4="Semua",D1502=Dashboard!$D$4),OR(Dashboard!$H$4="Semua",E1502=Dashboard!$H$4)),1,0)</f>
        <v>1</v>
      </c>
      <c r="V1502">
        <f>IF(U1502=1,IF(COUNTIFS($C$2:C1502,C1502,$U$2:U1502,1)=1,1,0),0)</f>
        <v>0</v>
      </c>
    </row>
    <row r="1503" spans="1:22" x14ac:dyDescent="0.35">
      <c r="A1503">
        <v>11502</v>
      </c>
      <c r="B1503" s="1">
        <v>46063</v>
      </c>
      <c r="C1503">
        <v>1908</v>
      </c>
      <c r="D1503" t="s">
        <v>73</v>
      </c>
      <c r="E1503" t="s">
        <v>74</v>
      </c>
      <c r="F1503">
        <v>4</v>
      </c>
      <c r="G1503" s="2">
        <v>582.01</v>
      </c>
      <c r="H1503">
        <v>0.06</v>
      </c>
      <c r="I1503" t="s">
        <v>64</v>
      </c>
      <c r="J1503">
        <v>3</v>
      </c>
      <c r="K1503">
        <v>4.7</v>
      </c>
      <c r="L1503" s="2">
        <v>2188.36</v>
      </c>
      <c r="M1503">
        <v>2026</v>
      </c>
      <c r="N1503">
        <v>2</v>
      </c>
      <c r="O1503" t="s">
        <v>129</v>
      </c>
      <c r="P1503" s="2">
        <v>2328.04</v>
      </c>
      <c r="Q1503" s="2">
        <v>139.68</v>
      </c>
      <c r="R1503" t="s">
        <v>69</v>
      </c>
      <c r="S1503">
        <v>0</v>
      </c>
      <c r="T1503">
        <v>0</v>
      </c>
      <c r="U1503">
        <f>IF(AND(OR(Dashboard!$D$4="Semua",D1503=Dashboard!$D$4),OR(Dashboard!$H$4="Semua",E1503=Dashboard!$H$4)),1,0)</f>
        <v>1</v>
      </c>
      <c r="V1503">
        <f>IF(U1503=1,IF(COUNTIFS($C$2:C1503,C1503,$U$2:U1503,1)=1,1,0),0)</f>
        <v>0</v>
      </c>
    </row>
    <row r="1504" spans="1:22" x14ac:dyDescent="0.35">
      <c r="A1504">
        <v>11503</v>
      </c>
      <c r="B1504" s="1">
        <v>46064</v>
      </c>
      <c r="C1504">
        <v>1158</v>
      </c>
      <c r="D1504" t="s">
        <v>80</v>
      </c>
      <c r="E1504" t="s">
        <v>70</v>
      </c>
      <c r="F1504">
        <v>7</v>
      </c>
      <c r="G1504" s="2">
        <v>130.41</v>
      </c>
      <c r="H1504">
        <v>0.24</v>
      </c>
      <c r="I1504" t="s">
        <v>68</v>
      </c>
      <c r="J1504">
        <v>10</v>
      </c>
      <c r="K1504">
        <v>5</v>
      </c>
      <c r="L1504" s="2">
        <v>693.78</v>
      </c>
      <c r="M1504">
        <v>2026</v>
      </c>
      <c r="N1504">
        <v>2</v>
      </c>
      <c r="O1504" t="s">
        <v>129</v>
      </c>
      <c r="P1504" s="2">
        <v>912.87</v>
      </c>
      <c r="Q1504" s="2">
        <v>219.09</v>
      </c>
      <c r="R1504" t="s">
        <v>77</v>
      </c>
      <c r="S1504">
        <v>0</v>
      </c>
      <c r="T1504">
        <v>0</v>
      </c>
      <c r="U1504">
        <f>IF(AND(OR(Dashboard!$D$4="Semua",D1504=Dashboard!$D$4),OR(Dashboard!$H$4="Semua",E1504=Dashboard!$H$4)),1,0)</f>
        <v>1</v>
      </c>
      <c r="V1504">
        <f>IF(U1504=1,IF(COUNTIFS($C$2:C1504,C1504,$U$2:U1504,1)=1,1,0),0)</f>
        <v>1</v>
      </c>
    </row>
    <row r="1505" spans="1:22" x14ac:dyDescent="0.35">
      <c r="A1505">
        <v>11504</v>
      </c>
      <c r="B1505" s="1">
        <v>46065</v>
      </c>
      <c r="C1505">
        <v>1814</v>
      </c>
      <c r="D1505" t="s">
        <v>67</v>
      </c>
      <c r="E1505" t="s">
        <v>78</v>
      </c>
      <c r="F1505">
        <v>3</v>
      </c>
      <c r="G1505" s="2">
        <v>571.39</v>
      </c>
      <c r="H1505">
        <v>0.32</v>
      </c>
      <c r="I1505" t="s">
        <v>64</v>
      </c>
      <c r="J1505">
        <v>6</v>
      </c>
      <c r="K1505">
        <v>3.6</v>
      </c>
      <c r="L1505" s="2">
        <v>1165.6400000000001</v>
      </c>
      <c r="M1505">
        <v>2026</v>
      </c>
      <c r="N1505">
        <v>2</v>
      </c>
      <c r="O1505" t="s">
        <v>129</v>
      </c>
      <c r="P1505" s="2">
        <v>1714.17</v>
      </c>
      <c r="Q1505" s="2">
        <v>548.53</v>
      </c>
      <c r="R1505" t="s">
        <v>72</v>
      </c>
      <c r="S1505">
        <v>0</v>
      </c>
      <c r="T1505">
        <v>0</v>
      </c>
      <c r="U1505">
        <f>IF(AND(OR(Dashboard!$D$4="Semua",D1505=Dashboard!$D$4),OR(Dashboard!$H$4="Semua",E1505=Dashboard!$H$4)),1,0)</f>
        <v>1</v>
      </c>
      <c r="V1505">
        <f>IF(U1505=1,IF(COUNTIFS($C$2:C1505,C1505,$U$2:U1505,1)=1,1,0),0)</f>
        <v>0</v>
      </c>
    </row>
    <row r="1506" spans="1:22" x14ac:dyDescent="0.35">
      <c r="A1506">
        <v>11505</v>
      </c>
      <c r="B1506" s="1">
        <v>46066</v>
      </c>
      <c r="C1506">
        <v>1227</v>
      </c>
      <c r="D1506" t="s">
        <v>67</v>
      </c>
      <c r="E1506" t="s">
        <v>63</v>
      </c>
      <c r="F1506">
        <v>3</v>
      </c>
      <c r="G1506" s="2">
        <v>329.93</v>
      </c>
      <c r="H1506">
        <v>0.19</v>
      </c>
      <c r="I1506" t="s">
        <v>64</v>
      </c>
      <c r="J1506">
        <v>9</v>
      </c>
      <c r="K1506">
        <v>4.4000000000000004</v>
      </c>
      <c r="L1506" s="2">
        <v>801.73</v>
      </c>
      <c r="M1506">
        <v>2026</v>
      </c>
      <c r="N1506">
        <v>2</v>
      </c>
      <c r="O1506" t="s">
        <v>129</v>
      </c>
      <c r="P1506" s="2">
        <v>989.79</v>
      </c>
      <c r="Q1506" s="2">
        <v>188.06</v>
      </c>
      <c r="R1506" t="s">
        <v>76</v>
      </c>
      <c r="S1506">
        <v>0</v>
      </c>
      <c r="T1506">
        <v>0</v>
      </c>
      <c r="U1506">
        <f>IF(AND(OR(Dashboard!$D$4="Semua",D1506=Dashboard!$D$4),OR(Dashboard!$H$4="Semua",E1506=Dashboard!$H$4)),1,0)</f>
        <v>1</v>
      </c>
      <c r="V1506">
        <f>IF(U1506=1,IF(COUNTIFS($C$2:C1506,C1506,$U$2:U1506,1)=1,1,0),0)</f>
        <v>0</v>
      </c>
    </row>
    <row r="1507" spans="1:22" x14ac:dyDescent="0.35">
      <c r="A1507">
        <v>11506</v>
      </c>
      <c r="B1507" s="1">
        <v>46067</v>
      </c>
      <c r="C1507">
        <v>1876</v>
      </c>
      <c r="D1507" t="s">
        <v>80</v>
      </c>
      <c r="E1507" t="s">
        <v>74</v>
      </c>
      <c r="F1507">
        <v>5</v>
      </c>
      <c r="G1507" s="2">
        <v>408.09</v>
      </c>
      <c r="H1507">
        <v>0.31</v>
      </c>
      <c r="I1507" t="s">
        <v>71</v>
      </c>
      <c r="J1507">
        <v>10</v>
      </c>
      <c r="K1507">
        <v>3.6</v>
      </c>
      <c r="L1507" s="2">
        <v>1407.91</v>
      </c>
      <c r="M1507">
        <v>2026</v>
      </c>
      <c r="N1507">
        <v>2</v>
      </c>
      <c r="O1507" t="s">
        <v>129</v>
      </c>
      <c r="P1507" s="2">
        <v>2040.45</v>
      </c>
      <c r="Q1507" s="2">
        <v>632.54</v>
      </c>
      <c r="R1507" t="s">
        <v>72</v>
      </c>
      <c r="S1507">
        <v>0</v>
      </c>
      <c r="T1507">
        <v>0</v>
      </c>
      <c r="U1507">
        <f>IF(AND(OR(Dashboard!$D$4="Semua",D1507=Dashboard!$D$4),OR(Dashboard!$H$4="Semua",E1507=Dashboard!$H$4)),1,0)</f>
        <v>1</v>
      </c>
      <c r="V1507">
        <f>IF(U1507=1,IF(COUNTIFS($C$2:C1507,C1507,$U$2:U1507,1)=1,1,0),0)</f>
        <v>0</v>
      </c>
    </row>
    <row r="1508" spans="1:22" x14ac:dyDescent="0.35">
      <c r="A1508">
        <v>11507</v>
      </c>
      <c r="B1508" s="1">
        <v>46068</v>
      </c>
      <c r="C1508">
        <v>1215</v>
      </c>
      <c r="D1508" t="s">
        <v>67</v>
      </c>
      <c r="E1508" t="s">
        <v>74</v>
      </c>
      <c r="F1508">
        <v>7</v>
      </c>
      <c r="G1508" s="2">
        <v>73.19</v>
      </c>
      <c r="H1508">
        <v>0.04</v>
      </c>
      <c r="I1508" t="s">
        <v>71</v>
      </c>
      <c r="J1508">
        <v>8</v>
      </c>
      <c r="K1508">
        <v>4.5</v>
      </c>
      <c r="L1508" s="2">
        <v>491.84</v>
      </c>
      <c r="M1508">
        <v>2026</v>
      </c>
      <c r="N1508">
        <v>2</v>
      </c>
      <c r="O1508" t="s">
        <v>129</v>
      </c>
      <c r="P1508" s="2">
        <v>512.33000000000004</v>
      </c>
      <c r="Q1508" s="2">
        <v>20.49</v>
      </c>
      <c r="R1508" t="s">
        <v>75</v>
      </c>
      <c r="S1508">
        <v>0</v>
      </c>
      <c r="T1508">
        <v>0</v>
      </c>
      <c r="U1508">
        <f>IF(AND(OR(Dashboard!$D$4="Semua",D1508=Dashboard!$D$4),OR(Dashboard!$H$4="Semua",E1508=Dashboard!$H$4)),1,0)</f>
        <v>1</v>
      </c>
      <c r="V1508">
        <f>IF(U1508=1,IF(COUNTIFS($C$2:C1508,C1508,$U$2:U1508,1)=1,1,0),0)</f>
        <v>0</v>
      </c>
    </row>
    <row r="1509" spans="1:22" x14ac:dyDescent="0.35">
      <c r="A1509">
        <v>11508</v>
      </c>
      <c r="B1509" s="1">
        <v>46069</v>
      </c>
      <c r="C1509">
        <v>1947</v>
      </c>
      <c r="D1509" t="s">
        <v>67</v>
      </c>
      <c r="E1509" t="s">
        <v>78</v>
      </c>
      <c r="F1509">
        <v>2</v>
      </c>
      <c r="G1509" s="2">
        <v>237.64</v>
      </c>
      <c r="H1509">
        <v>0.17</v>
      </c>
      <c r="I1509" t="s">
        <v>71</v>
      </c>
      <c r="J1509">
        <v>10</v>
      </c>
      <c r="K1509">
        <v>2.7</v>
      </c>
      <c r="L1509" s="2">
        <v>394.48</v>
      </c>
      <c r="M1509">
        <v>2026</v>
      </c>
      <c r="N1509">
        <v>2</v>
      </c>
      <c r="O1509" t="s">
        <v>129</v>
      </c>
      <c r="P1509" s="2">
        <v>475.28</v>
      </c>
      <c r="Q1509" s="2">
        <v>80.8</v>
      </c>
      <c r="R1509" t="s">
        <v>76</v>
      </c>
      <c r="S1509">
        <v>0</v>
      </c>
      <c r="T1509">
        <v>0</v>
      </c>
      <c r="U1509">
        <f>IF(AND(OR(Dashboard!$D$4="Semua",D1509=Dashboard!$D$4),OR(Dashboard!$H$4="Semua",E1509=Dashboard!$H$4)),1,0)</f>
        <v>1</v>
      </c>
      <c r="V1509">
        <f>IF(U1509=1,IF(COUNTIFS($C$2:C1509,C1509,$U$2:U1509,1)=1,1,0),0)</f>
        <v>0</v>
      </c>
    </row>
    <row r="1510" spans="1:22" x14ac:dyDescent="0.35">
      <c r="A1510">
        <v>11509</v>
      </c>
      <c r="B1510" s="1">
        <v>46070</v>
      </c>
      <c r="C1510">
        <v>1695</v>
      </c>
      <c r="D1510" t="s">
        <v>73</v>
      </c>
      <c r="E1510" t="s">
        <v>63</v>
      </c>
      <c r="F1510">
        <v>5</v>
      </c>
      <c r="G1510" s="2">
        <v>465.09</v>
      </c>
      <c r="H1510">
        <v>0.16</v>
      </c>
      <c r="I1510" t="s">
        <v>68</v>
      </c>
      <c r="J1510">
        <v>5</v>
      </c>
      <c r="K1510">
        <v>3.4</v>
      </c>
      <c r="L1510" s="2">
        <v>1953.38</v>
      </c>
      <c r="M1510">
        <v>2026</v>
      </c>
      <c r="N1510">
        <v>2</v>
      </c>
      <c r="O1510" t="s">
        <v>129</v>
      </c>
      <c r="P1510" s="2">
        <v>2325.4499999999998</v>
      </c>
      <c r="Q1510" s="2">
        <v>372.07</v>
      </c>
      <c r="R1510" t="s">
        <v>76</v>
      </c>
      <c r="S1510">
        <v>0</v>
      </c>
      <c r="T1510">
        <v>0</v>
      </c>
      <c r="U1510">
        <f>IF(AND(OR(Dashboard!$D$4="Semua",D1510=Dashboard!$D$4),OR(Dashboard!$H$4="Semua",E1510=Dashboard!$H$4)),1,0)</f>
        <v>1</v>
      </c>
      <c r="V1510">
        <f>IF(U1510=1,IF(COUNTIFS($C$2:C1510,C1510,$U$2:U1510,1)=1,1,0),0)</f>
        <v>0</v>
      </c>
    </row>
    <row r="1511" spans="1:22" x14ac:dyDescent="0.35">
      <c r="A1511">
        <v>11510</v>
      </c>
      <c r="B1511" s="1">
        <v>46071</v>
      </c>
      <c r="C1511">
        <v>1014</v>
      </c>
      <c r="D1511" t="s">
        <v>80</v>
      </c>
      <c r="E1511" t="s">
        <v>78</v>
      </c>
      <c r="F1511">
        <v>6</v>
      </c>
      <c r="G1511" s="2">
        <v>428.54</v>
      </c>
      <c r="H1511">
        <v>0</v>
      </c>
      <c r="I1511" t="s">
        <v>68</v>
      </c>
      <c r="J1511">
        <v>9</v>
      </c>
      <c r="K1511">
        <v>4.4000000000000004</v>
      </c>
      <c r="L1511" s="2">
        <v>2571.2399999999998</v>
      </c>
      <c r="M1511">
        <v>2026</v>
      </c>
      <c r="N1511">
        <v>2</v>
      </c>
      <c r="O1511" t="s">
        <v>129</v>
      </c>
      <c r="P1511" s="2">
        <v>2571.2399999999998</v>
      </c>
      <c r="Q1511" s="2">
        <v>0</v>
      </c>
      <c r="R1511" t="s">
        <v>75</v>
      </c>
      <c r="S1511">
        <v>0</v>
      </c>
      <c r="T1511">
        <v>0</v>
      </c>
      <c r="U1511">
        <f>IF(AND(OR(Dashboard!$D$4="Semua",D1511=Dashboard!$D$4),OR(Dashboard!$H$4="Semua",E1511=Dashboard!$H$4)),1,0)</f>
        <v>1</v>
      </c>
      <c r="V1511">
        <f>IF(U1511=1,IF(COUNTIFS($C$2:C1511,C1511,$U$2:U1511,1)=1,1,0),0)</f>
        <v>0</v>
      </c>
    </row>
    <row r="1512" spans="1:22" x14ac:dyDescent="0.35">
      <c r="A1512">
        <v>11511</v>
      </c>
      <c r="B1512" s="1">
        <v>46072</v>
      </c>
      <c r="C1512">
        <v>1156</v>
      </c>
      <c r="D1512" t="s">
        <v>73</v>
      </c>
      <c r="E1512" t="s">
        <v>63</v>
      </c>
      <c r="F1512">
        <v>4</v>
      </c>
      <c r="G1512" s="2">
        <v>38.479999999999997</v>
      </c>
      <c r="H1512">
        <v>0.16</v>
      </c>
      <c r="I1512" t="s">
        <v>64</v>
      </c>
      <c r="J1512">
        <v>9</v>
      </c>
      <c r="K1512">
        <v>4.7</v>
      </c>
      <c r="L1512" s="2">
        <v>129.29</v>
      </c>
      <c r="M1512">
        <v>2026</v>
      </c>
      <c r="N1512">
        <v>2</v>
      </c>
      <c r="O1512" t="s">
        <v>129</v>
      </c>
      <c r="P1512" s="2">
        <v>153.91999999999999</v>
      </c>
      <c r="Q1512" s="2">
        <v>24.63</v>
      </c>
      <c r="R1512" t="s">
        <v>76</v>
      </c>
      <c r="S1512">
        <v>0</v>
      </c>
      <c r="T1512">
        <v>0</v>
      </c>
      <c r="U1512">
        <f>IF(AND(OR(Dashboard!$D$4="Semua",D1512=Dashboard!$D$4),OR(Dashboard!$H$4="Semua",E1512=Dashboard!$H$4)),1,0)</f>
        <v>1</v>
      </c>
      <c r="V1512">
        <f>IF(U1512=1,IF(COUNTIFS($C$2:C1512,C1512,$U$2:U1512,1)=1,1,0),0)</f>
        <v>0</v>
      </c>
    </row>
    <row r="1513" spans="1:22" x14ac:dyDescent="0.35">
      <c r="A1513">
        <v>11512</v>
      </c>
      <c r="B1513" s="1">
        <v>46073</v>
      </c>
      <c r="C1513">
        <v>1647</v>
      </c>
      <c r="D1513" t="s">
        <v>80</v>
      </c>
      <c r="E1513" t="s">
        <v>78</v>
      </c>
      <c r="F1513">
        <v>2</v>
      </c>
      <c r="G1513" s="2">
        <v>334.76</v>
      </c>
      <c r="H1513">
        <v>0.13</v>
      </c>
      <c r="I1513" t="s">
        <v>71</v>
      </c>
      <c r="J1513">
        <v>3</v>
      </c>
      <c r="K1513">
        <v>1.1000000000000001</v>
      </c>
      <c r="L1513" s="2">
        <v>582.48</v>
      </c>
      <c r="M1513">
        <v>2026</v>
      </c>
      <c r="N1513">
        <v>2</v>
      </c>
      <c r="O1513" t="s">
        <v>129</v>
      </c>
      <c r="P1513" s="2">
        <v>669.52</v>
      </c>
      <c r="Q1513" s="2">
        <v>87.04</v>
      </c>
      <c r="R1513" t="s">
        <v>79</v>
      </c>
      <c r="S1513">
        <v>0</v>
      </c>
      <c r="T1513">
        <v>0</v>
      </c>
      <c r="U1513">
        <f>IF(AND(OR(Dashboard!$D$4="Semua",D1513=Dashboard!$D$4),OR(Dashboard!$H$4="Semua",E1513=Dashboard!$H$4)),1,0)</f>
        <v>1</v>
      </c>
      <c r="V1513">
        <f>IF(U1513=1,IF(COUNTIFS($C$2:C1513,C1513,$U$2:U1513,1)=1,1,0),0)</f>
        <v>0</v>
      </c>
    </row>
    <row r="1514" spans="1:22" x14ac:dyDescent="0.35">
      <c r="A1514">
        <v>11513</v>
      </c>
      <c r="B1514" s="1">
        <v>46074</v>
      </c>
      <c r="C1514">
        <v>1260</v>
      </c>
      <c r="D1514" t="s">
        <v>73</v>
      </c>
      <c r="E1514" t="s">
        <v>70</v>
      </c>
      <c r="F1514">
        <v>4</v>
      </c>
      <c r="G1514" s="2">
        <v>66.64</v>
      </c>
      <c r="H1514">
        <v>0.23</v>
      </c>
      <c r="I1514" t="s">
        <v>68</v>
      </c>
      <c r="J1514">
        <v>8</v>
      </c>
      <c r="K1514">
        <v>1.4</v>
      </c>
      <c r="L1514" s="2">
        <v>205.25</v>
      </c>
      <c r="M1514">
        <v>2026</v>
      </c>
      <c r="N1514">
        <v>2</v>
      </c>
      <c r="O1514" t="s">
        <v>129</v>
      </c>
      <c r="P1514" s="2">
        <v>266.56</v>
      </c>
      <c r="Q1514" s="2">
        <v>61.31</v>
      </c>
      <c r="R1514" t="s">
        <v>77</v>
      </c>
      <c r="S1514">
        <v>0</v>
      </c>
      <c r="T1514">
        <v>0</v>
      </c>
      <c r="U1514">
        <f>IF(AND(OR(Dashboard!$D$4="Semua",D1514=Dashboard!$D$4),OR(Dashboard!$H$4="Semua",E1514=Dashboard!$H$4)),1,0)</f>
        <v>1</v>
      </c>
      <c r="V1514">
        <f>IF(U1514=1,IF(COUNTIFS($C$2:C1514,C1514,$U$2:U1514,1)=1,1,0),0)</f>
        <v>0</v>
      </c>
    </row>
    <row r="1515" spans="1:22" x14ac:dyDescent="0.35">
      <c r="A1515">
        <v>11514</v>
      </c>
      <c r="B1515" s="1">
        <v>46075</v>
      </c>
      <c r="C1515">
        <v>1156</v>
      </c>
      <c r="D1515" t="s">
        <v>67</v>
      </c>
      <c r="E1515" t="s">
        <v>78</v>
      </c>
      <c r="F1515">
        <v>5</v>
      </c>
      <c r="G1515" s="2">
        <v>597.58000000000004</v>
      </c>
      <c r="H1515">
        <v>0.33</v>
      </c>
      <c r="I1515" t="s">
        <v>71</v>
      </c>
      <c r="J1515">
        <v>4</v>
      </c>
      <c r="K1515">
        <v>4.7</v>
      </c>
      <c r="L1515" s="2">
        <v>2001.89</v>
      </c>
      <c r="M1515">
        <v>2026</v>
      </c>
      <c r="N1515">
        <v>2</v>
      </c>
      <c r="O1515" t="s">
        <v>129</v>
      </c>
      <c r="P1515" s="2">
        <v>2987.9</v>
      </c>
      <c r="Q1515" s="2">
        <v>986.01</v>
      </c>
      <c r="R1515" t="s">
        <v>72</v>
      </c>
      <c r="S1515">
        <v>0</v>
      </c>
      <c r="T1515">
        <v>0</v>
      </c>
      <c r="U1515">
        <f>IF(AND(OR(Dashboard!$D$4="Semua",D1515=Dashboard!$D$4),OR(Dashboard!$H$4="Semua",E1515=Dashboard!$H$4)),1,0)</f>
        <v>1</v>
      </c>
      <c r="V1515">
        <f>IF(U1515=1,IF(COUNTIFS($C$2:C1515,C1515,$U$2:U1515,1)=1,1,0),0)</f>
        <v>0</v>
      </c>
    </row>
    <row r="1516" spans="1:22" x14ac:dyDescent="0.35">
      <c r="A1516">
        <v>11515</v>
      </c>
      <c r="B1516" s="1">
        <v>46076</v>
      </c>
      <c r="C1516">
        <v>1046</v>
      </c>
      <c r="D1516" t="s">
        <v>80</v>
      </c>
      <c r="E1516" t="s">
        <v>74</v>
      </c>
      <c r="F1516">
        <v>2</v>
      </c>
      <c r="G1516" s="2">
        <v>539.91999999999996</v>
      </c>
      <c r="H1516">
        <v>0.03</v>
      </c>
      <c r="I1516" t="s">
        <v>68</v>
      </c>
      <c r="J1516">
        <v>10</v>
      </c>
      <c r="K1516">
        <v>3.3</v>
      </c>
      <c r="L1516" s="2">
        <v>1047.44</v>
      </c>
      <c r="M1516">
        <v>2026</v>
      </c>
      <c r="N1516">
        <v>2</v>
      </c>
      <c r="O1516" t="s">
        <v>129</v>
      </c>
      <c r="P1516" s="2">
        <v>1079.8399999999999</v>
      </c>
      <c r="Q1516" s="2">
        <v>32.4</v>
      </c>
      <c r="R1516" t="s">
        <v>75</v>
      </c>
      <c r="S1516">
        <v>0</v>
      </c>
      <c r="T1516">
        <v>0</v>
      </c>
      <c r="U1516">
        <f>IF(AND(OR(Dashboard!$D$4="Semua",D1516=Dashboard!$D$4),OR(Dashboard!$H$4="Semua",E1516=Dashboard!$H$4)),1,0)</f>
        <v>1</v>
      </c>
      <c r="V1516">
        <f>IF(U1516=1,IF(COUNTIFS($C$2:C1516,C1516,$U$2:U1516,1)=1,1,0),0)</f>
        <v>0</v>
      </c>
    </row>
    <row r="1517" spans="1:22" x14ac:dyDescent="0.35">
      <c r="A1517">
        <v>11516</v>
      </c>
      <c r="B1517" s="1">
        <v>46077</v>
      </c>
      <c r="C1517">
        <v>1323</v>
      </c>
      <c r="D1517" t="s">
        <v>73</v>
      </c>
      <c r="E1517" t="s">
        <v>74</v>
      </c>
      <c r="F1517">
        <v>5</v>
      </c>
      <c r="G1517" s="2">
        <v>27.33</v>
      </c>
      <c r="H1517">
        <v>0.11</v>
      </c>
      <c r="I1517" t="s">
        <v>68</v>
      </c>
      <c r="J1517">
        <v>7</v>
      </c>
      <c r="K1517">
        <v>5</v>
      </c>
      <c r="L1517" s="2">
        <v>121.62</v>
      </c>
      <c r="M1517">
        <v>2026</v>
      </c>
      <c r="N1517">
        <v>2</v>
      </c>
      <c r="O1517" t="s">
        <v>129</v>
      </c>
      <c r="P1517" s="2">
        <v>136.65</v>
      </c>
      <c r="Q1517" s="2">
        <v>15.03</v>
      </c>
      <c r="R1517" t="s">
        <v>79</v>
      </c>
      <c r="S1517">
        <v>0</v>
      </c>
      <c r="T1517">
        <v>0</v>
      </c>
      <c r="U1517">
        <f>IF(AND(OR(Dashboard!$D$4="Semua",D1517=Dashboard!$D$4),OR(Dashboard!$H$4="Semua",E1517=Dashboard!$H$4)),1,0)</f>
        <v>1</v>
      </c>
      <c r="V1517">
        <f>IF(U1517=1,IF(COUNTIFS($C$2:C1517,C1517,$U$2:U1517,1)=1,1,0),0)</f>
        <v>1</v>
      </c>
    </row>
    <row r="1518" spans="1:22" x14ac:dyDescent="0.35">
      <c r="A1518">
        <v>11517</v>
      </c>
      <c r="B1518" s="1">
        <v>46078</v>
      </c>
      <c r="C1518">
        <v>1843</v>
      </c>
      <c r="D1518" t="s">
        <v>73</v>
      </c>
      <c r="E1518" t="s">
        <v>74</v>
      </c>
      <c r="F1518">
        <v>6</v>
      </c>
      <c r="G1518" s="2">
        <v>517.30999999999995</v>
      </c>
      <c r="H1518">
        <v>0.16</v>
      </c>
      <c r="I1518" t="s">
        <v>71</v>
      </c>
      <c r="J1518">
        <v>10</v>
      </c>
      <c r="K1518">
        <v>4.2</v>
      </c>
      <c r="L1518" s="2">
        <v>2607.2399999999998</v>
      </c>
      <c r="M1518">
        <v>2026</v>
      </c>
      <c r="N1518">
        <v>2</v>
      </c>
      <c r="O1518" t="s">
        <v>129</v>
      </c>
      <c r="P1518" s="2">
        <v>3103.86</v>
      </c>
      <c r="Q1518" s="2">
        <v>496.62</v>
      </c>
      <c r="R1518" t="s">
        <v>76</v>
      </c>
      <c r="S1518">
        <v>0</v>
      </c>
      <c r="T1518">
        <v>0</v>
      </c>
      <c r="U1518">
        <f>IF(AND(OR(Dashboard!$D$4="Semua",D1518=Dashboard!$D$4),OR(Dashboard!$H$4="Semua",E1518=Dashboard!$H$4)),1,0)</f>
        <v>1</v>
      </c>
      <c r="V1518">
        <f>IF(U1518=1,IF(COUNTIFS($C$2:C1518,C1518,$U$2:U1518,1)=1,1,0),0)</f>
        <v>1</v>
      </c>
    </row>
    <row r="1519" spans="1:22" x14ac:dyDescent="0.35">
      <c r="A1519">
        <v>11518</v>
      </c>
      <c r="B1519" s="1">
        <v>46079</v>
      </c>
      <c r="C1519">
        <v>1684</v>
      </c>
      <c r="D1519" t="s">
        <v>73</v>
      </c>
      <c r="E1519" t="s">
        <v>78</v>
      </c>
      <c r="F1519">
        <v>1</v>
      </c>
      <c r="G1519" s="2">
        <v>552.87</v>
      </c>
      <c r="H1519">
        <v>0.16</v>
      </c>
      <c r="I1519" t="s">
        <v>68</v>
      </c>
      <c r="J1519">
        <v>8</v>
      </c>
      <c r="K1519">
        <v>4.3</v>
      </c>
      <c r="L1519" s="2">
        <v>464.41</v>
      </c>
      <c r="M1519">
        <v>2026</v>
      </c>
      <c r="N1519">
        <v>2</v>
      </c>
      <c r="O1519" t="s">
        <v>129</v>
      </c>
      <c r="P1519" s="2">
        <v>552.87</v>
      </c>
      <c r="Q1519" s="2">
        <v>88.46</v>
      </c>
      <c r="R1519" t="s">
        <v>76</v>
      </c>
      <c r="S1519">
        <v>0</v>
      </c>
      <c r="T1519">
        <v>0</v>
      </c>
      <c r="U1519">
        <f>IF(AND(OR(Dashboard!$D$4="Semua",D1519=Dashboard!$D$4),OR(Dashboard!$H$4="Semua",E1519=Dashboard!$H$4)),1,0)</f>
        <v>1</v>
      </c>
      <c r="V1519">
        <f>IF(U1519=1,IF(COUNTIFS($C$2:C1519,C1519,$U$2:U1519,1)=1,1,0),0)</f>
        <v>0</v>
      </c>
    </row>
    <row r="1520" spans="1:22" x14ac:dyDescent="0.35">
      <c r="A1520">
        <v>11519</v>
      </c>
      <c r="B1520" s="1">
        <v>46080</v>
      </c>
      <c r="C1520">
        <v>1129</v>
      </c>
      <c r="D1520" t="s">
        <v>67</v>
      </c>
      <c r="E1520" t="s">
        <v>74</v>
      </c>
      <c r="F1520">
        <v>3</v>
      </c>
      <c r="G1520" s="2">
        <v>221.83</v>
      </c>
      <c r="H1520">
        <v>0.27</v>
      </c>
      <c r="I1520" t="s">
        <v>68</v>
      </c>
      <c r="J1520">
        <v>7</v>
      </c>
      <c r="K1520">
        <v>2.5</v>
      </c>
      <c r="L1520" s="2">
        <v>485.81</v>
      </c>
      <c r="M1520">
        <v>2026</v>
      </c>
      <c r="N1520">
        <v>2</v>
      </c>
      <c r="O1520" t="s">
        <v>129</v>
      </c>
      <c r="P1520" s="2">
        <v>665.49</v>
      </c>
      <c r="Q1520" s="2">
        <v>179.68</v>
      </c>
      <c r="R1520" t="s">
        <v>66</v>
      </c>
      <c r="S1520">
        <v>0</v>
      </c>
      <c r="T1520">
        <v>0</v>
      </c>
      <c r="U1520">
        <f>IF(AND(OR(Dashboard!$D$4="Semua",D1520=Dashboard!$D$4),OR(Dashboard!$H$4="Semua",E1520=Dashboard!$H$4)),1,0)</f>
        <v>1</v>
      </c>
      <c r="V1520">
        <f>IF(U1520=1,IF(COUNTIFS($C$2:C1520,C1520,$U$2:U1520,1)=1,1,0),0)</f>
        <v>0</v>
      </c>
    </row>
    <row r="1521" spans="1:22" x14ac:dyDescent="0.35">
      <c r="A1521">
        <v>11520</v>
      </c>
      <c r="B1521" s="1">
        <v>46081</v>
      </c>
      <c r="C1521">
        <v>1410</v>
      </c>
      <c r="D1521" t="s">
        <v>80</v>
      </c>
      <c r="E1521" t="s">
        <v>74</v>
      </c>
      <c r="F1521">
        <v>7</v>
      </c>
      <c r="G1521" s="2">
        <v>435.91</v>
      </c>
      <c r="H1521">
        <v>0.16</v>
      </c>
      <c r="I1521" t="s">
        <v>71</v>
      </c>
      <c r="J1521">
        <v>5</v>
      </c>
      <c r="K1521">
        <v>2</v>
      </c>
      <c r="L1521" s="2">
        <v>2563.15</v>
      </c>
      <c r="M1521">
        <v>2026</v>
      </c>
      <c r="N1521">
        <v>2</v>
      </c>
      <c r="O1521" t="s">
        <v>129</v>
      </c>
      <c r="P1521" s="2">
        <v>3051.37</v>
      </c>
      <c r="Q1521" s="2">
        <v>488.22</v>
      </c>
      <c r="R1521" t="s">
        <v>76</v>
      </c>
      <c r="S1521">
        <v>0</v>
      </c>
      <c r="T1521">
        <v>0</v>
      </c>
      <c r="U1521">
        <f>IF(AND(OR(Dashboard!$D$4="Semua",D1521=Dashboard!$D$4),OR(Dashboard!$H$4="Semua",E1521=Dashboard!$H$4)),1,0)</f>
        <v>1</v>
      </c>
      <c r="V1521">
        <f>IF(U1521=1,IF(COUNTIFS($C$2:C1521,C1521,$U$2:U1521,1)=1,1,0),0)</f>
        <v>0</v>
      </c>
    </row>
    <row r="1522" spans="1:22" x14ac:dyDescent="0.35">
      <c r="A1522">
        <v>11521</v>
      </c>
      <c r="B1522" s="1">
        <v>46082</v>
      </c>
      <c r="C1522">
        <v>1094</v>
      </c>
      <c r="D1522" t="s">
        <v>73</v>
      </c>
      <c r="E1522" t="s">
        <v>70</v>
      </c>
      <c r="F1522">
        <v>2</v>
      </c>
      <c r="G1522" s="2">
        <v>273.63</v>
      </c>
      <c r="H1522">
        <v>0.01</v>
      </c>
      <c r="I1522" t="s">
        <v>71</v>
      </c>
      <c r="J1522">
        <v>11</v>
      </c>
      <c r="K1522">
        <v>3.4</v>
      </c>
      <c r="L1522" s="2">
        <v>541.79</v>
      </c>
      <c r="M1522">
        <v>2026</v>
      </c>
      <c r="N1522">
        <v>3</v>
      </c>
      <c r="O1522" t="s">
        <v>130</v>
      </c>
      <c r="P1522" s="2">
        <v>547.26</v>
      </c>
      <c r="Q1522" s="2">
        <v>5.47</v>
      </c>
      <c r="R1522" t="s">
        <v>75</v>
      </c>
      <c r="S1522">
        <v>0</v>
      </c>
      <c r="T1522">
        <v>0</v>
      </c>
      <c r="U1522">
        <f>IF(AND(OR(Dashboard!$D$4="Semua",D1522=Dashboard!$D$4),OR(Dashboard!$H$4="Semua",E1522=Dashboard!$H$4)),1,0)</f>
        <v>1</v>
      </c>
      <c r="V1522">
        <f>IF(U1522=1,IF(COUNTIFS($C$2:C1522,C1522,$U$2:U1522,1)=1,1,0),0)</f>
        <v>0</v>
      </c>
    </row>
    <row r="1523" spans="1:22" x14ac:dyDescent="0.35">
      <c r="A1523">
        <v>11522</v>
      </c>
      <c r="B1523" s="1">
        <v>46083</v>
      </c>
      <c r="C1523">
        <v>1626</v>
      </c>
      <c r="D1523" t="s">
        <v>80</v>
      </c>
      <c r="E1523" t="s">
        <v>70</v>
      </c>
      <c r="F1523">
        <v>3</v>
      </c>
      <c r="G1523" s="2">
        <v>398.31</v>
      </c>
      <c r="H1523">
        <v>0.25</v>
      </c>
      <c r="I1523" t="s">
        <v>68</v>
      </c>
      <c r="J1523">
        <v>1</v>
      </c>
      <c r="K1523">
        <v>4.5</v>
      </c>
      <c r="L1523" s="2">
        <v>896.2</v>
      </c>
      <c r="M1523">
        <v>2026</v>
      </c>
      <c r="N1523">
        <v>3</v>
      </c>
      <c r="O1523" t="s">
        <v>130</v>
      </c>
      <c r="P1523" s="2">
        <v>1194.93</v>
      </c>
      <c r="Q1523" s="2">
        <v>298.73</v>
      </c>
      <c r="R1523" t="s">
        <v>77</v>
      </c>
      <c r="S1523">
        <v>0</v>
      </c>
      <c r="T1523">
        <v>0</v>
      </c>
      <c r="U1523">
        <f>IF(AND(OR(Dashboard!$D$4="Semua",D1523=Dashboard!$D$4),OR(Dashboard!$H$4="Semua",E1523=Dashboard!$H$4)),1,0)</f>
        <v>1</v>
      </c>
      <c r="V1523">
        <f>IF(U1523=1,IF(COUNTIFS($C$2:C1523,C1523,$U$2:U1523,1)=1,1,0),0)</f>
        <v>1</v>
      </c>
    </row>
    <row r="1524" spans="1:22" x14ac:dyDescent="0.35">
      <c r="A1524">
        <v>11523</v>
      </c>
      <c r="B1524" s="1">
        <v>46084</v>
      </c>
      <c r="C1524">
        <v>1754</v>
      </c>
      <c r="D1524" t="s">
        <v>73</v>
      </c>
      <c r="E1524" t="s">
        <v>63</v>
      </c>
      <c r="F1524">
        <v>1</v>
      </c>
      <c r="G1524" s="2">
        <v>214.09</v>
      </c>
      <c r="H1524">
        <v>0.31</v>
      </c>
      <c r="I1524" t="s">
        <v>68</v>
      </c>
      <c r="J1524">
        <v>8</v>
      </c>
      <c r="K1524">
        <v>3.9</v>
      </c>
      <c r="L1524" s="2">
        <v>147.72</v>
      </c>
      <c r="M1524">
        <v>2026</v>
      </c>
      <c r="N1524">
        <v>3</v>
      </c>
      <c r="O1524" t="s">
        <v>130</v>
      </c>
      <c r="P1524" s="2">
        <v>214.09</v>
      </c>
      <c r="Q1524" s="2">
        <v>66.37</v>
      </c>
      <c r="R1524" t="s">
        <v>72</v>
      </c>
      <c r="S1524">
        <v>0</v>
      </c>
      <c r="T1524">
        <v>0</v>
      </c>
      <c r="U1524">
        <f>IF(AND(OR(Dashboard!$D$4="Semua",D1524=Dashboard!$D$4),OR(Dashboard!$H$4="Semua",E1524=Dashboard!$H$4)),1,0)</f>
        <v>1</v>
      </c>
      <c r="V1524">
        <f>IF(U1524=1,IF(COUNTIFS($C$2:C1524,C1524,$U$2:U1524,1)=1,1,0),0)</f>
        <v>1</v>
      </c>
    </row>
    <row r="1525" spans="1:22" x14ac:dyDescent="0.35">
      <c r="A1525">
        <v>11524</v>
      </c>
      <c r="B1525" s="1">
        <v>46085</v>
      </c>
      <c r="C1525">
        <v>1931</v>
      </c>
      <c r="D1525" t="s">
        <v>67</v>
      </c>
      <c r="E1525" t="s">
        <v>63</v>
      </c>
      <c r="F1525">
        <v>2</v>
      </c>
      <c r="G1525" s="2">
        <v>203.7</v>
      </c>
      <c r="H1525">
        <v>0.18</v>
      </c>
      <c r="I1525" t="s">
        <v>68</v>
      </c>
      <c r="J1525">
        <v>5</v>
      </c>
      <c r="K1525">
        <v>2.9</v>
      </c>
      <c r="L1525" s="2">
        <v>334.07</v>
      </c>
      <c r="M1525">
        <v>2026</v>
      </c>
      <c r="N1525">
        <v>3</v>
      </c>
      <c r="O1525" t="s">
        <v>130</v>
      </c>
      <c r="P1525" s="2">
        <v>407.4</v>
      </c>
      <c r="Q1525" s="2">
        <v>73.33</v>
      </c>
      <c r="R1525" t="s">
        <v>76</v>
      </c>
      <c r="S1525">
        <v>0</v>
      </c>
      <c r="T1525">
        <v>0</v>
      </c>
      <c r="U1525">
        <f>IF(AND(OR(Dashboard!$D$4="Semua",D1525=Dashboard!$D$4),OR(Dashboard!$H$4="Semua",E1525=Dashboard!$H$4)),1,0)</f>
        <v>1</v>
      </c>
      <c r="V1525">
        <f>IF(U1525=1,IF(COUNTIFS($C$2:C1525,C1525,$U$2:U1525,1)=1,1,0),0)</f>
        <v>0</v>
      </c>
    </row>
    <row r="1526" spans="1:22" x14ac:dyDescent="0.35">
      <c r="A1526">
        <v>11525</v>
      </c>
      <c r="B1526" s="1">
        <v>46086</v>
      </c>
      <c r="C1526">
        <v>1291</v>
      </c>
      <c r="D1526" t="s">
        <v>62</v>
      </c>
      <c r="E1526" t="s">
        <v>63</v>
      </c>
      <c r="F1526">
        <v>3</v>
      </c>
      <c r="G1526" s="2">
        <v>263.29000000000002</v>
      </c>
      <c r="H1526">
        <v>0.2</v>
      </c>
      <c r="I1526" t="s">
        <v>68</v>
      </c>
      <c r="J1526">
        <v>3</v>
      </c>
      <c r="K1526">
        <v>4</v>
      </c>
      <c r="L1526" s="2">
        <v>631.9</v>
      </c>
      <c r="M1526">
        <v>2026</v>
      </c>
      <c r="N1526">
        <v>3</v>
      </c>
      <c r="O1526" t="s">
        <v>130</v>
      </c>
      <c r="P1526" s="2">
        <v>789.87</v>
      </c>
      <c r="Q1526" s="2">
        <v>157.97</v>
      </c>
      <c r="R1526" t="s">
        <v>76</v>
      </c>
      <c r="S1526">
        <v>0</v>
      </c>
      <c r="T1526">
        <v>0</v>
      </c>
      <c r="U1526">
        <f>IF(AND(OR(Dashboard!$D$4="Semua",D1526=Dashboard!$D$4),OR(Dashboard!$H$4="Semua",E1526=Dashboard!$H$4)),1,0)</f>
        <v>1</v>
      </c>
      <c r="V1526">
        <f>IF(U1526=1,IF(COUNTIFS($C$2:C1526,C1526,$U$2:U1526,1)=1,1,0),0)</f>
        <v>1</v>
      </c>
    </row>
    <row r="1527" spans="1:22" x14ac:dyDescent="0.35">
      <c r="A1527">
        <v>11526</v>
      </c>
      <c r="B1527" s="1">
        <v>46087</v>
      </c>
      <c r="C1527">
        <v>1793</v>
      </c>
      <c r="D1527" t="s">
        <v>73</v>
      </c>
      <c r="E1527" t="s">
        <v>78</v>
      </c>
      <c r="F1527">
        <v>3</v>
      </c>
      <c r="G1527" s="2">
        <v>100.16</v>
      </c>
      <c r="H1527">
        <v>0.06</v>
      </c>
      <c r="I1527" t="s">
        <v>68</v>
      </c>
      <c r="J1527">
        <v>2</v>
      </c>
      <c r="K1527">
        <v>3.8</v>
      </c>
      <c r="L1527" s="2">
        <v>282.45</v>
      </c>
      <c r="M1527">
        <v>2026</v>
      </c>
      <c r="N1527">
        <v>3</v>
      </c>
      <c r="O1527" t="s">
        <v>130</v>
      </c>
      <c r="P1527" s="2">
        <v>300.48</v>
      </c>
      <c r="Q1527" s="2">
        <v>18.03</v>
      </c>
      <c r="R1527" t="s">
        <v>69</v>
      </c>
      <c r="S1527">
        <v>0</v>
      </c>
      <c r="T1527">
        <v>0</v>
      </c>
      <c r="U1527">
        <f>IF(AND(OR(Dashboard!$D$4="Semua",D1527=Dashboard!$D$4),OR(Dashboard!$H$4="Semua",E1527=Dashboard!$H$4)),1,0)</f>
        <v>1</v>
      </c>
      <c r="V1527">
        <f>IF(U1527=1,IF(COUNTIFS($C$2:C1527,C1527,$U$2:U1527,1)=1,1,0),0)</f>
        <v>0</v>
      </c>
    </row>
    <row r="1528" spans="1:22" x14ac:dyDescent="0.35">
      <c r="A1528">
        <v>11527</v>
      </c>
      <c r="B1528" s="1">
        <v>46088</v>
      </c>
      <c r="C1528">
        <v>1810</v>
      </c>
      <c r="D1528" t="s">
        <v>67</v>
      </c>
      <c r="E1528" t="s">
        <v>63</v>
      </c>
      <c r="F1528">
        <v>2</v>
      </c>
      <c r="G1528" s="2">
        <v>501.22</v>
      </c>
      <c r="H1528">
        <v>0.08</v>
      </c>
      <c r="I1528" t="s">
        <v>68</v>
      </c>
      <c r="J1528">
        <v>3</v>
      </c>
      <c r="K1528">
        <v>4.7</v>
      </c>
      <c r="L1528" s="2">
        <v>922.24</v>
      </c>
      <c r="M1528">
        <v>2026</v>
      </c>
      <c r="N1528">
        <v>3</v>
      </c>
      <c r="O1528" t="s">
        <v>130</v>
      </c>
      <c r="P1528" s="2">
        <v>1002.44</v>
      </c>
      <c r="Q1528" s="2">
        <v>80.2</v>
      </c>
      <c r="R1528" t="s">
        <v>69</v>
      </c>
      <c r="S1528">
        <v>0</v>
      </c>
      <c r="T1528">
        <v>0</v>
      </c>
      <c r="U1528">
        <f>IF(AND(OR(Dashboard!$D$4="Semua",D1528=Dashboard!$D$4),OR(Dashboard!$H$4="Semua",E1528=Dashboard!$H$4)),1,0)</f>
        <v>1</v>
      </c>
      <c r="V1528">
        <f>IF(U1528=1,IF(COUNTIFS($C$2:C1528,C1528,$U$2:U1528,1)=1,1,0),0)</f>
        <v>0</v>
      </c>
    </row>
    <row r="1529" spans="1:22" x14ac:dyDescent="0.35">
      <c r="A1529">
        <v>11528</v>
      </c>
      <c r="B1529" s="1">
        <v>46089</v>
      </c>
      <c r="C1529">
        <v>1282</v>
      </c>
      <c r="D1529" t="s">
        <v>73</v>
      </c>
      <c r="E1529" t="s">
        <v>78</v>
      </c>
      <c r="F1529">
        <v>3</v>
      </c>
      <c r="G1529" s="2">
        <v>218.99</v>
      </c>
      <c r="H1529">
        <v>0.08</v>
      </c>
      <c r="I1529" t="s">
        <v>68</v>
      </c>
      <c r="J1529">
        <v>9</v>
      </c>
      <c r="K1529">
        <v>2.1</v>
      </c>
      <c r="L1529" s="2">
        <v>604.41</v>
      </c>
      <c r="M1529">
        <v>2026</v>
      </c>
      <c r="N1529">
        <v>3</v>
      </c>
      <c r="O1529" t="s">
        <v>130</v>
      </c>
      <c r="P1529" s="2">
        <v>656.97</v>
      </c>
      <c r="Q1529" s="2">
        <v>52.56</v>
      </c>
      <c r="R1529" t="s">
        <v>69</v>
      </c>
      <c r="S1529">
        <v>0</v>
      </c>
      <c r="T1529">
        <v>0</v>
      </c>
      <c r="U1529">
        <f>IF(AND(OR(Dashboard!$D$4="Semua",D1529=Dashboard!$D$4),OR(Dashboard!$H$4="Semua",E1529=Dashboard!$H$4)),1,0)</f>
        <v>1</v>
      </c>
      <c r="V1529">
        <f>IF(U1529=1,IF(COUNTIFS($C$2:C1529,C1529,$U$2:U1529,1)=1,1,0),0)</f>
        <v>0</v>
      </c>
    </row>
    <row r="1530" spans="1:22" x14ac:dyDescent="0.35">
      <c r="A1530">
        <v>11529</v>
      </c>
      <c r="B1530" s="1">
        <v>46090</v>
      </c>
      <c r="C1530">
        <v>1068</v>
      </c>
      <c r="D1530" t="s">
        <v>73</v>
      </c>
      <c r="E1530" t="s">
        <v>78</v>
      </c>
      <c r="F1530">
        <v>3</v>
      </c>
      <c r="G1530" s="2">
        <v>249.09</v>
      </c>
      <c r="H1530">
        <v>0.15</v>
      </c>
      <c r="I1530" t="s">
        <v>64</v>
      </c>
      <c r="J1530">
        <v>2</v>
      </c>
      <c r="K1530">
        <v>1.5</v>
      </c>
      <c r="L1530" s="2">
        <v>635.17999999999995</v>
      </c>
      <c r="M1530">
        <v>2026</v>
      </c>
      <c r="N1530">
        <v>3</v>
      </c>
      <c r="O1530" t="s">
        <v>130</v>
      </c>
      <c r="P1530" s="2">
        <v>747.27</v>
      </c>
      <c r="Q1530" s="2">
        <v>112.09</v>
      </c>
      <c r="R1530" t="s">
        <v>79</v>
      </c>
      <c r="S1530">
        <v>0</v>
      </c>
      <c r="T1530">
        <v>0</v>
      </c>
      <c r="U1530">
        <f>IF(AND(OR(Dashboard!$D$4="Semua",D1530=Dashboard!$D$4),OR(Dashboard!$H$4="Semua",E1530=Dashboard!$H$4)),1,0)</f>
        <v>1</v>
      </c>
      <c r="V1530">
        <f>IF(U1530=1,IF(COUNTIFS($C$2:C1530,C1530,$U$2:U1530,1)=1,1,0),0)</f>
        <v>0</v>
      </c>
    </row>
    <row r="1531" spans="1:22" x14ac:dyDescent="0.35">
      <c r="A1531">
        <v>11530</v>
      </c>
      <c r="B1531" s="1">
        <v>46091</v>
      </c>
      <c r="C1531">
        <v>1659</v>
      </c>
      <c r="D1531" t="s">
        <v>73</v>
      </c>
      <c r="E1531" t="s">
        <v>63</v>
      </c>
      <c r="F1531">
        <v>2</v>
      </c>
      <c r="G1531" s="2">
        <v>538.02</v>
      </c>
      <c r="H1531">
        <v>0.32</v>
      </c>
      <c r="I1531" t="s">
        <v>68</v>
      </c>
      <c r="J1531">
        <v>10</v>
      </c>
      <c r="K1531">
        <v>2.9</v>
      </c>
      <c r="L1531" s="2">
        <v>731.71</v>
      </c>
      <c r="M1531">
        <v>2026</v>
      </c>
      <c r="N1531">
        <v>3</v>
      </c>
      <c r="O1531" t="s">
        <v>130</v>
      </c>
      <c r="P1531" s="2">
        <v>1076.04</v>
      </c>
      <c r="Q1531" s="2">
        <v>344.33</v>
      </c>
      <c r="R1531" t="s">
        <v>72</v>
      </c>
      <c r="S1531">
        <v>0</v>
      </c>
      <c r="T1531">
        <v>0</v>
      </c>
      <c r="U1531">
        <f>IF(AND(OR(Dashboard!$D$4="Semua",D1531=Dashboard!$D$4),OR(Dashboard!$H$4="Semua",E1531=Dashboard!$H$4)),1,0)</f>
        <v>1</v>
      </c>
      <c r="V1531">
        <f>IF(U1531=1,IF(COUNTIFS($C$2:C1531,C1531,$U$2:U1531,1)=1,1,0),0)</f>
        <v>0</v>
      </c>
    </row>
    <row r="1532" spans="1:22" x14ac:dyDescent="0.35">
      <c r="A1532">
        <v>11531</v>
      </c>
      <c r="B1532" s="1">
        <v>46092</v>
      </c>
      <c r="C1532">
        <v>1010</v>
      </c>
      <c r="D1532" t="s">
        <v>73</v>
      </c>
      <c r="E1532" t="s">
        <v>63</v>
      </c>
      <c r="F1532">
        <v>7</v>
      </c>
      <c r="G1532" s="2">
        <v>305.52</v>
      </c>
      <c r="H1532">
        <v>0.18</v>
      </c>
      <c r="I1532" t="s">
        <v>68</v>
      </c>
      <c r="J1532">
        <v>1</v>
      </c>
      <c r="K1532">
        <v>2.4</v>
      </c>
      <c r="L1532" s="2">
        <v>1753.68</v>
      </c>
      <c r="M1532">
        <v>2026</v>
      </c>
      <c r="N1532">
        <v>3</v>
      </c>
      <c r="O1532" t="s">
        <v>130</v>
      </c>
      <c r="P1532" s="2">
        <v>2138.64</v>
      </c>
      <c r="Q1532" s="2">
        <v>384.96</v>
      </c>
      <c r="R1532" t="s">
        <v>76</v>
      </c>
      <c r="S1532">
        <v>0</v>
      </c>
      <c r="T1532">
        <v>0</v>
      </c>
      <c r="U1532">
        <f>IF(AND(OR(Dashboard!$D$4="Semua",D1532=Dashboard!$D$4),OR(Dashboard!$H$4="Semua",E1532=Dashboard!$H$4)),1,0)</f>
        <v>1</v>
      </c>
      <c r="V1532">
        <f>IF(U1532=1,IF(COUNTIFS($C$2:C1532,C1532,$U$2:U1532,1)=1,1,0),0)</f>
        <v>1</v>
      </c>
    </row>
    <row r="1533" spans="1:22" x14ac:dyDescent="0.35">
      <c r="A1533">
        <v>11532</v>
      </c>
      <c r="B1533" s="1">
        <v>46093</v>
      </c>
      <c r="C1533">
        <v>1253</v>
      </c>
      <c r="D1533" t="s">
        <v>67</v>
      </c>
      <c r="E1533" t="s">
        <v>78</v>
      </c>
      <c r="F1533">
        <v>3</v>
      </c>
      <c r="G1533" s="2">
        <v>333.39</v>
      </c>
      <c r="H1533">
        <v>7.0000000000000007E-2</v>
      </c>
      <c r="I1533" t="s">
        <v>68</v>
      </c>
      <c r="J1533">
        <v>2</v>
      </c>
      <c r="K1533">
        <v>4.9000000000000004</v>
      </c>
      <c r="L1533" s="2">
        <v>930.16</v>
      </c>
      <c r="M1533">
        <v>2026</v>
      </c>
      <c r="N1533">
        <v>3</v>
      </c>
      <c r="O1533" t="s">
        <v>130</v>
      </c>
      <c r="P1533" s="2">
        <v>1000.17</v>
      </c>
      <c r="Q1533" s="2">
        <v>70.010000000000005</v>
      </c>
      <c r="R1533" t="s">
        <v>69</v>
      </c>
      <c r="S1533">
        <v>0</v>
      </c>
      <c r="T1533">
        <v>0</v>
      </c>
      <c r="U1533">
        <f>IF(AND(OR(Dashboard!$D$4="Semua",D1533=Dashboard!$D$4),OR(Dashboard!$H$4="Semua",E1533=Dashboard!$H$4)),1,0)</f>
        <v>1</v>
      </c>
      <c r="V1533">
        <f>IF(U1533=1,IF(COUNTIFS($C$2:C1533,C1533,$U$2:U1533,1)=1,1,0),0)</f>
        <v>0</v>
      </c>
    </row>
    <row r="1534" spans="1:22" x14ac:dyDescent="0.35">
      <c r="A1534">
        <v>11533</v>
      </c>
      <c r="B1534" s="1">
        <v>46094</v>
      </c>
      <c r="C1534">
        <v>1841</v>
      </c>
      <c r="D1534" t="s">
        <v>67</v>
      </c>
      <c r="E1534" t="s">
        <v>70</v>
      </c>
      <c r="F1534">
        <v>3</v>
      </c>
      <c r="G1534" s="2">
        <v>574.54999999999995</v>
      </c>
      <c r="H1534">
        <v>0.09</v>
      </c>
      <c r="I1534" t="s">
        <v>68</v>
      </c>
      <c r="J1534">
        <v>2</v>
      </c>
      <c r="K1534">
        <v>1</v>
      </c>
      <c r="L1534" s="2">
        <v>1568.52</v>
      </c>
      <c r="M1534">
        <v>2026</v>
      </c>
      <c r="N1534">
        <v>3</v>
      </c>
      <c r="O1534" t="s">
        <v>130</v>
      </c>
      <c r="P1534" s="2">
        <v>1723.65</v>
      </c>
      <c r="Q1534" s="2">
        <v>155.13</v>
      </c>
      <c r="R1534" t="s">
        <v>69</v>
      </c>
      <c r="S1534">
        <v>0</v>
      </c>
      <c r="T1534">
        <v>0</v>
      </c>
      <c r="U1534">
        <f>IF(AND(OR(Dashboard!$D$4="Semua",D1534=Dashboard!$D$4),OR(Dashboard!$H$4="Semua",E1534=Dashboard!$H$4)),1,0)</f>
        <v>1</v>
      </c>
      <c r="V1534">
        <f>IF(U1534=1,IF(COUNTIFS($C$2:C1534,C1534,$U$2:U1534,1)=1,1,0),0)</f>
        <v>0</v>
      </c>
    </row>
    <row r="1535" spans="1:22" x14ac:dyDescent="0.35">
      <c r="A1535">
        <v>11534</v>
      </c>
      <c r="B1535" s="1">
        <v>46095</v>
      </c>
      <c r="C1535">
        <v>1871</v>
      </c>
      <c r="D1535" t="s">
        <v>67</v>
      </c>
      <c r="E1535" t="s">
        <v>74</v>
      </c>
      <c r="F1535">
        <v>7</v>
      </c>
      <c r="G1535" s="2">
        <v>533.73</v>
      </c>
      <c r="H1535">
        <v>0.13</v>
      </c>
      <c r="I1535" t="s">
        <v>71</v>
      </c>
      <c r="J1535">
        <v>11</v>
      </c>
      <c r="K1535">
        <v>4.7</v>
      </c>
      <c r="L1535" s="2">
        <v>3250.42</v>
      </c>
      <c r="M1535">
        <v>2026</v>
      </c>
      <c r="N1535">
        <v>3</v>
      </c>
      <c r="O1535" t="s">
        <v>130</v>
      </c>
      <c r="P1535" s="2">
        <v>3736.11</v>
      </c>
      <c r="Q1535" s="2">
        <v>485.69</v>
      </c>
      <c r="R1535" t="s">
        <v>79</v>
      </c>
      <c r="S1535">
        <v>0</v>
      </c>
      <c r="T1535">
        <v>0</v>
      </c>
      <c r="U1535">
        <f>IF(AND(OR(Dashboard!$D$4="Semua",D1535=Dashboard!$D$4),OR(Dashboard!$H$4="Semua",E1535=Dashboard!$H$4)),1,0)</f>
        <v>1</v>
      </c>
      <c r="V1535">
        <f>IF(U1535=1,IF(COUNTIFS($C$2:C1535,C1535,$U$2:U1535,1)=1,1,0),0)</f>
        <v>0</v>
      </c>
    </row>
    <row r="1536" spans="1:22" x14ac:dyDescent="0.35">
      <c r="A1536">
        <v>11535</v>
      </c>
      <c r="B1536" s="1">
        <v>46096</v>
      </c>
      <c r="C1536">
        <v>1549</v>
      </c>
      <c r="D1536" t="s">
        <v>73</v>
      </c>
      <c r="E1536" t="s">
        <v>74</v>
      </c>
      <c r="F1536">
        <v>4</v>
      </c>
      <c r="G1536" s="2">
        <v>114.14</v>
      </c>
      <c r="H1536">
        <v>0.22</v>
      </c>
      <c r="I1536" t="s">
        <v>68</v>
      </c>
      <c r="J1536">
        <v>5</v>
      </c>
      <c r="K1536">
        <v>4.8</v>
      </c>
      <c r="L1536" s="2">
        <v>356.12</v>
      </c>
      <c r="M1536">
        <v>2026</v>
      </c>
      <c r="N1536">
        <v>3</v>
      </c>
      <c r="O1536" t="s">
        <v>130</v>
      </c>
      <c r="P1536" s="2">
        <v>456.56</v>
      </c>
      <c r="Q1536" s="2">
        <v>100.44</v>
      </c>
      <c r="R1536" t="s">
        <v>77</v>
      </c>
      <c r="S1536">
        <v>0</v>
      </c>
      <c r="T1536">
        <v>0</v>
      </c>
      <c r="U1536">
        <f>IF(AND(OR(Dashboard!$D$4="Semua",D1536=Dashboard!$D$4),OR(Dashboard!$H$4="Semua",E1536=Dashboard!$H$4)),1,0)</f>
        <v>1</v>
      </c>
      <c r="V1536">
        <f>IF(U1536=1,IF(COUNTIFS($C$2:C1536,C1536,$U$2:U1536,1)=1,1,0),0)</f>
        <v>0</v>
      </c>
    </row>
    <row r="1537" spans="1:22" x14ac:dyDescent="0.35">
      <c r="A1537">
        <v>11536</v>
      </c>
      <c r="B1537" s="1">
        <v>46097</v>
      </c>
      <c r="C1537">
        <v>1133</v>
      </c>
      <c r="D1537" t="s">
        <v>73</v>
      </c>
      <c r="E1537" t="s">
        <v>74</v>
      </c>
      <c r="F1537">
        <v>6</v>
      </c>
      <c r="G1537" s="2">
        <v>291.83</v>
      </c>
      <c r="H1537">
        <v>0.15</v>
      </c>
      <c r="I1537" t="s">
        <v>68</v>
      </c>
      <c r="J1537">
        <v>1</v>
      </c>
      <c r="K1537">
        <v>1.2</v>
      </c>
      <c r="L1537" s="2">
        <v>1488.33</v>
      </c>
      <c r="M1537">
        <v>2026</v>
      </c>
      <c r="N1537">
        <v>3</v>
      </c>
      <c r="O1537" t="s">
        <v>130</v>
      </c>
      <c r="P1537" s="2">
        <v>1750.98</v>
      </c>
      <c r="Q1537" s="2">
        <v>262.64999999999998</v>
      </c>
      <c r="R1537" t="s">
        <v>79</v>
      </c>
      <c r="S1537">
        <v>0</v>
      </c>
      <c r="T1537">
        <v>0</v>
      </c>
      <c r="U1537">
        <f>IF(AND(OR(Dashboard!$D$4="Semua",D1537=Dashboard!$D$4),OR(Dashboard!$H$4="Semua",E1537=Dashboard!$H$4)),1,0)</f>
        <v>1</v>
      </c>
      <c r="V1537">
        <f>IF(U1537=1,IF(COUNTIFS($C$2:C1537,C1537,$U$2:U1537,1)=1,1,0),0)</f>
        <v>0</v>
      </c>
    </row>
    <row r="1538" spans="1:22" x14ac:dyDescent="0.35">
      <c r="A1538">
        <v>11537</v>
      </c>
      <c r="B1538" s="1">
        <v>46098</v>
      </c>
      <c r="C1538">
        <v>1711</v>
      </c>
      <c r="D1538" t="s">
        <v>80</v>
      </c>
      <c r="E1538" t="s">
        <v>70</v>
      </c>
      <c r="F1538">
        <v>4</v>
      </c>
      <c r="G1538" s="2">
        <v>583.21</v>
      </c>
      <c r="H1538">
        <v>0.14000000000000001</v>
      </c>
      <c r="I1538" t="s">
        <v>68</v>
      </c>
      <c r="J1538">
        <v>10</v>
      </c>
      <c r="K1538">
        <v>4.5999999999999996</v>
      </c>
      <c r="L1538" s="2">
        <v>2006.24</v>
      </c>
      <c r="M1538">
        <v>2026</v>
      </c>
      <c r="N1538">
        <v>3</v>
      </c>
      <c r="O1538" t="s">
        <v>130</v>
      </c>
      <c r="P1538" s="2">
        <v>2332.84</v>
      </c>
      <c r="Q1538" s="2">
        <v>326.60000000000002</v>
      </c>
      <c r="R1538" t="s">
        <v>79</v>
      </c>
      <c r="S1538">
        <v>0</v>
      </c>
      <c r="T1538">
        <v>0</v>
      </c>
      <c r="U1538">
        <f>IF(AND(OR(Dashboard!$D$4="Semua",D1538=Dashboard!$D$4),OR(Dashboard!$H$4="Semua",E1538=Dashboard!$H$4)),1,0)</f>
        <v>1</v>
      </c>
      <c r="V1538">
        <f>IF(U1538=1,IF(COUNTIFS($C$2:C1538,C1538,$U$2:U1538,1)=1,1,0),0)</f>
        <v>1</v>
      </c>
    </row>
    <row r="1539" spans="1:22" x14ac:dyDescent="0.35">
      <c r="A1539">
        <v>11538</v>
      </c>
      <c r="B1539" s="1">
        <v>46099</v>
      </c>
      <c r="C1539">
        <v>1022</v>
      </c>
      <c r="D1539" t="s">
        <v>62</v>
      </c>
      <c r="E1539" t="s">
        <v>78</v>
      </c>
      <c r="F1539">
        <v>1</v>
      </c>
      <c r="G1539" s="2">
        <v>232.83</v>
      </c>
      <c r="H1539">
        <v>0.2</v>
      </c>
      <c r="I1539" t="s">
        <v>71</v>
      </c>
      <c r="J1539">
        <v>8</v>
      </c>
      <c r="K1539">
        <v>2.9</v>
      </c>
      <c r="L1539" s="2">
        <v>186.26</v>
      </c>
      <c r="M1539">
        <v>2026</v>
      </c>
      <c r="N1539">
        <v>3</v>
      </c>
      <c r="O1539" t="s">
        <v>130</v>
      </c>
      <c r="P1539" s="2">
        <v>232.83</v>
      </c>
      <c r="Q1539" s="2">
        <v>46.57</v>
      </c>
      <c r="R1539" t="s">
        <v>76</v>
      </c>
      <c r="S1539">
        <v>0</v>
      </c>
      <c r="T1539">
        <v>0</v>
      </c>
      <c r="U1539">
        <f>IF(AND(OR(Dashboard!$D$4="Semua",D1539=Dashboard!$D$4),OR(Dashboard!$H$4="Semua",E1539=Dashboard!$H$4)),1,0)</f>
        <v>1</v>
      </c>
      <c r="V1539">
        <f>IF(U1539=1,IF(COUNTIFS($C$2:C1539,C1539,$U$2:U1539,1)=1,1,0),0)</f>
        <v>0</v>
      </c>
    </row>
    <row r="1540" spans="1:22" x14ac:dyDescent="0.35">
      <c r="A1540">
        <v>11539</v>
      </c>
      <c r="B1540" s="1">
        <v>46100</v>
      </c>
      <c r="C1540">
        <v>1814</v>
      </c>
      <c r="D1540" t="s">
        <v>73</v>
      </c>
      <c r="E1540" t="s">
        <v>63</v>
      </c>
      <c r="F1540">
        <v>4</v>
      </c>
      <c r="G1540" s="2">
        <v>232.37</v>
      </c>
      <c r="H1540">
        <v>0.08</v>
      </c>
      <c r="I1540" t="s">
        <v>68</v>
      </c>
      <c r="J1540">
        <v>2</v>
      </c>
      <c r="K1540">
        <v>4.0999999999999996</v>
      </c>
      <c r="L1540" s="2">
        <v>855.12</v>
      </c>
      <c r="M1540">
        <v>2026</v>
      </c>
      <c r="N1540">
        <v>3</v>
      </c>
      <c r="O1540" t="s">
        <v>130</v>
      </c>
      <c r="P1540" s="2">
        <v>929.48</v>
      </c>
      <c r="Q1540" s="2">
        <v>74.36</v>
      </c>
      <c r="R1540" t="s">
        <v>69</v>
      </c>
      <c r="S1540">
        <v>0</v>
      </c>
      <c r="T1540">
        <v>0</v>
      </c>
      <c r="U1540">
        <f>IF(AND(OR(Dashboard!$D$4="Semua",D1540=Dashboard!$D$4),OR(Dashboard!$H$4="Semua",E1540=Dashboard!$H$4)),1,0)</f>
        <v>1</v>
      </c>
      <c r="V1540">
        <f>IF(U1540=1,IF(COUNTIFS($C$2:C1540,C1540,$U$2:U1540,1)=1,1,0),0)</f>
        <v>0</v>
      </c>
    </row>
    <row r="1541" spans="1:22" x14ac:dyDescent="0.35">
      <c r="A1541">
        <v>11540</v>
      </c>
      <c r="B1541" s="1">
        <v>46101</v>
      </c>
      <c r="C1541">
        <v>1345</v>
      </c>
      <c r="D1541" t="s">
        <v>62</v>
      </c>
      <c r="E1541" t="s">
        <v>78</v>
      </c>
      <c r="F1541">
        <v>4</v>
      </c>
      <c r="G1541" s="2">
        <v>129.09</v>
      </c>
      <c r="H1541">
        <v>0.03</v>
      </c>
      <c r="I1541" t="s">
        <v>71</v>
      </c>
      <c r="J1541">
        <v>6</v>
      </c>
      <c r="K1541">
        <v>1.3</v>
      </c>
      <c r="L1541" s="2">
        <v>500.87</v>
      </c>
      <c r="M1541">
        <v>2026</v>
      </c>
      <c r="N1541">
        <v>3</v>
      </c>
      <c r="O1541" t="s">
        <v>130</v>
      </c>
      <c r="P1541" s="2">
        <v>516.36</v>
      </c>
      <c r="Q1541" s="2">
        <v>15.49</v>
      </c>
      <c r="R1541" t="s">
        <v>75</v>
      </c>
      <c r="S1541">
        <v>0</v>
      </c>
      <c r="T1541">
        <v>0</v>
      </c>
      <c r="U1541">
        <f>IF(AND(OR(Dashboard!$D$4="Semua",D1541=Dashboard!$D$4),OR(Dashboard!$H$4="Semua",E1541=Dashboard!$H$4)),1,0)</f>
        <v>1</v>
      </c>
      <c r="V1541">
        <f>IF(U1541=1,IF(COUNTIFS($C$2:C1541,C1541,$U$2:U1541,1)=1,1,0),0)</f>
        <v>0</v>
      </c>
    </row>
    <row r="1542" spans="1:22" x14ac:dyDescent="0.35">
      <c r="A1542">
        <v>11541</v>
      </c>
      <c r="B1542" s="1">
        <v>46102</v>
      </c>
      <c r="C1542">
        <v>1301</v>
      </c>
      <c r="D1542" t="s">
        <v>67</v>
      </c>
      <c r="E1542" t="s">
        <v>78</v>
      </c>
      <c r="F1542">
        <v>1</v>
      </c>
      <c r="G1542" s="2">
        <v>81.88</v>
      </c>
      <c r="H1542">
        <v>0.01</v>
      </c>
      <c r="I1542" t="s">
        <v>68</v>
      </c>
      <c r="J1542">
        <v>5</v>
      </c>
      <c r="K1542">
        <v>4.8</v>
      </c>
      <c r="L1542" s="2">
        <v>81.06</v>
      </c>
      <c r="M1542">
        <v>2026</v>
      </c>
      <c r="N1542">
        <v>3</v>
      </c>
      <c r="O1542" t="s">
        <v>130</v>
      </c>
      <c r="P1542" s="2">
        <v>81.88</v>
      </c>
      <c r="Q1542" s="2">
        <v>0.82</v>
      </c>
      <c r="R1542" t="s">
        <v>75</v>
      </c>
      <c r="S1542">
        <v>0</v>
      </c>
      <c r="T1542">
        <v>0</v>
      </c>
      <c r="U1542">
        <f>IF(AND(OR(Dashboard!$D$4="Semua",D1542=Dashboard!$D$4),OR(Dashboard!$H$4="Semua",E1542=Dashboard!$H$4)),1,0)</f>
        <v>1</v>
      </c>
      <c r="V1542">
        <f>IF(U1542=1,IF(COUNTIFS($C$2:C1542,C1542,$U$2:U1542,1)=1,1,0),0)</f>
        <v>0</v>
      </c>
    </row>
    <row r="1543" spans="1:22" x14ac:dyDescent="0.35">
      <c r="A1543">
        <v>11542</v>
      </c>
      <c r="B1543" s="1">
        <v>46103</v>
      </c>
      <c r="C1543">
        <v>1362</v>
      </c>
      <c r="D1543" t="s">
        <v>67</v>
      </c>
      <c r="E1543" t="s">
        <v>63</v>
      </c>
      <c r="F1543">
        <v>3</v>
      </c>
      <c r="G1543" s="2">
        <v>448.08</v>
      </c>
      <c r="H1543">
        <v>0.09</v>
      </c>
      <c r="I1543" t="s">
        <v>68</v>
      </c>
      <c r="J1543">
        <v>2</v>
      </c>
      <c r="K1543">
        <v>3.4</v>
      </c>
      <c r="L1543" s="2">
        <v>1223.26</v>
      </c>
      <c r="M1543">
        <v>2026</v>
      </c>
      <c r="N1543">
        <v>3</v>
      </c>
      <c r="O1543" t="s">
        <v>130</v>
      </c>
      <c r="P1543" s="2">
        <v>1344.24</v>
      </c>
      <c r="Q1543" s="2">
        <v>120.98</v>
      </c>
      <c r="R1543" t="s">
        <v>69</v>
      </c>
      <c r="S1543">
        <v>0</v>
      </c>
      <c r="T1543">
        <v>0</v>
      </c>
      <c r="U1543">
        <f>IF(AND(OR(Dashboard!$D$4="Semua",D1543=Dashboard!$D$4),OR(Dashboard!$H$4="Semua",E1543=Dashboard!$H$4)),1,0)</f>
        <v>1</v>
      </c>
      <c r="V1543">
        <f>IF(U1543=1,IF(COUNTIFS($C$2:C1543,C1543,$U$2:U1543,1)=1,1,0),0)</f>
        <v>0</v>
      </c>
    </row>
    <row r="1544" spans="1:22" x14ac:dyDescent="0.35">
      <c r="A1544">
        <v>11543</v>
      </c>
      <c r="B1544" s="1">
        <v>46104</v>
      </c>
      <c r="C1544">
        <v>1395</v>
      </c>
      <c r="D1544" t="s">
        <v>67</v>
      </c>
      <c r="E1544" t="s">
        <v>70</v>
      </c>
      <c r="F1544">
        <v>3</v>
      </c>
      <c r="G1544" s="2">
        <v>465.47</v>
      </c>
      <c r="H1544">
        <v>0.03</v>
      </c>
      <c r="I1544" t="s">
        <v>71</v>
      </c>
      <c r="J1544">
        <v>10</v>
      </c>
      <c r="K1544">
        <v>4.5999999999999996</v>
      </c>
      <c r="L1544" s="2">
        <v>1354.52</v>
      </c>
      <c r="M1544">
        <v>2026</v>
      </c>
      <c r="N1544">
        <v>3</v>
      </c>
      <c r="O1544" t="s">
        <v>130</v>
      </c>
      <c r="P1544" s="2">
        <v>1396.41</v>
      </c>
      <c r="Q1544" s="2">
        <v>41.89</v>
      </c>
      <c r="R1544" t="s">
        <v>75</v>
      </c>
      <c r="S1544">
        <v>0</v>
      </c>
      <c r="T1544">
        <v>0</v>
      </c>
      <c r="U1544">
        <f>IF(AND(OR(Dashboard!$D$4="Semua",D1544=Dashboard!$D$4),OR(Dashboard!$H$4="Semua",E1544=Dashboard!$H$4)),1,0)</f>
        <v>1</v>
      </c>
      <c r="V1544">
        <f>IF(U1544=1,IF(COUNTIFS($C$2:C1544,C1544,$U$2:U1544,1)=1,1,0),0)</f>
        <v>0</v>
      </c>
    </row>
    <row r="1545" spans="1:22" x14ac:dyDescent="0.35">
      <c r="A1545">
        <v>11544</v>
      </c>
      <c r="B1545" s="1">
        <v>46105</v>
      </c>
      <c r="C1545">
        <v>1217</v>
      </c>
      <c r="D1545" t="s">
        <v>73</v>
      </c>
      <c r="E1545" t="s">
        <v>74</v>
      </c>
      <c r="F1545">
        <v>4</v>
      </c>
      <c r="G1545" s="2">
        <v>581.87</v>
      </c>
      <c r="H1545">
        <v>0.12</v>
      </c>
      <c r="I1545" t="s">
        <v>71</v>
      </c>
      <c r="J1545">
        <v>1</v>
      </c>
      <c r="K1545">
        <v>3.7</v>
      </c>
      <c r="L1545" s="2">
        <v>2048.1799999999998</v>
      </c>
      <c r="M1545">
        <v>2026</v>
      </c>
      <c r="N1545">
        <v>3</v>
      </c>
      <c r="O1545" t="s">
        <v>130</v>
      </c>
      <c r="P1545" s="2">
        <v>2327.48</v>
      </c>
      <c r="Q1545" s="2">
        <v>279.3</v>
      </c>
      <c r="R1545" t="s">
        <v>79</v>
      </c>
      <c r="S1545">
        <v>0</v>
      </c>
      <c r="T1545">
        <v>0</v>
      </c>
      <c r="U1545">
        <f>IF(AND(OR(Dashboard!$D$4="Semua",D1545=Dashboard!$D$4),OR(Dashboard!$H$4="Semua",E1545=Dashboard!$H$4)),1,0)</f>
        <v>1</v>
      </c>
      <c r="V1545">
        <f>IF(U1545=1,IF(COUNTIFS($C$2:C1545,C1545,$U$2:U1545,1)=1,1,0),0)</f>
        <v>0</v>
      </c>
    </row>
    <row r="1546" spans="1:22" x14ac:dyDescent="0.35">
      <c r="A1546">
        <v>11545</v>
      </c>
      <c r="B1546" s="1">
        <v>46106</v>
      </c>
      <c r="C1546">
        <v>1140</v>
      </c>
      <c r="D1546" t="s">
        <v>73</v>
      </c>
      <c r="E1546" t="s">
        <v>74</v>
      </c>
      <c r="F1546">
        <v>1</v>
      </c>
      <c r="G1546" s="2">
        <v>467.45</v>
      </c>
      <c r="H1546">
        <v>0.27</v>
      </c>
      <c r="I1546" t="s">
        <v>71</v>
      </c>
      <c r="J1546">
        <v>6</v>
      </c>
      <c r="K1546">
        <v>3.1</v>
      </c>
      <c r="L1546" s="2">
        <v>341.24</v>
      </c>
      <c r="M1546">
        <v>2026</v>
      </c>
      <c r="N1546">
        <v>3</v>
      </c>
      <c r="O1546" t="s">
        <v>130</v>
      </c>
      <c r="P1546" s="2">
        <v>467.45</v>
      </c>
      <c r="Q1546" s="2">
        <v>126.21</v>
      </c>
      <c r="R1546" t="s">
        <v>66</v>
      </c>
      <c r="S1546">
        <v>0</v>
      </c>
      <c r="T1546">
        <v>0</v>
      </c>
      <c r="U1546">
        <f>IF(AND(OR(Dashboard!$D$4="Semua",D1546=Dashboard!$D$4),OR(Dashboard!$H$4="Semua",E1546=Dashboard!$H$4)),1,0)</f>
        <v>1</v>
      </c>
      <c r="V1546">
        <f>IF(U1546=1,IF(COUNTIFS($C$2:C1546,C1546,$U$2:U1546,1)=1,1,0),0)</f>
        <v>1</v>
      </c>
    </row>
    <row r="1547" spans="1:22" x14ac:dyDescent="0.35">
      <c r="A1547">
        <v>11546</v>
      </c>
      <c r="B1547" s="1">
        <v>46107</v>
      </c>
      <c r="C1547">
        <v>1615</v>
      </c>
      <c r="D1547" t="s">
        <v>67</v>
      </c>
      <c r="E1547" t="s">
        <v>78</v>
      </c>
      <c r="F1547">
        <v>3</v>
      </c>
      <c r="G1547" s="2">
        <v>157.36000000000001</v>
      </c>
      <c r="H1547">
        <v>0.25</v>
      </c>
      <c r="I1547" t="s">
        <v>68</v>
      </c>
      <c r="J1547">
        <v>6</v>
      </c>
      <c r="K1547">
        <v>1.7</v>
      </c>
      <c r="L1547" s="2">
        <v>354.06</v>
      </c>
      <c r="M1547">
        <v>2026</v>
      </c>
      <c r="N1547">
        <v>3</v>
      </c>
      <c r="O1547" t="s">
        <v>130</v>
      </c>
      <c r="P1547" s="2">
        <v>472.08</v>
      </c>
      <c r="Q1547" s="2">
        <v>118.02</v>
      </c>
      <c r="R1547" t="s">
        <v>77</v>
      </c>
      <c r="S1547">
        <v>0</v>
      </c>
      <c r="T1547">
        <v>0</v>
      </c>
      <c r="U1547">
        <f>IF(AND(OR(Dashboard!$D$4="Semua",D1547=Dashboard!$D$4),OR(Dashboard!$H$4="Semua",E1547=Dashboard!$H$4)),1,0)</f>
        <v>1</v>
      </c>
      <c r="V1547">
        <f>IF(U1547=1,IF(COUNTIFS($C$2:C1547,C1547,$U$2:U1547,1)=1,1,0),0)</f>
        <v>0</v>
      </c>
    </row>
    <row r="1548" spans="1:22" x14ac:dyDescent="0.35">
      <c r="A1548">
        <v>11547</v>
      </c>
      <c r="B1548" s="1">
        <v>46108</v>
      </c>
      <c r="C1548">
        <v>1957</v>
      </c>
      <c r="D1548" t="s">
        <v>73</v>
      </c>
      <c r="E1548" t="s">
        <v>70</v>
      </c>
      <c r="F1548">
        <v>5</v>
      </c>
      <c r="G1548" s="2">
        <v>38.47</v>
      </c>
      <c r="H1548">
        <v>0.21</v>
      </c>
      <c r="I1548" t="s">
        <v>71</v>
      </c>
      <c r="J1548">
        <v>3</v>
      </c>
      <c r="K1548">
        <v>1.7</v>
      </c>
      <c r="L1548" s="2">
        <v>151.96</v>
      </c>
      <c r="M1548">
        <v>2026</v>
      </c>
      <c r="N1548">
        <v>3</v>
      </c>
      <c r="O1548" t="s">
        <v>130</v>
      </c>
      <c r="P1548" s="2">
        <v>192.35</v>
      </c>
      <c r="Q1548" s="2">
        <v>40.39</v>
      </c>
      <c r="R1548" t="s">
        <v>77</v>
      </c>
      <c r="S1548">
        <v>0</v>
      </c>
      <c r="T1548">
        <v>0</v>
      </c>
      <c r="U1548">
        <f>IF(AND(OR(Dashboard!$D$4="Semua",D1548=Dashboard!$D$4),OR(Dashboard!$H$4="Semua",E1548=Dashboard!$H$4)),1,0)</f>
        <v>1</v>
      </c>
      <c r="V1548">
        <f>IF(U1548=1,IF(COUNTIFS($C$2:C1548,C1548,$U$2:U1548,1)=1,1,0),0)</f>
        <v>0</v>
      </c>
    </row>
    <row r="1549" spans="1:22" x14ac:dyDescent="0.35">
      <c r="A1549">
        <v>11548</v>
      </c>
      <c r="B1549" s="1">
        <v>46109</v>
      </c>
      <c r="C1549">
        <v>1209</v>
      </c>
      <c r="D1549" t="s">
        <v>62</v>
      </c>
      <c r="E1549" t="s">
        <v>74</v>
      </c>
      <c r="F1549">
        <v>2</v>
      </c>
      <c r="G1549" s="2">
        <v>591.48</v>
      </c>
      <c r="H1549">
        <v>0.3</v>
      </c>
      <c r="I1549" t="s">
        <v>68</v>
      </c>
      <c r="J1549">
        <v>8</v>
      </c>
      <c r="K1549">
        <v>2.9</v>
      </c>
      <c r="L1549" s="2">
        <v>828.07</v>
      </c>
      <c r="M1549">
        <v>2026</v>
      </c>
      <c r="N1549">
        <v>3</v>
      </c>
      <c r="O1549" t="s">
        <v>130</v>
      </c>
      <c r="P1549" s="2">
        <v>1182.96</v>
      </c>
      <c r="Q1549" s="2">
        <v>354.89</v>
      </c>
      <c r="R1549" t="s">
        <v>66</v>
      </c>
      <c r="S1549">
        <v>0</v>
      </c>
      <c r="T1549">
        <v>0</v>
      </c>
      <c r="U1549">
        <f>IF(AND(OR(Dashboard!$D$4="Semua",D1549=Dashboard!$D$4),OR(Dashboard!$H$4="Semua",E1549=Dashboard!$H$4)),1,0)</f>
        <v>1</v>
      </c>
      <c r="V1549">
        <f>IF(U1549=1,IF(COUNTIFS($C$2:C1549,C1549,$U$2:U1549,1)=1,1,0),0)</f>
        <v>1</v>
      </c>
    </row>
    <row r="1550" spans="1:22" x14ac:dyDescent="0.35">
      <c r="A1550">
        <v>11549</v>
      </c>
      <c r="B1550" s="1">
        <v>46110</v>
      </c>
      <c r="C1550">
        <v>1984</v>
      </c>
      <c r="D1550" t="s">
        <v>67</v>
      </c>
      <c r="E1550" t="s">
        <v>70</v>
      </c>
      <c r="F1550">
        <v>2</v>
      </c>
      <c r="G1550" s="2">
        <v>214.16</v>
      </c>
      <c r="H1550">
        <v>0.1</v>
      </c>
      <c r="I1550" t="s">
        <v>71</v>
      </c>
      <c r="J1550">
        <v>9</v>
      </c>
      <c r="K1550">
        <v>4.5</v>
      </c>
      <c r="L1550" s="2">
        <v>385.49</v>
      </c>
      <c r="M1550">
        <v>2026</v>
      </c>
      <c r="N1550">
        <v>3</v>
      </c>
      <c r="O1550" t="s">
        <v>130</v>
      </c>
      <c r="P1550" s="2">
        <v>428.32</v>
      </c>
      <c r="Q1550" s="2">
        <v>42.83</v>
      </c>
      <c r="R1550" t="s">
        <v>69</v>
      </c>
      <c r="S1550">
        <v>0</v>
      </c>
      <c r="T1550">
        <v>0</v>
      </c>
      <c r="U1550">
        <f>IF(AND(OR(Dashboard!$D$4="Semua",D1550=Dashboard!$D$4),OR(Dashboard!$H$4="Semua",E1550=Dashboard!$H$4)),1,0)</f>
        <v>1</v>
      </c>
      <c r="V1550">
        <f>IF(U1550=1,IF(COUNTIFS($C$2:C1550,C1550,$U$2:U1550,1)=1,1,0),0)</f>
        <v>0</v>
      </c>
    </row>
    <row r="1551" spans="1:22" x14ac:dyDescent="0.35">
      <c r="A1551">
        <v>11550</v>
      </c>
      <c r="B1551" s="1">
        <v>46111</v>
      </c>
      <c r="C1551">
        <v>1992</v>
      </c>
      <c r="D1551" t="s">
        <v>73</v>
      </c>
      <c r="E1551" t="s">
        <v>63</v>
      </c>
      <c r="F1551">
        <v>6</v>
      </c>
      <c r="G1551" s="2">
        <v>197.5</v>
      </c>
      <c r="H1551">
        <v>0.31</v>
      </c>
      <c r="I1551" t="s">
        <v>71</v>
      </c>
      <c r="J1551">
        <v>3</v>
      </c>
      <c r="K1551">
        <v>1.5</v>
      </c>
      <c r="L1551" s="2">
        <v>817.65</v>
      </c>
      <c r="M1551">
        <v>2026</v>
      </c>
      <c r="N1551">
        <v>3</v>
      </c>
      <c r="O1551" t="s">
        <v>130</v>
      </c>
      <c r="P1551" s="2">
        <v>1185</v>
      </c>
      <c r="Q1551" s="2">
        <v>367.35</v>
      </c>
      <c r="R1551" t="s">
        <v>72</v>
      </c>
      <c r="S1551">
        <v>0</v>
      </c>
      <c r="T1551">
        <v>0</v>
      </c>
      <c r="U1551">
        <f>IF(AND(OR(Dashboard!$D$4="Semua",D1551=Dashboard!$D$4),OR(Dashboard!$H$4="Semua",E1551=Dashboard!$H$4)),1,0)</f>
        <v>1</v>
      </c>
      <c r="V1551">
        <f>IF(U1551=1,IF(COUNTIFS($C$2:C1551,C1551,$U$2:U1551,1)=1,1,0),0)</f>
        <v>0</v>
      </c>
    </row>
    <row r="1552" spans="1:22" x14ac:dyDescent="0.35">
      <c r="A1552">
        <v>11551</v>
      </c>
      <c r="B1552" s="1">
        <v>46112</v>
      </c>
      <c r="C1552">
        <v>1622</v>
      </c>
      <c r="D1552" t="s">
        <v>80</v>
      </c>
      <c r="E1552" t="s">
        <v>78</v>
      </c>
      <c r="F1552">
        <v>2</v>
      </c>
      <c r="G1552" s="2">
        <v>544.98</v>
      </c>
      <c r="H1552">
        <v>0.14000000000000001</v>
      </c>
      <c r="I1552" t="s">
        <v>68</v>
      </c>
      <c r="J1552">
        <v>9</v>
      </c>
      <c r="K1552">
        <v>5</v>
      </c>
      <c r="L1552" s="2">
        <v>937.37</v>
      </c>
      <c r="M1552">
        <v>2026</v>
      </c>
      <c r="N1552">
        <v>3</v>
      </c>
      <c r="O1552" t="s">
        <v>130</v>
      </c>
      <c r="P1552" s="2">
        <v>1089.96</v>
      </c>
      <c r="Q1552" s="2">
        <v>152.59</v>
      </c>
      <c r="R1552" t="s">
        <v>79</v>
      </c>
      <c r="S1552">
        <v>0</v>
      </c>
      <c r="T1552">
        <v>0</v>
      </c>
      <c r="U1552">
        <f>IF(AND(OR(Dashboard!$D$4="Semua",D1552=Dashboard!$D$4),OR(Dashboard!$H$4="Semua",E1552=Dashboard!$H$4)),1,0)</f>
        <v>1</v>
      </c>
      <c r="V1552">
        <f>IF(U1552=1,IF(COUNTIFS($C$2:C1552,C1552,$U$2:U1552,1)=1,1,0),0)</f>
        <v>0</v>
      </c>
    </row>
    <row r="1553" spans="1:22" x14ac:dyDescent="0.35">
      <c r="A1553">
        <v>11552</v>
      </c>
      <c r="B1553" s="1">
        <v>46113</v>
      </c>
      <c r="C1553">
        <v>1615</v>
      </c>
      <c r="D1553" t="s">
        <v>73</v>
      </c>
      <c r="E1553" t="s">
        <v>78</v>
      </c>
      <c r="F1553">
        <v>4</v>
      </c>
      <c r="G1553" s="2">
        <v>357.28</v>
      </c>
      <c r="H1553">
        <v>0.14000000000000001</v>
      </c>
      <c r="I1553" t="s">
        <v>71</v>
      </c>
      <c r="J1553">
        <v>8</v>
      </c>
      <c r="K1553">
        <v>4.5</v>
      </c>
      <c r="L1553" s="2">
        <v>1229.04</v>
      </c>
      <c r="M1553">
        <v>2026</v>
      </c>
      <c r="N1553">
        <v>4</v>
      </c>
      <c r="O1553" t="s">
        <v>131</v>
      </c>
      <c r="P1553" s="2">
        <v>1429.12</v>
      </c>
      <c r="Q1553" s="2">
        <v>200.08</v>
      </c>
      <c r="R1553" t="s">
        <v>79</v>
      </c>
      <c r="S1553">
        <v>0</v>
      </c>
      <c r="T1553">
        <v>0</v>
      </c>
      <c r="U1553">
        <f>IF(AND(OR(Dashboard!$D$4="Semua",D1553=Dashboard!$D$4),OR(Dashboard!$H$4="Semua",E1553=Dashboard!$H$4)),1,0)</f>
        <v>1</v>
      </c>
      <c r="V1553">
        <f>IF(U1553=1,IF(COUNTIFS($C$2:C1553,C1553,$U$2:U1553,1)=1,1,0),0)</f>
        <v>0</v>
      </c>
    </row>
    <row r="1554" spans="1:22" x14ac:dyDescent="0.35">
      <c r="A1554">
        <v>11553</v>
      </c>
      <c r="B1554" s="1">
        <v>46114</v>
      </c>
      <c r="C1554">
        <v>1827</v>
      </c>
      <c r="D1554" t="s">
        <v>67</v>
      </c>
      <c r="E1554" t="s">
        <v>70</v>
      </c>
      <c r="F1554">
        <v>2</v>
      </c>
      <c r="G1554" s="2">
        <v>140.69999999999999</v>
      </c>
      <c r="H1554">
        <v>0.14000000000000001</v>
      </c>
      <c r="I1554" t="s">
        <v>71</v>
      </c>
      <c r="J1554">
        <v>5</v>
      </c>
      <c r="K1554">
        <v>2.6</v>
      </c>
      <c r="L1554" s="2">
        <v>242</v>
      </c>
      <c r="M1554">
        <v>2026</v>
      </c>
      <c r="N1554">
        <v>4</v>
      </c>
      <c r="O1554" t="s">
        <v>131</v>
      </c>
      <c r="P1554" s="2">
        <v>281.39999999999998</v>
      </c>
      <c r="Q1554" s="2">
        <v>39.4</v>
      </c>
      <c r="R1554" t="s">
        <v>79</v>
      </c>
      <c r="S1554">
        <v>0</v>
      </c>
      <c r="T1554">
        <v>0</v>
      </c>
      <c r="U1554">
        <f>IF(AND(OR(Dashboard!$D$4="Semua",D1554=Dashboard!$D$4),OR(Dashboard!$H$4="Semua",E1554=Dashboard!$H$4)),1,0)</f>
        <v>1</v>
      </c>
      <c r="V1554">
        <f>IF(U1554=1,IF(COUNTIFS($C$2:C1554,C1554,$U$2:U1554,1)=1,1,0),0)</f>
        <v>0</v>
      </c>
    </row>
    <row r="1555" spans="1:22" x14ac:dyDescent="0.35">
      <c r="A1555">
        <v>11554</v>
      </c>
      <c r="B1555" s="1">
        <v>46115</v>
      </c>
      <c r="C1555">
        <v>1682</v>
      </c>
      <c r="D1555" t="s">
        <v>80</v>
      </c>
      <c r="E1555" t="s">
        <v>74</v>
      </c>
      <c r="F1555">
        <v>2</v>
      </c>
      <c r="G1555" s="2">
        <v>535.12</v>
      </c>
      <c r="H1555">
        <v>0.03</v>
      </c>
      <c r="I1555" t="s">
        <v>68</v>
      </c>
      <c r="J1555">
        <v>6</v>
      </c>
      <c r="K1555">
        <v>2</v>
      </c>
      <c r="L1555" s="2">
        <v>1038.1300000000001</v>
      </c>
      <c r="M1555">
        <v>2026</v>
      </c>
      <c r="N1555">
        <v>4</v>
      </c>
      <c r="O1555" t="s">
        <v>131</v>
      </c>
      <c r="P1555" s="2">
        <v>1070.24</v>
      </c>
      <c r="Q1555" s="2">
        <v>32.11</v>
      </c>
      <c r="R1555" t="s">
        <v>75</v>
      </c>
      <c r="S1555">
        <v>0</v>
      </c>
      <c r="T1555">
        <v>0</v>
      </c>
      <c r="U1555">
        <f>IF(AND(OR(Dashboard!$D$4="Semua",D1555=Dashboard!$D$4),OR(Dashboard!$H$4="Semua",E1555=Dashboard!$H$4)),1,0)</f>
        <v>1</v>
      </c>
      <c r="V1555">
        <f>IF(U1555=1,IF(COUNTIFS($C$2:C1555,C1555,$U$2:U1555,1)=1,1,0),0)</f>
        <v>1</v>
      </c>
    </row>
    <row r="1556" spans="1:22" x14ac:dyDescent="0.35">
      <c r="A1556">
        <v>11555</v>
      </c>
      <c r="B1556" s="1">
        <v>46116</v>
      </c>
      <c r="C1556">
        <v>1459</v>
      </c>
      <c r="D1556" t="s">
        <v>62</v>
      </c>
      <c r="E1556" t="s">
        <v>70</v>
      </c>
      <c r="F1556">
        <v>5</v>
      </c>
      <c r="G1556" s="2">
        <v>596.12</v>
      </c>
      <c r="H1556">
        <v>0.34</v>
      </c>
      <c r="I1556" t="s">
        <v>64</v>
      </c>
      <c r="J1556">
        <v>1</v>
      </c>
      <c r="K1556">
        <v>4.7</v>
      </c>
      <c r="L1556" s="2">
        <v>1967.2</v>
      </c>
      <c r="M1556">
        <v>2026</v>
      </c>
      <c r="N1556">
        <v>4</v>
      </c>
      <c r="O1556" t="s">
        <v>131</v>
      </c>
      <c r="P1556" s="2">
        <v>2980.6</v>
      </c>
      <c r="Q1556" s="2">
        <v>1013.4</v>
      </c>
      <c r="R1556" t="s">
        <v>72</v>
      </c>
      <c r="S1556">
        <v>0</v>
      </c>
      <c r="T1556">
        <v>0</v>
      </c>
      <c r="U1556">
        <f>IF(AND(OR(Dashboard!$D$4="Semua",D1556=Dashboard!$D$4),OR(Dashboard!$H$4="Semua",E1556=Dashboard!$H$4)),1,0)</f>
        <v>1</v>
      </c>
      <c r="V1556">
        <f>IF(U1556=1,IF(COUNTIFS($C$2:C1556,C1556,$U$2:U1556,1)=1,1,0),0)</f>
        <v>0</v>
      </c>
    </row>
    <row r="1557" spans="1:22" x14ac:dyDescent="0.35">
      <c r="A1557">
        <v>11556</v>
      </c>
      <c r="B1557" s="1">
        <v>46117</v>
      </c>
      <c r="C1557">
        <v>1355</v>
      </c>
      <c r="D1557" t="s">
        <v>80</v>
      </c>
      <c r="E1557" t="s">
        <v>63</v>
      </c>
      <c r="F1557">
        <v>3</v>
      </c>
      <c r="G1557" s="2">
        <v>65.709999999999994</v>
      </c>
      <c r="H1557">
        <v>0.05</v>
      </c>
      <c r="I1557" t="s">
        <v>64</v>
      </c>
      <c r="J1557">
        <v>5</v>
      </c>
      <c r="K1557">
        <v>1.5</v>
      </c>
      <c r="L1557" s="2">
        <v>187.27</v>
      </c>
      <c r="M1557">
        <v>2026</v>
      </c>
      <c r="N1557">
        <v>4</v>
      </c>
      <c r="O1557" t="s">
        <v>131</v>
      </c>
      <c r="P1557" s="2">
        <v>197.13</v>
      </c>
      <c r="Q1557" s="2">
        <v>9.86</v>
      </c>
      <c r="R1557" t="s">
        <v>75</v>
      </c>
      <c r="S1557">
        <v>0</v>
      </c>
      <c r="T1557">
        <v>0</v>
      </c>
      <c r="U1557">
        <f>IF(AND(OR(Dashboard!$D$4="Semua",D1557=Dashboard!$D$4),OR(Dashboard!$H$4="Semua",E1557=Dashboard!$H$4)),1,0)</f>
        <v>1</v>
      </c>
      <c r="V1557">
        <f>IF(U1557=1,IF(COUNTIFS($C$2:C1557,C1557,$U$2:U1557,1)=1,1,0),0)</f>
        <v>1</v>
      </c>
    </row>
    <row r="1558" spans="1:22" x14ac:dyDescent="0.35">
      <c r="A1558">
        <v>11557</v>
      </c>
      <c r="B1558" s="1">
        <v>46118</v>
      </c>
      <c r="C1558">
        <v>1323</v>
      </c>
      <c r="D1558" t="s">
        <v>80</v>
      </c>
      <c r="E1558" t="s">
        <v>74</v>
      </c>
      <c r="F1558">
        <v>5</v>
      </c>
      <c r="G1558" s="2">
        <v>519.41999999999996</v>
      </c>
      <c r="H1558">
        <v>0.12</v>
      </c>
      <c r="I1558" t="s">
        <v>68</v>
      </c>
      <c r="J1558">
        <v>10</v>
      </c>
      <c r="K1558">
        <v>2.4</v>
      </c>
      <c r="L1558" s="2">
        <v>2285.4499999999998</v>
      </c>
      <c r="M1558">
        <v>2026</v>
      </c>
      <c r="N1558">
        <v>4</v>
      </c>
      <c r="O1558" t="s">
        <v>131</v>
      </c>
      <c r="P1558" s="2">
        <v>2597.1</v>
      </c>
      <c r="Q1558" s="2">
        <v>311.64999999999998</v>
      </c>
      <c r="R1558" t="s">
        <v>79</v>
      </c>
      <c r="S1558">
        <v>0</v>
      </c>
      <c r="T1558">
        <v>0</v>
      </c>
      <c r="U1558">
        <f>IF(AND(OR(Dashboard!$D$4="Semua",D1558=Dashboard!$D$4),OR(Dashboard!$H$4="Semua",E1558=Dashboard!$H$4)),1,0)</f>
        <v>1</v>
      </c>
      <c r="V1558">
        <f>IF(U1558=1,IF(COUNTIFS($C$2:C1558,C1558,$U$2:U1558,1)=1,1,0),0)</f>
        <v>0</v>
      </c>
    </row>
    <row r="1559" spans="1:22" x14ac:dyDescent="0.35">
      <c r="A1559">
        <v>11558</v>
      </c>
      <c r="B1559" s="1">
        <v>46119</v>
      </c>
      <c r="C1559">
        <v>1132</v>
      </c>
      <c r="D1559" t="s">
        <v>80</v>
      </c>
      <c r="E1559" t="s">
        <v>74</v>
      </c>
      <c r="F1559">
        <v>4</v>
      </c>
      <c r="G1559" s="2">
        <v>243.45</v>
      </c>
      <c r="H1559">
        <v>0.11</v>
      </c>
      <c r="I1559" t="s">
        <v>64</v>
      </c>
      <c r="J1559">
        <v>10</v>
      </c>
      <c r="K1559">
        <v>1.3</v>
      </c>
      <c r="L1559" s="2">
        <v>866.68</v>
      </c>
      <c r="M1559">
        <v>2026</v>
      </c>
      <c r="N1559">
        <v>4</v>
      </c>
      <c r="O1559" t="s">
        <v>131</v>
      </c>
      <c r="P1559" s="2">
        <v>973.8</v>
      </c>
      <c r="Q1559" s="2">
        <v>107.12</v>
      </c>
      <c r="R1559" t="s">
        <v>79</v>
      </c>
      <c r="S1559">
        <v>0</v>
      </c>
      <c r="T1559">
        <v>0</v>
      </c>
      <c r="U1559">
        <f>IF(AND(OR(Dashboard!$D$4="Semua",D1559=Dashboard!$D$4),OR(Dashboard!$H$4="Semua",E1559=Dashboard!$H$4)),1,0)</f>
        <v>1</v>
      </c>
      <c r="V1559">
        <f>IF(U1559=1,IF(COUNTIFS($C$2:C1559,C1559,$U$2:U1559,1)=1,1,0),0)</f>
        <v>0</v>
      </c>
    </row>
    <row r="1560" spans="1:22" x14ac:dyDescent="0.35">
      <c r="A1560">
        <v>11559</v>
      </c>
      <c r="B1560" s="1">
        <v>46120</v>
      </c>
      <c r="C1560">
        <v>1887</v>
      </c>
      <c r="D1560" t="s">
        <v>62</v>
      </c>
      <c r="E1560" t="s">
        <v>70</v>
      </c>
      <c r="F1560">
        <v>2</v>
      </c>
      <c r="G1560" s="2">
        <v>321.58</v>
      </c>
      <c r="H1560">
        <v>0.03</v>
      </c>
      <c r="I1560" t="s">
        <v>68</v>
      </c>
      <c r="J1560">
        <v>7</v>
      </c>
      <c r="K1560">
        <v>4.8</v>
      </c>
      <c r="L1560" s="2">
        <v>623.87</v>
      </c>
      <c r="M1560">
        <v>2026</v>
      </c>
      <c r="N1560">
        <v>4</v>
      </c>
      <c r="O1560" t="s">
        <v>131</v>
      </c>
      <c r="P1560" s="2">
        <v>643.16</v>
      </c>
      <c r="Q1560" s="2">
        <v>19.29</v>
      </c>
      <c r="R1560" t="s">
        <v>75</v>
      </c>
      <c r="S1560">
        <v>0</v>
      </c>
      <c r="T1560">
        <v>0</v>
      </c>
      <c r="U1560">
        <f>IF(AND(OR(Dashboard!$D$4="Semua",D1560=Dashboard!$D$4),OR(Dashboard!$H$4="Semua",E1560=Dashboard!$H$4)),1,0)</f>
        <v>1</v>
      </c>
      <c r="V1560">
        <f>IF(U1560=1,IF(COUNTIFS($C$2:C1560,C1560,$U$2:U1560,1)=1,1,0),0)</f>
        <v>1</v>
      </c>
    </row>
    <row r="1561" spans="1:22" x14ac:dyDescent="0.35">
      <c r="A1561">
        <v>11560</v>
      </c>
      <c r="B1561" s="1">
        <v>46121</v>
      </c>
      <c r="C1561">
        <v>1804</v>
      </c>
      <c r="D1561" t="s">
        <v>73</v>
      </c>
      <c r="E1561" t="s">
        <v>63</v>
      </c>
      <c r="F1561">
        <v>7</v>
      </c>
      <c r="G1561" s="2">
        <v>550.16999999999996</v>
      </c>
      <c r="H1561">
        <v>0.05</v>
      </c>
      <c r="I1561" t="s">
        <v>71</v>
      </c>
      <c r="J1561">
        <v>1</v>
      </c>
      <c r="K1561">
        <v>3.5</v>
      </c>
      <c r="L1561" s="2">
        <v>3658.63</v>
      </c>
      <c r="M1561">
        <v>2026</v>
      </c>
      <c r="N1561">
        <v>4</v>
      </c>
      <c r="O1561" t="s">
        <v>131</v>
      </c>
      <c r="P1561" s="2">
        <v>3851.19</v>
      </c>
      <c r="Q1561" s="2">
        <v>192.56</v>
      </c>
      <c r="R1561" t="s">
        <v>75</v>
      </c>
      <c r="S1561">
        <v>0</v>
      </c>
      <c r="T1561">
        <v>1</v>
      </c>
      <c r="U1561">
        <f>IF(AND(OR(Dashboard!$D$4="Semua",D1561=Dashboard!$D$4),OR(Dashboard!$H$4="Semua",E1561=Dashboard!$H$4)),1,0)</f>
        <v>1</v>
      </c>
      <c r="V1561">
        <f>IF(U1561=1,IF(COUNTIFS($C$2:C1561,C1561,$U$2:U1561,1)=1,1,0),0)</f>
        <v>0</v>
      </c>
    </row>
    <row r="1562" spans="1:22" x14ac:dyDescent="0.35">
      <c r="A1562">
        <v>11561</v>
      </c>
      <c r="B1562" s="1">
        <v>46122</v>
      </c>
      <c r="C1562">
        <v>1839</v>
      </c>
      <c r="D1562" t="s">
        <v>73</v>
      </c>
      <c r="E1562" t="s">
        <v>74</v>
      </c>
      <c r="F1562">
        <v>3</v>
      </c>
      <c r="G1562" s="2">
        <v>584.42999999999995</v>
      </c>
      <c r="H1562">
        <v>0.02</v>
      </c>
      <c r="I1562" t="s">
        <v>64</v>
      </c>
      <c r="J1562">
        <v>10</v>
      </c>
      <c r="K1562">
        <v>2.2999999999999998</v>
      </c>
      <c r="L1562" s="2">
        <v>1718.22</v>
      </c>
      <c r="M1562">
        <v>2026</v>
      </c>
      <c r="N1562">
        <v>4</v>
      </c>
      <c r="O1562" t="s">
        <v>131</v>
      </c>
      <c r="P1562" s="2">
        <v>1753.29</v>
      </c>
      <c r="Q1562" s="2">
        <v>35.07</v>
      </c>
      <c r="R1562" t="s">
        <v>75</v>
      </c>
      <c r="S1562">
        <v>0</v>
      </c>
      <c r="T1562">
        <v>0</v>
      </c>
      <c r="U1562">
        <f>IF(AND(OR(Dashboard!$D$4="Semua",D1562=Dashboard!$D$4),OR(Dashboard!$H$4="Semua",E1562=Dashboard!$H$4)),1,0)</f>
        <v>1</v>
      </c>
      <c r="V1562">
        <f>IF(U1562=1,IF(COUNTIFS($C$2:C1562,C1562,$U$2:U1562,1)=1,1,0),0)</f>
        <v>0</v>
      </c>
    </row>
    <row r="1563" spans="1:22" x14ac:dyDescent="0.35">
      <c r="A1563">
        <v>11562</v>
      </c>
      <c r="B1563" s="1">
        <v>46123</v>
      </c>
      <c r="C1563">
        <v>1126</v>
      </c>
      <c r="D1563" t="s">
        <v>73</v>
      </c>
      <c r="E1563" t="s">
        <v>78</v>
      </c>
      <c r="F1563">
        <v>6</v>
      </c>
      <c r="G1563" s="2">
        <v>168.37</v>
      </c>
      <c r="H1563">
        <v>0.1</v>
      </c>
      <c r="I1563" t="s">
        <v>71</v>
      </c>
      <c r="J1563">
        <v>9</v>
      </c>
      <c r="K1563">
        <v>2.1</v>
      </c>
      <c r="L1563" s="2">
        <v>909.2</v>
      </c>
      <c r="M1563">
        <v>2026</v>
      </c>
      <c r="N1563">
        <v>4</v>
      </c>
      <c r="O1563" t="s">
        <v>131</v>
      </c>
      <c r="P1563" s="2">
        <v>1010.22</v>
      </c>
      <c r="Q1563" s="2">
        <v>101.02</v>
      </c>
      <c r="R1563" t="s">
        <v>69</v>
      </c>
      <c r="S1563">
        <v>0</v>
      </c>
      <c r="T1563">
        <v>0</v>
      </c>
      <c r="U1563">
        <f>IF(AND(OR(Dashboard!$D$4="Semua",D1563=Dashboard!$D$4),OR(Dashboard!$H$4="Semua",E1563=Dashboard!$H$4)),1,0)</f>
        <v>1</v>
      </c>
      <c r="V1563">
        <f>IF(U1563=1,IF(COUNTIFS($C$2:C1563,C1563,$U$2:U1563,1)=1,1,0),0)</f>
        <v>0</v>
      </c>
    </row>
    <row r="1564" spans="1:22" x14ac:dyDescent="0.35">
      <c r="A1564">
        <v>11563</v>
      </c>
      <c r="B1564" s="1">
        <v>46124</v>
      </c>
      <c r="C1564">
        <v>1105</v>
      </c>
      <c r="D1564" t="s">
        <v>73</v>
      </c>
      <c r="E1564" t="s">
        <v>63</v>
      </c>
      <c r="F1564">
        <v>6</v>
      </c>
      <c r="G1564" s="2">
        <v>139.52000000000001</v>
      </c>
      <c r="H1564">
        <v>0.3</v>
      </c>
      <c r="I1564" t="s">
        <v>68</v>
      </c>
      <c r="J1564">
        <v>7</v>
      </c>
      <c r="K1564">
        <v>2.8</v>
      </c>
      <c r="L1564" s="2">
        <v>585.98</v>
      </c>
      <c r="M1564">
        <v>2026</v>
      </c>
      <c r="N1564">
        <v>4</v>
      </c>
      <c r="O1564" t="s">
        <v>131</v>
      </c>
      <c r="P1564" s="2">
        <v>837.12</v>
      </c>
      <c r="Q1564" s="2">
        <v>251.14</v>
      </c>
      <c r="R1564" t="s">
        <v>66</v>
      </c>
      <c r="S1564">
        <v>0</v>
      </c>
      <c r="T1564">
        <v>0</v>
      </c>
      <c r="U1564">
        <f>IF(AND(OR(Dashboard!$D$4="Semua",D1564=Dashboard!$D$4),OR(Dashboard!$H$4="Semua",E1564=Dashboard!$H$4)),1,0)</f>
        <v>1</v>
      </c>
      <c r="V1564">
        <f>IF(U1564=1,IF(COUNTIFS($C$2:C1564,C1564,$U$2:U1564,1)=1,1,0),0)</f>
        <v>0</v>
      </c>
    </row>
    <row r="1565" spans="1:22" x14ac:dyDescent="0.35">
      <c r="A1565">
        <v>11564</v>
      </c>
      <c r="B1565" s="1">
        <v>46125</v>
      </c>
      <c r="C1565">
        <v>1603</v>
      </c>
      <c r="D1565" t="s">
        <v>80</v>
      </c>
      <c r="E1565" t="s">
        <v>74</v>
      </c>
      <c r="F1565">
        <v>2</v>
      </c>
      <c r="G1565" s="2">
        <v>62.1</v>
      </c>
      <c r="H1565">
        <v>0.12</v>
      </c>
      <c r="I1565" t="s">
        <v>64</v>
      </c>
      <c r="J1565">
        <v>4</v>
      </c>
      <c r="K1565">
        <v>1.4</v>
      </c>
      <c r="L1565" s="2">
        <v>109.3</v>
      </c>
      <c r="M1565">
        <v>2026</v>
      </c>
      <c r="N1565">
        <v>4</v>
      </c>
      <c r="O1565" t="s">
        <v>131</v>
      </c>
      <c r="P1565" s="2">
        <v>124.2</v>
      </c>
      <c r="Q1565" s="2">
        <v>14.9</v>
      </c>
      <c r="R1565" t="s">
        <v>79</v>
      </c>
      <c r="S1565">
        <v>0</v>
      </c>
      <c r="T1565">
        <v>0</v>
      </c>
      <c r="U1565">
        <f>IF(AND(OR(Dashboard!$D$4="Semua",D1565=Dashboard!$D$4),OR(Dashboard!$H$4="Semua",E1565=Dashboard!$H$4)),1,0)</f>
        <v>1</v>
      </c>
      <c r="V1565">
        <f>IF(U1565=1,IF(COUNTIFS($C$2:C1565,C1565,$U$2:U1565,1)=1,1,0),0)</f>
        <v>0</v>
      </c>
    </row>
    <row r="1566" spans="1:22" x14ac:dyDescent="0.35">
      <c r="A1566">
        <v>11565</v>
      </c>
      <c r="B1566" s="1">
        <v>46126</v>
      </c>
      <c r="C1566">
        <v>1798</v>
      </c>
      <c r="D1566" t="s">
        <v>67</v>
      </c>
      <c r="E1566" t="s">
        <v>70</v>
      </c>
      <c r="F1566">
        <v>2</v>
      </c>
      <c r="G1566" s="2">
        <v>343.65</v>
      </c>
      <c r="H1566">
        <v>0.04</v>
      </c>
      <c r="I1566" t="s">
        <v>68</v>
      </c>
      <c r="J1566">
        <v>11</v>
      </c>
      <c r="K1566">
        <v>4.5999999999999996</v>
      </c>
      <c r="L1566" s="2">
        <v>659.81</v>
      </c>
      <c r="M1566">
        <v>2026</v>
      </c>
      <c r="N1566">
        <v>4</v>
      </c>
      <c r="O1566" t="s">
        <v>131</v>
      </c>
      <c r="P1566" s="2">
        <v>687.3</v>
      </c>
      <c r="Q1566" s="2">
        <v>27.49</v>
      </c>
      <c r="R1566" t="s">
        <v>75</v>
      </c>
      <c r="S1566">
        <v>0</v>
      </c>
      <c r="T1566">
        <v>0</v>
      </c>
      <c r="U1566">
        <f>IF(AND(OR(Dashboard!$D$4="Semua",D1566=Dashboard!$D$4),OR(Dashboard!$H$4="Semua",E1566=Dashboard!$H$4)),1,0)</f>
        <v>1</v>
      </c>
      <c r="V1566">
        <f>IF(U1566=1,IF(COUNTIFS($C$2:C1566,C1566,$U$2:U1566,1)=1,1,0),0)</f>
        <v>1</v>
      </c>
    </row>
    <row r="1567" spans="1:22" x14ac:dyDescent="0.35">
      <c r="A1567">
        <v>11566</v>
      </c>
      <c r="B1567" s="1">
        <v>46127</v>
      </c>
      <c r="C1567">
        <v>1377</v>
      </c>
      <c r="D1567" t="s">
        <v>67</v>
      </c>
      <c r="E1567" t="s">
        <v>74</v>
      </c>
      <c r="F1567">
        <v>6</v>
      </c>
      <c r="G1567" s="2">
        <v>22.96</v>
      </c>
      <c r="H1567">
        <v>0.23</v>
      </c>
      <c r="I1567" t="s">
        <v>68</v>
      </c>
      <c r="J1567">
        <v>4</v>
      </c>
      <c r="K1567">
        <v>3</v>
      </c>
      <c r="L1567" s="2">
        <v>106.08</v>
      </c>
      <c r="M1567">
        <v>2026</v>
      </c>
      <c r="N1567">
        <v>4</v>
      </c>
      <c r="O1567" t="s">
        <v>131</v>
      </c>
      <c r="P1567" s="2">
        <v>137.76</v>
      </c>
      <c r="Q1567" s="2">
        <v>31.68</v>
      </c>
      <c r="R1567" t="s">
        <v>77</v>
      </c>
      <c r="S1567">
        <v>0</v>
      </c>
      <c r="T1567">
        <v>0</v>
      </c>
      <c r="U1567">
        <f>IF(AND(OR(Dashboard!$D$4="Semua",D1567=Dashboard!$D$4),OR(Dashboard!$H$4="Semua",E1567=Dashboard!$H$4)),1,0)</f>
        <v>1</v>
      </c>
      <c r="V1567">
        <f>IF(U1567=1,IF(COUNTIFS($C$2:C1567,C1567,$U$2:U1567,1)=1,1,0),0)</f>
        <v>1</v>
      </c>
    </row>
    <row r="1568" spans="1:22" x14ac:dyDescent="0.35">
      <c r="A1568">
        <v>11567</v>
      </c>
      <c r="B1568" s="1">
        <v>46128</v>
      </c>
      <c r="C1568">
        <v>1904</v>
      </c>
      <c r="D1568" t="s">
        <v>73</v>
      </c>
      <c r="E1568" t="s">
        <v>78</v>
      </c>
      <c r="F1568">
        <v>6</v>
      </c>
      <c r="G1568" s="2">
        <v>255.96</v>
      </c>
      <c r="H1568">
        <v>0.35</v>
      </c>
      <c r="I1568" t="s">
        <v>68</v>
      </c>
      <c r="J1568">
        <v>11</v>
      </c>
      <c r="K1568">
        <v>3.9</v>
      </c>
      <c r="L1568" s="2">
        <v>998.24</v>
      </c>
      <c r="M1568">
        <v>2026</v>
      </c>
      <c r="N1568">
        <v>4</v>
      </c>
      <c r="O1568" t="s">
        <v>131</v>
      </c>
      <c r="P1568" s="2">
        <v>1535.76</v>
      </c>
      <c r="Q1568" s="2">
        <v>537.52</v>
      </c>
      <c r="R1568" t="s">
        <v>72</v>
      </c>
      <c r="S1568">
        <v>0</v>
      </c>
      <c r="T1568">
        <v>0</v>
      </c>
      <c r="U1568">
        <f>IF(AND(OR(Dashboard!$D$4="Semua",D1568=Dashboard!$D$4),OR(Dashboard!$H$4="Semua",E1568=Dashboard!$H$4)),1,0)</f>
        <v>1</v>
      </c>
      <c r="V1568">
        <f>IF(U1568=1,IF(COUNTIFS($C$2:C1568,C1568,$U$2:U1568,1)=1,1,0),0)</f>
        <v>1</v>
      </c>
    </row>
    <row r="1569" spans="1:22" x14ac:dyDescent="0.35">
      <c r="A1569">
        <v>11568</v>
      </c>
      <c r="B1569" s="1">
        <v>46129</v>
      </c>
      <c r="C1569">
        <v>1050</v>
      </c>
      <c r="D1569" t="s">
        <v>80</v>
      </c>
      <c r="E1569" t="s">
        <v>63</v>
      </c>
      <c r="F1569">
        <v>7</v>
      </c>
      <c r="G1569" s="2">
        <v>57.93</v>
      </c>
      <c r="H1569">
        <v>0.08</v>
      </c>
      <c r="I1569" t="s">
        <v>64</v>
      </c>
      <c r="J1569">
        <v>10</v>
      </c>
      <c r="K1569">
        <v>1.9</v>
      </c>
      <c r="L1569" s="2">
        <v>373.07</v>
      </c>
      <c r="M1569">
        <v>2026</v>
      </c>
      <c r="N1569">
        <v>4</v>
      </c>
      <c r="O1569" t="s">
        <v>131</v>
      </c>
      <c r="P1569" s="2">
        <v>405.51</v>
      </c>
      <c r="Q1569" s="2">
        <v>32.44</v>
      </c>
      <c r="R1569" t="s">
        <v>69</v>
      </c>
      <c r="S1569">
        <v>0</v>
      </c>
      <c r="T1569">
        <v>0</v>
      </c>
      <c r="U1569">
        <f>IF(AND(OR(Dashboard!$D$4="Semua",D1569=Dashboard!$D$4),OR(Dashboard!$H$4="Semua",E1569=Dashboard!$H$4)),1,0)</f>
        <v>1</v>
      </c>
      <c r="V1569">
        <f>IF(U1569=1,IF(COUNTIFS($C$2:C1569,C1569,$U$2:U1569,1)=1,1,0),0)</f>
        <v>0</v>
      </c>
    </row>
    <row r="1570" spans="1:22" x14ac:dyDescent="0.35">
      <c r="A1570">
        <v>11569</v>
      </c>
      <c r="B1570" s="1">
        <v>46130</v>
      </c>
      <c r="C1570">
        <v>1028</v>
      </c>
      <c r="D1570" t="s">
        <v>73</v>
      </c>
      <c r="E1570" t="s">
        <v>74</v>
      </c>
      <c r="F1570">
        <v>4</v>
      </c>
      <c r="G1570" s="2">
        <v>252.06</v>
      </c>
      <c r="H1570">
        <v>0.1</v>
      </c>
      <c r="I1570" t="s">
        <v>64</v>
      </c>
      <c r="J1570">
        <v>7</v>
      </c>
      <c r="K1570">
        <v>3</v>
      </c>
      <c r="L1570" s="2">
        <v>907.42</v>
      </c>
      <c r="M1570">
        <v>2026</v>
      </c>
      <c r="N1570">
        <v>4</v>
      </c>
      <c r="O1570" t="s">
        <v>131</v>
      </c>
      <c r="P1570" s="2">
        <v>1008.24</v>
      </c>
      <c r="Q1570" s="2">
        <v>100.82</v>
      </c>
      <c r="R1570" t="s">
        <v>69</v>
      </c>
      <c r="S1570">
        <v>0</v>
      </c>
      <c r="T1570">
        <v>0</v>
      </c>
      <c r="U1570">
        <f>IF(AND(OR(Dashboard!$D$4="Semua",D1570=Dashboard!$D$4),OR(Dashboard!$H$4="Semua",E1570=Dashboard!$H$4)),1,0)</f>
        <v>1</v>
      </c>
      <c r="V1570">
        <f>IF(U1570=1,IF(COUNTIFS($C$2:C1570,C1570,$U$2:U1570,1)=1,1,0),0)</f>
        <v>0</v>
      </c>
    </row>
    <row r="1571" spans="1:22" x14ac:dyDescent="0.35">
      <c r="A1571">
        <v>11570</v>
      </c>
      <c r="B1571" s="1">
        <v>46131</v>
      </c>
      <c r="C1571">
        <v>1461</v>
      </c>
      <c r="D1571" t="s">
        <v>80</v>
      </c>
      <c r="E1571" t="s">
        <v>78</v>
      </c>
      <c r="F1571">
        <v>2</v>
      </c>
      <c r="G1571" s="2">
        <v>38.36</v>
      </c>
      <c r="H1571">
        <v>0.34</v>
      </c>
      <c r="I1571" t="s">
        <v>68</v>
      </c>
      <c r="J1571">
        <v>6</v>
      </c>
      <c r="K1571">
        <v>1.8</v>
      </c>
      <c r="L1571" s="2">
        <v>50.64</v>
      </c>
      <c r="M1571">
        <v>2026</v>
      </c>
      <c r="N1571">
        <v>4</v>
      </c>
      <c r="O1571" t="s">
        <v>131</v>
      </c>
      <c r="P1571" s="2">
        <v>76.72</v>
      </c>
      <c r="Q1571" s="2">
        <v>26.08</v>
      </c>
      <c r="R1571" t="s">
        <v>72</v>
      </c>
      <c r="S1571">
        <v>0</v>
      </c>
      <c r="T1571">
        <v>0</v>
      </c>
      <c r="U1571">
        <f>IF(AND(OR(Dashboard!$D$4="Semua",D1571=Dashboard!$D$4),OR(Dashboard!$H$4="Semua",E1571=Dashboard!$H$4)),1,0)</f>
        <v>1</v>
      </c>
      <c r="V1571">
        <f>IF(U1571=1,IF(COUNTIFS($C$2:C1571,C1571,$U$2:U1571,1)=1,1,0),0)</f>
        <v>0</v>
      </c>
    </row>
    <row r="1572" spans="1:22" x14ac:dyDescent="0.35">
      <c r="A1572">
        <v>11571</v>
      </c>
      <c r="B1572" s="1">
        <v>46132</v>
      </c>
      <c r="C1572">
        <v>1295</v>
      </c>
      <c r="D1572" t="s">
        <v>67</v>
      </c>
      <c r="E1572" t="s">
        <v>74</v>
      </c>
      <c r="F1572">
        <v>6</v>
      </c>
      <c r="G1572" s="2">
        <v>503.6</v>
      </c>
      <c r="H1572">
        <v>0.06</v>
      </c>
      <c r="I1572" t="s">
        <v>64</v>
      </c>
      <c r="J1572">
        <v>3</v>
      </c>
      <c r="K1572">
        <v>4.3</v>
      </c>
      <c r="L1572" s="2">
        <v>2840.3</v>
      </c>
      <c r="M1572">
        <v>2026</v>
      </c>
      <c r="N1572">
        <v>4</v>
      </c>
      <c r="O1572" t="s">
        <v>131</v>
      </c>
      <c r="P1572" s="2">
        <v>3021.6</v>
      </c>
      <c r="Q1572" s="2">
        <v>181.3</v>
      </c>
      <c r="R1572" t="s">
        <v>69</v>
      </c>
      <c r="S1572">
        <v>0</v>
      </c>
      <c r="T1572">
        <v>0</v>
      </c>
      <c r="U1572">
        <f>IF(AND(OR(Dashboard!$D$4="Semua",D1572=Dashboard!$D$4),OR(Dashboard!$H$4="Semua",E1572=Dashboard!$H$4)),1,0)</f>
        <v>1</v>
      </c>
      <c r="V1572">
        <f>IF(U1572=1,IF(COUNTIFS($C$2:C1572,C1572,$U$2:U1572,1)=1,1,0),0)</f>
        <v>0</v>
      </c>
    </row>
    <row r="1573" spans="1:22" x14ac:dyDescent="0.35">
      <c r="A1573">
        <v>11572</v>
      </c>
      <c r="B1573" s="1">
        <v>46133</v>
      </c>
      <c r="C1573">
        <v>1296</v>
      </c>
      <c r="D1573" t="s">
        <v>73</v>
      </c>
      <c r="E1573" t="s">
        <v>74</v>
      </c>
      <c r="F1573">
        <v>7</v>
      </c>
      <c r="G1573" s="2">
        <v>137.69999999999999</v>
      </c>
      <c r="H1573">
        <v>0.18</v>
      </c>
      <c r="I1573" t="s">
        <v>68</v>
      </c>
      <c r="J1573">
        <v>9</v>
      </c>
      <c r="K1573">
        <v>4.0999999999999996</v>
      </c>
      <c r="L1573" s="2">
        <v>790.4</v>
      </c>
      <c r="M1573">
        <v>2026</v>
      </c>
      <c r="N1573">
        <v>4</v>
      </c>
      <c r="O1573" t="s">
        <v>131</v>
      </c>
      <c r="P1573" s="2">
        <v>963.9</v>
      </c>
      <c r="Q1573" s="2">
        <v>173.5</v>
      </c>
      <c r="R1573" t="s">
        <v>76</v>
      </c>
      <c r="S1573">
        <v>0</v>
      </c>
      <c r="T1573">
        <v>0</v>
      </c>
      <c r="U1573">
        <f>IF(AND(OR(Dashboard!$D$4="Semua",D1573=Dashboard!$D$4),OR(Dashboard!$H$4="Semua",E1573=Dashboard!$H$4)),1,0)</f>
        <v>1</v>
      </c>
      <c r="V1573">
        <f>IF(U1573=1,IF(COUNTIFS($C$2:C1573,C1573,$U$2:U1573,1)=1,1,0),0)</f>
        <v>1</v>
      </c>
    </row>
    <row r="1574" spans="1:22" x14ac:dyDescent="0.35">
      <c r="A1574">
        <v>11573</v>
      </c>
      <c r="B1574" s="1">
        <v>46134</v>
      </c>
      <c r="C1574">
        <v>1725</v>
      </c>
      <c r="D1574" t="s">
        <v>73</v>
      </c>
      <c r="E1574" t="s">
        <v>63</v>
      </c>
      <c r="F1574">
        <v>1</v>
      </c>
      <c r="G1574" s="2">
        <v>207.06</v>
      </c>
      <c r="H1574">
        <v>0.08</v>
      </c>
      <c r="I1574" t="s">
        <v>64</v>
      </c>
      <c r="J1574">
        <v>6</v>
      </c>
      <c r="K1574">
        <v>1.6</v>
      </c>
      <c r="L1574" s="2">
        <v>190.5</v>
      </c>
      <c r="M1574">
        <v>2026</v>
      </c>
      <c r="N1574">
        <v>4</v>
      </c>
      <c r="O1574" t="s">
        <v>131</v>
      </c>
      <c r="P1574" s="2">
        <v>207.06</v>
      </c>
      <c r="Q1574" s="2">
        <v>16.559999999999999</v>
      </c>
      <c r="R1574" t="s">
        <v>69</v>
      </c>
      <c r="S1574">
        <v>0</v>
      </c>
      <c r="T1574">
        <v>0</v>
      </c>
      <c r="U1574">
        <f>IF(AND(OR(Dashboard!$D$4="Semua",D1574=Dashboard!$D$4),OR(Dashboard!$H$4="Semua",E1574=Dashboard!$H$4)),1,0)</f>
        <v>1</v>
      </c>
      <c r="V1574">
        <f>IF(U1574=1,IF(COUNTIFS($C$2:C1574,C1574,$U$2:U1574,1)=1,1,0),0)</f>
        <v>0</v>
      </c>
    </row>
    <row r="1575" spans="1:22" x14ac:dyDescent="0.35">
      <c r="A1575">
        <v>11574</v>
      </c>
      <c r="B1575" s="1">
        <v>46135</v>
      </c>
      <c r="C1575">
        <v>1778</v>
      </c>
      <c r="D1575" t="s">
        <v>73</v>
      </c>
      <c r="E1575" t="s">
        <v>70</v>
      </c>
      <c r="F1575">
        <v>6</v>
      </c>
      <c r="G1575" s="2">
        <v>523.98</v>
      </c>
      <c r="H1575">
        <v>0.33</v>
      </c>
      <c r="I1575" t="s">
        <v>71</v>
      </c>
      <c r="J1575">
        <v>11</v>
      </c>
      <c r="K1575">
        <v>1.3</v>
      </c>
      <c r="L1575" s="2">
        <v>2106.4</v>
      </c>
      <c r="M1575">
        <v>2026</v>
      </c>
      <c r="N1575">
        <v>4</v>
      </c>
      <c r="O1575" t="s">
        <v>131</v>
      </c>
      <c r="P1575" s="2">
        <v>3143.88</v>
      </c>
      <c r="Q1575" s="2">
        <v>1037.48</v>
      </c>
      <c r="R1575" t="s">
        <v>72</v>
      </c>
      <c r="S1575">
        <v>0</v>
      </c>
      <c r="T1575">
        <v>0</v>
      </c>
      <c r="U1575">
        <f>IF(AND(OR(Dashboard!$D$4="Semua",D1575=Dashboard!$D$4),OR(Dashboard!$H$4="Semua",E1575=Dashboard!$H$4)),1,0)</f>
        <v>1</v>
      </c>
      <c r="V1575">
        <f>IF(U1575=1,IF(COUNTIFS($C$2:C1575,C1575,$U$2:U1575,1)=1,1,0),0)</f>
        <v>0</v>
      </c>
    </row>
    <row r="1576" spans="1:22" x14ac:dyDescent="0.35">
      <c r="A1576">
        <v>11575</v>
      </c>
      <c r="B1576" s="1">
        <v>46136</v>
      </c>
      <c r="C1576">
        <v>1406</v>
      </c>
      <c r="D1576" t="s">
        <v>80</v>
      </c>
      <c r="E1576" t="s">
        <v>70</v>
      </c>
      <c r="F1576">
        <v>3</v>
      </c>
      <c r="G1576" s="2">
        <v>451.57</v>
      </c>
      <c r="H1576">
        <v>0.34</v>
      </c>
      <c r="I1576" t="s">
        <v>68</v>
      </c>
      <c r="J1576">
        <v>2</v>
      </c>
      <c r="K1576">
        <v>4.3</v>
      </c>
      <c r="L1576" s="2">
        <v>894.11</v>
      </c>
      <c r="M1576">
        <v>2026</v>
      </c>
      <c r="N1576">
        <v>4</v>
      </c>
      <c r="O1576" t="s">
        <v>131</v>
      </c>
      <c r="P1576" s="2">
        <v>1354.71</v>
      </c>
      <c r="Q1576" s="2">
        <v>460.6</v>
      </c>
      <c r="R1576" t="s">
        <v>72</v>
      </c>
      <c r="S1576">
        <v>0</v>
      </c>
      <c r="T1576">
        <v>0</v>
      </c>
      <c r="U1576">
        <f>IF(AND(OR(Dashboard!$D$4="Semua",D1576=Dashboard!$D$4),OR(Dashboard!$H$4="Semua",E1576=Dashboard!$H$4)),1,0)</f>
        <v>1</v>
      </c>
      <c r="V1576">
        <f>IF(U1576=1,IF(COUNTIFS($C$2:C1576,C1576,$U$2:U1576,1)=1,1,0),0)</f>
        <v>0</v>
      </c>
    </row>
    <row r="1577" spans="1:22" x14ac:dyDescent="0.35">
      <c r="A1577">
        <v>11576</v>
      </c>
      <c r="B1577" s="1">
        <v>46137</v>
      </c>
      <c r="C1577">
        <v>1768</v>
      </c>
      <c r="D1577" t="s">
        <v>62</v>
      </c>
      <c r="E1577" t="s">
        <v>78</v>
      </c>
      <c r="F1577">
        <v>3</v>
      </c>
      <c r="G1577" s="2">
        <v>143.13999999999999</v>
      </c>
      <c r="H1577">
        <v>0.28999999999999998</v>
      </c>
      <c r="I1577" t="s">
        <v>68</v>
      </c>
      <c r="J1577">
        <v>10</v>
      </c>
      <c r="K1577">
        <v>1.4</v>
      </c>
      <c r="L1577" s="2">
        <v>304.89</v>
      </c>
      <c r="M1577">
        <v>2026</v>
      </c>
      <c r="N1577">
        <v>4</v>
      </c>
      <c r="O1577" t="s">
        <v>131</v>
      </c>
      <c r="P1577" s="2">
        <v>429.42</v>
      </c>
      <c r="Q1577" s="2">
        <v>124.53</v>
      </c>
      <c r="R1577" t="s">
        <v>66</v>
      </c>
      <c r="S1577">
        <v>0</v>
      </c>
      <c r="T1577">
        <v>0</v>
      </c>
      <c r="U1577">
        <f>IF(AND(OR(Dashboard!$D$4="Semua",D1577=Dashboard!$D$4),OR(Dashboard!$H$4="Semua",E1577=Dashboard!$H$4)),1,0)</f>
        <v>1</v>
      </c>
      <c r="V1577">
        <f>IF(U1577=1,IF(COUNTIFS($C$2:C1577,C1577,$U$2:U1577,1)=1,1,0),0)</f>
        <v>0</v>
      </c>
    </row>
    <row r="1578" spans="1:22" x14ac:dyDescent="0.35">
      <c r="A1578">
        <v>11577</v>
      </c>
      <c r="B1578" s="1">
        <v>46138</v>
      </c>
      <c r="C1578">
        <v>1813</v>
      </c>
      <c r="D1578" t="s">
        <v>67</v>
      </c>
      <c r="E1578" t="s">
        <v>78</v>
      </c>
      <c r="F1578">
        <v>1</v>
      </c>
      <c r="G1578" s="2">
        <v>57.06</v>
      </c>
      <c r="H1578">
        <v>0.11</v>
      </c>
      <c r="I1578" t="s">
        <v>68</v>
      </c>
      <c r="J1578">
        <v>2</v>
      </c>
      <c r="K1578">
        <v>3.2</v>
      </c>
      <c r="L1578" s="2">
        <v>50.78</v>
      </c>
      <c r="M1578">
        <v>2026</v>
      </c>
      <c r="N1578">
        <v>4</v>
      </c>
      <c r="O1578" t="s">
        <v>131</v>
      </c>
      <c r="P1578" s="2">
        <v>57.06</v>
      </c>
      <c r="Q1578" s="2">
        <v>6.28</v>
      </c>
      <c r="R1578" t="s">
        <v>79</v>
      </c>
      <c r="S1578">
        <v>0</v>
      </c>
      <c r="T1578">
        <v>0</v>
      </c>
      <c r="U1578">
        <f>IF(AND(OR(Dashboard!$D$4="Semua",D1578=Dashboard!$D$4),OR(Dashboard!$H$4="Semua",E1578=Dashboard!$H$4)),1,0)</f>
        <v>1</v>
      </c>
      <c r="V1578">
        <f>IF(U1578=1,IF(COUNTIFS($C$2:C1578,C1578,$U$2:U1578,1)=1,1,0),0)</f>
        <v>1</v>
      </c>
    </row>
    <row r="1579" spans="1:22" x14ac:dyDescent="0.35">
      <c r="A1579">
        <v>11578</v>
      </c>
      <c r="B1579" s="1">
        <v>46139</v>
      </c>
      <c r="C1579">
        <v>1612</v>
      </c>
      <c r="D1579" t="s">
        <v>73</v>
      </c>
      <c r="E1579" t="s">
        <v>78</v>
      </c>
      <c r="F1579">
        <v>4</v>
      </c>
      <c r="G1579" s="2">
        <v>433.67</v>
      </c>
      <c r="H1579">
        <v>0.14000000000000001</v>
      </c>
      <c r="I1579" t="s">
        <v>68</v>
      </c>
      <c r="J1579">
        <v>1</v>
      </c>
      <c r="K1579">
        <v>3.1</v>
      </c>
      <c r="L1579" s="2">
        <v>1491.82</v>
      </c>
      <c r="M1579">
        <v>2026</v>
      </c>
      <c r="N1579">
        <v>4</v>
      </c>
      <c r="O1579" t="s">
        <v>131</v>
      </c>
      <c r="P1579" s="2">
        <v>1734.68</v>
      </c>
      <c r="Q1579" s="2">
        <v>242.86</v>
      </c>
      <c r="R1579" t="s">
        <v>79</v>
      </c>
      <c r="S1579">
        <v>0</v>
      </c>
      <c r="T1579">
        <v>0</v>
      </c>
      <c r="U1579">
        <f>IF(AND(OR(Dashboard!$D$4="Semua",D1579=Dashboard!$D$4),OR(Dashboard!$H$4="Semua",E1579=Dashboard!$H$4)),1,0)</f>
        <v>1</v>
      </c>
      <c r="V1579">
        <f>IF(U1579=1,IF(COUNTIFS($C$2:C1579,C1579,$U$2:U1579,1)=1,1,0),0)</f>
        <v>0</v>
      </c>
    </row>
    <row r="1580" spans="1:22" x14ac:dyDescent="0.35">
      <c r="A1580">
        <v>11579</v>
      </c>
      <c r="B1580" s="1">
        <v>46140</v>
      </c>
      <c r="C1580">
        <v>1404</v>
      </c>
      <c r="D1580" t="s">
        <v>67</v>
      </c>
      <c r="E1580" t="s">
        <v>63</v>
      </c>
      <c r="F1580">
        <v>2</v>
      </c>
      <c r="G1580" s="2">
        <v>243.56</v>
      </c>
      <c r="H1580">
        <v>0.08</v>
      </c>
      <c r="I1580" t="s">
        <v>71</v>
      </c>
      <c r="J1580">
        <v>11</v>
      </c>
      <c r="K1580">
        <v>1.8</v>
      </c>
      <c r="L1580" s="2">
        <v>448.15</v>
      </c>
      <c r="M1580">
        <v>2026</v>
      </c>
      <c r="N1580">
        <v>4</v>
      </c>
      <c r="O1580" t="s">
        <v>131</v>
      </c>
      <c r="P1580" s="2">
        <v>487.12</v>
      </c>
      <c r="Q1580" s="2">
        <v>38.97</v>
      </c>
      <c r="R1580" t="s">
        <v>69</v>
      </c>
      <c r="S1580">
        <v>0</v>
      </c>
      <c r="T1580">
        <v>0</v>
      </c>
      <c r="U1580">
        <f>IF(AND(OR(Dashboard!$D$4="Semua",D1580=Dashboard!$D$4),OR(Dashboard!$H$4="Semua",E1580=Dashboard!$H$4)),1,0)</f>
        <v>1</v>
      </c>
      <c r="V1580">
        <f>IF(U1580=1,IF(COUNTIFS($C$2:C1580,C1580,$U$2:U1580,1)=1,1,0),0)</f>
        <v>0</v>
      </c>
    </row>
    <row r="1581" spans="1:22" x14ac:dyDescent="0.35">
      <c r="A1581">
        <v>11580</v>
      </c>
      <c r="B1581" s="1">
        <v>46141</v>
      </c>
      <c r="C1581">
        <v>1345</v>
      </c>
      <c r="D1581" t="s">
        <v>80</v>
      </c>
      <c r="E1581" t="s">
        <v>70</v>
      </c>
      <c r="F1581">
        <v>2</v>
      </c>
      <c r="G1581" s="2">
        <v>463.16</v>
      </c>
      <c r="H1581">
        <v>0.31</v>
      </c>
      <c r="I1581" t="s">
        <v>68</v>
      </c>
      <c r="J1581">
        <v>5</v>
      </c>
      <c r="K1581">
        <v>3.4</v>
      </c>
      <c r="L1581" s="2">
        <v>639.16</v>
      </c>
      <c r="M1581">
        <v>2026</v>
      </c>
      <c r="N1581">
        <v>4</v>
      </c>
      <c r="O1581" t="s">
        <v>131</v>
      </c>
      <c r="P1581" s="2">
        <v>926.32</v>
      </c>
      <c r="Q1581" s="2">
        <v>287.16000000000003</v>
      </c>
      <c r="R1581" t="s">
        <v>72</v>
      </c>
      <c r="S1581">
        <v>0</v>
      </c>
      <c r="T1581">
        <v>0</v>
      </c>
      <c r="U1581">
        <f>IF(AND(OR(Dashboard!$D$4="Semua",D1581=Dashboard!$D$4),OR(Dashboard!$H$4="Semua",E1581=Dashboard!$H$4)),1,0)</f>
        <v>1</v>
      </c>
      <c r="V1581">
        <f>IF(U1581=1,IF(COUNTIFS($C$2:C1581,C1581,$U$2:U1581,1)=1,1,0),0)</f>
        <v>0</v>
      </c>
    </row>
    <row r="1582" spans="1:22" x14ac:dyDescent="0.35">
      <c r="A1582">
        <v>11581</v>
      </c>
      <c r="B1582" s="1">
        <v>46142</v>
      </c>
      <c r="C1582">
        <v>1621</v>
      </c>
      <c r="D1582" t="s">
        <v>80</v>
      </c>
      <c r="E1582" t="s">
        <v>78</v>
      </c>
      <c r="F1582">
        <v>6</v>
      </c>
      <c r="G1582" s="2">
        <v>275.5</v>
      </c>
      <c r="H1582">
        <v>0.32</v>
      </c>
      <c r="I1582" t="s">
        <v>64</v>
      </c>
      <c r="J1582">
        <v>10</v>
      </c>
      <c r="K1582">
        <v>3</v>
      </c>
      <c r="L1582" s="2">
        <v>1124.04</v>
      </c>
      <c r="M1582">
        <v>2026</v>
      </c>
      <c r="N1582">
        <v>4</v>
      </c>
      <c r="O1582" t="s">
        <v>131</v>
      </c>
      <c r="P1582" s="2">
        <v>1653</v>
      </c>
      <c r="Q1582" s="2">
        <v>528.96</v>
      </c>
      <c r="R1582" t="s">
        <v>72</v>
      </c>
      <c r="S1582">
        <v>0</v>
      </c>
      <c r="T1582">
        <v>0</v>
      </c>
      <c r="U1582">
        <f>IF(AND(OR(Dashboard!$D$4="Semua",D1582=Dashboard!$D$4),OR(Dashboard!$H$4="Semua",E1582=Dashboard!$H$4)),1,0)</f>
        <v>1</v>
      </c>
      <c r="V1582">
        <f>IF(U1582=1,IF(COUNTIFS($C$2:C1582,C1582,$U$2:U1582,1)=1,1,0),0)</f>
        <v>1</v>
      </c>
    </row>
    <row r="1583" spans="1:22" x14ac:dyDescent="0.35">
      <c r="A1583">
        <v>11582</v>
      </c>
      <c r="B1583" s="1">
        <v>46143</v>
      </c>
      <c r="C1583">
        <v>1419</v>
      </c>
      <c r="D1583" t="s">
        <v>73</v>
      </c>
      <c r="E1583" t="s">
        <v>78</v>
      </c>
      <c r="F1583">
        <v>3</v>
      </c>
      <c r="G1583" s="2">
        <v>217.41</v>
      </c>
      <c r="H1583">
        <v>0.15</v>
      </c>
      <c r="I1583" t="s">
        <v>71</v>
      </c>
      <c r="J1583">
        <v>6</v>
      </c>
      <c r="K1583">
        <v>3</v>
      </c>
      <c r="L1583" s="2">
        <v>554.4</v>
      </c>
      <c r="M1583">
        <v>2026</v>
      </c>
      <c r="N1583">
        <v>5</v>
      </c>
      <c r="O1583" t="s">
        <v>132</v>
      </c>
      <c r="P1583" s="2">
        <v>652.23</v>
      </c>
      <c r="Q1583" s="2">
        <v>97.83</v>
      </c>
      <c r="R1583" t="s">
        <v>79</v>
      </c>
      <c r="S1583">
        <v>0</v>
      </c>
      <c r="T1583">
        <v>0</v>
      </c>
      <c r="U1583">
        <f>IF(AND(OR(Dashboard!$D$4="Semua",D1583=Dashboard!$D$4),OR(Dashboard!$H$4="Semua",E1583=Dashboard!$H$4)),1,0)</f>
        <v>1</v>
      </c>
      <c r="V1583">
        <f>IF(U1583=1,IF(COUNTIFS($C$2:C1583,C1583,$U$2:U1583,1)=1,1,0),0)</f>
        <v>0</v>
      </c>
    </row>
    <row r="1584" spans="1:22" x14ac:dyDescent="0.35">
      <c r="A1584">
        <v>11583</v>
      </c>
      <c r="B1584" s="1">
        <v>46144</v>
      </c>
      <c r="C1584">
        <v>1181</v>
      </c>
      <c r="D1584" t="s">
        <v>73</v>
      </c>
      <c r="E1584" t="s">
        <v>74</v>
      </c>
      <c r="F1584">
        <v>4</v>
      </c>
      <c r="G1584" s="2">
        <v>278.95999999999998</v>
      </c>
      <c r="H1584">
        <v>0.23</v>
      </c>
      <c r="I1584" t="s">
        <v>71</v>
      </c>
      <c r="J1584">
        <v>3</v>
      </c>
      <c r="K1584">
        <v>2.4</v>
      </c>
      <c r="L1584" s="2">
        <v>859.2</v>
      </c>
      <c r="M1584">
        <v>2026</v>
      </c>
      <c r="N1584">
        <v>5</v>
      </c>
      <c r="O1584" t="s">
        <v>132</v>
      </c>
      <c r="P1584" s="2">
        <v>1115.8399999999999</v>
      </c>
      <c r="Q1584" s="2">
        <v>256.64</v>
      </c>
      <c r="R1584" t="s">
        <v>77</v>
      </c>
      <c r="S1584">
        <v>0</v>
      </c>
      <c r="T1584">
        <v>0</v>
      </c>
      <c r="U1584">
        <f>IF(AND(OR(Dashboard!$D$4="Semua",D1584=Dashboard!$D$4),OR(Dashboard!$H$4="Semua",E1584=Dashboard!$H$4)),1,0)</f>
        <v>1</v>
      </c>
      <c r="V1584">
        <f>IF(U1584=1,IF(COUNTIFS($C$2:C1584,C1584,$U$2:U1584,1)=1,1,0),0)</f>
        <v>0</v>
      </c>
    </row>
    <row r="1585" spans="1:22" x14ac:dyDescent="0.35">
      <c r="A1585">
        <v>11584</v>
      </c>
      <c r="B1585" s="1">
        <v>46145</v>
      </c>
      <c r="C1585">
        <v>1982</v>
      </c>
      <c r="D1585" t="s">
        <v>80</v>
      </c>
      <c r="E1585" t="s">
        <v>74</v>
      </c>
      <c r="F1585">
        <v>4</v>
      </c>
      <c r="G1585" s="2">
        <v>452.91</v>
      </c>
      <c r="H1585">
        <v>0.06</v>
      </c>
      <c r="I1585" t="s">
        <v>68</v>
      </c>
      <c r="J1585">
        <v>4</v>
      </c>
      <c r="K1585">
        <v>4.4000000000000004</v>
      </c>
      <c r="L1585" s="2">
        <v>1702.94</v>
      </c>
      <c r="M1585">
        <v>2026</v>
      </c>
      <c r="N1585">
        <v>5</v>
      </c>
      <c r="O1585" t="s">
        <v>132</v>
      </c>
      <c r="P1585" s="2">
        <v>1811.64</v>
      </c>
      <c r="Q1585" s="2">
        <v>108.7</v>
      </c>
      <c r="R1585" t="s">
        <v>69</v>
      </c>
      <c r="S1585">
        <v>0</v>
      </c>
      <c r="T1585">
        <v>0</v>
      </c>
      <c r="U1585">
        <f>IF(AND(OR(Dashboard!$D$4="Semua",D1585=Dashboard!$D$4),OR(Dashboard!$H$4="Semua",E1585=Dashboard!$H$4)),1,0)</f>
        <v>1</v>
      </c>
      <c r="V1585">
        <f>IF(U1585=1,IF(COUNTIFS($C$2:C1585,C1585,$U$2:U1585,1)=1,1,0),0)</f>
        <v>0</v>
      </c>
    </row>
    <row r="1586" spans="1:22" x14ac:dyDescent="0.35">
      <c r="A1586">
        <v>11585</v>
      </c>
      <c r="B1586" s="1">
        <v>46146</v>
      </c>
      <c r="C1586">
        <v>1824</v>
      </c>
      <c r="D1586" t="s">
        <v>67</v>
      </c>
      <c r="E1586" t="s">
        <v>78</v>
      </c>
      <c r="F1586">
        <v>4</v>
      </c>
      <c r="G1586" s="2">
        <v>542.79999999999995</v>
      </c>
      <c r="H1586">
        <v>0.15</v>
      </c>
      <c r="I1586" t="s">
        <v>64</v>
      </c>
      <c r="J1586">
        <v>5</v>
      </c>
      <c r="K1586">
        <v>1.3</v>
      </c>
      <c r="L1586" s="2">
        <v>1845.52</v>
      </c>
      <c r="M1586">
        <v>2026</v>
      </c>
      <c r="N1586">
        <v>5</v>
      </c>
      <c r="O1586" t="s">
        <v>132</v>
      </c>
      <c r="P1586" s="2">
        <v>2171.1999999999998</v>
      </c>
      <c r="Q1586" s="2">
        <v>325.68</v>
      </c>
      <c r="R1586" t="s">
        <v>79</v>
      </c>
      <c r="S1586">
        <v>0</v>
      </c>
      <c r="T1586">
        <v>0</v>
      </c>
      <c r="U1586">
        <f>IF(AND(OR(Dashboard!$D$4="Semua",D1586=Dashboard!$D$4),OR(Dashboard!$H$4="Semua",E1586=Dashboard!$H$4)),1,0)</f>
        <v>1</v>
      </c>
      <c r="V1586">
        <f>IF(U1586=1,IF(COUNTIFS($C$2:C1586,C1586,$U$2:U1586,1)=1,1,0),0)</f>
        <v>0</v>
      </c>
    </row>
    <row r="1587" spans="1:22" x14ac:dyDescent="0.35">
      <c r="A1587">
        <v>11586</v>
      </c>
      <c r="B1587" s="1">
        <v>46147</v>
      </c>
      <c r="C1587">
        <v>1000</v>
      </c>
      <c r="D1587" t="s">
        <v>73</v>
      </c>
      <c r="E1587" t="s">
        <v>74</v>
      </c>
      <c r="F1587">
        <v>6</v>
      </c>
      <c r="G1587" s="2">
        <v>44.11</v>
      </c>
      <c r="H1587">
        <v>0.22</v>
      </c>
      <c r="I1587" t="s">
        <v>71</v>
      </c>
      <c r="J1587">
        <v>4</v>
      </c>
      <c r="K1587">
        <v>2.8</v>
      </c>
      <c r="L1587" s="2">
        <v>206.43</v>
      </c>
      <c r="M1587">
        <v>2026</v>
      </c>
      <c r="N1587">
        <v>5</v>
      </c>
      <c r="O1587" t="s">
        <v>132</v>
      </c>
      <c r="P1587" s="2">
        <v>264.66000000000003</v>
      </c>
      <c r="Q1587" s="2">
        <v>58.23</v>
      </c>
      <c r="R1587" t="s">
        <v>77</v>
      </c>
      <c r="S1587">
        <v>0</v>
      </c>
      <c r="T1587">
        <v>0</v>
      </c>
      <c r="U1587">
        <f>IF(AND(OR(Dashboard!$D$4="Semua",D1587=Dashboard!$D$4),OR(Dashboard!$H$4="Semua",E1587=Dashboard!$H$4)),1,0)</f>
        <v>1</v>
      </c>
      <c r="V1587">
        <f>IF(U1587=1,IF(COUNTIFS($C$2:C1587,C1587,$U$2:U1587,1)=1,1,0),0)</f>
        <v>0</v>
      </c>
    </row>
    <row r="1588" spans="1:22" x14ac:dyDescent="0.35">
      <c r="A1588">
        <v>11587</v>
      </c>
      <c r="B1588" s="1">
        <v>46148</v>
      </c>
      <c r="C1588">
        <v>1830</v>
      </c>
      <c r="D1588" t="s">
        <v>73</v>
      </c>
      <c r="E1588" t="s">
        <v>74</v>
      </c>
      <c r="F1588">
        <v>2</v>
      </c>
      <c r="G1588" s="2">
        <v>321.61</v>
      </c>
      <c r="H1588">
        <v>0.13</v>
      </c>
      <c r="I1588" t="s">
        <v>64</v>
      </c>
      <c r="J1588">
        <v>9</v>
      </c>
      <c r="K1588">
        <v>2</v>
      </c>
      <c r="L1588" s="2">
        <v>559.6</v>
      </c>
      <c r="M1588">
        <v>2026</v>
      </c>
      <c r="N1588">
        <v>5</v>
      </c>
      <c r="O1588" t="s">
        <v>132</v>
      </c>
      <c r="P1588" s="2">
        <v>643.22</v>
      </c>
      <c r="Q1588" s="2">
        <v>83.62</v>
      </c>
      <c r="R1588" t="s">
        <v>79</v>
      </c>
      <c r="S1588">
        <v>0</v>
      </c>
      <c r="T1588">
        <v>0</v>
      </c>
      <c r="U1588">
        <f>IF(AND(OR(Dashboard!$D$4="Semua",D1588=Dashboard!$D$4),OR(Dashboard!$H$4="Semua",E1588=Dashboard!$H$4)),1,0)</f>
        <v>1</v>
      </c>
      <c r="V1588">
        <f>IF(U1588=1,IF(COUNTIFS($C$2:C1588,C1588,$U$2:U1588,1)=1,1,0),0)</f>
        <v>0</v>
      </c>
    </row>
    <row r="1589" spans="1:22" x14ac:dyDescent="0.35">
      <c r="A1589">
        <v>11588</v>
      </c>
      <c r="B1589" s="1">
        <v>46149</v>
      </c>
      <c r="C1589">
        <v>1949</v>
      </c>
      <c r="D1589" t="s">
        <v>67</v>
      </c>
      <c r="E1589" t="s">
        <v>74</v>
      </c>
      <c r="F1589">
        <v>4</v>
      </c>
      <c r="G1589" s="2">
        <v>34.21</v>
      </c>
      <c r="H1589">
        <v>0.13</v>
      </c>
      <c r="I1589" t="s">
        <v>64</v>
      </c>
      <c r="J1589">
        <v>3</v>
      </c>
      <c r="K1589">
        <v>4.4000000000000004</v>
      </c>
      <c r="L1589" s="2">
        <v>119.05</v>
      </c>
      <c r="M1589">
        <v>2026</v>
      </c>
      <c r="N1589">
        <v>5</v>
      </c>
      <c r="O1589" t="s">
        <v>132</v>
      </c>
      <c r="P1589" s="2">
        <v>136.84</v>
      </c>
      <c r="Q1589" s="2">
        <v>17.79</v>
      </c>
      <c r="R1589" t="s">
        <v>79</v>
      </c>
      <c r="S1589">
        <v>0</v>
      </c>
      <c r="T1589">
        <v>0</v>
      </c>
      <c r="U1589">
        <f>IF(AND(OR(Dashboard!$D$4="Semua",D1589=Dashboard!$D$4),OR(Dashboard!$H$4="Semua",E1589=Dashboard!$H$4)),1,0)</f>
        <v>1</v>
      </c>
      <c r="V1589">
        <f>IF(U1589=1,IF(COUNTIFS($C$2:C1589,C1589,$U$2:U1589,1)=1,1,0),0)</f>
        <v>1</v>
      </c>
    </row>
    <row r="1590" spans="1:22" x14ac:dyDescent="0.35">
      <c r="A1590">
        <v>11589</v>
      </c>
      <c r="B1590" s="1">
        <v>46150</v>
      </c>
      <c r="C1590">
        <v>1566</v>
      </c>
      <c r="D1590" t="s">
        <v>62</v>
      </c>
      <c r="E1590" t="s">
        <v>63</v>
      </c>
      <c r="F1590">
        <v>6</v>
      </c>
      <c r="G1590" s="2">
        <v>289.02</v>
      </c>
      <c r="H1590">
        <v>0</v>
      </c>
      <c r="I1590" t="s">
        <v>68</v>
      </c>
      <c r="J1590">
        <v>5</v>
      </c>
      <c r="K1590">
        <v>1.9</v>
      </c>
      <c r="L1590" s="2">
        <v>1734.12</v>
      </c>
      <c r="M1590">
        <v>2026</v>
      </c>
      <c r="N1590">
        <v>5</v>
      </c>
      <c r="O1590" t="s">
        <v>132</v>
      </c>
      <c r="P1590" s="2">
        <v>1734.12</v>
      </c>
      <c r="Q1590" s="2">
        <v>0</v>
      </c>
      <c r="R1590" t="s">
        <v>75</v>
      </c>
      <c r="S1590">
        <v>0</v>
      </c>
      <c r="T1590">
        <v>0</v>
      </c>
      <c r="U1590">
        <f>IF(AND(OR(Dashboard!$D$4="Semua",D1590=Dashboard!$D$4),OR(Dashboard!$H$4="Semua",E1590=Dashboard!$H$4)),1,0)</f>
        <v>1</v>
      </c>
      <c r="V1590">
        <f>IF(U1590=1,IF(COUNTIFS($C$2:C1590,C1590,$U$2:U1590,1)=1,1,0),0)</f>
        <v>0</v>
      </c>
    </row>
    <row r="1591" spans="1:22" x14ac:dyDescent="0.35">
      <c r="A1591">
        <v>11590</v>
      </c>
      <c r="B1591" s="1">
        <v>46151</v>
      </c>
      <c r="C1591">
        <v>1370</v>
      </c>
      <c r="D1591" t="s">
        <v>62</v>
      </c>
      <c r="E1591" t="s">
        <v>78</v>
      </c>
      <c r="F1591">
        <v>6</v>
      </c>
      <c r="G1591" s="2">
        <v>532.89</v>
      </c>
      <c r="H1591">
        <v>0.28000000000000003</v>
      </c>
      <c r="I1591" t="s">
        <v>68</v>
      </c>
      <c r="J1591">
        <v>7</v>
      </c>
      <c r="K1591">
        <v>4.0999999999999996</v>
      </c>
      <c r="L1591" s="2">
        <v>2302.08</v>
      </c>
      <c r="M1591">
        <v>2026</v>
      </c>
      <c r="N1591">
        <v>5</v>
      </c>
      <c r="O1591" t="s">
        <v>132</v>
      </c>
      <c r="P1591" s="2">
        <v>3197.34</v>
      </c>
      <c r="Q1591" s="2">
        <v>895.26</v>
      </c>
      <c r="R1591" t="s">
        <v>66</v>
      </c>
      <c r="S1591">
        <v>0</v>
      </c>
      <c r="T1591">
        <v>0</v>
      </c>
      <c r="U1591">
        <f>IF(AND(OR(Dashboard!$D$4="Semua",D1591=Dashboard!$D$4),OR(Dashboard!$H$4="Semua",E1591=Dashboard!$H$4)),1,0)</f>
        <v>1</v>
      </c>
      <c r="V1591">
        <f>IF(U1591=1,IF(COUNTIFS($C$2:C1591,C1591,$U$2:U1591,1)=1,1,0),0)</f>
        <v>1</v>
      </c>
    </row>
    <row r="1592" spans="1:22" x14ac:dyDescent="0.35">
      <c r="A1592">
        <v>11591</v>
      </c>
      <c r="B1592" s="1">
        <v>46152</v>
      </c>
      <c r="C1592">
        <v>1935</v>
      </c>
      <c r="D1592" t="s">
        <v>67</v>
      </c>
      <c r="E1592" t="s">
        <v>78</v>
      </c>
      <c r="F1592">
        <v>1</v>
      </c>
      <c r="G1592" s="2">
        <v>226.53</v>
      </c>
      <c r="H1592">
        <v>0.31</v>
      </c>
      <c r="I1592" t="s">
        <v>64</v>
      </c>
      <c r="J1592">
        <v>7</v>
      </c>
      <c r="K1592">
        <v>3.4</v>
      </c>
      <c r="L1592" s="2">
        <v>156.31</v>
      </c>
      <c r="M1592">
        <v>2026</v>
      </c>
      <c r="N1592">
        <v>5</v>
      </c>
      <c r="O1592" t="s">
        <v>132</v>
      </c>
      <c r="P1592" s="2">
        <v>226.53</v>
      </c>
      <c r="Q1592" s="2">
        <v>70.22</v>
      </c>
      <c r="R1592" t="s">
        <v>72</v>
      </c>
      <c r="S1592">
        <v>0</v>
      </c>
      <c r="T1592">
        <v>0</v>
      </c>
      <c r="U1592">
        <f>IF(AND(OR(Dashboard!$D$4="Semua",D1592=Dashboard!$D$4),OR(Dashboard!$H$4="Semua",E1592=Dashboard!$H$4)),1,0)</f>
        <v>1</v>
      </c>
      <c r="V1592">
        <f>IF(U1592=1,IF(COUNTIFS($C$2:C1592,C1592,$U$2:U1592,1)=1,1,0),0)</f>
        <v>0</v>
      </c>
    </row>
    <row r="1593" spans="1:22" x14ac:dyDescent="0.35">
      <c r="A1593">
        <v>11592</v>
      </c>
      <c r="B1593" s="1">
        <v>46153</v>
      </c>
      <c r="C1593">
        <v>1910</v>
      </c>
      <c r="D1593" t="s">
        <v>67</v>
      </c>
      <c r="E1593" t="s">
        <v>74</v>
      </c>
      <c r="F1593">
        <v>5</v>
      </c>
      <c r="G1593" s="2">
        <v>560.48</v>
      </c>
      <c r="H1593">
        <v>0.34</v>
      </c>
      <c r="I1593" t="s">
        <v>64</v>
      </c>
      <c r="J1593">
        <v>6</v>
      </c>
      <c r="K1593">
        <v>4.5</v>
      </c>
      <c r="L1593" s="2">
        <v>1849.58</v>
      </c>
      <c r="M1593">
        <v>2026</v>
      </c>
      <c r="N1593">
        <v>5</v>
      </c>
      <c r="O1593" t="s">
        <v>132</v>
      </c>
      <c r="P1593" s="2">
        <v>2802.4</v>
      </c>
      <c r="Q1593" s="2">
        <v>952.82</v>
      </c>
      <c r="R1593" t="s">
        <v>72</v>
      </c>
      <c r="S1593">
        <v>0</v>
      </c>
      <c r="T1593">
        <v>0</v>
      </c>
      <c r="U1593">
        <f>IF(AND(OR(Dashboard!$D$4="Semua",D1593=Dashboard!$D$4),OR(Dashboard!$H$4="Semua",E1593=Dashboard!$H$4)),1,0)</f>
        <v>1</v>
      </c>
      <c r="V1593">
        <f>IF(U1593=1,IF(COUNTIFS($C$2:C1593,C1593,$U$2:U1593,1)=1,1,0),0)</f>
        <v>0</v>
      </c>
    </row>
    <row r="1594" spans="1:22" x14ac:dyDescent="0.35">
      <c r="A1594">
        <v>11593</v>
      </c>
      <c r="B1594" s="1">
        <v>46154</v>
      </c>
      <c r="C1594">
        <v>1660</v>
      </c>
      <c r="D1594" t="s">
        <v>73</v>
      </c>
      <c r="E1594" t="s">
        <v>63</v>
      </c>
      <c r="F1594">
        <v>4</v>
      </c>
      <c r="G1594" s="2">
        <v>383.91</v>
      </c>
      <c r="H1594">
        <v>0.25</v>
      </c>
      <c r="I1594" t="s">
        <v>71</v>
      </c>
      <c r="J1594">
        <v>9</v>
      </c>
      <c r="K1594">
        <v>3.4</v>
      </c>
      <c r="L1594" s="2">
        <v>1151.73</v>
      </c>
      <c r="M1594">
        <v>2026</v>
      </c>
      <c r="N1594">
        <v>5</v>
      </c>
      <c r="O1594" t="s">
        <v>132</v>
      </c>
      <c r="P1594" s="2">
        <v>1535.64</v>
      </c>
      <c r="Q1594" s="2">
        <v>383.91</v>
      </c>
      <c r="R1594" t="s">
        <v>77</v>
      </c>
      <c r="S1594">
        <v>0</v>
      </c>
      <c r="T1594">
        <v>0</v>
      </c>
      <c r="U1594">
        <f>IF(AND(OR(Dashboard!$D$4="Semua",D1594=Dashboard!$D$4),OR(Dashboard!$H$4="Semua",E1594=Dashboard!$H$4)),1,0)</f>
        <v>1</v>
      </c>
      <c r="V1594">
        <f>IF(U1594=1,IF(COUNTIFS($C$2:C1594,C1594,$U$2:U1594,1)=1,1,0),0)</f>
        <v>1</v>
      </c>
    </row>
    <row r="1595" spans="1:22" x14ac:dyDescent="0.35">
      <c r="A1595">
        <v>11594</v>
      </c>
      <c r="B1595" s="1">
        <v>46155</v>
      </c>
      <c r="C1595">
        <v>1430</v>
      </c>
      <c r="D1595" t="s">
        <v>67</v>
      </c>
      <c r="E1595" t="s">
        <v>74</v>
      </c>
      <c r="F1595">
        <v>5</v>
      </c>
      <c r="G1595" s="2">
        <v>561.48</v>
      </c>
      <c r="H1595">
        <v>0.19</v>
      </c>
      <c r="I1595" t="s">
        <v>68</v>
      </c>
      <c r="J1595">
        <v>7</v>
      </c>
      <c r="K1595">
        <v>3.2</v>
      </c>
      <c r="L1595" s="2">
        <v>2273.9899999999998</v>
      </c>
      <c r="M1595">
        <v>2026</v>
      </c>
      <c r="N1595">
        <v>5</v>
      </c>
      <c r="O1595" t="s">
        <v>132</v>
      </c>
      <c r="P1595" s="2">
        <v>2807.4</v>
      </c>
      <c r="Q1595" s="2">
        <v>533.41</v>
      </c>
      <c r="R1595" t="s">
        <v>76</v>
      </c>
      <c r="S1595">
        <v>0</v>
      </c>
      <c r="T1595">
        <v>0</v>
      </c>
      <c r="U1595">
        <f>IF(AND(OR(Dashboard!$D$4="Semua",D1595=Dashboard!$D$4),OR(Dashboard!$H$4="Semua",E1595=Dashboard!$H$4)),1,0)</f>
        <v>1</v>
      </c>
      <c r="V1595">
        <f>IF(U1595=1,IF(COUNTIFS($C$2:C1595,C1595,$U$2:U1595,1)=1,1,0),0)</f>
        <v>1</v>
      </c>
    </row>
    <row r="1596" spans="1:22" x14ac:dyDescent="0.35">
      <c r="A1596">
        <v>11595</v>
      </c>
      <c r="B1596" s="1">
        <v>46156</v>
      </c>
      <c r="C1596">
        <v>1968</v>
      </c>
      <c r="D1596" t="s">
        <v>67</v>
      </c>
      <c r="E1596" t="s">
        <v>63</v>
      </c>
      <c r="F1596">
        <v>2</v>
      </c>
      <c r="G1596" s="2">
        <v>457.94</v>
      </c>
      <c r="H1596">
        <v>0.09</v>
      </c>
      <c r="I1596" t="s">
        <v>71</v>
      </c>
      <c r="J1596">
        <v>11</v>
      </c>
      <c r="K1596">
        <v>4.2</v>
      </c>
      <c r="L1596" s="2">
        <v>833.45</v>
      </c>
      <c r="M1596">
        <v>2026</v>
      </c>
      <c r="N1596">
        <v>5</v>
      </c>
      <c r="O1596" t="s">
        <v>132</v>
      </c>
      <c r="P1596" s="2">
        <v>915.88</v>
      </c>
      <c r="Q1596" s="2">
        <v>82.43</v>
      </c>
      <c r="R1596" t="s">
        <v>69</v>
      </c>
      <c r="S1596">
        <v>0</v>
      </c>
      <c r="T1596">
        <v>0</v>
      </c>
      <c r="U1596">
        <f>IF(AND(OR(Dashboard!$D$4="Semua",D1596=Dashboard!$D$4),OR(Dashboard!$H$4="Semua",E1596=Dashboard!$H$4)),1,0)</f>
        <v>1</v>
      </c>
      <c r="V1596">
        <f>IF(U1596=1,IF(COUNTIFS($C$2:C1596,C1596,$U$2:U1596,1)=1,1,0),0)</f>
        <v>1</v>
      </c>
    </row>
    <row r="1597" spans="1:22" x14ac:dyDescent="0.35">
      <c r="A1597">
        <v>11596</v>
      </c>
      <c r="B1597" s="1">
        <v>46157</v>
      </c>
      <c r="C1597">
        <v>1308</v>
      </c>
      <c r="D1597" t="s">
        <v>67</v>
      </c>
      <c r="E1597" t="s">
        <v>78</v>
      </c>
      <c r="F1597">
        <v>6</v>
      </c>
      <c r="G1597" s="2">
        <v>75.510000000000005</v>
      </c>
      <c r="H1597">
        <v>0.35</v>
      </c>
      <c r="I1597" t="s">
        <v>68</v>
      </c>
      <c r="J1597">
        <v>4</v>
      </c>
      <c r="K1597">
        <v>3.2</v>
      </c>
      <c r="L1597" s="2">
        <v>294.49</v>
      </c>
      <c r="M1597">
        <v>2026</v>
      </c>
      <c r="N1597">
        <v>5</v>
      </c>
      <c r="O1597" t="s">
        <v>132</v>
      </c>
      <c r="P1597" s="2">
        <v>453.06</v>
      </c>
      <c r="Q1597" s="2">
        <v>158.57</v>
      </c>
      <c r="R1597" t="s">
        <v>72</v>
      </c>
      <c r="S1597">
        <v>0</v>
      </c>
      <c r="T1597">
        <v>0</v>
      </c>
      <c r="U1597">
        <f>IF(AND(OR(Dashboard!$D$4="Semua",D1597=Dashboard!$D$4),OR(Dashboard!$H$4="Semua",E1597=Dashboard!$H$4)),1,0)</f>
        <v>1</v>
      </c>
      <c r="V1597">
        <f>IF(U1597=1,IF(COUNTIFS($C$2:C1597,C1597,$U$2:U1597,1)=1,1,0),0)</f>
        <v>0</v>
      </c>
    </row>
    <row r="1598" spans="1:22" x14ac:dyDescent="0.35">
      <c r="A1598">
        <v>11597</v>
      </c>
      <c r="B1598" s="1">
        <v>46158</v>
      </c>
      <c r="C1598">
        <v>1136</v>
      </c>
      <c r="D1598" t="s">
        <v>67</v>
      </c>
      <c r="E1598" t="s">
        <v>74</v>
      </c>
      <c r="F1598">
        <v>7</v>
      </c>
      <c r="G1598" s="2">
        <v>150.22</v>
      </c>
      <c r="H1598">
        <v>0.21</v>
      </c>
      <c r="I1598" t="s">
        <v>68</v>
      </c>
      <c r="J1598">
        <v>11</v>
      </c>
      <c r="K1598">
        <v>4.4000000000000004</v>
      </c>
      <c r="L1598" s="2">
        <v>830.72</v>
      </c>
      <c r="M1598">
        <v>2026</v>
      </c>
      <c r="N1598">
        <v>5</v>
      </c>
      <c r="O1598" t="s">
        <v>132</v>
      </c>
      <c r="P1598" s="2">
        <v>1051.54</v>
      </c>
      <c r="Q1598" s="2">
        <v>220.82</v>
      </c>
      <c r="R1598" t="s">
        <v>77</v>
      </c>
      <c r="S1598">
        <v>0</v>
      </c>
      <c r="T1598">
        <v>0</v>
      </c>
      <c r="U1598">
        <f>IF(AND(OR(Dashboard!$D$4="Semua",D1598=Dashboard!$D$4),OR(Dashboard!$H$4="Semua",E1598=Dashboard!$H$4)),1,0)</f>
        <v>1</v>
      </c>
      <c r="V1598">
        <f>IF(U1598=1,IF(COUNTIFS($C$2:C1598,C1598,$U$2:U1598,1)=1,1,0),0)</f>
        <v>0</v>
      </c>
    </row>
    <row r="1599" spans="1:22" x14ac:dyDescent="0.35">
      <c r="A1599">
        <v>11598</v>
      </c>
      <c r="B1599" s="1">
        <v>46159</v>
      </c>
      <c r="C1599">
        <v>1201</v>
      </c>
      <c r="D1599" t="s">
        <v>73</v>
      </c>
      <c r="E1599" t="s">
        <v>78</v>
      </c>
      <c r="F1599">
        <v>4</v>
      </c>
      <c r="G1599" s="2">
        <v>245.59</v>
      </c>
      <c r="H1599">
        <v>0.24</v>
      </c>
      <c r="I1599" t="s">
        <v>71</v>
      </c>
      <c r="J1599">
        <v>10</v>
      </c>
      <c r="K1599">
        <v>1.2</v>
      </c>
      <c r="L1599" s="2">
        <v>746.59</v>
      </c>
      <c r="M1599">
        <v>2026</v>
      </c>
      <c r="N1599">
        <v>5</v>
      </c>
      <c r="O1599" t="s">
        <v>132</v>
      </c>
      <c r="P1599" s="2">
        <v>982.36</v>
      </c>
      <c r="Q1599" s="2">
        <v>235.77</v>
      </c>
      <c r="R1599" t="s">
        <v>77</v>
      </c>
      <c r="S1599">
        <v>0</v>
      </c>
      <c r="T1599">
        <v>0</v>
      </c>
      <c r="U1599">
        <f>IF(AND(OR(Dashboard!$D$4="Semua",D1599=Dashboard!$D$4),OR(Dashboard!$H$4="Semua",E1599=Dashboard!$H$4)),1,0)</f>
        <v>1</v>
      </c>
      <c r="V1599">
        <f>IF(U1599=1,IF(COUNTIFS($C$2:C1599,C1599,$U$2:U1599,1)=1,1,0),0)</f>
        <v>0</v>
      </c>
    </row>
    <row r="1600" spans="1:22" x14ac:dyDescent="0.35">
      <c r="A1600">
        <v>11599</v>
      </c>
      <c r="B1600" s="1">
        <v>46160</v>
      </c>
      <c r="C1600">
        <v>1435</v>
      </c>
      <c r="D1600" t="s">
        <v>73</v>
      </c>
      <c r="E1600" t="s">
        <v>63</v>
      </c>
      <c r="F1600">
        <v>7</v>
      </c>
      <c r="G1600" s="2">
        <v>114.51</v>
      </c>
      <c r="H1600">
        <v>0.24</v>
      </c>
      <c r="I1600" t="s">
        <v>68</v>
      </c>
      <c r="J1600">
        <v>9</v>
      </c>
      <c r="K1600">
        <v>3</v>
      </c>
      <c r="L1600" s="2">
        <v>609.19000000000005</v>
      </c>
      <c r="M1600">
        <v>2026</v>
      </c>
      <c r="N1600">
        <v>5</v>
      </c>
      <c r="O1600" t="s">
        <v>132</v>
      </c>
      <c r="P1600" s="2">
        <v>801.57</v>
      </c>
      <c r="Q1600" s="2">
        <v>192.38</v>
      </c>
      <c r="R1600" t="s">
        <v>77</v>
      </c>
      <c r="S1600">
        <v>0</v>
      </c>
      <c r="T1600">
        <v>0</v>
      </c>
      <c r="U1600">
        <f>IF(AND(OR(Dashboard!$D$4="Semua",D1600=Dashboard!$D$4),OR(Dashboard!$H$4="Semua",E1600=Dashboard!$H$4)),1,0)</f>
        <v>1</v>
      </c>
      <c r="V1600">
        <f>IF(U1600=1,IF(COUNTIFS($C$2:C1600,C1600,$U$2:U1600,1)=1,1,0),0)</f>
        <v>0</v>
      </c>
    </row>
    <row r="1601" spans="1:22" x14ac:dyDescent="0.35">
      <c r="A1601">
        <v>11600</v>
      </c>
      <c r="B1601" s="1">
        <v>46161</v>
      </c>
      <c r="C1601">
        <v>1312</v>
      </c>
      <c r="D1601" t="s">
        <v>73</v>
      </c>
      <c r="E1601" t="s">
        <v>70</v>
      </c>
      <c r="F1601">
        <v>3</v>
      </c>
      <c r="G1601" s="2">
        <v>304.52</v>
      </c>
      <c r="H1601">
        <v>0.3</v>
      </c>
      <c r="I1601" t="s">
        <v>71</v>
      </c>
      <c r="J1601">
        <v>6</v>
      </c>
      <c r="K1601">
        <v>4.3</v>
      </c>
      <c r="L1601" s="2">
        <v>639.49</v>
      </c>
      <c r="M1601">
        <v>2026</v>
      </c>
      <c r="N1601">
        <v>5</v>
      </c>
      <c r="O1601" t="s">
        <v>132</v>
      </c>
      <c r="P1601" s="2">
        <v>913.56</v>
      </c>
      <c r="Q1601" s="2">
        <v>274.07</v>
      </c>
      <c r="R1601" t="s">
        <v>66</v>
      </c>
      <c r="S1601">
        <v>0</v>
      </c>
      <c r="T1601">
        <v>0</v>
      </c>
      <c r="U1601">
        <f>IF(AND(OR(Dashboard!$D$4="Semua",D1601=Dashboard!$D$4),OR(Dashboard!$H$4="Semua",E1601=Dashboard!$H$4)),1,0)</f>
        <v>1</v>
      </c>
      <c r="V1601">
        <f>IF(U1601=1,IF(COUNTIFS($C$2:C1601,C1601,$U$2:U1601,1)=1,1,0),0)</f>
        <v>1</v>
      </c>
    </row>
    <row r="1602" spans="1:22" x14ac:dyDescent="0.35">
      <c r="A1602">
        <v>11601</v>
      </c>
      <c r="B1602" s="1">
        <v>46162</v>
      </c>
      <c r="C1602">
        <v>1116</v>
      </c>
      <c r="D1602" t="s">
        <v>73</v>
      </c>
      <c r="E1602" t="s">
        <v>63</v>
      </c>
      <c r="F1602">
        <v>2</v>
      </c>
      <c r="G1602" s="2">
        <v>290.75</v>
      </c>
      <c r="H1602">
        <v>0</v>
      </c>
      <c r="I1602" t="s">
        <v>64</v>
      </c>
      <c r="J1602">
        <v>1</v>
      </c>
      <c r="K1602">
        <v>4.4000000000000004</v>
      </c>
      <c r="L1602" s="2">
        <v>581.5</v>
      </c>
      <c r="M1602">
        <v>2026</v>
      </c>
      <c r="N1602">
        <v>5</v>
      </c>
      <c r="O1602" t="s">
        <v>132</v>
      </c>
      <c r="P1602" s="2">
        <v>581.5</v>
      </c>
      <c r="Q1602" s="2">
        <v>0</v>
      </c>
      <c r="R1602" t="s">
        <v>75</v>
      </c>
      <c r="S1602">
        <v>0</v>
      </c>
      <c r="T1602">
        <v>0</v>
      </c>
      <c r="U1602">
        <f>IF(AND(OR(Dashboard!$D$4="Semua",D1602=Dashboard!$D$4),OR(Dashboard!$H$4="Semua",E1602=Dashboard!$H$4)),1,0)</f>
        <v>1</v>
      </c>
      <c r="V1602">
        <f>IF(U1602=1,IF(COUNTIFS($C$2:C1602,C1602,$U$2:U1602,1)=1,1,0),0)</f>
        <v>0</v>
      </c>
    </row>
    <row r="1603" spans="1:22" x14ac:dyDescent="0.35">
      <c r="A1603">
        <v>11602</v>
      </c>
      <c r="B1603" s="1">
        <v>46163</v>
      </c>
      <c r="C1603">
        <v>1665</v>
      </c>
      <c r="D1603" t="s">
        <v>73</v>
      </c>
      <c r="E1603" t="s">
        <v>70</v>
      </c>
      <c r="F1603">
        <v>1</v>
      </c>
      <c r="G1603" s="2">
        <v>574.41</v>
      </c>
      <c r="H1603">
        <v>0.08</v>
      </c>
      <c r="I1603" t="s">
        <v>64</v>
      </c>
      <c r="J1603">
        <v>9</v>
      </c>
      <c r="K1603">
        <v>4.3</v>
      </c>
      <c r="L1603" s="2">
        <v>528.46</v>
      </c>
      <c r="M1603">
        <v>2026</v>
      </c>
      <c r="N1603">
        <v>5</v>
      </c>
      <c r="O1603" t="s">
        <v>132</v>
      </c>
      <c r="P1603" s="2">
        <v>574.41</v>
      </c>
      <c r="Q1603" s="2">
        <v>45.95</v>
      </c>
      <c r="R1603" t="s">
        <v>69</v>
      </c>
      <c r="S1603">
        <v>0</v>
      </c>
      <c r="T1603">
        <v>0</v>
      </c>
      <c r="U1603">
        <f>IF(AND(OR(Dashboard!$D$4="Semua",D1603=Dashboard!$D$4),OR(Dashboard!$H$4="Semua",E1603=Dashboard!$H$4)),1,0)</f>
        <v>1</v>
      </c>
      <c r="V1603">
        <f>IF(U1603=1,IF(COUNTIFS($C$2:C1603,C1603,$U$2:U1603,1)=1,1,0),0)</f>
        <v>0</v>
      </c>
    </row>
    <row r="1604" spans="1:22" x14ac:dyDescent="0.35">
      <c r="A1604">
        <v>11603</v>
      </c>
      <c r="B1604" s="1">
        <v>46164</v>
      </c>
      <c r="C1604">
        <v>1936</v>
      </c>
      <c r="D1604" t="s">
        <v>62</v>
      </c>
      <c r="E1604" t="s">
        <v>78</v>
      </c>
      <c r="F1604">
        <v>1</v>
      </c>
      <c r="G1604" s="2">
        <v>268.73</v>
      </c>
      <c r="H1604">
        <v>0.23</v>
      </c>
      <c r="I1604" t="s">
        <v>64</v>
      </c>
      <c r="J1604">
        <v>11</v>
      </c>
      <c r="K1604">
        <v>3.4</v>
      </c>
      <c r="L1604" s="2">
        <v>206.92</v>
      </c>
      <c r="M1604">
        <v>2026</v>
      </c>
      <c r="N1604">
        <v>5</v>
      </c>
      <c r="O1604" t="s">
        <v>132</v>
      </c>
      <c r="P1604" s="2">
        <v>268.73</v>
      </c>
      <c r="Q1604" s="2">
        <v>61.81</v>
      </c>
      <c r="R1604" t="s">
        <v>77</v>
      </c>
      <c r="S1604">
        <v>0</v>
      </c>
      <c r="T1604">
        <v>0</v>
      </c>
      <c r="U1604">
        <f>IF(AND(OR(Dashboard!$D$4="Semua",D1604=Dashboard!$D$4),OR(Dashboard!$H$4="Semua",E1604=Dashboard!$H$4)),1,0)</f>
        <v>1</v>
      </c>
      <c r="V1604">
        <f>IF(U1604=1,IF(COUNTIFS($C$2:C1604,C1604,$U$2:U1604,1)=1,1,0),0)</f>
        <v>1</v>
      </c>
    </row>
    <row r="1605" spans="1:22" x14ac:dyDescent="0.35">
      <c r="A1605">
        <v>11604</v>
      </c>
      <c r="B1605" s="1">
        <v>46165</v>
      </c>
      <c r="C1605">
        <v>1802</v>
      </c>
      <c r="D1605" t="s">
        <v>67</v>
      </c>
      <c r="E1605" t="s">
        <v>78</v>
      </c>
      <c r="F1605">
        <v>5</v>
      </c>
      <c r="G1605" s="2">
        <v>474.59</v>
      </c>
      <c r="H1605">
        <v>0.31</v>
      </c>
      <c r="I1605" t="s">
        <v>64</v>
      </c>
      <c r="J1605">
        <v>7</v>
      </c>
      <c r="K1605">
        <v>5</v>
      </c>
      <c r="L1605" s="2">
        <v>1637.34</v>
      </c>
      <c r="M1605">
        <v>2026</v>
      </c>
      <c r="N1605">
        <v>5</v>
      </c>
      <c r="O1605" t="s">
        <v>132</v>
      </c>
      <c r="P1605" s="2">
        <v>2372.9499999999998</v>
      </c>
      <c r="Q1605" s="2">
        <v>735.61</v>
      </c>
      <c r="R1605" t="s">
        <v>72</v>
      </c>
      <c r="S1605">
        <v>0</v>
      </c>
      <c r="T1605">
        <v>0</v>
      </c>
      <c r="U1605">
        <f>IF(AND(OR(Dashboard!$D$4="Semua",D1605=Dashboard!$D$4),OR(Dashboard!$H$4="Semua",E1605=Dashboard!$H$4)),1,0)</f>
        <v>1</v>
      </c>
      <c r="V1605">
        <f>IF(U1605=1,IF(COUNTIFS($C$2:C1605,C1605,$U$2:U1605,1)=1,1,0),0)</f>
        <v>1</v>
      </c>
    </row>
    <row r="1606" spans="1:22" x14ac:dyDescent="0.35">
      <c r="A1606">
        <v>11605</v>
      </c>
      <c r="B1606" s="1">
        <v>46166</v>
      </c>
      <c r="C1606">
        <v>1574</v>
      </c>
      <c r="D1606" t="s">
        <v>67</v>
      </c>
      <c r="E1606" t="s">
        <v>74</v>
      </c>
      <c r="F1606">
        <v>6</v>
      </c>
      <c r="G1606" s="2">
        <v>566.02</v>
      </c>
      <c r="H1606">
        <v>0.24</v>
      </c>
      <c r="I1606" t="s">
        <v>68</v>
      </c>
      <c r="J1606">
        <v>6</v>
      </c>
      <c r="K1606">
        <v>1.7</v>
      </c>
      <c r="L1606" s="2">
        <v>2581.0500000000002</v>
      </c>
      <c r="M1606">
        <v>2026</v>
      </c>
      <c r="N1606">
        <v>5</v>
      </c>
      <c r="O1606" t="s">
        <v>132</v>
      </c>
      <c r="P1606" s="2">
        <v>3396.12</v>
      </c>
      <c r="Q1606" s="2">
        <v>815.07</v>
      </c>
      <c r="R1606" t="s">
        <v>77</v>
      </c>
      <c r="S1606">
        <v>0</v>
      </c>
      <c r="T1606">
        <v>0</v>
      </c>
      <c r="U1606">
        <f>IF(AND(OR(Dashboard!$D$4="Semua",D1606=Dashboard!$D$4),OR(Dashboard!$H$4="Semua",E1606=Dashboard!$H$4)),1,0)</f>
        <v>1</v>
      </c>
      <c r="V1606">
        <f>IF(U1606=1,IF(COUNTIFS($C$2:C1606,C1606,$U$2:U1606,1)=1,1,0),0)</f>
        <v>0</v>
      </c>
    </row>
    <row r="1607" spans="1:22" x14ac:dyDescent="0.35">
      <c r="A1607">
        <v>11606</v>
      </c>
      <c r="B1607" s="1">
        <v>46167</v>
      </c>
      <c r="C1607">
        <v>1243</v>
      </c>
      <c r="D1607" t="s">
        <v>62</v>
      </c>
      <c r="E1607" t="s">
        <v>70</v>
      </c>
      <c r="F1607">
        <v>5</v>
      </c>
      <c r="G1607" s="2">
        <v>528.04</v>
      </c>
      <c r="H1607">
        <v>0.14000000000000001</v>
      </c>
      <c r="I1607" t="s">
        <v>64</v>
      </c>
      <c r="J1607">
        <v>6</v>
      </c>
      <c r="K1607">
        <v>1.7</v>
      </c>
      <c r="L1607" s="2">
        <v>2270.5700000000002</v>
      </c>
      <c r="M1607">
        <v>2026</v>
      </c>
      <c r="N1607">
        <v>5</v>
      </c>
      <c r="O1607" t="s">
        <v>132</v>
      </c>
      <c r="P1607" s="2">
        <v>2640.2</v>
      </c>
      <c r="Q1607" s="2">
        <v>369.63</v>
      </c>
      <c r="R1607" t="s">
        <v>79</v>
      </c>
      <c r="S1607">
        <v>0</v>
      </c>
      <c r="T1607">
        <v>0</v>
      </c>
      <c r="U1607">
        <f>IF(AND(OR(Dashboard!$D$4="Semua",D1607=Dashboard!$D$4),OR(Dashboard!$H$4="Semua",E1607=Dashboard!$H$4)),1,0)</f>
        <v>1</v>
      </c>
      <c r="V1607">
        <f>IF(U1607=1,IF(COUNTIFS($C$2:C1607,C1607,$U$2:U1607,1)=1,1,0),0)</f>
        <v>0</v>
      </c>
    </row>
    <row r="1608" spans="1:22" x14ac:dyDescent="0.35">
      <c r="A1608">
        <v>11607</v>
      </c>
      <c r="B1608" s="1">
        <v>46168</v>
      </c>
      <c r="C1608">
        <v>1536</v>
      </c>
      <c r="D1608" t="s">
        <v>62</v>
      </c>
      <c r="E1608" t="s">
        <v>63</v>
      </c>
      <c r="F1608">
        <v>3</v>
      </c>
      <c r="G1608" s="2">
        <v>137.07</v>
      </c>
      <c r="H1608">
        <v>0.13</v>
      </c>
      <c r="I1608" t="s">
        <v>64</v>
      </c>
      <c r="J1608">
        <v>4</v>
      </c>
      <c r="K1608">
        <v>1.1000000000000001</v>
      </c>
      <c r="L1608" s="2">
        <v>357.75</v>
      </c>
      <c r="M1608">
        <v>2026</v>
      </c>
      <c r="N1608">
        <v>5</v>
      </c>
      <c r="O1608" t="s">
        <v>132</v>
      </c>
      <c r="P1608" s="2">
        <v>411.21</v>
      </c>
      <c r="Q1608" s="2">
        <v>53.46</v>
      </c>
      <c r="R1608" t="s">
        <v>79</v>
      </c>
      <c r="S1608">
        <v>0</v>
      </c>
      <c r="T1608">
        <v>0</v>
      </c>
      <c r="U1608">
        <f>IF(AND(OR(Dashboard!$D$4="Semua",D1608=Dashboard!$D$4),OR(Dashboard!$H$4="Semua",E1608=Dashboard!$H$4)),1,0)</f>
        <v>1</v>
      </c>
      <c r="V1608">
        <f>IF(U1608=1,IF(COUNTIFS($C$2:C1608,C1608,$U$2:U1608,1)=1,1,0),0)</f>
        <v>0</v>
      </c>
    </row>
    <row r="1609" spans="1:22" x14ac:dyDescent="0.35">
      <c r="A1609">
        <v>11608</v>
      </c>
      <c r="B1609" s="1">
        <v>46169</v>
      </c>
      <c r="C1609">
        <v>1601</v>
      </c>
      <c r="D1609" t="s">
        <v>67</v>
      </c>
      <c r="E1609" t="s">
        <v>78</v>
      </c>
      <c r="F1609">
        <v>3</v>
      </c>
      <c r="G1609" s="2">
        <v>305.18</v>
      </c>
      <c r="H1609">
        <v>0.26</v>
      </c>
      <c r="I1609" t="s">
        <v>64</v>
      </c>
      <c r="J1609">
        <v>4</v>
      </c>
      <c r="K1609">
        <v>5</v>
      </c>
      <c r="L1609" s="2">
        <v>677.5</v>
      </c>
      <c r="M1609">
        <v>2026</v>
      </c>
      <c r="N1609">
        <v>5</v>
      </c>
      <c r="O1609" t="s">
        <v>132</v>
      </c>
      <c r="P1609" s="2">
        <v>915.54</v>
      </c>
      <c r="Q1609" s="2">
        <v>238.04</v>
      </c>
      <c r="R1609" t="s">
        <v>66</v>
      </c>
      <c r="S1609">
        <v>0</v>
      </c>
      <c r="T1609">
        <v>0</v>
      </c>
      <c r="U1609">
        <f>IF(AND(OR(Dashboard!$D$4="Semua",D1609=Dashboard!$D$4),OR(Dashboard!$H$4="Semua",E1609=Dashboard!$H$4)),1,0)</f>
        <v>1</v>
      </c>
      <c r="V1609">
        <f>IF(U1609=1,IF(COUNTIFS($C$2:C1609,C1609,$U$2:U1609,1)=1,1,0),0)</f>
        <v>0</v>
      </c>
    </row>
    <row r="1610" spans="1:22" x14ac:dyDescent="0.35">
      <c r="A1610">
        <v>11609</v>
      </c>
      <c r="B1610" s="1">
        <v>46170</v>
      </c>
      <c r="C1610">
        <v>1074</v>
      </c>
      <c r="D1610" t="s">
        <v>80</v>
      </c>
      <c r="E1610" t="s">
        <v>70</v>
      </c>
      <c r="F1610">
        <v>1</v>
      </c>
      <c r="G1610" s="2">
        <v>218.43</v>
      </c>
      <c r="H1610">
        <v>0.26</v>
      </c>
      <c r="I1610" t="s">
        <v>71</v>
      </c>
      <c r="J1610">
        <v>11</v>
      </c>
      <c r="K1610">
        <v>2.4</v>
      </c>
      <c r="L1610" s="2">
        <v>161.63999999999999</v>
      </c>
      <c r="M1610">
        <v>2026</v>
      </c>
      <c r="N1610">
        <v>5</v>
      </c>
      <c r="O1610" t="s">
        <v>132</v>
      </c>
      <c r="P1610" s="2">
        <v>218.43</v>
      </c>
      <c r="Q1610" s="2">
        <v>56.79</v>
      </c>
      <c r="R1610" t="s">
        <v>66</v>
      </c>
      <c r="S1610">
        <v>0</v>
      </c>
      <c r="T1610">
        <v>0</v>
      </c>
      <c r="U1610">
        <f>IF(AND(OR(Dashboard!$D$4="Semua",D1610=Dashboard!$D$4),OR(Dashboard!$H$4="Semua",E1610=Dashboard!$H$4)),1,0)</f>
        <v>1</v>
      </c>
      <c r="V1610">
        <f>IF(U1610=1,IF(COUNTIFS($C$2:C1610,C1610,$U$2:U1610,1)=1,1,0),0)</f>
        <v>0</v>
      </c>
    </row>
    <row r="1611" spans="1:22" x14ac:dyDescent="0.35">
      <c r="A1611">
        <v>11610</v>
      </c>
      <c r="B1611" s="1">
        <v>46171</v>
      </c>
      <c r="C1611">
        <v>1805</v>
      </c>
      <c r="D1611" t="s">
        <v>73</v>
      </c>
      <c r="E1611" t="s">
        <v>63</v>
      </c>
      <c r="F1611">
        <v>7</v>
      </c>
      <c r="G1611" s="2">
        <v>248.92</v>
      </c>
      <c r="H1611">
        <v>0.21</v>
      </c>
      <c r="I1611" t="s">
        <v>68</v>
      </c>
      <c r="J1611">
        <v>3</v>
      </c>
      <c r="K1611">
        <v>4</v>
      </c>
      <c r="L1611" s="2">
        <v>1376.53</v>
      </c>
      <c r="M1611">
        <v>2026</v>
      </c>
      <c r="N1611">
        <v>5</v>
      </c>
      <c r="O1611" t="s">
        <v>132</v>
      </c>
      <c r="P1611" s="2">
        <v>1742.44</v>
      </c>
      <c r="Q1611" s="2">
        <v>365.91</v>
      </c>
      <c r="R1611" t="s">
        <v>77</v>
      </c>
      <c r="S1611">
        <v>0</v>
      </c>
      <c r="T1611">
        <v>0</v>
      </c>
      <c r="U1611">
        <f>IF(AND(OR(Dashboard!$D$4="Semua",D1611=Dashboard!$D$4),OR(Dashboard!$H$4="Semua",E1611=Dashboard!$H$4)),1,0)</f>
        <v>1</v>
      </c>
      <c r="V1611">
        <f>IF(U1611=1,IF(COUNTIFS($C$2:C1611,C1611,$U$2:U1611,1)=1,1,0),0)</f>
        <v>0</v>
      </c>
    </row>
    <row r="1612" spans="1:22" x14ac:dyDescent="0.35">
      <c r="A1612">
        <v>11611</v>
      </c>
      <c r="B1612" s="1">
        <v>46172</v>
      </c>
      <c r="C1612">
        <v>1385</v>
      </c>
      <c r="D1612" t="s">
        <v>73</v>
      </c>
      <c r="E1612" t="s">
        <v>70</v>
      </c>
      <c r="F1612">
        <v>4</v>
      </c>
      <c r="G1612" s="2">
        <v>226.07</v>
      </c>
      <c r="H1612">
        <v>0.1</v>
      </c>
      <c r="I1612" t="s">
        <v>68</v>
      </c>
      <c r="J1612">
        <v>8</v>
      </c>
      <c r="K1612">
        <v>1.2</v>
      </c>
      <c r="L1612" s="2">
        <v>813.85</v>
      </c>
      <c r="M1612">
        <v>2026</v>
      </c>
      <c r="N1612">
        <v>5</v>
      </c>
      <c r="O1612" t="s">
        <v>132</v>
      </c>
      <c r="P1612" s="2">
        <v>904.28</v>
      </c>
      <c r="Q1612" s="2">
        <v>90.43</v>
      </c>
      <c r="R1612" t="s">
        <v>69</v>
      </c>
      <c r="S1612">
        <v>0</v>
      </c>
      <c r="T1612">
        <v>0</v>
      </c>
      <c r="U1612">
        <f>IF(AND(OR(Dashboard!$D$4="Semua",D1612=Dashboard!$D$4),OR(Dashboard!$H$4="Semua",E1612=Dashboard!$H$4)),1,0)</f>
        <v>1</v>
      </c>
      <c r="V1612">
        <f>IF(U1612=1,IF(COUNTIFS($C$2:C1612,C1612,$U$2:U1612,1)=1,1,0),0)</f>
        <v>0</v>
      </c>
    </row>
    <row r="1613" spans="1:22" x14ac:dyDescent="0.35">
      <c r="A1613">
        <v>11612</v>
      </c>
      <c r="B1613" s="1">
        <v>46173</v>
      </c>
      <c r="C1613">
        <v>1902</v>
      </c>
      <c r="D1613" t="s">
        <v>67</v>
      </c>
      <c r="E1613" t="s">
        <v>63</v>
      </c>
      <c r="F1613">
        <v>1</v>
      </c>
      <c r="G1613" s="2">
        <v>498.42</v>
      </c>
      <c r="H1613">
        <v>0.32</v>
      </c>
      <c r="I1613" t="s">
        <v>68</v>
      </c>
      <c r="J1613">
        <v>8</v>
      </c>
      <c r="K1613">
        <v>2.2000000000000002</v>
      </c>
      <c r="L1613" s="2">
        <v>338.93</v>
      </c>
      <c r="M1613">
        <v>2026</v>
      </c>
      <c r="N1613">
        <v>5</v>
      </c>
      <c r="O1613" t="s">
        <v>132</v>
      </c>
      <c r="P1613" s="2">
        <v>498.42</v>
      </c>
      <c r="Q1613" s="2">
        <v>159.49</v>
      </c>
      <c r="R1613" t="s">
        <v>72</v>
      </c>
      <c r="S1613">
        <v>0</v>
      </c>
      <c r="T1613">
        <v>0</v>
      </c>
      <c r="U1613">
        <f>IF(AND(OR(Dashboard!$D$4="Semua",D1613=Dashboard!$D$4),OR(Dashboard!$H$4="Semua",E1613=Dashboard!$H$4)),1,0)</f>
        <v>1</v>
      </c>
      <c r="V1613">
        <f>IF(U1613=1,IF(COUNTIFS($C$2:C1613,C1613,$U$2:U1613,1)=1,1,0),0)</f>
        <v>0</v>
      </c>
    </row>
    <row r="1614" spans="1:22" x14ac:dyDescent="0.35">
      <c r="A1614">
        <v>11613</v>
      </c>
      <c r="B1614" s="1">
        <v>46174</v>
      </c>
      <c r="C1614">
        <v>1209</v>
      </c>
      <c r="D1614" t="s">
        <v>80</v>
      </c>
      <c r="E1614" t="s">
        <v>63</v>
      </c>
      <c r="F1614">
        <v>1</v>
      </c>
      <c r="G1614" s="2">
        <v>279.5</v>
      </c>
      <c r="H1614">
        <v>0.19</v>
      </c>
      <c r="I1614" t="s">
        <v>64</v>
      </c>
      <c r="J1614">
        <v>2</v>
      </c>
      <c r="K1614">
        <v>3.5</v>
      </c>
      <c r="L1614" s="2">
        <v>226.4</v>
      </c>
      <c r="M1614">
        <v>2026</v>
      </c>
      <c r="N1614">
        <v>6</v>
      </c>
      <c r="O1614" t="s">
        <v>133</v>
      </c>
      <c r="P1614" s="2">
        <v>279.5</v>
      </c>
      <c r="Q1614" s="2">
        <v>53.1</v>
      </c>
      <c r="R1614" t="s">
        <v>76</v>
      </c>
      <c r="S1614">
        <v>0</v>
      </c>
      <c r="T1614">
        <v>0</v>
      </c>
      <c r="U1614">
        <f>IF(AND(OR(Dashboard!$D$4="Semua",D1614=Dashboard!$D$4),OR(Dashboard!$H$4="Semua",E1614=Dashboard!$H$4)),1,0)</f>
        <v>1</v>
      </c>
      <c r="V1614">
        <f>IF(U1614=1,IF(COUNTIFS($C$2:C1614,C1614,$U$2:U1614,1)=1,1,0),0)</f>
        <v>0</v>
      </c>
    </row>
    <row r="1615" spans="1:22" x14ac:dyDescent="0.35">
      <c r="A1615">
        <v>11614</v>
      </c>
      <c r="B1615" s="1">
        <v>46175</v>
      </c>
      <c r="C1615">
        <v>1474</v>
      </c>
      <c r="D1615" t="s">
        <v>80</v>
      </c>
      <c r="E1615" t="s">
        <v>63</v>
      </c>
      <c r="F1615">
        <v>7</v>
      </c>
      <c r="G1615" s="2">
        <v>321.36</v>
      </c>
      <c r="H1615">
        <v>0.28000000000000003</v>
      </c>
      <c r="I1615" t="s">
        <v>71</v>
      </c>
      <c r="J1615">
        <v>5</v>
      </c>
      <c r="K1615">
        <v>3.1</v>
      </c>
      <c r="L1615" s="2">
        <v>1619.65</v>
      </c>
      <c r="M1615">
        <v>2026</v>
      </c>
      <c r="N1615">
        <v>6</v>
      </c>
      <c r="O1615" t="s">
        <v>133</v>
      </c>
      <c r="P1615" s="2">
        <v>2249.52</v>
      </c>
      <c r="Q1615" s="2">
        <v>629.87</v>
      </c>
      <c r="R1615" t="s">
        <v>66</v>
      </c>
      <c r="S1615">
        <v>0</v>
      </c>
      <c r="T1615">
        <v>0</v>
      </c>
      <c r="U1615">
        <f>IF(AND(OR(Dashboard!$D$4="Semua",D1615=Dashboard!$D$4),OR(Dashboard!$H$4="Semua",E1615=Dashboard!$H$4)),1,0)</f>
        <v>1</v>
      </c>
      <c r="V1615">
        <f>IF(U1615=1,IF(COUNTIFS($C$2:C1615,C1615,$U$2:U1615,1)=1,1,0),0)</f>
        <v>0</v>
      </c>
    </row>
    <row r="1616" spans="1:22" x14ac:dyDescent="0.35">
      <c r="A1616">
        <v>11615</v>
      </c>
      <c r="B1616" s="1">
        <v>46176</v>
      </c>
      <c r="C1616">
        <v>1417</v>
      </c>
      <c r="D1616" t="s">
        <v>73</v>
      </c>
      <c r="E1616" t="s">
        <v>63</v>
      </c>
      <c r="F1616">
        <v>7</v>
      </c>
      <c r="G1616" s="2">
        <v>589.73</v>
      </c>
      <c r="H1616">
        <v>0.08</v>
      </c>
      <c r="I1616" t="s">
        <v>64</v>
      </c>
      <c r="J1616">
        <v>9</v>
      </c>
      <c r="K1616">
        <v>1.8</v>
      </c>
      <c r="L1616" s="2">
        <v>3797.86</v>
      </c>
      <c r="M1616">
        <v>2026</v>
      </c>
      <c r="N1616">
        <v>6</v>
      </c>
      <c r="O1616" t="s">
        <v>133</v>
      </c>
      <c r="P1616" s="2">
        <v>4128.1099999999997</v>
      </c>
      <c r="Q1616" s="2">
        <v>330.25</v>
      </c>
      <c r="R1616" t="s">
        <v>69</v>
      </c>
      <c r="S1616">
        <v>0</v>
      </c>
      <c r="T1616">
        <v>1</v>
      </c>
      <c r="U1616">
        <f>IF(AND(OR(Dashboard!$D$4="Semua",D1616=Dashboard!$D$4),OR(Dashboard!$H$4="Semua",E1616=Dashboard!$H$4)),1,0)</f>
        <v>1</v>
      </c>
      <c r="V1616">
        <f>IF(U1616=1,IF(COUNTIFS($C$2:C1616,C1616,$U$2:U1616,1)=1,1,0),0)</f>
        <v>0</v>
      </c>
    </row>
    <row r="1617" spans="1:22" x14ac:dyDescent="0.35">
      <c r="A1617">
        <v>11616</v>
      </c>
      <c r="B1617" s="1">
        <v>46177</v>
      </c>
      <c r="C1617">
        <v>1346</v>
      </c>
      <c r="D1617" t="s">
        <v>73</v>
      </c>
      <c r="E1617" t="s">
        <v>70</v>
      </c>
      <c r="F1617">
        <v>3</v>
      </c>
      <c r="G1617" s="2">
        <v>50.09</v>
      </c>
      <c r="H1617">
        <v>0.12</v>
      </c>
      <c r="I1617" t="s">
        <v>71</v>
      </c>
      <c r="J1617">
        <v>9</v>
      </c>
      <c r="K1617">
        <v>2.8</v>
      </c>
      <c r="L1617" s="2">
        <v>132.24</v>
      </c>
      <c r="M1617">
        <v>2026</v>
      </c>
      <c r="N1617">
        <v>6</v>
      </c>
      <c r="O1617" t="s">
        <v>133</v>
      </c>
      <c r="P1617" s="2">
        <v>150.27000000000001</v>
      </c>
      <c r="Q1617" s="2">
        <v>18.03</v>
      </c>
      <c r="R1617" t="s">
        <v>79</v>
      </c>
      <c r="S1617">
        <v>0</v>
      </c>
      <c r="T1617">
        <v>0</v>
      </c>
      <c r="U1617">
        <f>IF(AND(OR(Dashboard!$D$4="Semua",D1617=Dashboard!$D$4),OR(Dashboard!$H$4="Semua",E1617=Dashboard!$H$4)),1,0)</f>
        <v>1</v>
      </c>
      <c r="V1617">
        <f>IF(U1617=1,IF(COUNTIFS($C$2:C1617,C1617,$U$2:U1617,1)=1,1,0),0)</f>
        <v>1</v>
      </c>
    </row>
    <row r="1618" spans="1:22" x14ac:dyDescent="0.35">
      <c r="A1618">
        <v>11617</v>
      </c>
      <c r="B1618" s="1">
        <v>46178</v>
      </c>
      <c r="C1618">
        <v>1528</v>
      </c>
      <c r="D1618" t="s">
        <v>67</v>
      </c>
      <c r="E1618" t="s">
        <v>70</v>
      </c>
      <c r="F1618">
        <v>7</v>
      </c>
      <c r="G1618" s="2">
        <v>300.45999999999998</v>
      </c>
      <c r="H1618">
        <v>0.31</v>
      </c>
      <c r="I1618" t="s">
        <v>71</v>
      </c>
      <c r="J1618">
        <v>7</v>
      </c>
      <c r="K1618">
        <v>1.4</v>
      </c>
      <c r="L1618" s="2">
        <v>1451.22</v>
      </c>
      <c r="M1618">
        <v>2026</v>
      </c>
      <c r="N1618">
        <v>6</v>
      </c>
      <c r="O1618" t="s">
        <v>133</v>
      </c>
      <c r="P1618" s="2">
        <v>2103.2199999999998</v>
      </c>
      <c r="Q1618" s="2">
        <v>652</v>
      </c>
      <c r="R1618" t="s">
        <v>72</v>
      </c>
      <c r="S1618">
        <v>0</v>
      </c>
      <c r="T1618">
        <v>0</v>
      </c>
      <c r="U1618">
        <f>IF(AND(OR(Dashboard!$D$4="Semua",D1618=Dashboard!$D$4),OR(Dashboard!$H$4="Semua",E1618=Dashboard!$H$4)),1,0)</f>
        <v>1</v>
      </c>
      <c r="V1618">
        <f>IF(U1618=1,IF(COUNTIFS($C$2:C1618,C1618,$U$2:U1618,1)=1,1,0),0)</f>
        <v>1</v>
      </c>
    </row>
    <row r="1619" spans="1:22" x14ac:dyDescent="0.35">
      <c r="A1619">
        <v>11618</v>
      </c>
      <c r="B1619" s="1">
        <v>46179</v>
      </c>
      <c r="C1619">
        <v>1639</v>
      </c>
      <c r="D1619" t="s">
        <v>73</v>
      </c>
      <c r="E1619" t="s">
        <v>74</v>
      </c>
      <c r="F1619">
        <v>5</v>
      </c>
      <c r="G1619" s="2">
        <v>467.83</v>
      </c>
      <c r="H1619">
        <v>0.02</v>
      </c>
      <c r="I1619" t="s">
        <v>68</v>
      </c>
      <c r="J1619">
        <v>4</v>
      </c>
      <c r="K1619">
        <v>3.2</v>
      </c>
      <c r="L1619" s="2">
        <v>2292.37</v>
      </c>
      <c r="M1619">
        <v>2026</v>
      </c>
      <c r="N1619">
        <v>6</v>
      </c>
      <c r="O1619" t="s">
        <v>133</v>
      </c>
      <c r="P1619" s="2">
        <v>2339.15</v>
      </c>
      <c r="Q1619" s="2">
        <v>46.78</v>
      </c>
      <c r="R1619" t="s">
        <v>75</v>
      </c>
      <c r="S1619">
        <v>0</v>
      </c>
      <c r="T1619">
        <v>0</v>
      </c>
      <c r="U1619">
        <f>IF(AND(OR(Dashboard!$D$4="Semua",D1619=Dashboard!$D$4),OR(Dashboard!$H$4="Semua",E1619=Dashboard!$H$4)),1,0)</f>
        <v>1</v>
      </c>
      <c r="V1619">
        <f>IF(U1619=1,IF(COUNTIFS($C$2:C1619,C1619,$U$2:U1619,1)=1,1,0),0)</f>
        <v>0</v>
      </c>
    </row>
    <row r="1620" spans="1:22" x14ac:dyDescent="0.35">
      <c r="A1620">
        <v>11619</v>
      </c>
      <c r="B1620" s="1">
        <v>46180</v>
      </c>
      <c r="C1620">
        <v>1938</v>
      </c>
      <c r="D1620" t="s">
        <v>67</v>
      </c>
      <c r="E1620" t="s">
        <v>70</v>
      </c>
      <c r="F1620">
        <v>3</v>
      </c>
      <c r="G1620" s="2">
        <v>103.43</v>
      </c>
      <c r="H1620">
        <v>0.18</v>
      </c>
      <c r="I1620" t="s">
        <v>68</v>
      </c>
      <c r="J1620">
        <v>4</v>
      </c>
      <c r="K1620">
        <v>1.4</v>
      </c>
      <c r="L1620" s="2">
        <v>254.44</v>
      </c>
      <c r="M1620">
        <v>2026</v>
      </c>
      <c r="N1620">
        <v>6</v>
      </c>
      <c r="O1620" t="s">
        <v>133</v>
      </c>
      <c r="P1620" s="2">
        <v>310.29000000000002</v>
      </c>
      <c r="Q1620" s="2">
        <v>55.85</v>
      </c>
      <c r="R1620" t="s">
        <v>76</v>
      </c>
      <c r="S1620">
        <v>0</v>
      </c>
      <c r="T1620">
        <v>0</v>
      </c>
      <c r="U1620">
        <f>IF(AND(OR(Dashboard!$D$4="Semua",D1620=Dashboard!$D$4),OR(Dashboard!$H$4="Semua",E1620=Dashboard!$H$4)),1,0)</f>
        <v>1</v>
      </c>
      <c r="V1620">
        <f>IF(U1620=1,IF(COUNTIFS($C$2:C1620,C1620,$U$2:U1620,1)=1,1,0),0)</f>
        <v>1</v>
      </c>
    </row>
    <row r="1621" spans="1:22" x14ac:dyDescent="0.35">
      <c r="A1621">
        <v>11620</v>
      </c>
      <c r="B1621" s="1">
        <v>46181</v>
      </c>
      <c r="C1621">
        <v>1954</v>
      </c>
      <c r="D1621" t="s">
        <v>80</v>
      </c>
      <c r="E1621" t="s">
        <v>70</v>
      </c>
      <c r="F1621">
        <v>7</v>
      </c>
      <c r="G1621" s="2">
        <v>372.75</v>
      </c>
      <c r="H1621">
        <v>0.17</v>
      </c>
      <c r="I1621" t="s">
        <v>68</v>
      </c>
      <c r="J1621">
        <v>10</v>
      </c>
      <c r="K1621">
        <v>3.5</v>
      </c>
      <c r="L1621" s="2">
        <v>2165.6799999999998</v>
      </c>
      <c r="M1621">
        <v>2026</v>
      </c>
      <c r="N1621">
        <v>6</v>
      </c>
      <c r="O1621" t="s">
        <v>133</v>
      </c>
      <c r="P1621" s="2">
        <v>2609.25</v>
      </c>
      <c r="Q1621" s="2">
        <v>443.57</v>
      </c>
      <c r="R1621" t="s">
        <v>76</v>
      </c>
      <c r="S1621">
        <v>0</v>
      </c>
      <c r="T1621">
        <v>0</v>
      </c>
      <c r="U1621">
        <f>IF(AND(OR(Dashboard!$D$4="Semua",D1621=Dashboard!$D$4),OR(Dashboard!$H$4="Semua",E1621=Dashboard!$H$4)),1,0)</f>
        <v>1</v>
      </c>
      <c r="V1621">
        <f>IF(U1621=1,IF(COUNTIFS($C$2:C1621,C1621,$U$2:U1621,1)=1,1,0),0)</f>
        <v>0</v>
      </c>
    </row>
    <row r="1622" spans="1:22" x14ac:dyDescent="0.35">
      <c r="A1622">
        <v>11621</v>
      </c>
      <c r="B1622" s="1">
        <v>46182</v>
      </c>
      <c r="C1622">
        <v>1875</v>
      </c>
      <c r="D1622" t="s">
        <v>80</v>
      </c>
      <c r="E1622" t="s">
        <v>74</v>
      </c>
      <c r="F1622">
        <v>6</v>
      </c>
      <c r="G1622" s="2">
        <v>155.09</v>
      </c>
      <c r="H1622">
        <v>0.26</v>
      </c>
      <c r="I1622" t="s">
        <v>71</v>
      </c>
      <c r="J1622">
        <v>11</v>
      </c>
      <c r="K1622">
        <v>1.6</v>
      </c>
      <c r="L1622" s="2">
        <v>688.6</v>
      </c>
      <c r="M1622">
        <v>2026</v>
      </c>
      <c r="N1622">
        <v>6</v>
      </c>
      <c r="O1622" t="s">
        <v>133</v>
      </c>
      <c r="P1622" s="2">
        <v>930.54</v>
      </c>
      <c r="Q1622" s="2">
        <v>241.94</v>
      </c>
      <c r="R1622" t="s">
        <v>66</v>
      </c>
      <c r="S1622">
        <v>0</v>
      </c>
      <c r="T1622">
        <v>0</v>
      </c>
      <c r="U1622">
        <f>IF(AND(OR(Dashboard!$D$4="Semua",D1622=Dashboard!$D$4),OR(Dashboard!$H$4="Semua",E1622=Dashboard!$H$4)),1,0)</f>
        <v>1</v>
      </c>
      <c r="V1622">
        <f>IF(U1622=1,IF(COUNTIFS($C$2:C1622,C1622,$U$2:U1622,1)=1,1,0),0)</f>
        <v>0</v>
      </c>
    </row>
    <row r="1623" spans="1:22" x14ac:dyDescent="0.35">
      <c r="A1623">
        <v>11622</v>
      </c>
      <c r="B1623" s="1">
        <v>46183</v>
      </c>
      <c r="C1623">
        <v>1762</v>
      </c>
      <c r="D1623" t="s">
        <v>80</v>
      </c>
      <c r="E1623" t="s">
        <v>70</v>
      </c>
      <c r="F1623">
        <v>3</v>
      </c>
      <c r="G1623" s="2">
        <v>522.42999999999995</v>
      </c>
      <c r="H1623">
        <v>0.1</v>
      </c>
      <c r="I1623" t="s">
        <v>68</v>
      </c>
      <c r="J1623">
        <v>7</v>
      </c>
      <c r="K1623">
        <v>3.2</v>
      </c>
      <c r="L1623" s="2">
        <v>1410.56</v>
      </c>
      <c r="M1623">
        <v>2026</v>
      </c>
      <c r="N1623">
        <v>6</v>
      </c>
      <c r="O1623" t="s">
        <v>133</v>
      </c>
      <c r="P1623" s="2">
        <v>1567.29</v>
      </c>
      <c r="Q1623" s="2">
        <v>156.72999999999999</v>
      </c>
      <c r="R1623" t="s">
        <v>69</v>
      </c>
      <c r="S1623">
        <v>0</v>
      </c>
      <c r="T1623">
        <v>0</v>
      </c>
      <c r="U1623">
        <f>IF(AND(OR(Dashboard!$D$4="Semua",D1623=Dashboard!$D$4),OR(Dashboard!$H$4="Semua",E1623=Dashboard!$H$4)),1,0)</f>
        <v>1</v>
      </c>
      <c r="V1623">
        <f>IF(U1623=1,IF(COUNTIFS($C$2:C1623,C1623,$U$2:U1623,1)=1,1,0),0)</f>
        <v>0</v>
      </c>
    </row>
    <row r="1624" spans="1:22" x14ac:dyDescent="0.35">
      <c r="A1624">
        <v>11623</v>
      </c>
      <c r="B1624" s="1">
        <v>46184</v>
      </c>
      <c r="C1624">
        <v>1178</v>
      </c>
      <c r="D1624" t="s">
        <v>62</v>
      </c>
      <c r="E1624" t="s">
        <v>63</v>
      </c>
      <c r="F1624">
        <v>3</v>
      </c>
      <c r="G1624" s="2">
        <v>206.35</v>
      </c>
      <c r="H1624">
        <v>0.08</v>
      </c>
      <c r="I1624" t="s">
        <v>71</v>
      </c>
      <c r="J1624">
        <v>3</v>
      </c>
      <c r="K1624">
        <v>1.5</v>
      </c>
      <c r="L1624" s="2">
        <v>569.53</v>
      </c>
      <c r="M1624">
        <v>2026</v>
      </c>
      <c r="N1624">
        <v>6</v>
      </c>
      <c r="O1624" t="s">
        <v>133</v>
      </c>
      <c r="P1624" s="2">
        <v>619.04999999999995</v>
      </c>
      <c r="Q1624" s="2">
        <v>49.52</v>
      </c>
      <c r="R1624" t="s">
        <v>69</v>
      </c>
      <c r="S1624">
        <v>0</v>
      </c>
      <c r="T1624">
        <v>0</v>
      </c>
      <c r="U1624">
        <f>IF(AND(OR(Dashboard!$D$4="Semua",D1624=Dashboard!$D$4),OR(Dashboard!$H$4="Semua",E1624=Dashboard!$H$4)),1,0)</f>
        <v>1</v>
      </c>
      <c r="V1624">
        <f>IF(U1624=1,IF(COUNTIFS($C$2:C1624,C1624,$U$2:U1624,1)=1,1,0),0)</f>
        <v>0</v>
      </c>
    </row>
    <row r="1625" spans="1:22" x14ac:dyDescent="0.35">
      <c r="A1625">
        <v>11624</v>
      </c>
      <c r="B1625" s="1">
        <v>46185</v>
      </c>
      <c r="C1625">
        <v>1181</v>
      </c>
      <c r="D1625" t="s">
        <v>67</v>
      </c>
      <c r="E1625" t="s">
        <v>78</v>
      </c>
      <c r="F1625">
        <v>1</v>
      </c>
      <c r="G1625" s="2">
        <v>207.5</v>
      </c>
      <c r="H1625">
        <v>0.32</v>
      </c>
      <c r="I1625" t="s">
        <v>68</v>
      </c>
      <c r="J1625">
        <v>3</v>
      </c>
      <c r="K1625">
        <v>2.6</v>
      </c>
      <c r="L1625" s="2">
        <v>141.1</v>
      </c>
      <c r="M1625">
        <v>2026</v>
      </c>
      <c r="N1625">
        <v>6</v>
      </c>
      <c r="O1625" t="s">
        <v>133</v>
      </c>
      <c r="P1625" s="2">
        <v>207.5</v>
      </c>
      <c r="Q1625" s="2">
        <v>66.400000000000006</v>
      </c>
      <c r="R1625" t="s">
        <v>72</v>
      </c>
      <c r="S1625">
        <v>0</v>
      </c>
      <c r="T1625">
        <v>0</v>
      </c>
      <c r="U1625">
        <f>IF(AND(OR(Dashboard!$D$4="Semua",D1625=Dashboard!$D$4),OR(Dashboard!$H$4="Semua",E1625=Dashboard!$H$4)),1,0)</f>
        <v>1</v>
      </c>
      <c r="V1625">
        <f>IF(U1625=1,IF(COUNTIFS($C$2:C1625,C1625,$U$2:U1625,1)=1,1,0),0)</f>
        <v>0</v>
      </c>
    </row>
    <row r="1626" spans="1:22" x14ac:dyDescent="0.35">
      <c r="A1626">
        <v>11625</v>
      </c>
      <c r="B1626" s="1">
        <v>46186</v>
      </c>
      <c r="C1626">
        <v>1663</v>
      </c>
      <c r="D1626" t="s">
        <v>80</v>
      </c>
      <c r="E1626" t="s">
        <v>78</v>
      </c>
      <c r="F1626">
        <v>4</v>
      </c>
      <c r="G1626" s="2">
        <v>364.94</v>
      </c>
      <c r="H1626">
        <v>0.2</v>
      </c>
      <c r="I1626" t="s">
        <v>64</v>
      </c>
      <c r="J1626">
        <v>5</v>
      </c>
      <c r="K1626">
        <v>2.4</v>
      </c>
      <c r="L1626" s="2">
        <v>1167.81</v>
      </c>
      <c r="M1626">
        <v>2026</v>
      </c>
      <c r="N1626">
        <v>6</v>
      </c>
      <c r="O1626" t="s">
        <v>133</v>
      </c>
      <c r="P1626" s="2">
        <v>1459.76</v>
      </c>
      <c r="Q1626" s="2">
        <v>291.95</v>
      </c>
      <c r="R1626" t="s">
        <v>76</v>
      </c>
      <c r="S1626">
        <v>0</v>
      </c>
      <c r="T1626">
        <v>0</v>
      </c>
      <c r="U1626">
        <f>IF(AND(OR(Dashboard!$D$4="Semua",D1626=Dashboard!$D$4),OR(Dashboard!$H$4="Semua",E1626=Dashboard!$H$4)),1,0)</f>
        <v>1</v>
      </c>
      <c r="V1626">
        <f>IF(U1626=1,IF(COUNTIFS($C$2:C1626,C1626,$U$2:U1626,1)=1,1,0),0)</f>
        <v>0</v>
      </c>
    </row>
    <row r="1627" spans="1:22" x14ac:dyDescent="0.35">
      <c r="A1627">
        <v>11626</v>
      </c>
      <c r="B1627" s="1">
        <v>46187</v>
      </c>
      <c r="C1627">
        <v>1024</v>
      </c>
      <c r="D1627" t="s">
        <v>67</v>
      </c>
      <c r="E1627" t="s">
        <v>74</v>
      </c>
      <c r="F1627">
        <v>1</v>
      </c>
      <c r="G1627" s="2">
        <v>122.38</v>
      </c>
      <c r="H1627">
        <v>0.04</v>
      </c>
      <c r="I1627" t="s">
        <v>68</v>
      </c>
      <c r="J1627">
        <v>11</v>
      </c>
      <c r="K1627">
        <v>4</v>
      </c>
      <c r="L1627" s="2">
        <v>117.48</v>
      </c>
      <c r="M1627">
        <v>2026</v>
      </c>
      <c r="N1627">
        <v>6</v>
      </c>
      <c r="O1627" t="s">
        <v>133</v>
      </c>
      <c r="P1627" s="2">
        <v>122.38</v>
      </c>
      <c r="Q1627" s="2">
        <v>4.9000000000000004</v>
      </c>
      <c r="R1627" t="s">
        <v>75</v>
      </c>
      <c r="S1627">
        <v>0</v>
      </c>
      <c r="T1627">
        <v>0</v>
      </c>
      <c r="U1627">
        <f>IF(AND(OR(Dashboard!$D$4="Semua",D1627=Dashboard!$D$4),OR(Dashboard!$H$4="Semua",E1627=Dashboard!$H$4)),1,0)</f>
        <v>1</v>
      </c>
      <c r="V1627">
        <f>IF(U1627=1,IF(COUNTIFS($C$2:C1627,C1627,$U$2:U1627,1)=1,1,0),0)</f>
        <v>0</v>
      </c>
    </row>
    <row r="1628" spans="1:22" x14ac:dyDescent="0.35">
      <c r="A1628">
        <v>11627</v>
      </c>
      <c r="B1628" s="1">
        <v>46188</v>
      </c>
      <c r="C1628">
        <v>1966</v>
      </c>
      <c r="D1628" t="s">
        <v>73</v>
      </c>
      <c r="E1628" t="s">
        <v>70</v>
      </c>
      <c r="F1628">
        <v>2</v>
      </c>
      <c r="G1628" s="2">
        <v>181.66</v>
      </c>
      <c r="H1628">
        <v>7.0000000000000007E-2</v>
      </c>
      <c r="I1628" t="s">
        <v>71</v>
      </c>
      <c r="J1628">
        <v>6</v>
      </c>
      <c r="K1628">
        <v>3.6</v>
      </c>
      <c r="L1628" s="2">
        <v>337.89</v>
      </c>
      <c r="M1628">
        <v>2026</v>
      </c>
      <c r="N1628">
        <v>6</v>
      </c>
      <c r="O1628" t="s">
        <v>133</v>
      </c>
      <c r="P1628" s="2">
        <v>363.32</v>
      </c>
      <c r="Q1628" s="2">
        <v>25.43</v>
      </c>
      <c r="R1628" t="s">
        <v>69</v>
      </c>
      <c r="S1628">
        <v>0</v>
      </c>
      <c r="T1628">
        <v>0</v>
      </c>
      <c r="U1628">
        <f>IF(AND(OR(Dashboard!$D$4="Semua",D1628=Dashboard!$D$4),OR(Dashboard!$H$4="Semua",E1628=Dashboard!$H$4)),1,0)</f>
        <v>1</v>
      </c>
      <c r="V1628">
        <f>IF(U1628=1,IF(COUNTIFS($C$2:C1628,C1628,$U$2:U1628,1)=1,1,0),0)</f>
        <v>1</v>
      </c>
    </row>
    <row r="1629" spans="1:22" x14ac:dyDescent="0.35">
      <c r="A1629">
        <v>11628</v>
      </c>
      <c r="B1629" s="1">
        <v>46189</v>
      </c>
      <c r="C1629">
        <v>1179</v>
      </c>
      <c r="D1629" t="s">
        <v>73</v>
      </c>
      <c r="E1629" t="s">
        <v>70</v>
      </c>
      <c r="F1629">
        <v>3</v>
      </c>
      <c r="G1629" s="2">
        <v>258.73</v>
      </c>
      <c r="H1629">
        <v>0.35</v>
      </c>
      <c r="I1629" t="s">
        <v>68</v>
      </c>
      <c r="J1629">
        <v>8</v>
      </c>
      <c r="K1629">
        <v>4.7</v>
      </c>
      <c r="L1629" s="2">
        <v>504.52</v>
      </c>
      <c r="M1629">
        <v>2026</v>
      </c>
      <c r="N1629">
        <v>6</v>
      </c>
      <c r="O1629" t="s">
        <v>133</v>
      </c>
      <c r="P1629" s="2">
        <v>776.19</v>
      </c>
      <c r="Q1629" s="2">
        <v>271.67</v>
      </c>
      <c r="R1629" t="s">
        <v>72</v>
      </c>
      <c r="S1629">
        <v>0</v>
      </c>
      <c r="T1629">
        <v>0</v>
      </c>
      <c r="U1629">
        <f>IF(AND(OR(Dashboard!$D$4="Semua",D1629=Dashboard!$D$4),OR(Dashboard!$H$4="Semua",E1629=Dashboard!$H$4)),1,0)</f>
        <v>1</v>
      </c>
      <c r="V1629">
        <f>IF(U1629=1,IF(COUNTIFS($C$2:C1629,C1629,$U$2:U1629,1)=1,1,0),0)</f>
        <v>0</v>
      </c>
    </row>
    <row r="1630" spans="1:22" x14ac:dyDescent="0.35">
      <c r="A1630">
        <v>11629</v>
      </c>
      <c r="B1630" s="1">
        <v>46190</v>
      </c>
      <c r="C1630">
        <v>1709</v>
      </c>
      <c r="D1630" t="s">
        <v>73</v>
      </c>
      <c r="E1630" t="s">
        <v>74</v>
      </c>
      <c r="F1630">
        <v>7</v>
      </c>
      <c r="G1630" s="2">
        <v>221.88</v>
      </c>
      <c r="H1630">
        <v>7.0000000000000007E-2</v>
      </c>
      <c r="I1630" t="s">
        <v>71</v>
      </c>
      <c r="J1630">
        <v>1</v>
      </c>
      <c r="K1630">
        <v>4.7</v>
      </c>
      <c r="L1630" s="2">
        <v>1444.44</v>
      </c>
      <c r="M1630">
        <v>2026</v>
      </c>
      <c r="N1630">
        <v>6</v>
      </c>
      <c r="O1630" t="s">
        <v>133</v>
      </c>
      <c r="P1630" s="2">
        <v>1553.16</v>
      </c>
      <c r="Q1630" s="2">
        <v>108.72</v>
      </c>
      <c r="R1630" t="s">
        <v>69</v>
      </c>
      <c r="S1630">
        <v>0</v>
      </c>
      <c r="T1630">
        <v>0</v>
      </c>
      <c r="U1630">
        <f>IF(AND(OR(Dashboard!$D$4="Semua",D1630=Dashboard!$D$4),OR(Dashboard!$H$4="Semua",E1630=Dashboard!$H$4)),1,0)</f>
        <v>1</v>
      </c>
      <c r="V1630">
        <f>IF(U1630=1,IF(COUNTIFS($C$2:C1630,C1630,$U$2:U1630,1)=1,1,0),0)</f>
        <v>0</v>
      </c>
    </row>
    <row r="1631" spans="1:22" x14ac:dyDescent="0.35">
      <c r="A1631">
        <v>11630</v>
      </c>
      <c r="B1631" s="1">
        <v>46191</v>
      </c>
      <c r="C1631">
        <v>1500</v>
      </c>
      <c r="D1631" t="s">
        <v>67</v>
      </c>
      <c r="E1631" t="s">
        <v>78</v>
      </c>
      <c r="F1631">
        <v>7</v>
      </c>
      <c r="G1631" s="2">
        <v>322.05</v>
      </c>
      <c r="H1631">
        <v>0.21</v>
      </c>
      <c r="I1631" t="s">
        <v>68</v>
      </c>
      <c r="J1631">
        <v>7</v>
      </c>
      <c r="K1631">
        <v>3.9</v>
      </c>
      <c r="L1631" s="2">
        <v>1780.94</v>
      </c>
      <c r="M1631">
        <v>2026</v>
      </c>
      <c r="N1631">
        <v>6</v>
      </c>
      <c r="O1631" t="s">
        <v>133</v>
      </c>
      <c r="P1631" s="2">
        <v>2254.35</v>
      </c>
      <c r="Q1631" s="2">
        <v>473.41</v>
      </c>
      <c r="R1631" t="s">
        <v>77</v>
      </c>
      <c r="S1631">
        <v>0</v>
      </c>
      <c r="T1631">
        <v>0</v>
      </c>
      <c r="U1631">
        <f>IF(AND(OR(Dashboard!$D$4="Semua",D1631=Dashboard!$D$4),OR(Dashboard!$H$4="Semua",E1631=Dashboard!$H$4)),1,0)</f>
        <v>1</v>
      </c>
      <c r="V1631">
        <f>IF(U1631=1,IF(COUNTIFS($C$2:C1631,C1631,$U$2:U1631,1)=1,1,0),0)</f>
        <v>0</v>
      </c>
    </row>
    <row r="1632" spans="1:22" x14ac:dyDescent="0.35">
      <c r="A1632">
        <v>11631</v>
      </c>
      <c r="B1632" s="1">
        <v>46192</v>
      </c>
      <c r="C1632">
        <v>1855</v>
      </c>
      <c r="D1632" t="s">
        <v>67</v>
      </c>
      <c r="E1632" t="s">
        <v>63</v>
      </c>
      <c r="F1632">
        <v>7</v>
      </c>
      <c r="G1632" s="2">
        <v>365.79</v>
      </c>
      <c r="H1632">
        <v>0.15</v>
      </c>
      <c r="I1632" t="s">
        <v>71</v>
      </c>
      <c r="J1632">
        <v>8</v>
      </c>
      <c r="K1632">
        <v>4.0999999999999996</v>
      </c>
      <c r="L1632" s="2">
        <v>2176.4499999999998</v>
      </c>
      <c r="M1632">
        <v>2026</v>
      </c>
      <c r="N1632">
        <v>6</v>
      </c>
      <c r="O1632" t="s">
        <v>133</v>
      </c>
      <c r="P1632" s="2">
        <v>2560.5300000000002</v>
      </c>
      <c r="Q1632" s="2">
        <v>384.08</v>
      </c>
      <c r="R1632" t="s">
        <v>79</v>
      </c>
      <c r="S1632">
        <v>0</v>
      </c>
      <c r="T1632">
        <v>0</v>
      </c>
      <c r="U1632">
        <f>IF(AND(OR(Dashboard!$D$4="Semua",D1632=Dashboard!$D$4),OR(Dashboard!$H$4="Semua",E1632=Dashboard!$H$4)),1,0)</f>
        <v>1</v>
      </c>
      <c r="V1632">
        <f>IF(U1632=1,IF(COUNTIFS($C$2:C1632,C1632,$U$2:U1632,1)=1,1,0),0)</f>
        <v>1</v>
      </c>
    </row>
    <row r="1633" spans="1:22" x14ac:dyDescent="0.35">
      <c r="A1633">
        <v>11632</v>
      </c>
      <c r="B1633" s="1">
        <v>46193</v>
      </c>
      <c r="C1633">
        <v>1160</v>
      </c>
      <c r="D1633" t="s">
        <v>80</v>
      </c>
      <c r="E1633" t="s">
        <v>70</v>
      </c>
      <c r="F1633">
        <v>3</v>
      </c>
      <c r="G1633" s="2">
        <v>346.5</v>
      </c>
      <c r="H1633">
        <v>0.31</v>
      </c>
      <c r="I1633" t="s">
        <v>64</v>
      </c>
      <c r="J1633">
        <v>5</v>
      </c>
      <c r="K1633">
        <v>3.5</v>
      </c>
      <c r="L1633" s="2">
        <v>717.26</v>
      </c>
      <c r="M1633">
        <v>2026</v>
      </c>
      <c r="N1633">
        <v>6</v>
      </c>
      <c r="O1633" t="s">
        <v>133</v>
      </c>
      <c r="P1633" s="2">
        <v>1039.5</v>
      </c>
      <c r="Q1633" s="2">
        <v>322.24</v>
      </c>
      <c r="R1633" t="s">
        <v>72</v>
      </c>
      <c r="S1633">
        <v>0</v>
      </c>
      <c r="T1633">
        <v>0</v>
      </c>
      <c r="U1633">
        <f>IF(AND(OR(Dashboard!$D$4="Semua",D1633=Dashboard!$D$4),OR(Dashboard!$H$4="Semua",E1633=Dashboard!$H$4)),1,0)</f>
        <v>1</v>
      </c>
      <c r="V1633">
        <f>IF(U1633=1,IF(COUNTIFS($C$2:C1633,C1633,$U$2:U1633,1)=1,1,0),0)</f>
        <v>0</v>
      </c>
    </row>
    <row r="1634" spans="1:22" x14ac:dyDescent="0.35">
      <c r="A1634">
        <v>11633</v>
      </c>
      <c r="B1634" s="1">
        <v>46194</v>
      </c>
      <c r="C1634">
        <v>1176</v>
      </c>
      <c r="D1634" t="s">
        <v>73</v>
      </c>
      <c r="E1634" t="s">
        <v>74</v>
      </c>
      <c r="F1634">
        <v>7</v>
      </c>
      <c r="G1634" s="2">
        <v>397.69</v>
      </c>
      <c r="H1634">
        <v>0.26</v>
      </c>
      <c r="I1634" t="s">
        <v>68</v>
      </c>
      <c r="J1634">
        <v>10</v>
      </c>
      <c r="K1634">
        <v>3.8</v>
      </c>
      <c r="L1634" s="2">
        <v>2060.0300000000002</v>
      </c>
      <c r="M1634">
        <v>2026</v>
      </c>
      <c r="N1634">
        <v>6</v>
      </c>
      <c r="O1634" t="s">
        <v>133</v>
      </c>
      <c r="P1634" s="2">
        <v>2783.83</v>
      </c>
      <c r="Q1634" s="2">
        <v>723.8</v>
      </c>
      <c r="R1634" t="s">
        <v>66</v>
      </c>
      <c r="S1634">
        <v>0</v>
      </c>
      <c r="T1634">
        <v>0</v>
      </c>
      <c r="U1634">
        <f>IF(AND(OR(Dashboard!$D$4="Semua",D1634=Dashboard!$D$4),OR(Dashboard!$H$4="Semua",E1634=Dashboard!$H$4)),1,0)</f>
        <v>1</v>
      </c>
      <c r="V1634">
        <f>IF(U1634=1,IF(COUNTIFS($C$2:C1634,C1634,$U$2:U1634,1)=1,1,0),0)</f>
        <v>0</v>
      </c>
    </row>
    <row r="1635" spans="1:22" x14ac:dyDescent="0.35">
      <c r="A1635">
        <v>11634</v>
      </c>
      <c r="B1635" s="1">
        <v>46195</v>
      </c>
      <c r="C1635">
        <v>1284</v>
      </c>
      <c r="D1635" t="s">
        <v>73</v>
      </c>
      <c r="E1635" t="s">
        <v>63</v>
      </c>
      <c r="F1635">
        <v>2</v>
      </c>
      <c r="G1635" s="2">
        <v>195.03</v>
      </c>
      <c r="H1635">
        <v>0.21</v>
      </c>
      <c r="I1635" t="s">
        <v>68</v>
      </c>
      <c r="J1635">
        <v>2</v>
      </c>
      <c r="K1635">
        <v>3.5</v>
      </c>
      <c r="L1635" s="2">
        <v>308.14999999999998</v>
      </c>
      <c r="M1635">
        <v>2026</v>
      </c>
      <c r="N1635">
        <v>6</v>
      </c>
      <c r="O1635" t="s">
        <v>133</v>
      </c>
      <c r="P1635" s="2">
        <v>390.06</v>
      </c>
      <c r="Q1635" s="2">
        <v>81.91</v>
      </c>
      <c r="R1635" t="s">
        <v>77</v>
      </c>
      <c r="S1635">
        <v>0</v>
      </c>
      <c r="T1635">
        <v>0</v>
      </c>
      <c r="U1635">
        <f>IF(AND(OR(Dashboard!$D$4="Semua",D1635=Dashboard!$D$4),OR(Dashboard!$H$4="Semua",E1635=Dashboard!$H$4)),1,0)</f>
        <v>1</v>
      </c>
      <c r="V1635">
        <f>IF(U1635=1,IF(COUNTIFS($C$2:C1635,C1635,$U$2:U1635,1)=1,1,0),0)</f>
        <v>0</v>
      </c>
    </row>
    <row r="1636" spans="1:22" x14ac:dyDescent="0.35">
      <c r="A1636">
        <v>11635</v>
      </c>
      <c r="B1636" s="1">
        <v>46196</v>
      </c>
      <c r="C1636">
        <v>1062</v>
      </c>
      <c r="D1636" t="s">
        <v>62</v>
      </c>
      <c r="E1636" t="s">
        <v>74</v>
      </c>
      <c r="F1636">
        <v>3</v>
      </c>
      <c r="G1636" s="2">
        <v>88.96</v>
      </c>
      <c r="H1636">
        <v>0</v>
      </c>
      <c r="I1636" t="s">
        <v>71</v>
      </c>
      <c r="J1636">
        <v>4</v>
      </c>
      <c r="K1636">
        <v>2.2000000000000002</v>
      </c>
      <c r="L1636" s="2">
        <v>266.88</v>
      </c>
      <c r="M1636">
        <v>2026</v>
      </c>
      <c r="N1636">
        <v>6</v>
      </c>
      <c r="O1636" t="s">
        <v>133</v>
      </c>
      <c r="P1636" s="2">
        <v>266.88</v>
      </c>
      <c r="Q1636" s="2">
        <v>0</v>
      </c>
      <c r="R1636" t="s">
        <v>75</v>
      </c>
      <c r="S1636">
        <v>0</v>
      </c>
      <c r="T1636">
        <v>0</v>
      </c>
      <c r="U1636">
        <f>IF(AND(OR(Dashboard!$D$4="Semua",D1636=Dashboard!$D$4),OR(Dashboard!$H$4="Semua",E1636=Dashboard!$H$4)),1,0)</f>
        <v>1</v>
      </c>
      <c r="V1636">
        <f>IF(U1636=1,IF(COUNTIFS($C$2:C1636,C1636,$U$2:U1636,1)=1,1,0),0)</f>
        <v>0</v>
      </c>
    </row>
    <row r="1637" spans="1:22" x14ac:dyDescent="0.35">
      <c r="A1637">
        <v>11636</v>
      </c>
      <c r="B1637" s="1">
        <v>46197</v>
      </c>
      <c r="C1637">
        <v>1661</v>
      </c>
      <c r="D1637" t="s">
        <v>73</v>
      </c>
      <c r="E1637" t="s">
        <v>74</v>
      </c>
      <c r="F1637">
        <v>7</v>
      </c>
      <c r="G1637" s="2">
        <v>460.07</v>
      </c>
      <c r="H1637">
        <v>0.31</v>
      </c>
      <c r="I1637" t="s">
        <v>71</v>
      </c>
      <c r="J1637">
        <v>6</v>
      </c>
      <c r="K1637">
        <v>2.4</v>
      </c>
      <c r="L1637" s="2">
        <v>2222.14</v>
      </c>
      <c r="M1637">
        <v>2026</v>
      </c>
      <c r="N1637">
        <v>6</v>
      </c>
      <c r="O1637" t="s">
        <v>133</v>
      </c>
      <c r="P1637" s="2">
        <v>3220.49</v>
      </c>
      <c r="Q1637" s="2">
        <v>998.35</v>
      </c>
      <c r="R1637" t="s">
        <v>72</v>
      </c>
      <c r="S1637">
        <v>0</v>
      </c>
      <c r="T1637">
        <v>0</v>
      </c>
      <c r="U1637">
        <f>IF(AND(OR(Dashboard!$D$4="Semua",D1637=Dashboard!$D$4),OR(Dashboard!$H$4="Semua",E1637=Dashboard!$H$4)),1,0)</f>
        <v>1</v>
      </c>
      <c r="V1637">
        <f>IF(U1637=1,IF(COUNTIFS($C$2:C1637,C1637,$U$2:U1637,1)=1,1,0),0)</f>
        <v>0</v>
      </c>
    </row>
    <row r="1638" spans="1:22" x14ac:dyDescent="0.35">
      <c r="A1638">
        <v>11637</v>
      </c>
      <c r="B1638" s="1">
        <v>46198</v>
      </c>
      <c r="C1638">
        <v>1665</v>
      </c>
      <c r="D1638" t="s">
        <v>67</v>
      </c>
      <c r="E1638" t="s">
        <v>74</v>
      </c>
      <c r="F1638">
        <v>3</v>
      </c>
      <c r="G1638" s="2">
        <v>512.71</v>
      </c>
      <c r="H1638">
        <v>0.16</v>
      </c>
      <c r="I1638" t="s">
        <v>68</v>
      </c>
      <c r="J1638">
        <v>9</v>
      </c>
      <c r="K1638">
        <v>3.3</v>
      </c>
      <c r="L1638" s="2">
        <v>1292.03</v>
      </c>
      <c r="M1638">
        <v>2026</v>
      </c>
      <c r="N1638">
        <v>6</v>
      </c>
      <c r="O1638" t="s">
        <v>133</v>
      </c>
      <c r="P1638" s="2">
        <v>1538.13</v>
      </c>
      <c r="Q1638" s="2">
        <v>246.1</v>
      </c>
      <c r="R1638" t="s">
        <v>76</v>
      </c>
      <c r="S1638">
        <v>0</v>
      </c>
      <c r="T1638">
        <v>0</v>
      </c>
      <c r="U1638">
        <f>IF(AND(OR(Dashboard!$D$4="Semua",D1638=Dashboard!$D$4),OR(Dashboard!$H$4="Semua",E1638=Dashboard!$H$4)),1,0)</f>
        <v>1</v>
      </c>
      <c r="V1638">
        <f>IF(U1638=1,IF(COUNTIFS($C$2:C1638,C1638,$U$2:U1638,1)=1,1,0),0)</f>
        <v>0</v>
      </c>
    </row>
    <row r="1639" spans="1:22" x14ac:dyDescent="0.35">
      <c r="A1639">
        <v>11638</v>
      </c>
      <c r="B1639" s="1">
        <v>46199</v>
      </c>
      <c r="C1639">
        <v>1155</v>
      </c>
      <c r="D1639" t="s">
        <v>67</v>
      </c>
      <c r="E1639" t="s">
        <v>78</v>
      </c>
      <c r="F1639">
        <v>6</v>
      </c>
      <c r="G1639" s="2">
        <v>165.35</v>
      </c>
      <c r="H1639">
        <v>0.33</v>
      </c>
      <c r="I1639" t="s">
        <v>71</v>
      </c>
      <c r="J1639">
        <v>2</v>
      </c>
      <c r="K1639">
        <v>3.9</v>
      </c>
      <c r="L1639" s="2">
        <v>664.71</v>
      </c>
      <c r="M1639">
        <v>2026</v>
      </c>
      <c r="N1639">
        <v>6</v>
      </c>
      <c r="O1639" t="s">
        <v>133</v>
      </c>
      <c r="P1639" s="2">
        <v>992.1</v>
      </c>
      <c r="Q1639" s="2">
        <v>327.39</v>
      </c>
      <c r="R1639" t="s">
        <v>72</v>
      </c>
      <c r="S1639">
        <v>0</v>
      </c>
      <c r="T1639">
        <v>0</v>
      </c>
      <c r="U1639">
        <f>IF(AND(OR(Dashboard!$D$4="Semua",D1639=Dashboard!$D$4),OR(Dashboard!$H$4="Semua",E1639=Dashboard!$H$4)),1,0)</f>
        <v>1</v>
      </c>
      <c r="V1639">
        <f>IF(U1639=1,IF(COUNTIFS($C$2:C1639,C1639,$U$2:U1639,1)=1,1,0),0)</f>
        <v>1</v>
      </c>
    </row>
    <row r="1640" spans="1:22" x14ac:dyDescent="0.35">
      <c r="A1640">
        <v>11639</v>
      </c>
      <c r="B1640" s="1">
        <v>46200</v>
      </c>
      <c r="C1640">
        <v>1881</v>
      </c>
      <c r="D1640" t="s">
        <v>67</v>
      </c>
      <c r="E1640" t="s">
        <v>78</v>
      </c>
      <c r="F1640">
        <v>3</v>
      </c>
      <c r="G1640" s="2">
        <v>253.15</v>
      </c>
      <c r="H1640">
        <v>0.17</v>
      </c>
      <c r="I1640" t="s">
        <v>68</v>
      </c>
      <c r="J1640">
        <v>4</v>
      </c>
      <c r="K1640">
        <v>2.6</v>
      </c>
      <c r="L1640" s="2">
        <v>630.34</v>
      </c>
      <c r="M1640">
        <v>2026</v>
      </c>
      <c r="N1640">
        <v>6</v>
      </c>
      <c r="O1640" t="s">
        <v>133</v>
      </c>
      <c r="P1640" s="2">
        <v>759.45</v>
      </c>
      <c r="Q1640" s="2">
        <v>129.11000000000001</v>
      </c>
      <c r="R1640" t="s">
        <v>76</v>
      </c>
      <c r="S1640">
        <v>0</v>
      </c>
      <c r="T1640">
        <v>0</v>
      </c>
      <c r="U1640">
        <f>IF(AND(OR(Dashboard!$D$4="Semua",D1640=Dashboard!$D$4),OR(Dashboard!$H$4="Semua",E1640=Dashboard!$H$4)),1,0)</f>
        <v>1</v>
      </c>
      <c r="V1640">
        <f>IF(U1640=1,IF(COUNTIFS($C$2:C1640,C1640,$U$2:U1640,1)=1,1,0),0)</f>
        <v>1</v>
      </c>
    </row>
    <row r="1641" spans="1:22" x14ac:dyDescent="0.35">
      <c r="A1641">
        <v>11640</v>
      </c>
      <c r="B1641" s="1">
        <v>46201</v>
      </c>
      <c r="C1641">
        <v>1468</v>
      </c>
      <c r="D1641" t="s">
        <v>73</v>
      </c>
      <c r="E1641" t="s">
        <v>74</v>
      </c>
      <c r="F1641">
        <v>2</v>
      </c>
      <c r="G1641" s="2">
        <v>306.66000000000003</v>
      </c>
      <c r="H1641">
        <v>0.24</v>
      </c>
      <c r="I1641" t="s">
        <v>68</v>
      </c>
      <c r="J1641">
        <v>10</v>
      </c>
      <c r="K1641">
        <v>1.6</v>
      </c>
      <c r="L1641" s="2">
        <v>466.12</v>
      </c>
      <c r="M1641">
        <v>2026</v>
      </c>
      <c r="N1641">
        <v>6</v>
      </c>
      <c r="O1641" t="s">
        <v>133</v>
      </c>
      <c r="P1641" s="2">
        <v>613.32000000000005</v>
      </c>
      <c r="Q1641" s="2">
        <v>147.19999999999999</v>
      </c>
      <c r="R1641" t="s">
        <v>77</v>
      </c>
      <c r="S1641">
        <v>0</v>
      </c>
      <c r="T1641">
        <v>0</v>
      </c>
      <c r="U1641">
        <f>IF(AND(OR(Dashboard!$D$4="Semua",D1641=Dashboard!$D$4),OR(Dashboard!$H$4="Semua",E1641=Dashboard!$H$4)),1,0)</f>
        <v>1</v>
      </c>
      <c r="V1641">
        <f>IF(U1641=1,IF(COUNTIFS($C$2:C1641,C1641,$U$2:U1641,1)=1,1,0),0)</f>
        <v>0</v>
      </c>
    </row>
    <row r="1642" spans="1:22" x14ac:dyDescent="0.35">
      <c r="A1642">
        <v>11641</v>
      </c>
      <c r="B1642" s="1">
        <v>46202</v>
      </c>
      <c r="C1642">
        <v>1048</v>
      </c>
      <c r="D1642" t="s">
        <v>73</v>
      </c>
      <c r="E1642" t="s">
        <v>70</v>
      </c>
      <c r="F1642">
        <v>1</v>
      </c>
      <c r="G1642" s="2">
        <v>327</v>
      </c>
      <c r="H1642">
        <v>0.02</v>
      </c>
      <c r="I1642" t="s">
        <v>68</v>
      </c>
      <c r="J1642">
        <v>5</v>
      </c>
      <c r="K1642">
        <v>2.8</v>
      </c>
      <c r="L1642" s="2">
        <v>320.45999999999998</v>
      </c>
      <c r="M1642">
        <v>2026</v>
      </c>
      <c r="N1642">
        <v>6</v>
      </c>
      <c r="O1642" t="s">
        <v>133</v>
      </c>
      <c r="P1642" s="2">
        <v>327</v>
      </c>
      <c r="Q1642" s="2">
        <v>6.54</v>
      </c>
      <c r="R1642" t="s">
        <v>75</v>
      </c>
      <c r="S1642">
        <v>0</v>
      </c>
      <c r="T1642">
        <v>0</v>
      </c>
      <c r="U1642">
        <f>IF(AND(OR(Dashboard!$D$4="Semua",D1642=Dashboard!$D$4),OR(Dashboard!$H$4="Semua",E1642=Dashboard!$H$4)),1,0)</f>
        <v>1</v>
      </c>
      <c r="V1642">
        <f>IF(U1642=1,IF(COUNTIFS($C$2:C1642,C1642,$U$2:U1642,1)=1,1,0),0)</f>
        <v>0</v>
      </c>
    </row>
    <row r="1643" spans="1:22" x14ac:dyDescent="0.35">
      <c r="A1643">
        <v>11642</v>
      </c>
      <c r="B1643" s="1">
        <v>46203</v>
      </c>
      <c r="C1643">
        <v>1966</v>
      </c>
      <c r="D1643" t="s">
        <v>73</v>
      </c>
      <c r="E1643" t="s">
        <v>63</v>
      </c>
      <c r="F1643">
        <v>3</v>
      </c>
      <c r="G1643" s="2">
        <v>400.8</v>
      </c>
      <c r="H1643">
        <v>0.26</v>
      </c>
      <c r="I1643" t="s">
        <v>64</v>
      </c>
      <c r="J1643">
        <v>8</v>
      </c>
      <c r="K1643">
        <v>4.9000000000000004</v>
      </c>
      <c r="L1643" s="2">
        <v>889.78</v>
      </c>
      <c r="M1643">
        <v>2026</v>
      </c>
      <c r="N1643">
        <v>6</v>
      </c>
      <c r="O1643" t="s">
        <v>133</v>
      </c>
      <c r="P1643" s="2">
        <v>1202.4000000000001</v>
      </c>
      <c r="Q1643" s="2">
        <v>312.62</v>
      </c>
      <c r="R1643" t="s">
        <v>66</v>
      </c>
      <c r="S1643">
        <v>0</v>
      </c>
      <c r="T1643">
        <v>0</v>
      </c>
      <c r="U1643">
        <f>IF(AND(OR(Dashboard!$D$4="Semua",D1643=Dashboard!$D$4),OR(Dashboard!$H$4="Semua",E1643=Dashboard!$H$4)),1,0)</f>
        <v>1</v>
      </c>
      <c r="V1643">
        <f>IF(U1643=1,IF(COUNTIFS($C$2:C1643,C1643,$U$2:U1643,1)=1,1,0),0)</f>
        <v>0</v>
      </c>
    </row>
    <row r="1644" spans="1:22" x14ac:dyDescent="0.35">
      <c r="A1644">
        <v>11643</v>
      </c>
      <c r="B1644" s="1">
        <v>46204</v>
      </c>
      <c r="C1644">
        <v>1848</v>
      </c>
      <c r="D1644" t="s">
        <v>67</v>
      </c>
      <c r="E1644" t="s">
        <v>70</v>
      </c>
      <c r="F1644">
        <v>4</v>
      </c>
      <c r="G1644" s="2">
        <v>39.340000000000003</v>
      </c>
      <c r="H1644">
        <v>0.12</v>
      </c>
      <c r="I1644" t="s">
        <v>71</v>
      </c>
      <c r="J1644">
        <v>8</v>
      </c>
      <c r="K1644">
        <v>1.9</v>
      </c>
      <c r="L1644" s="2">
        <v>138.47999999999999</v>
      </c>
      <c r="M1644">
        <v>2026</v>
      </c>
      <c r="N1644">
        <v>7</v>
      </c>
      <c r="O1644" t="s">
        <v>134</v>
      </c>
      <c r="P1644" s="2">
        <v>157.36000000000001</v>
      </c>
      <c r="Q1644" s="2">
        <v>18.88</v>
      </c>
      <c r="R1644" t="s">
        <v>79</v>
      </c>
      <c r="S1644">
        <v>0</v>
      </c>
      <c r="T1644">
        <v>0</v>
      </c>
      <c r="U1644">
        <f>IF(AND(OR(Dashboard!$D$4="Semua",D1644=Dashboard!$D$4),OR(Dashboard!$H$4="Semua",E1644=Dashboard!$H$4)),1,0)</f>
        <v>1</v>
      </c>
      <c r="V1644">
        <f>IF(U1644=1,IF(COUNTIFS($C$2:C1644,C1644,$U$2:U1644,1)=1,1,0),0)</f>
        <v>0</v>
      </c>
    </row>
    <row r="1645" spans="1:22" x14ac:dyDescent="0.35">
      <c r="A1645">
        <v>11644</v>
      </c>
      <c r="B1645" s="1">
        <v>46205</v>
      </c>
      <c r="C1645">
        <v>1083</v>
      </c>
      <c r="D1645" t="s">
        <v>67</v>
      </c>
      <c r="E1645" t="s">
        <v>78</v>
      </c>
      <c r="F1645">
        <v>2</v>
      </c>
      <c r="G1645" s="2">
        <v>437.06</v>
      </c>
      <c r="H1645">
        <v>0.12</v>
      </c>
      <c r="I1645" t="s">
        <v>71</v>
      </c>
      <c r="J1645">
        <v>2</v>
      </c>
      <c r="K1645">
        <v>3.6</v>
      </c>
      <c r="L1645" s="2">
        <v>769.23</v>
      </c>
      <c r="M1645">
        <v>2026</v>
      </c>
      <c r="N1645">
        <v>7</v>
      </c>
      <c r="O1645" t="s">
        <v>134</v>
      </c>
      <c r="P1645" s="2">
        <v>874.12</v>
      </c>
      <c r="Q1645" s="2">
        <v>104.89</v>
      </c>
      <c r="R1645" t="s">
        <v>79</v>
      </c>
      <c r="S1645">
        <v>0</v>
      </c>
      <c r="T1645">
        <v>0</v>
      </c>
      <c r="U1645">
        <f>IF(AND(OR(Dashboard!$D$4="Semua",D1645=Dashboard!$D$4),OR(Dashboard!$H$4="Semua",E1645=Dashboard!$H$4)),1,0)</f>
        <v>1</v>
      </c>
      <c r="V1645">
        <f>IF(U1645=1,IF(COUNTIFS($C$2:C1645,C1645,$U$2:U1645,1)=1,1,0),0)</f>
        <v>1</v>
      </c>
    </row>
    <row r="1646" spans="1:22" x14ac:dyDescent="0.35">
      <c r="A1646">
        <v>11645</v>
      </c>
      <c r="B1646" s="1">
        <v>46206</v>
      </c>
      <c r="C1646">
        <v>1360</v>
      </c>
      <c r="D1646" t="s">
        <v>73</v>
      </c>
      <c r="E1646" t="s">
        <v>63</v>
      </c>
      <c r="F1646">
        <v>5</v>
      </c>
      <c r="G1646" s="2">
        <v>51.25</v>
      </c>
      <c r="H1646">
        <v>0.04</v>
      </c>
      <c r="I1646" t="s">
        <v>64</v>
      </c>
      <c r="J1646">
        <v>6</v>
      </c>
      <c r="K1646">
        <v>4.9000000000000004</v>
      </c>
      <c r="L1646" s="2">
        <v>246</v>
      </c>
      <c r="M1646">
        <v>2026</v>
      </c>
      <c r="N1646">
        <v>7</v>
      </c>
      <c r="O1646" t="s">
        <v>134</v>
      </c>
      <c r="P1646" s="2">
        <v>256.25</v>
      </c>
      <c r="Q1646" s="2">
        <v>10.25</v>
      </c>
      <c r="R1646" t="s">
        <v>75</v>
      </c>
      <c r="S1646">
        <v>0</v>
      </c>
      <c r="T1646">
        <v>0</v>
      </c>
      <c r="U1646">
        <f>IF(AND(OR(Dashboard!$D$4="Semua",D1646=Dashboard!$D$4),OR(Dashboard!$H$4="Semua",E1646=Dashboard!$H$4)),1,0)</f>
        <v>1</v>
      </c>
      <c r="V1646">
        <f>IF(U1646=1,IF(COUNTIFS($C$2:C1646,C1646,$U$2:U1646,1)=1,1,0),0)</f>
        <v>0</v>
      </c>
    </row>
    <row r="1647" spans="1:22" x14ac:dyDescent="0.35">
      <c r="A1647">
        <v>11646</v>
      </c>
      <c r="B1647" s="1">
        <v>46207</v>
      </c>
      <c r="C1647">
        <v>1688</v>
      </c>
      <c r="D1647" t="s">
        <v>67</v>
      </c>
      <c r="E1647" t="s">
        <v>74</v>
      </c>
      <c r="F1647">
        <v>6</v>
      </c>
      <c r="G1647" s="2">
        <v>288.95</v>
      </c>
      <c r="H1647">
        <v>0.05</v>
      </c>
      <c r="I1647" t="s">
        <v>68</v>
      </c>
      <c r="J1647">
        <v>6</v>
      </c>
      <c r="K1647">
        <v>2.5</v>
      </c>
      <c r="L1647" s="2">
        <v>1647.01</v>
      </c>
      <c r="M1647">
        <v>2026</v>
      </c>
      <c r="N1647">
        <v>7</v>
      </c>
      <c r="O1647" t="s">
        <v>134</v>
      </c>
      <c r="P1647" s="2">
        <v>1733.7</v>
      </c>
      <c r="Q1647" s="2">
        <v>86.69</v>
      </c>
      <c r="R1647" t="s">
        <v>75</v>
      </c>
      <c r="S1647">
        <v>0</v>
      </c>
      <c r="T1647">
        <v>0</v>
      </c>
      <c r="U1647">
        <f>IF(AND(OR(Dashboard!$D$4="Semua",D1647=Dashboard!$D$4),OR(Dashboard!$H$4="Semua",E1647=Dashboard!$H$4)),1,0)</f>
        <v>1</v>
      </c>
      <c r="V1647">
        <f>IF(U1647=1,IF(COUNTIFS($C$2:C1647,C1647,$U$2:U1647,1)=1,1,0),0)</f>
        <v>0</v>
      </c>
    </row>
    <row r="1648" spans="1:22" x14ac:dyDescent="0.35">
      <c r="A1648">
        <v>11647</v>
      </c>
      <c r="B1648" s="1">
        <v>46208</v>
      </c>
      <c r="C1648">
        <v>1147</v>
      </c>
      <c r="D1648" t="s">
        <v>80</v>
      </c>
      <c r="E1648" t="s">
        <v>70</v>
      </c>
      <c r="F1648">
        <v>2</v>
      </c>
      <c r="G1648" s="2">
        <v>499.19</v>
      </c>
      <c r="H1648">
        <v>7.0000000000000007E-2</v>
      </c>
      <c r="I1648" t="s">
        <v>71</v>
      </c>
      <c r="J1648">
        <v>5</v>
      </c>
      <c r="K1648">
        <v>4.5999999999999996</v>
      </c>
      <c r="L1648" s="2">
        <v>928.49</v>
      </c>
      <c r="M1648">
        <v>2026</v>
      </c>
      <c r="N1648">
        <v>7</v>
      </c>
      <c r="O1648" t="s">
        <v>134</v>
      </c>
      <c r="P1648" s="2">
        <v>998.38</v>
      </c>
      <c r="Q1648" s="2">
        <v>69.89</v>
      </c>
      <c r="R1648" t="s">
        <v>69</v>
      </c>
      <c r="S1648">
        <v>0</v>
      </c>
      <c r="T1648">
        <v>0</v>
      </c>
      <c r="U1648">
        <f>IF(AND(OR(Dashboard!$D$4="Semua",D1648=Dashboard!$D$4),OR(Dashboard!$H$4="Semua",E1648=Dashboard!$H$4)),1,0)</f>
        <v>1</v>
      </c>
      <c r="V1648">
        <f>IF(U1648=1,IF(COUNTIFS($C$2:C1648,C1648,$U$2:U1648,1)=1,1,0),0)</f>
        <v>0</v>
      </c>
    </row>
    <row r="1649" spans="1:22" x14ac:dyDescent="0.35">
      <c r="A1649">
        <v>11648</v>
      </c>
      <c r="B1649" s="1">
        <v>46209</v>
      </c>
      <c r="C1649">
        <v>1629</v>
      </c>
      <c r="D1649" t="s">
        <v>73</v>
      </c>
      <c r="E1649" t="s">
        <v>70</v>
      </c>
      <c r="F1649">
        <v>1</v>
      </c>
      <c r="G1649" s="2">
        <v>278.95999999999998</v>
      </c>
      <c r="H1649">
        <v>0.11</v>
      </c>
      <c r="I1649" t="s">
        <v>64</v>
      </c>
      <c r="J1649">
        <v>8</v>
      </c>
      <c r="K1649">
        <v>4.5</v>
      </c>
      <c r="L1649" s="2">
        <v>248.27</v>
      </c>
      <c r="M1649">
        <v>2026</v>
      </c>
      <c r="N1649">
        <v>7</v>
      </c>
      <c r="O1649" t="s">
        <v>134</v>
      </c>
      <c r="P1649" s="2">
        <v>278.95999999999998</v>
      </c>
      <c r="Q1649" s="2">
        <v>30.69</v>
      </c>
      <c r="R1649" t="s">
        <v>79</v>
      </c>
      <c r="S1649">
        <v>0</v>
      </c>
      <c r="T1649">
        <v>0</v>
      </c>
      <c r="U1649">
        <f>IF(AND(OR(Dashboard!$D$4="Semua",D1649=Dashboard!$D$4),OR(Dashboard!$H$4="Semua",E1649=Dashboard!$H$4)),1,0)</f>
        <v>1</v>
      </c>
      <c r="V1649">
        <f>IF(U1649=1,IF(COUNTIFS($C$2:C1649,C1649,$U$2:U1649,1)=1,1,0),0)</f>
        <v>1</v>
      </c>
    </row>
    <row r="1650" spans="1:22" x14ac:dyDescent="0.35">
      <c r="A1650">
        <v>11649</v>
      </c>
      <c r="B1650" s="1">
        <v>46210</v>
      </c>
      <c r="C1650">
        <v>1341</v>
      </c>
      <c r="D1650" t="s">
        <v>67</v>
      </c>
      <c r="E1650" t="s">
        <v>74</v>
      </c>
      <c r="F1650">
        <v>7</v>
      </c>
      <c r="G1650" s="2">
        <v>102.22</v>
      </c>
      <c r="H1650">
        <v>0.31</v>
      </c>
      <c r="I1650" t="s">
        <v>68</v>
      </c>
      <c r="J1650">
        <v>10</v>
      </c>
      <c r="K1650">
        <v>2.4</v>
      </c>
      <c r="L1650" s="2">
        <v>493.72</v>
      </c>
      <c r="M1650">
        <v>2026</v>
      </c>
      <c r="N1650">
        <v>7</v>
      </c>
      <c r="O1650" t="s">
        <v>134</v>
      </c>
      <c r="P1650" s="2">
        <v>715.54</v>
      </c>
      <c r="Q1650" s="2">
        <v>221.82</v>
      </c>
      <c r="R1650" t="s">
        <v>72</v>
      </c>
      <c r="S1650">
        <v>0</v>
      </c>
      <c r="T1650">
        <v>0</v>
      </c>
      <c r="U1650">
        <f>IF(AND(OR(Dashboard!$D$4="Semua",D1650=Dashboard!$D$4),OR(Dashboard!$H$4="Semua",E1650=Dashboard!$H$4)),1,0)</f>
        <v>1</v>
      </c>
      <c r="V1650">
        <f>IF(U1650=1,IF(COUNTIFS($C$2:C1650,C1650,$U$2:U1650,1)=1,1,0),0)</f>
        <v>0</v>
      </c>
    </row>
    <row r="1651" spans="1:22" x14ac:dyDescent="0.35">
      <c r="A1651">
        <v>11650</v>
      </c>
      <c r="B1651" s="1">
        <v>46211</v>
      </c>
      <c r="C1651">
        <v>1475</v>
      </c>
      <c r="D1651" t="s">
        <v>80</v>
      </c>
      <c r="E1651" t="s">
        <v>70</v>
      </c>
      <c r="F1651">
        <v>7</v>
      </c>
      <c r="G1651" s="2">
        <v>591.24</v>
      </c>
      <c r="H1651">
        <v>0.13</v>
      </c>
      <c r="I1651" t="s">
        <v>68</v>
      </c>
      <c r="J1651">
        <v>2</v>
      </c>
      <c r="K1651">
        <v>1.4</v>
      </c>
      <c r="L1651" s="2">
        <v>3600.65</v>
      </c>
      <c r="M1651">
        <v>2026</v>
      </c>
      <c r="N1651">
        <v>7</v>
      </c>
      <c r="O1651" t="s">
        <v>134</v>
      </c>
      <c r="P1651" s="2">
        <v>4138.68</v>
      </c>
      <c r="Q1651" s="2">
        <v>538.03</v>
      </c>
      <c r="R1651" t="s">
        <v>79</v>
      </c>
      <c r="S1651">
        <v>0</v>
      </c>
      <c r="T1651">
        <v>1</v>
      </c>
      <c r="U1651">
        <f>IF(AND(OR(Dashboard!$D$4="Semua",D1651=Dashboard!$D$4),OR(Dashboard!$H$4="Semua",E1651=Dashboard!$H$4)),1,0)</f>
        <v>1</v>
      </c>
      <c r="V1651">
        <f>IF(U1651=1,IF(COUNTIFS($C$2:C1651,C1651,$U$2:U1651,1)=1,1,0),0)</f>
        <v>0</v>
      </c>
    </row>
    <row r="1652" spans="1:22" x14ac:dyDescent="0.35">
      <c r="A1652">
        <v>11651</v>
      </c>
      <c r="B1652" s="1">
        <v>46212</v>
      </c>
      <c r="C1652">
        <v>1062</v>
      </c>
      <c r="D1652" t="s">
        <v>73</v>
      </c>
      <c r="E1652" t="s">
        <v>78</v>
      </c>
      <c r="F1652">
        <v>2</v>
      </c>
      <c r="G1652" s="2">
        <v>535.23</v>
      </c>
      <c r="H1652">
        <v>0.25</v>
      </c>
      <c r="I1652" t="s">
        <v>64</v>
      </c>
      <c r="J1652">
        <v>2</v>
      </c>
      <c r="K1652">
        <v>1.7</v>
      </c>
      <c r="L1652" s="2">
        <v>802.84</v>
      </c>
      <c r="M1652">
        <v>2026</v>
      </c>
      <c r="N1652">
        <v>7</v>
      </c>
      <c r="O1652" t="s">
        <v>134</v>
      </c>
      <c r="P1652" s="2">
        <v>1070.46</v>
      </c>
      <c r="Q1652" s="2">
        <v>267.62</v>
      </c>
      <c r="R1652" t="s">
        <v>77</v>
      </c>
      <c r="S1652">
        <v>0</v>
      </c>
      <c r="T1652">
        <v>0</v>
      </c>
      <c r="U1652">
        <f>IF(AND(OR(Dashboard!$D$4="Semua",D1652=Dashboard!$D$4),OR(Dashboard!$H$4="Semua",E1652=Dashboard!$H$4)),1,0)</f>
        <v>1</v>
      </c>
      <c r="V1652">
        <f>IF(U1652=1,IF(COUNTIFS($C$2:C1652,C1652,$U$2:U1652,1)=1,1,0),0)</f>
        <v>0</v>
      </c>
    </row>
    <row r="1653" spans="1:22" x14ac:dyDescent="0.35">
      <c r="A1653">
        <v>11652</v>
      </c>
      <c r="B1653" s="1">
        <v>46213</v>
      </c>
      <c r="C1653">
        <v>1700</v>
      </c>
      <c r="D1653" t="s">
        <v>73</v>
      </c>
      <c r="E1653" t="s">
        <v>74</v>
      </c>
      <c r="F1653">
        <v>5</v>
      </c>
      <c r="G1653" s="2">
        <v>466.22</v>
      </c>
      <c r="H1653">
        <v>0.03</v>
      </c>
      <c r="I1653" t="s">
        <v>64</v>
      </c>
      <c r="J1653">
        <v>7</v>
      </c>
      <c r="K1653">
        <v>2.5</v>
      </c>
      <c r="L1653" s="2">
        <v>2261.17</v>
      </c>
      <c r="M1653">
        <v>2026</v>
      </c>
      <c r="N1653">
        <v>7</v>
      </c>
      <c r="O1653" t="s">
        <v>134</v>
      </c>
      <c r="P1653" s="2">
        <v>2331.1</v>
      </c>
      <c r="Q1653" s="2">
        <v>69.930000000000007</v>
      </c>
      <c r="R1653" t="s">
        <v>75</v>
      </c>
      <c r="S1653">
        <v>0</v>
      </c>
      <c r="T1653">
        <v>0</v>
      </c>
      <c r="U1653">
        <f>IF(AND(OR(Dashboard!$D$4="Semua",D1653=Dashboard!$D$4),OR(Dashboard!$H$4="Semua",E1653=Dashboard!$H$4)),1,0)</f>
        <v>1</v>
      </c>
      <c r="V1653">
        <f>IF(U1653=1,IF(COUNTIFS($C$2:C1653,C1653,$U$2:U1653,1)=1,1,0),0)</f>
        <v>0</v>
      </c>
    </row>
    <row r="1654" spans="1:22" x14ac:dyDescent="0.35">
      <c r="A1654">
        <v>11653</v>
      </c>
      <c r="B1654" s="1">
        <v>46214</v>
      </c>
      <c r="C1654">
        <v>1359</v>
      </c>
      <c r="D1654" t="s">
        <v>67</v>
      </c>
      <c r="E1654" t="s">
        <v>70</v>
      </c>
      <c r="F1654">
        <v>7</v>
      </c>
      <c r="G1654" s="2">
        <v>255.73</v>
      </c>
      <c r="H1654">
        <v>0.21</v>
      </c>
      <c r="I1654" t="s">
        <v>68</v>
      </c>
      <c r="J1654">
        <v>9</v>
      </c>
      <c r="K1654">
        <v>4.8</v>
      </c>
      <c r="L1654" s="2">
        <v>1414.19</v>
      </c>
      <c r="M1654">
        <v>2026</v>
      </c>
      <c r="N1654">
        <v>7</v>
      </c>
      <c r="O1654" t="s">
        <v>134</v>
      </c>
      <c r="P1654" s="2">
        <v>1790.11</v>
      </c>
      <c r="Q1654" s="2">
        <v>375.92</v>
      </c>
      <c r="R1654" t="s">
        <v>77</v>
      </c>
      <c r="S1654">
        <v>0</v>
      </c>
      <c r="T1654">
        <v>0</v>
      </c>
      <c r="U1654">
        <f>IF(AND(OR(Dashboard!$D$4="Semua",D1654=Dashboard!$D$4),OR(Dashboard!$H$4="Semua",E1654=Dashboard!$H$4)),1,0)</f>
        <v>1</v>
      </c>
      <c r="V1654">
        <f>IF(U1654=1,IF(COUNTIFS($C$2:C1654,C1654,$U$2:U1654,1)=1,1,0),0)</f>
        <v>0</v>
      </c>
    </row>
    <row r="1655" spans="1:22" x14ac:dyDescent="0.35">
      <c r="A1655">
        <v>11654</v>
      </c>
      <c r="B1655" s="1">
        <v>46215</v>
      </c>
      <c r="C1655">
        <v>1560</v>
      </c>
      <c r="D1655" t="s">
        <v>62</v>
      </c>
      <c r="E1655" t="s">
        <v>74</v>
      </c>
      <c r="F1655">
        <v>6</v>
      </c>
      <c r="G1655" s="2">
        <v>122.55</v>
      </c>
      <c r="H1655">
        <v>0.17</v>
      </c>
      <c r="I1655" t="s">
        <v>68</v>
      </c>
      <c r="J1655">
        <v>3</v>
      </c>
      <c r="K1655">
        <v>2.1</v>
      </c>
      <c r="L1655" s="2">
        <v>610.29999999999995</v>
      </c>
      <c r="M1655">
        <v>2026</v>
      </c>
      <c r="N1655">
        <v>7</v>
      </c>
      <c r="O1655" t="s">
        <v>134</v>
      </c>
      <c r="P1655" s="2">
        <v>735.3</v>
      </c>
      <c r="Q1655" s="2">
        <v>125</v>
      </c>
      <c r="R1655" t="s">
        <v>76</v>
      </c>
      <c r="S1655">
        <v>0</v>
      </c>
      <c r="T1655">
        <v>0</v>
      </c>
      <c r="U1655">
        <f>IF(AND(OR(Dashboard!$D$4="Semua",D1655=Dashboard!$D$4),OR(Dashboard!$H$4="Semua",E1655=Dashboard!$H$4)),1,0)</f>
        <v>1</v>
      </c>
      <c r="V1655">
        <f>IF(U1655=1,IF(COUNTIFS($C$2:C1655,C1655,$U$2:U1655,1)=1,1,0),0)</f>
        <v>0</v>
      </c>
    </row>
    <row r="1656" spans="1:22" x14ac:dyDescent="0.35">
      <c r="A1656">
        <v>11655</v>
      </c>
      <c r="B1656" s="1">
        <v>46216</v>
      </c>
      <c r="C1656">
        <v>1326</v>
      </c>
      <c r="D1656" t="s">
        <v>80</v>
      </c>
      <c r="E1656" t="s">
        <v>63</v>
      </c>
      <c r="F1656">
        <v>4</v>
      </c>
      <c r="G1656" s="2">
        <v>565.73</v>
      </c>
      <c r="H1656">
        <v>0.34</v>
      </c>
      <c r="I1656" t="s">
        <v>68</v>
      </c>
      <c r="J1656">
        <v>7</v>
      </c>
      <c r="K1656">
        <v>4.7</v>
      </c>
      <c r="L1656" s="2">
        <v>1493.53</v>
      </c>
      <c r="M1656">
        <v>2026</v>
      </c>
      <c r="N1656">
        <v>7</v>
      </c>
      <c r="O1656" t="s">
        <v>134</v>
      </c>
      <c r="P1656" s="2">
        <v>2262.92</v>
      </c>
      <c r="Q1656" s="2">
        <v>769.39</v>
      </c>
      <c r="R1656" t="s">
        <v>72</v>
      </c>
      <c r="S1656">
        <v>0</v>
      </c>
      <c r="T1656">
        <v>0</v>
      </c>
      <c r="U1656">
        <f>IF(AND(OR(Dashboard!$D$4="Semua",D1656=Dashboard!$D$4),OR(Dashboard!$H$4="Semua",E1656=Dashboard!$H$4)),1,0)</f>
        <v>1</v>
      </c>
      <c r="V1656">
        <f>IF(U1656=1,IF(COUNTIFS($C$2:C1656,C1656,$U$2:U1656,1)=1,1,0),0)</f>
        <v>0</v>
      </c>
    </row>
    <row r="1657" spans="1:22" x14ac:dyDescent="0.35">
      <c r="A1657">
        <v>11656</v>
      </c>
      <c r="B1657" s="1">
        <v>46217</v>
      </c>
      <c r="C1657">
        <v>1768</v>
      </c>
      <c r="D1657" t="s">
        <v>67</v>
      </c>
      <c r="E1657" t="s">
        <v>74</v>
      </c>
      <c r="F1657">
        <v>5</v>
      </c>
      <c r="G1657" s="2">
        <v>326.43</v>
      </c>
      <c r="H1657">
        <v>0.3</v>
      </c>
      <c r="I1657" t="s">
        <v>68</v>
      </c>
      <c r="J1657">
        <v>3</v>
      </c>
      <c r="K1657">
        <v>1.7</v>
      </c>
      <c r="L1657" s="2">
        <v>1142.5</v>
      </c>
      <c r="M1657">
        <v>2026</v>
      </c>
      <c r="N1657">
        <v>7</v>
      </c>
      <c r="O1657" t="s">
        <v>134</v>
      </c>
      <c r="P1657" s="2">
        <v>1632.15</v>
      </c>
      <c r="Q1657" s="2">
        <v>489.65</v>
      </c>
      <c r="R1657" t="s">
        <v>66</v>
      </c>
      <c r="S1657">
        <v>0</v>
      </c>
      <c r="T1657">
        <v>0</v>
      </c>
      <c r="U1657">
        <f>IF(AND(OR(Dashboard!$D$4="Semua",D1657=Dashboard!$D$4),OR(Dashboard!$H$4="Semua",E1657=Dashboard!$H$4)),1,0)</f>
        <v>1</v>
      </c>
      <c r="V1657">
        <f>IF(U1657=1,IF(COUNTIFS($C$2:C1657,C1657,$U$2:U1657,1)=1,1,0),0)</f>
        <v>0</v>
      </c>
    </row>
    <row r="1658" spans="1:22" x14ac:dyDescent="0.35">
      <c r="A1658">
        <v>11657</v>
      </c>
      <c r="B1658" s="1">
        <v>46218</v>
      </c>
      <c r="C1658">
        <v>1735</v>
      </c>
      <c r="D1658" t="s">
        <v>80</v>
      </c>
      <c r="E1658" t="s">
        <v>70</v>
      </c>
      <c r="F1658">
        <v>2</v>
      </c>
      <c r="G1658" s="2">
        <v>513.63</v>
      </c>
      <c r="H1658">
        <v>0.16</v>
      </c>
      <c r="I1658" t="s">
        <v>68</v>
      </c>
      <c r="J1658">
        <v>6</v>
      </c>
      <c r="K1658">
        <v>4.9000000000000004</v>
      </c>
      <c r="L1658" s="2">
        <v>862.9</v>
      </c>
      <c r="M1658">
        <v>2026</v>
      </c>
      <c r="N1658">
        <v>7</v>
      </c>
      <c r="O1658" t="s">
        <v>134</v>
      </c>
      <c r="P1658" s="2">
        <v>1027.26</v>
      </c>
      <c r="Q1658" s="2">
        <v>164.36</v>
      </c>
      <c r="R1658" t="s">
        <v>76</v>
      </c>
      <c r="S1658">
        <v>0</v>
      </c>
      <c r="T1658">
        <v>0</v>
      </c>
      <c r="U1658">
        <f>IF(AND(OR(Dashboard!$D$4="Semua",D1658=Dashboard!$D$4),OR(Dashboard!$H$4="Semua",E1658=Dashboard!$H$4)),1,0)</f>
        <v>1</v>
      </c>
      <c r="V1658">
        <f>IF(U1658=1,IF(COUNTIFS($C$2:C1658,C1658,$U$2:U1658,1)=1,1,0),0)</f>
        <v>0</v>
      </c>
    </row>
    <row r="1659" spans="1:22" x14ac:dyDescent="0.35">
      <c r="A1659">
        <v>11658</v>
      </c>
      <c r="B1659" s="1">
        <v>46219</v>
      </c>
      <c r="C1659">
        <v>1140</v>
      </c>
      <c r="D1659" t="s">
        <v>67</v>
      </c>
      <c r="E1659" t="s">
        <v>78</v>
      </c>
      <c r="F1659">
        <v>5</v>
      </c>
      <c r="G1659" s="2">
        <v>215.13</v>
      </c>
      <c r="H1659">
        <v>0.27</v>
      </c>
      <c r="I1659" t="s">
        <v>71</v>
      </c>
      <c r="J1659">
        <v>3</v>
      </c>
      <c r="K1659">
        <v>2.2000000000000002</v>
      </c>
      <c r="L1659" s="2">
        <v>785.22</v>
      </c>
      <c r="M1659">
        <v>2026</v>
      </c>
      <c r="N1659">
        <v>7</v>
      </c>
      <c r="O1659" t="s">
        <v>134</v>
      </c>
      <c r="P1659" s="2">
        <v>1075.6500000000001</v>
      </c>
      <c r="Q1659" s="2">
        <v>290.43</v>
      </c>
      <c r="R1659" t="s">
        <v>66</v>
      </c>
      <c r="S1659">
        <v>0</v>
      </c>
      <c r="T1659">
        <v>0</v>
      </c>
      <c r="U1659">
        <f>IF(AND(OR(Dashboard!$D$4="Semua",D1659=Dashboard!$D$4),OR(Dashboard!$H$4="Semua",E1659=Dashboard!$H$4)),1,0)</f>
        <v>1</v>
      </c>
      <c r="V1659">
        <f>IF(U1659=1,IF(COUNTIFS($C$2:C1659,C1659,$U$2:U1659,1)=1,1,0),0)</f>
        <v>0</v>
      </c>
    </row>
    <row r="1660" spans="1:22" x14ac:dyDescent="0.35">
      <c r="A1660">
        <v>11659</v>
      </c>
      <c r="B1660" s="1">
        <v>46220</v>
      </c>
      <c r="C1660">
        <v>1989</v>
      </c>
      <c r="D1660" t="s">
        <v>67</v>
      </c>
      <c r="E1660" t="s">
        <v>74</v>
      </c>
      <c r="F1660">
        <v>7</v>
      </c>
      <c r="G1660" s="2">
        <v>211.14</v>
      </c>
      <c r="H1660">
        <v>7.0000000000000007E-2</v>
      </c>
      <c r="I1660" t="s">
        <v>64</v>
      </c>
      <c r="J1660">
        <v>1</v>
      </c>
      <c r="K1660">
        <v>3.5</v>
      </c>
      <c r="L1660" s="2">
        <v>1374.52</v>
      </c>
      <c r="M1660">
        <v>2026</v>
      </c>
      <c r="N1660">
        <v>7</v>
      </c>
      <c r="O1660" t="s">
        <v>134</v>
      </c>
      <c r="P1660" s="2">
        <v>1477.98</v>
      </c>
      <c r="Q1660" s="2">
        <v>103.46</v>
      </c>
      <c r="R1660" t="s">
        <v>69</v>
      </c>
      <c r="S1660">
        <v>0</v>
      </c>
      <c r="T1660">
        <v>0</v>
      </c>
      <c r="U1660">
        <f>IF(AND(OR(Dashboard!$D$4="Semua",D1660=Dashboard!$D$4),OR(Dashboard!$H$4="Semua",E1660=Dashboard!$H$4)),1,0)</f>
        <v>1</v>
      </c>
      <c r="V1660">
        <f>IF(U1660=1,IF(COUNTIFS($C$2:C1660,C1660,$U$2:U1660,1)=1,1,0),0)</f>
        <v>0</v>
      </c>
    </row>
    <row r="1661" spans="1:22" x14ac:dyDescent="0.35">
      <c r="A1661">
        <v>11660</v>
      </c>
      <c r="B1661" s="1">
        <v>46221</v>
      </c>
      <c r="C1661">
        <v>1214</v>
      </c>
      <c r="D1661" t="s">
        <v>67</v>
      </c>
      <c r="E1661" t="s">
        <v>74</v>
      </c>
      <c r="F1661">
        <v>7</v>
      </c>
      <c r="G1661" s="2">
        <v>591.54</v>
      </c>
      <c r="H1661">
        <v>0.2</v>
      </c>
      <c r="I1661" t="s">
        <v>68</v>
      </c>
      <c r="J1661">
        <v>6</v>
      </c>
      <c r="K1661">
        <v>1.3</v>
      </c>
      <c r="L1661" s="2">
        <v>3312.62</v>
      </c>
      <c r="M1661">
        <v>2026</v>
      </c>
      <c r="N1661">
        <v>7</v>
      </c>
      <c r="O1661" t="s">
        <v>134</v>
      </c>
      <c r="P1661" s="2">
        <v>4140.78</v>
      </c>
      <c r="Q1661" s="2">
        <v>828.16</v>
      </c>
      <c r="R1661" t="s">
        <v>76</v>
      </c>
      <c r="S1661">
        <v>0</v>
      </c>
      <c r="T1661">
        <v>1</v>
      </c>
      <c r="U1661">
        <f>IF(AND(OR(Dashboard!$D$4="Semua",D1661=Dashboard!$D$4),OR(Dashboard!$H$4="Semua",E1661=Dashboard!$H$4)),1,0)</f>
        <v>1</v>
      </c>
      <c r="V1661">
        <f>IF(U1661=1,IF(COUNTIFS($C$2:C1661,C1661,$U$2:U1661,1)=1,1,0),0)</f>
        <v>0</v>
      </c>
    </row>
    <row r="1662" spans="1:22" x14ac:dyDescent="0.35">
      <c r="A1662">
        <v>11661</v>
      </c>
      <c r="B1662" s="1">
        <v>46222</v>
      </c>
      <c r="C1662">
        <v>1434</v>
      </c>
      <c r="D1662" t="s">
        <v>73</v>
      </c>
      <c r="E1662" t="s">
        <v>70</v>
      </c>
      <c r="F1662">
        <v>2</v>
      </c>
      <c r="G1662" s="2">
        <v>320.27</v>
      </c>
      <c r="H1662">
        <v>0.03</v>
      </c>
      <c r="I1662" t="s">
        <v>64</v>
      </c>
      <c r="J1662">
        <v>11</v>
      </c>
      <c r="K1662">
        <v>2.2000000000000002</v>
      </c>
      <c r="L1662" s="2">
        <v>621.32000000000005</v>
      </c>
      <c r="M1662">
        <v>2026</v>
      </c>
      <c r="N1662">
        <v>7</v>
      </c>
      <c r="O1662" t="s">
        <v>134</v>
      </c>
      <c r="P1662" s="2">
        <v>640.54</v>
      </c>
      <c r="Q1662" s="2">
        <v>19.22</v>
      </c>
      <c r="R1662" t="s">
        <v>75</v>
      </c>
      <c r="S1662">
        <v>0</v>
      </c>
      <c r="T1662">
        <v>0</v>
      </c>
      <c r="U1662">
        <f>IF(AND(OR(Dashboard!$D$4="Semua",D1662=Dashboard!$D$4),OR(Dashboard!$H$4="Semua",E1662=Dashboard!$H$4)),1,0)</f>
        <v>1</v>
      </c>
      <c r="V1662">
        <f>IF(U1662=1,IF(COUNTIFS($C$2:C1662,C1662,$U$2:U1662,1)=1,1,0),0)</f>
        <v>0</v>
      </c>
    </row>
    <row r="1663" spans="1:22" x14ac:dyDescent="0.35">
      <c r="A1663">
        <v>11662</v>
      </c>
      <c r="B1663" s="1">
        <v>46223</v>
      </c>
      <c r="C1663">
        <v>1890</v>
      </c>
      <c r="D1663" t="s">
        <v>80</v>
      </c>
      <c r="E1663" t="s">
        <v>78</v>
      </c>
      <c r="F1663">
        <v>7</v>
      </c>
      <c r="G1663" s="2">
        <v>97.31</v>
      </c>
      <c r="H1663">
        <v>0.12</v>
      </c>
      <c r="I1663" t="s">
        <v>68</v>
      </c>
      <c r="J1663">
        <v>3</v>
      </c>
      <c r="K1663">
        <v>1.8</v>
      </c>
      <c r="L1663" s="2">
        <v>599.42999999999995</v>
      </c>
      <c r="M1663">
        <v>2026</v>
      </c>
      <c r="N1663">
        <v>7</v>
      </c>
      <c r="O1663" t="s">
        <v>134</v>
      </c>
      <c r="P1663" s="2">
        <v>681.17</v>
      </c>
      <c r="Q1663" s="2">
        <v>81.739999999999995</v>
      </c>
      <c r="R1663" t="s">
        <v>79</v>
      </c>
      <c r="S1663">
        <v>0</v>
      </c>
      <c r="T1663">
        <v>0</v>
      </c>
      <c r="U1663">
        <f>IF(AND(OR(Dashboard!$D$4="Semua",D1663=Dashboard!$D$4),OR(Dashboard!$H$4="Semua",E1663=Dashboard!$H$4)),1,0)</f>
        <v>1</v>
      </c>
      <c r="V1663">
        <f>IF(U1663=1,IF(COUNTIFS($C$2:C1663,C1663,$U$2:U1663,1)=1,1,0),0)</f>
        <v>0</v>
      </c>
    </row>
    <row r="1664" spans="1:22" x14ac:dyDescent="0.35">
      <c r="A1664">
        <v>11663</v>
      </c>
      <c r="B1664" s="1">
        <v>46224</v>
      </c>
      <c r="C1664">
        <v>1951</v>
      </c>
      <c r="D1664" t="s">
        <v>67</v>
      </c>
      <c r="E1664" t="s">
        <v>78</v>
      </c>
      <c r="F1664">
        <v>7</v>
      </c>
      <c r="G1664" s="2">
        <v>143.51</v>
      </c>
      <c r="H1664">
        <v>0.08</v>
      </c>
      <c r="I1664" t="s">
        <v>68</v>
      </c>
      <c r="J1664">
        <v>1</v>
      </c>
      <c r="K1664">
        <v>1</v>
      </c>
      <c r="L1664" s="2">
        <v>924.2</v>
      </c>
      <c r="M1664">
        <v>2026</v>
      </c>
      <c r="N1664">
        <v>7</v>
      </c>
      <c r="O1664" t="s">
        <v>134</v>
      </c>
      <c r="P1664" s="2">
        <v>1004.57</v>
      </c>
      <c r="Q1664" s="2">
        <v>80.37</v>
      </c>
      <c r="R1664" t="s">
        <v>69</v>
      </c>
      <c r="S1664">
        <v>0</v>
      </c>
      <c r="T1664">
        <v>0</v>
      </c>
      <c r="U1664">
        <f>IF(AND(OR(Dashboard!$D$4="Semua",D1664=Dashboard!$D$4),OR(Dashboard!$H$4="Semua",E1664=Dashboard!$H$4)),1,0)</f>
        <v>1</v>
      </c>
      <c r="V1664">
        <f>IF(U1664=1,IF(COUNTIFS($C$2:C1664,C1664,$U$2:U1664,1)=1,1,0),0)</f>
        <v>0</v>
      </c>
    </row>
    <row r="1665" spans="1:22" x14ac:dyDescent="0.35">
      <c r="A1665">
        <v>11664</v>
      </c>
      <c r="B1665" s="1">
        <v>46225</v>
      </c>
      <c r="C1665">
        <v>1722</v>
      </c>
      <c r="D1665" t="s">
        <v>67</v>
      </c>
      <c r="E1665" t="s">
        <v>63</v>
      </c>
      <c r="F1665">
        <v>4</v>
      </c>
      <c r="G1665" s="2">
        <v>296.94</v>
      </c>
      <c r="H1665">
        <v>0.25</v>
      </c>
      <c r="I1665" t="s">
        <v>71</v>
      </c>
      <c r="J1665">
        <v>5</v>
      </c>
      <c r="K1665">
        <v>1.6</v>
      </c>
      <c r="L1665" s="2">
        <v>890.82</v>
      </c>
      <c r="M1665">
        <v>2026</v>
      </c>
      <c r="N1665">
        <v>7</v>
      </c>
      <c r="O1665" t="s">
        <v>134</v>
      </c>
      <c r="P1665" s="2">
        <v>1187.76</v>
      </c>
      <c r="Q1665" s="2">
        <v>296.94</v>
      </c>
      <c r="R1665" t="s">
        <v>77</v>
      </c>
      <c r="S1665">
        <v>0</v>
      </c>
      <c r="T1665">
        <v>0</v>
      </c>
      <c r="U1665">
        <f>IF(AND(OR(Dashboard!$D$4="Semua",D1665=Dashboard!$D$4),OR(Dashboard!$H$4="Semua",E1665=Dashboard!$H$4)),1,0)</f>
        <v>1</v>
      </c>
      <c r="V1665">
        <f>IF(U1665=1,IF(COUNTIFS($C$2:C1665,C1665,$U$2:U1665,1)=1,1,0),0)</f>
        <v>1</v>
      </c>
    </row>
    <row r="1666" spans="1:22" x14ac:dyDescent="0.35">
      <c r="A1666">
        <v>11665</v>
      </c>
      <c r="B1666" s="1">
        <v>46226</v>
      </c>
      <c r="C1666">
        <v>1317</v>
      </c>
      <c r="D1666" t="s">
        <v>62</v>
      </c>
      <c r="E1666" t="s">
        <v>63</v>
      </c>
      <c r="F1666">
        <v>4</v>
      </c>
      <c r="G1666" s="2">
        <v>39.85</v>
      </c>
      <c r="H1666">
        <v>0.17</v>
      </c>
      <c r="I1666" t="s">
        <v>68</v>
      </c>
      <c r="J1666">
        <v>8</v>
      </c>
      <c r="K1666">
        <v>3.4</v>
      </c>
      <c r="L1666" s="2">
        <v>132.30000000000001</v>
      </c>
      <c r="M1666">
        <v>2026</v>
      </c>
      <c r="N1666">
        <v>7</v>
      </c>
      <c r="O1666" t="s">
        <v>134</v>
      </c>
      <c r="P1666" s="2">
        <v>159.4</v>
      </c>
      <c r="Q1666" s="2">
        <v>27.1</v>
      </c>
      <c r="R1666" t="s">
        <v>76</v>
      </c>
      <c r="S1666">
        <v>0</v>
      </c>
      <c r="T1666">
        <v>0</v>
      </c>
      <c r="U1666">
        <f>IF(AND(OR(Dashboard!$D$4="Semua",D1666=Dashboard!$D$4),OR(Dashboard!$H$4="Semua",E1666=Dashboard!$H$4)),1,0)</f>
        <v>1</v>
      </c>
      <c r="V1666">
        <f>IF(U1666=1,IF(COUNTIFS($C$2:C1666,C1666,$U$2:U1666,1)=1,1,0),0)</f>
        <v>0</v>
      </c>
    </row>
    <row r="1667" spans="1:22" x14ac:dyDescent="0.35">
      <c r="A1667">
        <v>11666</v>
      </c>
      <c r="B1667" s="1">
        <v>46227</v>
      </c>
      <c r="C1667">
        <v>1031</v>
      </c>
      <c r="D1667" t="s">
        <v>73</v>
      </c>
      <c r="E1667" t="s">
        <v>70</v>
      </c>
      <c r="F1667">
        <v>1</v>
      </c>
      <c r="G1667" s="2">
        <v>285.58</v>
      </c>
      <c r="H1667">
        <v>0.26</v>
      </c>
      <c r="I1667" t="s">
        <v>68</v>
      </c>
      <c r="J1667">
        <v>8</v>
      </c>
      <c r="K1667">
        <v>2.6</v>
      </c>
      <c r="L1667" s="2">
        <v>211.33</v>
      </c>
      <c r="M1667">
        <v>2026</v>
      </c>
      <c r="N1667">
        <v>7</v>
      </c>
      <c r="O1667" t="s">
        <v>134</v>
      </c>
      <c r="P1667" s="2">
        <v>285.58</v>
      </c>
      <c r="Q1667" s="2">
        <v>74.25</v>
      </c>
      <c r="R1667" t="s">
        <v>66</v>
      </c>
      <c r="S1667">
        <v>0</v>
      </c>
      <c r="T1667">
        <v>0</v>
      </c>
      <c r="U1667">
        <f>IF(AND(OR(Dashboard!$D$4="Semua",D1667=Dashboard!$D$4),OR(Dashboard!$H$4="Semua",E1667=Dashboard!$H$4)),1,0)</f>
        <v>1</v>
      </c>
      <c r="V1667">
        <f>IF(U1667=1,IF(COUNTIFS($C$2:C1667,C1667,$U$2:U1667,1)=1,1,0),0)</f>
        <v>1</v>
      </c>
    </row>
    <row r="1668" spans="1:22" x14ac:dyDescent="0.35">
      <c r="A1668">
        <v>11667</v>
      </c>
      <c r="B1668" s="1">
        <v>46228</v>
      </c>
      <c r="C1668">
        <v>1669</v>
      </c>
      <c r="D1668" t="s">
        <v>73</v>
      </c>
      <c r="E1668" t="s">
        <v>78</v>
      </c>
      <c r="F1668">
        <v>4</v>
      </c>
      <c r="G1668" s="2">
        <v>260.08</v>
      </c>
      <c r="H1668">
        <v>0.18</v>
      </c>
      <c r="I1668" t="s">
        <v>64</v>
      </c>
      <c r="J1668">
        <v>8</v>
      </c>
      <c r="K1668">
        <v>3.9</v>
      </c>
      <c r="L1668" s="2">
        <v>853.06</v>
      </c>
      <c r="M1668">
        <v>2026</v>
      </c>
      <c r="N1668">
        <v>7</v>
      </c>
      <c r="O1668" t="s">
        <v>134</v>
      </c>
      <c r="P1668" s="2">
        <v>1040.32</v>
      </c>
      <c r="Q1668" s="2">
        <v>187.26</v>
      </c>
      <c r="R1668" t="s">
        <v>76</v>
      </c>
      <c r="S1668">
        <v>0</v>
      </c>
      <c r="T1668">
        <v>0</v>
      </c>
      <c r="U1668">
        <f>IF(AND(OR(Dashboard!$D$4="Semua",D1668=Dashboard!$D$4),OR(Dashboard!$H$4="Semua",E1668=Dashboard!$H$4)),1,0)</f>
        <v>1</v>
      </c>
      <c r="V1668">
        <f>IF(U1668=1,IF(COUNTIFS($C$2:C1668,C1668,$U$2:U1668,1)=1,1,0),0)</f>
        <v>0</v>
      </c>
    </row>
    <row r="1669" spans="1:22" x14ac:dyDescent="0.35">
      <c r="A1669">
        <v>11668</v>
      </c>
      <c r="B1669" s="1">
        <v>46229</v>
      </c>
      <c r="C1669">
        <v>1284</v>
      </c>
      <c r="D1669" t="s">
        <v>73</v>
      </c>
      <c r="E1669" t="s">
        <v>78</v>
      </c>
      <c r="F1669">
        <v>3</v>
      </c>
      <c r="G1669" s="2">
        <v>470.91</v>
      </c>
      <c r="H1669">
        <v>0.03</v>
      </c>
      <c r="I1669" t="s">
        <v>68</v>
      </c>
      <c r="J1669">
        <v>3</v>
      </c>
      <c r="K1669">
        <v>3.7</v>
      </c>
      <c r="L1669" s="2">
        <v>1370.35</v>
      </c>
      <c r="M1669">
        <v>2026</v>
      </c>
      <c r="N1669">
        <v>7</v>
      </c>
      <c r="O1669" t="s">
        <v>134</v>
      </c>
      <c r="P1669" s="2">
        <v>1412.73</v>
      </c>
      <c r="Q1669" s="2">
        <v>42.38</v>
      </c>
      <c r="R1669" t="s">
        <v>75</v>
      </c>
      <c r="S1669">
        <v>0</v>
      </c>
      <c r="T1669">
        <v>0</v>
      </c>
      <c r="U1669">
        <f>IF(AND(OR(Dashboard!$D$4="Semua",D1669=Dashboard!$D$4),OR(Dashboard!$H$4="Semua",E1669=Dashboard!$H$4)),1,0)</f>
        <v>1</v>
      </c>
      <c r="V1669">
        <f>IF(U1669=1,IF(COUNTIFS($C$2:C1669,C1669,$U$2:U1669,1)=1,1,0),0)</f>
        <v>0</v>
      </c>
    </row>
    <row r="1670" spans="1:22" x14ac:dyDescent="0.35">
      <c r="A1670">
        <v>11669</v>
      </c>
      <c r="B1670" s="1">
        <v>46230</v>
      </c>
      <c r="C1670">
        <v>1304</v>
      </c>
      <c r="D1670" t="s">
        <v>80</v>
      </c>
      <c r="E1670" t="s">
        <v>63</v>
      </c>
      <c r="F1670">
        <v>5</v>
      </c>
      <c r="G1670" s="2">
        <v>222.64</v>
      </c>
      <c r="H1670">
        <v>0.26</v>
      </c>
      <c r="I1670" t="s">
        <v>71</v>
      </c>
      <c r="J1670">
        <v>8</v>
      </c>
      <c r="K1670">
        <v>4.2</v>
      </c>
      <c r="L1670" s="2">
        <v>823.77</v>
      </c>
      <c r="M1670">
        <v>2026</v>
      </c>
      <c r="N1670">
        <v>7</v>
      </c>
      <c r="O1670" t="s">
        <v>134</v>
      </c>
      <c r="P1670" s="2">
        <v>1113.2</v>
      </c>
      <c r="Q1670" s="2">
        <v>289.43</v>
      </c>
      <c r="R1670" t="s">
        <v>66</v>
      </c>
      <c r="S1670">
        <v>0</v>
      </c>
      <c r="T1670">
        <v>0</v>
      </c>
      <c r="U1670">
        <f>IF(AND(OR(Dashboard!$D$4="Semua",D1670=Dashboard!$D$4),OR(Dashboard!$H$4="Semua",E1670=Dashboard!$H$4)),1,0)</f>
        <v>1</v>
      </c>
      <c r="V1670">
        <f>IF(U1670=1,IF(COUNTIFS($C$2:C1670,C1670,$U$2:U1670,1)=1,1,0),0)</f>
        <v>0</v>
      </c>
    </row>
    <row r="1671" spans="1:22" x14ac:dyDescent="0.35">
      <c r="A1671">
        <v>11670</v>
      </c>
      <c r="B1671" s="1">
        <v>46231</v>
      </c>
      <c r="C1671">
        <v>1428</v>
      </c>
      <c r="D1671" t="s">
        <v>80</v>
      </c>
      <c r="E1671" t="s">
        <v>63</v>
      </c>
      <c r="F1671">
        <v>5</v>
      </c>
      <c r="G1671" s="2">
        <v>589.79</v>
      </c>
      <c r="H1671">
        <v>0.28999999999999998</v>
      </c>
      <c r="I1671" t="s">
        <v>68</v>
      </c>
      <c r="J1671">
        <v>4</v>
      </c>
      <c r="K1671">
        <v>4.5</v>
      </c>
      <c r="L1671" s="2">
        <v>2093.75</v>
      </c>
      <c r="M1671">
        <v>2026</v>
      </c>
      <c r="N1671">
        <v>7</v>
      </c>
      <c r="O1671" t="s">
        <v>134</v>
      </c>
      <c r="P1671" s="2">
        <v>2948.95</v>
      </c>
      <c r="Q1671" s="2">
        <v>855.2</v>
      </c>
      <c r="R1671" t="s">
        <v>66</v>
      </c>
      <c r="S1671">
        <v>0</v>
      </c>
      <c r="T1671">
        <v>0</v>
      </c>
      <c r="U1671">
        <f>IF(AND(OR(Dashboard!$D$4="Semua",D1671=Dashboard!$D$4),OR(Dashboard!$H$4="Semua",E1671=Dashboard!$H$4)),1,0)</f>
        <v>1</v>
      </c>
      <c r="V1671">
        <f>IF(U1671=1,IF(COUNTIFS($C$2:C1671,C1671,$U$2:U1671,1)=1,1,0),0)</f>
        <v>1</v>
      </c>
    </row>
    <row r="1672" spans="1:22" x14ac:dyDescent="0.35">
      <c r="A1672">
        <v>11671</v>
      </c>
      <c r="B1672" s="1">
        <v>46232</v>
      </c>
      <c r="C1672">
        <v>1476</v>
      </c>
      <c r="D1672" t="s">
        <v>73</v>
      </c>
      <c r="E1672" t="s">
        <v>70</v>
      </c>
      <c r="F1672">
        <v>2</v>
      </c>
      <c r="G1672" s="2">
        <v>120.75</v>
      </c>
      <c r="H1672">
        <v>0.32</v>
      </c>
      <c r="I1672" t="s">
        <v>68</v>
      </c>
      <c r="J1672">
        <v>8</v>
      </c>
      <c r="K1672">
        <v>4.3</v>
      </c>
      <c r="L1672" s="2">
        <v>164.22</v>
      </c>
      <c r="M1672">
        <v>2026</v>
      </c>
      <c r="N1672">
        <v>7</v>
      </c>
      <c r="O1672" t="s">
        <v>134</v>
      </c>
      <c r="P1672" s="2">
        <v>241.5</v>
      </c>
      <c r="Q1672" s="2">
        <v>77.28</v>
      </c>
      <c r="R1672" t="s">
        <v>72</v>
      </c>
      <c r="S1672">
        <v>0</v>
      </c>
      <c r="T1672">
        <v>0</v>
      </c>
      <c r="U1672">
        <f>IF(AND(OR(Dashboard!$D$4="Semua",D1672=Dashboard!$D$4),OR(Dashboard!$H$4="Semua",E1672=Dashboard!$H$4)),1,0)</f>
        <v>1</v>
      </c>
      <c r="V1672">
        <f>IF(U1672=1,IF(COUNTIFS($C$2:C1672,C1672,$U$2:U1672,1)=1,1,0),0)</f>
        <v>0</v>
      </c>
    </row>
    <row r="1673" spans="1:22" x14ac:dyDescent="0.35">
      <c r="A1673">
        <v>11672</v>
      </c>
      <c r="B1673" s="1">
        <v>46233</v>
      </c>
      <c r="C1673">
        <v>1285</v>
      </c>
      <c r="D1673" t="s">
        <v>80</v>
      </c>
      <c r="E1673" t="s">
        <v>78</v>
      </c>
      <c r="F1673">
        <v>4</v>
      </c>
      <c r="G1673" s="2">
        <v>360.73</v>
      </c>
      <c r="H1673">
        <v>0.2</v>
      </c>
      <c r="I1673" t="s">
        <v>71</v>
      </c>
      <c r="J1673">
        <v>3</v>
      </c>
      <c r="K1673">
        <v>2.8</v>
      </c>
      <c r="L1673" s="2">
        <v>1154.3399999999999</v>
      </c>
      <c r="M1673">
        <v>2026</v>
      </c>
      <c r="N1673">
        <v>7</v>
      </c>
      <c r="O1673" t="s">
        <v>134</v>
      </c>
      <c r="P1673" s="2">
        <v>1442.92</v>
      </c>
      <c r="Q1673" s="2">
        <v>288.58</v>
      </c>
      <c r="R1673" t="s">
        <v>76</v>
      </c>
      <c r="S1673">
        <v>0</v>
      </c>
      <c r="T1673">
        <v>0</v>
      </c>
      <c r="U1673">
        <f>IF(AND(OR(Dashboard!$D$4="Semua",D1673=Dashboard!$D$4),OR(Dashboard!$H$4="Semua",E1673=Dashboard!$H$4)),1,0)</f>
        <v>1</v>
      </c>
      <c r="V1673">
        <f>IF(U1673=1,IF(COUNTIFS($C$2:C1673,C1673,$U$2:U1673,1)=1,1,0),0)</f>
        <v>1</v>
      </c>
    </row>
    <row r="1674" spans="1:22" x14ac:dyDescent="0.35">
      <c r="A1674">
        <v>11673</v>
      </c>
      <c r="B1674" s="1">
        <v>46234</v>
      </c>
      <c r="C1674">
        <v>1143</v>
      </c>
      <c r="D1674" t="s">
        <v>67</v>
      </c>
      <c r="E1674" t="s">
        <v>74</v>
      </c>
      <c r="F1674">
        <v>1</v>
      </c>
      <c r="G1674" s="2">
        <v>67.47</v>
      </c>
      <c r="H1674">
        <v>0.26</v>
      </c>
      <c r="I1674" t="s">
        <v>64</v>
      </c>
      <c r="J1674">
        <v>3</v>
      </c>
      <c r="K1674">
        <v>2.2000000000000002</v>
      </c>
      <c r="L1674" s="2">
        <v>49.93</v>
      </c>
      <c r="M1674">
        <v>2026</v>
      </c>
      <c r="N1674">
        <v>7</v>
      </c>
      <c r="O1674" t="s">
        <v>134</v>
      </c>
      <c r="P1674" s="2">
        <v>67.47</v>
      </c>
      <c r="Q1674" s="2">
        <v>17.54</v>
      </c>
      <c r="R1674" t="s">
        <v>66</v>
      </c>
      <c r="S1674">
        <v>0</v>
      </c>
      <c r="T1674">
        <v>0</v>
      </c>
      <c r="U1674">
        <f>IF(AND(OR(Dashboard!$D$4="Semua",D1674=Dashboard!$D$4),OR(Dashboard!$H$4="Semua",E1674=Dashboard!$H$4)),1,0)</f>
        <v>1</v>
      </c>
      <c r="V1674">
        <f>IF(U1674=1,IF(COUNTIFS($C$2:C1674,C1674,$U$2:U1674,1)=1,1,0),0)</f>
        <v>0</v>
      </c>
    </row>
    <row r="1675" spans="1:22" x14ac:dyDescent="0.35">
      <c r="A1675">
        <v>11674</v>
      </c>
      <c r="B1675" s="1">
        <v>46235</v>
      </c>
      <c r="C1675">
        <v>1423</v>
      </c>
      <c r="D1675" t="s">
        <v>80</v>
      </c>
      <c r="E1675" t="s">
        <v>63</v>
      </c>
      <c r="F1675">
        <v>7</v>
      </c>
      <c r="G1675" s="2">
        <v>444.31</v>
      </c>
      <c r="H1675">
        <v>0.26</v>
      </c>
      <c r="I1675" t="s">
        <v>68</v>
      </c>
      <c r="J1675">
        <v>1</v>
      </c>
      <c r="K1675">
        <v>3</v>
      </c>
      <c r="L1675" s="2">
        <v>2301.5300000000002</v>
      </c>
      <c r="M1675">
        <v>2026</v>
      </c>
      <c r="N1675">
        <v>8</v>
      </c>
      <c r="O1675" t="s">
        <v>135</v>
      </c>
      <c r="P1675" s="2">
        <v>3110.17</v>
      </c>
      <c r="Q1675" s="2">
        <v>808.64</v>
      </c>
      <c r="R1675" t="s">
        <v>66</v>
      </c>
      <c r="S1675">
        <v>0</v>
      </c>
      <c r="T1675">
        <v>0</v>
      </c>
      <c r="U1675">
        <f>IF(AND(OR(Dashboard!$D$4="Semua",D1675=Dashboard!$D$4),OR(Dashboard!$H$4="Semua",E1675=Dashboard!$H$4)),1,0)</f>
        <v>1</v>
      </c>
      <c r="V1675">
        <f>IF(U1675=1,IF(COUNTIFS($C$2:C1675,C1675,$U$2:U1675,1)=1,1,0),0)</f>
        <v>1</v>
      </c>
    </row>
    <row r="1676" spans="1:22" x14ac:dyDescent="0.35">
      <c r="A1676">
        <v>11675</v>
      </c>
      <c r="B1676" s="1">
        <v>46236</v>
      </c>
      <c r="C1676">
        <v>1018</v>
      </c>
      <c r="D1676" t="s">
        <v>67</v>
      </c>
      <c r="E1676" t="s">
        <v>70</v>
      </c>
      <c r="F1676">
        <v>1</v>
      </c>
      <c r="G1676" s="2">
        <v>596.92999999999995</v>
      </c>
      <c r="H1676">
        <v>0.05</v>
      </c>
      <c r="I1676" t="s">
        <v>71</v>
      </c>
      <c r="J1676">
        <v>8</v>
      </c>
      <c r="K1676">
        <v>3.1</v>
      </c>
      <c r="L1676" s="2">
        <v>567.08000000000004</v>
      </c>
      <c r="M1676">
        <v>2026</v>
      </c>
      <c r="N1676">
        <v>8</v>
      </c>
      <c r="O1676" t="s">
        <v>135</v>
      </c>
      <c r="P1676" s="2">
        <v>596.92999999999995</v>
      </c>
      <c r="Q1676" s="2">
        <v>29.85</v>
      </c>
      <c r="R1676" t="s">
        <v>75</v>
      </c>
      <c r="S1676">
        <v>0</v>
      </c>
      <c r="T1676">
        <v>0</v>
      </c>
      <c r="U1676">
        <f>IF(AND(OR(Dashboard!$D$4="Semua",D1676=Dashboard!$D$4),OR(Dashboard!$H$4="Semua",E1676=Dashboard!$H$4)),1,0)</f>
        <v>1</v>
      </c>
      <c r="V1676">
        <f>IF(U1676=1,IF(COUNTIFS($C$2:C1676,C1676,$U$2:U1676,1)=1,1,0),0)</f>
        <v>0</v>
      </c>
    </row>
    <row r="1677" spans="1:22" x14ac:dyDescent="0.35">
      <c r="A1677">
        <v>11676</v>
      </c>
      <c r="B1677" s="1">
        <v>46237</v>
      </c>
      <c r="C1677">
        <v>1017</v>
      </c>
      <c r="D1677" t="s">
        <v>67</v>
      </c>
      <c r="E1677" t="s">
        <v>78</v>
      </c>
      <c r="F1677">
        <v>1</v>
      </c>
      <c r="G1677" s="2">
        <v>494.2</v>
      </c>
      <c r="H1677">
        <v>0.06</v>
      </c>
      <c r="I1677" t="s">
        <v>64</v>
      </c>
      <c r="J1677">
        <v>8</v>
      </c>
      <c r="K1677">
        <v>2.2999999999999998</v>
      </c>
      <c r="L1677" s="2">
        <v>464.55</v>
      </c>
      <c r="M1677">
        <v>2026</v>
      </c>
      <c r="N1677">
        <v>8</v>
      </c>
      <c r="O1677" t="s">
        <v>135</v>
      </c>
      <c r="P1677" s="2">
        <v>494.2</v>
      </c>
      <c r="Q1677" s="2">
        <v>29.65</v>
      </c>
      <c r="R1677" t="s">
        <v>69</v>
      </c>
      <c r="S1677">
        <v>0</v>
      </c>
      <c r="T1677">
        <v>0</v>
      </c>
      <c r="U1677">
        <f>IF(AND(OR(Dashboard!$D$4="Semua",D1677=Dashboard!$D$4),OR(Dashboard!$H$4="Semua",E1677=Dashboard!$H$4)),1,0)</f>
        <v>1</v>
      </c>
      <c r="V1677">
        <f>IF(U1677=1,IF(COUNTIFS($C$2:C1677,C1677,$U$2:U1677,1)=1,1,0),0)</f>
        <v>0</v>
      </c>
    </row>
    <row r="1678" spans="1:22" x14ac:dyDescent="0.35">
      <c r="A1678">
        <v>11677</v>
      </c>
      <c r="B1678" s="1">
        <v>46238</v>
      </c>
      <c r="C1678">
        <v>1768</v>
      </c>
      <c r="D1678" t="s">
        <v>62</v>
      </c>
      <c r="E1678" t="s">
        <v>78</v>
      </c>
      <c r="F1678">
        <v>6</v>
      </c>
      <c r="G1678" s="2">
        <v>340.09</v>
      </c>
      <c r="H1678">
        <v>0.02</v>
      </c>
      <c r="I1678" t="s">
        <v>71</v>
      </c>
      <c r="J1678">
        <v>9</v>
      </c>
      <c r="K1678">
        <v>3.2</v>
      </c>
      <c r="L1678" s="2">
        <v>1999.73</v>
      </c>
      <c r="M1678">
        <v>2026</v>
      </c>
      <c r="N1678">
        <v>8</v>
      </c>
      <c r="O1678" t="s">
        <v>135</v>
      </c>
      <c r="P1678" s="2">
        <v>2040.54</v>
      </c>
      <c r="Q1678" s="2">
        <v>40.81</v>
      </c>
      <c r="R1678" t="s">
        <v>75</v>
      </c>
      <c r="S1678">
        <v>0</v>
      </c>
      <c r="T1678">
        <v>0</v>
      </c>
      <c r="U1678">
        <f>IF(AND(OR(Dashboard!$D$4="Semua",D1678=Dashboard!$D$4),OR(Dashboard!$H$4="Semua",E1678=Dashboard!$H$4)),1,0)</f>
        <v>1</v>
      </c>
      <c r="V1678">
        <f>IF(U1678=1,IF(COUNTIFS($C$2:C1678,C1678,$U$2:U1678,1)=1,1,0),0)</f>
        <v>0</v>
      </c>
    </row>
    <row r="1679" spans="1:22" x14ac:dyDescent="0.35">
      <c r="A1679">
        <v>11678</v>
      </c>
      <c r="B1679" s="1">
        <v>46239</v>
      </c>
      <c r="C1679">
        <v>1589</v>
      </c>
      <c r="D1679" t="s">
        <v>73</v>
      </c>
      <c r="E1679" t="s">
        <v>63</v>
      </c>
      <c r="F1679">
        <v>7</v>
      </c>
      <c r="G1679" s="2">
        <v>298.57</v>
      </c>
      <c r="H1679">
        <v>0.11</v>
      </c>
      <c r="I1679" t="s">
        <v>68</v>
      </c>
      <c r="J1679">
        <v>6</v>
      </c>
      <c r="K1679">
        <v>1.4</v>
      </c>
      <c r="L1679" s="2">
        <v>1860.09</v>
      </c>
      <c r="M1679">
        <v>2026</v>
      </c>
      <c r="N1679">
        <v>8</v>
      </c>
      <c r="O1679" t="s">
        <v>135</v>
      </c>
      <c r="P1679" s="2">
        <v>2089.9899999999998</v>
      </c>
      <c r="Q1679" s="2">
        <v>229.9</v>
      </c>
      <c r="R1679" t="s">
        <v>79</v>
      </c>
      <c r="S1679">
        <v>0</v>
      </c>
      <c r="T1679">
        <v>0</v>
      </c>
      <c r="U1679">
        <f>IF(AND(OR(Dashboard!$D$4="Semua",D1679=Dashboard!$D$4),OR(Dashboard!$H$4="Semua",E1679=Dashboard!$H$4)),1,0)</f>
        <v>1</v>
      </c>
      <c r="V1679">
        <f>IF(U1679=1,IF(COUNTIFS($C$2:C1679,C1679,$U$2:U1679,1)=1,1,0),0)</f>
        <v>1</v>
      </c>
    </row>
    <row r="1680" spans="1:22" x14ac:dyDescent="0.35">
      <c r="A1680">
        <v>11679</v>
      </c>
      <c r="B1680" s="1">
        <v>46240</v>
      </c>
      <c r="C1680">
        <v>1370</v>
      </c>
      <c r="D1680" t="s">
        <v>73</v>
      </c>
      <c r="E1680" t="s">
        <v>70</v>
      </c>
      <c r="F1680">
        <v>3</v>
      </c>
      <c r="G1680" s="2">
        <v>503.49</v>
      </c>
      <c r="H1680">
        <v>0.17</v>
      </c>
      <c r="I1680" t="s">
        <v>71</v>
      </c>
      <c r="J1680">
        <v>2</v>
      </c>
      <c r="K1680">
        <v>1.9</v>
      </c>
      <c r="L1680" s="2">
        <v>1253.69</v>
      </c>
      <c r="M1680">
        <v>2026</v>
      </c>
      <c r="N1680">
        <v>8</v>
      </c>
      <c r="O1680" t="s">
        <v>135</v>
      </c>
      <c r="P1680" s="2">
        <v>1510.47</v>
      </c>
      <c r="Q1680" s="2">
        <v>256.77999999999997</v>
      </c>
      <c r="R1680" t="s">
        <v>76</v>
      </c>
      <c r="S1680">
        <v>0</v>
      </c>
      <c r="T1680">
        <v>0</v>
      </c>
      <c r="U1680">
        <f>IF(AND(OR(Dashboard!$D$4="Semua",D1680=Dashboard!$D$4),OR(Dashboard!$H$4="Semua",E1680=Dashboard!$H$4)),1,0)</f>
        <v>1</v>
      </c>
      <c r="V1680">
        <f>IF(U1680=1,IF(COUNTIFS($C$2:C1680,C1680,$U$2:U1680,1)=1,1,0),0)</f>
        <v>0</v>
      </c>
    </row>
    <row r="1681" spans="1:22" x14ac:dyDescent="0.35">
      <c r="A1681">
        <v>11680</v>
      </c>
      <c r="B1681" s="1">
        <v>46241</v>
      </c>
      <c r="C1681">
        <v>1174</v>
      </c>
      <c r="D1681" t="s">
        <v>67</v>
      </c>
      <c r="E1681" t="s">
        <v>74</v>
      </c>
      <c r="F1681">
        <v>4</v>
      </c>
      <c r="G1681" s="2">
        <v>562.54</v>
      </c>
      <c r="H1681">
        <v>0.35</v>
      </c>
      <c r="I1681" t="s">
        <v>71</v>
      </c>
      <c r="J1681">
        <v>1</v>
      </c>
      <c r="K1681">
        <v>4</v>
      </c>
      <c r="L1681" s="2">
        <v>1462.6</v>
      </c>
      <c r="M1681">
        <v>2026</v>
      </c>
      <c r="N1681">
        <v>8</v>
      </c>
      <c r="O1681" t="s">
        <v>135</v>
      </c>
      <c r="P1681" s="2">
        <v>2250.16</v>
      </c>
      <c r="Q1681" s="2">
        <v>787.56</v>
      </c>
      <c r="R1681" t="s">
        <v>72</v>
      </c>
      <c r="S1681">
        <v>0</v>
      </c>
      <c r="T1681">
        <v>0</v>
      </c>
      <c r="U1681">
        <f>IF(AND(OR(Dashboard!$D$4="Semua",D1681=Dashboard!$D$4),OR(Dashboard!$H$4="Semua",E1681=Dashboard!$H$4)),1,0)</f>
        <v>1</v>
      </c>
      <c r="V1681">
        <f>IF(U1681=1,IF(COUNTIFS($C$2:C1681,C1681,$U$2:U1681,1)=1,1,0),0)</f>
        <v>1</v>
      </c>
    </row>
    <row r="1682" spans="1:22" x14ac:dyDescent="0.35">
      <c r="A1682">
        <v>11681</v>
      </c>
      <c r="B1682" s="1">
        <v>46242</v>
      </c>
      <c r="C1682">
        <v>1193</v>
      </c>
      <c r="D1682" t="s">
        <v>62</v>
      </c>
      <c r="E1682" t="s">
        <v>63</v>
      </c>
      <c r="F1682">
        <v>7</v>
      </c>
      <c r="G1682" s="2">
        <v>593.69000000000005</v>
      </c>
      <c r="H1682">
        <v>0.15</v>
      </c>
      <c r="I1682" t="s">
        <v>71</v>
      </c>
      <c r="J1682">
        <v>8</v>
      </c>
      <c r="K1682">
        <v>1.7</v>
      </c>
      <c r="L1682" s="2">
        <v>3532.46</v>
      </c>
      <c r="M1682">
        <v>2026</v>
      </c>
      <c r="N1682">
        <v>8</v>
      </c>
      <c r="O1682" t="s">
        <v>135</v>
      </c>
      <c r="P1682" s="2">
        <v>4155.83</v>
      </c>
      <c r="Q1682" s="2">
        <v>623.37</v>
      </c>
      <c r="R1682" t="s">
        <v>79</v>
      </c>
      <c r="S1682">
        <v>0</v>
      </c>
      <c r="T1682">
        <v>1</v>
      </c>
      <c r="U1682">
        <f>IF(AND(OR(Dashboard!$D$4="Semua",D1682=Dashboard!$D$4),OR(Dashboard!$H$4="Semua",E1682=Dashboard!$H$4)),1,0)</f>
        <v>1</v>
      </c>
      <c r="V1682">
        <f>IF(U1682=1,IF(COUNTIFS($C$2:C1682,C1682,$U$2:U1682,1)=1,1,0),0)</f>
        <v>0</v>
      </c>
    </row>
    <row r="1683" spans="1:22" x14ac:dyDescent="0.35">
      <c r="A1683">
        <v>11682</v>
      </c>
      <c r="B1683" s="1">
        <v>46243</v>
      </c>
      <c r="C1683">
        <v>1501</v>
      </c>
      <c r="D1683" t="s">
        <v>67</v>
      </c>
      <c r="E1683" t="s">
        <v>70</v>
      </c>
      <c r="F1683">
        <v>1</v>
      </c>
      <c r="G1683" s="2">
        <v>246.98</v>
      </c>
      <c r="H1683">
        <v>0.25</v>
      </c>
      <c r="I1683" t="s">
        <v>71</v>
      </c>
      <c r="J1683">
        <v>10</v>
      </c>
      <c r="K1683">
        <v>1.6</v>
      </c>
      <c r="L1683" s="2">
        <v>185.24</v>
      </c>
      <c r="M1683">
        <v>2026</v>
      </c>
      <c r="N1683">
        <v>8</v>
      </c>
      <c r="O1683" t="s">
        <v>135</v>
      </c>
      <c r="P1683" s="2">
        <v>246.98</v>
      </c>
      <c r="Q1683" s="2">
        <v>61.74</v>
      </c>
      <c r="R1683" t="s">
        <v>77</v>
      </c>
      <c r="S1683">
        <v>0</v>
      </c>
      <c r="T1683">
        <v>0</v>
      </c>
      <c r="U1683">
        <f>IF(AND(OR(Dashboard!$D$4="Semua",D1683=Dashboard!$D$4),OR(Dashboard!$H$4="Semua",E1683=Dashboard!$H$4)),1,0)</f>
        <v>1</v>
      </c>
      <c r="V1683">
        <f>IF(U1683=1,IF(COUNTIFS($C$2:C1683,C1683,$U$2:U1683,1)=1,1,0),0)</f>
        <v>0</v>
      </c>
    </row>
    <row r="1684" spans="1:22" x14ac:dyDescent="0.35">
      <c r="A1684">
        <v>11683</v>
      </c>
      <c r="B1684" s="1">
        <v>46244</v>
      </c>
      <c r="C1684">
        <v>1987</v>
      </c>
      <c r="D1684" t="s">
        <v>73</v>
      </c>
      <c r="E1684" t="s">
        <v>78</v>
      </c>
      <c r="F1684">
        <v>7</v>
      </c>
      <c r="G1684" s="2">
        <v>594.69000000000005</v>
      </c>
      <c r="H1684">
        <v>0.24</v>
      </c>
      <c r="I1684" t="s">
        <v>68</v>
      </c>
      <c r="J1684">
        <v>4</v>
      </c>
      <c r="K1684">
        <v>2.1</v>
      </c>
      <c r="L1684" s="2">
        <v>3163.75</v>
      </c>
      <c r="M1684">
        <v>2026</v>
      </c>
      <c r="N1684">
        <v>8</v>
      </c>
      <c r="O1684" t="s">
        <v>135</v>
      </c>
      <c r="P1684" s="2">
        <v>4162.83</v>
      </c>
      <c r="Q1684" s="2">
        <v>999.08</v>
      </c>
      <c r="R1684" t="s">
        <v>77</v>
      </c>
      <c r="S1684">
        <v>0</v>
      </c>
      <c r="T1684">
        <v>0</v>
      </c>
      <c r="U1684">
        <f>IF(AND(OR(Dashboard!$D$4="Semua",D1684=Dashboard!$D$4),OR(Dashboard!$H$4="Semua",E1684=Dashboard!$H$4)),1,0)</f>
        <v>1</v>
      </c>
      <c r="V1684">
        <f>IF(U1684=1,IF(COUNTIFS($C$2:C1684,C1684,$U$2:U1684,1)=1,1,0),0)</f>
        <v>0</v>
      </c>
    </row>
    <row r="1685" spans="1:22" x14ac:dyDescent="0.35">
      <c r="A1685">
        <v>11684</v>
      </c>
      <c r="B1685" s="1">
        <v>46245</v>
      </c>
      <c r="C1685">
        <v>1112</v>
      </c>
      <c r="D1685" t="s">
        <v>73</v>
      </c>
      <c r="E1685" t="s">
        <v>74</v>
      </c>
      <c r="F1685">
        <v>3</v>
      </c>
      <c r="G1685" s="2">
        <v>106.22</v>
      </c>
      <c r="H1685">
        <v>7.0000000000000007E-2</v>
      </c>
      <c r="I1685" t="s">
        <v>71</v>
      </c>
      <c r="J1685">
        <v>11</v>
      </c>
      <c r="K1685">
        <v>2.5</v>
      </c>
      <c r="L1685" s="2">
        <v>296.35000000000002</v>
      </c>
      <c r="M1685">
        <v>2026</v>
      </c>
      <c r="N1685">
        <v>8</v>
      </c>
      <c r="O1685" t="s">
        <v>135</v>
      </c>
      <c r="P1685" s="2">
        <v>318.66000000000003</v>
      </c>
      <c r="Q1685" s="2">
        <v>22.31</v>
      </c>
      <c r="R1685" t="s">
        <v>69</v>
      </c>
      <c r="S1685">
        <v>0</v>
      </c>
      <c r="T1685">
        <v>0</v>
      </c>
      <c r="U1685">
        <f>IF(AND(OR(Dashboard!$D$4="Semua",D1685=Dashboard!$D$4),OR(Dashboard!$H$4="Semua",E1685=Dashboard!$H$4)),1,0)</f>
        <v>1</v>
      </c>
      <c r="V1685">
        <f>IF(U1685=1,IF(COUNTIFS($C$2:C1685,C1685,$U$2:U1685,1)=1,1,0),0)</f>
        <v>0</v>
      </c>
    </row>
    <row r="1686" spans="1:22" x14ac:dyDescent="0.35">
      <c r="A1686">
        <v>11685</v>
      </c>
      <c r="B1686" s="1">
        <v>46246</v>
      </c>
      <c r="C1686">
        <v>1113</v>
      </c>
      <c r="D1686" t="s">
        <v>67</v>
      </c>
      <c r="E1686" t="s">
        <v>70</v>
      </c>
      <c r="F1686">
        <v>5</v>
      </c>
      <c r="G1686" s="2">
        <v>163.33000000000001</v>
      </c>
      <c r="H1686">
        <v>0.02</v>
      </c>
      <c r="I1686" t="s">
        <v>71</v>
      </c>
      <c r="J1686">
        <v>11</v>
      </c>
      <c r="K1686">
        <v>2.2999999999999998</v>
      </c>
      <c r="L1686" s="2">
        <v>800.32</v>
      </c>
      <c r="M1686">
        <v>2026</v>
      </c>
      <c r="N1686">
        <v>8</v>
      </c>
      <c r="O1686" t="s">
        <v>135</v>
      </c>
      <c r="P1686" s="2">
        <v>816.65</v>
      </c>
      <c r="Q1686" s="2">
        <v>16.329999999999998</v>
      </c>
      <c r="R1686" t="s">
        <v>75</v>
      </c>
      <c r="S1686">
        <v>0</v>
      </c>
      <c r="T1686">
        <v>0</v>
      </c>
      <c r="U1686">
        <f>IF(AND(OR(Dashboard!$D$4="Semua",D1686=Dashboard!$D$4),OR(Dashboard!$H$4="Semua",E1686=Dashboard!$H$4)),1,0)</f>
        <v>1</v>
      </c>
      <c r="V1686">
        <f>IF(U1686=1,IF(COUNTIFS($C$2:C1686,C1686,$U$2:U1686,1)=1,1,0),0)</f>
        <v>1</v>
      </c>
    </row>
    <row r="1687" spans="1:22" x14ac:dyDescent="0.35">
      <c r="A1687">
        <v>11686</v>
      </c>
      <c r="B1687" s="1">
        <v>46247</v>
      </c>
      <c r="C1687">
        <v>1221</v>
      </c>
      <c r="D1687" t="s">
        <v>73</v>
      </c>
      <c r="E1687" t="s">
        <v>74</v>
      </c>
      <c r="F1687">
        <v>2</v>
      </c>
      <c r="G1687" s="2">
        <v>67.069999999999993</v>
      </c>
      <c r="H1687">
        <v>0.19</v>
      </c>
      <c r="I1687" t="s">
        <v>71</v>
      </c>
      <c r="J1687">
        <v>7</v>
      </c>
      <c r="K1687">
        <v>2.5</v>
      </c>
      <c r="L1687" s="2">
        <v>108.65</v>
      </c>
      <c r="M1687">
        <v>2026</v>
      </c>
      <c r="N1687">
        <v>8</v>
      </c>
      <c r="O1687" t="s">
        <v>135</v>
      </c>
      <c r="P1687" s="2">
        <v>134.13999999999999</v>
      </c>
      <c r="Q1687" s="2">
        <v>25.49</v>
      </c>
      <c r="R1687" t="s">
        <v>76</v>
      </c>
      <c r="S1687">
        <v>0</v>
      </c>
      <c r="T1687">
        <v>0</v>
      </c>
      <c r="U1687">
        <f>IF(AND(OR(Dashboard!$D$4="Semua",D1687=Dashboard!$D$4),OR(Dashboard!$H$4="Semua",E1687=Dashboard!$H$4)),1,0)</f>
        <v>1</v>
      </c>
      <c r="V1687">
        <f>IF(U1687=1,IF(COUNTIFS($C$2:C1687,C1687,$U$2:U1687,1)=1,1,0),0)</f>
        <v>1</v>
      </c>
    </row>
    <row r="1688" spans="1:22" x14ac:dyDescent="0.35">
      <c r="A1688">
        <v>11687</v>
      </c>
      <c r="B1688" s="1">
        <v>46248</v>
      </c>
      <c r="C1688">
        <v>1677</v>
      </c>
      <c r="D1688" t="s">
        <v>80</v>
      </c>
      <c r="E1688" t="s">
        <v>70</v>
      </c>
      <c r="F1688">
        <v>4</v>
      </c>
      <c r="G1688" s="2">
        <v>173.97</v>
      </c>
      <c r="H1688">
        <v>0.25</v>
      </c>
      <c r="I1688" t="s">
        <v>64</v>
      </c>
      <c r="J1688">
        <v>10</v>
      </c>
      <c r="K1688">
        <v>1.6</v>
      </c>
      <c r="L1688" s="2">
        <v>521.91</v>
      </c>
      <c r="M1688">
        <v>2026</v>
      </c>
      <c r="N1688">
        <v>8</v>
      </c>
      <c r="O1688" t="s">
        <v>135</v>
      </c>
      <c r="P1688" s="2">
        <v>695.88</v>
      </c>
      <c r="Q1688" s="2">
        <v>173.97</v>
      </c>
      <c r="R1688" t="s">
        <v>77</v>
      </c>
      <c r="S1688">
        <v>0</v>
      </c>
      <c r="T1688">
        <v>0</v>
      </c>
      <c r="U1688">
        <f>IF(AND(OR(Dashboard!$D$4="Semua",D1688=Dashboard!$D$4),OR(Dashboard!$H$4="Semua",E1688=Dashboard!$H$4)),1,0)</f>
        <v>1</v>
      </c>
      <c r="V1688">
        <f>IF(U1688=1,IF(COUNTIFS($C$2:C1688,C1688,$U$2:U1688,1)=1,1,0),0)</f>
        <v>1</v>
      </c>
    </row>
    <row r="1689" spans="1:22" x14ac:dyDescent="0.35">
      <c r="A1689">
        <v>11688</v>
      </c>
      <c r="B1689" s="1">
        <v>46249</v>
      </c>
      <c r="C1689">
        <v>1946</v>
      </c>
      <c r="D1689" t="s">
        <v>62</v>
      </c>
      <c r="E1689" t="s">
        <v>70</v>
      </c>
      <c r="F1689">
        <v>4</v>
      </c>
      <c r="G1689" s="2">
        <v>464.24</v>
      </c>
      <c r="H1689">
        <v>0.35</v>
      </c>
      <c r="I1689" t="s">
        <v>64</v>
      </c>
      <c r="J1689">
        <v>4</v>
      </c>
      <c r="K1689">
        <v>1.7</v>
      </c>
      <c r="L1689" s="2">
        <v>1207.02</v>
      </c>
      <c r="M1689">
        <v>2026</v>
      </c>
      <c r="N1689">
        <v>8</v>
      </c>
      <c r="O1689" t="s">
        <v>135</v>
      </c>
      <c r="P1689" s="2">
        <v>1856.96</v>
      </c>
      <c r="Q1689" s="2">
        <v>649.94000000000005</v>
      </c>
      <c r="R1689" t="s">
        <v>72</v>
      </c>
      <c r="S1689">
        <v>0</v>
      </c>
      <c r="T1689">
        <v>0</v>
      </c>
      <c r="U1689">
        <f>IF(AND(OR(Dashboard!$D$4="Semua",D1689=Dashboard!$D$4),OR(Dashboard!$H$4="Semua",E1689=Dashboard!$H$4)),1,0)</f>
        <v>1</v>
      </c>
      <c r="V1689">
        <f>IF(U1689=1,IF(COUNTIFS($C$2:C1689,C1689,$U$2:U1689,1)=1,1,0),0)</f>
        <v>0</v>
      </c>
    </row>
    <row r="1690" spans="1:22" x14ac:dyDescent="0.35">
      <c r="A1690">
        <v>11689</v>
      </c>
      <c r="B1690" s="1">
        <v>46250</v>
      </c>
      <c r="C1690">
        <v>1830</v>
      </c>
      <c r="D1690" t="s">
        <v>67</v>
      </c>
      <c r="E1690" t="s">
        <v>70</v>
      </c>
      <c r="F1690">
        <v>6</v>
      </c>
      <c r="G1690" s="2">
        <v>513.96</v>
      </c>
      <c r="H1690">
        <v>0.13</v>
      </c>
      <c r="I1690" t="s">
        <v>71</v>
      </c>
      <c r="J1690">
        <v>1</v>
      </c>
      <c r="K1690">
        <v>1.9</v>
      </c>
      <c r="L1690" s="2">
        <v>2682.87</v>
      </c>
      <c r="M1690">
        <v>2026</v>
      </c>
      <c r="N1690">
        <v>8</v>
      </c>
      <c r="O1690" t="s">
        <v>135</v>
      </c>
      <c r="P1690" s="2">
        <v>3083.76</v>
      </c>
      <c r="Q1690" s="2">
        <v>400.89</v>
      </c>
      <c r="R1690" t="s">
        <v>79</v>
      </c>
      <c r="S1690">
        <v>0</v>
      </c>
      <c r="T1690">
        <v>0</v>
      </c>
      <c r="U1690">
        <f>IF(AND(OR(Dashboard!$D$4="Semua",D1690=Dashboard!$D$4),OR(Dashboard!$H$4="Semua",E1690=Dashboard!$H$4)),1,0)</f>
        <v>1</v>
      </c>
      <c r="V1690">
        <f>IF(U1690=1,IF(COUNTIFS($C$2:C1690,C1690,$U$2:U1690,1)=1,1,0),0)</f>
        <v>0</v>
      </c>
    </row>
    <row r="1691" spans="1:22" x14ac:dyDescent="0.35">
      <c r="A1691">
        <v>11690</v>
      </c>
      <c r="B1691" s="1">
        <v>46251</v>
      </c>
      <c r="C1691">
        <v>1643</v>
      </c>
      <c r="D1691" t="s">
        <v>67</v>
      </c>
      <c r="E1691" t="s">
        <v>70</v>
      </c>
      <c r="F1691">
        <v>5</v>
      </c>
      <c r="G1691" s="2">
        <v>470.65</v>
      </c>
      <c r="H1691">
        <v>0.31</v>
      </c>
      <c r="I1691" t="s">
        <v>71</v>
      </c>
      <c r="J1691">
        <v>8</v>
      </c>
      <c r="K1691">
        <v>2.6</v>
      </c>
      <c r="L1691" s="2">
        <v>1623.74</v>
      </c>
      <c r="M1691">
        <v>2026</v>
      </c>
      <c r="N1691">
        <v>8</v>
      </c>
      <c r="O1691" t="s">
        <v>135</v>
      </c>
      <c r="P1691" s="2">
        <v>2353.25</v>
      </c>
      <c r="Q1691" s="2">
        <v>729.51</v>
      </c>
      <c r="R1691" t="s">
        <v>72</v>
      </c>
      <c r="S1691">
        <v>0</v>
      </c>
      <c r="T1691">
        <v>0</v>
      </c>
      <c r="U1691">
        <f>IF(AND(OR(Dashboard!$D$4="Semua",D1691=Dashboard!$D$4),OR(Dashboard!$H$4="Semua",E1691=Dashboard!$H$4)),1,0)</f>
        <v>1</v>
      </c>
      <c r="V1691">
        <f>IF(U1691=1,IF(COUNTIFS($C$2:C1691,C1691,$U$2:U1691,1)=1,1,0),0)</f>
        <v>1</v>
      </c>
    </row>
    <row r="1692" spans="1:22" x14ac:dyDescent="0.35">
      <c r="A1692">
        <v>11691</v>
      </c>
      <c r="B1692" s="1">
        <v>46252</v>
      </c>
      <c r="C1692">
        <v>1896</v>
      </c>
      <c r="D1692" t="s">
        <v>67</v>
      </c>
      <c r="E1692" t="s">
        <v>74</v>
      </c>
      <c r="F1692">
        <v>4</v>
      </c>
      <c r="G1692" s="2">
        <v>384.17</v>
      </c>
      <c r="H1692">
        <v>0.13</v>
      </c>
      <c r="I1692" t="s">
        <v>71</v>
      </c>
      <c r="J1692">
        <v>10</v>
      </c>
      <c r="K1692">
        <v>2.2999999999999998</v>
      </c>
      <c r="L1692" s="2">
        <v>1336.91</v>
      </c>
      <c r="M1692">
        <v>2026</v>
      </c>
      <c r="N1692">
        <v>8</v>
      </c>
      <c r="O1692" t="s">
        <v>135</v>
      </c>
      <c r="P1692" s="2">
        <v>1536.68</v>
      </c>
      <c r="Q1692" s="2">
        <v>199.77</v>
      </c>
      <c r="R1692" t="s">
        <v>79</v>
      </c>
      <c r="S1692">
        <v>0</v>
      </c>
      <c r="T1692">
        <v>0</v>
      </c>
      <c r="U1692">
        <f>IF(AND(OR(Dashboard!$D$4="Semua",D1692=Dashboard!$D$4),OR(Dashboard!$H$4="Semua",E1692=Dashboard!$H$4)),1,0)</f>
        <v>1</v>
      </c>
      <c r="V1692">
        <f>IF(U1692=1,IF(COUNTIFS($C$2:C1692,C1692,$U$2:U1692,1)=1,1,0),0)</f>
        <v>0</v>
      </c>
    </row>
    <row r="1693" spans="1:22" x14ac:dyDescent="0.35">
      <c r="A1693">
        <v>11692</v>
      </c>
      <c r="B1693" s="1">
        <v>46253</v>
      </c>
      <c r="C1693">
        <v>1263</v>
      </c>
      <c r="D1693" t="s">
        <v>73</v>
      </c>
      <c r="E1693" t="s">
        <v>63</v>
      </c>
      <c r="F1693">
        <v>6</v>
      </c>
      <c r="G1693" s="2">
        <v>315.67</v>
      </c>
      <c r="H1693">
        <v>0.24</v>
      </c>
      <c r="I1693" t="s">
        <v>71</v>
      </c>
      <c r="J1693">
        <v>9</v>
      </c>
      <c r="K1693">
        <v>4.2</v>
      </c>
      <c r="L1693" s="2">
        <v>1439.46</v>
      </c>
      <c r="M1693">
        <v>2026</v>
      </c>
      <c r="N1693">
        <v>8</v>
      </c>
      <c r="O1693" t="s">
        <v>135</v>
      </c>
      <c r="P1693" s="2">
        <v>1894.02</v>
      </c>
      <c r="Q1693" s="2">
        <v>454.56</v>
      </c>
      <c r="R1693" t="s">
        <v>77</v>
      </c>
      <c r="S1693">
        <v>0</v>
      </c>
      <c r="T1693">
        <v>0</v>
      </c>
      <c r="U1693">
        <f>IF(AND(OR(Dashboard!$D$4="Semua",D1693=Dashboard!$D$4),OR(Dashboard!$H$4="Semua",E1693=Dashboard!$H$4)),1,0)</f>
        <v>1</v>
      </c>
      <c r="V1693">
        <f>IF(U1693=1,IF(COUNTIFS($C$2:C1693,C1693,$U$2:U1693,1)=1,1,0),0)</f>
        <v>0</v>
      </c>
    </row>
    <row r="1694" spans="1:22" x14ac:dyDescent="0.35">
      <c r="A1694">
        <v>11693</v>
      </c>
      <c r="B1694" s="1">
        <v>46254</v>
      </c>
      <c r="C1694">
        <v>1924</v>
      </c>
      <c r="D1694" t="s">
        <v>62</v>
      </c>
      <c r="E1694" t="s">
        <v>74</v>
      </c>
      <c r="F1694">
        <v>6</v>
      </c>
      <c r="G1694" s="2">
        <v>429.59</v>
      </c>
      <c r="H1694">
        <v>0.21</v>
      </c>
      <c r="I1694" t="s">
        <v>64</v>
      </c>
      <c r="J1694">
        <v>10</v>
      </c>
      <c r="K1694">
        <v>3.1</v>
      </c>
      <c r="L1694" s="2">
        <v>2036.26</v>
      </c>
      <c r="M1694">
        <v>2026</v>
      </c>
      <c r="N1694">
        <v>8</v>
      </c>
      <c r="O1694" t="s">
        <v>135</v>
      </c>
      <c r="P1694" s="2">
        <v>2577.54</v>
      </c>
      <c r="Q1694" s="2">
        <v>541.28</v>
      </c>
      <c r="R1694" t="s">
        <v>77</v>
      </c>
      <c r="S1694">
        <v>0</v>
      </c>
      <c r="T1694">
        <v>0</v>
      </c>
      <c r="U1694">
        <f>IF(AND(OR(Dashboard!$D$4="Semua",D1694=Dashboard!$D$4),OR(Dashboard!$H$4="Semua",E1694=Dashboard!$H$4)),1,0)</f>
        <v>1</v>
      </c>
      <c r="V1694">
        <f>IF(U1694=1,IF(COUNTIFS($C$2:C1694,C1694,$U$2:U1694,1)=1,1,0),0)</f>
        <v>0</v>
      </c>
    </row>
    <row r="1695" spans="1:22" x14ac:dyDescent="0.35">
      <c r="A1695">
        <v>11694</v>
      </c>
      <c r="B1695" s="1">
        <v>46255</v>
      </c>
      <c r="C1695">
        <v>1054</v>
      </c>
      <c r="D1695" t="s">
        <v>67</v>
      </c>
      <c r="E1695" t="s">
        <v>70</v>
      </c>
      <c r="F1695">
        <v>6</v>
      </c>
      <c r="G1695" s="2">
        <v>243.64</v>
      </c>
      <c r="H1695">
        <v>0.02</v>
      </c>
      <c r="I1695" t="s">
        <v>71</v>
      </c>
      <c r="J1695">
        <v>9</v>
      </c>
      <c r="K1695">
        <v>3.3</v>
      </c>
      <c r="L1695" s="2">
        <v>1432.6</v>
      </c>
      <c r="M1695">
        <v>2026</v>
      </c>
      <c r="N1695">
        <v>8</v>
      </c>
      <c r="O1695" t="s">
        <v>135</v>
      </c>
      <c r="P1695" s="2">
        <v>1461.84</v>
      </c>
      <c r="Q1695" s="2">
        <v>29.24</v>
      </c>
      <c r="R1695" t="s">
        <v>75</v>
      </c>
      <c r="S1695">
        <v>0</v>
      </c>
      <c r="T1695">
        <v>0</v>
      </c>
      <c r="U1695">
        <f>IF(AND(OR(Dashboard!$D$4="Semua",D1695=Dashboard!$D$4),OR(Dashboard!$H$4="Semua",E1695=Dashboard!$H$4)),1,0)</f>
        <v>1</v>
      </c>
      <c r="V1695">
        <f>IF(U1695=1,IF(COUNTIFS($C$2:C1695,C1695,$U$2:U1695,1)=1,1,0),0)</f>
        <v>1</v>
      </c>
    </row>
    <row r="1696" spans="1:22" x14ac:dyDescent="0.35">
      <c r="A1696">
        <v>11695</v>
      </c>
      <c r="B1696" s="1">
        <v>46256</v>
      </c>
      <c r="C1696">
        <v>1870</v>
      </c>
      <c r="D1696" t="s">
        <v>67</v>
      </c>
      <c r="E1696" t="s">
        <v>74</v>
      </c>
      <c r="F1696">
        <v>4</v>
      </c>
      <c r="G1696" s="2">
        <v>507.17</v>
      </c>
      <c r="H1696">
        <v>0.03</v>
      </c>
      <c r="I1696" t="s">
        <v>68</v>
      </c>
      <c r="J1696">
        <v>9</v>
      </c>
      <c r="K1696">
        <v>3.2</v>
      </c>
      <c r="L1696" s="2">
        <v>1967.82</v>
      </c>
      <c r="M1696">
        <v>2026</v>
      </c>
      <c r="N1696">
        <v>8</v>
      </c>
      <c r="O1696" t="s">
        <v>135</v>
      </c>
      <c r="P1696" s="2">
        <v>2028.68</v>
      </c>
      <c r="Q1696" s="2">
        <v>60.86</v>
      </c>
      <c r="R1696" t="s">
        <v>75</v>
      </c>
      <c r="S1696">
        <v>0</v>
      </c>
      <c r="T1696">
        <v>0</v>
      </c>
      <c r="U1696">
        <f>IF(AND(OR(Dashboard!$D$4="Semua",D1696=Dashboard!$D$4),OR(Dashboard!$H$4="Semua",E1696=Dashboard!$H$4)),1,0)</f>
        <v>1</v>
      </c>
      <c r="V1696">
        <f>IF(U1696=1,IF(COUNTIFS($C$2:C1696,C1696,$U$2:U1696,1)=1,1,0),0)</f>
        <v>0</v>
      </c>
    </row>
    <row r="1697" spans="1:22" x14ac:dyDescent="0.35">
      <c r="A1697">
        <v>11696</v>
      </c>
      <c r="B1697" s="1">
        <v>46257</v>
      </c>
      <c r="C1697">
        <v>1642</v>
      </c>
      <c r="D1697" t="s">
        <v>80</v>
      </c>
      <c r="E1697" t="s">
        <v>74</v>
      </c>
      <c r="F1697">
        <v>4</v>
      </c>
      <c r="G1697" s="2">
        <v>411.16</v>
      </c>
      <c r="H1697">
        <v>0.01</v>
      </c>
      <c r="I1697" t="s">
        <v>71</v>
      </c>
      <c r="J1697">
        <v>11</v>
      </c>
      <c r="K1697">
        <v>2.6</v>
      </c>
      <c r="L1697" s="2">
        <v>1628.19</v>
      </c>
      <c r="M1697">
        <v>2026</v>
      </c>
      <c r="N1697">
        <v>8</v>
      </c>
      <c r="O1697" t="s">
        <v>135</v>
      </c>
      <c r="P1697" s="2">
        <v>1644.64</v>
      </c>
      <c r="Q1697" s="2">
        <v>16.45</v>
      </c>
      <c r="R1697" t="s">
        <v>75</v>
      </c>
      <c r="S1697">
        <v>0</v>
      </c>
      <c r="T1697">
        <v>0</v>
      </c>
      <c r="U1697">
        <f>IF(AND(OR(Dashboard!$D$4="Semua",D1697=Dashboard!$D$4),OR(Dashboard!$H$4="Semua",E1697=Dashboard!$H$4)),1,0)</f>
        <v>1</v>
      </c>
      <c r="V1697">
        <f>IF(U1697=1,IF(COUNTIFS($C$2:C1697,C1697,$U$2:U1697,1)=1,1,0),0)</f>
        <v>0</v>
      </c>
    </row>
    <row r="1698" spans="1:22" x14ac:dyDescent="0.35">
      <c r="A1698">
        <v>11697</v>
      </c>
      <c r="B1698" s="1">
        <v>46258</v>
      </c>
      <c r="C1698">
        <v>1799</v>
      </c>
      <c r="D1698" t="s">
        <v>67</v>
      </c>
      <c r="E1698" t="s">
        <v>74</v>
      </c>
      <c r="F1698">
        <v>4</v>
      </c>
      <c r="G1698" s="2">
        <v>423.22</v>
      </c>
      <c r="H1698">
        <v>0.13</v>
      </c>
      <c r="I1698" t="s">
        <v>71</v>
      </c>
      <c r="J1698">
        <v>11</v>
      </c>
      <c r="K1698">
        <v>4.9000000000000004</v>
      </c>
      <c r="L1698" s="2">
        <v>1472.81</v>
      </c>
      <c r="M1698">
        <v>2026</v>
      </c>
      <c r="N1698">
        <v>8</v>
      </c>
      <c r="O1698" t="s">
        <v>135</v>
      </c>
      <c r="P1698" s="2">
        <v>1692.88</v>
      </c>
      <c r="Q1698" s="2">
        <v>220.07</v>
      </c>
      <c r="R1698" t="s">
        <v>79</v>
      </c>
      <c r="S1698">
        <v>0</v>
      </c>
      <c r="T1698">
        <v>0</v>
      </c>
      <c r="U1698">
        <f>IF(AND(OR(Dashboard!$D$4="Semua",D1698=Dashboard!$D$4),OR(Dashboard!$H$4="Semua",E1698=Dashboard!$H$4)),1,0)</f>
        <v>1</v>
      </c>
      <c r="V1698">
        <f>IF(U1698=1,IF(COUNTIFS($C$2:C1698,C1698,$U$2:U1698,1)=1,1,0),0)</f>
        <v>0</v>
      </c>
    </row>
    <row r="1699" spans="1:22" x14ac:dyDescent="0.35">
      <c r="A1699">
        <v>11698</v>
      </c>
      <c r="B1699" s="1">
        <v>46259</v>
      </c>
      <c r="C1699">
        <v>1777</v>
      </c>
      <c r="D1699" t="s">
        <v>67</v>
      </c>
      <c r="E1699" t="s">
        <v>70</v>
      </c>
      <c r="F1699">
        <v>3</v>
      </c>
      <c r="G1699" s="2">
        <v>328.52</v>
      </c>
      <c r="H1699">
        <v>0.26</v>
      </c>
      <c r="I1699" t="s">
        <v>71</v>
      </c>
      <c r="J1699">
        <v>4</v>
      </c>
      <c r="K1699">
        <v>1.1000000000000001</v>
      </c>
      <c r="L1699" s="2">
        <v>729.31</v>
      </c>
      <c r="M1699">
        <v>2026</v>
      </c>
      <c r="N1699">
        <v>8</v>
      </c>
      <c r="O1699" t="s">
        <v>135</v>
      </c>
      <c r="P1699" s="2">
        <v>985.56</v>
      </c>
      <c r="Q1699" s="2">
        <v>256.25</v>
      </c>
      <c r="R1699" t="s">
        <v>66</v>
      </c>
      <c r="S1699">
        <v>0</v>
      </c>
      <c r="T1699">
        <v>0</v>
      </c>
      <c r="U1699">
        <f>IF(AND(OR(Dashboard!$D$4="Semua",D1699=Dashboard!$D$4),OR(Dashboard!$H$4="Semua",E1699=Dashboard!$H$4)),1,0)</f>
        <v>1</v>
      </c>
      <c r="V1699">
        <f>IF(U1699=1,IF(COUNTIFS($C$2:C1699,C1699,$U$2:U1699,1)=1,1,0),0)</f>
        <v>1</v>
      </c>
    </row>
    <row r="1700" spans="1:22" x14ac:dyDescent="0.35">
      <c r="A1700">
        <v>11699</v>
      </c>
      <c r="B1700" s="1">
        <v>46260</v>
      </c>
      <c r="C1700">
        <v>1457</v>
      </c>
      <c r="D1700" t="s">
        <v>73</v>
      </c>
      <c r="E1700" t="s">
        <v>74</v>
      </c>
      <c r="F1700">
        <v>6</v>
      </c>
      <c r="G1700" s="2">
        <v>532.86</v>
      </c>
      <c r="H1700">
        <v>0.06</v>
      </c>
      <c r="I1700" t="s">
        <v>71</v>
      </c>
      <c r="J1700">
        <v>9</v>
      </c>
      <c r="K1700">
        <v>1.9</v>
      </c>
      <c r="L1700" s="2">
        <v>3005.33</v>
      </c>
      <c r="M1700">
        <v>2026</v>
      </c>
      <c r="N1700">
        <v>8</v>
      </c>
      <c r="O1700" t="s">
        <v>135</v>
      </c>
      <c r="P1700" s="2">
        <v>3197.16</v>
      </c>
      <c r="Q1700" s="2">
        <v>191.83</v>
      </c>
      <c r="R1700" t="s">
        <v>69</v>
      </c>
      <c r="S1700">
        <v>0</v>
      </c>
      <c r="T1700">
        <v>0</v>
      </c>
      <c r="U1700">
        <f>IF(AND(OR(Dashboard!$D$4="Semua",D1700=Dashboard!$D$4),OR(Dashboard!$H$4="Semua",E1700=Dashboard!$H$4)),1,0)</f>
        <v>1</v>
      </c>
      <c r="V1700">
        <f>IF(U1700=1,IF(COUNTIFS($C$2:C1700,C1700,$U$2:U1700,1)=1,1,0),0)</f>
        <v>0</v>
      </c>
    </row>
    <row r="1701" spans="1:22" x14ac:dyDescent="0.35">
      <c r="A1701">
        <v>11700</v>
      </c>
      <c r="B1701" s="1">
        <v>46261</v>
      </c>
      <c r="C1701">
        <v>1978</v>
      </c>
      <c r="D1701" t="s">
        <v>80</v>
      </c>
      <c r="E1701" t="s">
        <v>78</v>
      </c>
      <c r="F1701">
        <v>3</v>
      </c>
      <c r="G1701" s="2">
        <v>162.43</v>
      </c>
      <c r="H1701">
        <v>0.21</v>
      </c>
      <c r="I1701" t="s">
        <v>68</v>
      </c>
      <c r="J1701">
        <v>11</v>
      </c>
      <c r="K1701">
        <v>2.1</v>
      </c>
      <c r="L1701" s="2">
        <v>384.96</v>
      </c>
      <c r="M1701">
        <v>2026</v>
      </c>
      <c r="N1701">
        <v>8</v>
      </c>
      <c r="O1701" t="s">
        <v>135</v>
      </c>
      <c r="P1701" s="2">
        <v>487.29</v>
      </c>
      <c r="Q1701" s="2">
        <v>102.33</v>
      </c>
      <c r="R1701" t="s">
        <v>77</v>
      </c>
      <c r="S1701">
        <v>0</v>
      </c>
      <c r="T1701">
        <v>0</v>
      </c>
      <c r="U1701">
        <f>IF(AND(OR(Dashboard!$D$4="Semua",D1701=Dashboard!$D$4),OR(Dashboard!$H$4="Semua",E1701=Dashboard!$H$4)),1,0)</f>
        <v>1</v>
      </c>
      <c r="V1701">
        <f>IF(U1701=1,IF(COUNTIFS($C$2:C1701,C1701,$U$2:U1701,1)=1,1,0),0)</f>
        <v>1</v>
      </c>
    </row>
    <row r="1702" spans="1:22" x14ac:dyDescent="0.35">
      <c r="A1702">
        <v>11701</v>
      </c>
      <c r="B1702" s="1">
        <v>46262</v>
      </c>
      <c r="C1702">
        <v>1877</v>
      </c>
      <c r="D1702" t="s">
        <v>62</v>
      </c>
      <c r="E1702" t="s">
        <v>70</v>
      </c>
      <c r="F1702">
        <v>2</v>
      </c>
      <c r="G1702" s="2">
        <v>237.97</v>
      </c>
      <c r="H1702">
        <v>0.1</v>
      </c>
      <c r="I1702" t="s">
        <v>68</v>
      </c>
      <c r="J1702">
        <v>4</v>
      </c>
      <c r="K1702">
        <v>4.5</v>
      </c>
      <c r="L1702" s="2">
        <v>428.35</v>
      </c>
      <c r="M1702">
        <v>2026</v>
      </c>
      <c r="N1702">
        <v>8</v>
      </c>
      <c r="O1702" t="s">
        <v>135</v>
      </c>
      <c r="P1702" s="2">
        <v>475.94</v>
      </c>
      <c r="Q1702" s="2">
        <v>47.59</v>
      </c>
      <c r="R1702" t="s">
        <v>69</v>
      </c>
      <c r="S1702">
        <v>0</v>
      </c>
      <c r="T1702">
        <v>0</v>
      </c>
      <c r="U1702">
        <f>IF(AND(OR(Dashboard!$D$4="Semua",D1702=Dashboard!$D$4),OR(Dashboard!$H$4="Semua",E1702=Dashboard!$H$4)),1,0)</f>
        <v>1</v>
      </c>
      <c r="V1702">
        <f>IF(U1702=1,IF(COUNTIFS($C$2:C1702,C1702,$U$2:U1702,1)=1,1,0),0)</f>
        <v>0</v>
      </c>
    </row>
    <row r="1703" spans="1:22" x14ac:dyDescent="0.35">
      <c r="A1703">
        <v>11702</v>
      </c>
      <c r="B1703" s="1">
        <v>46263</v>
      </c>
      <c r="C1703">
        <v>1161</v>
      </c>
      <c r="D1703" t="s">
        <v>67</v>
      </c>
      <c r="E1703" t="s">
        <v>74</v>
      </c>
      <c r="F1703">
        <v>4</v>
      </c>
      <c r="G1703" s="2">
        <v>469.92</v>
      </c>
      <c r="H1703">
        <v>0.28000000000000003</v>
      </c>
      <c r="I1703" t="s">
        <v>68</v>
      </c>
      <c r="J1703">
        <v>2</v>
      </c>
      <c r="K1703">
        <v>4.7</v>
      </c>
      <c r="L1703" s="2">
        <v>1353.37</v>
      </c>
      <c r="M1703">
        <v>2026</v>
      </c>
      <c r="N1703">
        <v>8</v>
      </c>
      <c r="O1703" t="s">
        <v>135</v>
      </c>
      <c r="P1703" s="2">
        <v>1879.68</v>
      </c>
      <c r="Q1703" s="2">
        <v>526.30999999999995</v>
      </c>
      <c r="R1703" t="s">
        <v>66</v>
      </c>
      <c r="S1703">
        <v>0</v>
      </c>
      <c r="T1703">
        <v>0</v>
      </c>
      <c r="U1703">
        <f>IF(AND(OR(Dashboard!$D$4="Semua",D1703=Dashboard!$D$4),OR(Dashboard!$H$4="Semua",E1703=Dashboard!$H$4)),1,0)</f>
        <v>1</v>
      </c>
      <c r="V1703">
        <f>IF(U1703=1,IF(COUNTIFS($C$2:C1703,C1703,$U$2:U1703,1)=1,1,0),0)</f>
        <v>0</v>
      </c>
    </row>
    <row r="1704" spans="1:22" x14ac:dyDescent="0.35">
      <c r="A1704">
        <v>11703</v>
      </c>
      <c r="B1704" s="1">
        <v>46264</v>
      </c>
      <c r="C1704">
        <v>1379</v>
      </c>
      <c r="D1704" t="s">
        <v>62</v>
      </c>
      <c r="E1704" t="s">
        <v>78</v>
      </c>
      <c r="F1704">
        <v>7</v>
      </c>
      <c r="G1704" s="2">
        <v>303.26</v>
      </c>
      <c r="H1704">
        <v>0.28000000000000003</v>
      </c>
      <c r="I1704" t="s">
        <v>68</v>
      </c>
      <c r="J1704">
        <v>10</v>
      </c>
      <c r="K1704">
        <v>4.4000000000000004</v>
      </c>
      <c r="L1704" s="2">
        <v>1528.43</v>
      </c>
      <c r="M1704">
        <v>2026</v>
      </c>
      <c r="N1704">
        <v>8</v>
      </c>
      <c r="O1704" t="s">
        <v>135</v>
      </c>
      <c r="P1704" s="2">
        <v>2122.8200000000002</v>
      </c>
      <c r="Q1704" s="2">
        <v>594.39</v>
      </c>
      <c r="R1704" t="s">
        <v>66</v>
      </c>
      <c r="S1704">
        <v>0</v>
      </c>
      <c r="T1704">
        <v>0</v>
      </c>
      <c r="U1704">
        <f>IF(AND(OR(Dashboard!$D$4="Semua",D1704=Dashboard!$D$4),OR(Dashboard!$H$4="Semua",E1704=Dashboard!$H$4)),1,0)</f>
        <v>1</v>
      </c>
      <c r="V1704">
        <f>IF(U1704=1,IF(COUNTIFS($C$2:C1704,C1704,$U$2:U1704,1)=1,1,0),0)</f>
        <v>0</v>
      </c>
    </row>
    <row r="1705" spans="1:22" x14ac:dyDescent="0.35">
      <c r="A1705">
        <v>11704</v>
      </c>
      <c r="B1705" s="1">
        <v>46265</v>
      </c>
      <c r="C1705">
        <v>1992</v>
      </c>
      <c r="D1705" t="s">
        <v>73</v>
      </c>
      <c r="E1705" t="s">
        <v>74</v>
      </c>
      <c r="F1705">
        <v>5</v>
      </c>
      <c r="G1705" s="2">
        <v>535.19000000000005</v>
      </c>
      <c r="H1705">
        <v>0.27</v>
      </c>
      <c r="I1705" t="s">
        <v>68</v>
      </c>
      <c r="J1705">
        <v>3</v>
      </c>
      <c r="K1705">
        <v>2.7</v>
      </c>
      <c r="L1705" s="2">
        <v>1953.44</v>
      </c>
      <c r="M1705">
        <v>2026</v>
      </c>
      <c r="N1705">
        <v>8</v>
      </c>
      <c r="O1705" t="s">
        <v>135</v>
      </c>
      <c r="P1705" s="2">
        <v>2675.95</v>
      </c>
      <c r="Q1705" s="2">
        <v>722.51</v>
      </c>
      <c r="R1705" t="s">
        <v>66</v>
      </c>
      <c r="S1705">
        <v>0</v>
      </c>
      <c r="T1705">
        <v>0</v>
      </c>
      <c r="U1705">
        <f>IF(AND(OR(Dashboard!$D$4="Semua",D1705=Dashboard!$D$4),OR(Dashboard!$H$4="Semua",E1705=Dashboard!$H$4)),1,0)</f>
        <v>1</v>
      </c>
      <c r="V1705">
        <f>IF(U1705=1,IF(COUNTIFS($C$2:C1705,C1705,$U$2:U1705,1)=1,1,0),0)</f>
        <v>0</v>
      </c>
    </row>
    <row r="1706" spans="1:22" x14ac:dyDescent="0.35">
      <c r="A1706">
        <v>11705</v>
      </c>
      <c r="B1706" s="1">
        <v>46266</v>
      </c>
      <c r="C1706">
        <v>1086</v>
      </c>
      <c r="D1706" t="s">
        <v>67</v>
      </c>
      <c r="E1706" t="s">
        <v>63</v>
      </c>
      <c r="F1706">
        <v>1</v>
      </c>
      <c r="G1706" s="2">
        <v>217.64</v>
      </c>
      <c r="H1706">
        <v>0.18</v>
      </c>
      <c r="I1706" t="s">
        <v>64</v>
      </c>
      <c r="J1706">
        <v>2</v>
      </c>
      <c r="K1706">
        <v>4.7</v>
      </c>
      <c r="L1706" s="2">
        <v>178.46</v>
      </c>
      <c r="M1706">
        <v>2026</v>
      </c>
      <c r="N1706">
        <v>9</v>
      </c>
      <c r="O1706" t="s">
        <v>136</v>
      </c>
      <c r="P1706" s="2">
        <v>217.64</v>
      </c>
      <c r="Q1706" s="2">
        <v>39.18</v>
      </c>
      <c r="R1706" t="s">
        <v>76</v>
      </c>
      <c r="S1706">
        <v>0</v>
      </c>
      <c r="T1706">
        <v>0</v>
      </c>
      <c r="U1706">
        <f>IF(AND(OR(Dashboard!$D$4="Semua",D1706=Dashboard!$D$4),OR(Dashboard!$H$4="Semua",E1706=Dashboard!$H$4)),1,0)</f>
        <v>1</v>
      </c>
      <c r="V1706">
        <f>IF(U1706=1,IF(COUNTIFS($C$2:C1706,C1706,$U$2:U1706,1)=1,1,0),0)</f>
        <v>1</v>
      </c>
    </row>
    <row r="1707" spans="1:22" x14ac:dyDescent="0.35">
      <c r="A1707">
        <v>11706</v>
      </c>
      <c r="B1707" s="1">
        <v>46267</v>
      </c>
      <c r="C1707">
        <v>1054</v>
      </c>
      <c r="D1707" t="s">
        <v>67</v>
      </c>
      <c r="E1707" t="s">
        <v>74</v>
      </c>
      <c r="F1707">
        <v>2</v>
      </c>
      <c r="G1707" s="2">
        <v>231.06</v>
      </c>
      <c r="H1707">
        <v>0.1</v>
      </c>
      <c r="I1707" t="s">
        <v>68</v>
      </c>
      <c r="J1707">
        <v>1</v>
      </c>
      <c r="K1707">
        <v>1.4</v>
      </c>
      <c r="L1707" s="2">
        <v>415.91</v>
      </c>
      <c r="M1707">
        <v>2026</v>
      </c>
      <c r="N1707">
        <v>9</v>
      </c>
      <c r="O1707" t="s">
        <v>136</v>
      </c>
      <c r="P1707" s="2">
        <v>462.12</v>
      </c>
      <c r="Q1707" s="2">
        <v>46.21</v>
      </c>
      <c r="R1707" t="s">
        <v>69</v>
      </c>
      <c r="S1707">
        <v>0</v>
      </c>
      <c r="T1707">
        <v>0</v>
      </c>
      <c r="U1707">
        <f>IF(AND(OR(Dashboard!$D$4="Semua",D1707=Dashboard!$D$4),OR(Dashboard!$H$4="Semua",E1707=Dashboard!$H$4)),1,0)</f>
        <v>1</v>
      </c>
      <c r="V1707">
        <f>IF(U1707=1,IF(COUNTIFS($C$2:C1707,C1707,$U$2:U1707,1)=1,1,0),0)</f>
        <v>0</v>
      </c>
    </row>
    <row r="1708" spans="1:22" x14ac:dyDescent="0.35">
      <c r="A1708">
        <v>11707</v>
      </c>
      <c r="B1708" s="1">
        <v>46268</v>
      </c>
      <c r="C1708">
        <v>1475</v>
      </c>
      <c r="D1708" t="s">
        <v>67</v>
      </c>
      <c r="E1708" t="s">
        <v>74</v>
      </c>
      <c r="F1708">
        <v>7</v>
      </c>
      <c r="G1708" s="2">
        <v>534.91</v>
      </c>
      <c r="H1708">
        <v>0.28000000000000003</v>
      </c>
      <c r="I1708" t="s">
        <v>64</v>
      </c>
      <c r="J1708">
        <v>11</v>
      </c>
      <c r="K1708">
        <v>3.6</v>
      </c>
      <c r="L1708" s="2">
        <v>2695.95</v>
      </c>
      <c r="M1708">
        <v>2026</v>
      </c>
      <c r="N1708">
        <v>9</v>
      </c>
      <c r="O1708" t="s">
        <v>136</v>
      </c>
      <c r="P1708" s="2">
        <v>3744.37</v>
      </c>
      <c r="Q1708" s="2">
        <v>1048.42</v>
      </c>
      <c r="R1708" t="s">
        <v>66</v>
      </c>
      <c r="S1708">
        <v>0</v>
      </c>
      <c r="T1708">
        <v>0</v>
      </c>
      <c r="U1708">
        <f>IF(AND(OR(Dashboard!$D$4="Semua",D1708=Dashboard!$D$4),OR(Dashboard!$H$4="Semua",E1708=Dashboard!$H$4)),1,0)</f>
        <v>1</v>
      </c>
      <c r="V1708">
        <f>IF(U1708=1,IF(COUNTIFS($C$2:C1708,C1708,$U$2:U1708,1)=1,1,0),0)</f>
        <v>0</v>
      </c>
    </row>
    <row r="1709" spans="1:22" x14ac:dyDescent="0.35">
      <c r="A1709">
        <v>11708</v>
      </c>
      <c r="B1709" s="1">
        <v>46269</v>
      </c>
      <c r="C1709">
        <v>1799</v>
      </c>
      <c r="D1709" t="s">
        <v>67</v>
      </c>
      <c r="E1709" t="s">
        <v>63</v>
      </c>
      <c r="F1709">
        <v>1</v>
      </c>
      <c r="G1709" s="2">
        <v>286.66000000000003</v>
      </c>
      <c r="H1709">
        <v>7.0000000000000007E-2</v>
      </c>
      <c r="I1709" t="s">
        <v>68</v>
      </c>
      <c r="J1709">
        <v>6</v>
      </c>
      <c r="K1709">
        <v>4.7</v>
      </c>
      <c r="L1709" s="2">
        <v>266.58999999999997</v>
      </c>
      <c r="M1709">
        <v>2026</v>
      </c>
      <c r="N1709">
        <v>9</v>
      </c>
      <c r="O1709" t="s">
        <v>136</v>
      </c>
      <c r="P1709" s="2">
        <v>286.66000000000003</v>
      </c>
      <c r="Q1709" s="2">
        <v>20.07</v>
      </c>
      <c r="R1709" t="s">
        <v>69</v>
      </c>
      <c r="S1709">
        <v>0</v>
      </c>
      <c r="T1709">
        <v>0</v>
      </c>
      <c r="U1709">
        <f>IF(AND(OR(Dashboard!$D$4="Semua",D1709=Dashboard!$D$4),OR(Dashboard!$H$4="Semua",E1709=Dashboard!$H$4)),1,0)</f>
        <v>1</v>
      </c>
      <c r="V1709">
        <f>IF(U1709=1,IF(COUNTIFS($C$2:C1709,C1709,$U$2:U1709,1)=1,1,0),0)</f>
        <v>0</v>
      </c>
    </row>
    <row r="1710" spans="1:22" x14ac:dyDescent="0.35">
      <c r="A1710">
        <v>11709</v>
      </c>
      <c r="B1710" s="1">
        <v>46270</v>
      </c>
      <c r="C1710">
        <v>1177</v>
      </c>
      <c r="D1710" t="s">
        <v>73</v>
      </c>
      <c r="E1710" t="s">
        <v>70</v>
      </c>
      <c r="F1710">
        <v>1</v>
      </c>
      <c r="G1710" s="2">
        <v>316.93</v>
      </c>
      <c r="H1710">
        <v>0.1</v>
      </c>
      <c r="I1710" t="s">
        <v>68</v>
      </c>
      <c r="J1710">
        <v>4</v>
      </c>
      <c r="K1710">
        <v>4</v>
      </c>
      <c r="L1710" s="2">
        <v>285.24</v>
      </c>
      <c r="M1710">
        <v>2026</v>
      </c>
      <c r="N1710">
        <v>9</v>
      </c>
      <c r="O1710" t="s">
        <v>136</v>
      </c>
      <c r="P1710" s="2">
        <v>316.93</v>
      </c>
      <c r="Q1710" s="2">
        <v>31.69</v>
      </c>
      <c r="R1710" t="s">
        <v>69</v>
      </c>
      <c r="S1710">
        <v>0</v>
      </c>
      <c r="T1710">
        <v>0</v>
      </c>
      <c r="U1710">
        <f>IF(AND(OR(Dashboard!$D$4="Semua",D1710=Dashboard!$D$4),OR(Dashboard!$H$4="Semua",E1710=Dashboard!$H$4)),1,0)</f>
        <v>1</v>
      </c>
      <c r="V1710">
        <f>IF(U1710=1,IF(COUNTIFS($C$2:C1710,C1710,$U$2:U1710,1)=1,1,0),0)</f>
        <v>0</v>
      </c>
    </row>
    <row r="1711" spans="1:22" x14ac:dyDescent="0.35">
      <c r="A1711">
        <v>11710</v>
      </c>
      <c r="B1711" s="1">
        <v>46271</v>
      </c>
      <c r="C1711">
        <v>1390</v>
      </c>
      <c r="D1711" t="s">
        <v>73</v>
      </c>
      <c r="E1711" t="s">
        <v>63</v>
      </c>
      <c r="F1711">
        <v>4</v>
      </c>
      <c r="G1711" s="2">
        <v>209.67</v>
      </c>
      <c r="H1711">
        <v>0.06</v>
      </c>
      <c r="I1711" t="s">
        <v>71</v>
      </c>
      <c r="J1711">
        <v>7</v>
      </c>
      <c r="K1711">
        <v>2.1</v>
      </c>
      <c r="L1711" s="2">
        <v>788.36</v>
      </c>
      <c r="M1711">
        <v>2026</v>
      </c>
      <c r="N1711">
        <v>9</v>
      </c>
      <c r="O1711" t="s">
        <v>136</v>
      </c>
      <c r="P1711" s="2">
        <v>838.68</v>
      </c>
      <c r="Q1711" s="2">
        <v>50.32</v>
      </c>
      <c r="R1711" t="s">
        <v>69</v>
      </c>
      <c r="S1711">
        <v>0</v>
      </c>
      <c r="T1711">
        <v>0</v>
      </c>
      <c r="U1711">
        <f>IF(AND(OR(Dashboard!$D$4="Semua",D1711=Dashboard!$D$4),OR(Dashboard!$H$4="Semua",E1711=Dashboard!$H$4)),1,0)</f>
        <v>1</v>
      </c>
      <c r="V1711">
        <f>IF(U1711=1,IF(COUNTIFS($C$2:C1711,C1711,$U$2:U1711,1)=1,1,0),0)</f>
        <v>0</v>
      </c>
    </row>
    <row r="1712" spans="1:22" x14ac:dyDescent="0.35">
      <c r="A1712">
        <v>11711</v>
      </c>
      <c r="B1712" s="1">
        <v>46272</v>
      </c>
      <c r="C1712">
        <v>1348</v>
      </c>
      <c r="D1712" t="s">
        <v>67</v>
      </c>
      <c r="E1712" t="s">
        <v>70</v>
      </c>
      <c r="F1712">
        <v>5</v>
      </c>
      <c r="G1712" s="2">
        <v>176.85</v>
      </c>
      <c r="H1712">
        <v>0.24</v>
      </c>
      <c r="I1712" t="s">
        <v>68</v>
      </c>
      <c r="J1712">
        <v>7</v>
      </c>
      <c r="K1712">
        <v>3.9</v>
      </c>
      <c r="L1712" s="2">
        <v>672.03</v>
      </c>
      <c r="M1712">
        <v>2026</v>
      </c>
      <c r="N1712">
        <v>9</v>
      </c>
      <c r="O1712" t="s">
        <v>136</v>
      </c>
      <c r="P1712" s="2">
        <v>884.25</v>
      </c>
      <c r="Q1712" s="2">
        <v>212.22</v>
      </c>
      <c r="R1712" t="s">
        <v>77</v>
      </c>
      <c r="S1712">
        <v>0</v>
      </c>
      <c r="T1712">
        <v>0</v>
      </c>
      <c r="U1712">
        <f>IF(AND(OR(Dashboard!$D$4="Semua",D1712=Dashboard!$D$4),OR(Dashboard!$H$4="Semua",E1712=Dashboard!$H$4)),1,0)</f>
        <v>1</v>
      </c>
      <c r="V1712">
        <f>IF(U1712=1,IF(COUNTIFS($C$2:C1712,C1712,$U$2:U1712,1)=1,1,0),0)</f>
        <v>0</v>
      </c>
    </row>
    <row r="1713" spans="1:22" x14ac:dyDescent="0.35">
      <c r="A1713">
        <v>11712</v>
      </c>
      <c r="B1713" s="1">
        <v>46273</v>
      </c>
      <c r="C1713">
        <v>1007</v>
      </c>
      <c r="D1713" t="s">
        <v>73</v>
      </c>
      <c r="E1713" t="s">
        <v>63</v>
      </c>
      <c r="F1713">
        <v>1</v>
      </c>
      <c r="G1713" s="2">
        <v>398.73</v>
      </c>
      <c r="H1713">
        <v>0.24</v>
      </c>
      <c r="I1713" t="s">
        <v>64</v>
      </c>
      <c r="J1713">
        <v>10</v>
      </c>
      <c r="K1713">
        <v>2.2000000000000002</v>
      </c>
      <c r="L1713" s="2">
        <v>303.02999999999997</v>
      </c>
      <c r="M1713">
        <v>2026</v>
      </c>
      <c r="N1713">
        <v>9</v>
      </c>
      <c r="O1713" t="s">
        <v>136</v>
      </c>
      <c r="P1713" s="2">
        <v>398.73</v>
      </c>
      <c r="Q1713" s="2">
        <v>95.7</v>
      </c>
      <c r="R1713" t="s">
        <v>77</v>
      </c>
      <c r="S1713">
        <v>0</v>
      </c>
      <c r="T1713">
        <v>0</v>
      </c>
      <c r="U1713">
        <f>IF(AND(OR(Dashboard!$D$4="Semua",D1713=Dashboard!$D$4),OR(Dashboard!$H$4="Semua",E1713=Dashboard!$H$4)),1,0)</f>
        <v>1</v>
      </c>
      <c r="V1713">
        <f>IF(U1713=1,IF(COUNTIFS($C$2:C1713,C1713,$U$2:U1713,1)=1,1,0),0)</f>
        <v>0</v>
      </c>
    </row>
    <row r="1714" spans="1:22" x14ac:dyDescent="0.35">
      <c r="A1714">
        <v>11713</v>
      </c>
      <c r="B1714" s="1">
        <v>46274</v>
      </c>
      <c r="C1714">
        <v>1832</v>
      </c>
      <c r="D1714" t="s">
        <v>80</v>
      </c>
      <c r="E1714" t="s">
        <v>74</v>
      </c>
      <c r="F1714">
        <v>6</v>
      </c>
      <c r="G1714" s="2">
        <v>85.11</v>
      </c>
      <c r="H1714">
        <v>0.23</v>
      </c>
      <c r="I1714" t="s">
        <v>68</v>
      </c>
      <c r="J1714">
        <v>1</v>
      </c>
      <c r="K1714">
        <v>1.4</v>
      </c>
      <c r="L1714" s="2">
        <v>393.21</v>
      </c>
      <c r="M1714">
        <v>2026</v>
      </c>
      <c r="N1714">
        <v>9</v>
      </c>
      <c r="O1714" t="s">
        <v>136</v>
      </c>
      <c r="P1714" s="2">
        <v>510.66</v>
      </c>
      <c r="Q1714" s="2">
        <v>117.45</v>
      </c>
      <c r="R1714" t="s">
        <v>77</v>
      </c>
      <c r="S1714">
        <v>0</v>
      </c>
      <c r="T1714">
        <v>0</v>
      </c>
      <c r="U1714">
        <f>IF(AND(OR(Dashboard!$D$4="Semua",D1714=Dashboard!$D$4),OR(Dashboard!$H$4="Semua",E1714=Dashboard!$H$4)),1,0)</f>
        <v>1</v>
      </c>
      <c r="V1714">
        <f>IF(U1714=1,IF(COUNTIFS($C$2:C1714,C1714,$U$2:U1714,1)=1,1,0),0)</f>
        <v>0</v>
      </c>
    </row>
    <row r="1715" spans="1:22" x14ac:dyDescent="0.35">
      <c r="A1715">
        <v>11714</v>
      </c>
      <c r="B1715" s="1">
        <v>46275</v>
      </c>
      <c r="C1715">
        <v>1312</v>
      </c>
      <c r="D1715" t="s">
        <v>73</v>
      </c>
      <c r="E1715" t="s">
        <v>74</v>
      </c>
      <c r="F1715">
        <v>7</v>
      </c>
      <c r="G1715" s="2">
        <v>529.37</v>
      </c>
      <c r="H1715">
        <v>0.15</v>
      </c>
      <c r="I1715" t="s">
        <v>68</v>
      </c>
      <c r="J1715">
        <v>9</v>
      </c>
      <c r="K1715">
        <v>3.9</v>
      </c>
      <c r="L1715" s="2">
        <v>3149.75</v>
      </c>
      <c r="M1715">
        <v>2026</v>
      </c>
      <c r="N1715">
        <v>9</v>
      </c>
      <c r="O1715" t="s">
        <v>136</v>
      </c>
      <c r="P1715" s="2">
        <v>3705.59</v>
      </c>
      <c r="Q1715" s="2">
        <v>555.84</v>
      </c>
      <c r="R1715" t="s">
        <v>79</v>
      </c>
      <c r="S1715">
        <v>0</v>
      </c>
      <c r="T1715">
        <v>0</v>
      </c>
      <c r="U1715">
        <f>IF(AND(OR(Dashboard!$D$4="Semua",D1715=Dashboard!$D$4),OR(Dashboard!$H$4="Semua",E1715=Dashboard!$H$4)),1,0)</f>
        <v>1</v>
      </c>
      <c r="V1715">
        <f>IF(U1715=1,IF(COUNTIFS($C$2:C1715,C1715,$U$2:U1715,1)=1,1,0),0)</f>
        <v>0</v>
      </c>
    </row>
    <row r="1716" spans="1:22" x14ac:dyDescent="0.35">
      <c r="A1716">
        <v>11715</v>
      </c>
      <c r="B1716" s="1">
        <v>46276</v>
      </c>
      <c r="C1716">
        <v>1758</v>
      </c>
      <c r="D1716" t="s">
        <v>73</v>
      </c>
      <c r="E1716" t="s">
        <v>70</v>
      </c>
      <c r="F1716">
        <v>1</v>
      </c>
      <c r="G1716" s="2">
        <v>470.83</v>
      </c>
      <c r="H1716">
        <v>0.04</v>
      </c>
      <c r="I1716" t="s">
        <v>64</v>
      </c>
      <c r="J1716">
        <v>8</v>
      </c>
      <c r="K1716">
        <v>1.7</v>
      </c>
      <c r="L1716" s="2">
        <v>452</v>
      </c>
      <c r="M1716">
        <v>2026</v>
      </c>
      <c r="N1716">
        <v>9</v>
      </c>
      <c r="O1716" t="s">
        <v>136</v>
      </c>
      <c r="P1716" s="2">
        <v>470.83</v>
      </c>
      <c r="Q1716" s="2">
        <v>18.829999999999998</v>
      </c>
      <c r="R1716" t="s">
        <v>75</v>
      </c>
      <c r="S1716">
        <v>0</v>
      </c>
      <c r="T1716">
        <v>0</v>
      </c>
      <c r="U1716">
        <f>IF(AND(OR(Dashboard!$D$4="Semua",D1716=Dashboard!$D$4),OR(Dashboard!$H$4="Semua",E1716=Dashboard!$H$4)),1,0)</f>
        <v>1</v>
      </c>
      <c r="V1716">
        <f>IF(U1716=1,IF(COUNTIFS($C$2:C1716,C1716,$U$2:U1716,1)=1,1,0),0)</f>
        <v>0</v>
      </c>
    </row>
    <row r="1717" spans="1:22" x14ac:dyDescent="0.35">
      <c r="A1717">
        <v>11716</v>
      </c>
      <c r="B1717" s="1">
        <v>46277</v>
      </c>
      <c r="C1717">
        <v>1834</v>
      </c>
      <c r="D1717" t="s">
        <v>67</v>
      </c>
      <c r="E1717" t="s">
        <v>70</v>
      </c>
      <c r="F1717">
        <v>2</v>
      </c>
      <c r="G1717" s="2">
        <v>126.59</v>
      </c>
      <c r="H1717">
        <v>0.32</v>
      </c>
      <c r="I1717" t="s">
        <v>68</v>
      </c>
      <c r="J1717">
        <v>10</v>
      </c>
      <c r="K1717">
        <v>1.4</v>
      </c>
      <c r="L1717" s="2">
        <v>172.16</v>
      </c>
      <c r="M1717">
        <v>2026</v>
      </c>
      <c r="N1717">
        <v>9</v>
      </c>
      <c r="O1717" t="s">
        <v>136</v>
      </c>
      <c r="P1717" s="2">
        <v>253.18</v>
      </c>
      <c r="Q1717" s="2">
        <v>81.02</v>
      </c>
      <c r="R1717" t="s">
        <v>72</v>
      </c>
      <c r="S1717">
        <v>0</v>
      </c>
      <c r="T1717">
        <v>0</v>
      </c>
      <c r="U1717">
        <f>IF(AND(OR(Dashboard!$D$4="Semua",D1717=Dashboard!$D$4),OR(Dashboard!$H$4="Semua",E1717=Dashboard!$H$4)),1,0)</f>
        <v>1</v>
      </c>
      <c r="V1717">
        <f>IF(U1717=1,IF(COUNTIFS($C$2:C1717,C1717,$U$2:U1717,1)=1,1,0),0)</f>
        <v>0</v>
      </c>
    </row>
    <row r="1718" spans="1:22" x14ac:dyDescent="0.35">
      <c r="A1718">
        <v>11717</v>
      </c>
      <c r="B1718" s="1">
        <v>46278</v>
      </c>
      <c r="C1718">
        <v>1983</v>
      </c>
      <c r="D1718" t="s">
        <v>67</v>
      </c>
      <c r="E1718" t="s">
        <v>78</v>
      </c>
      <c r="F1718">
        <v>5</v>
      </c>
      <c r="G1718" s="2">
        <v>421</v>
      </c>
      <c r="H1718">
        <v>0.18</v>
      </c>
      <c r="I1718" t="s">
        <v>68</v>
      </c>
      <c r="J1718">
        <v>1</v>
      </c>
      <c r="K1718">
        <v>3.2</v>
      </c>
      <c r="L1718" s="2">
        <v>1726.1</v>
      </c>
      <c r="M1718">
        <v>2026</v>
      </c>
      <c r="N1718">
        <v>9</v>
      </c>
      <c r="O1718" t="s">
        <v>136</v>
      </c>
      <c r="P1718" s="2">
        <v>2105</v>
      </c>
      <c r="Q1718" s="2">
        <v>378.9</v>
      </c>
      <c r="R1718" t="s">
        <v>76</v>
      </c>
      <c r="S1718">
        <v>0</v>
      </c>
      <c r="T1718">
        <v>0</v>
      </c>
      <c r="U1718">
        <f>IF(AND(OR(Dashboard!$D$4="Semua",D1718=Dashboard!$D$4),OR(Dashboard!$H$4="Semua",E1718=Dashboard!$H$4)),1,0)</f>
        <v>1</v>
      </c>
      <c r="V1718">
        <f>IF(U1718=1,IF(COUNTIFS($C$2:C1718,C1718,$U$2:U1718,1)=1,1,0),0)</f>
        <v>0</v>
      </c>
    </row>
    <row r="1719" spans="1:22" x14ac:dyDescent="0.35">
      <c r="A1719">
        <v>11718</v>
      </c>
      <c r="B1719" s="1">
        <v>46279</v>
      </c>
      <c r="C1719">
        <v>1982</v>
      </c>
      <c r="D1719" t="s">
        <v>62</v>
      </c>
      <c r="E1719" t="s">
        <v>78</v>
      </c>
      <c r="F1719">
        <v>5</v>
      </c>
      <c r="G1719" s="2">
        <v>367.54</v>
      </c>
      <c r="H1719">
        <v>0.14000000000000001</v>
      </c>
      <c r="I1719" t="s">
        <v>68</v>
      </c>
      <c r="J1719">
        <v>8</v>
      </c>
      <c r="K1719">
        <v>3.5</v>
      </c>
      <c r="L1719" s="2">
        <v>1580.42</v>
      </c>
      <c r="M1719">
        <v>2026</v>
      </c>
      <c r="N1719">
        <v>9</v>
      </c>
      <c r="O1719" t="s">
        <v>136</v>
      </c>
      <c r="P1719" s="2">
        <v>1837.7</v>
      </c>
      <c r="Q1719" s="2">
        <v>257.27999999999997</v>
      </c>
      <c r="R1719" t="s">
        <v>79</v>
      </c>
      <c r="S1719">
        <v>0</v>
      </c>
      <c r="T1719">
        <v>0</v>
      </c>
      <c r="U1719">
        <f>IF(AND(OR(Dashboard!$D$4="Semua",D1719=Dashboard!$D$4),OR(Dashboard!$H$4="Semua",E1719=Dashboard!$H$4)),1,0)</f>
        <v>1</v>
      </c>
      <c r="V1719">
        <f>IF(U1719=1,IF(COUNTIFS($C$2:C1719,C1719,$U$2:U1719,1)=1,1,0),0)</f>
        <v>0</v>
      </c>
    </row>
    <row r="1720" spans="1:22" x14ac:dyDescent="0.35">
      <c r="A1720">
        <v>11719</v>
      </c>
      <c r="B1720" s="1">
        <v>46280</v>
      </c>
      <c r="C1720">
        <v>1442</v>
      </c>
      <c r="D1720" t="s">
        <v>67</v>
      </c>
      <c r="E1720" t="s">
        <v>74</v>
      </c>
      <c r="F1720">
        <v>1</v>
      </c>
      <c r="G1720" s="2">
        <v>122.95</v>
      </c>
      <c r="H1720">
        <v>0.21</v>
      </c>
      <c r="I1720" t="s">
        <v>71</v>
      </c>
      <c r="J1720">
        <v>5</v>
      </c>
      <c r="K1720">
        <v>1.2</v>
      </c>
      <c r="L1720" s="2">
        <v>97.13</v>
      </c>
      <c r="M1720">
        <v>2026</v>
      </c>
      <c r="N1720">
        <v>9</v>
      </c>
      <c r="O1720" t="s">
        <v>136</v>
      </c>
      <c r="P1720" s="2">
        <v>122.95</v>
      </c>
      <c r="Q1720" s="2">
        <v>25.82</v>
      </c>
      <c r="R1720" t="s">
        <v>77</v>
      </c>
      <c r="S1720">
        <v>0</v>
      </c>
      <c r="T1720">
        <v>0</v>
      </c>
      <c r="U1720">
        <f>IF(AND(OR(Dashboard!$D$4="Semua",D1720=Dashboard!$D$4),OR(Dashboard!$H$4="Semua",E1720=Dashboard!$H$4)),1,0)</f>
        <v>1</v>
      </c>
      <c r="V1720">
        <f>IF(U1720=1,IF(COUNTIFS($C$2:C1720,C1720,$U$2:U1720,1)=1,1,0),0)</f>
        <v>0</v>
      </c>
    </row>
    <row r="1721" spans="1:22" x14ac:dyDescent="0.35">
      <c r="A1721">
        <v>11720</v>
      </c>
      <c r="B1721" s="1">
        <v>46281</v>
      </c>
      <c r="C1721">
        <v>1766</v>
      </c>
      <c r="D1721" t="s">
        <v>73</v>
      </c>
      <c r="E1721" t="s">
        <v>74</v>
      </c>
      <c r="F1721">
        <v>5</v>
      </c>
      <c r="G1721" s="2">
        <v>174.82</v>
      </c>
      <c r="H1721">
        <v>7.0000000000000007E-2</v>
      </c>
      <c r="I1721" t="s">
        <v>68</v>
      </c>
      <c r="J1721">
        <v>1</v>
      </c>
      <c r="K1721">
        <v>1</v>
      </c>
      <c r="L1721" s="2">
        <v>812.91</v>
      </c>
      <c r="M1721">
        <v>2026</v>
      </c>
      <c r="N1721">
        <v>9</v>
      </c>
      <c r="O1721" t="s">
        <v>136</v>
      </c>
      <c r="P1721" s="2">
        <v>874.1</v>
      </c>
      <c r="Q1721" s="2">
        <v>61.19</v>
      </c>
      <c r="R1721" t="s">
        <v>69</v>
      </c>
      <c r="S1721">
        <v>0</v>
      </c>
      <c r="T1721">
        <v>0</v>
      </c>
      <c r="U1721">
        <f>IF(AND(OR(Dashboard!$D$4="Semua",D1721=Dashboard!$D$4),OR(Dashboard!$H$4="Semua",E1721=Dashboard!$H$4)),1,0)</f>
        <v>1</v>
      </c>
      <c r="V1721">
        <f>IF(U1721=1,IF(COUNTIFS($C$2:C1721,C1721,$U$2:U1721,1)=1,1,0),0)</f>
        <v>0</v>
      </c>
    </row>
    <row r="1722" spans="1:22" x14ac:dyDescent="0.35">
      <c r="A1722">
        <v>11721</v>
      </c>
      <c r="B1722" s="1">
        <v>46282</v>
      </c>
      <c r="C1722">
        <v>1327</v>
      </c>
      <c r="D1722" t="s">
        <v>80</v>
      </c>
      <c r="E1722" t="s">
        <v>78</v>
      </c>
      <c r="F1722">
        <v>2</v>
      </c>
      <c r="G1722" s="2">
        <v>254.26</v>
      </c>
      <c r="H1722">
        <v>0.05</v>
      </c>
      <c r="I1722" t="s">
        <v>71</v>
      </c>
      <c r="J1722">
        <v>4</v>
      </c>
      <c r="K1722">
        <v>4.5</v>
      </c>
      <c r="L1722" s="2">
        <v>483.09</v>
      </c>
      <c r="M1722">
        <v>2026</v>
      </c>
      <c r="N1722">
        <v>9</v>
      </c>
      <c r="O1722" t="s">
        <v>136</v>
      </c>
      <c r="P1722" s="2">
        <v>508.52</v>
      </c>
      <c r="Q1722" s="2">
        <v>25.43</v>
      </c>
      <c r="R1722" t="s">
        <v>75</v>
      </c>
      <c r="S1722">
        <v>0</v>
      </c>
      <c r="T1722">
        <v>0</v>
      </c>
      <c r="U1722">
        <f>IF(AND(OR(Dashboard!$D$4="Semua",D1722=Dashboard!$D$4),OR(Dashboard!$H$4="Semua",E1722=Dashboard!$H$4)),1,0)</f>
        <v>1</v>
      </c>
      <c r="V1722">
        <f>IF(U1722=1,IF(COUNTIFS($C$2:C1722,C1722,$U$2:U1722,1)=1,1,0),0)</f>
        <v>1</v>
      </c>
    </row>
    <row r="1723" spans="1:22" x14ac:dyDescent="0.35">
      <c r="A1723">
        <v>11722</v>
      </c>
      <c r="B1723" s="1">
        <v>46283</v>
      </c>
      <c r="C1723">
        <v>1053</v>
      </c>
      <c r="D1723" t="s">
        <v>67</v>
      </c>
      <c r="E1723" t="s">
        <v>78</v>
      </c>
      <c r="F1723">
        <v>7</v>
      </c>
      <c r="G1723" s="2">
        <v>424.06</v>
      </c>
      <c r="H1723">
        <v>0.14000000000000001</v>
      </c>
      <c r="I1723" t="s">
        <v>64</v>
      </c>
      <c r="J1723">
        <v>7</v>
      </c>
      <c r="K1723">
        <v>1.5</v>
      </c>
      <c r="L1723" s="2">
        <v>2552.84</v>
      </c>
      <c r="M1723">
        <v>2026</v>
      </c>
      <c r="N1723">
        <v>9</v>
      </c>
      <c r="O1723" t="s">
        <v>136</v>
      </c>
      <c r="P1723" s="2">
        <v>2968.42</v>
      </c>
      <c r="Q1723" s="2">
        <v>415.58</v>
      </c>
      <c r="R1723" t="s">
        <v>79</v>
      </c>
      <c r="S1723">
        <v>0</v>
      </c>
      <c r="T1723">
        <v>0</v>
      </c>
      <c r="U1723">
        <f>IF(AND(OR(Dashboard!$D$4="Semua",D1723=Dashboard!$D$4),OR(Dashboard!$H$4="Semua",E1723=Dashboard!$H$4)),1,0)</f>
        <v>1</v>
      </c>
      <c r="V1723">
        <f>IF(U1723=1,IF(COUNTIFS($C$2:C1723,C1723,$U$2:U1723,1)=1,1,0),0)</f>
        <v>0</v>
      </c>
    </row>
    <row r="1724" spans="1:22" x14ac:dyDescent="0.35">
      <c r="A1724">
        <v>11723</v>
      </c>
      <c r="B1724" s="1">
        <v>46284</v>
      </c>
      <c r="C1724">
        <v>1760</v>
      </c>
      <c r="D1724" t="s">
        <v>73</v>
      </c>
      <c r="E1724" t="s">
        <v>70</v>
      </c>
      <c r="F1724">
        <v>2</v>
      </c>
      <c r="G1724" s="2">
        <v>388.65</v>
      </c>
      <c r="H1724">
        <v>0.08</v>
      </c>
      <c r="I1724" t="s">
        <v>64</v>
      </c>
      <c r="J1724">
        <v>5</v>
      </c>
      <c r="K1724">
        <v>3.3</v>
      </c>
      <c r="L1724" s="2">
        <v>715.12</v>
      </c>
      <c r="M1724">
        <v>2026</v>
      </c>
      <c r="N1724">
        <v>9</v>
      </c>
      <c r="O1724" t="s">
        <v>136</v>
      </c>
      <c r="P1724" s="2">
        <v>777.3</v>
      </c>
      <c r="Q1724" s="2">
        <v>62.18</v>
      </c>
      <c r="R1724" t="s">
        <v>69</v>
      </c>
      <c r="S1724">
        <v>0</v>
      </c>
      <c r="T1724">
        <v>0</v>
      </c>
      <c r="U1724">
        <f>IF(AND(OR(Dashboard!$D$4="Semua",D1724=Dashboard!$D$4),OR(Dashboard!$H$4="Semua",E1724=Dashboard!$H$4)),1,0)</f>
        <v>1</v>
      </c>
      <c r="V1724">
        <f>IF(U1724=1,IF(COUNTIFS($C$2:C1724,C1724,$U$2:U1724,1)=1,1,0),0)</f>
        <v>0</v>
      </c>
    </row>
    <row r="1725" spans="1:22" x14ac:dyDescent="0.35">
      <c r="A1725">
        <v>11724</v>
      </c>
      <c r="B1725" s="1">
        <v>46285</v>
      </c>
      <c r="C1725">
        <v>1238</v>
      </c>
      <c r="D1725" t="s">
        <v>67</v>
      </c>
      <c r="E1725" t="s">
        <v>63</v>
      </c>
      <c r="F1725">
        <v>2</v>
      </c>
      <c r="G1725" s="2">
        <v>326.36</v>
      </c>
      <c r="H1725">
        <v>0.09</v>
      </c>
      <c r="I1725" t="s">
        <v>68</v>
      </c>
      <c r="J1725">
        <v>11</v>
      </c>
      <c r="K1725">
        <v>4.8</v>
      </c>
      <c r="L1725" s="2">
        <v>593.98</v>
      </c>
      <c r="M1725">
        <v>2026</v>
      </c>
      <c r="N1725">
        <v>9</v>
      </c>
      <c r="O1725" t="s">
        <v>136</v>
      </c>
      <c r="P1725" s="2">
        <v>652.72</v>
      </c>
      <c r="Q1725" s="2">
        <v>58.74</v>
      </c>
      <c r="R1725" t="s">
        <v>69</v>
      </c>
      <c r="S1725">
        <v>0</v>
      </c>
      <c r="T1725">
        <v>0</v>
      </c>
      <c r="U1725">
        <f>IF(AND(OR(Dashboard!$D$4="Semua",D1725=Dashboard!$D$4),OR(Dashboard!$H$4="Semua",E1725=Dashboard!$H$4)),1,0)</f>
        <v>1</v>
      </c>
      <c r="V1725">
        <f>IF(U1725=1,IF(COUNTIFS($C$2:C1725,C1725,$U$2:U1725,1)=1,1,0),0)</f>
        <v>0</v>
      </c>
    </row>
    <row r="1726" spans="1:22" x14ac:dyDescent="0.35">
      <c r="A1726">
        <v>11725</v>
      </c>
      <c r="B1726" s="1">
        <v>46286</v>
      </c>
      <c r="C1726">
        <v>1228</v>
      </c>
      <c r="D1726" t="s">
        <v>62</v>
      </c>
      <c r="E1726" t="s">
        <v>70</v>
      </c>
      <c r="F1726">
        <v>6</v>
      </c>
      <c r="G1726" s="2">
        <v>464.52</v>
      </c>
      <c r="H1726">
        <v>0.31</v>
      </c>
      <c r="I1726" t="s">
        <v>68</v>
      </c>
      <c r="J1726">
        <v>3</v>
      </c>
      <c r="K1726">
        <v>3</v>
      </c>
      <c r="L1726" s="2">
        <v>1923.11</v>
      </c>
      <c r="M1726">
        <v>2026</v>
      </c>
      <c r="N1726">
        <v>9</v>
      </c>
      <c r="O1726" t="s">
        <v>136</v>
      </c>
      <c r="P1726" s="2">
        <v>2787.12</v>
      </c>
      <c r="Q1726" s="2">
        <v>864.01</v>
      </c>
      <c r="R1726" t="s">
        <v>72</v>
      </c>
      <c r="S1726">
        <v>0</v>
      </c>
      <c r="T1726">
        <v>0</v>
      </c>
      <c r="U1726">
        <f>IF(AND(OR(Dashboard!$D$4="Semua",D1726=Dashboard!$D$4),OR(Dashboard!$H$4="Semua",E1726=Dashboard!$H$4)),1,0)</f>
        <v>1</v>
      </c>
      <c r="V1726">
        <f>IF(U1726=1,IF(COUNTIFS($C$2:C1726,C1726,$U$2:U1726,1)=1,1,0),0)</f>
        <v>0</v>
      </c>
    </row>
    <row r="1727" spans="1:22" x14ac:dyDescent="0.35">
      <c r="A1727">
        <v>11726</v>
      </c>
      <c r="B1727" s="1">
        <v>46287</v>
      </c>
      <c r="C1727">
        <v>1578</v>
      </c>
      <c r="D1727" t="s">
        <v>67</v>
      </c>
      <c r="E1727" t="s">
        <v>78</v>
      </c>
      <c r="F1727">
        <v>4</v>
      </c>
      <c r="G1727" s="2">
        <v>458.39</v>
      </c>
      <c r="H1727">
        <v>0.19</v>
      </c>
      <c r="I1727" t="s">
        <v>68</v>
      </c>
      <c r="J1727">
        <v>11</v>
      </c>
      <c r="K1727">
        <v>1.6</v>
      </c>
      <c r="L1727" s="2">
        <v>1485.18</v>
      </c>
      <c r="M1727">
        <v>2026</v>
      </c>
      <c r="N1727">
        <v>9</v>
      </c>
      <c r="O1727" t="s">
        <v>136</v>
      </c>
      <c r="P1727" s="2">
        <v>1833.56</v>
      </c>
      <c r="Q1727" s="2">
        <v>348.38</v>
      </c>
      <c r="R1727" t="s">
        <v>76</v>
      </c>
      <c r="S1727">
        <v>0</v>
      </c>
      <c r="T1727">
        <v>0</v>
      </c>
      <c r="U1727">
        <f>IF(AND(OR(Dashboard!$D$4="Semua",D1727=Dashboard!$D$4),OR(Dashboard!$H$4="Semua",E1727=Dashboard!$H$4)),1,0)</f>
        <v>1</v>
      </c>
      <c r="V1727">
        <f>IF(U1727=1,IF(COUNTIFS($C$2:C1727,C1727,$U$2:U1727,1)=1,1,0),0)</f>
        <v>0</v>
      </c>
    </row>
    <row r="1728" spans="1:22" x14ac:dyDescent="0.35">
      <c r="A1728">
        <v>11727</v>
      </c>
      <c r="B1728" s="1">
        <v>46288</v>
      </c>
      <c r="C1728">
        <v>1050</v>
      </c>
      <c r="D1728" t="s">
        <v>73</v>
      </c>
      <c r="E1728" t="s">
        <v>74</v>
      </c>
      <c r="F1728">
        <v>1</v>
      </c>
      <c r="G1728" s="2">
        <v>376.45</v>
      </c>
      <c r="H1728">
        <v>0.17</v>
      </c>
      <c r="I1728" t="s">
        <v>71</v>
      </c>
      <c r="J1728">
        <v>4</v>
      </c>
      <c r="K1728">
        <v>2.6</v>
      </c>
      <c r="L1728" s="2">
        <v>312.45</v>
      </c>
      <c r="M1728">
        <v>2026</v>
      </c>
      <c r="N1728">
        <v>9</v>
      </c>
      <c r="O1728" t="s">
        <v>136</v>
      </c>
      <c r="P1728" s="2">
        <v>376.45</v>
      </c>
      <c r="Q1728" s="2">
        <v>64</v>
      </c>
      <c r="R1728" t="s">
        <v>76</v>
      </c>
      <c r="S1728">
        <v>0</v>
      </c>
      <c r="T1728">
        <v>0</v>
      </c>
      <c r="U1728">
        <f>IF(AND(OR(Dashboard!$D$4="Semua",D1728=Dashboard!$D$4),OR(Dashboard!$H$4="Semua",E1728=Dashboard!$H$4)),1,0)</f>
        <v>1</v>
      </c>
      <c r="V1728">
        <f>IF(U1728=1,IF(COUNTIFS($C$2:C1728,C1728,$U$2:U1728,1)=1,1,0),0)</f>
        <v>0</v>
      </c>
    </row>
    <row r="1729" spans="1:22" x14ac:dyDescent="0.35">
      <c r="A1729">
        <v>11728</v>
      </c>
      <c r="B1729" s="1">
        <v>46289</v>
      </c>
      <c r="C1729">
        <v>1608</v>
      </c>
      <c r="D1729" t="s">
        <v>73</v>
      </c>
      <c r="E1729" t="s">
        <v>78</v>
      </c>
      <c r="F1729">
        <v>7</v>
      </c>
      <c r="G1729" s="2">
        <v>475.39</v>
      </c>
      <c r="H1729">
        <v>0.24</v>
      </c>
      <c r="I1729" t="s">
        <v>68</v>
      </c>
      <c r="J1729">
        <v>2</v>
      </c>
      <c r="K1729">
        <v>3.5</v>
      </c>
      <c r="L1729" s="2">
        <v>2529.0700000000002</v>
      </c>
      <c r="M1729">
        <v>2026</v>
      </c>
      <c r="N1729">
        <v>9</v>
      </c>
      <c r="O1729" t="s">
        <v>136</v>
      </c>
      <c r="P1729" s="2">
        <v>3327.73</v>
      </c>
      <c r="Q1729" s="2">
        <v>798.66</v>
      </c>
      <c r="R1729" t="s">
        <v>77</v>
      </c>
      <c r="S1729">
        <v>0</v>
      </c>
      <c r="T1729">
        <v>0</v>
      </c>
      <c r="U1729">
        <f>IF(AND(OR(Dashboard!$D$4="Semua",D1729=Dashboard!$D$4),OR(Dashboard!$H$4="Semua",E1729=Dashboard!$H$4)),1,0)</f>
        <v>1</v>
      </c>
      <c r="V1729">
        <f>IF(U1729=1,IF(COUNTIFS($C$2:C1729,C1729,$U$2:U1729,1)=1,1,0),0)</f>
        <v>0</v>
      </c>
    </row>
    <row r="1730" spans="1:22" x14ac:dyDescent="0.35">
      <c r="A1730">
        <v>11729</v>
      </c>
      <c r="B1730" s="1">
        <v>46290</v>
      </c>
      <c r="C1730">
        <v>1603</v>
      </c>
      <c r="D1730" t="s">
        <v>73</v>
      </c>
      <c r="E1730" t="s">
        <v>74</v>
      </c>
      <c r="F1730">
        <v>5</v>
      </c>
      <c r="G1730" s="2">
        <v>210.54</v>
      </c>
      <c r="H1730">
        <v>0.33</v>
      </c>
      <c r="I1730" t="s">
        <v>64</v>
      </c>
      <c r="J1730">
        <v>8</v>
      </c>
      <c r="K1730">
        <v>4.0999999999999996</v>
      </c>
      <c r="L1730" s="2">
        <v>705.31</v>
      </c>
      <c r="M1730">
        <v>2026</v>
      </c>
      <c r="N1730">
        <v>9</v>
      </c>
      <c r="O1730" t="s">
        <v>136</v>
      </c>
      <c r="P1730" s="2">
        <v>1052.7</v>
      </c>
      <c r="Q1730" s="2">
        <v>347.39</v>
      </c>
      <c r="R1730" t="s">
        <v>72</v>
      </c>
      <c r="S1730">
        <v>0</v>
      </c>
      <c r="T1730">
        <v>0</v>
      </c>
      <c r="U1730">
        <f>IF(AND(OR(Dashboard!$D$4="Semua",D1730=Dashboard!$D$4),OR(Dashboard!$H$4="Semua",E1730=Dashboard!$H$4)),1,0)</f>
        <v>1</v>
      </c>
      <c r="V1730">
        <f>IF(U1730=1,IF(COUNTIFS($C$2:C1730,C1730,$U$2:U1730,1)=1,1,0),0)</f>
        <v>0</v>
      </c>
    </row>
    <row r="1731" spans="1:22" x14ac:dyDescent="0.35">
      <c r="A1731">
        <v>11730</v>
      </c>
      <c r="B1731" s="1">
        <v>46291</v>
      </c>
      <c r="C1731">
        <v>1263</v>
      </c>
      <c r="D1731" t="s">
        <v>67</v>
      </c>
      <c r="E1731" t="s">
        <v>74</v>
      </c>
      <c r="F1731">
        <v>2</v>
      </c>
      <c r="G1731" s="2">
        <v>530.53</v>
      </c>
      <c r="H1731">
        <v>0.04</v>
      </c>
      <c r="I1731" t="s">
        <v>71</v>
      </c>
      <c r="J1731">
        <v>2</v>
      </c>
      <c r="K1731">
        <v>3.4</v>
      </c>
      <c r="L1731" s="2">
        <v>1018.62</v>
      </c>
      <c r="M1731">
        <v>2026</v>
      </c>
      <c r="N1731">
        <v>9</v>
      </c>
      <c r="O1731" t="s">
        <v>136</v>
      </c>
      <c r="P1731" s="2">
        <v>1061.06</v>
      </c>
      <c r="Q1731" s="2">
        <v>42.44</v>
      </c>
      <c r="R1731" t="s">
        <v>75</v>
      </c>
      <c r="S1731">
        <v>0</v>
      </c>
      <c r="T1731">
        <v>0</v>
      </c>
      <c r="U1731">
        <f>IF(AND(OR(Dashboard!$D$4="Semua",D1731=Dashboard!$D$4),OR(Dashboard!$H$4="Semua",E1731=Dashboard!$H$4)),1,0)</f>
        <v>1</v>
      </c>
      <c r="V1731">
        <f>IF(U1731=1,IF(COUNTIFS($C$2:C1731,C1731,$U$2:U1731,1)=1,1,0),0)</f>
        <v>0</v>
      </c>
    </row>
    <row r="1732" spans="1:22" x14ac:dyDescent="0.35">
      <c r="A1732">
        <v>11731</v>
      </c>
      <c r="B1732" s="1">
        <v>46292</v>
      </c>
      <c r="C1732">
        <v>1417</v>
      </c>
      <c r="D1732" t="s">
        <v>67</v>
      </c>
      <c r="E1732" t="s">
        <v>74</v>
      </c>
      <c r="F1732">
        <v>1</v>
      </c>
      <c r="G1732" s="2">
        <v>374.72</v>
      </c>
      <c r="H1732">
        <v>0.28999999999999998</v>
      </c>
      <c r="I1732" t="s">
        <v>68</v>
      </c>
      <c r="J1732">
        <v>11</v>
      </c>
      <c r="K1732">
        <v>1.1000000000000001</v>
      </c>
      <c r="L1732" s="2">
        <v>266.05</v>
      </c>
      <c r="M1732">
        <v>2026</v>
      </c>
      <c r="N1732">
        <v>9</v>
      </c>
      <c r="O1732" t="s">
        <v>136</v>
      </c>
      <c r="P1732" s="2">
        <v>374.72</v>
      </c>
      <c r="Q1732" s="2">
        <v>108.67</v>
      </c>
      <c r="R1732" t="s">
        <v>66</v>
      </c>
      <c r="S1732">
        <v>0</v>
      </c>
      <c r="T1732">
        <v>0</v>
      </c>
      <c r="U1732">
        <f>IF(AND(OR(Dashboard!$D$4="Semua",D1732=Dashboard!$D$4),OR(Dashboard!$H$4="Semua",E1732=Dashboard!$H$4)),1,0)</f>
        <v>1</v>
      </c>
      <c r="V1732">
        <f>IF(U1732=1,IF(COUNTIFS($C$2:C1732,C1732,$U$2:U1732,1)=1,1,0),0)</f>
        <v>0</v>
      </c>
    </row>
    <row r="1733" spans="1:22" x14ac:dyDescent="0.35">
      <c r="A1733">
        <v>11732</v>
      </c>
      <c r="B1733" s="1">
        <v>46293</v>
      </c>
      <c r="C1733">
        <v>1802</v>
      </c>
      <c r="D1733" t="s">
        <v>73</v>
      </c>
      <c r="E1733" t="s">
        <v>74</v>
      </c>
      <c r="F1733">
        <v>7</v>
      </c>
      <c r="G1733" s="2">
        <v>496.08</v>
      </c>
      <c r="H1733">
        <v>0.2</v>
      </c>
      <c r="I1733" t="s">
        <v>71</v>
      </c>
      <c r="J1733">
        <v>6</v>
      </c>
      <c r="K1733">
        <v>1.6</v>
      </c>
      <c r="L1733" s="2">
        <v>2778.05</v>
      </c>
      <c r="M1733">
        <v>2026</v>
      </c>
      <c r="N1733">
        <v>9</v>
      </c>
      <c r="O1733" t="s">
        <v>136</v>
      </c>
      <c r="P1733" s="2">
        <v>3472.56</v>
      </c>
      <c r="Q1733" s="2">
        <v>694.51</v>
      </c>
      <c r="R1733" t="s">
        <v>76</v>
      </c>
      <c r="S1733">
        <v>0</v>
      </c>
      <c r="T1733">
        <v>0</v>
      </c>
      <c r="U1733">
        <f>IF(AND(OR(Dashboard!$D$4="Semua",D1733=Dashboard!$D$4),OR(Dashboard!$H$4="Semua",E1733=Dashboard!$H$4)),1,0)</f>
        <v>1</v>
      </c>
      <c r="V1733">
        <f>IF(U1733=1,IF(COUNTIFS($C$2:C1733,C1733,$U$2:U1733,1)=1,1,0),0)</f>
        <v>0</v>
      </c>
    </row>
    <row r="1734" spans="1:22" x14ac:dyDescent="0.35">
      <c r="A1734">
        <v>11733</v>
      </c>
      <c r="B1734" s="1">
        <v>46294</v>
      </c>
      <c r="C1734">
        <v>1095</v>
      </c>
      <c r="D1734" t="s">
        <v>62</v>
      </c>
      <c r="E1734" t="s">
        <v>63</v>
      </c>
      <c r="F1734">
        <v>7</v>
      </c>
      <c r="G1734" s="2">
        <v>334.57</v>
      </c>
      <c r="H1734">
        <v>0.05</v>
      </c>
      <c r="I1734" t="s">
        <v>68</v>
      </c>
      <c r="J1734">
        <v>7</v>
      </c>
      <c r="K1734">
        <v>2.5</v>
      </c>
      <c r="L1734" s="2">
        <v>2224.89</v>
      </c>
      <c r="M1734">
        <v>2026</v>
      </c>
      <c r="N1734">
        <v>9</v>
      </c>
      <c r="O1734" t="s">
        <v>136</v>
      </c>
      <c r="P1734" s="2">
        <v>2341.9899999999998</v>
      </c>
      <c r="Q1734" s="2">
        <v>117.1</v>
      </c>
      <c r="R1734" t="s">
        <v>75</v>
      </c>
      <c r="S1734">
        <v>0</v>
      </c>
      <c r="T1734">
        <v>0</v>
      </c>
      <c r="U1734">
        <f>IF(AND(OR(Dashboard!$D$4="Semua",D1734=Dashboard!$D$4),OR(Dashboard!$H$4="Semua",E1734=Dashboard!$H$4)),1,0)</f>
        <v>1</v>
      </c>
      <c r="V1734">
        <f>IF(U1734=1,IF(COUNTIFS($C$2:C1734,C1734,$U$2:U1734,1)=1,1,0),0)</f>
        <v>0</v>
      </c>
    </row>
    <row r="1735" spans="1:22" x14ac:dyDescent="0.35">
      <c r="A1735">
        <v>11734</v>
      </c>
      <c r="B1735" s="1">
        <v>46295</v>
      </c>
      <c r="C1735">
        <v>1087</v>
      </c>
      <c r="D1735" t="s">
        <v>80</v>
      </c>
      <c r="E1735" t="s">
        <v>78</v>
      </c>
      <c r="F1735">
        <v>1</v>
      </c>
      <c r="G1735" s="2">
        <v>142.79</v>
      </c>
      <c r="H1735">
        <v>0.1</v>
      </c>
      <c r="I1735" t="s">
        <v>68</v>
      </c>
      <c r="J1735">
        <v>7</v>
      </c>
      <c r="K1735">
        <v>3.8</v>
      </c>
      <c r="L1735" s="2">
        <v>128.51</v>
      </c>
      <c r="M1735">
        <v>2026</v>
      </c>
      <c r="N1735">
        <v>9</v>
      </c>
      <c r="O1735" t="s">
        <v>136</v>
      </c>
      <c r="P1735" s="2">
        <v>142.79</v>
      </c>
      <c r="Q1735" s="2">
        <v>14.28</v>
      </c>
      <c r="R1735" t="s">
        <v>69</v>
      </c>
      <c r="S1735">
        <v>0</v>
      </c>
      <c r="T1735">
        <v>0</v>
      </c>
      <c r="U1735">
        <f>IF(AND(OR(Dashboard!$D$4="Semua",D1735=Dashboard!$D$4),OR(Dashboard!$H$4="Semua",E1735=Dashboard!$H$4)),1,0)</f>
        <v>1</v>
      </c>
      <c r="V1735">
        <f>IF(U1735=1,IF(COUNTIFS($C$2:C1735,C1735,$U$2:U1735,1)=1,1,0),0)</f>
        <v>0</v>
      </c>
    </row>
    <row r="1736" spans="1:22" x14ac:dyDescent="0.35">
      <c r="A1736">
        <v>11735</v>
      </c>
      <c r="B1736" s="1">
        <v>46296</v>
      </c>
      <c r="C1736">
        <v>1077</v>
      </c>
      <c r="D1736" t="s">
        <v>67</v>
      </c>
      <c r="E1736" t="s">
        <v>70</v>
      </c>
      <c r="F1736">
        <v>4</v>
      </c>
      <c r="G1736" s="2">
        <v>332.31</v>
      </c>
      <c r="H1736">
        <v>0.17</v>
      </c>
      <c r="I1736" t="s">
        <v>68</v>
      </c>
      <c r="J1736">
        <v>1</v>
      </c>
      <c r="K1736">
        <v>3.3</v>
      </c>
      <c r="L1736" s="2">
        <v>1103.27</v>
      </c>
      <c r="M1736">
        <v>2026</v>
      </c>
      <c r="N1736">
        <v>10</v>
      </c>
      <c r="O1736" t="s">
        <v>137</v>
      </c>
      <c r="P1736" s="2">
        <v>1329.24</v>
      </c>
      <c r="Q1736" s="2">
        <v>225.97</v>
      </c>
      <c r="R1736" t="s">
        <v>76</v>
      </c>
      <c r="S1736">
        <v>1</v>
      </c>
      <c r="T1736">
        <v>0</v>
      </c>
      <c r="U1736">
        <f>IF(AND(OR(Dashboard!$D$4="Semua",D1736=Dashboard!$D$4),OR(Dashboard!$H$4="Semua",E1736=Dashboard!$H$4)),1,0)</f>
        <v>1</v>
      </c>
      <c r="V1736">
        <f>IF(U1736=1,IF(COUNTIFS($C$2:C1736,C1736,$U$2:U1736,1)=1,1,0),0)</f>
        <v>0</v>
      </c>
    </row>
    <row r="1737" spans="1:22" x14ac:dyDescent="0.35">
      <c r="A1737">
        <v>11736</v>
      </c>
      <c r="B1737" s="1">
        <v>46297</v>
      </c>
      <c r="C1737">
        <v>1287</v>
      </c>
      <c r="D1737" t="s">
        <v>80</v>
      </c>
      <c r="E1737" t="s">
        <v>74</v>
      </c>
      <c r="F1737">
        <v>6</v>
      </c>
      <c r="G1737" s="2">
        <v>232.1</v>
      </c>
      <c r="H1737">
        <v>0.24</v>
      </c>
      <c r="I1737" t="s">
        <v>68</v>
      </c>
      <c r="J1737">
        <v>8</v>
      </c>
      <c r="K1737">
        <v>1.2</v>
      </c>
      <c r="L1737" s="2">
        <v>1058.3800000000001</v>
      </c>
      <c r="M1737">
        <v>2026</v>
      </c>
      <c r="N1737">
        <v>10</v>
      </c>
      <c r="O1737" t="s">
        <v>137</v>
      </c>
      <c r="P1737" s="2">
        <v>1392.6</v>
      </c>
      <c r="Q1737" s="2">
        <v>334.22</v>
      </c>
      <c r="R1737" t="s">
        <v>77</v>
      </c>
      <c r="S1737">
        <v>1</v>
      </c>
      <c r="T1737">
        <v>0</v>
      </c>
      <c r="U1737">
        <f>IF(AND(OR(Dashboard!$D$4="Semua",D1737=Dashboard!$D$4),OR(Dashboard!$H$4="Semua",E1737=Dashboard!$H$4)),1,0)</f>
        <v>1</v>
      </c>
      <c r="V1737">
        <f>IF(U1737=1,IF(COUNTIFS($C$2:C1737,C1737,$U$2:U1737,1)=1,1,0),0)</f>
        <v>0</v>
      </c>
    </row>
    <row r="1738" spans="1:22" x14ac:dyDescent="0.35">
      <c r="A1738">
        <v>11737</v>
      </c>
      <c r="B1738" s="1">
        <v>46298</v>
      </c>
      <c r="C1738">
        <v>1119</v>
      </c>
      <c r="D1738" t="s">
        <v>73</v>
      </c>
      <c r="E1738" t="s">
        <v>74</v>
      </c>
      <c r="F1738">
        <v>5</v>
      </c>
      <c r="G1738" s="2">
        <v>423.04</v>
      </c>
      <c r="H1738">
        <v>0.08</v>
      </c>
      <c r="I1738" t="s">
        <v>71</v>
      </c>
      <c r="J1738">
        <v>9</v>
      </c>
      <c r="K1738">
        <v>4.2</v>
      </c>
      <c r="L1738" s="2">
        <v>1945.98</v>
      </c>
      <c r="M1738">
        <v>2026</v>
      </c>
      <c r="N1738">
        <v>10</v>
      </c>
      <c r="O1738" t="s">
        <v>137</v>
      </c>
      <c r="P1738" s="2">
        <v>2115.1999999999998</v>
      </c>
      <c r="Q1738" s="2">
        <v>169.22</v>
      </c>
      <c r="R1738" t="s">
        <v>69</v>
      </c>
      <c r="S1738">
        <v>1</v>
      </c>
      <c r="T1738">
        <v>0</v>
      </c>
      <c r="U1738">
        <f>IF(AND(OR(Dashboard!$D$4="Semua",D1738=Dashboard!$D$4),OR(Dashboard!$H$4="Semua",E1738=Dashboard!$H$4)),1,0)</f>
        <v>1</v>
      </c>
      <c r="V1738">
        <f>IF(U1738=1,IF(COUNTIFS($C$2:C1738,C1738,$U$2:U1738,1)=1,1,0),0)</f>
        <v>0</v>
      </c>
    </row>
    <row r="1739" spans="1:22" x14ac:dyDescent="0.35">
      <c r="A1739">
        <v>11738</v>
      </c>
      <c r="B1739" s="1">
        <v>46299</v>
      </c>
      <c r="C1739">
        <v>1813</v>
      </c>
      <c r="D1739" t="s">
        <v>67</v>
      </c>
      <c r="E1739" t="s">
        <v>70</v>
      </c>
      <c r="F1739">
        <v>6</v>
      </c>
      <c r="G1739" s="2">
        <v>293.33999999999997</v>
      </c>
      <c r="H1739">
        <v>0.19</v>
      </c>
      <c r="I1739" t="s">
        <v>71</v>
      </c>
      <c r="J1739">
        <v>7</v>
      </c>
      <c r="K1739">
        <v>3.4</v>
      </c>
      <c r="L1739" s="2">
        <v>1425.63</v>
      </c>
      <c r="M1739">
        <v>2026</v>
      </c>
      <c r="N1739">
        <v>10</v>
      </c>
      <c r="O1739" t="s">
        <v>137</v>
      </c>
      <c r="P1739" s="2">
        <v>1760.04</v>
      </c>
      <c r="Q1739" s="2">
        <v>334.41</v>
      </c>
      <c r="R1739" t="s">
        <v>76</v>
      </c>
      <c r="S1739">
        <v>1</v>
      </c>
      <c r="T1739">
        <v>0</v>
      </c>
      <c r="U1739">
        <f>IF(AND(OR(Dashboard!$D$4="Semua",D1739=Dashboard!$D$4),OR(Dashboard!$H$4="Semua",E1739=Dashboard!$H$4)),1,0)</f>
        <v>1</v>
      </c>
      <c r="V1739">
        <f>IF(U1739=1,IF(COUNTIFS($C$2:C1739,C1739,$U$2:U1739,1)=1,1,0),0)</f>
        <v>0</v>
      </c>
    </row>
    <row r="1740" spans="1:22" x14ac:dyDescent="0.35">
      <c r="A1740">
        <v>11739</v>
      </c>
      <c r="B1740" s="1">
        <v>46300</v>
      </c>
      <c r="C1740">
        <v>1490</v>
      </c>
      <c r="D1740" t="s">
        <v>67</v>
      </c>
      <c r="E1740" t="s">
        <v>70</v>
      </c>
      <c r="F1740">
        <v>7</v>
      </c>
      <c r="G1740" s="2">
        <v>504.13</v>
      </c>
      <c r="H1740">
        <v>0.24</v>
      </c>
      <c r="I1740" t="s">
        <v>68</v>
      </c>
      <c r="J1740">
        <v>8</v>
      </c>
      <c r="K1740">
        <v>4.5</v>
      </c>
      <c r="L1740" s="2">
        <v>2681.97</v>
      </c>
      <c r="M1740">
        <v>2026</v>
      </c>
      <c r="N1740">
        <v>10</v>
      </c>
      <c r="O1740" t="s">
        <v>137</v>
      </c>
      <c r="P1740" s="2">
        <v>3528.91</v>
      </c>
      <c r="Q1740" s="2">
        <v>846.94</v>
      </c>
      <c r="R1740" t="s">
        <v>77</v>
      </c>
      <c r="S1740">
        <v>1</v>
      </c>
      <c r="T1740">
        <v>0</v>
      </c>
      <c r="U1740">
        <f>IF(AND(OR(Dashboard!$D$4="Semua",D1740=Dashboard!$D$4),OR(Dashboard!$H$4="Semua",E1740=Dashboard!$H$4)),1,0)</f>
        <v>1</v>
      </c>
      <c r="V1740">
        <f>IF(U1740=1,IF(COUNTIFS($C$2:C1740,C1740,$U$2:U1740,1)=1,1,0),0)</f>
        <v>1</v>
      </c>
    </row>
    <row r="1741" spans="1:22" x14ac:dyDescent="0.35">
      <c r="A1741">
        <v>11740</v>
      </c>
      <c r="B1741" s="1">
        <v>46301</v>
      </c>
      <c r="C1741">
        <v>1911</v>
      </c>
      <c r="D1741" t="s">
        <v>80</v>
      </c>
      <c r="E1741" t="s">
        <v>74</v>
      </c>
      <c r="F1741">
        <v>5</v>
      </c>
      <c r="G1741" s="2">
        <v>411.67</v>
      </c>
      <c r="H1741">
        <v>0.16</v>
      </c>
      <c r="I1741" t="s">
        <v>64</v>
      </c>
      <c r="J1741">
        <v>4</v>
      </c>
      <c r="K1741">
        <v>2.7</v>
      </c>
      <c r="L1741" s="2">
        <v>1729.01</v>
      </c>
      <c r="M1741">
        <v>2026</v>
      </c>
      <c r="N1741">
        <v>10</v>
      </c>
      <c r="O1741" t="s">
        <v>137</v>
      </c>
      <c r="P1741" s="2">
        <v>2058.35</v>
      </c>
      <c r="Q1741" s="2">
        <v>329.34</v>
      </c>
      <c r="R1741" t="s">
        <v>76</v>
      </c>
      <c r="S1741">
        <v>1</v>
      </c>
      <c r="T1741">
        <v>0</v>
      </c>
      <c r="U1741">
        <f>IF(AND(OR(Dashboard!$D$4="Semua",D1741=Dashboard!$D$4),OR(Dashboard!$H$4="Semua",E1741=Dashboard!$H$4)),1,0)</f>
        <v>1</v>
      </c>
      <c r="V1741">
        <f>IF(U1741=1,IF(COUNTIFS($C$2:C1741,C1741,$U$2:U1741,1)=1,1,0),0)</f>
        <v>0</v>
      </c>
    </row>
    <row r="1742" spans="1:22" x14ac:dyDescent="0.35">
      <c r="A1742">
        <v>11741</v>
      </c>
      <c r="B1742" s="1">
        <v>46302</v>
      </c>
      <c r="C1742">
        <v>1451</v>
      </c>
      <c r="D1742" t="s">
        <v>80</v>
      </c>
      <c r="E1742" t="s">
        <v>70</v>
      </c>
      <c r="F1742">
        <v>7</v>
      </c>
      <c r="G1742" s="2">
        <v>415.46</v>
      </c>
      <c r="H1742">
        <v>0.3</v>
      </c>
      <c r="I1742" t="s">
        <v>68</v>
      </c>
      <c r="J1742">
        <v>8</v>
      </c>
      <c r="K1742">
        <v>3</v>
      </c>
      <c r="L1742" s="2">
        <v>2035.75</v>
      </c>
      <c r="M1742">
        <v>2026</v>
      </c>
      <c r="N1742">
        <v>10</v>
      </c>
      <c r="O1742" t="s">
        <v>137</v>
      </c>
      <c r="P1742" s="2">
        <v>2908.22</v>
      </c>
      <c r="Q1742" s="2">
        <v>872.47</v>
      </c>
      <c r="R1742" t="s">
        <v>66</v>
      </c>
      <c r="S1742">
        <v>1</v>
      </c>
      <c r="T1742">
        <v>0</v>
      </c>
      <c r="U1742">
        <f>IF(AND(OR(Dashboard!$D$4="Semua",D1742=Dashboard!$D$4),OR(Dashboard!$H$4="Semua",E1742=Dashboard!$H$4)),1,0)</f>
        <v>1</v>
      </c>
      <c r="V1742">
        <f>IF(U1742=1,IF(COUNTIFS($C$2:C1742,C1742,$U$2:U1742,1)=1,1,0),0)</f>
        <v>1</v>
      </c>
    </row>
    <row r="1743" spans="1:22" x14ac:dyDescent="0.35">
      <c r="A1743">
        <v>11742</v>
      </c>
      <c r="B1743" s="1">
        <v>46303</v>
      </c>
      <c r="C1743">
        <v>1499</v>
      </c>
      <c r="D1743" t="s">
        <v>73</v>
      </c>
      <c r="E1743" t="s">
        <v>70</v>
      </c>
      <c r="F1743">
        <v>2</v>
      </c>
      <c r="G1743" s="2">
        <v>142.04</v>
      </c>
      <c r="H1743">
        <v>0.3</v>
      </c>
      <c r="I1743" t="s">
        <v>68</v>
      </c>
      <c r="J1743">
        <v>3</v>
      </c>
      <c r="K1743">
        <v>2.6</v>
      </c>
      <c r="L1743" s="2">
        <v>198.86</v>
      </c>
      <c r="M1743">
        <v>2026</v>
      </c>
      <c r="N1743">
        <v>10</v>
      </c>
      <c r="O1743" t="s">
        <v>137</v>
      </c>
      <c r="P1743" s="2">
        <v>284.08</v>
      </c>
      <c r="Q1743" s="2">
        <v>85.22</v>
      </c>
      <c r="R1743" t="s">
        <v>66</v>
      </c>
      <c r="S1743">
        <v>1</v>
      </c>
      <c r="T1743">
        <v>0</v>
      </c>
      <c r="U1743">
        <f>IF(AND(OR(Dashboard!$D$4="Semua",D1743=Dashboard!$D$4),OR(Dashboard!$H$4="Semua",E1743=Dashboard!$H$4)),1,0)</f>
        <v>1</v>
      </c>
      <c r="V1743">
        <f>IF(U1743=1,IF(COUNTIFS($C$2:C1743,C1743,$U$2:U1743,1)=1,1,0),0)</f>
        <v>0</v>
      </c>
    </row>
    <row r="1744" spans="1:22" x14ac:dyDescent="0.35">
      <c r="A1744">
        <v>11743</v>
      </c>
      <c r="B1744" s="1">
        <v>46304</v>
      </c>
      <c r="C1744">
        <v>1164</v>
      </c>
      <c r="D1744" t="s">
        <v>62</v>
      </c>
      <c r="E1744" t="s">
        <v>63</v>
      </c>
      <c r="F1744">
        <v>2</v>
      </c>
      <c r="G1744" s="2">
        <v>590.79</v>
      </c>
      <c r="H1744">
        <v>0.16</v>
      </c>
      <c r="I1744" t="s">
        <v>68</v>
      </c>
      <c r="J1744">
        <v>1</v>
      </c>
      <c r="K1744">
        <v>3.9</v>
      </c>
      <c r="L1744" s="2">
        <v>992.53</v>
      </c>
      <c r="M1744">
        <v>2026</v>
      </c>
      <c r="N1744">
        <v>10</v>
      </c>
      <c r="O1744" t="s">
        <v>137</v>
      </c>
      <c r="P1744" s="2">
        <v>1181.58</v>
      </c>
      <c r="Q1744" s="2">
        <v>189.05</v>
      </c>
      <c r="R1744" t="s">
        <v>76</v>
      </c>
      <c r="S1744">
        <v>1</v>
      </c>
      <c r="T1744">
        <v>0</v>
      </c>
      <c r="U1744">
        <f>IF(AND(OR(Dashboard!$D$4="Semua",D1744=Dashboard!$D$4),OR(Dashboard!$H$4="Semua",E1744=Dashboard!$H$4)),1,0)</f>
        <v>1</v>
      </c>
      <c r="V1744">
        <f>IF(U1744=1,IF(COUNTIFS($C$2:C1744,C1744,$U$2:U1744,1)=1,1,0),0)</f>
        <v>0</v>
      </c>
    </row>
    <row r="1745" spans="1:22" x14ac:dyDescent="0.35">
      <c r="A1745">
        <v>11744</v>
      </c>
      <c r="B1745" s="1">
        <v>46305</v>
      </c>
      <c r="C1745">
        <v>1181</v>
      </c>
      <c r="D1745" t="s">
        <v>73</v>
      </c>
      <c r="E1745" t="s">
        <v>70</v>
      </c>
      <c r="F1745">
        <v>1</v>
      </c>
      <c r="G1745" s="2">
        <v>507.38</v>
      </c>
      <c r="H1745">
        <v>0.34</v>
      </c>
      <c r="I1745" t="s">
        <v>71</v>
      </c>
      <c r="J1745">
        <v>8</v>
      </c>
      <c r="K1745">
        <v>4</v>
      </c>
      <c r="L1745" s="2">
        <v>334.87</v>
      </c>
      <c r="M1745">
        <v>2026</v>
      </c>
      <c r="N1745">
        <v>10</v>
      </c>
      <c r="O1745" t="s">
        <v>137</v>
      </c>
      <c r="P1745" s="2">
        <v>507.38</v>
      </c>
      <c r="Q1745" s="2">
        <v>172.51</v>
      </c>
      <c r="R1745" t="s">
        <v>72</v>
      </c>
      <c r="S1745">
        <v>1</v>
      </c>
      <c r="T1745">
        <v>0</v>
      </c>
      <c r="U1745">
        <f>IF(AND(OR(Dashboard!$D$4="Semua",D1745=Dashboard!$D$4),OR(Dashboard!$H$4="Semua",E1745=Dashboard!$H$4)),1,0)</f>
        <v>1</v>
      </c>
      <c r="V1745">
        <f>IF(U1745=1,IF(COUNTIFS($C$2:C1745,C1745,$U$2:U1745,1)=1,1,0),0)</f>
        <v>0</v>
      </c>
    </row>
    <row r="1746" spans="1:22" x14ac:dyDescent="0.35">
      <c r="A1746">
        <v>11745</v>
      </c>
      <c r="B1746" s="1">
        <v>46306</v>
      </c>
      <c r="C1746">
        <v>1468</v>
      </c>
      <c r="D1746" t="s">
        <v>62</v>
      </c>
      <c r="E1746" t="s">
        <v>78</v>
      </c>
      <c r="F1746">
        <v>5</v>
      </c>
      <c r="G1746" s="2">
        <v>476.57</v>
      </c>
      <c r="H1746">
        <v>0.03</v>
      </c>
      <c r="I1746" t="s">
        <v>64</v>
      </c>
      <c r="J1746">
        <v>11</v>
      </c>
      <c r="K1746">
        <v>3.9</v>
      </c>
      <c r="L1746" s="2">
        <v>2311.36</v>
      </c>
      <c r="M1746">
        <v>2026</v>
      </c>
      <c r="N1746">
        <v>10</v>
      </c>
      <c r="O1746" t="s">
        <v>137</v>
      </c>
      <c r="P1746" s="2">
        <v>2382.85</v>
      </c>
      <c r="Q1746" s="2">
        <v>71.489999999999995</v>
      </c>
      <c r="R1746" t="s">
        <v>75</v>
      </c>
      <c r="S1746">
        <v>1</v>
      </c>
      <c r="T1746">
        <v>0</v>
      </c>
      <c r="U1746">
        <f>IF(AND(OR(Dashboard!$D$4="Semua",D1746=Dashboard!$D$4),OR(Dashboard!$H$4="Semua",E1746=Dashboard!$H$4)),1,0)</f>
        <v>1</v>
      </c>
      <c r="V1746">
        <f>IF(U1746=1,IF(COUNTIFS($C$2:C1746,C1746,$U$2:U1746,1)=1,1,0),0)</f>
        <v>0</v>
      </c>
    </row>
    <row r="1747" spans="1:22" x14ac:dyDescent="0.35">
      <c r="A1747">
        <v>11746</v>
      </c>
      <c r="B1747" s="1">
        <v>46307</v>
      </c>
      <c r="C1747">
        <v>1909</v>
      </c>
      <c r="D1747" t="s">
        <v>62</v>
      </c>
      <c r="E1747" t="s">
        <v>78</v>
      </c>
      <c r="F1747">
        <v>5</v>
      </c>
      <c r="G1747" s="2">
        <v>208.18</v>
      </c>
      <c r="H1747">
        <v>0</v>
      </c>
      <c r="I1747" t="s">
        <v>71</v>
      </c>
      <c r="J1747">
        <v>6</v>
      </c>
      <c r="K1747">
        <v>2.2000000000000002</v>
      </c>
      <c r="L1747" s="2">
        <v>1040.9000000000001</v>
      </c>
      <c r="M1747">
        <v>2026</v>
      </c>
      <c r="N1747">
        <v>10</v>
      </c>
      <c r="O1747" t="s">
        <v>137</v>
      </c>
      <c r="P1747" s="2">
        <v>1040.9000000000001</v>
      </c>
      <c r="Q1747" s="2">
        <v>0</v>
      </c>
      <c r="R1747" t="s">
        <v>75</v>
      </c>
      <c r="S1747">
        <v>1</v>
      </c>
      <c r="T1747">
        <v>0</v>
      </c>
      <c r="U1747">
        <f>IF(AND(OR(Dashboard!$D$4="Semua",D1747=Dashboard!$D$4),OR(Dashboard!$H$4="Semua",E1747=Dashboard!$H$4)),1,0)</f>
        <v>1</v>
      </c>
      <c r="V1747">
        <f>IF(U1747=1,IF(COUNTIFS($C$2:C1747,C1747,$U$2:U1747,1)=1,1,0),0)</f>
        <v>0</v>
      </c>
    </row>
    <row r="1748" spans="1:22" x14ac:dyDescent="0.35">
      <c r="A1748">
        <v>11747</v>
      </c>
      <c r="B1748" s="1">
        <v>46308</v>
      </c>
      <c r="C1748">
        <v>1734</v>
      </c>
      <c r="D1748" t="s">
        <v>73</v>
      </c>
      <c r="E1748" t="s">
        <v>78</v>
      </c>
      <c r="F1748">
        <v>7</v>
      </c>
      <c r="G1748" s="2">
        <v>328.34</v>
      </c>
      <c r="H1748">
        <v>0.13</v>
      </c>
      <c r="I1748" t="s">
        <v>64</v>
      </c>
      <c r="J1748">
        <v>9</v>
      </c>
      <c r="K1748">
        <v>3.5</v>
      </c>
      <c r="L1748" s="2">
        <v>1999.59</v>
      </c>
      <c r="M1748">
        <v>2026</v>
      </c>
      <c r="N1748">
        <v>10</v>
      </c>
      <c r="O1748" t="s">
        <v>137</v>
      </c>
      <c r="P1748" s="2">
        <v>2298.38</v>
      </c>
      <c r="Q1748" s="2">
        <v>298.79000000000002</v>
      </c>
      <c r="R1748" t="s">
        <v>79</v>
      </c>
      <c r="S1748">
        <v>1</v>
      </c>
      <c r="T1748">
        <v>0</v>
      </c>
      <c r="U1748">
        <f>IF(AND(OR(Dashboard!$D$4="Semua",D1748=Dashboard!$D$4),OR(Dashboard!$H$4="Semua",E1748=Dashboard!$H$4)),1,0)</f>
        <v>1</v>
      </c>
      <c r="V1748">
        <f>IF(U1748=1,IF(COUNTIFS($C$2:C1748,C1748,$U$2:U1748,1)=1,1,0),0)</f>
        <v>0</v>
      </c>
    </row>
    <row r="1749" spans="1:22" x14ac:dyDescent="0.35">
      <c r="A1749">
        <v>11748</v>
      </c>
      <c r="B1749" s="1">
        <v>46309</v>
      </c>
      <c r="C1749">
        <v>1822</v>
      </c>
      <c r="D1749" t="s">
        <v>80</v>
      </c>
      <c r="E1749" t="s">
        <v>74</v>
      </c>
      <c r="F1749">
        <v>6</v>
      </c>
      <c r="G1749" s="2">
        <v>95.21</v>
      </c>
      <c r="H1749">
        <v>0.21</v>
      </c>
      <c r="I1749" t="s">
        <v>68</v>
      </c>
      <c r="J1749">
        <v>3</v>
      </c>
      <c r="K1749">
        <v>2.4</v>
      </c>
      <c r="L1749" s="2">
        <v>451.3</v>
      </c>
      <c r="M1749">
        <v>2026</v>
      </c>
      <c r="N1749">
        <v>10</v>
      </c>
      <c r="O1749" t="s">
        <v>137</v>
      </c>
      <c r="P1749" s="2">
        <v>571.26</v>
      </c>
      <c r="Q1749" s="2">
        <v>119.96</v>
      </c>
      <c r="R1749" t="s">
        <v>77</v>
      </c>
      <c r="S1749">
        <v>1</v>
      </c>
      <c r="T1749">
        <v>0</v>
      </c>
      <c r="U1749">
        <f>IF(AND(OR(Dashboard!$D$4="Semua",D1749=Dashboard!$D$4),OR(Dashboard!$H$4="Semua",E1749=Dashboard!$H$4)),1,0)</f>
        <v>1</v>
      </c>
      <c r="V1749">
        <f>IF(U1749=1,IF(COUNTIFS($C$2:C1749,C1749,$U$2:U1749,1)=1,1,0),0)</f>
        <v>0</v>
      </c>
    </row>
    <row r="1750" spans="1:22" x14ac:dyDescent="0.35">
      <c r="A1750">
        <v>11749</v>
      </c>
      <c r="B1750" s="1">
        <v>46310</v>
      </c>
      <c r="C1750">
        <v>1943</v>
      </c>
      <c r="D1750" t="s">
        <v>73</v>
      </c>
      <c r="E1750" t="s">
        <v>78</v>
      </c>
      <c r="F1750">
        <v>2</v>
      </c>
      <c r="G1750" s="2">
        <v>330.01</v>
      </c>
      <c r="H1750">
        <v>0.22</v>
      </c>
      <c r="I1750" t="s">
        <v>68</v>
      </c>
      <c r="J1750">
        <v>8</v>
      </c>
      <c r="K1750">
        <v>4.3</v>
      </c>
      <c r="L1750" s="2">
        <v>514.82000000000005</v>
      </c>
      <c r="M1750">
        <v>2026</v>
      </c>
      <c r="N1750">
        <v>10</v>
      </c>
      <c r="O1750" t="s">
        <v>137</v>
      </c>
      <c r="P1750" s="2">
        <v>660.02</v>
      </c>
      <c r="Q1750" s="2">
        <v>145.19999999999999</v>
      </c>
      <c r="R1750" t="s">
        <v>77</v>
      </c>
      <c r="S1750">
        <v>1</v>
      </c>
      <c r="T1750">
        <v>0</v>
      </c>
      <c r="U1750">
        <f>IF(AND(OR(Dashboard!$D$4="Semua",D1750=Dashboard!$D$4),OR(Dashboard!$H$4="Semua",E1750=Dashboard!$H$4)),1,0)</f>
        <v>1</v>
      </c>
      <c r="V1750">
        <f>IF(U1750=1,IF(COUNTIFS($C$2:C1750,C1750,$U$2:U1750,1)=1,1,0),0)</f>
        <v>1</v>
      </c>
    </row>
    <row r="1751" spans="1:22" x14ac:dyDescent="0.35">
      <c r="A1751">
        <v>11750</v>
      </c>
      <c r="B1751" s="1">
        <v>46311</v>
      </c>
      <c r="C1751">
        <v>1977</v>
      </c>
      <c r="D1751" t="s">
        <v>67</v>
      </c>
      <c r="E1751" t="s">
        <v>63</v>
      </c>
      <c r="F1751">
        <v>3</v>
      </c>
      <c r="G1751" s="2">
        <v>100.35</v>
      </c>
      <c r="H1751">
        <v>0.17</v>
      </c>
      <c r="I1751" t="s">
        <v>71</v>
      </c>
      <c r="J1751">
        <v>9</v>
      </c>
      <c r="K1751">
        <v>1.2</v>
      </c>
      <c r="L1751" s="2">
        <v>249.87</v>
      </c>
      <c r="M1751">
        <v>2026</v>
      </c>
      <c r="N1751">
        <v>10</v>
      </c>
      <c r="O1751" t="s">
        <v>137</v>
      </c>
      <c r="P1751" s="2">
        <v>301.05</v>
      </c>
      <c r="Q1751" s="2">
        <v>51.18</v>
      </c>
      <c r="R1751" t="s">
        <v>76</v>
      </c>
      <c r="S1751">
        <v>1</v>
      </c>
      <c r="T1751">
        <v>0</v>
      </c>
      <c r="U1751">
        <f>IF(AND(OR(Dashboard!$D$4="Semua",D1751=Dashboard!$D$4),OR(Dashboard!$H$4="Semua",E1751=Dashboard!$H$4)),1,0)</f>
        <v>1</v>
      </c>
      <c r="V1751">
        <f>IF(U1751=1,IF(COUNTIFS($C$2:C1751,C1751,$U$2:U1751,1)=1,1,0),0)</f>
        <v>0</v>
      </c>
    </row>
    <row r="1752" spans="1:22" x14ac:dyDescent="0.35">
      <c r="A1752">
        <v>11751</v>
      </c>
      <c r="B1752" s="1">
        <v>46312</v>
      </c>
      <c r="C1752">
        <v>1006</v>
      </c>
      <c r="D1752" t="s">
        <v>67</v>
      </c>
      <c r="E1752" t="s">
        <v>78</v>
      </c>
      <c r="F1752">
        <v>1</v>
      </c>
      <c r="G1752" s="2">
        <v>338.53</v>
      </c>
      <c r="H1752">
        <v>0.04</v>
      </c>
      <c r="I1752" t="s">
        <v>71</v>
      </c>
      <c r="J1752">
        <v>9</v>
      </c>
      <c r="K1752">
        <v>1.2</v>
      </c>
      <c r="L1752" s="2">
        <v>324.99</v>
      </c>
      <c r="M1752">
        <v>2026</v>
      </c>
      <c r="N1752">
        <v>10</v>
      </c>
      <c r="O1752" t="s">
        <v>137</v>
      </c>
      <c r="P1752" s="2">
        <v>338.53</v>
      </c>
      <c r="Q1752" s="2">
        <v>13.54</v>
      </c>
      <c r="R1752" t="s">
        <v>75</v>
      </c>
      <c r="S1752">
        <v>1</v>
      </c>
      <c r="T1752">
        <v>0</v>
      </c>
      <c r="U1752">
        <f>IF(AND(OR(Dashboard!$D$4="Semua",D1752=Dashboard!$D$4),OR(Dashboard!$H$4="Semua",E1752=Dashboard!$H$4)),1,0)</f>
        <v>1</v>
      </c>
      <c r="V1752">
        <f>IF(U1752=1,IF(COUNTIFS($C$2:C1752,C1752,$U$2:U1752,1)=1,1,0),0)</f>
        <v>0</v>
      </c>
    </row>
    <row r="1753" spans="1:22" x14ac:dyDescent="0.35">
      <c r="A1753">
        <v>11752</v>
      </c>
      <c r="B1753" s="1">
        <v>46313</v>
      </c>
      <c r="C1753">
        <v>1329</v>
      </c>
      <c r="D1753" t="s">
        <v>67</v>
      </c>
      <c r="E1753" t="s">
        <v>74</v>
      </c>
      <c r="F1753">
        <v>5</v>
      </c>
      <c r="G1753" s="2">
        <v>394.5</v>
      </c>
      <c r="H1753">
        <v>0.06</v>
      </c>
      <c r="I1753" t="s">
        <v>68</v>
      </c>
      <c r="J1753">
        <v>7</v>
      </c>
      <c r="K1753">
        <v>1.4</v>
      </c>
      <c r="L1753" s="2">
        <v>1854.15</v>
      </c>
      <c r="M1753">
        <v>2026</v>
      </c>
      <c r="N1753">
        <v>10</v>
      </c>
      <c r="O1753" t="s">
        <v>137</v>
      </c>
      <c r="P1753" s="2">
        <v>1972.5</v>
      </c>
      <c r="Q1753" s="2">
        <v>118.35</v>
      </c>
      <c r="R1753" t="s">
        <v>69</v>
      </c>
      <c r="S1753">
        <v>1</v>
      </c>
      <c r="T1753">
        <v>0</v>
      </c>
      <c r="U1753">
        <f>IF(AND(OR(Dashboard!$D$4="Semua",D1753=Dashboard!$D$4),OR(Dashboard!$H$4="Semua",E1753=Dashboard!$H$4)),1,0)</f>
        <v>1</v>
      </c>
      <c r="V1753">
        <f>IF(U1753=1,IF(COUNTIFS($C$2:C1753,C1753,$U$2:U1753,1)=1,1,0),0)</f>
        <v>0</v>
      </c>
    </row>
    <row r="1754" spans="1:22" x14ac:dyDescent="0.35">
      <c r="A1754">
        <v>11753</v>
      </c>
      <c r="B1754" s="1">
        <v>46314</v>
      </c>
      <c r="C1754">
        <v>1774</v>
      </c>
      <c r="D1754" t="s">
        <v>62</v>
      </c>
      <c r="E1754" t="s">
        <v>63</v>
      </c>
      <c r="F1754">
        <v>4</v>
      </c>
      <c r="G1754" s="2">
        <v>243.26</v>
      </c>
      <c r="H1754">
        <v>0.3</v>
      </c>
      <c r="I1754" t="s">
        <v>64</v>
      </c>
      <c r="J1754">
        <v>11</v>
      </c>
      <c r="K1754">
        <v>1.8</v>
      </c>
      <c r="L1754" s="2">
        <v>681.13</v>
      </c>
      <c r="M1754">
        <v>2026</v>
      </c>
      <c r="N1754">
        <v>10</v>
      </c>
      <c r="O1754" t="s">
        <v>137</v>
      </c>
      <c r="P1754" s="2">
        <v>973.04</v>
      </c>
      <c r="Q1754" s="2">
        <v>291.91000000000003</v>
      </c>
      <c r="R1754" t="s">
        <v>66</v>
      </c>
      <c r="S1754">
        <v>1</v>
      </c>
      <c r="T1754">
        <v>0</v>
      </c>
      <c r="U1754">
        <f>IF(AND(OR(Dashboard!$D$4="Semua",D1754=Dashboard!$D$4),OR(Dashboard!$H$4="Semua",E1754=Dashboard!$H$4)),1,0)</f>
        <v>1</v>
      </c>
      <c r="V1754">
        <f>IF(U1754=1,IF(COUNTIFS($C$2:C1754,C1754,$U$2:U1754,1)=1,1,0),0)</f>
        <v>1</v>
      </c>
    </row>
    <row r="1755" spans="1:22" x14ac:dyDescent="0.35">
      <c r="A1755">
        <v>11754</v>
      </c>
      <c r="B1755" s="1">
        <v>46315</v>
      </c>
      <c r="C1755">
        <v>1672</v>
      </c>
      <c r="D1755" t="s">
        <v>80</v>
      </c>
      <c r="E1755" t="s">
        <v>78</v>
      </c>
      <c r="F1755">
        <v>4</v>
      </c>
      <c r="G1755" s="2">
        <v>306.64999999999998</v>
      </c>
      <c r="H1755">
        <v>0.3</v>
      </c>
      <c r="I1755" t="s">
        <v>68</v>
      </c>
      <c r="J1755">
        <v>10</v>
      </c>
      <c r="K1755">
        <v>1.2</v>
      </c>
      <c r="L1755" s="2">
        <v>858.62</v>
      </c>
      <c r="M1755">
        <v>2026</v>
      </c>
      <c r="N1755">
        <v>10</v>
      </c>
      <c r="O1755" t="s">
        <v>137</v>
      </c>
      <c r="P1755" s="2">
        <v>1226.5999999999999</v>
      </c>
      <c r="Q1755" s="2">
        <v>367.98</v>
      </c>
      <c r="R1755" t="s">
        <v>66</v>
      </c>
      <c r="S1755">
        <v>1</v>
      </c>
      <c r="T1755">
        <v>0</v>
      </c>
      <c r="U1755">
        <f>IF(AND(OR(Dashboard!$D$4="Semua",D1755=Dashboard!$D$4),OR(Dashboard!$H$4="Semua",E1755=Dashboard!$H$4)),1,0)</f>
        <v>1</v>
      </c>
      <c r="V1755">
        <f>IF(U1755=1,IF(COUNTIFS($C$2:C1755,C1755,$U$2:U1755,1)=1,1,0),0)</f>
        <v>0</v>
      </c>
    </row>
    <row r="1756" spans="1:22" x14ac:dyDescent="0.35">
      <c r="A1756">
        <v>11755</v>
      </c>
      <c r="B1756" s="1">
        <v>46316</v>
      </c>
      <c r="C1756">
        <v>1150</v>
      </c>
      <c r="D1756" t="s">
        <v>67</v>
      </c>
      <c r="E1756" t="s">
        <v>63</v>
      </c>
      <c r="F1756">
        <v>3</v>
      </c>
      <c r="G1756" s="2">
        <v>527.26</v>
      </c>
      <c r="H1756">
        <v>0.24</v>
      </c>
      <c r="I1756" t="s">
        <v>68</v>
      </c>
      <c r="J1756">
        <v>3</v>
      </c>
      <c r="K1756">
        <v>1.3</v>
      </c>
      <c r="L1756" s="2">
        <v>1202.1500000000001</v>
      </c>
      <c r="M1756">
        <v>2026</v>
      </c>
      <c r="N1756">
        <v>10</v>
      </c>
      <c r="O1756" t="s">
        <v>137</v>
      </c>
      <c r="P1756" s="2">
        <v>1581.78</v>
      </c>
      <c r="Q1756" s="2">
        <v>379.63</v>
      </c>
      <c r="R1756" t="s">
        <v>77</v>
      </c>
      <c r="S1756">
        <v>1</v>
      </c>
      <c r="T1756">
        <v>0</v>
      </c>
      <c r="U1756">
        <f>IF(AND(OR(Dashboard!$D$4="Semua",D1756=Dashboard!$D$4),OR(Dashboard!$H$4="Semua",E1756=Dashboard!$H$4)),1,0)</f>
        <v>1</v>
      </c>
      <c r="V1756">
        <f>IF(U1756=1,IF(COUNTIFS($C$2:C1756,C1756,$U$2:U1756,1)=1,1,0),0)</f>
        <v>0</v>
      </c>
    </row>
    <row r="1757" spans="1:22" x14ac:dyDescent="0.35">
      <c r="A1757">
        <v>11756</v>
      </c>
      <c r="B1757" s="1">
        <v>46317</v>
      </c>
      <c r="C1757">
        <v>1084</v>
      </c>
      <c r="D1757" t="s">
        <v>80</v>
      </c>
      <c r="E1757" t="s">
        <v>63</v>
      </c>
      <c r="F1757">
        <v>2</v>
      </c>
      <c r="G1757" s="2">
        <v>78.510000000000005</v>
      </c>
      <c r="H1757">
        <v>0.23</v>
      </c>
      <c r="I1757" t="s">
        <v>71</v>
      </c>
      <c r="J1757">
        <v>3</v>
      </c>
      <c r="K1757">
        <v>2.2000000000000002</v>
      </c>
      <c r="L1757" s="2">
        <v>120.91</v>
      </c>
      <c r="M1757">
        <v>2026</v>
      </c>
      <c r="N1757">
        <v>10</v>
      </c>
      <c r="O1757" t="s">
        <v>137</v>
      </c>
      <c r="P1757" s="2">
        <v>157.02000000000001</v>
      </c>
      <c r="Q1757" s="2">
        <v>36.11</v>
      </c>
      <c r="R1757" t="s">
        <v>77</v>
      </c>
      <c r="S1757">
        <v>1</v>
      </c>
      <c r="T1757">
        <v>0</v>
      </c>
      <c r="U1757">
        <f>IF(AND(OR(Dashboard!$D$4="Semua",D1757=Dashboard!$D$4),OR(Dashboard!$H$4="Semua",E1757=Dashboard!$H$4)),1,0)</f>
        <v>1</v>
      </c>
      <c r="V1757">
        <f>IF(U1757=1,IF(COUNTIFS($C$2:C1757,C1757,$U$2:U1757,1)=1,1,0),0)</f>
        <v>0</v>
      </c>
    </row>
    <row r="1758" spans="1:22" x14ac:dyDescent="0.35">
      <c r="A1758">
        <v>11757</v>
      </c>
      <c r="B1758" s="1">
        <v>46318</v>
      </c>
      <c r="C1758">
        <v>1146</v>
      </c>
      <c r="D1758" t="s">
        <v>62</v>
      </c>
      <c r="E1758" t="s">
        <v>74</v>
      </c>
      <c r="F1758">
        <v>2</v>
      </c>
      <c r="G1758" s="2">
        <v>478.16</v>
      </c>
      <c r="H1758">
        <v>0.21</v>
      </c>
      <c r="I1758" t="s">
        <v>71</v>
      </c>
      <c r="J1758">
        <v>2</v>
      </c>
      <c r="K1758">
        <v>1.4</v>
      </c>
      <c r="L1758" s="2">
        <v>755.49</v>
      </c>
      <c r="M1758">
        <v>2026</v>
      </c>
      <c r="N1758">
        <v>10</v>
      </c>
      <c r="O1758" t="s">
        <v>137</v>
      </c>
      <c r="P1758" s="2">
        <v>956.32</v>
      </c>
      <c r="Q1758" s="2">
        <v>200.83</v>
      </c>
      <c r="R1758" t="s">
        <v>77</v>
      </c>
      <c r="S1758">
        <v>1</v>
      </c>
      <c r="T1758">
        <v>0</v>
      </c>
      <c r="U1758">
        <f>IF(AND(OR(Dashboard!$D$4="Semua",D1758=Dashboard!$D$4),OR(Dashboard!$H$4="Semua",E1758=Dashboard!$H$4)),1,0)</f>
        <v>1</v>
      </c>
      <c r="V1758">
        <f>IF(U1758=1,IF(COUNTIFS($C$2:C1758,C1758,$U$2:U1758,1)=1,1,0),0)</f>
        <v>0</v>
      </c>
    </row>
    <row r="1759" spans="1:22" x14ac:dyDescent="0.35">
      <c r="A1759">
        <v>11758</v>
      </c>
      <c r="B1759" s="1">
        <v>46319</v>
      </c>
      <c r="C1759">
        <v>1623</v>
      </c>
      <c r="D1759" t="s">
        <v>73</v>
      </c>
      <c r="E1759" t="s">
        <v>74</v>
      </c>
      <c r="F1759">
        <v>2</v>
      </c>
      <c r="G1759" s="2">
        <v>114.89</v>
      </c>
      <c r="H1759">
        <v>7.0000000000000007E-2</v>
      </c>
      <c r="I1759" t="s">
        <v>68</v>
      </c>
      <c r="J1759">
        <v>1</v>
      </c>
      <c r="K1759">
        <v>4.2</v>
      </c>
      <c r="L1759" s="2">
        <v>213.7</v>
      </c>
      <c r="M1759">
        <v>2026</v>
      </c>
      <c r="N1759">
        <v>10</v>
      </c>
      <c r="O1759" t="s">
        <v>137</v>
      </c>
      <c r="P1759" s="2">
        <v>229.78</v>
      </c>
      <c r="Q1759" s="2">
        <v>16.079999999999998</v>
      </c>
      <c r="R1759" t="s">
        <v>69</v>
      </c>
      <c r="S1759">
        <v>1</v>
      </c>
      <c r="T1759">
        <v>0</v>
      </c>
      <c r="U1759">
        <f>IF(AND(OR(Dashboard!$D$4="Semua",D1759=Dashboard!$D$4),OR(Dashboard!$H$4="Semua",E1759=Dashboard!$H$4)),1,0)</f>
        <v>1</v>
      </c>
      <c r="V1759">
        <f>IF(U1759=1,IF(COUNTIFS($C$2:C1759,C1759,$U$2:U1759,1)=1,1,0),0)</f>
        <v>0</v>
      </c>
    </row>
    <row r="1760" spans="1:22" x14ac:dyDescent="0.35">
      <c r="A1760">
        <v>11759</v>
      </c>
      <c r="B1760" s="1">
        <v>46320</v>
      </c>
      <c r="C1760">
        <v>1380</v>
      </c>
      <c r="D1760" t="s">
        <v>62</v>
      </c>
      <c r="E1760" t="s">
        <v>63</v>
      </c>
      <c r="F1760">
        <v>6</v>
      </c>
      <c r="G1760" s="2">
        <v>36.47</v>
      </c>
      <c r="H1760">
        <v>0.15</v>
      </c>
      <c r="I1760" t="s">
        <v>68</v>
      </c>
      <c r="J1760">
        <v>2</v>
      </c>
      <c r="K1760">
        <v>1.2</v>
      </c>
      <c r="L1760" s="2">
        <v>186</v>
      </c>
      <c r="M1760">
        <v>2026</v>
      </c>
      <c r="N1760">
        <v>10</v>
      </c>
      <c r="O1760" t="s">
        <v>137</v>
      </c>
      <c r="P1760" s="2">
        <v>218.82</v>
      </c>
      <c r="Q1760" s="2">
        <v>32.82</v>
      </c>
      <c r="R1760" t="s">
        <v>79</v>
      </c>
      <c r="S1760">
        <v>1</v>
      </c>
      <c r="T1760">
        <v>0</v>
      </c>
      <c r="U1760">
        <f>IF(AND(OR(Dashboard!$D$4="Semua",D1760=Dashboard!$D$4),OR(Dashboard!$H$4="Semua",E1760=Dashboard!$H$4)),1,0)</f>
        <v>1</v>
      </c>
      <c r="V1760">
        <f>IF(U1760=1,IF(COUNTIFS($C$2:C1760,C1760,$U$2:U1760,1)=1,1,0),0)</f>
        <v>1</v>
      </c>
    </row>
    <row r="1761" spans="1:22" x14ac:dyDescent="0.35">
      <c r="A1761">
        <v>11760</v>
      </c>
      <c r="B1761" s="1">
        <v>46321</v>
      </c>
      <c r="C1761">
        <v>1914</v>
      </c>
      <c r="D1761" t="s">
        <v>73</v>
      </c>
      <c r="E1761" t="s">
        <v>78</v>
      </c>
      <c r="F1761">
        <v>7</v>
      </c>
      <c r="G1761" s="2">
        <v>123.56</v>
      </c>
      <c r="H1761">
        <v>0.24</v>
      </c>
      <c r="I1761" t="s">
        <v>71</v>
      </c>
      <c r="J1761">
        <v>5</v>
      </c>
      <c r="K1761">
        <v>4.5999999999999996</v>
      </c>
      <c r="L1761" s="2">
        <v>657.34</v>
      </c>
      <c r="M1761">
        <v>2026</v>
      </c>
      <c r="N1761">
        <v>10</v>
      </c>
      <c r="O1761" t="s">
        <v>137</v>
      </c>
      <c r="P1761" s="2">
        <v>864.92</v>
      </c>
      <c r="Q1761" s="2">
        <v>207.58</v>
      </c>
      <c r="R1761" t="s">
        <v>77</v>
      </c>
      <c r="S1761">
        <v>1</v>
      </c>
      <c r="T1761">
        <v>0</v>
      </c>
      <c r="U1761">
        <f>IF(AND(OR(Dashboard!$D$4="Semua",D1761=Dashboard!$D$4),OR(Dashboard!$H$4="Semua",E1761=Dashboard!$H$4)),1,0)</f>
        <v>1</v>
      </c>
      <c r="V1761">
        <f>IF(U1761=1,IF(COUNTIFS($C$2:C1761,C1761,$U$2:U1761,1)=1,1,0),0)</f>
        <v>0</v>
      </c>
    </row>
    <row r="1762" spans="1:22" x14ac:dyDescent="0.35">
      <c r="A1762">
        <v>11761</v>
      </c>
      <c r="B1762" s="1">
        <v>46322</v>
      </c>
      <c r="C1762">
        <v>1547</v>
      </c>
      <c r="D1762" t="s">
        <v>80</v>
      </c>
      <c r="E1762" t="s">
        <v>74</v>
      </c>
      <c r="F1762">
        <v>4</v>
      </c>
      <c r="G1762" s="2">
        <v>462.55</v>
      </c>
      <c r="H1762">
        <v>0.19</v>
      </c>
      <c r="I1762" t="s">
        <v>71</v>
      </c>
      <c r="J1762">
        <v>1</v>
      </c>
      <c r="K1762">
        <v>4.5</v>
      </c>
      <c r="L1762" s="2">
        <v>1498.66</v>
      </c>
      <c r="M1762">
        <v>2026</v>
      </c>
      <c r="N1762">
        <v>10</v>
      </c>
      <c r="O1762" t="s">
        <v>137</v>
      </c>
      <c r="P1762" s="2">
        <v>1850.2</v>
      </c>
      <c r="Q1762" s="2">
        <v>351.54</v>
      </c>
      <c r="R1762" t="s">
        <v>76</v>
      </c>
      <c r="S1762">
        <v>1</v>
      </c>
      <c r="T1762">
        <v>0</v>
      </c>
      <c r="U1762">
        <f>IF(AND(OR(Dashboard!$D$4="Semua",D1762=Dashboard!$D$4),OR(Dashboard!$H$4="Semua",E1762=Dashboard!$H$4)),1,0)</f>
        <v>1</v>
      </c>
      <c r="V1762">
        <f>IF(U1762=1,IF(COUNTIFS($C$2:C1762,C1762,$U$2:U1762,1)=1,1,0),0)</f>
        <v>0</v>
      </c>
    </row>
    <row r="1763" spans="1:22" x14ac:dyDescent="0.35">
      <c r="A1763">
        <v>11762</v>
      </c>
      <c r="B1763" s="1">
        <v>46323</v>
      </c>
      <c r="C1763">
        <v>1284</v>
      </c>
      <c r="D1763" t="s">
        <v>73</v>
      </c>
      <c r="E1763" t="s">
        <v>63</v>
      </c>
      <c r="F1763">
        <v>2</v>
      </c>
      <c r="G1763" s="2">
        <v>252</v>
      </c>
      <c r="H1763">
        <v>0.01</v>
      </c>
      <c r="I1763" t="s">
        <v>71</v>
      </c>
      <c r="J1763">
        <v>10</v>
      </c>
      <c r="K1763">
        <v>1.8</v>
      </c>
      <c r="L1763" s="2">
        <v>498.96</v>
      </c>
      <c r="M1763">
        <v>2026</v>
      </c>
      <c r="N1763">
        <v>10</v>
      </c>
      <c r="O1763" t="s">
        <v>137</v>
      </c>
      <c r="P1763" s="2">
        <v>504</v>
      </c>
      <c r="Q1763" s="2">
        <v>5.04</v>
      </c>
      <c r="R1763" t="s">
        <v>75</v>
      </c>
      <c r="S1763">
        <v>1</v>
      </c>
      <c r="T1763">
        <v>0</v>
      </c>
      <c r="U1763">
        <f>IF(AND(OR(Dashboard!$D$4="Semua",D1763=Dashboard!$D$4),OR(Dashboard!$H$4="Semua",E1763=Dashboard!$H$4)),1,0)</f>
        <v>1</v>
      </c>
      <c r="V1763">
        <f>IF(U1763=1,IF(COUNTIFS($C$2:C1763,C1763,$U$2:U1763,1)=1,1,0),0)</f>
        <v>0</v>
      </c>
    </row>
    <row r="1764" spans="1:22" x14ac:dyDescent="0.35">
      <c r="A1764">
        <v>11763</v>
      </c>
      <c r="B1764" s="1">
        <v>46324</v>
      </c>
      <c r="C1764">
        <v>1699</v>
      </c>
      <c r="D1764" t="s">
        <v>73</v>
      </c>
      <c r="E1764" t="s">
        <v>70</v>
      </c>
      <c r="F1764">
        <v>4</v>
      </c>
      <c r="G1764" s="2">
        <v>525.41999999999996</v>
      </c>
      <c r="H1764">
        <v>0.33</v>
      </c>
      <c r="I1764" t="s">
        <v>71</v>
      </c>
      <c r="J1764">
        <v>4</v>
      </c>
      <c r="K1764">
        <v>1.3</v>
      </c>
      <c r="L1764" s="2">
        <v>1408.13</v>
      </c>
      <c r="M1764">
        <v>2026</v>
      </c>
      <c r="N1764">
        <v>10</v>
      </c>
      <c r="O1764" t="s">
        <v>137</v>
      </c>
      <c r="P1764" s="2">
        <v>2101.6799999999998</v>
      </c>
      <c r="Q1764" s="2">
        <v>693.55</v>
      </c>
      <c r="R1764" t="s">
        <v>72</v>
      </c>
      <c r="S1764">
        <v>1</v>
      </c>
      <c r="T1764">
        <v>0</v>
      </c>
      <c r="U1764">
        <f>IF(AND(OR(Dashboard!$D$4="Semua",D1764=Dashboard!$D$4),OR(Dashboard!$H$4="Semua",E1764=Dashboard!$H$4)),1,0)</f>
        <v>1</v>
      </c>
      <c r="V1764">
        <f>IF(U1764=1,IF(COUNTIFS($C$2:C1764,C1764,$U$2:U1764,1)=1,1,0),0)</f>
        <v>0</v>
      </c>
    </row>
    <row r="1765" spans="1:22" x14ac:dyDescent="0.35">
      <c r="A1765">
        <v>11764</v>
      </c>
      <c r="B1765" s="1">
        <v>46325</v>
      </c>
      <c r="C1765">
        <v>1081</v>
      </c>
      <c r="D1765" t="s">
        <v>67</v>
      </c>
      <c r="E1765" t="s">
        <v>70</v>
      </c>
      <c r="F1765">
        <v>3</v>
      </c>
      <c r="G1765" s="2">
        <v>321.95</v>
      </c>
      <c r="H1765">
        <v>0.3</v>
      </c>
      <c r="I1765" t="s">
        <v>68</v>
      </c>
      <c r="J1765">
        <v>11</v>
      </c>
      <c r="K1765">
        <v>1.4</v>
      </c>
      <c r="L1765" s="2">
        <v>676.09</v>
      </c>
      <c r="M1765">
        <v>2026</v>
      </c>
      <c r="N1765">
        <v>10</v>
      </c>
      <c r="O1765" t="s">
        <v>137</v>
      </c>
      <c r="P1765" s="2">
        <v>965.85</v>
      </c>
      <c r="Q1765" s="2">
        <v>289.76</v>
      </c>
      <c r="R1765" t="s">
        <v>66</v>
      </c>
      <c r="S1765">
        <v>1</v>
      </c>
      <c r="T1765">
        <v>0</v>
      </c>
      <c r="U1765">
        <f>IF(AND(OR(Dashboard!$D$4="Semua",D1765=Dashboard!$D$4),OR(Dashboard!$H$4="Semua",E1765=Dashboard!$H$4)),1,0)</f>
        <v>1</v>
      </c>
      <c r="V1765">
        <f>IF(U1765=1,IF(COUNTIFS($C$2:C1765,C1765,$U$2:U1765,1)=1,1,0),0)</f>
        <v>1</v>
      </c>
    </row>
    <row r="1766" spans="1:22" x14ac:dyDescent="0.35">
      <c r="A1766">
        <v>11765</v>
      </c>
      <c r="B1766" s="1">
        <v>46326</v>
      </c>
      <c r="C1766">
        <v>1513</v>
      </c>
      <c r="D1766" t="s">
        <v>67</v>
      </c>
      <c r="E1766" t="s">
        <v>74</v>
      </c>
      <c r="F1766">
        <v>1</v>
      </c>
      <c r="G1766" s="2">
        <v>28.02</v>
      </c>
      <c r="H1766">
        <v>0.09</v>
      </c>
      <c r="I1766" t="s">
        <v>64</v>
      </c>
      <c r="J1766">
        <v>10</v>
      </c>
      <c r="K1766">
        <v>3.2</v>
      </c>
      <c r="L1766" s="2">
        <v>25.5</v>
      </c>
      <c r="M1766">
        <v>2026</v>
      </c>
      <c r="N1766">
        <v>10</v>
      </c>
      <c r="O1766" t="s">
        <v>137</v>
      </c>
      <c r="P1766" s="2">
        <v>28.02</v>
      </c>
      <c r="Q1766" s="2">
        <v>2.52</v>
      </c>
      <c r="R1766" t="s">
        <v>69</v>
      </c>
      <c r="S1766">
        <v>1</v>
      </c>
      <c r="T1766">
        <v>0</v>
      </c>
      <c r="U1766">
        <f>IF(AND(OR(Dashboard!$D$4="Semua",D1766=Dashboard!$D$4),OR(Dashboard!$H$4="Semua",E1766=Dashboard!$H$4)),1,0)</f>
        <v>1</v>
      </c>
      <c r="V1766">
        <f>IF(U1766=1,IF(COUNTIFS($C$2:C1766,C1766,$U$2:U1766,1)=1,1,0),0)</f>
        <v>1</v>
      </c>
    </row>
    <row r="1767" spans="1:22" x14ac:dyDescent="0.35">
      <c r="A1767">
        <v>11766</v>
      </c>
      <c r="B1767" s="1">
        <v>46327</v>
      </c>
      <c r="C1767">
        <v>1896</v>
      </c>
      <c r="D1767" t="s">
        <v>67</v>
      </c>
      <c r="E1767" t="s">
        <v>78</v>
      </c>
      <c r="F1767">
        <v>7</v>
      </c>
      <c r="G1767" s="2">
        <v>434.28</v>
      </c>
      <c r="H1767">
        <v>0.22</v>
      </c>
      <c r="I1767" t="s">
        <v>64</v>
      </c>
      <c r="J1767">
        <v>10</v>
      </c>
      <c r="K1767">
        <v>3.4</v>
      </c>
      <c r="L1767" s="2">
        <v>2371.17</v>
      </c>
      <c r="M1767">
        <v>2026</v>
      </c>
      <c r="N1767">
        <v>11</v>
      </c>
      <c r="O1767" t="s">
        <v>138</v>
      </c>
      <c r="P1767" s="2">
        <v>3039.96</v>
      </c>
      <c r="Q1767" s="2">
        <v>668.79</v>
      </c>
      <c r="R1767" t="s">
        <v>77</v>
      </c>
      <c r="S1767">
        <v>1</v>
      </c>
      <c r="T1767">
        <v>0</v>
      </c>
      <c r="U1767">
        <f>IF(AND(OR(Dashboard!$D$4="Semua",D1767=Dashboard!$D$4),OR(Dashboard!$H$4="Semua",E1767=Dashboard!$H$4)),1,0)</f>
        <v>1</v>
      </c>
      <c r="V1767">
        <f>IF(U1767=1,IF(COUNTIFS($C$2:C1767,C1767,$U$2:U1767,1)=1,1,0),0)</f>
        <v>0</v>
      </c>
    </row>
    <row r="1768" spans="1:22" x14ac:dyDescent="0.35">
      <c r="A1768">
        <v>11767</v>
      </c>
      <c r="B1768" s="1">
        <v>46328</v>
      </c>
      <c r="C1768">
        <v>1814</v>
      </c>
      <c r="D1768" t="s">
        <v>73</v>
      </c>
      <c r="E1768" t="s">
        <v>70</v>
      </c>
      <c r="F1768">
        <v>6</v>
      </c>
      <c r="G1768" s="2">
        <v>79.489999999999995</v>
      </c>
      <c r="H1768">
        <v>0.32</v>
      </c>
      <c r="I1768" t="s">
        <v>68</v>
      </c>
      <c r="J1768">
        <v>1</v>
      </c>
      <c r="K1768">
        <v>2.2999999999999998</v>
      </c>
      <c r="L1768" s="2">
        <v>324.32</v>
      </c>
      <c r="M1768">
        <v>2026</v>
      </c>
      <c r="N1768">
        <v>11</v>
      </c>
      <c r="O1768" t="s">
        <v>138</v>
      </c>
      <c r="P1768" s="2">
        <v>476.94</v>
      </c>
      <c r="Q1768" s="2">
        <v>152.62</v>
      </c>
      <c r="R1768" t="s">
        <v>72</v>
      </c>
      <c r="S1768">
        <v>1</v>
      </c>
      <c r="T1768">
        <v>0</v>
      </c>
      <c r="U1768">
        <f>IF(AND(OR(Dashboard!$D$4="Semua",D1768=Dashboard!$D$4),OR(Dashboard!$H$4="Semua",E1768=Dashboard!$H$4)),1,0)</f>
        <v>1</v>
      </c>
      <c r="V1768">
        <f>IF(U1768=1,IF(COUNTIFS($C$2:C1768,C1768,$U$2:U1768,1)=1,1,0),0)</f>
        <v>0</v>
      </c>
    </row>
    <row r="1769" spans="1:22" x14ac:dyDescent="0.35">
      <c r="A1769">
        <v>11768</v>
      </c>
      <c r="B1769" s="1">
        <v>46329</v>
      </c>
      <c r="C1769">
        <v>1708</v>
      </c>
      <c r="D1769" t="s">
        <v>67</v>
      </c>
      <c r="E1769" t="s">
        <v>70</v>
      </c>
      <c r="F1769">
        <v>5</v>
      </c>
      <c r="G1769" s="2">
        <v>476.79</v>
      </c>
      <c r="H1769">
        <v>0.03</v>
      </c>
      <c r="I1769" t="s">
        <v>68</v>
      </c>
      <c r="J1769">
        <v>10</v>
      </c>
      <c r="K1769">
        <v>2.2000000000000002</v>
      </c>
      <c r="L1769" s="2">
        <v>2312.4299999999998</v>
      </c>
      <c r="M1769">
        <v>2026</v>
      </c>
      <c r="N1769">
        <v>11</v>
      </c>
      <c r="O1769" t="s">
        <v>138</v>
      </c>
      <c r="P1769" s="2">
        <v>2383.9499999999998</v>
      </c>
      <c r="Q1769" s="2">
        <v>71.52</v>
      </c>
      <c r="R1769" t="s">
        <v>75</v>
      </c>
      <c r="S1769">
        <v>1</v>
      </c>
      <c r="T1769">
        <v>0</v>
      </c>
      <c r="U1769">
        <f>IF(AND(OR(Dashboard!$D$4="Semua",D1769=Dashboard!$D$4),OR(Dashboard!$H$4="Semua",E1769=Dashboard!$H$4)),1,0)</f>
        <v>1</v>
      </c>
      <c r="V1769">
        <f>IF(U1769=1,IF(COUNTIFS($C$2:C1769,C1769,$U$2:U1769,1)=1,1,0),0)</f>
        <v>0</v>
      </c>
    </row>
    <row r="1770" spans="1:22" x14ac:dyDescent="0.35">
      <c r="A1770">
        <v>11769</v>
      </c>
      <c r="B1770" s="1">
        <v>46330</v>
      </c>
      <c r="C1770">
        <v>1915</v>
      </c>
      <c r="D1770" t="s">
        <v>62</v>
      </c>
      <c r="E1770" t="s">
        <v>70</v>
      </c>
      <c r="F1770">
        <v>3</v>
      </c>
      <c r="G1770" s="2">
        <v>113.34</v>
      </c>
      <c r="H1770">
        <v>0.18</v>
      </c>
      <c r="I1770" t="s">
        <v>68</v>
      </c>
      <c r="J1770">
        <v>8</v>
      </c>
      <c r="K1770">
        <v>3.1</v>
      </c>
      <c r="L1770" s="2">
        <v>278.82</v>
      </c>
      <c r="M1770">
        <v>2026</v>
      </c>
      <c r="N1770">
        <v>11</v>
      </c>
      <c r="O1770" t="s">
        <v>138</v>
      </c>
      <c r="P1770" s="2">
        <v>340.02</v>
      </c>
      <c r="Q1770" s="2">
        <v>61.2</v>
      </c>
      <c r="R1770" t="s">
        <v>76</v>
      </c>
      <c r="S1770">
        <v>1</v>
      </c>
      <c r="T1770">
        <v>0</v>
      </c>
      <c r="U1770">
        <f>IF(AND(OR(Dashboard!$D$4="Semua",D1770=Dashboard!$D$4),OR(Dashboard!$H$4="Semua",E1770=Dashboard!$H$4)),1,0)</f>
        <v>1</v>
      </c>
      <c r="V1770">
        <f>IF(U1770=1,IF(COUNTIFS($C$2:C1770,C1770,$U$2:U1770,1)=1,1,0),0)</f>
        <v>0</v>
      </c>
    </row>
    <row r="1771" spans="1:22" x14ac:dyDescent="0.35">
      <c r="A1771">
        <v>11770</v>
      </c>
      <c r="B1771" s="1">
        <v>46331</v>
      </c>
      <c r="C1771">
        <v>1522</v>
      </c>
      <c r="D1771" t="s">
        <v>67</v>
      </c>
      <c r="E1771" t="s">
        <v>78</v>
      </c>
      <c r="F1771">
        <v>7</v>
      </c>
      <c r="G1771" s="2">
        <v>217.09</v>
      </c>
      <c r="H1771">
        <v>0.16</v>
      </c>
      <c r="I1771" t="s">
        <v>71</v>
      </c>
      <c r="J1771">
        <v>5</v>
      </c>
      <c r="K1771">
        <v>2.2000000000000002</v>
      </c>
      <c r="L1771" s="2">
        <v>1276.49</v>
      </c>
      <c r="M1771">
        <v>2026</v>
      </c>
      <c r="N1771">
        <v>11</v>
      </c>
      <c r="O1771" t="s">
        <v>138</v>
      </c>
      <c r="P1771" s="2">
        <v>1519.63</v>
      </c>
      <c r="Q1771" s="2">
        <v>243.14</v>
      </c>
      <c r="R1771" t="s">
        <v>76</v>
      </c>
      <c r="S1771">
        <v>1</v>
      </c>
      <c r="T1771">
        <v>0</v>
      </c>
      <c r="U1771">
        <f>IF(AND(OR(Dashboard!$D$4="Semua",D1771=Dashboard!$D$4),OR(Dashboard!$H$4="Semua",E1771=Dashboard!$H$4)),1,0)</f>
        <v>1</v>
      </c>
      <c r="V1771">
        <f>IF(U1771=1,IF(COUNTIFS($C$2:C1771,C1771,$U$2:U1771,1)=1,1,0),0)</f>
        <v>1</v>
      </c>
    </row>
    <row r="1772" spans="1:22" x14ac:dyDescent="0.35">
      <c r="A1772">
        <v>11771</v>
      </c>
      <c r="B1772" s="1">
        <v>46332</v>
      </c>
      <c r="C1772">
        <v>1745</v>
      </c>
      <c r="D1772" t="s">
        <v>73</v>
      </c>
      <c r="E1772" t="s">
        <v>78</v>
      </c>
      <c r="F1772">
        <v>4</v>
      </c>
      <c r="G1772" s="2">
        <v>460.34</v>
      </c>
      <c r="H1772">
        <v>0.14000000000000001</v>
      </c>
      <c r="I1772" t="s">
        <v>64</v>
      </c>
      <c r="J1772">
        <v>10</v>
      </c>
      <c r="K1772">
        <v>4.7</v>
      </c>
      <c r="L1772" s="2">
        <v>1583.57</v>
      </c>
      <c r="M1772">
        <v>2026</v>
      </c>
      <c r="N1772">
        <v>11</v>
      </c>
      <c r="O1772" t="s">
        <v>138</v>
      </c>
      <c r="P1772" s="2">
        <v>1841.36</v>
      </c>
      <c r="Q1772" s="2">
        <v>257.79000000000002</v>
      </c>
      <c r="R1772" t="s">
        <v>79</v>
      </c>
      <c r="S1772">
        <v>1</v>
      </c>
      <c r="T1772">
        <v>0</v>
      </c>
      <c r="U1772">
        <f>IF(AND(OR(Dashboard!$D$4="Semua",D1772=Dashboard!$D$4),OR(Dashboard!$H$4="Semua",E1772=Dashboard!$H$4)),1,0)</f>
        <v>1</v>
      </c>
      <c r="V1772">
        <f>IF(U1772=1,IF(COUNTIFS($C$2:C1772,C1772,$U$2:U1772,1)=1,1,0),0)</f>
        <v>1</v>
      </c>
    </row>
    <row r="1773" spans="1:22" x14ac:dyDescent="0.35">
      <c r="A1773">
        <v>11772</v>
      </c>
      <c r="B1773" s="1">
        <v>46333</v>
      </c>
      <c r="C1773">
        <v>1385</v>
      </c>
      <c r="D1773" t="s">
        <v>67</v>
      </c>
      <c r="E1773" t="s">
        <v>74</v>
      </c>
      <c r="F1773">
        <v>3</v>
      </c>
      <c r="G1773" s="2">
        <v>573.23</v>
      </c>
      <c r="H1773">
        <v>0.28999999999999998</v>
      </c>
      <c r="I1773" t="s">
        <v>71</v>
      </c>
      <c r="J1773">
        <v>4</v>
      </c>
      <c r="K1773">
        <v>2.5</v>
      </c>
      <c r="L1773" s="2">
        <v>1220.98</v>
      </c>
      <c r="M1773">
        <v>2026</v>
      </c>
      <c r="N1773">
        <v>11</v>
      </c>
      <c r="O1773" t="s">
        <v>138</v>
      </c>
      <c r="P1773" s="2">
        <v>1719.69</v>
      </c>
      <c r="Q1773" s="2">
        <v>498.71</v>
      </c>
      <c r="R1773" t="s">
        <v>66</v>
      </c>
      <c r="S1773">
        <v>1</v>
      </c>
      <c r="T1773">
        <v>0</v>
      </c>
      <c r="U1773">
        <f>IF(AND(OR(Dashboard!$D$4="Semua",D1773=Dashboard!$D$4),OR(Dashboard!$H$4="Semua",E1773=Dashboard!$H$4)),1,0)</f>
        <v>1</v>
      </c>
      <c r="V1773">
        <f>IF(U1773=1,IF(COUNTIFS($C$2:C1773,C1773,$U$2:U1773,1)=1,1,0),0)</f>
        <v>0</v>
      </c>
    </row>
    <row r="1774" spans="1:22" x14ac:dyDescent="0.35">
      <c r="A1774">
        <v>11773</v>
      </c>
      <c r="B1774" s="1">
        <v>46334</v>
      </c>
      <c r="C1774">
        <v>1706</v>
      </c>
      <c r="D1774" t="s">
        <v>73</v>
      </c>
      <c r="E1774" t="s">
        <v>74</v>
      </c>
      <c r="F1774">
        <v>5</v>
      </c>
      <c r="G1774" s="2">
        <v>232.29</v>
      </c>
      <c r="H1774">
        <v>0.13</v>
      </c>
      <c r="I1774" t="s">
        <v>64</v>
      </c>
      <c r="J1774">
        <v>3</v>
      </c>
      <c r="K1774">
        <v>1.9</v>
      </c>
      <c r="L1774" s="2">
        <v>1010.46</v>
      </c>
      <c r="M1774">
        <v>2026</v>
      </c>
      <c r="N1774">
        <v>11</v>
      </c>
      <c r="O1774" t="s">
        <v>138</v>
      </c>
      <c r="P1774" s="2">
        <v>1161.45</v>
      </c>
      <c r="Q1774" s="2">
        <v>150.99</v>
      </c>
      <c r="R1774" t="s">
        <v>79</v>
      </c>
      <c r="S1774">
        <v>1</v>
      </c>
      <c r="T1774">
        <v>0</v>
      </c>
      <c r="U1774">
        <f>IF(AND(OR(Dashboard!$D$4="Semua",D1774=Dashboard!$D$4),OR(Dashboard!$H$4="Semua",E1774=Dashboard!$H$4)),1,0)</f>
        <v>1</v>
      </c>
      <c r="V1774">
        <f>IF(U1774=1,IF(COUNTIFS($C$2:C1774,C1774,$U$2:U1774,1)=1,1,0),0)</f>
        <v>1</v>
      </c>
    </row>
    <row r="1775" spans="1:22" x14ac:dyDescent="0.35">
      <c r="A1775">
        <v>11774</v>
      </c>
      <c r="B1775" s="1">
        <v>46335</v>
      </c>
      <c r="C1775">
        <v>1470</v>
      </c>
      <c r="D1775" t="s">
        <v>80</v>
      </c>
      <c r="E1775" t="s">
        <v>70</v>
      </c>
      <c r="F1775">
        <v>7</v>
      </c>
      <c r="G1775" s="2">
        <v>500.2</v>
      </c>
      <c r="H1775">
        <v>0.02</v>
      </c>
      <c r="I1775" t="s">
        <v>68</v>
      </c>
      <c r="J1775">
        <v>9</v>
      </c>
      <c r="K1775">
        <v>1.6</v>
      </c>
      <c r="L1775" s="2">
        <v>3431.37</v>
      </c>
      <c r="M1775">
        <v>2026</v>
      </c>
      <c r="N1775">
        <v>11</v>
      </c>
      <c r="O1775" t="s">
        <v>138</v>
      </c>
      <c r="P1775" s="2">
        <v>3501.4</v>
      </c>
      <c r="Q1775" s="2">
        <v>70.03</v>
      </c>
      <c r="R1775" t="s">
        <v>75</v>
      </c>
      <c r="S1775">
        <v>1</v>
      </c>
      <c r="T1775">
        <v>1</v>
      </c>
      <c r="U1775">
        <f>IF(AND(OR(Dashboard!$D$4="Semua",D1775=Dashboard!$D$4),OR(Dashboard!$H$4="Semua",E1775=Dashboard!$H$4)),1,0)</f>
        <v>1</v>
      </c>
      <c r="V1775">
        <f>IF(U1775=1,IF(COUNTIFS($C$2:C1775,C1775,$U$2:U1775,1)=1,1,0),0)</f>
        <v>0</v>
      </c>
    </row>
    <row r="1776" spans="1:22" x14ac:dyDescent="0.35">
      <c r="A1776">
        <v>11775</v>
      </c>
      <c r="B1776" s="1">
        <v>46336</v>
      </c>
      <c r="C1776">
        <v>1118</v>
      </c>
      <c r="D1776" t="s">
        <v>80</v>
      </c>
      <c r="E1776" t="s">
        <v>78</v>
      </c>
      <c r="F1776">
        <v>6</v>
      </c>
      <c r="G1776" s="2">
        <v>126.61</v>
      </c>
      <c r="H1776">
        <v>0.02</v>
      </c>
      <c r="I1776" t="s">
        <v>71</v>
      </c>
      <c r="J1776">
        <v>6</v>
      </c>
      <c r="K1776">
        <v>3.5</v>
      </c>
      <c r="L1776" s="2">
        <v>744.47</v>
      </c>
      <c r="M1776">
        <v>2026</v>
      </c>
      <c r="N1776">
        <v>11</v>
      </c>
      <c r="O1776" t="s">
        <v>138</v>
      </c>
      <c r="P1776" s="2">
        <v>759.66</v>
      </c>
      <c r="Q1776" s="2">
        <v>15.19</v>
      </c>
      <c r="R1776" t="s">
        <v>75</v>
      </c>
      <c r="S1776">
        <v>1</v>
      </c>
      <c r="T1776">
        <v>0</v>
      </c>
      <c r="U1776">
        <f>IF(AND(OR(Dashboard!$D$4="Semua",D1776=Dashboard!$D$4),OR(Dashboard!$H$4="Semua",E1776=Dashboard!$H$4)),1,0)</f>
        <v>1</v>
      </c>
      <c r="V1776">
        <f>IF(U1776=1,IF(COUNTIFS($C$2:C1776,C1776,$U$2:U1776,1)=1,1,0),0)</f>
        <v>0</v>
      </c>
    </row>
    <row r="1777" spans="1:22" x14ac:dyDescent="0.35">
      <c r="A1777">
        <v>11776</v>
      </c>
      <c r="B1777" s="1">
        <v>46337</v>
      </c>
      <c r="C1777">
        <v>1395</v>
      </c>
      <c r="D1777" t="s">
        <v>67</v>
      </c>
      <c r="E1777" t="s">
        <v>63</v>
      </c>
      <c r="F1777">
        <v>1</v>
      </c>
      <c r="G1777" s="2">
        <v>487.2</v>
      </c>
      <c r="H1777">
        <v>0.01</v>
      </c>
      <c r="I1777" t="s">
        <v>68</v>
      </c>
      <c r="J1777">
        <v>1</v>
      </c>
      <c r="K1777">
        <v>2.2999999999999998</v>
      </c>
      <c r="L1777" s="2">
        <v>482.33</v>
      </c>
      <c r="M1777">
        <v>2026</v>
      </c>
      <c r="N1777">
        <v>11</v>
      </c>
      <c r="O1777" t="s">
        <v>138</v>
      </c>
      <c r="P1777" s="2">
        <v>487.2</v>
      </c>
      <c r="Q1777" s="2">
        <v>4.87</v>
      </c>
      <c r="R1777" t="s">
        <v>75</v>
      </c>
      <c r="S1777">
        <v>1</v>
      </c>
      <c r="T1777">
        <v>0</v>
      </c>
      <c r="U1777">
        <f>IF(AND(OR(Dashboard!$D$4="Semua",D1777=Dashboard!$D$4),OR(Dashboard!$H$4="Semua",E1777=Dashboard!$H$4)),1,0)</f>
        <v>1</v>
      </c>
      <c r="V1777">
        <f>IF(U1777=1,IF(COUNTIFS($C$2:C1777,C1777,$U$2:U1777,1)=1,1,0),0)</f>
        <v>0</v>
      </c>
    </row>
    <row r="1778" spans="1:22" x14ac:dyDescent="0.35">
      <c r="A1778">
        <v>11777</v>
      </c>
      <c r="B1778" s="1">
        <v>46338</v>
      </c>
      <c r="C1778">
        <v>1531</v>
      </c>
      <c r="D1778" t="s">
        <v>67</v>
      </c>
      <c r="E1778" t="s">
        <v>70</v>
      </c>
      <c r="F1778">
        <v>5</v>
      </c>
      <c r="G1778" s="2">
        <v>399.63</v>
      </c>
      <c r="H1778">
        <v>0.14000000000000001</v>
      </c>
      <c r="I1778" t="s">
        <v>68</v>
      </c>
      <c r="J1778">
        <v>8</v>
      </c>
      <c r="K1778">
        <v>1.8</v>
      </c>
      <c r="L1778" s="2">
        <v>1718.41</v>
      </c>
      <c r="M1778">
        <v>2026</v>
      </c>
      <c r="N1778">
        <v>11</v>
      </c>
      <c r="O1778" t="s">
        <v>138</v>
      </c>
      <c r="P1778" s="2">
        <v>1998.15</v>
      </c>
      <c r="Q1778" s="2">
        <v>279.74</v>
      </c>
      <c r="R1778" t="s">
        <v>79</v>
      </c>
      <c r="S1778">
        <v>1</v>
      </c>
      <c r="T1778">
        <v>0</v>
      </c>
      <c r="U1778">
        <f>IF(AND(OR(Dashboard!$D$4="Semua",D1778=Dashboard!$D$4),OR(Dashboard!$H$4="Semua",E1778=Dashboard!$H$4)),1,0)</f>
        <v>1</v>
      </c>
      <c r="V1778">
        <f>IF(U1778=1,IF(COUNTIFS($C$2:C1778,C1778,$U$2:U1778,1)=1,1,0),0)</f>
        <v>0</v>
      </c>
    </row>
    <row r="1779" spans="1:22" x14ac:dyDescent="0.35">
      <c r="A1779">
        <v>11778</v>
      </c>
      <c r="B1779" s="1">
        <v>46339</v>
      </c>
      <c r="C1779">
        <v>1260</v>
      </c>
      <c r="D1779" t="s">
        <v>80</v>
      </c>
      <c r="E1779" t="s">
        <v>74</v>
      </c>
      <c r="F1779">
        <v>7</v>
      </c>
      <c r="G1779" s="2">
        <v>127.75</v>
      </c>
      <c r="H1779">
        <v>0.25</v>
      </c>
      <c r="I1779" t="s">
        <v>71</v>
      </c>
      <c r="J1779">
        <v>10</v>
      </c>
      <c r="K1779">
        <v>2.1</v>
      </c>
      <c r="L1779" s="2">
        <v>670.69</v>
      </c>
      <c r="M1779">
        <v>2026</v>
      </c>
      <c r="N1779">
        <v>11</v>
      </c>
      <c r="O1779" t="s">
        <v>138</v>
      </c>
      <c r="P1779" s="2">
        <v>894.25</v>
      </c>
      <c r="Q1779" s="2">
        <v>223.56</v>
      </c>
      <c r="R1779" t="s">
        <v>77</v>
      </c>
      <c r="S1779">
        <v>1</v>
      </c>
      <c r="T1779">
        <v>0</v>
      </c>
      <c r="U1779">
        <f>IF(AND(OR(Dashboard!$D$4="Semua",D1779=Dashboard!$D$4),OR(Dashboard!$H$4="Semua",E1779=Dashboard!$H$4)),1,0)</f>
        <v>1</v>
      </c>
      <c r="V1779">
        <f>IF(U1779=1,IF(COUNTIFS($C$2:C1779,C1779,$U$2:U1779,1)=1,1,0),0)</f>
        <v>0</v>
      </c>
    </row>
    <row r="1780" spans="1:22" x14ac:dyDescent="0.35">
      <c r="A1780">
        <v>11779</v>
      </c>
      <c r="B1780" s="1">
        <v>46340</v>
      </c>
      <c r="C1780">
        <v>1804</v>
      </c>
      <c r="D1780" t="s">
        <v>67</v>
      </c>
      <c r="E1780" t="s">
        <v>78</v>
      </c>
      <c r="F1780">
        <v>6</v>
      </c>
      <c r="G1780" s="2">
        <v>191.96</v>
      </c>
      <c r="H1780">
        <v>7.0000000000000007E-2</v>
      </c>
      <c r="I1780" t="s">
        <v>68</v>
      </c>
      <c r="J1780">
        <v>2</v>
      </c>
      <c r="K1780">
        <v>2.2000000000000002</v>
      </c>
      <c r="L1780" s="2">
        <v>1071.1400000000001</v>
      </c>
      <c r="M1780">
        <v>2026</v>
      </c>
      <c r="N1780">
        <v>11</v>
      </c>
      <c r="O1780" t="s">
        <v>138</v>
      </c>
      <c r="P1780" s="2">
        <v>1151.76</v>
      </c>
      <c r="Q1780" s="2">
        <v>80.62</v>
      </c>
      <c r="R1780" t="s">
        <v>69</v>
      </c>
      <c r="S1780">
        <v>1</v>
      </c>
      <c r="T1780">
        <v>0</v>
      </c>
      <c r="U1780">
        <f>IF(AND(OR(Dashboard!$D$4="Semua",D1780=Dashboard!$D$4),OR(Dashboard!$H$4="Semua",E1780=Dashboard!$H$4)),1,0)</f>
        <v>1</v>
      </c>
      <c r="V1780">
        <f>IF(U1780=1,IF(COUNTIFS($C$2:C1780,C1780,$U$2:U1780,1)=1,1,0),0)</f>
        <v>0</v>
      </c>
    </row>
    <row r="1781" spans="1:22" x14ac:dyDescent="0.35">
      <c r="A1781">
        <v>11780</v>
      </c>
      <c r="B1781" s="1">
        <v>46341</v>
      </c>
      <c r="C1781">
        <v>1933</v>
      </c>
      <c r="D1781" t="s">
        <v>80</v>
      </c>
      <c r="E1781" t="s">
        <v>74</v>
      </c>
      <c r="F1781">
        <v>4</v>
      </c>
      <c r="G1781" s="2">
        <v>92.09</v>
      </c>
      <c r="H1781">
        <v>0.23</v>
      </c>
      <c r="I1781" t="s">
        <v>71</v>
      </c>
      <c r="J1781">
        <v>9</v>
      </c>
      <c r="K1781">
        <v>3.5</v>
      </c>
      <c r="L1781" s="2">
        <v>283.64</v>
      </c>
      <c r="M1781">
        <v>2026</v>
      </c>
      <c r="N1781">
        <v>11</v>
      </c>
      <c r="O1781" t="s">
        <v>138</v>
      </c>
      <c r="P1781" s="2">
        <v>368.36</v>
      </c>
      <c r="Q1781" s="2">
        <v>84.72</v>
      </c>
      <c r="R1781" t="s">
        <v>77</v>
      </c>
      <c r="S1781">
        <v>1</v>
      </c>
      <c r="T1781">
        <v>0</v>
      </c>
      <c r="U1781">
        <f>IF(AND(OR(Dashboard!$D$4="Semua",D1781=Dashboard!$D$4),OR(Dashboard!$H$4="Semua",E1781=Dashboard!$H$4)),1,0)</f>
        <v>1</v>
      </c>
      <c r="V1781">
        <f>IF(U1781=1,IF(COUNTIFS($C$2:C1781,C1781,$U$2:U1781,1)=1,1,0),0)</f>
        <v>0</v>
      </c>
    </row>
    <row r="1782" spans="1:22" x14ac:dyDescent="0.35">
      <c r="A1782">
        <v>11781</v>
      </c>
      <c r="B1782" s="1">
        <v>46342</v>
      </c>
      <c r="C1782">
        <v>1255</v>
      </c>
      <c r="D1782" t="s">
        <v>67</v>
      </c>
      <c r="E1782" t="s">
        <v>74</v>
      </c>
      <c r="F1782">
        <v>5</v>
      </c>
      <c r="G1782" s="2">
        <v>239.04</v>
      </c>
      <c r="H1782">
        <v>0.24</v>
      </c>
      <c r="I1782" t="s">
        <v>71</v>
      </c>
      <c r="J1782">
        <v>11</v>
      </c>
      <c r="K1782">
        <v>1.7</v>
      </c>
      <c r="L1782" s="2">
        <v>908.35</v>
      </c>
      <c r="M1782">
        <v>2026</v>
      </c>
      <c r="N1782">
        <v>11</v>
      </c>
      <c r="O1782" t="s">
        <v>138</v>
      </c>
      <c r="P1782" s="2">
        <v>1195.2</v>
      </c>
      <c r="Q1782" s="2">
        <v>286.85000000000002</v>
      </c>
      <c r="R1782" t="s">
        <v>77</v>
      </c>
      <c r="S1782">
        <v>1</v>
      </c>
      <c r="T1782">
        <v>0</v>
      </c>
      <c r="U1782">
        <f>IF(AND(OR(Dashboard!$D$4="Semua",D1782=Dashboard!$D$4),OR(Dashboard!$H$4="Semua",E1782=Dashboard!$H$4)),1,0)</f>
        <v>1</v>
      </c>
      <c r="V1782">
        <f>IF(U1782=1,IF(COUNTIFS($C$2:C1782,C1782,$U$2:U1782,1)=1,1,0),0)</f>
        <v>0</v>
      </c>
    </row>
    <row r="1783" spans="1:22" x14ac:dyDescent="0.35">
      <c r="A1783">
        <v>11782</v>
      </c>
      <c r="B1783" s="1">
        <v>46343</v>
      </c>
      <c r="C1783">
        <v>1733</v>
      </c>
      <c r="D1783" t="s">
        <v>80</v>
      </c>
      <c r="E1783" t="s">
        <v>78</v>
      </c>
      <c r="F1783">
        <v>3</v>
      </c>
      <c r="G1783" s="2">
        <v>134.13</v>
      </c>
      <c r="H1783">
        <v>0.09</v>
      </c>
      <c r="I1783" t="s">
        <v>64</v>
      </c>
      <c r="J1783">
        <v>7</v>
      </c>
      <c r="K1783">
        <v>3.9</v>
      </c>
      <c r="L1783" s="2">
        <v>366.17</v>
      </c>
      <c r="M1783">
        <v>2026</v>
      </c>
      <c r="N1783">
        <v>11</v>
      </c>
      <c r="O1783" t="s">
        <v>138</v>
      </c>
      <c r="P1783" s="2">
        <v>402.39</v>
      </c>
      <c r="Q1783" s="2">
        <v>36.22</v>
      </c>
      <c r="R1783" t="s">
        <v>69</v>
      </c>
      <c r="S1783">
        <v>1</v>
      </c>
      <c r="T1783">
        <v>0</v>
      </c>
      <c r="U1783">
        <f>IF(AND(OR(Dashboard!$D$4="Semua",D1783=Dashboard!$D$4),OR(Dashboard!$H$4="Semua",E1783=Dashboard!$H$4)),1,0)</f>
        <v>1</v>
      </c>
      <c r="V1783">
        <f>IF(U1783=1,IF(COUNTIFS($C$2:C1783,C1783,$U$2:U1783,1)=1,1,0),0)</f>
        <v>0</v>
      </c>
    </row>
    <row r="1784" spans="1:22" x14ac:dyDescent="0.35">
      <c r="A1784">
        <v>11783</v>
      </c>
      <c r="B1784" s="1">
        <v>46344</v>
      </c>
      <c r="C1784">
        <v>1904</v>
      </c>
      <c r="D1784" t="s">
        <v>67</v>
      </c>
      <c r="E1784" t="s">
        <v>70</v>
      </c>
      <c r="F1784">
        <v>2</v>
      </c>
      <c r="G1784" s="2">
        <v>391.74</v>
      </c>
      <c r="H1784">
        <v>0.21</v>
      </c>
      <c r="I1784" t="s">
        <v>68</v>
      </c>
      <c r="J1784">
        <v>3</v>
      </c>
      <c r="K1784">
        <v>2.2000000000000002</v>
      </c>
      <c r="L1784" s="2">
        <v>618.95000000000005</v>
      </c>
      <c r="M1784">
        <v>2026</v>
      </c>
      <c r="N1784">
        <v>11</v>
      </c>
      <c r="O1784" t="s">
        <v>138</v>
      </c>
      <c r="P1784" s="2">
        <v>783.48</v>
      </c>
      <c r="Q1784" s="2">
        <v>164.53</v>
      </c>
      <c r="R1784" t="s">
        <v>77</v>
      </c>
      <c r="S1784">
        <v>1</v>
      </c>
      <c r="T1784">
        <v>0</v>
      </c>
      <c r="U1784">
        <f>IF(AND(OR(Dashboard!$D$4="Semua",D1784=Dashboard!$D$4),OR(Dashboard!$H$4="Semua",E1784=Dashboard!$H$4)),1,0)</f>
        <v>1</v>
      </c>
      <c r="V1784">
        <f>IF(U1784=1,IF(COUNTIFS($C$2:C1784,C1784,$U$2:U1784,1)=1,1,0),0)</f>
        <v>0</v>
      </c>
    </row>
    <row r="1785" spans="1:22" x14ac:dyDescent="0.35">
      <c r="A1785">
        <v>11784</v>
      </c>
      <c r="B1785" s="1">
        <v>46345</v>
      </c>
      <c r="C1785">
        <v>1225</v>
      </c>
      <c r="D1785" t="s">
        <v>67</v>
      </c>
      <c r="E1785" t="s">
        <v>78</v>
      </c>
      <c r="F1785">
        <v>3</v>
      </c>
      <c r="G1785" s="2">
        <v>596.79</v>
      </c>
      <c r="H1785">
        <v>0.24</v>
      </c>
      <c r="I1785" t="s">
        <v>71</v>
      </c>
      <c r="J1785">
        <v>4</v>
      </c>
      <c r="K1785">
        <v>3</v>
      </c>
      <c r="L1785" s="2">
        <v>1360.68</v>
      </c>
      <c r="M1785">
        <v>2026</v>
      </c>
      <c r="N1785">
        <v>11</v>
      </c>
      <c r="O1785" t="s">
        <v>138</v>
      </c>
      <c r="P1785" s="2">
        <v>1790.37</v>
      </c>
      <c r="Q1785" s="2">
        <v>429.69</v>
      </c>
      <c r="R1785" t="s">
        <v>77</v>
      </c>
      <c r="S1785">
        <v>1</v>
      </c>
      <c r="T1785">
        <v>0</v>
      </c>
      <c r="U1785">
        <f>IF(AND(OR(Dashboard!$D$4="Semua",D1785=Dashboard!$D$4),OR(Dashboard!$H$4="Semua",E1785=Dashboard!$H$4)),1,0)</f>
        <v>1</v>
      </c>
      <c r="V1785">
        <f>IF(U1785=1,IF(COUNTIFS($C$2:C1785,C1785,$U$2:U1785,1)=1,1,0),0)</f>
        <v>0</v>
      </c>
    </row>
    <row r="1786" spans="1:22" x14ac:dyDescent="0.35">
      <c r="A1786">
        <v>11785</v>
      </c>
      <c r="B1786" s="1">
        <v>46346</v>
      </c>
      <c r="C1786">
        <v>1052</v>
      </c>
      <c r="D1786" t="s">
        <v>62</v>
      </c>
      <c r="E1786" t="s">
        <v>70</v>
      </c>
      <c r="F1786">
        <v>4</v>
      </c>
      <c r="G1786" s="2">
        <v>22.03</v>
      </c>
      <c r="H1786">
        <v>0.16</v>
      </c>
      <c r="I1786" t="s">
        <v>64</v>
      </c>
      <c r="J1786">
        <v>3</v>
      </c>
      <c r="K1786">
        <v>3.6</v>
      </c>
      <c r="L1786" s="2">
        <v>74.02</v>
      </c>
      <c r="M1786">
        <v>2026</v>
      </c>
      <c r="N1786">
        <v>11</v>
      </c>
      <c r="O1786" t="s">
        <v>138</v>
      </c>
      <c r="P1786" s="2">
        <v>88.12</v>
      </c>
      <c r="Q1786" s="2">
        <v>14.1</v>
      </c>
      <c r="R1786" t="s">
        <v>76</v>
      </c>
      <c r="S1786">
        <v>1</v>
      </c>
      <c r="T1786">
        <v>0</v>
      </c>
      <c r="U1786">
        <f>IF(AND(OR(Dashboard!$D$4="Semua",D1786=Dashboard!$D$4),OR(Dashboard!$H$4="Semua",E1786=Dashboard!$H$4)),1,0)</f>
        <v>1</v>
      </c>
      <c r="V1786">
        <f>IF(U1786=1,IF(COUNTIFS($C$2:C1786,C1786,$U$2:U1786,1)=1,1,0),0)</f>
        <v>0</v>
      </c>
    </row>
    <row r="1787" spans="1:22" x14ac:dyDescent="0.35">
      <c r="A1787">
        <v>11786</v>
      </c>
      <c r="B1787" s="1">
        <v>46347</v>
      </c>
      <c r="C1787">
        <v>1939</v>
      </c>
      <c r="D1787" t="s">
        <v>67</v>
      </c>
      <c r="E1787" t="s">
        <v>74</v>
      </c>
      <c r="F1787">
        <v>7</v>
      </c>
      <c r="G1787" s="2">
        <v>331.44</v>
      </c>
      <c r="H1787">
        <v>0.12</v>
      </c>
      <c r="I1787" t="s">
        <v>64</v>
      </c>
      <c r="J1787">
        <v>6</v>
      </c>
      <c r="K1787">
        <v>3.2</v>
      </c>
      <c r="L1787" s="2">
        <v>2041.67</v>
      </c>
      <c r="M1787">
        <v>2026</v>
      </c>
      <c r="N1787">
        <v>11</v>
      </c>
      <c r="O1787" t="s">
        <v>138</v>
      </c>
      <c r="P1787" s="2">
        <v>2320.08</v>
      </c>
      <c r="Q1787" s="2">
        <v>278.41000000000003</v>
      </c>
      <c r="R1787" t="s">
        <v>79</v>
      </c>
      <c r="S1787">
        <v>1</v>
      </c>
      <c r="T1787">
        <v>0</v>
      </c>
      <c r="U1787">
        <f>IF(AND(OR(Dashboard!$D$4="Semua",D1787=Dashboard!$D$4),OR(Dashboard!$H$4="Semua",E1787=Dashboard!$H$4)),1,0)</f>
        <v>1</v>
      </c>
      <c r="V1787">
        <f>IF(U1787=1,IF(COUNTIFS($C$2:C1787,C1787,$U$2:U1787,1)=1,1,0),0)</f>
        <v>1</v>
      </c>
    </row>
    <row r="1788" spans="1:22" x14ac:dyDescent="0.35">
      <c r="A1788">
        <v>11787</v>
      </c>
      <c r="B1788" s="1">
        <v>46348</v>
      </c>
      <c r="C1788">
        <v>1866</v>
      </c>
      <c r="D1788" t="s">
        <v>67</v>
      </c>
      <c r="E1788" t="s">
        <v>78</v>
      </c>
      <c r="F1788">
        <v>1</v>
      </c>
      <c r="G1788" s="2">
        <v>350.59</v>
      </c>
      <c r="H1788">
        <v>0.22</v>
      </c>
      <c r="I1788" t="s">
        <v>71</v>
      </c>
      <c r="J1788">
        <v>9</v>
      </c>
      <c r="K1788">
        <v>3.6</v>
      </c>
      <c r="L1788" s="2">
        <v>273.45999999999998</v>
      </c>
      <c r="M1788">
        <v>2026</v>
      </c>
      <c r="N1788">
        <v>11</v>
      </c>
      <c r="O1788" t="s">
        <v>138</v>
      </c>
      <c r="P1788" s="2">
        <v>350.59</v>
      </c>
      <c r="Q1788" s="2">
        <v>77.13</v>
      </c>
      <c r="R1788" t="s">
        <v>77</v>
      </c>
      <c r="S1788">
        <v>1</v>
      </c>
      <c r="T1788">
        <v>0</v>
      </c>
      <c r="U1788">
        <f>IF(AND(OR(Dashboard!$D$4="Semua",D1788=Dashboard!$D$4),OR(Dashboard!$H$4="Semua",E1788=Dashboard!$H$4)),1,0)</f>
        <v>1</v>
      </c>
      <c r="V1788">
        <f>IF(U1788=1,IF(COUNTIFS($C$2:C1788,C1788,$U$2:U1788,1)=1,1,0),0)</f>
        <v>0</v>
      </c>
    </row>
    <row r="1789" spans="1:22" x14ac:dyDescent="0.35">
      <c r="A1789">
        <v>11788</v>
      </c>
      <c r="B1789" s="1">
        <v>46349</v>
      </c>
      <c r="C1789">
        <v>1499</v>
      </c>
      <c r="D1789" t="s">
        <v>73</v>
      </c>
      <c r="E1789" t="s">
        <v>63</v>
      </c>
      <c r="F1789">
        <v>5</v>
      </c>
      <c r="G1789" s="2">
        <v>549.80999999999995</v>
      </c>
      <c r="H1789">
        <v>0.34</v>
      </c>
      <c r="I1789" t="s">
        <v>71</v>
      </c>
      <c r="J1789">
        <v>10</v>
      </c>
      <c r="K1789">
        <v>2.2999999999999998</v>
      </c>
      <c r="L1789" s="2">
        <v>1814.37</v>
      </c>
      <c r="M1789">
        <v>2026</v>
      </c>
      <c r="N1789">
        <v>11</v>
      </c>
      <c r="O1789" t="s">
        <v>138</v>
      </c>
      <c r="P1789" s="2">
        <v>2749.05</v>
      </c>
      <c r="Q1789" s="2">
        <v>934.68</v>
      </c>
      <c r="R1789" t="s">
        <v>72</v>
      </c>
      <c r="S1789">
        <v>1</v>
      </c>
      <c r="T1789">
        <v>0</v>
      </c>
      <c r="U1789">
        <f>IF(AND(OR(Dashboard!$D$4="Semua",D1789=Dashboard!$D$4),OR(Dashboard!$H$4="Semua",E1789=Dashboard!$H$4)),1,0)</f>
        <v>1</v>
      </c>
      <c r="V1789">
        <f>IF(U1789=1,IF(COUNTIFS($C$2:C1789,C1789,$U$2:U1789,1)=1,1,0),0)</f>
        <v>0</v>
      </c>
    </row>
    <row r="1790" spans="1:22" x14ac:dyDescent="0.35">
      <c r="A1790">
        <v>11789</v>
      </c>
      <c r="B1790" s="1">
        <v>46350</v>
      </c>
      <c r="C1790">
        <v>1505</v>
      </c>
      <c r="D1790" t="s">
        <v>67</v>
      </c>
      <c r="E1790" t="s">
        <v>70</v>
      </c>
      <c r="F1790">
        <v>7</v>
      </c>
      <c r="G1790" s="2">
        <v>311.01</v>
      </c>
      <c r="H1790">
        <v>0.15</v>
      </c>
      <c r="I1790" t="s">
        <v>68</v>
      </c>
      <c r="J1790">
        <v>9</v>
      </c>
      <c r="K1790">
        <v>4.9000000000000004</v>
      </c>
      <c r="L1790" s="2">
        <v>1850.51</v>
      </c>
      <c r="M1790">
        <v>2026</v>
      </c>
      <c r="N1790">
        <v>11</v>
      </c>
      <c r="O1790" t="s">
        <v>138</v>
      </c>
      <c r="P1790" s="2">
        <v>2177.0700000000002</v>
      </c>
      <c r="Q1790" s="2">
        <v>326.56</v>
      </c>
      <c r="R1790" t="s">
        <v>79</v>
      </c>
      <c r="S1790">
        <v>1</v>
      </c>
      <c r="T1790">
        <v>0</v>
      </c>
      <c r="U1790">
        <f>IF(AND(OR(Dashboard!$D$4="Semua",D1790=Dashboard!$D$4),OR(Dashboard!$H$4="Semua",E1790=Dashboard!$H$4)),1,0)</f>
        <v>1</v>
      </c>
      <c r="V1790">
        <f>IF(U1790=1,IF(COUNTIFS($C$2:C1790,C1790,$U$2:U1790,1)=1,1,0),0)</f>
        <v>0</v>
      </c>
    </row>
    <row r="1791" spans="1:22" x14ac:dyDescent="0.35">
      <c r="A1791">
        <v>11790</v>
      </c>
      <c r="B1791" s="1">
        <v>46351</v>
      </c>
      <c r="C1791">
        <v>1853</v>
      </c>
      <c r="D1791" t="s">
        <v>67</v>
      </c>
      <c r="E1791" t="s">
        <v>63</v>
      </c>
      <c r="F1791">
        <v>1</v>
      </c>
      <c r="G1791" s="2">
        <v>333.07</v>
      </c>
      <c r="H1791">
        <v>0.14000000000000001</v>
      </c>
      <c r="I1791" t="s">
        <v>71</v>
      </c>
      <c r="J1791">
        <v>1</v>
      </c>
      <c r="K1791">
        <v>2.8</v>
      </c>
      <c r="L1791" s="2">
        <v>286.44</v>
      </c>
      <c r="M1791">
        <v>2026</v>
      </c>
      <c r="N1791">
        <v>11</v>
      </c>
      <c r="O1791" t="s">
        <v>138</v>
      </c>
      <c r="P1791" s="2">
        <v>333.07</v>
      </c>
      <c r="Q1791" s="2">
        <v>46.63</v>
      </c>
      <c r="R1791" t="s">
        <v>79</v>
      </c>
      <c r="S1791">
        <v>1</v>
      </c>
      <c r="T1791">
        <v>0</v>
      </c>
      <c r="U1791">
        <f>IF(AND(OR(Dashboard!$D$4="Semua",D1791=Dashboard!$D$4),OR(Dashboard!$H$4="Semua",E1791=Dashboard!$H$4)),1,0)</f>
        <v>1</v>
      </c>
      <c r="V1791">
        <f>IF(U1791=1,IF(COUNTIFS($C$2:C1791,C1791,$U$2:U1791,1)=1,1,0),0)</f>
        <v>0</v>
      </c>
    </row>
    <row r="1792" spans="1:22" x14ac:dyDescent="0.35">
      <c r="A1792">
        <v>11791</v>
      </c>
      <c r="B1792" s="1">
        <v>46352</v>
      </c>
      <c r="C1792">
        <v>1363</v>
      </c>
      <c r="D1792" t="s">
        <v>73</v>
      </c>
      <c r="E1792" t="s">
        <v>70</v>
      </c>
      <c r="F1792">
        <v>4</v>
      </c>
      <c r="G1792" s="2">
        <v>290.92</v>
      </c>
      <c r="H1792">
        <v>0.16</v>
      </c>
      <c r="I1792" t="s">
        <v>71</v>
      </c>
      <c r="J1792">
        <v>10</v>
      </c>
      <c r="K1792">
        <v>2.2999999999999998</v>
      </c>
      <c r="L1792" s="2">
        <v>977.49</v>
      </c>
      <c r="M1792">
        <v>2026</v>
      </c>
      <c r="N1792">
        <v>11</v>
      </c>
      <c r="O1792" t="s">
        <v>138</v>
      </c>
      <c r="P1792" s="2">
        <v>1163.68</v>
      </c>
      <c r="Q1792" s="2">
        <v>186.19</v>
      </c>
      <c r="R1792" t="s">
        <v>76</v>
      </c>
      <c r="S1792">
        <v>1</v>
      </c>
      <c r="T1792">
        <v>0</v>
      </c>
      <c r="U1792">
        <f>IF(AND(OR(Dashboard!$D$4="Semua",D1792=Dashboard!$D$4),OR(Dashboard!$H$4="Semua",E1792=Dashboard!$H$4)),1,0)</f>
        <v>1</v>
      </c>
      <c r="V1792">
        <f>IF(U1792=1,IF(COUNTIFS($C$2:C1792,C1792,$U$2:U1792,1)=1,1,0),0)</f>
        <v>1</v>
      </c>
    </row>
    <row r="1793" spans="1:22" x14ac:dyDescent="0.35">
      <c r="A1793">
        <v>11792</v>
      </c>
      <c r="B1793" s="1">
        <v>46353</v>
      </c>
      <c r="C1793">
        <v>1279</v>
      </c>
      <c r="D1793" t="s">
        <v>73</v>
      </c>
      <c r="E1793" t="s">
        <v>78</v>
      </c>
      <c r="F1793">
        <v>5</v>
      </c>
      <c r="G1793" s="2">
        <v>172.31</v>
      </c>
      <c r="H1793">
        <v>0.03</v>
      </c>
      <c r="I1793" t="s">
        <v>71</v>
      </c>
      <c r="J1793">
        <v>6</v>
      </c>
      <c r="K1793">
        <v>2.2000000000000002</v>
      </c>
      <c r="L1793" s="2">
        <v>835.7</v>
      </c>
      <c r="M1793">
        <v>2026</v>
      </c>
      <c r="N1793">
        <v>11</v>
      </c>
      <c r="O1793" t="s">
        <v>138</v>
      </c>
      <c r="P1793" s="2">
        <v>861.55</v>
      </c>
      <c r="Q1793" s="2">
        <v>25.85</v>
      </c>
      <c r="R1793" t="s">
        <v>75</v>
      </c>
      <c r="S1793">
        <v>1</v>
      </c>
      <c r="T1793">
        <v>0</v>
      </c>
      <c r="U1793">
        <f>IF(AND(OR(Dashboard!$D$4="Semua",D1793=Dashboard!$D$4),OR(Dashboard!$H$4="Semua",E1793=Dashboard!$H$4)),1,0)</f>
        <v>1</v>
      </c>
      <c r="V1793">
        <f>IF(U1793=1,IF(COUNTIFS($C$2:C1793,C1793,$U$2:U1793,1)=1,1,0),0)</f>
        <v>0</v>
      </c>
    </row>
    <row r="1794" spans="1:22" x14ac:dyDescent="0.35">
      <c r="A1794">
        <v>11793</v>
      </c>
      <c r="B1794" s="1">
        <v>46354</v>
      </c>
      <c r="C1794">
        <v>1592</v>
      </c>
      <c r="D1794" t="s">
        <v>67</v>
      </c>
      <c r="E1794" t="s">
        <v>63</v>
      </c>
      <c r="F1794">
        <v>6</v>
      </c>
      <c r="G1794" s="2">
        <v>47.78</v>
      </c>
      <c r="H1794">
        <v>0.19</v>
      </c>
      <c r="I1794" t="s">
        <v>71</v>
      </c>
      <c r="J1794">
        <v>1</v>
      </c>
      <c r="K1794">
        <v>1.2</v>
      </c>
      <c r="L1794" s="2">
        <v>232.21</v>
      </c>
      <c r="M1794">
        <v>2026</v>
      </c>
      <c r="N1794">
        <v>11</v>
      </c>
      <c r="O1794" t="s">
        <v>138</v>
      </c>
      <c r="P1794" s="2">
        <v>286.68</v>
      </c>
      <c r="Q1794" s="2">
        <v>54.47</v>
      </c>
      <c r="R1794" t="s">
        <v>76</v>
      </c>
      <c r="S1794">
        <v>1</v>
      </c>
      <c r="T1794">
        <v>0</v>
      </c>
      <c r="U1794">
        <f>IF(AND(OR(Dashboard!$D$4="Semua",D1794=Dashboard!$D$4),OR(Dashboard!$H$4="Semua",E1794=Dashboard!$H$4)),1,0)</f>
        <v>1</v>
      </c>
      <c r="V1794">
        <f>IF(U1794=1,IF(COUNTIFS($C$2:C1794,C1794,$U$2:U1794,1)=1,1,0),0)</f>
        <v>0</v>
      </c>
    </row>
    <row r="1795" spans="1:22" x14ac:dyDescent="0.35">
      <c r="A1795">
        <v>11794</v>
      </c>
      <c r="B1795" s="1">
        <v>46355</v>
      </c>
      <c r="C1795">
        <v>1713</v>
      </c>
      <c r="D1795" t="s">
        <v>80</v>
      </c>
      <c r="E1795" t="s">
        <v>78</v>
      </c>
      <c r="F1795">
        <v>6</v>
      </c>
      <c r="G1795" s="2">
        <v>254.06</v>
      </c>
      <c r="H1795">
        <v>0.12</v>
      </c>
      <c r="I1795" t="s">
        <v>68</v>
      </c>
      <c r="J1795">
        <v>11</v>
      </c>
      <c r="K1795">
        <v>3.7</v>
      </c>
      <c r="L1795" s="2">
        <v>1341.44</v>
      </c>
      <c r="M1795">
        <v>2026</v>
      </c>
      <c r="N1795">
        <v>11</v>
      </c>
      <c r="O1795" t="s">
        <v>138</v>
      </c>
      <c r="P1795" s="2">
        <v>1524.36</v>
      </c>
      <c r="Q1795" s="2">
        <v>182.92</v>
      </c>
      <c r="R1795" t="s">
        <v>79</v>
      </c>
      <c r="S1795">
        <v>1</v>
      </c>
      <c r="T1795">
        <v>0</v>
      </c>
      <c r="U1795">
        <f>IF(AND(OR(Dashboard!$D$4="Semua",D1795=Dashboard!$D$4),OR(Dashboard!$H$4="Semua",E1795=Dashboard!$H$4)),1,0)</f>
        <v>1</v>
      </c>
      <c r="V1795">
        <f>IF(U1795=1,IF(COUNTIFS($C$2:C1795,C1795,$U$2:U1795,1)=1,1,0),0)</f>
        <v>0</v>
      </c>
    </row>
    <row r="1796" spans="1:22" x14ac:dyDescent="0.35">
      <c r="A1796">
        <v>11795</v>
      </c>
      <c r="B1796" s="1">
        <v>46356</v>
      </c>
      <c r="C1796">
        <v>1157</v>
      </c>
      <c r="D1796" t="s">
        <v>67</v>
      </c>
      <c r="E1796" t="s">
        <v>70</v>
      </c>
      <c r="F1796">
        <v>7</v>
      </c>
      <c r="G1796" s="2">
        <v>45.77</v>
      </c>
      <c r="H1796">
        <v>0.04</v>
      </c>
      <c r="I1796" t="s">
        <v>68</v>
      </c>
      <c r="J1796">
        <v>4</v>
      </c>
      <c r="K1796">
        <v>2.1</v>
      </c>
      <c r="L1796" s="2">
        <v>307.57</v>
      </c>
      <c r="M1796">
        <v>2026</v>
      </c>
      <c r="N1796">
        <v>11</v>
      </c>
      <c r="O1796" t="s">
        <v>138</v>
      </c>
      <c r="P1796" s="2">
        <v>320.39</v>
      </c>
      <c r="Q1796" s="2">
        <v>12.82</v>
      </c>
      <c r="R1796" t="s">
        <v>75</v>
      </c>
      <c r="S1796">
        <v>1</v>
      </c>
      <c r="T1796">
        <v>0</v>
      </c>
      <c r="U1796">
        <f>IF(AND(OR(Dashboard!$D$4="Semua",D1796=Dashboard!$D$4),OR(Dashboard!$H$4="Semua",E1796=Dashboard!$H$4)),1,0)</f>
        <v>1</v>
      </c>
      <c r="V1796">
        <f>IF(U1796=1,IF(COUNTIFS($C$2:C1796,C1796,$U$2:U1796,1)=1,1,0),0)</f>
        <v>0</v>
      </c>
    </row>
    <row r="1797" spans="1:22" x14ac:dyDescent="0.35">
      <c r="A1797">
        <v>11796</v>
      </c>
      <c r="B1797" s="1">
        <v>46357</v>
      </c>
      <c r="C1797">
        <v>1631</v>
      </c>
      <c r="D1797" t="s">
        <v>73</v>
      </c>
      <c r="E1797" t="s">
        <v>70</v>
      </c>
      <c r="F1797">
        <v>3</v>
      </c>
      <c r="G1797" s="2">
        <v>337.04</v>
      </c>
      <c r="H1797">
        <v>0.16</v>
      </c>
      <c r="I1797" t="s">
        <v>71</v>
      </c>
      <c r="J1797">
        <v>7</v>
      </c>
      <c r="K1797">
        <v>4.8</v>
      </c>
      <c r="L1797" s="2">
        <v>849.34</v>
      </c>
      <c r="M1797">
        <v>2026</v>
      </c>
      <c r="N1797">
        <v>12</v>
      </c>
      <c r="O1797" t="s">
        <v>139</v>
      </c>
      <c r="P1797" s="2">
        <v>1011.12</v>
      </c>
      <c r="Q1797" s="2">
        <v>161.78</v>
      </c>
      <c r="R1797" t="s">
        <v>76</v>
      </c>
      <c r="S1797">
        <v>1</v>
      </c>
      <c r="T1797">
        <v>0</v>
      </c>
      <c r="U1797">
        <f>IF(AND(OR(Dashboard!$D$4="Semua",D1797=Dashboard!$D$4),OR(Dashboard!$H$4="Semua",E1797=Dashboard!$H$4)),1,0)</f>
        <v>1</v>
      </c>
      <c r="V1797">
        <f>IF(U1797=1,IF(COUNTIFS($C$2:C1797,C1797,$U$2:U1797,1)=1,1,0),0)</f>
        <v>1</v>
      </c>
    </row>
    <row r="1798" spans="1:22" x14ac:dyDescent="0.35">
      <c r="A1798">
        <v>11797</v>
      </c>
      <c r="B1798" s="1">
        <v>46358</v>
      </c>
      <c r="C1798">
        <v>1058</v>
      </c>
      <c r="D1798" t="s">
        <v>80</v>
      </c>
      <c r="E1798" t="s">
        <v>70</v>
      </c>
      <c r="F1798">
        <v>7</v>
      </c>
      <c r="G1798" s="2">
        <v>194.77</v>
      </c>
      <c r="H1798">
        <v>0</v>
      </c>
      <c r="I1798" t="s">
        <v>68</v>
      </c>
      <c r="J1798">
        <v>4</v>
      </c>
      <c r="K1798">
        <v>1.8</v>
      </c>
      <c r="L1798" s="2">
        <v>1363.39</v>
      </c>
      <c r="M1798">
        <v>2026</v>
      </c>
      <c r="N1798">
        <v>12</v>
      </c>
      <c r="O1798" t="s">
        <v>139</v>
      </c>
      <c r="P1798" s="2">
        <v>1363.39</v>
      </c>
      <c r="Q1798" s="2">
        <v>0</v>
      </c>
      <c r="R1798" t="s">
        <v>75</v>
      </c>
      <c r="S1798">
        <v>1</v>
      </c>
      <c r="T1798">
        <v>0</v>
      </c>
      <c r="U1798">
        <f>IF(AND(OR(Dashboard!$D$4="Semua",D1798=Dashboard!$D$4),OR(Dashboard!$H$4="Semua",E1798=Dashboard!$H$4)),1,0)</f>
        <v>1</v>
      </c>
      <c r="V1798">
        <f>IF(U1798=1,IF(COUNTIFS($C$2:C1798,C1798,$U$2:U1798,1)=1,1,0),0)</f>
        <v>0</v>
      </c>
    </row>
    <row r="1799" spans="1:22" x14ac:dyDescent="0.35">
      <c r="A1799">
        <v>11798</v>
      </c>
      <c r="B1799" s="1">
        <v>46359</v>
      </c>
      <c r="C1799">
        <v>1726</v>
      </c>
      <c r="D1799" t="s">
        <v>73</v>
      </c>
      <c r="E1799" t="s">
        <v>70</v>
      </c>
      <c r="F1799">
        <v>3</v>
      </c>
      <c r="G1799" s="2">
        <v>327.16000000000003</v>
      </c>
      <c r="H1799">
        <v>0.14000000000000001</v>
      </c>
      <c r="I1799" t="s">
        <v>68</v>
      </c>
      <c r="J1799">
        <v>9</v>
      </c>
      <c r="K1799">
        <v>3.1</v>
      </c>
      <c r="L1799" s="2">
        <v>844.07</v>
      </c>
      <c r="M1799">
        <v>2026</v>
      </c>
      <c r="N1799">
        <v>12</v>
      </c>
      <c r="O1799" t="s">
        <v>139</v>
      </c>
      <c r="P1799" s="2">
        <v>981.48</v>
      </c>
      <c r="Q1799" s="2">
        <v>137.41</v>
      </c>
      <c r="R1799" t="s">
        <v>79</v>
      </c>
      <c r="S1799">
        <v>1</v>
      </c>
      <c r="T1799">
        <v>0</v>
      </c>
      <c r="U1799">
        <f>IF(AND(OR(Dashboard!$D$4="Semua",D1799=Dashboard!$D$4),OR(Dashboard!$H$4="Semua",E1799=Dashboard!$H$4)),1,0)</f>
        <v>1</v>
      </c>
      <c r="V1799">
        <f>IF(U1799=1,IF(COUNTIFS($C$2:C1799,C1799,$U$2:U1799,1)=1,1,0),0)</f>
        <v>0</v>
      </c>
    </row>
    <row r="1800" spans="1:22" x14ac:dyDescent="0.35">
      <c r="A1800">
        <v>11799</v>
      </c>
      <c r="B1800" s="1">
        <v>46360</v>
      </c>
      <c r="C1800">
        <v>1127</v>
      </c>
      <c r="D1800" t="s">
        <v>67</v>
      </c>
      <c r="E1800" t="s">
        <v>74</v>
      </c>
      <c r="F1800">
        <v>4</v>
      </c>
      <c r="G1800" s="2">
        <v>93.56</v>
      </c>
      <c r="H1800">
        <v>0.04</v>
      </c>
      <c r="I1800" t="s">
        <v>68</v>
      </c>
      <c r="J1800">
        <v>10</v>
      </c>
      <c r="K1800">
        <v>3.9</v>
      </c>
      <c r="L1800" s="2">
        <v>359.27</v>
      </c>
      <c r="M1800">
        <v>2026</v>
      </c>
      <c r="N1800">
        <v>12</v>
      </c>
      <c r="O1800" t="s">
        <v>139</v>
      </c>
      <c r="P1800" s="2">
        <v>374.24</v>
      </c>
      <c r="Q1800" s="2">
        <v>14.97</v>
      </c>
      <c r="R1800" t="s">
        <v>75</v>
      </c>
      <c r="S1800">
        <v>1</v>
      </c>
      <c r="T1800">
        <v>0</v>
      </c>
      <c r="U1800">
        <f>IF(AND(OR(Dashboard!$D$4="Semua",D1800=Dashboard!$D$4),OR(Dashboard!$H$4="Semua",E1800=Dashboard!$H$4)),1,0)</f>
        <v>1</v>
      </c>
      <c r="V1800">
        <f>IF(U1800=1,IF(COUNTIFS($C$2:C1800,C1800,$U$2:U1800,1)=1,1,0),0)</f>
        <v>0</v>
      </c>
    </row>
    <row r="1801" spans="1:22" x14ac:dyDescent="0.35">
      <c r="A1801">
        <v>11800</v>
      </c>
      <c r="B1801" s="1">
        <v>46361</v>
      </c>
      <c r="C1801">
        <v>1735</v>
      </c>
      <c r="D1801" t="s">
        <v>73</v>
      </c>
      <c r="E1801" t="s">
        <v>70</v>
      </c>
      <c r="F1801">
        <v>6</v>
      </c>
      <c r="G1801" s="2">
        <v>560.59</v>
      </c>
      <c r="H1801">
        <v>0.01</v>
      </c>
      <c r="I1801" t="s">
        <v>68</v>
      </c>
      <c r="J1801">
        <v>5</v>
      </c>
      <c r="K1801">
        <v>4.5</v>
      </c>
      <c r="L1801" s="2">
        <v>3329.9</v>
      </c>
      <c r="M1801">
        <v>2026</v>
      </c>
      <c r="N1801">
        <v>12</v>
      </c>
      <c r="O1801" t="s">
        <v>139</v>
      </c>
      <c r="P1801" s="2">
        <v>3363.54</v>
      </c>
      <c r="Q1801" s="2">
        <v>33.64</v>
      </c>
      <c r="R1801" t="s">
        <v>75</v>
      </c>
      <c r="S1801">
        <v>1</v>
      </c>
      <c r="T1801">
        <v>1</v>
      </c>
      <c r="U1801">
        <f>IF(AND(OR(Dashboard!$D$4="Semua",D1801=Dashboard!$D$4),OR(Dashboard!$H$4="Semua",E1801=Dashboard!$H$4)),1,0)</f>
        <v>1</v>
      </c>
      <c r="V1801">
        <f>IF(U1801=1,IF(COUNTIFS($C$2:C1801,C1801,$U$2:U1801,1)=1,1,0),0)</f>
        <v>0</v>
      </c>
    </row>
    <row r="1802" spans="1:22" x14ac:dyDescent="0.35">
      <c r="A1802">
        <v>11801</v>
      </c>
      <c r="B1802" s="1">
        <v>46362</v>
      </c>
      <c r="C1802">
        <v>1720</v>
      </c>
      <c r="D1802" t="s">
        <v>73</v>
      </c>
      <c r="E1802" t="s">
        <v>63</v>
      </c>
      <c r="F1802">
        <v>5</v>
      </c>
      <c r="G1802" s="2">
        <v>538.29</v>
      </c>
      <c r="H1802">
        <v>0.28999999999999998</v>
      </c>
      <c r="I1802" t="s">
        <v>64</v>
      </c>
      <c r="J1802">
        <v>9</v>
      </c>
      <c r="K1802">
        <v>1.6</v>
      </c>
      <c r="L1802" s="2">
        <v>1910.93</v>
      </c>
      <c r="M1802">
        <v>2026</v>
      </c>
      <c r="N1802">
        <v>12</v>
      </c>
      <c r="O1802" t="s">
        <v>139</v>
      </c>
      <c r="P1802" s="2">
        <v>2691.45</v>
      </c>
      <c r="Q1802" s="2">
        <v>780.52</v>
      </c>
      <c r="R1802" t="s">
        <v>66</v>
      </c>
      <c r="S1802">
        <v>1</v>
      </c>
      <c r="T1802">
        <v>0</v>
      </c>
      <c r="U1802">
        <f>IF(AND(OR(Dashboard!$D$4="Semua",D1802=Dashboard!$D$4),OR(Dashboard!$H$4="Semua",E1802=Dashboard!$H$4)),1,0)</f>
        <v>1</v>
      </c>
      <c r="V1802">
        <f>IF(U1802=1,IF(COUNTIFS($C$2:C1802,C1802,$U$2:U1802,1)=1,1,0),0)</f>
        <v>1</v>
      </c>
    </row>
    <row r="1803" spans="1:22" x14ac:dyDescent="0.35">
      <c r="A1803">
        <v>11802</v>
      </c>
      <c r="B1803" s="1">
        <v>46363</v>
      </c>
      <c r="C1803">
        <v>1881</v>
      </c>
      <c r="D1803" t="s">
        <v>73</v>
      </c>
      <c r="E1803" t="s">
        <v>70</v>
      </c>
      <c r="F1803">
        <v>6</v>
      </c>
      <c r="G1803" s="2">
        <v>126.15</v>
      </c>
      <c r="H1803">
        <v>0.32</v>
      </c>
      <c r="I1803" t="s">
        <v>71</v>
      </c>
      <c r="J1803">
        <v>1</v>
      </c>
      <c r="K1803">
        <v>4.9000000000000004</v>
      </c>
      <c r="L1803" s="2">
        <v>514.69000000000005</v>
      </c>
      <c r="M1803">
        <v>2026</v>
      </c>
      <c r="N1803">
        <v>12</v>
      </c>
      <c r="O1803" t="s">
        <v>139</v>
      </c>
      <c r="P1803" s="2">
        <v>756.9</v>
      </c>
      <c r="Q1803" s="2">
        <v>242.21</v>
      </c>
      <c r="R1803" t="s">
        <v>72</v>
      </c>
      <c r="S1803">
        <v>1</v>
      </c>
      <c r="T1803">
        <v>0</v>
      </c>
      <c r="U1803">
        <f>IF(AND(OR(Dashboard!$D$4="Semua",D1803=Dashboard!$D$4),OR(Dashboard!$H$4="Semua",E1803=Dashboard!$H$4)),1,0)</f>
        <v>1</v>
      </c>
      <c r="V1803">
        <f>IF(U1803=1,IF(COUNTIFS($C$2:C1803,C1803,$U$2:U1803,1)=1,1,0),0)</f>
        <v>0</v>
      </c>
    </row>
    <row r="1804" spans="1:22" x14ac:dyDescent="0.35">
      <c r="A1804">
        <v>11803</v>
      </c>
      <c r="B1804" s="1">
        <v>46364</v>
      </c>
      <c r="C1804">
        <v>1114</v>
      </c>
      <c r="D1804" t="s">
        <v>67</v>
      </c>
      <c r="E1804" t="s">
        <v>78</v>
      </c>
      <c r="F1804">
        <v>3</v>
      </c>
      <c r="G1804" s="2">
        <v>215.91</v>
      </c>
      <c r="H1804">
        <v>7.0000000000000007E-2</v>
      </c>
      <c r="I1804" t="s">
        <v>68</v>
      </c>
      <c r="J1804">
        <v>4</v>
      </c>
      <c r="K1804">
        <v>4.5999999999999996</v>
      </c>
      <c r="L1804" s="2">
        <v>602.39</v>
      </c>
      <c r="M1804">
        <v>2026</v>
      </c>
      <c r="N1804">
        <v>12</v>
      </c>
      <c r="O1804" t="s">
        <v>139</v>
      </c>
      <c r="P1804" s="2">
        <v>647.73</v>
      </c>
      <c r="Q1804" s="2">
        <v>45.34</v>
      </c>
      <c r="R1804" t="s">
        <v>69</v>
      </c>
      <c r="S1804">
        <v>1</v>
      </c>
      <c r="T1804">
        <v>0</v>
      </c>
      <c r="U1804">
        <f>IF(AND(OR(Dashboard!$D$4="Semua",D1804=Dashboard!$D$4),OR(Dashboard!$H$4="Semua",E1804=Dashboard!$H$4)),1,0)</f>
        <v>1</v>
      </c>
      <c r="V1804">
        <f>IF(U1804=1,IF(COUNTIFS($C$2:C1804,C1804,$U$2:U1804,1)=1,1,0),0)</f>
        <v>0</v>
      </c>
    </row>
    <row r="1805" spans="1:22" x14ac:dyDescent="0.35">
      <c r="A1805">
        <v>11804</v>
      </c>
      <c r="B1805" s="1">
        <v>46365</v>
      </c>
      <c r="C1805">
        <v>1208</v>
      </c>
      <c r="D1805" t="s">
        <v>73</v>
      </c>
      <c r="E1805" t="s">
        <v>74</v>
      </c>
      <c r="F1805">
        <v>7</v>
      </c>
      <c r="G1805" s="2">
        <v>373.89</v>
      </c>
      <c r="H1805">
        <v>0.19</v>
      </c>
      <c r="I1805" t="s">
        <v>71</v>
      </c>
      <c r="J1805">
        <v>7</v>
      </c>
      <c r="K1805">
        <v>4.9000000000000004</v>
      </c>
      <c r="L1805" s="2">
        <v>2119.96</v>
      </c>
      <c r="M1805">
        <v>2026</v>
      </c>
      <c r="N1805">
        <v>12</v>
      </c>
      <c r="O1805" t="s">
        <v>139</v>
      </c>
      <c r="P1805" s="2">
        <v>2617.23</v>
      </c>
      <c r="Q1805" s="2">
        <v>497.27</v>
      </c>
      <c r="R1805" t="s">
        <v>76</v>
      </c>
      <c r="S1805">
        <v>1</v>
      </c>
      <c r="T1805">
        <v>0</v>
      </c>
      <c r="U1805">
        <f>IF(AND(OR(Dashboard!$D$4="Semua",D1805=Dashboard!$D$4),OR(Dashboard!$H$4="Semua",E1805=Dashboard!$H$4)),1,0)</f>
        <v>1</v>
      </c>
      <c r="V1805">
        <f>IF(U1805=1,IF(COUNTIFS($C$2:C1805,C1805,$U$2:U1805,1)=1,1,0),0)</f>
        <v>1</v>
      </c>
    </row>
    <row r="1806" spans="1:22" x14ac:dyDescent="0.35">
      <c r="A1806">
        <v>11805</v>
      </c>
      <c r="B1806" s="1">
        <v>46366</v>
      </c>
      <c r="C1806">
        <v>1525</v>
      </c>
      <c r="D1806" t="s">
        <v>67</v>
      </c>
      <c r="E1806" t="s">
        <v>63</v>
      </c>
      <c r="F1806">
        <v>4</v>
      </c>
      <c r="G1806" s="2">
        <v>70.98</v>
      </c>
      <c r="H1806">
        <v>0.1</v>
      </c>
      <c r="I1806" t="s">
        <v>68</v>
      </c>
      <c r="J1806">
        <v>2</v>
      </c>
      <c r="K1806">
        <v>4.4000000000000004</v>
      </c>
      <c r="L1806" s="2">
        <v>255.53</v>
      </c>
      <c r="M1806">
        <v>2026</v>
      </c>
      <c r="N1806">
        <v>12</v>
      </c>
      <c r="O1806" t="s">
        <v>139</v>
      </c>
      <c r="P1806" s="2">
        <v>283.92</v>
      </c>
      <c r="Q1806" s="2">
        <v>28.39</v>
      </c>
      <c r="R1806" t="s">
        <v>69</v>
      </c>
      <c r="S1806">
        <v>1</v>
      </c>
      <c r="T1806">
        <v>0</v>
      </c>
      <c r="U1806">
        <f>IF(AND(OR(Dashboard!$D$4="Semua",D1806=Dashboard!$D$4),OR(Dashboard!$H$4="Semua",E1806=Dashboard!$H$4)),1,0)</f>
        <v>1</v>
      </c>
      <c r="V1806">
        <f>IF(U1806=1,IF(COUNTIFS($C$2:C1806,C1806,$U$2:U1806,1)=1,1,0),0)</f>
        <v>0</v>
      </c>
    </row>
    <row r="1807" spans="1:22" x14ac:dyDescent="0.35">
      <c r="A1807">
        <v>11806</v>
      </c>
      <c r="B1807" s="1">
        <v>46367</v>
      </c>
      <c r="C1807">
        <v>1520</v>
      </c>
      <c r="D1807" t="s">
        <v>67</v>
      </c>
      <c r="E1807" t="s">
        <v>74</v>
      </c>
      <c r="F1807">
        <v>6</v>
      </c>
      <c r="G1807" s="2">
        <v>222.42</v>
      </c>
      <c r="H1807">
        <v>0.17</v>
      </c>
      <c r="I1807" t="s">
        <v>71</v>
      </c>
      <c r="J1807">
        <v>9</v>
      </c>
      <c r="K1807">
        <v>4.5</v>
      </c>
      <c r="L1807" s="2">
        <v>1107.6500000000001</v>
      </c>
      <c r="M1807">
        <v>2026</v>
      </c>
      <c r="N1807">
        <v>12</v>
      </c>
      <c r="O1807" t="s">
        <v>139</v>
      </c>
      <c r="P1807" s="2">
        <v>1334.52</v>
      </c>
      <c r="Q1807" s="2">
        <v>226.87</v>
      </c>
      <c r="R1807" t="s">
        <v>76</v>
      </c>
      <c r="S1807">
        <v>1</v>
      </c>
      <c r="T1807">
        <v>0</v>
      </c>
      <c r="U1807">
        <f>IF(AND(OR(Dashboard!$D$4="Semua",D1807=Dashboard!$D$4),OR(Dashboard!$H$4="Semua",E1807=Dashboard!$H$4)),1,0)</f>
        <v>1</v>
      </c>
      <c r="V1807">
        <f>IF(U1807=1,IF(COUNTIFS($C$2:C1807,C1807,$U$2:U1807,1)=1,1,0),0)</f>
        <v>0</v>
      </c>
    </row>
    <row r="1808" spans="1:22" x14ac:dyDescent="0.35">
      <c r="A1808">
        <v>11807</v>
      </c>
      <c r="B1808" s="1">
        <v>46368</v>
      </c>
      <c r="C1808">
        <v>1551</v>
      </c>
      <c r="D1808" t="s">
        <v>67</v>
      </c>
      <c r="E1808" t="s">
        <v>74</v>
      </c>
      <c r="F1808">
        <v>4</v>
      </c>
      <c r="G1808" s="2">
        <v>161.9</v>
      </c>
      <c r="H1808">
        <v>0.15</v>
      </c>
      <c r="I1808" t="s">
        <v>68</v>
      </c>
      <c r="J1808">
        <v>3</v>
      </c>
      <c r="K1808">
        <v>3.4</v>
      </c>
      <c r="L1808" s="2">
        <v>550.46</v>
      </c>
      <c r="M1808">
        <v>2026</v>
      </c>
      <c r="N1808">
        <v>12</v>
      </c>
      <c r="O1808" t="s">
        <v>139</v>
      </c>
      <c r="P1808" s="2">
        <v>647.6</v>
      </c>
      <c r="Q1808" s="2">
        <v>97.14</v>
      </c>
      <c r="R1808" t="s">
        <v>79</v>
      </c>
      <c r="S1808">
        <v>1</v>
      </c>
      <c r="T1808">
        <v>0</v>
      </c>
      <c r="U1808">
        <f>IF(AND(OR(Dashboard!$D$4="Semua",D1808=Dashboard!$D$4),OR(Dashboard!$H$4="Semua",E1808=Dashboard!$H$4)),1,0)</f>
        <v>1</v>
      </c>
      <c r="V1808">
        <f>IF(U1808=1,IF(COUNTIFS($C$2:C1808,C1808,$U$2:U1808,1)=1,1,0),0)</f>
        <v>1</v>
      </c>
    </row>
    <row r="1809" spans="1:22" x14ac:dyDescent="0.35">
      <c r="A1809">
        <v>11808</v>
      </c>
      <c r="B1809" s="1">
        <v>46369</v>
      </c>
      <c r="C1809">
        <v>1961</v>
      </c>
      <c r="D1809" t="s">
        <v>67</v>
      </c>
      <c r="E1809" t="s">
        <v>74</v>
      </c>
      <c r="F1809">
        <v>6</v>
      </c>
      <c r="G1809" s="2">
        <v>550.58000000000004</v>
      </c>
      <c r="H1809">
        <v>0.09</v>
      </c>
      <c r="I1809" t="s">
        <v>64</v>
      </c>
      <c r="J1809">
        <v>4</v>
      </c>
      <c r="K1809">
        <v>4.4000000000000004</v>
      </c>
      <c r="L1809" s="2">
        <v>3006.17</v>
      </c>
      <c r="M1809">
        <v>2026</v>
      </c>
      <c r="N1809">
        <v>12</v>
      </c>
      <c r="O1809" t="s">
        <v>139</v>
      </c>
      <c r="P1809" s="2">
        <v>3303.48</v>
      </c>
      <c r="Q1809" s="2">
        <v>297.31</v>
      </c>
      <c r="R1809" t="s">
        <v>69</v>
      </c>
      <c r="S1809">
        <v>1</v>
      </c>
      <c r="T1809">
        <v>0</v>
      </c>
      <c r="U1809">
        <f>IF(AND(OR(Dashboard!$D$4="Semua",D1809=Dashboard!$D$4),OR(Dashboard!$H$4="Semua",E1809=Dashboard!$H$4)),1,0)</f>
        <v>1</v>
      </c>
      <c r="V1809">
        <f>IF(U1809=1,IF(COUNTIFS($C$2:C1809,C1809,$U$2:U1809,1)=1,1,0),0)</f>
        <v>0</v>
      </c>
    </row>
    <row r="1810" spans="1:22" x14ac:dyDescent="0.35">
      <c r="A1810">
        <v>11809</v>
      </c>
      <c r="B1810" s="1">
        <v>46370</v>
      </c>
      <c r="C1810">
        <v>1236</v>
      </c>
      <c r="D1810" t="s">
        <v>80</v>
      </c>
      <c r="E1810" t="s">
        <v>78</v>
      </c>
      <c r="F1810">
        <v>7</v>
      </c>
      <c r="G1810" s="2">
        <v>513.72</v>
      </c>
      <c r="H1810">
        <v>0.25</v>
      </c>
      <c r="I1810" t="s">
        <v>68</v>
      </c>
      <c r="J1810">
        <v>4</v>
      </c>
      <c r="K1810">
        <v>3.1</v>
      </c>
      <c r="L1810" s="2">
        <v>2697.03</v>
      </c>
      <c r="M1810">
        <v>2026</v>
      </c>
      <c r="N1810">
        <v>12</v>
      </c>
      <c r="O1810" t="s">
        <v>139</v>
      </c>
      <c r="P1810" s="2">
        <v>3596.04</v>
      </c>
      <c r="Q1810" s="2">
        <v>899.01</v>
      </c>
      <c r="R1810" t="s">
        <v>77</v>
      </c>
      <c r="S1810">
        <v>1</v>
      </c>
      <c r="T1810">
        <v>0</v>
      </c>
      <c r="U1810">
        <f>IF(AND(OR(Dashboard!$D$4="Semua",D1810=Dashboard!$D$4),OR(Dashboard!$H$4="Semua",E1810=Dashboard!$H$4)),1,0)</f>
        <v>1</v>
      </c>
      <c r="V1810">
        <f>IF(U1810=1,IF(COUNTIFS($C$2:C1810,C1810,$U$2:U1810,1)=1,1,0),0)</f>
        <v>0</v>
      </c>
    </row>
    <row r="1811" spans="1:22" x14ac:dyDescent="0.35">
      <c r="A1811">
        <v>11810</v>
      </c>
      <c r="B1811" s="1">
        <v>46371</v>
      </c>
      <c r="C1811">
        <v>1280</v>
      </c>
      <c r="D1811" t="s">
        <v>73</v>
      </c>
      <c r="E1811" t="s">
        <v>74</v>
      </c>
      <c r="F1811">
        <v>1</v>
      </c>
      <c r="G1811" s="2">
        <v>354.2</v>
      </c>
      <c r="H1811">
        <v>0.04</v>
      </c>
      <c r="I1811" t="s">
        <v>71</v>
      </c>
      <c r="J1811">
        <v>8</v>
      </c>
      <c r="K1811">
        <v>3.2</v>
      </c>
      <c r="L1811" s="2">
        <v>340.03</v>
      </c>
      <c r="M1811">
        <v>2026</v>
      </c>
      <c r="N1811">
        <v>12</v>
      </c>
      <c r="O1811" t="s">
        <v>139</v>
      </c>
      <c r="P1811" s="2">
        <v>354.2</v>
      </c>
      <c r="Q1811" s="2">
        <v>14.17</v>
      </c>
      <c r="R1811" t="s">
        <v>75</v>
      </c>
      <c r="S1811">
        <v>1</v>
      </c>
      <c r="T1811">
        <v>0</v>
      </c>
      <c r="U1811">
        <f>IF(AND(OR(Dashboard!$D$4="Semua",D1811=Dashboard!$D$4),OR(Dashboard!$H$4="Semua",E1811=Dashboard!$H$4)),1,0)</f>
        <v>1</v>
      </c>
      <c r="V1811">
        <f>IF(U1811=1,IF(COUNTIFS($C$2:C1811,C1811,$U$2:U1811,1)=1,1,0),0)</f>
        <v>0</v>
      </c>
    </row>
    <row r="1812" spans="1:22" x14ac:dyDescent="0.35">
      <c r="A1812">
        <v>11811</v>
      </c>
      <c r="B1812" s="1">
        <v>46372</v>
      </c>
      <c r="C1812">
        <v>1358</v>
      </c>
      <c r="D1812" t="s">
        <v>67</v>
      </c>
      <c r="E1812" t="s">
        <v>74</v>
      </c>
      <c r="F1812">
        <v>7</v>
      </c>
      <c r="G1812" s="2">
        <v>319.39999999999998</v>
      </c>
      <c r="H1812">
        <v>0.02</v>
      </c>
      <c r="I1812" t="s">
        <v>64</v>
      </c>
      <c r="J1812">
        <v>2</v>
      </c>
      <c r="K1812">
        <v>3.3</v>
      </c>
      <c r="L1812" s="2">
        <v>2191.08</v>
      </c>
      <c r="M1812">
        <v>2026</v>
      </c>
      <c r="N1812">
        <v>12</v>
      </c>
      <c r="O1812" t="s">
        <v>139</v>
      </c>
      <c r="P1812" s="2">
        <v>2235.8000000000002</v>
      </c>
      <c r="Q1812" s="2">
        <v>44.72</v>
      </c>
      <c r="R1812" t="s">
        <v>75</v>
      </c>
      <c r="S1812">
        <v>1</v>
      </c>
      <c r="T1812">
        <v>0</v>
      </c>
      <c r="U1812">
        <f>IF(AND(OR(Dashboard!$D$4="Semua",D1812=Dashboard!$D$4),OR(Dashboard!$H$4="Semua",E1812=Dashboard!$H$4)),1,0)</f>
        <v>1</v>
      </c>
      <c r="V1812">
        <f>IF(U1812=1,IF(COUNTIFS($C$2:C1812,C1812,$U$2:U1812,1)=1,1,0),0)</f>
        <v>0</v>
      </c>
    </row>
    <row r="1813" spans="1:22" x14ac:dyDescent="0.35">
      <c r="A1813">
        <v>11812</v>
      </c>
      <c r="B1813" s="1">
        <v>46373</v>
      </c>
      <c r="C1813">
        <v>1200</v>
      </c>
      <c r="D1813" t="s">
        <v>73</v>
      </c>
      <c r="E1813" t="s">
        <v>70</v>
      </c>
      <c r="F1813">
        <v>6</v>
      </c>
      <c r="G1813" s="2">
        <v>559.47</v>
      </c>
      <c r="H1813">
        <v>0.27</v>
      </c>
      <c r="I1813" t="s">
        <v>64</v>
      </c>
      <c r="J1813">
        <v>5</v>
      </c>
      <c r="K1813">
        <v>5</v>
      </c>
      <c r="L1813" s="2">
        <v>2450.48</v>
      </c>
      <c r="M1813">
        <v>2026</v>
      </c>
      <c r="N1813">
        <v>12</v>
      </c>
      <c r="O1813" t="s">
        <v>139</v>
      </c>
      <c r="P1813" s="2">
        <v>3356.82</v>
      </c>
      <c r="Q1813" s="2">
        <v>906.34</v>
      </c>
      <c r="R1813" t="s">
        <v>66</v>
      </c>
      <c r="S1813">
        <v>1</v>
      </c>
      <c r="T1813">
        <v>0</v>
      </c>
      <c r="U1813">
        <f>IF(AND(OR(Dashboard!$D$4="Semua",D1813=Dashboard!$D$4),OR(Dashboard!$H$4="Semua",E1813=Dashboard!$H$4)),1,0)</f>
        <v>1</v>
      </c>
      <c r="V1813">
        <f>IF(U1813=1,IF(COUNTIFS($C$2:C1813,C1813,$U$2:U1813,1)=1,1,0),0)</f>
        <v>0</v>
      </c>
    </row>
    <row r="1814" spans="1:22" x14ac:dyDescent="0.35">
      <c r="A1814">
        <v>11813</v>
      </c>
      <c r="B1814" s="1">
        <v>46374</v>
      </c>
      <c r="C1814">
        <v>1757</v>
      </c>
      <c r="D1814" t="s">
        <v>73</v>
      </c>
      <c r="E1814" t="s">
        <v>78</v>
      </c>
      <c r="F1814">
        <v>3</v>
      </c>
      <c r="G1814" s="2">
        <v>560.47</v>
      </c>
      <c r="H1814">
        <v>0.23</v>
      </c>
      <c r="I1814" t="s">
        <v>68</v>
      </c>
      <c r="J1814">
        <v>2</v>
      </c>
      <c r="K1814">
        <v>1.4</v>
      </c>
      <c r="L1814" s="2">
        <v>1294.69</v>
      </c>
      <c r="M1814">
        <v>2026</v>
      </c>
      <c r="N1814">
        <v>12</v>
      </c>
      <c r="O1814" t="s">
        <v>139</v>
      </c>
      <c r="P1814" s="2">
        <v>1681.41</v>
      </c>
      <c r="Q1814" s="2">
        <v>386.72</v>
      </c>
      <c r="R1814" t="s">
        <v>77</v>
      </c>
      <c r="S1814">
        <v>1</v>
      </c>
      <c r="T1814">
        <v>0</v>
      </c>
      <c r="U1814">
        <f>IF(AND(OR(Dashboard!$D$4="Semua",D1814=Dashboard!$D$4),OR(Dashboard!$H$4="Semua",E1814=Dashboard!$H$4)),1,0)</f>
        <v>1</v>
      </c>
      <c r="V1814">
        <f>IF(U1814=1,IF(COUNTIFS($C$2:C1814,C1814,$U$2:U1814,1)=1,1,0),0)</f>
        <v>0</v>
      </c>
    </row>
    <row r="1815" spans="1:22" x14ac:dyDescent="0.35">
      <c r="A1815">
        <v>11814</v>
      </c>
      <c r="B1815" s="1">
        <v>46375</v>
      </c>
      <c r="C1815">
        <v>1277</v>
      </c>
      <c r="D1815" t="s">
        <v>67</v>
      </c>
      <c r="E1815" t="s">
        <v>63</v>
      </c>
      <c r="F1815">
        <v>7</v>
      </c>
      <c r="G1815" s="2">
        <v>582.05999999999995</v>
      </c>
      <c r="H1815">
        <v>0.17</v>
      </c>
      <c r="I1815" t="s">
        <v>71</v>
      </c>
      <c r="J1815">
        <v>6</v>
      </c>
      <c r="K1815">
        <v>4.2</v>
      </c>
      <c r="L1815" s="2">
        <v>3381.77</v>
      </c>
      <c r="M1815">
        <v>2026</v>
      </c>
      <c r="N1815">
        <v>12</v>
      </c>
      <c r="O1815" t="s">
        <v>139</v>
      </c>
      <c r="P1815" s="2">
        <v>4074.42</v>
      </c>
      <c r="Q1815" s="2">
        <v>692.65</v>
      </c>
      <c r="R1815" t="s">
        <v>76</v>
      </c>
      <c r="S1815">
        <v>1</v>
      </c>
      <c r="T1815">
        <v>1</v>
      </c>
      <c r="U1815">
        <f>IF(AND(OR(Dashboard!$D$4="Semua",D1815=Dashboard!$D$4),OR(Dashboard!$H$4="Semua",E1815=Dashboard!$H$4)),1,0)</f>
        <v>1</v>
      </c>
      <c r="V1815">
        <f>IF(U1815=1,IF(COUNTIFS($C$2:C1815,C1815,$U$2:U1815,1)=1,1,0),0)</f>
        <v>1</v>
      </c>
    </row>
    <row r="1816" spans="1:22" x14ac:dyDescent="0.35">
      <c r="A1816">
        <v>11815</v>
      </c>
      <c r="B1816" s="1">
        <v>46376</v>
      </c>
      <c r="C1816">
        <v>1234</v>
      </c>
      <c r="D1816" t="s">
        <v>67</v>
      </c>
      <c r="E1816" t="s">
        <v>63</v>
      </c>
      <c r="F1816">
        <v>5</v>
      </c>
      <c r="G1816" s="2">
        <v>88.35</v>
      </c>
      <c r="H1816">
        <v>0.16</v>
      </c>
      <c r="I1816" t="s">
        <v>68</v>
      </c>
      <c r="J1816">
        <v>9</v>
      </c>
      <c r="K1816">
        <v>2.1</v>
      </c>
      <c r="L1816" s="2">
        <v>371.07</v>
      </c>
      <c r="M1816">
        <v>2026</v>
      </c>
      <c r="N1816">
        <v>12</v>
      </c>
      <c r="O1816" t="s">
        <v>139</v>
      </c>
      <c r="P1816" s="2">
        <v>441.75</v>
      </c>
      <c r="Q1816" s="2">
        <v>70.680000000000007</v>
      </c>
      <c r="R1816" t="s">
        <v>76</v>
      </c>
      <c r="S1816">
        <v>1</v>
      </c>
      <c r="T1816">
        <v>0</v>
      </c>
      <c r="U1816">
        <f>IF(AND(OR(Dashboard!$D$4="Semua",D1816=Dashboard!$D$4),OR(Dashboard!$H$4="Semua",E1816=Dashboard!$H$4)),1,0)</f>
        <v>1</v>
      </c>
      <c r="V1816">
        <f>IF(U1816=1,IF(COUNTIFS($C$2:C1816,C1816,$U$2:U1816,1)=1,1,0),0)</f>
        <v>0</v>
      </c>
    </row>
    <row r="1817" spans="1:22" x14ac:dyDescent="0.35">
      <c r="A1817">
        <v>11816</v>
      </c>
      <c r="B1817" s="1">
        <v>46377</v>
      </c>
      <c r="C1817">
        <v>1493</v>
      </c>
      <c r="D1817" t="s">
        <v>62</v>
      </c>
      <c r="E1817" t="s">
        <v>63</v>
      </c>
      <c r="F1817">
        <v>3</v>
      </c>
      <c r="G1817" s="2">
        <v>108.93</v>
      </c>
      <c r="H1817">
        <v>0.17</v>
      </c>
      <c r="I1817" t="s">
        <v>71</v>
      </c>
      <c r="J1817">
        <v>9</v>
      </c>
      <c r="K1817">
        <v>2.4</v>
      </c>
      <c r="L1817" s="2">
        <v>271.24</v>
      </c>
      <c r="M1817">
        <v>2026</v>
      </c>
      <c r="N1817">
        <v>12</v>
      </c>
      <c r="O1817" t="s">
        <v>139</v>
      </c>
      <c r="P1817" s="2">
        <v>326.79000000000002</v>
      </c>
      <c r="Q1817" s="2">
        <v>55.55</v>
      </c>
      <c r="R1817" t="s">
        <v>76</v>
      </c>
      <c r="S1817">
        <v>1</v>
      </c>
      <c r="T1817">
        <v>0</v>
      </c>
      <c r="U1817">
        <f>IF(AND(OR(Dashboard!$D$4="Semua",D1817=Dashboard!$D$4),OR(Dashboard!$H$4="Semua",E1817=Dashboard!$H$4)),1,0)</f>
        <v>1</v>
      </c>
      <c r="V1817">
        <f>IF(U1817=1,IF(COUNTIFS($C$2:C1817,C1817,$U$2:U1817,1)=1,1,0),0)</f>
        <v>1</v>
      </c>
    </row>
    <row r="1818" spans="1:22" x14ac:dyDescent="0.35">
      <c r="A1818">
        <v>11817</v>
      </c>
      <c r="B1818" s="1">
        <v>46378</v>
      </c>
      <c r="C1818">
        <v>1003</v>
      </c>
      <c r="D1818" t="s">
        <v>67</v>
      </c>
      <c r="E1818" t="s">
        <v>78</v>
      </c>
      <c r="F1818">
        <v>3</v>
      </c>
      <c r="G1818" s="2">
        <v>410.89</v>
      </c>
      <c r="H1818">
        <v>0.15</v>
      </c>
      <c r="I1818" t="s">
        <v>68</v>
      </c>
      <c r="J1818">
        <v>1</v>
      </c>
      <c r="K1818">
        <v>1.3</v>
      </c>
      <c r="L1818" s="2">
        <v>1047.77</v>
      </c>
      <c r="M1818">
        <v>2026</v>
      </c>
      <c r="N1818">
        <v>12</v>
      </c>
      <c r="O1818" t="s">
        <v>139</v>
      </c>
      <c r="P1818" s="2">
        <v>1232.67</v>
      </c>
      <c r="Q1818" s="2">
        <v>184.9</v>
      </c>
      <c r="R1818" t="s">
        <v>79</v>
      </c>
      <c r="S1818">
        <v>1</v>
      </c>
      <c r="T1818">
        <v>0</v>
      </c>
      <c r="U1818">
        <f>IF(AND(OR(Dashboard!$D$4="Semua",D1818=Dashboard!$D$4),OR(Dashboard!$H$4="Semua",E1818=Dashboard!$H$4)),1,0)</f>
        <v>1</v>
      </c>
      <c r="V1818">
        <f>IF(U1818=1,IF(COUNTIFS($C$2:C1818,C1818,$U$2:U1818,1)=1,1,0),0)</f>
        <v>0</v>
      </c>
    </row>
    <row r="1819" spans="1:22" x14ac:dyDescent="0.35">
      <c r="A1819">
        <v>11818</v>
      </c>
      <c r="B1819" s="1">
        <v>46379</v>
      </c>
      <c r="C1819">
        <v>1665</v>
      </c>
      <c r="D1819" t="s">
        <v>62</v>
      </c>
      <c r="E1819" t="s">
        <v>63</v>
      </c>
      <c r="F1819">
        <v>3</v>
      </c>
      <c r="G1819" s="2">
        <v>331.74</v>
      </c>
      <c r="H1819">
        <v>0.14000000000000001</v>
      </c>
      <c r="I1819" t="s">
        <v>64</v>
      </c>
      <c r="J1819">
        <v>4</v>
      </c>
      <c r="K1819">
        <v>2.4</v>
      </c>
      <c r="L1819" s="2">
        <v>855.89</v>
      </c>
      <c r="M1819">
        <v>2026</v>
      </c>
      <c r="N1819">
        <v>12</v>
      </c>
      <c r="O1819" t="s">
        <v>139</v>
      </c>
      <c r="P1819" s="2">
        <v>995.22</v>
      </c>
      <c r="Q1819" s="2">
        <v>139.33000000000001</v>
      </c>
      <c r="R1819" t="s">
        <v>79</v>
      </c>
      <c r="S1819">
        <v>1</v>
      </c>
      <c r="T1819">
        <v>0</v>
      </c>
      <c r="U1819">
        <f>IF(AND(OR(Dashboard!$D$4="Semua",D1819=Dashboard!$D$4),OR(Dashboard!$H$4="Semua",E1819=Dashboard!$H$4)),1,0)</f>
        <v>1</v>
      </c>
      <c r="V1819">
        <f>IF(U1819=1,IF(COUNTIFS($C$2:C1819,C1819,$U$2:U1819,1)=1,1,0),0)</f>
        <v>0</v>
      </c>
    </row>
    <row r="1820" spans="1:22" x14ac:dyDescent="0.35">
      <c r="A1820">
        <v>11819</v>
      </c>
      <c r="B1820" s="1">
        <v>46380</v>
      </c>
      <c r="C1820">
        <v>1441</v>
      </c>
      <c r="D1820" t="s">
        <v>73</v>
      </c>
      <c r="E1820" t="s">
        <v>78</v>
      </c>
      <c r="F1820">
        <v>4</v>
      </c>
      <c r="G1820" s="2">
        <v>25.8</v>
      </c>
      <c r="H1820">
        <v>0.17</v>
      </c>
      <c r="I1820" t="s">
        <v>68</v>
      </c>
      <c r="J1820">
        <v>4</v>
      </c>
      <c r="K1820">
        <v>5</v>
      </c>
      <c r="L1820" s="2">
        <v>85.66</v>
      </c>
      <c r="M1820">
        <v>2026</v>
      </c>
      <c r="N1820">
        <v>12</v>
      </c>
      <c r="O1820" t="s">
        <v>139</v>
      </c>
      <c r="P1820" s="2">
        <v>103.2</v>
      </c>
      <c r="Q1820" s="2">
        <v>17.54</v>
      </c>
      <c r="R1820" t="s">
        <v>76</v>
      </c>
      <c r="S1820">
        <v>1</v>
      </c>
      <c r="T1820">
        <v>0</v>
      </c>
      <c r="U1820">
        <f>IF(AND(OR(Dashboard!$D$4="Semua",D1820=Dashboard!$D$4),OR(Dashboard!$H$4="Semua",E1820=Dashboard!$H$4)),1,0)</f>
        <v>1</v>
      </c>
      <c r="V1820">
        <f>IF(U1820=1,IF(COUNTIFS($C$2:C1820,C1820,$U$2:U1820,1)=1,1,0),0)</f>
        <v>0</v>
      </c>
    </row>
    <row r="1821" spans="1:22" x14ac:dyDescent="0.35">
      <c r="A1821">
        <v>11820</v>
      </c>
      <c r="B1821" s="1">
        <v>46381</v>
      </c>
      <c r="C1821">
        <v>1028</v>
      </c>
      <c r="D1821" t="s">
        <v>73</v>
      </c>
      <c r="E1821" t="s">
        <v>70</v>
      </c>
      <c r="F1821">
        <v>2</v>
      </c>
      <c r="G1821" s="2">
        <v>51.26</v>
      </c>
      <c r="H1821">
        <v>0.18</v>
      </c>
      <c r="I1821" t="s">
        <v>71</v>
      </c>
      <c r="J1821">
        <v>1</v>
      </c>
      <c r="K1821">
        <v>2.6</v>
      </c>
      <c r="L1821" s="2">
        <v>84.07</v>
      </c>
      <c r="M1821">
        <v>2026</v>
      </c>
      <c r="N1821">
        <v>12</v>
      </c>
      <c r="O1821" t="s">
        <v>139</v>
      </c>
      <c r="P1821" s="2">
        <v>102.52</v>
      </c>
      <c r="Q1821" s="2">
        <v>18.45</v>
      </c>
      <c r="R1821" t="s">
        <v>76</v>
      </c>
      <c r="S1821">
        <v>1</v>
      </c>
      <c r="T1821">
        <v>0</v>
      </c>
      <c r="U1821">
        <f>IF(AND(OR(Dashboard!$D$4="Semua",D1821=Dashboard!$D$4),OR(Dashboard!$H$4="Semua",E1821=Dashboard!$H$4)),1,0)</f>
        <v>1</v>
      </c>
      <c r="V1821">
        <f>IF(U1821=1,IF(COUNTIFS($C$2:C1821,C1821,$U$2:U1821,1)=1,1,0),0)</f>
        <v>0</v>
      </c>
    </row>
    <row r="1822" spans="1:22" x14ac:dyDescent="0.35">
      <c r="A1822">
        <v>11821</v>
      </c>
      <c r="B1822" s="1">
        <v>46382</v>
      </c>
      <c r="C1822">
        <v>1108</v>
      </c>
      <c r="D1822" t="s">
        <v>73</v>
      </c>
      <c r="E1822" t="s">
        <v>70</v>
      </c>
      <c r="F1822">
        <v>2</v>
      </c>
      <c r="G1822" s="2">
        <v>534.53</v>
      </c>
      <c r="H1822">
        <v>0.24</v>
      </c>
      <c r="I1822" t="s">
        <v>71</v>
      </c>
      <c r="J1822">
        <v>10</v>
      </c>
      <c r="K1822">
        <v>3.7</v>
      </c>
      <c r="L1822" s="2">
        <v>812.49</v>
      </c>
      <c r="M1822">
        <v>2026</v>
      </c>
      <c r="N1822">
        <v>12</v>
      </c>
      <c r="O1822" t="s">
        <v>139</v>
      </c>
      <c r="P1822" s="2">
        <v>1069.06</v>
      </c>
      <c r="Q1822" s="2">
        <v>256.57</v>
      </c>
      <c r="R1822" t="s">
        <v>77</v>
      </c>
      <c r="S1822">
        <v>1</v>
      </c>
      <c r="T1822">
        <v>0</v>
      </c>
      <c r="U1822">
        <f>IF(AND(OR(Dashboard!$D$4="Semua",D1822=Dashboard!$D$4),OR(Dashboard!$H$4="Semua",E1822=Dashboard!$H$4)),1,0)</f>
        <v>1</v>
      </c>
      <c r="V1822">
        <f>IF(U1822=1,IF(COUNTIFS($C$2:C1822,C1822,$U$2:U1822,1)=1,1,0),0)</f>
        <v>0</v>
      </c>
    </row>
    <row r="1823" spans="1:22" x14ac:dyDescent="0.35">
      <c r="A1823">
        <v>11822</v>
      </c>
      <c r="B1823" s="1">
        <v>46383</v>
      </c>
      <c r="C1823">
        <v>1609</v>
      </c>
      <c r="D1823" t="s">
        <v>73</v>
      </c>
      <c r="E1823" t="s">
        <v>78</v>
      </c>
      <c r="F1823">
        <v>1</v>
      </c>
      <c r="G1823" s="2">
        <v>523.29</v>
      </c>
      <c r="H1823">
        <v>0.25</v>
      </c>
      <c r="I1823" t="s">
        <v>64</v>
      </c>
      <c r="J1823">
        <v>2</v>
      </c>
      <c r="K1823">
        <v>1.5</v>
      </c>
      <c r="L1823" s="2">
        <v>392.47</v>
      </c>
      <c r="M1823">
        <v>2026</v>
      </c>
      <c r="N1823">
        <v>12</v>
      </c>
      <c r="O1823" t="s">
        <v>139</v>
      </c>
      <c r="P1823" s="2">
        <v>523.29</v>
      </c>
      <c r="Q1823" s="2">
        <v>130.82</v>
      </c>
      <c r="R1823" t="s">
        <v>77</v>
      </c>
      <c r="S1823">
        <v>1</v>
      </c>
      <c r="T1823">
        <v>0</v>
      </c>
      <c r="U1823">
        <f>IF(AND(OR(Dashboard!$D$4="Semua",D1823=Dashboard!$D$4),OR(Dashboard!$H$4="Semua",E1823=Dashboard!$H$4)),1,0)</f>
        <v>1</v>
      </c>
      <c r="V1823">
        <f>IF(U1823=1,IF(COUNTIFS($C$2:C1823,C1823,$U$2:U1823,1)=1,1,0),0)</f>
        <v>0</v>
      </c>
    </row>
    <row r="1824" spans="1:22" x14ac:dyDescent="0.35">
      <c r="A1824">
        <v>11823</v>
      </c>
      <c r="B1824" s="1">
        <v>46384</v>
      </c>
      <c r="C1824">
        <v>1726</v>
      </c>
      <c r="D1824" t="s">
        <v>67</v>
      </c>
      <c r="E1824" t="s">
        <v>63</v>
      </c>
      <c r="F1824">
        <v>3</v>
      </c>
      <c r="G1824" s="2">
        <v>224</v>
      </c>
      <c r="H1824">
        <v>0.13</v>
      </c>
      <c r="I1824" t="s">
        <v>71</v>
      </c>
      <c r="J1824">
        <v>6</v>
      </c>
      <c r="K1824">
        <v>4.7</v>
      </c>
      <c r="L1824" s="2">
        <v>584.64</v>
      </c>
      <c r="M1824">
        <v>2026</v>
      </c>
      <c r="N1824">
        <v>12</v>
      </c>
      <c r="O1824" t="s">
        <v>139</v>
      </c>
      <c r="P1824" s="2">
        <v>672</v>
      </c>
      <c r="Q1824" s="2">
        <v>87.36</v>
      </c>
      <c r="R1824" t="s">
        <v>79</v>
      </c>
      <c r="S1824">
        <v>1</v>
      </c>
      <c r="T1824">
        <v>0</v>
      </c>
      <c r="U1824">
        <f>IF(AND(OR(Dashboard!$D$4="Semua",D1824=Dashboard!$D$4),OR(Dashboard!$H$4="Semua",E1824=Dashboard!$H$4)),1,0)</f>
        <v>1</v>
      </c>
      <c r="V1824">
        <f>IF(U1824=1,IF(COUNTIFS($C$2:C1824,C1824,$U$2:U1824,1)=1,1,0),0)</f>
        <v>0</v>
      </c>
    </row>
    <row r="1825" spans="1:22" x14ac:dyDescent="0.35">
      <c r="A1825">
        <v>11824</v>
      </c>
      <c r="B1825" s="1">
        <v>46385</v>
      </c>
      <c r="C1825">
        <v>1804</v>
      </c>
      <c r="D1825" t="s">
        <v>67</v>
      </c>
      <c r="E1825" t="s">
        <v>78</v>
      </c>
      <c r="F1825">
        <v>2</v>
      </c>
      <c r="G1825" s="2">
        <v>536.26</v>
      </c>
      <c r="H1825">
        <v>0.14000000000000001</v>
      </c>
      <c r="I1825" t="s">
        <v>68</v>
      </c>
      <c r="J1825">
        <v>10</v>
      </c>
      <c r="K1825">
        <v>4.3</v>
      </c>
      <c r="L1825" s="2">
        <v>922.37</v>
      </c>
      <c r="M1825">
        <v>2026</v>
      </c>
      <c r="N1825">
        <v>12</v>
      </c>
      <c r="O1825" t="s">
        <v>139</v>
      </c>
      <c r="P1825" s="2">
        <v>1072.52</v>
      </c>
      <c r="Q1825" s="2">
        <v>150.15</v>
      </c>
      <c r="R1825" t="s">
        <v>79</v>
      </c>
      <c r="S1825">
        <v>1</v>
      </c>
      <c r="T1825">
        <v>0</v>
      </c>
      <c r="U1825">
        <f>IF(AND(OR(Dashboard!$D$4="Semua",D1825=Dashboard!$D$4),OR(Dashboard!$H$4="Semua",E1825=Dashboard!$H$4)),1,0)</f>
        <v>1</v>
      </c>
      <c r="V1825">
        <f>IF(U1825=1,IF(COUNTIFS($C$2:C1825,C1825,$U$2:U1825,1)=1,1,0),0)</f>
        <v>0</v>
      </c>
    </row>
    <row r="1826" spans="1:22" x14ac:dyDescent="0.35">
      <c r="A1826">
        <v>11825</v>
      </c>
      <c r="B1826" s="1">
        <v>46386</v>
      </c>
      <c r="C1826">
        <v>1074</v>
      </c>
      <c r="D1826" t="s">
        <v>73</v>
      </c>
      <c r="E1826" t="s">
        <v>78</v>
      </c>
      <c r="F1826">
        <v>1</v>
      </c>
      <c r="G1826" s="2">
        <v>362.3</v>
      </c>
      <c r="H1826">
        <v>0.13</v>
      </c>
      <c r="I1826" t="s">
        <v>68</v>
      </c>
      <c r="J1826">
        <v>3</v>
      </c>
      <c r="K1826">
        <v>2.5</v>
      </c>
      <c r="L1826" s="2">
        <v>315.2</v>
      </c>
      <c r="M1826">
        <v>2026</v>
      </c>
      <c r="N1826">
        <v>12</v>
      </c>
      <c r="O1826" t="s">
        <v>139</v>
      </c>
      <c r="P1826" s="2">
        <v>362.3</v>
      </c>
      <c r="Q1826" s="2">
        <v>47.1</v>
      </c>
      <c r="R1826" t="s">
        <v>79</v>
      </c>
      <c r="S1826">
        <v>1</v>
      </c>
      <c r="T1826">
        <v>0</v>
      </c>
      <c r="U1826">
        <f>IF(AND(OR(Dashboard!$D$4="Semua",D1826=Dashboard!$D$4),OR(Dashboard!$H$4="Semua",E1826=Dashboard!$H$4)),1,0)</f>
        <v>1</v>
      </c>
      <c r="V1826">
        <f>IF(U1826=1,IF(COUNTIFS($C$2:C1826,C1826,$U$2:U1826,1)=1,1,0),0)</f>
        <v>0</v>
      </c>
    </row>
    <row r="1827" spans="1:22" x14ac:dyDescent="0.35">
      <c r="A1827">
        <v>11826</v>
      </c>
      <c r="B1827" s="1">
        <v>46387</v>
      </c>
      <c r="C1827">
        <v>1837</v>
      </c>
      <c r="D1827" t="s">
        <v>62</v>
      </c>
      <c r="E1827" t="s">
        <v>74</v>
      </c>
      <c r="F1827">
        <v>4</v>
      </c>
      <c r="G1827" s="2">
        <v>486.45</v>
      </c>
      <c r="H1827">
        <v>0.19</v>
      </c>
      <c r="I1827" t="s">
        <v>68</v>
      </c>
      <c r="J1827">
        <v>9</v>
      </c>
      <c r="K1827">
        <v>2.4</v>
      </c>
      <c r="L1827" s="2">
        <v>1576.1</v>
      </c>
      <c r="M1827">
        <v>2026</v>
      </c>
      <c r="N1827">
        <v>12</v>
      </c>
      <c r="O1827" t="s">
        <v>139</v>
      </c>
      <c r="P1827" s="2">
        <v>1945.8</v>
      </c>
      <c r="Q1827" s="2">
        <v>369.7</v>
      </c>
      <c r="R1827" t="s">
        <v>76</v>
      </c>
      <c r="S1827">
        <v>1</v>
      </c>
      <c r="T1827">
        <v>0</v>
      </c>
      <c r="U1827">
        <f>IF(AND(OR(Dashboard!$D$4="Semua",D1827=Dashboard!$D$4),OR(Dashboard!$H$4="Semua",E1827=Dashboard!$H$4)),1,0)</f>
        <v>1</v>
      </c>
      <c r="V1827">
        <f>IF(U1827=1,IF(COUNTIFS($C$2:C1827,C1827,$U$2:U1827,1)=1,1,0),0)</f>
        <v>0</v>
      </c>
    </row>
    <row r="1828" spans="1:22" x14ac:dyDescent="0.35">
      <c r="A1828">
        <v>11827</v>
      </c>
      <c r="B1828" s="1">
        <v>46388</v>
      </c>
      <c r="C1828">
        <v>1145</v>
      </c>
      <c r="D1828" t="s">
        <v>80</v>
      </c>
      <c r="E1828" t="s">
        <v>78</v>
      </c>
      <c r="F1828">
        <v>3</v>
      </c>
      <c r="G1828" s="2">
        <v>265.05</v>
      </c>
      <c r="H1828">
        <v>0.16</v>
      </c>
      <c r="I1828" t="s">
        <v>71</v>
      </c>
      <c r="J1828">
        <v>3</v>
      </c>
      <c r="K1828">
        <v>2.7</v>
      </c>
      <c r="L1828" s="2">
        <v>667.93</v>
      </c>
      <c r="M1828">
        <v>2027</v>
      </c>
      <c r="N1828">
        <v>1</v>
      </c>
      <c r="O1828" t="s">
        <v>140</v>
      </c>
      <c r="P1828" s="2">
        <v>795.15</v>
      </c>
      <c r="Q1828" s="2">
        <v>127.22</v>
      </c>
      <c r="R1828" t="s">
        <v>76</v>
      </c>
      <c r="S1828">
        <v>1</v>
      </c>
      <c r="T1828">
        <v>0</v>
      </c>
      <c r="U1828">
        <f>IF(AND(OR(Dashboard!$D$4="Semua",D1828=Dashboard!$D$4),OR(Dashboard!$H$4="Semua",E1828=Dashboard!$H$4)),1,0)</f>
        <v>1</v>
      </c>
      <c r="V1828">
        <f>IF(U1828=1,IF(COUNTIFS($C$2:C1828,C1828,$U$2:U1828,1)=1,1,0),0)</f>
        <v>0</v>
      </c>
    </row>
    <row r="1829" spans="1:22" x14ac:dyDescent="0.35">
      <c r="A1829">
        <v>11828</v>
      </c>
      <c r="B1829" s="1">
        <v>46389</v>
      </c>
      <c r="C1829">
        <v>1127</v>
      </c>
      <c r="D1829" t="s">
        <v>73</v>
      </c>
      <c r="E1829" t="s">
        <v>74</v>
      </c>
      <c r="F1829">
        <v>5</v>
      </c>
      <c r="G1829" s="2">
        <v>81.34</v>
      </c>
      <c r="H1829">
        <v>0.31</v>
      </c>
      <c r="I1829" t="s">
        <v>71</v>
      </c>
      <c r="J1829">
        <v>3</v>
      </c>
      <c r="K1829">
        <v>2.6</v>
      </c>
      <c r="L1829" s="2">
        <v>280.62</v>
      </c>
      <c r="M1829">
        <v>2027</v>
      </c>
      <c r="N1829">
        <v>1</v>
      </c>
      <c r="O1829" t="s">
        <v>140</v>
      </c>
      <c r="P1829" s="2">
        <v>406.7</v>
      </c>
      <c r="Q1829" s="2">
        <v>126.08</v>
      </c>
      <c r="R1829" t="s">
        <v>72</v>
      </c>
      <c r="S1829">
        <v>1</v>
      </c>
      <c r="T1829">
        <v>0</v>
      </c>
      <c r="U1829">
        <f>IF(AND(OR(Dashboard!$D$4="Semua",D1829=Dashboard!$D$4),OR(Dashboard!$H$4="Semua",E1829=Dashboard!$H$4)),1,0)</f>
        <v>1</v>
      </c>
      <c r="V1829">
        <f>IF(U1829=1,IF(COUNTIFS($C$2:C1829,C1829,$U$2:U1829,1)=1,1,0),0)</f>
        <v>0</v>
      </c>
    </row>
    <row r="1830" spans="1:22" x14ac:dyDescent="0.35">
      <c r="A1830">
        <v>11829</v>
      </c>
      <c r="B1830" s="1">
        <v>46390</v>
      </c>
      <c r="C1830">
        <v>1852</v>
      </c>
      <c r="D1830" t="s">
        <v>73</v>
      </c>
      <c r="E1830" t="s">
        <v>70</v>
      </c>
      <c r="F1830">
        <v>4</v>
      </c>
      <c r="G1830" s="2">
        <v>268.73</v>
      </c>
      <c r="H1830">
        <v>0.24</v>
      </c>
      <c r="I1830" t="s">
        <v>71</v>
      </c>
      <c r="J1830">
        <v>9</v>
      </c>
      <c r="K1830">
        <v>2</v>
      </c>
      <c r="L1830" s="2">
        <v>816.94</v>
      </c>
      <c r="M1830">
        <v>2027</v>
      </c>
      <c r="N1830">
        <v>1</v>
      </c>
      <c r="O1830" t="s">
        <v>140</v>
      </c>
      <c r="P1830" s="2">
        <v>1074.92</v>
      </c>
      <c r="Q1830" s="2">
        <v>257.98</v>
      </c>
      <c r="R1830" t="s">
        <v>77</v>
      </c>
      <c r="S1830">
        <v>1</v>
      </c>
      <c r="T1830">
        <v>0</v>
      </c>
      <c r="U1830">
        <f>IF(AND(OR(Dashboard!$D$4="Semua",D1830=Dashboard!$D$4),OR(Dashboard!$H$4="Semua",E1830=Dashboard!$H$4)),1,0)</f>
        <v>1</v>
      </c>
      <c r="V1830">
        <f>IF(U1830=1,IF(COUNTIFS($C$2:C1830,C1830,$U$2:U1830,1)=1,1,0),0)</f>
        <v>0</v>
      </c>
    </row>
    <row r="1831" spans="1:22" x14ac:dyDescent="0.35">
      <c r="A1831">
        <v>11830</v>
      </c>
      <c r="B1831" s="1">
        <v>46391</v>
      </c>
      <c r="C1831">
        <v>1041</v>
      </c>
      <c r="D1831" t="s">
        <v>73</v>
      </c>
      <c r="E1831" t="s">
        <v>74</v>
      </c>
      <c r="F1831">
        <v>1</v>
      </c>
      <c r="G1831" s="2">
        <v>282.52</v>
      </c>
      <c r="H1831">
        <v>0.31</v>
      </c>
      <c r="I1831" t="s">
        <v>68</v>
      </c>
      <c r="J1831">
        <v>3</v>
      </c>
      <c r="K1831">
        <v>5</v>
      </c>
      <c r="L1831" s="2">
        <v>194.94</v>
      </c>
      <c r="M1831">
        <v>2027</v>
      </c>
      <c r="N1831">
        <v>1</v>
      </c>
      <c r="O1831" t="s">
        <v>140</v>
      </c>
      <c r="P1831" s="2">
        <v>282.52</v>
      </c>
      <c r="Q1831" s="2">
        <v>87.58</v>
      </c>
      <c r="R1831" t="s">
        <v>72</v>
      </c>
      <c r="S1831">
        <v>1</v>
      </c>
      <c r="T1831">
        <v>0</v>
      </c>
      <c r="U1831">
        <f>IF(AND(OR(Dashboard!$D$4="Semua",D1831=Dashboard!$D$4),OR(Dashboard!$H$4="Semua",E1831=Dashboard!$H$4)),1,0)</f>
        <v>1</v>
      </c>
      <c r="V1831">
        <f>IF(U1831=1,IF(COUNTIFS($C$2:C1831,C1831,$U$2:U1831,1)=1,1,0),0)</f>
        <v>0</v>
      </c>
    </row>
    <row r="1832" spans="1:22" x14ac:dyDescent="0.35">
      <c r="A1832">
        <v>11831</v>
      </c>
      <c r="B1832" s="1">
        <v>46392</v>
      </c>
      <c r="C1832">
        <v>1355</v>
      </c>
      <c r="D1832" t="s">
        <v>73</v>
      </c>
      <c r="E1832" t="s">
        <v>78</v>
      </c>
      <c r="F1832">
        <v>4</v>
      </c>
      <c r="G1832" s="2">
        <v>337.3</v>
      </c>
      <c r="H1832">
        <v>0.25</v>
      </c>
      <c r="I1832" t="s">
        <v>71</v>
      </c>
      <c r="J1832">
        <v>6</v>
      </c>
      <c r="K1832">
        <v>4.2</v>
      </c>
      <c r="L1832" s="2">
        <v>1011.9</v>
      </c>
      <c r="M1832">
        <v>2027</v>
      </c>
      <c r="N1832">
        <v>1</v>
      </c>
      <c r="O1832" t="s">
        <v>140</v>
      </c>
      <c r="P1832" s="2">
        <v>1349.2</v>
      </c>
      <c r="Q1832" s="2">
        <v>337.3</v>
      </c>
      <c r="R1832" t="s">
        <v>77</v>
      </c>
      <c r="S1832">
        <v>1</v>
      </c>
      <c r="T1832">
        <v>0</v>
      </c>
      <c r="U1832">
        <f>IF(AND(OR(Dashboard!$D$4="Semua",D1832=Dashboard!$D$4),OR(Dashboard!$H$4="Semua",E1832=Dashboard!$H$4)),1,0)</f>
        <v>1</v>
      </c>
      <c r="V1832">
        <f>IF(U1832=1,IF(COUNTIFS($C$2:C1832,C1832,$U$2:U1832,1)=1,1,0),0)</f>
        <v>0</v>
      </c>
    </row>
    <row r="1833" spans="1:22" x14ac:dyDescent="0.35">
      <c r="A1833">
        <v>11832</v>
      </c>
      <c r="B1833" s="1">
        <v>46393</v>
      </c>
      <c r="C1833">
        <v>1040</v>
      </c>
      <c r="D1833" t="s">
        <v>73</v>
      </c>
      <c r="E1833" t="s">
        <v>70</v>
      </c>
      <c r="F1833">
        <v>5</v>
      </c>
      <c r="G1833" s="2">
        <v>76.77</v>
      </c>
      <c r="H1833">
        <v>0.34</v>
      </c>
      <c r="I1833" t="s">
        <v>71</v>
      </c>
      <c r="J1833">
        <v>6</v>
      </c>
      <c r="K1833">
        <v>2.1</v>
      </c>
      <c r="L1833" s="2">
        <v>253.34</v>
      </c>
      <c r="M1833">
        <v>2027</v>
      </c>
      <c r="N1833">
        <v>1</v>
      </c>
      <c r="O1833" t="s">
        <v>140</v>
      </c>
      <c r="P1833" s="2">
        <v>383.85</v>
      </c>
      <c r="Q1833" s="2">
        <v>130.51</v>
      </c>
      <c r="R1833" t="s">
        <v>72</v>
      </c>
      <c r="S1833">
        <v>1</v>
      </c>
      <c r="T1833">
        <v>0</v>
      </c>
      <c r="U1833">
        <f>IF(AND(OR(Dashboard!$D$4="Semua",D1833=Dashboard!$D$4),OR(Dashboard!$H$4="Semua",E1833=Dashboard!$H$4)),1,0)</f>
        <v>1</v>
      </c>
      <c r="V1833">
        <f>IF(U1833=1,IF(COUNTIFS($C$2:C1833,C1833,$U$2:U1833,1)=1,1,0),0)</f>
        <v>0</v>
      </c>
    </row>
    <row r="1834" spans="1:22" x14ac:dyDescent="0.35">
      <c r="A1834">
        <v>11833</v>
      </c>
      <c r="B1834" s="1">
        <v>46394</v>
      </c>
      <c r="C1834">
        <v>1933</v>
      </c>
      <c r="D1834" t="s">
        <v>67</v>
      </c>
      <c r="E1834" t="s">
        <v>74</v>
      </c>
      <c r="F1834">
        <v>4</v>
      </c>
      <c r="G1834" s="2">
        <v>594.97</v>
      </c>
      <c r="H1834">
        <v>0.22</v>
      </c>
      <c r="I1834" t="s">
        <v>64</v>
      </c>
      <c r="J1834">
        <v>1</v>
      </c>
      <c r="K1834">
        <v>4.9000000000000004</v>
      </c>
      <c r="L1834" s="2">
        <v>1856.31</v>
      </c>
      <c r="M1834">
        <v>2027</v>
      </c>
      <c r="N1834">
        <v>1</v>
      </c>
      <c r="O1834" t="s">
        <v>140</v>
      </c>
      <c r="P1834" s="2">
        <v>2379.88</v>
      </c>
      <c r="Q1834" s="2">
        <v>523.57000000000005</v>
      </c>
      <c r="R1834" t="s">
        <v>77</v>
      </c>
      <c r="S1834">
        <v>1</v>
      </c>
      <c r="T1834">
        <v>0</v>
      </c>
      <c r="U1834">
        <f>IF(AND(OR(Dashboard!$D$4="Semua",D1834=Dashboard!$D$4),OR(Dashboard!$H$4="Semua",E1834=Dashboard!$H$4)),1,0)</f>
        <v>1</v>
      </c>
      <c r="V1834">
        <f>IF(U1834=1,IF(COUNTIFS($C$2:C1834,C1834,$U$2:U1834,1)=1,1,0),0)</f>
        <v>0</v>
      </c>
    </row>
    <row r="1835" spans="1:22" x14ac:dyDescent="0.35">
      <c r="A1835">
        <v>11834</v>
      </c>
      <c r="B1835" s="1">
        <v>46395</v>
      </c>
      <c r="C1835">
        <v>1033</v>
      </c>
      <c r="D1835" t="s">
        <v>73</v>
      </c>
      <c r="E1835" t="s">
        <v>78</v>
      </c>
      <c r="F1835">
        <v>1</v>
      </c>
      <c r="G1835" s="2">
        <v>157.82</v>
      </c>
      <c r="H1835">
        <v>0.34</v>
      </c>
      <c r="I1835" t="s">
        <v>71</v>
      </c>
      <c r="J1835">
        <v>7</v>
      </c>
      <c r="K1835">
        <v>1.1000000000000001</v>
      </c>
      <c r="L1835" s="2">
        <v>104.16</v>
      </c>
      <c r="M1835">
        <v>2027</v>
      </c>
      <c r="N1835">
        <v>1</v>
      </c>
      <c r="O1835" t="s">
        <v>140</v>
      </c>
      <c r="P1835" s="2">
        <v>157.82</v>
      </c>
      <c r="Q1835" s="2">
        <v>53.66</v>
      </c>
      <c r="R1835" t="s">
        <v>72</v>
      </c>
      <c r="S1835">
        <v>1</v>
      </c>
      <c r="T1835">
        <v>0</v>
      </c>
      <c r="U1835">
        <f>IF(AND(OR(Dashboard!$D$4="Semua",D1835=Dashboard!$D$4),OR(Dashboard!$H$4="Semua",E1835=Dashboard!$H$4)),1,0)</f>
        <v>1</v>
      </c>
      <c r="V1835">
        <f>IF(U1835=1,IF(COUNTIFS($C$2:C1835,C1835,$U$2:U1835,1)=1,1,0),0)</f>
        <v>0</v>
      </c>
    </row>
    <row r="1836" spans="1:22" x14ac:dyDescent="0.35">
      <c r="A1836">
        <v>11835</v>
      </c>
      <c r="B1836" s="1">
        <v>46396</v>
      </c>
      <c r="C1836">
        <v>1016</v>
      </c>
      <c r="D1836" t="s">
        <v>67</v>
      </c>
      <c r="E1836" t="s">
        <v>70</v>
      </c>
      <c r="F1836">
        <v>5</v>
      </c>
      <c r="G1836" s="2">
        <v>131.15</v>
      </c>
      <c r="H1836">
        <v>0.06</v>
      </c>
      <c r="I1836" t="s">
        <v>68</v>
      </c>
      <c r="J1836">
        <v>9</v>
      </c>
      <c r="K1836">
        <v>2.8</v>
      </c>
      <c r="L1836" s="2">
        <v>616.4</v>
      </c>
      <c r="M1836">
        <v>2027</v>
      </c>
      <c r="N1836">
        <v>1</v>
      </c>
      <c r="O1836" t="s">
        <v>140</v>
      </c>
      <c r="P1836" s="2">
        <v>655.75</v>
      </c>
      <c r="Q1836" s="2">
        <v>39.35</v>
      </c>
      <c r="R1836" t="s">
        <v>69</v>
      </c>
      <c r="S1836">
        <v>1</v>
      </c>
      <c r="T1836">
        <v>0</v>
      </c>
      <c r="U1836">
        <f>IF(AND(OR(Dashboard!$D$4="Semua",D1836=Dashboard!$D$4),OR(Dashboard!$H$4="Semua",E1836=Dashboard!$H$4)),1,0)</f>
        <v>1</v>
      </c>
      <c r="V1836">
        <f>IF(U1836=1,IF(COUNTIFS($C$2:C1836,C1836,$U$2:U1836,1)=1,1,0),0)</f>
        <v>0</v>
      </c>
    </row>
    <row r="1837" spans="1:22" x14ac:dyDescent="0.35">
      <c r="A1837">
        <v>11836</v>
      </c>
      <c r="B1837" s="1">
        <v>46397</v>
      </c>
      <c r="C1837">
        <v>1676</v>
      </c>
      <c r="D1837" t="s">
        <v>62</v>
      </c>
      <c r="E1837" t="s">
        <v>74</v>
      </c>
      <c r="F1837">
        <v>5</v>
      </c>
      <c r="G1837" s="2">
        <v>323.18</v>
      </c>
      <c r="H1837">
        <v>0.02</v>
      </c>
      <c r="I1837" t="s">
        <v>68</v>
      </c>
      <c r="J1837">
        <v>9</v>
      </c>
      <c r="K1837">
        <v>3.3</v>
      </c>
      <c r="L1837" s="2">
        <v>1583.58</v>
      </c>
      <c r="M1837">
        <v>2027</v>
      </c>
      <c r="N1837">
        <v>1</v>
      </c>
      <c r="O1837" t="s">
        <v>140</v>
      </c>
      <c r="P1837" s="2">
        <v>1615.9</v>
      </c>
      <c r="Q1837" s="2">
        <v>32.32</v>
      </c>
      <c r="R1837" t="s">
        <v>75</v>
      </c>
      <c r="S1837">
        <v>1</v>
      </c>
      <c r="T1837">
        <v>0</v>
      </c>
      <c r="U1837">
        <f>IF(AND(OR(Dashboard!$D$4="Semua",D1837=Dashboard!$D$4),OR(Dashboard!$H$4="Semua",E1837=Dashboard!$H$4)),1,0)</f>
        <v>1</v>
      </c>
      <c r="V1837">
        <f>IF(U1837=1,IF(COUNTIFS($C$2:C1837,C1837,$U$2:U1837,1)=1,1,0),0)</f>
        <v>0</v>
      </c>
    </row>
    <row r="1838" spans="1:22" x14ac:dyDescent="0.35">
      <c r="A1838">
        <v>11837</v>
      </c>
      <c r="B1838" s="1">
        <v>46398</v>
      </c>
      <c r="C1838">
        <v>1152</v>
      </c>
      <c r="D1838" t="s">
        <v>80</v>
      </c>
      <c r="E1838" t="s">
        <v>78</v>
      </c>
      <c r="F1838">
        <v>4</v>
      </c>
      <c r="G1838" s="2">
        <v>329.27</v>
      </c>
      <c r="H1838">
        <v>0.2</v>
      </c>
      <c r="I1838" t="s">
        <v>68</v>
      </c>
      <c r="J1838">
        <v>9</v>
      </c>
      <c r="K1838">
        <v>1.2</v>
      </c>
      <c r="L1838" s="2">
        <v>1053.6600000000001</v>
      </c>
      <c r="M1838">
        <v>2027</v>
      </c>
      <c r="N1838">
        <v>1</v>
      </c>
      <c r="O1838" t="s">
        <v>140</v>
      </c>
      <c r="P1838" s="2">
        <v>1317.08</v>
      </c>
      <c r="Q1838" s="2">
        <v>263.42</v>
      </c>
      <c r="R1838" t="s">
        <v>76</v>
      </c>
      <c r="S1838">
        <v>1</v>
      </c>
      <c r="T1838">
        <v>0</v>
      </c>
      <c r="U1838">
        <f>IF(AND(OR(Dashboard!$D$4="Semua",D1838=Dashboard!$D$4),OR(Dashboard!$H$4="Semua",E1838=Dashboard!$H$4)),1,0)</f>
        <v>1</v>
      </c>
      <c r="V1838">
        <f>IF(U1838=1,IF(COUNTIFS($C$2:C1838,C1838,$U$2:U1838,1)=1,1,0),0)</f>
        <v>0</v>
      </c>
    </row>
    <row r="1839" spans="1:22" x14ac:dyDescent="0.35">
      <c r="A1839">
        <v>11838</v>
      </c>
      <c r="B1839" s="1">
        <v>46399</v>
      </c>
      <c r="C1839">
        <v>1997</v>
      </c>
      <c r="D1839" t="s">
        <v>62</v>
      </c>
      <c r="E1839" t="s">
        <v>78</v>
      </c>
      <c r="F1839">
        <v>5</v>
      </c>
      <c r="G1839" s="2">
        <v>272.3</v>
      </c>
      <c r="H1839">
        <v>0.34</v>
      </c>
      <c r="I1839" t="s">
        <v>71</v>
      </c>
      <c r="J1839">
        <v>2</v>
      </c>
      <c r="K1839">
        <v>1.6</v>
      </c>
      <c r="L1839" s="2">
        <v>898.59</v>
      </c>
      <c r="M1839">
        <v>2027</v>
      </c>
      <c r="N1839">
        <v>1</v>
      </c>
      <c r="O1839" t="s">
        <v>140</v>
      </c>
      <c r="P1839" s="2">
        <v>1361.5</v>
      </c>
      <c r="Q1839" s="2">
        <v>462.91</v>
      </c>
      <c r="R1839" t="s">
        <v>72</v>
      </c>
      <c r="S1839">
        <v>1</v>
      </c>
      <c r="T1839">
        <v>0</v>
      </c>
      <c r="U1839">
        <f>IF(AND(OR(Dashboard!$D$4="Semua",D1839=Dashboard!$D$4),OR(Dashboard!$H$4="Semua",E1839=Dashboard!$H$4)),1,0)</f>
        <v>1</v>
      </c>
      <c r="V1839">
        <f>IF(U1839=1,IF(COUNTIFS($C$2:C1839,C1839,$U$2:U1839,1)=1,1,0),0)</f>
        <v>0</v>
      </c>
    </row>
    <row r="1840" spans="1:22" x14ac:dyDescent="0.35">
      <c r="A1840">
        <v>11839</v>
      </c>
      <c r="B1840" s="1">
        <v>46400</v>
      </c>
      <c r="C1840">
        <v>1377</v>
      </c>
      <c r="D1840" t="s">
        <v>73</v>
      </c>
      <c r="E1840" t="s">
        <v>63</v>
      </c>
      <c r="F1840">
        <v>7</v>
      </c>
      <c r="G1840" s="2">
        <v>466.56</v>
      </c>
      <c r="H1840">
        <v>0.15</v>
      </c>
      <c r="I1840" t="s">
        <v>71</v>
      </c>
      <c r="J1840">
        <v>1</v>
      </c>
      <c r="K1840">
        <v>2</v>
      </c>
      <c r="L1840" s="2">
        <v>2776.03</v>
      </c>
      <c r="M1840">
        <v>2027</v>
      </c>
      <c r="N1840">
        <v>1</v>
      </c>
      <c r="O1840" t="s">
        <v>140</v>
      </c>
      <c r="P1840" s="2">
        <v>3265.92</v>
      </c>
      <c r="Q1840" s="2">
        <v>489.89</v>
      </c>
      <c r="R1840" t="s">
        <v>79</v>
      </c>
      <c r="S1840">
        <v>1</v>
      </c>
      <c r="T1840">
        <v>0</v>
      </c>
      <c r="U1840">
        <f>IF(AND(OR(Dashboard!$D$4="Semua",D1840=Dashboard!$D$4),OR(Dashboard!$H$4="Semua",E1840=Dashboard!$H$4)),1,0)</f>
        <v>1</v>
      </c>
      <c r="V1840">
        <f>IF(U1840=1,IF(COUNTIFS($C$2:C1840,C1840,$U$2:U1840,1)=1,1,0),0)</f>
        <v>0</v>
      </c>
    </row>
    <row r="1841" spans="1:22" x14ac:dyDescent="0.35">
      <c r="A1841">
        <v>11840</v>
      </c>
      <c r="B1841" s="1">
        <v>46401</v>
      </c>
      <c r="C1841">
        <v>1587</v>
      </c>
      <c r="D1841" t="s">
        <v>67</v>
      </c>
      <c r="E1841" t="s">
        <v>63</v>
      </c>
      <c r="F1841">
        <v>4</v>
      </c>
      <c r="G1841" s="2">
        <v>317.24</v>
      </c>
      <c r="H1841">
        <v>7.0000000000000007E-2</v>
      </c>
      <c r="I1841" t="s">
        <v>68</v>
      </c>
      <c r="J1841">
        <v>6</v>
      </c>
      <c r="K1841">
        <v>3.9</v>
      </c>
      <c r="L1841" s="2">
        <v>1180.1300000000001</v>
      </c>
      <c r="M1841">
        <v>2027</v>
      </c>
      <c r="N1841">
        <v>1</v>
      </c>
      <c r="O1841" t="s">
        <v>140</v>
      </c>
      <c r="P1841" s="2">
        <v>1268.96</v>
      </c>
      <c r="Q1841" s="2">
        <v>88.83</v>
      </c>
      <c r="R1841" t="s">
        <v>69</v>
      </c>
      <c r="S1841">
        <v>1</v>
      </c>
      <c r="T1841">
        <v>0</v>
      </c>
      <c r="U1841">
        <f>IF(AND(OR(Dashboard!$D$4="Semua",D1841=Dashboard!$D$4),OR(Dashboard!$H$4="Semua",E1841=Dashboard!$H$4)),1,0)</f>
        <v>1</v>
      </c>
      <c r="V1841">
        <f>IF(U1841=1,IF(COUNTIFS($C$2:C1841,C1841,$U$2:U1841,1)=1,1,0),0)</f>
        <v>0</v>
      </c>
    </row>
    <row r="1842" spans="1:22" x14ac:dyDescent="0.35">
      <c r="A1842">
        <v>11841</v>
      </c>
      <c r="B1842" s="1">
        <v>46402</v>
      </c>
      <c r="C1842">
        <v>1598</v>
      </c>
      <c r="D1842" t="s">
        <v>67</v>
      </c>
      <c r="E1842" t="s">
        <v>74</v>
      </c>
      <c r="F1842">
        <v>3</v>
      </c>
      <c r="G1842" s="2">
        <v>371.67</v>
      </c>
      <c r="H1842">
        <v>0.18</v>
      </c>
      <c r="I1842" t="s">
        <v>68</v>
      </c>
      <c r="J1842">
        <v>6</v>
      </c>
      <c r="K1842">
        <v>4.8</v>
      </c>
      <c r="L1842" s="2">
        <v>914.31</v>
      </c>
      <c r="M1842">
        <v>2027</v>
      </c>
      <c r="N1842">
        <v>1</v>
      </c>
      <c r="O1842" t="s">
        <v>140</v>
      </c>
      <c r="P1842" s="2">
        <v>1115.01</v>
      </c>
      <c r="Q1842" s="2">
        <v>200.7</v>
      </c>
      <c r="R1842" t="s">
        <v>76</v>
      </c>
      <c r="S1842">
        <v>1</v>
      </c>
      <c r="T1842">
        <v>0</v>
      </c>
      <c r="U1842">
        <f>IF(AND(OR(Dashboard!$D$4="Semua",D1842=Dashboard!$D$4),OR(Dashboard!$H$4="Semua",E1842=Dashboard!$H$4)),1,0)</f>
        <v>1</v>
      </c>
      <c r="V1842">
        <f>IF(U1842=1,IF(COUNTIFS($C$2:C1842,C1842,$U$2:U1842,1)=1,1,0),0)</f>
        <v>1</v>
      </c>
    </row>
    <row r="1843" spans="1:22" x14ac:dyDescent="0.35">
      <c r="A1843">
        <v>11842</v>
      </c>
      <c r="B1843" s="1">
        <v>46403</v>
      </c>
      <c r="C1843">
        <v>1628</v>
      </c>
      <c r="D1843" t="s">
        <v>73</v>
      </c>
      <c r="E1843" t="s">
        <v>74</v>
      </c>
      <c r="F1843">
        <v>5</v>
      </c>
      <c r="G1843" s="2">
        <v>438.39</v>
      </c>
      <c r="H1843">
        <v>0.23</v>
      </c>
      <c r="I1843" t="s">
        <v>68</v>
      </c>
      <c r="J1843">
        <v>4</v>
      </c>
      <c r="K1843">
        <v>3.5</v>
      </c>
      <c r="L1843" s="2">
        <v>1687.8</v>
      </c>
      <c r="M1843">
        <v>2027</v>
      </c>
      <c r="N1843">
        <v>1</v>
      </c>
      <c r="O1843" t="s">
        <v>140</v>
      </c>
      <c r="P1843" s="2">
        <v>2191.9499999999998</v>
      </c>
      <c r="Q1843" s="2">
        <v>504.15</v>
      </c>
      <c r="R1843" t="s">
        <v>77</v>
      </c>
      <c r="S1843">
        <v>1</v>
      </c>
      <c r="T1843">
        <v>0</v>
      </c>
      <c r="U1843">
        <f>IF(AND(OR(Dashboard!$D$4="Semua",D1843=Dashboard!$D$4),OR(Dashboard!$H$4="Semua",E1843=Dashboard!$H$4)),1,0)</f>
        <v>1</v>
      </c>
      <c r="V1843">
        <f>IF(U1843=1,IF(COUNTIFS($C$2:C1843,C1843,$U$2:U1843,1)=1,1,0),0)</f>
        <v>1</v>
      </c>
    </row>
    <row r="1844" spans="1:22" x14ac:dyDescent="0.35">
      <c r="A1844">
        <v>11843</v>
      </c>
      <c r="B1844" s="1">
        <v>46404</v>
      </c>
      <c r="C1844">
        <v>1873</v>
      </c>
      <c r="D1844" t="s">
        <v>73</v>
      </c>
      <c r="E1844" t="s">
        <v>74</v>
      </c>
      <c r="F1844">
        <v>4</v>
      </c>
      <c r="G1844" s="2">
        <v>29.64</v>
      </c>
      <c r="H1844">
        <v>0.11</v>
      </c>
      <c r="I1844" t="s">
        <v>64</v>
      </c>
      <c r="J1844">
        <v>8</v>
      </c>
      <c r="K1844">
        <v>3.3</v>
      </c>
      <c r="L1844" s="2">
        <v>105.52</v>
      </c>
      <c r="M1844">
        <v>2027</v>
      </c>
      <c r="N1844">
        <v>1</v>
      </c>
      <c r="O1844" t="s">
        <v>140</v>
      </c>
      <c r="P1844" s="2">
        <v>118.56</v>
      </c>
      <c r="Q1844" s="2">
        <v>13.04</v>
      </c>
      <c r="R1844" t="s">
        <v>79</v>
      </c>
      <c r="S1844">
        <v>1</v>
      </c>
      <c r="T1844">
        <v>0</v>
      </c>
      <c r="U1844">
        <f>IF(AND(OR(Dashboard!$D$4="Semua",D1844=Dashboard!$D$4),OR(Dashboard!$H$4="Semua",E1844=Dashboard!$H$4)),1,0)</f>
        <v>1</v>
      </c>
      <c r="V1844">
        <f>IF(U1844=1,IF(COUNTIFS($C$2:C1844,C1844,$U$2:U1844,1)=1,1,0),0)</f>
        <v>1</v>
      </c>
    </row>
    <row r="1845" spans="1:22" x14ac:dyDescent="0.35">
      <c r="A1845">
        <v>11844</v>
      </c>
      <c r="B1845" s="1">
        <v>46405</v>
      </c>
      <c r="C1845">
        <v>1341</v>
      </c>
      <c r="D1845" t="s">
        <v>80</v>
      </c>
      <c r="E1845" t="s">
        <v>78</v>
      </c>
      <c r="F1845">
        <v>3</v>
      </c>
      <c r="G1845" s="2">
        <v>348.83</v>
      </c>
      <c r="H1845">
        <v>0.25</v>
      </c>
      <c r="I1845" t="s">
        <v>68</v>
      </c>
      <c r="J1845">
        <v>5</v>
      </c>
      <c r="K1845">
        <v>3.1</v>
      </c>
      <c r="L1845" s="2">
        <v>784.87</v>
      </c>
      <c r="M1845">
        <v>2027</v>
      </c>
      <c r="N1845">
        <v>1</v>
      </c>
      <c r="O1845" t="s">
        <v>140</v>
      </c>
      <c r="P1845" s="2">
        <v>1046.49</v>
      </c>
      <c r="Q1845" s="2">
        <v>261.62</v>
      </c>
      <c r="R1845" t="s">
        <v>77</v>
      </c>
      <c r="S1845">
        <v>1</v>
      </c>
      <c r="T1845">
        <v>0</v>
      </c>
      <c r="U1845">
        <f>IF(AND(OR(Dashboard!$D$4="Semua",D1845=Dashboard!$D$4),OR(Dashboard!$H$4="Semua",E1845=Dashboard!$H$4)),1,0)</f>
        <v>1</v>
      </c>
      <c r="V1845">
        <f>IF(U1845=1,IF(COUNTIFS($C$2:C1845,C1845,$U$2:U1845,1)=1,1,0),0)</f>
        <v>0</v>
      </c>
    </row>
    <row r="1846" spans="1:22" x14ac:dyDescent="0.35">
      <c r="A1846">
        <v>11845</v>
      </c>
      <c r="B1846" s="1">
        <v>46406</v>
      </c>
      <c r="C1846">
        <v>1980</v>
      </c>
      <c r="D1846" t="s">
        <v>67</v>
      </c>
      <c r="E1846" t="s">
        <v>74</v>
      </c>
      <c r="F1846">
        <v>5</v>
      </c>
      <c r="G1846" s="2">
        <v>532.25</v>
      </c>
      <c r="H1846">
        <v>0.34</v>
      </c>
      <c r="I1846" t="s">
        <v>68</v>
      </c>
      <c r="J1846">
        <v>7</v>
      </c>
      <c r="K1846">
        <v>2.4</v>
      </c>
      <c r="L1846" s="2">
        <v>1756.42</v>
      </c>
      <c r="M1846">
        <v>2027</v>
      </c>
      <c r="N1846">
        <v>1</v>
      </c>
      <c r="O1846" t="s">
        <v>140</v>
      </c>
      <c r="P1846" s="2">
        <v>2661.25</v>
      </c>
      <c r="Q1846" s="2">
        <v>904.83</v>
      </c>
      <c r="R1846" t="s">
        <v>72</v>
      </c>
      <c r="S1846">
        <v>1</v>
      </c>
      <c r="T1846">
        <v>0</v>
      </c>
      <c r="U1846">
        <f>IF(AND(OR(Dashboard!$D$4="Semua",D1846=Dashboard!$D$4),OR(Dashboard!$H$4="Semua",E1846=Dashboard!$H$4)),1,0)</f>
        <v>1</v>
      </c>
      <c r="V1846">
        <f>IF(U1846=1,IF(COUNTIFS($C$2:C1846,C1846,$U$2:U1846,1)=1,1,0),0)</f>
        <v>0</v>
      </c>
    </row>
    <row r="1847" spans="1:22" x14ac:dyDescent="0.35">
      <c r="A1847">
        <v>11846</v>
      </c>
      <c r="B1847" s="1">
        <v>46407</v>
      </c>
      <c r="C1847">
        <v>1026</v>
      </c>
      <c r="D1847" t="s">
        <v>67</v>
      </c>
      <c r="E1847" t="s">
        <v>78</v>
      </c>
      <c r="F1847">
        <v>3</v>
      </c>
      <c r="G1847" s="2">
        <v>25.17</v>
      </c>
      <c r="H1847">
        <v>0.31</v>
      </c>
      <c r="I1847" t="s">
        <v>68</v>
      </c>
      <c r="J1847">
        <v>9</v>
      </c>
      <c r="K1847">
        <v>4.3</v>
      </c>
      <c r="L1847" s="2">
        <v>52.1</v>
      </c>
      <c r="M1847">
        <v>2027</v>
      </c>
      <c r="N1847">
        <v>1</v>
      </c>
      <c r="O1847" t="s">
        <v>140</v>
      </c>
      <c r="P1847" s="2">
        <v>75.510000000000005</v>
      </c>
      <c r="Q1847" s="2">
        <v>23.41</v>
      </c>
      <c r="R1847" t="s">
        <v>72</v>
      </c>
      <c r="S1847">
        <v>1</v>
      </c>
      <c r="T1847">
        <v>0</v>
      </c>
      <c r="U1847">
        <f>IF(AND(OR(Dashboard!$D$4="Semua",D1847=Dashboard!$D$4),OR(Dashboard!$H$4="Semua",E1847=Dashboard!$H$4)),1,0)</f>
        <v>1</v>
      </c>
      <c r="V1847">
        <f>IF(U1847=1,IF(COUNTIFS($C$2:C1847,C1847,$U$2:U1847,1)=1,1,0),0)</f>
        <v>0</v>
      </c>
    </row>
    <row r="1848" spans="1:22" x14ac:dyDescent="0.35">
      <c r="A1848">
        <v>11847</v>
      </c>
      <c r="B1848" s="1">
        <v>46408</v>
      </c>
      <c r="C1848">
        <v>1824</v>
      </c>
      <c r="D1848" t="s">
        <v>67</v>
      </c>
      <c r="E1848" t="s">
        <v>74</v>
      </c>
      <c r="F1848">
        <v>6</v>
      </c>
      <c r="G1848" s="2">
        <v>252.03</v>
      </c>
      <c r="H1848">
        <v>0.1</v>
      </c>
      <c r="I1848" t="s">
        <v>68</v>
      </c>
      <c r="J1848">
        <v>1</v>
      </c>
      <c r="K1848">
        <v>3.2</v>
      </c>
      <c r="L1848" s="2">
        <v>1360.96</v>
      </c>
      <c r="M1848">
        <v>2027</v>
      </c>
      <c r="N1848">
        <v>1</v>
      </c>
      <c r="O1848" t="s">
        <v>140</v>
      </c>
      <c r="P1848" s="2">
        <v>1512.18</v>
      </c>
      <c r="Q1848" s="2">
        <v>151.22</v>
      </c>
      <c r="R1848" t="s">
        <v>69</v>
      </c>
      <c r="S1848">
        <v>1</v>
      </c>
      <c r="T1848">
        <v>0</v>
      </c>
      <c r="U1848">
        <f>IF(AND(OR(Dashboard!$D$4="Semua",D1848=Dashboard!$D$4),OR(Dashboard!$H$4="Semua",E1848=Dashboard!$H$4)),1,0)</f>
        <v>1</v>
      </c>
      <c r="V1848">
        <f>IF(U1848=1,IF(COUNTIFS($C$2:C1848,C1848,$U$2:U1848,1)=1,1,0),0)</f>
        <v>0</v>
      </c>
    </row>
    <row r="1849" spans="1:22" x14ac:dyDescent="0.35">
      <c r="A1849">
        <v>11848</v>
      </c>
      <c r="B1849" s="1">
        <v>46409</v>
      </c>
      <c r="C1849">
        <v>1286</v>
      </c>
      <c r="D1849" t="s">
        <v>67</v>
      </c>
      <c r="E1849" t="s">
        <v>78</v>
      </c>
      <c r="F1849">
        <v>5</v>
      </c>
      <c r="G1849" s="2">
        <v>556.84</v>
      </c>
      <c r="H1849">
        <v>0.11</v>
      </c>
      <c r="I1849" t="s">
        <v>71</v>
      </c>
      <c r="J1849">
        <v>9</v>
      </c>
      <c r="K1849">
        <v>1.9</v>
      </c>
      <c r="L1849" s="2">
        <v>2477.94</v>
      </c>
      <c r="M1849">
        <v>2027</v>
      </c>
      <c r="N1849">
        <v>1</v>
      </c>
      <c r="O1849" t="s">
        <v>140</v>
      </c>
      <c r="P1849" s="2">
        <v>2784.2</v>
      </c>
      <c r="Q1849" s="2">
        <v>306.26</v>
      </c>
      <c r="R1849" t="s">
        <v>79</v>
      </c>
      <c r="S1849">
        <v>1</v>
      </c>
      <c r="T1849">
        <v>0</v>
      </c>
      <c r="U1849">
        <f>IF(AND(OR(Dashboard!$D$4="Semua",D1849=Dashboard!$D$4),OR(Dashboard!$H$4="Semua",E1849=Dashboard!$H$4)),1,0)</f>
        <v>1</v>
      </c>
      <c r="V1849">
        <f>IF(U1849=1,IF(COUNTIFS($C$2:C1849,C1849,$U$2:U1849,1)=1,1,0),0)</f>
        <v>1</v>
      </c>
    </row>
    <row r="1850" spans="1:22" x14ac:dyDescent="0.35">
      <c r="A1850">
        <v>11849</v>
      </c>
      <c r="B1850" s="1">
        <v>46410</v>
      </c>
      <c r="C1850">
        <v>1645</v>
      </c>
      <c r="D1850" t="s">
        <v>73</v>
      </c>
      <c r="E1850" t="s">
        <v>78</v>
      </c>
      <c r="F1850">
        <v>6</v>
      </c>
      <c r="G1850" s="2">
        <v>221.6</v>
      </c>
      <c r="H1850">
        <v>0.13</v>
      </c>
      <c r="I1850" t="s">
        <v>64</v>
      </c>
      <c r="J1850">
        <v>4</v>
      </c>
      <c r="K1850">
        <v>1.5</v>
      </c>
      <c r="L1850" s="2">
        <v>1156.75</v>
      </c>
      <c r="M1850">
        <v>2027</v>
      </c>
      <c r="N1850">
        <v>1</v>
      </c>
      <c r="O1850" t="s">
        <v>140</v>
      </c>
      <c r="P1850" s="2">
        <v>1329.6</v>
      </c>
      <c r="Q1850" s="2">
        <v>172.85</v>
      </c>
      <c r="R1850" t="s">
        <v>79</v>
      </c>
      <c r="S1850">
        <v>1</v>
      </c>
      <c r="T1850">
        <v>0</v>
      </c>
      <c r="U1850">
        <f>IF(AND(OR(Dashboard!$D$4="Semua",D1850=Dashboard!$D$4),OR(Dashboard!$H$4="Semua",E1850=Dashboard!$H$4)),1,0)</f>
        <v>1</v>
      </c>
      <c r="V1850">
        <f>IF(U1850=1,IF(COUNTIFS($C$2:C1850,C1850,$U$2:U1850,1)=1,1,0),0)</f>
        <v>0</v>
      </c>
    </row>
    <row r="1851" spans="1:22" x14ac:dyDescent="0.35">
      <c r="A1851">
        <v>11850</v>
      </c>
      <c r="B1851" s="1">
        <v>46411</v>
      </c>
      <c r="C1851">
        <v>1730</v>
      </c>
      <c r="D1851" t="s">
        <v>73</v>
      </c>
      <c r="E1851" t="s">
        <v>63</v>
      </c>
      <c r="F1851">
        <v>1</v>
      </c>
      <c r="G1851" s="2">
        <v>283.36</v>
      </c>
      <c r="H1851">
        <v>0.14000000000000001</v>
      </c>
      <c r="I1851" t="s">
        <v>68</v>
      </c>
      <c r="J1851">
        <v>7</v>
      </c>
      <c r="K1851">
        <v>4.9000000000000004</v>
      </c>
      <c r="L1851" s="2">
        <v>243.69</v>
      </c>
      <c r="M1851">
        <v>2027</v>
      </c>
      <c r="N1851">
        <v>1</v>
      </c>
      <c r="O1851" t="s">
        <v>140</v>
      </c>
      <c r="P1851" s="2">
        <v>283.36</v>
      </c>
      <c r="Q1851" s="2">
        <v>39.67</v>
      </c>
      <c r="R1851" t="s">
        <v>79</v>
      </c>
      <c r="S1851">
        <v>1</v>
      </c>
      <c r="T1851">
        <v>0</v>
      </c>
      <c r="U1851">
        <f>IF(AND(OR(Dashboard!$D$4="Semua",D1851=Dashboard!$D$4),OR(Dashboard!$H$4="Semua",E1851=Dashboard!$H$4)),1,0)</f>
        <v>1</v>
      </c>
      <c r="V1851">
        <f>IF(U1851=1,IF(COUNTIFS($C$2:C1851,C1851,$U$2:U1851,1)=1,1,0),0)</f>
        <v>1</v>
      </c>
    </row>
    <row r="1852" spans="1:22" x14ac:dyDescent="0.35">
      <c r="A1852">
        <v>11851</v>
      </c>
      <c r="B1852" s="1">
        <v>46412</v>
      </c>
      <c r="C1852">
        <v>1167</v>
      </c>
      <c r="D1852" t="s">
        <v>73</v>
      </c>
      <c r="E1852" t="s">
        <v>70</v>
      </c>
      <c r="F1852">
        <v>1</v>
      </c>
      <c r="G1852" s="2">
        <v>589.20000000000005</v>
      </c>
      <c r="H1852">
        <v>0.04</v>
      </c>
      <c r="I1852" t="s">
        <v>71</v>
      </c>
      <c r="J1852">
        <v>11</v>
      </c>
      <c r="K1852">
        <v>1.1000000000000001</v>
      </c>
      <c r="L1852" s="2">
        <v>565.63</v>
      </c>
      <c r="M1852">
        <v>2027</v>
      </c>
      <c r="N1852">
        <v>1</v>
      </c>
      <c r="O1852" t="s">
        <v>140</v>
      </c>
      <c r="P1852" s="2">
        <v>589.20000000000005</v>
      </c>
      <c r="Q1852" s="2">
        <v>23.57</v>
      </c>
      <c r="R1852" t="s">
        <v>75</v>
      </c>
      <c r="S1852">
        <v>1</v>
      </c>
      <c r="T1852">
        <v>0</v>
      </c>
      <c r="U1852">
        <f>IF(AND(OR(Dashboard!$D$4="Semua",D1852=Dashboard!$D$4),OR(Dashboard!$H$4="Semua",E1852=Dashboard!$H$4)),1,0)</f>
        <v>1</v>
      </c>
      <c r="V1852">
        <f>IF(U1852=1,IF(COUNTIFS($C$2:C1852,C1852,$U$2:U1852,1)=1,1,0),0)</f>
        <v>0</v>
      </c>
    </row>
    <row r="1853" spans="1:22" x14ac:dyDescent="0.35">
      <c r="A1853">
        <v>11852</v>
      </c>
      <c r="B1853" s="1">
        <v>46413</v>
      </c>
      <c r="C1853">
        <v>1609</v>
      </c>
      <c r="D1853" t="s">
        <v>73</v>
      </c>
      <c r="E1853" t="s">
        <v>78</v>
      </c>
      <c r="F1853">
        <v>4</v>
      </c>
      <c r="G1853" s="2">
        <v>131.6</v>
      </c>
      <c r="H1853">
        <v>0.27</v>
      </c>
      <c r="I1853" t="s">
        <v>68</v>
      </c>
      <c r="J1853">
        <v>4</v>
      </c>
      <c r="K1853">
        <v>4.7</v>
      </c>
      <c r="L1853" s="2">
        <v>384.27</v>
      </c>
      <c r="M1853">
        <v>2027</v>
      </c>
      <c r="N1853">
        <v>1</v>
      </c>
      <c r="O1853" t="s">
        <v>140</v>
      </c>
      <c r="P1853" s="2">
        <v>526.4</v>
      </c>
      <c r="Q1853" s="2">
        <v>142.13</v>
      </c>
      <c r="R1853" t="s">
        <v>66</v>
      </c>
      <c r="S1853">
        <v>1</v>
      </c>
      <c r="T1853">
        <v>0</v>
      </c>
      <c r="U1853">
        <f>IF(AND(OR(Dashboard!$D$4="Semua",D1853=Dashboard!$D$4),OR(Dashboard!$H$4="Semua",E1853=Dashboard!$H$4)),1,0)</f>
        <v>1</v>
      </c>
      <c r="V1853">
        <f>IF(U1853=1,IF(COUNTIFS($C$2:C1853,C1853,$U$2:U1853,1)=1,1,0),0)</f>
        <v>0</v>
      </c>
    </row>
    <row r="1854" spans="1:22" x14ac:dyDescent="0.35">
      <c r="A1854">
        <v>11853</v>
      </c>
      <c r="B1854" s="1">
        <v>46414</v>
      </c>
      <c r="C1854">
        <v>1267</v>
      </c>
      <c r="D1854" t="s">
        <v>62</v>
      </c>
      <c r="E1854" t="s">
        <v>74</v>
      </c>
      <c r="F1854">
        <v>2</v>
      </c>
      <c r="G1854" s="2">
        <v>53.17</v>
      </c>
      <c r="H1854">
        <v>0.13</v>
      </c>
      <c r="I1854" t="s">
        <v>64</v>
      </c>
      <c r="J1854">
        <v>4</v>
      </c>
      <c r="K1854">
        <v>1.9</v>
      </c>
      <c r="L1854" s="2">
        <v>92.52</v>
      </c>
      <c r="M1854">
        <v>2027</v>
      </c>
      <c r="N1854">
        <v>1</v>
      </c>
      <c r="O1854" t="s">
        <v>140</v>
      </c>
      <c r="P1854" s="2">
        <v>106.34</v>
      </c>
      <c r="Q1854" s="2">
        <v>13.82</v>
      </c>
      <c r="R1854" t="s">
        <v>79</v>
      </c>
      <c r="S1854">
        <v>1</v>
      </c>
      <c r="T1854">
        <v>0</v>
      </c>
      <c r="U1854">
        <f>IF(AND(OR(Dashboard!$D$4="Semua",D1854=Dashboard!$D$4),OR(Dashboard!$H$4="Semua",E1854=Dashboard!$H$4)),1,0)</f>
        <v>1</v>
      </c>
      <c r="V1854">
        <f>IF(U1854=1,IF(COUNTIFS($C$2:C1854,C1854,$U$2:U1854,1)=1,1,0),0)</f>
        <v>0</v>
      </c>
    </row>
    <row r="1855" spans="1:22" x14ac:dyDescent="0.35">
      <c r="A1855">
        <v>11854</v>
      </c>
      <c r="B1855" s="1">
        <v>46415</v>
      </c>
      <c r="C1855">
        <v>1748</v>
      </c>
      <c r="D1855" t="s">
        <v>67</v>
      </c>
      <c r="E1855" t="s">
        <v>63</v>
      </c>
      <c r="F1855">
        <v>6</v>
      </c>
      <c r="G1855" s="2">
        <v>517.76</v>
      </c>
      <c r="H1855">
        <v>0.31</v>
      </c>
      <c r="I1855" t="s">
        <v>68</v>
      </c>
      <c r="J1855">
        <v>4</v>
      </c>
      <c r="K1855">
        <v>3.6</v>
      </c>
      <c r="L1855" s="2">
        <v>2143.5300000000002</v>
      </c>
      <c r="M1855">
        <v>2027</v>
      </c>
      <c r="N1855">
        <v>1</v>
      </c>
      <c r="O1855" t="s">
        <v>140</v>
      </c>
      <c r="P1855" s="2">
        <v>3106.56</v>
      </c>
      <c r="Q1855" s="2">
        <v>963.03</v>
      </c>
      <c r="R1855" t="s">
        <v>72</v>
      </c>
      <c r="S1855">
        <v>1</v>
      </c>
      <c r="T1855">
        <v>0</v>
      </c>
      <c r="U1855">
        <f>IF(AND(OR(Dashboard!$D$4="Semua",D1855=Dashboard!$D$4),OR(Dashboard!$H$4="Semua",E1855=Dashboard!$H$4)),1,0)</f>
        <v>1</v>
      </c>
      <c r="V1855">
        <f>IF(U1855=1,IF(COUNTIFS($C$2:C1855,C1855,$U$2:U1855,1)=1,1,0),0)</f>
        <v>0</v>
      </c>
    </row>
    <row r="1856" spans="1:22" x14ac:dyDescent="0.35">
      <c r="A1856">
        <v>11855</v>
      </c>
      <c r="B1856" s="1">
        <v>46416</v>
      </c>
      <c r="C1856">
        <v>1820</v>
      </c>
      <c r="D1856" t="s">
        <v>80</v>
      </c>
      <c r="E1856" t="s">
        <v>74</v>
      </c>
      <c r="F1856">
        <v>6</v>
      </c>
      <c r="G1856" s="2">
        <v>523.04999999999995</v>
      </c>
      <c r="H1856">
        <v>0.32</v>
      </c>
      <c r="I1856" t="s">
        <v>68</v>
      </c>
      <c r="J1856">
        <v>6</v>
      </c>
      <c r="K1856">
        <v>2.2000000000000002</v>
      </c>
      <c r="L1856" s="2">
        <v>2134.04</v>
      </c>
      <c r="M1856">
        <v>2027</v>
      </c>
      <c r="N1856">
        <v>1</v>
      </c>
      <c r="O1856" t="s">
        <v>140</v>
      </c>
      <c r="P1856" s="2">
        <v>3138.3</v>
      </c>
      <c r="Q1856" s="2">
        <v>1004.26</v>
      </c>
      <c r="R1856" t="s">
        <v>72</v>
      </c>
      <c r="S1856">
        <v>1</v>
      </c>
      <c r="T1856">
        <v>0</v>
      </c>
      <c r="U1856">
        <f>IF(AND(OR(Dashboard!$D$4="Semua",D1856=Dashboard!$D$4),OR(Dashboard!$H$4="Semua",E1856=Dashboard!$H$4)),1,0)</f>
        <v>1</v>
      </c>
      <c r="V1856">
        <f>IF(U1856=1,IF(COUNTIFS($C$2:C1856,C1856,$U$2:U1856,1)=1,1,0),0)</f>
        <v>0</v>
      </c>
    </row>
    <row r="1857" spans="1:22" x14ac:dyDescent="0.35">
      <c r="A1857">
        <v>11856</v>
      </c>
      <c r="B1857" s="1">
        <v>46417</v>
      </c>
      <c r="C1857">
        <v>1454</v>
      </c>
      <c r="D1857" t="s">
        <v>73</v>
      </c>
      <c r="E1857" t="s">
        <v>74</v>
      </c>
      <c r="F1857">
        <v>1</v>
      </c>
      <c r="G1857" s="2">
        <v>291.17</v>
      </c>
      <c r="H1857">
        <v>0.01</v>
      </c>
      <c r="I1857" t="s">
        <v>71</v>
      </c>
      <c r="J1857">
        <v>5</v>
      </c>
      <c r="K1857">
        <v>4.4000000000000004</v>
      </c>
      <c r="L1857" s="2">
        <v>288.26</v>
      </c>
      <c r="M1857">
        <v>2027</v>
      </c>
      <c r="N1857">
        <v>1</v>
      </c>
      <c r="O1857" t="s">
        <v>140</v>
      </c>
      <c r="P1857" s="2">
        <v>291.17</v>
      </c>
      <c r="Q1857" s="2">
        <v>2.91</v>
      </c>
      <c r="R1857" t="s">
        <v>75</v>
      </c>
      <c r="S1857">
        <v>1</v>
      </c>
      <c r="T1857">
        <v>0</v>
      </c>
      <c r="U1857">
        <f>IF(AND(OR(Dashboard!$D$4="Semua",D1857=Dashboard!$D$4),OR(Dashboard!$H$4="Semua",E1857=Dashboard!$H$4)),1,0)</f>
        <v>1</v>
      </c>
      <c r="V1857">
        <f>IF(U1857=1,IF(COUNTIFS($C$2:C1857,C1857,$U$2:U1857,1)=1,1,0),0)</f>
        <v>0</v>
      </c>
    </row>
    <row r="1858" spans="1:22" x14ac:dyDescent="0.35">
      <c r="A1858">
        <v>11857</v>
      </c>
      <c r="B1858" s="1">
        <v>46418</v>
      </c>
      <c r="C1858">
        <v>1905</v>
      </c>
      <c r="D1858" t="s">
        <v>67</v>
      </c>
      <c r="E1858" t="s">
        <v>78</v>
      </c>
      <c r="F1858">
        <v>6</v>
      </c>
      <c r="G1858" s="2">
        <v>315.81</v>
      </c>
      <c r="H1858">
        <v>0.35</v>
      </c>
      <c r="I1858" t="s">
        <v>68</v>
      </c>
      <c r="J1858">
        <v>2</v>
      </c>
      <c r="K1858">
        <v>3.2</v>
      </c>
      <c r="L1858" s="2">
        <v>1231.6600000000001</v>
      </c>
      <c r="M1858">
        <v>2027</v>
      </c>
      <c r="N1858">
        <v>1</v>
      </c>
      <c r="O1858" t="s">
        <v>140</v>
      </c>
      <c r="P1858" s="2">
        <v>1894.86</v>
      </c>
      <c r="Q1858" s="2">
        <v>663.2</v>
      </c>
      <c r="R1858" t="s">
        <v>72</v>
      </c>
      <c r="S1858">
        <v>1</v>
      </c>
      <c r="T1858">
        <v>0</v>
      </c>
      <c r="U1858">
        <f>IF(AND(OR(Dashboard!$D$4="Semua",D1858=Dashboard!$D$4),OR(Dashboard!$H$4="Semua",E1858=Dashboard!$H$4)),1,0)</f>
        <v>1</v>
      </c>
      <c r="V1858">
        <f>IF(U1858=1,IF(COUNTIFS($C$2:C1858,C1858,$U$2:U1858,1)=1,1,0),0)</f>
        <v>0</v>
      </c>
    </row>
    <row r="1859" spans="1:22" x14ac:dyDescent="0.35">
      <c r="A1859">
        <v>11858</v>
      </c>
      <c r="B1859" s="1">
        <v>46419</v>
      </c>
      <c r="C1859">
        <v>1684</v>
      </c>
      <c r="D1859" t="s">
        <v>73</v>
      </c>
      <c r="E1859" t="s">
        <v>78</v>
      </c>
      <c r="F1859">
        <v>2</v>
      </c>
      <c r="G1859" s="2">
        <v>503.95</v>
      </c>
      <c r="H1859">
        <v>0.25</v>
      </c>
      <c r="I1859" t="s">
        <v>68</v>
      </c>
      <c r="J1859">
        <v>9</v>
      </c>
      <c r="K1859">
        <v>1.6</v>
      </c>
      <c r="L1859" s="2">
        <v>755.92</v>
      </c>
      <c r="M1859">
        <v>2027</v>
      </c>
      <c r="N1859">
        <v>2</v>
      </c>
      <c r="O1859" t="s">
        <v>141</v>
      </c>
      <c r="P1859" s="2">
        <v>1007.9</v>
      </c>
      <c r="Q1859" s="2">
        <v>251.98</v>
      </c>
      <c r="R1859" t="s">
        <v>77</v>
      </c>
      <c r="S1859">
        <v>1</v>
      </c>
      <c r="T1859">
        <v>0</v>
      </c>
      <c r="U1859">
        <f>IF(AND(OR(Dashboard!$D$4="Semua",D1859=Dashboard!$D$4),OR(Dashboard!$H$4="Semua",E1859=Dashboard!$H$4)),1,0)</f>
        <v>1</v>
      </c>
      <c r="V1859">
        <f>IF(U1859=1,IF(COUNTIFS($C$2:C1859,C1859,$U$2:U1859,1)=1,1,0),0)</f>
        <v>0</v>
      </c>
    </row>
    <row r="1860" spans="1:22" x14ac:dyDescent="0.35">
      <c r="A1860">
        <v>11859</v>
      </c>
      <c r="B1860" s="1">
        <v>46420</v>
      </c>
      <c r="C1860">
        <v>1400</v>
      </c>
      <c r="D1860" t="s">
        <v>73</v>
      </c>
      <c r="E1860" t="s">
        <v>70</v>
      </c>
      <c r="F1860">
        <v>3</v>
      </c>
      <c r="G1860" s="2">
        <v>447.06</v>
      </c>
      <c r="H1860">
        <v>0.18</v>
      </c>
      <c r="I1860" t="s">
        <v>71</v>
      </c>
      <c r="J1860">
        <v>11</v>
      </c>
      <c r="K1860">
        <v>2.1</v>
      </c>
      <c r="L1860" s="2">
        <v>1099.77</v>
      </c>
      <c r="M1860">
        <v>2027</v>
      </c>
      <c r="N1860">
        <v>2</v>
      </c>
      <c r="O1860" t="s">
        <v>141</v>
      </c>
      <c r="P1860" s="2">
        <v>1341.18</v>
      </c>
      <c r="Q1860" s="2">
        <v>241.41</v>
      </c>
      <c r="R1860" t="s">
        <v>76</v>
      </c>
      <c r="S1860">
        <v>1</v>
      </c>
      <c r="T1860">
        <v>0</v>
      </c>
      <c r="U1860">
        <f>IF(AND(OR(Dashboard!$D$4="Semua",D1860=Dashboard!$D$4),OR(Dashboard!$H$4="Semua",E1860=Dashboard!$H$4)),1,0)</f>
        <v>1</v>
      </c>
      <c r="V1860">
        <f>IF(U1860=1,IF(COUNTIFS($C$2:C1860,C1860,$U$2:U1860,1)=1,1,0),0)</f>
        <v>0</v>
      </c>
    </row>
    <row r="1861" spans="1:22" x14ac:dyDescent="0.35">
      <c r="A1861">
        <v>11860</v>
      </c>
      <c r="B1861" s="1">
        <v>46421</v>
      </c>
      <c r="C1861">
        <v>1921</v>
      </c>
      <c r="D1861" t="s">
        <v>73</v>
      </c>
      <c r="E1861" t="s">
        <v>78</v>
      </c>
      <c r="F1861">
        <v>3</v>
      </c>
      <c r="G1861" s="2">
        <v>170.11</v>
      </c>
      <c r="H1861">
        <v>0.14000000000000001</v>
      </c>
      <c r="I1861" t="s">
        <v>71</v>
      </c>
      <c r="J1861">
        <v>6</v>
      </c>
      <c r="K1861">
        <v>2.2999999999999998</v>
      </c>
      <c r="L1861" s="2">
        <v>438.88</v>
      </c>
      <c r="M1861">
        <v>2027</v>
      </c>
      <c r="N1861">
        <v>2</v>
      </c>
      <c r="O1861" t="s">
        <v>141</v>
      </c>
      <c r="P1861" s="2">
        <v>510.33</v>
      </c>
      <c r="Q1861" s="2">
        <v>71.45</v>
      </c>
      <c r="R1861" t="s">
        <v>79</v>
      </c>
      <c r="S1861">
        <v>1</v>
      </c>
      <c r="T1861">
        <v>0</v>
      </c>
      <c r="U1861">
        <f>IF(AND(OR(Dashboard!$D$4="Semua",D1861=Dashboard!$D$4),OR(Dashboard!$H$4="Semua",E1861=Dashboard!$H$4)),1,0)</f>
        <v>1</v>
      </c>
      <c r="V1861">
        <f>IF(U1861=1,IF(COUNTIFS($C$2:C1861,C1861,$U$2:U1861,1)=1,1,0),0)</f>
        <v>0</v>
      </c>
    </row>
    <row r="1862" spans="1:22" x14ac:dyDescent="0.35">
      <c r="A1862">
        <v>11861</v>
      </c>
      <c r="B1862" s="1">
        <v>46422</v>
      </c>
      <c r="C1862">
        <v>1980</v>
      </c>
      <c r="D1862" t="s">
        <v>80</v>
      </c>
      <c r="E1862" t="s">
        <v>78</v>
      </c>
      <c r="F1862">
        <v>2</v>
      </c>
      <c r="G1862" s="2">
        <v>24.88</v>
      </c>
      <c r="H1862">
        <v>0.18</v>
      </c>
      <c r="I1862" t="s">
        <v>71</v>
      </c>
      <c r="J1862">
        <v>10</v>
      </c>
      <c r="K1862">
        <v>4.5</v>
      </c>
      <c r="L1862" s="2">
        <v>40.799999999999997</v>
      </c>
      <c r="M1862">
        <v>2027</v>
      </c>
      <c r="N1862">
        <v>2</v>
      </c>
      <c r="O1862" t="s">
        <v>141</v>
      </c>
      <c r="P1862" s="2">
        <v>49.76</v>
      </c>
      <c r="Q1862" s="2">
        <v>8.9600000000000009</v>
      </c>
      <c r="R1862" t="s">
        <v>76</v>
      </c>
      <c r="S1862">
        <v>1</v>
      </c>
      <c r="T1862">
        <v>0</v>
      </c>
      <c r="U1862">
        <f>IF(AND(OR(Dashboard!$D$4="Semua",D1862=Dashboard!$D$4),OR(Dashboard!$H$4="Semua",E1862=Dashboard!$H$4)),1,0)</f>
        <v>1</v>
      </c>
      <c r="V1862">
        <f>IF(U1862=1,IF(COUNTIFS($C$2:C1862,C1862,$U$2:U1862,1)=1,1,0),0)</f>
        <v>0</v>
      </c>
    </row>
    <row r="1863" spans="1:22" x14ac:dyDescent="0.35">
      <c r="A1863">
        <v>11862</v>
      </c>
      <c r="B1863" s="1">
        <v>46423</v>
      </c>
      <c r="C1863">
        <v>1475</v>
      </c>
      <c r="D1863" t="s">
        <v>80</v>
      </c>
      <c r="E1863" t="s">
        <v>70</v>
      </c>
      <c r="F1863">
        <v>6</v>
      </c>
      <c r="G1863" s="2">
        <v>295.62</v>
      </c>
      <c r="H1863">
        <v>0.11</v>
      </c>
      <c r="I1863" t="s">
        <v>71</v>
      </c>
      <c r="J1863">
        <v>6</v>
      </c>
      <c r="K1863">
        <v>4.0999999999999996</v>
      </c>
      <c r="L1863" s="2">
        <v>1578.61</v>
      </c>
      <c r="M1863">
        <v>2027</v>
      </c>
      <c r="N1863">
        <v>2</v>
      </c>
      <c r="O1863" t="s">
        <v>141</v>
      </c>
      <c r="P1863" s="2">
        <v>1773.72</v>
      </c>
      <c r="Q1863" s="2">
        <v>195.11</v>
      </c>
      <c r="R1863" t="s">
        <v>79</v>
      </c>
      <c r="S1863">
        <v>1</v>
      </c>
      <c r="T1863">
        <v>0</v>
      </c>
      <c r="U1863">
        <f>IF(AND(OR(Dashboard!$D$4="Semua",D1863=Dashboard!$D$4),OR(Dashboard!$H$4="Semua",E1863=Dashboard!$H$4)),1,0)</f>
        <v>1</v>
      </c>
      <c r="V1863">
        <f>IF(U1863=1,IF(COUNTIFS($C$2:C1863,C1863,$U$2:U1863,1)=1,1,0),0)</f>
        <v>0</v>
      </c>
    </row>
    <row r="1864" spans="1:22" x14ac:dyDescent="0.35">
      <c r="A1864">
        <v>11863</v>
      </c>
      <c r="B1864" s="1">
        <v>46424</v>
      </c>
      <c r="C1864">
        <v>1701</v>
      </c>
      <c r="D1864" t="s">
        <v>67</v>
      </c>
      <c r="E1864" t="s">
        <v>74</v>
      </c>
      <c r="F1864">
        <v>6</v>
      </c>
      <c r="G1864" s="2">
        <v>517.46</v>
      </c>
      <c r="H1864">
        <v>0.22</v>
      </c>
      <c r="I1864" t="s">
        <v>71</v>
      </c>
      <c r="J1864">
        <v>9</v>
      </c>
      <c r="K1864">
        <v>4.3</v>
      </c>
      <c r="L1864" s="2">
        <v>2421.71</v>
      </c>
      <c r="M1864">
        <v>2027</v>
      </c>
      <c r="N1864">
        <v>2</v>
      </c>
      <c r="O1864" t="s">
        <v>141</v>
      </c>
      <c r="P1864" s="2">
        <v>3104.76</v>
      </c>
      <c r="Q1864" s="2">
        <v>683.05</v>
      </c>
      <c r="R1864" t="s">
        <v>77</v>
      </c>
      <c r="S1864">
        <v>1</v>
      </c>
      <c r="T1864">
        <v>0</v>
      </c>
      <c r="U1864">
        <f>IF(AND(OR(Dashboard!$D$4="Semua",D1864=Dashboard!$D$4),OR(Dashboard!$H$4="Semua",E1864=Dashboard!$H$4)),1,0)</f>
        <v>1</v>
      </c>
      <c r="V1864">
        <f>IF(U1864=1,IF(COUNTIFS($C$2:C1864,C1864,$U$2:U1864,1)=1,1,0),0)</f>
        <v>0</v>
      </c>
    </row>
    <row r="1865" spans="1:22" x14ac:dyDescent="0.35">
      <c r="A1865">
        <v>11864</v>
      </c>
      <c r="B1865" s="1">
        <v>46425</v>
      </c>
      <c r="C1865">
        <v>1633</v>
      </c>
      <c r="D1865" t="s">
        <v>67</v>
      </c>
      <c r="E1865" t="s">
        <v>70</v>
      </c>
      <c r="F1865">
        <v>6</v>
      </c>
      <c r="G1865" s="2">
        <v>539.05999999999995</v>
      </c>
      <c r="H1865">
        <v>0.03</v>
      </c>
      <c r="I1865" t="s">
        <v>71</v>
      </c>
      <c r="J1865">
        <v>1</v>
      </c>
      <c r="K1865">
        <v>1.2</v>
      </c>
      <c r="L1865" s="2">
        <v>3137.33</v>
      </c>
      <c r="M1865">
        <v>2027</v>
      </c>
      <c r="N1865">
        <v>2</v>
      </c>
      <c r="O1865" t="s">
        <v>141</v>
      </c>
      <c r="P1865" s="2">
        <v>3234.36</v>
      </c>
      <c r="Q1865" s="2">
        <v>97.03</v>
      </c>
      <c r="R1865" t="s">
        <v>75</v>
      </c>
      <c r="S1865">
        <v>1</v>
      </c>
      <c r="T1865">
        <v>0</v>
      </c>
      <c r="U1865">
        <f>IF(AND(OR(Dashboard!$D$4="Semua",D1865=Dashboard!$D$4),OR(Dashboard!$H$4="Semua",E1865=Dashboard!$H$4)),1,0)</f>
        <v>1</v>
      </c>
      <c r="V1865">
        <f>IF(U1865=1,IF(COUNTIFS($C$2:C1865,C1865,$U$2:U1865,1)=1,1,0),0)</f>
        <v>0</v>
      </c>
    </row>
    <row r="1866" spans="1:22" x14ac:dyDescent="0.35">
      <c r="A1866">
        <v>11865</v>
      </c>
      <c r="B1866" s="1">
        <v>46426</v>
      </c>
      <c r="C1866">
        <v>1557</v>
      </c>
      <c r="D1866" t="s">
        <v>62</v>
      </c>
      <c r="E1866" t="s">
        <v>70</v>
      </c>
      <c r="F1866">
        <v>7</v>
      </c>
      <c r="G1866" s="2">
        <v>574.39</v>
      </c>
      <c r="H1866">
        <v>0.22</v>
      </c>
      <c r="I1866" t="s">
        <v>71</v>
      </c>
      <c r="J1866">
        <v>7</v>
      </c>
      <c r="K1866">
        <v>3.3</v>
      </c>
      <c r="L1866" s="2">
        <v>3136.17</v>
      </c>
      <c r="M1866">
        <v>2027</v>
      </c>
      <c r="N1866">
        <v>2</v>
      </c>
      <c r="O1866" t="s">
        <v>141</v>
      </c>
      <c r="P1866" s="2">
        <v>4020.73</v>
      </c>
      <c r="Q1866" s="2">
        <v>884.56</v>
      </c>
      <c r="R1866" t="s">
        <v>77</v>
      </c>
      <c r="S1866">
        <v>1</v>
      </c>
      <c r="T1866">
        <v>0</v>
      </c>
      <c r="U1866">
        <f>IF(AND(OR(Dashboard!$D$4="Semua",D1866=Dashboard!$D$4),OR(Dashboard!$H$4="Semua",E1866=Dashboard!$H$4)),1,0)</f>
        <v>1</v>
      </c>
      <c r="V1866">
        <f>IF(U1866=1,IF(COUNTIFS($C$2:C1866,C1866,$U$2:U1866,1)=1,1,0),0)</f>
        <v>0</v>
      </c>
    </row>
    <row r="1867" spans="1:22" x14ac:dyDescent="0.35">
      <c r="A1867">
        <v>11866</v>
      </c>
      <c r="B1867" s="1">
        <v>46427</v>
      </c>
      <c r="C1867">
        <v>1575</v>
      </c>
      <c r="D1867" t="s">
        <v>73</v>
      </c>
      <c r="E1867" t="s">
        <v>70</v>
      </c>
      <c r="F1867">
        <v>4</v>
      </c>
      <c r="G1867" s="2">
        <v>529.54</v>
      </c>
      <c r="H1867">
        <v>0.1</v>
      </c>
      <c r="I1867" t="s">
        <v>71</v>
      </c>
      <c r="J1867">
        <v>3</v>
      </c>
      <c r="K1867">
        <v>5</v>
      </c>
      <c r="L1867" s="2">
        <v>1906.34</v>
      </c>
      <c r="M1867">
        <v>2027</v>
      </c>
      <c r="N1867">
        <v>2</v>
      </c>
      <c r="O1867" t="s">
        <v>141</v>
      </c>
      <c r="P1867" s="2">
        <v>2118.16</v>
      </c>
      <c r="Q1867" s="2">
        <v>211.82</v>
      </c>
      <c r="R1867" t="s">
        <v>69</v>
      </c>
      <c r="S1867">
        <v>1</v>
      </c>
      <c r="T1867">
        <v>0</v>
      </c>
      <c r="U1867">
        <f>IF(AND(OR(Dashboard!$D$4="Semua",D1867=Dashboard!$D$4),OR(Dashboard!$H$4="Semua",E1867=Dashboard!$H$4)),1,0)</f>
        <v>1</v>
      </c>
      <c r="V1867">
        <f>IF(U1867=1,IF(COUNTIFS($C$2:C1867,C1867,$U$2:U1867,1)=1,1,0),0)</f>
        <v>1</v>
      </c>
    </row>
    <row r="1868" spans="1:22" x14ac:dyDescent="0.35">
      <c r="A1868">
        <v>11867</v>
      </c>
      <c r="B1868" s="1">
        <v>46428</v>
      </c>
      <c r="C1868">
        <v>1129</v>
      </c>
      <c r="D1868" t="s">
        <v>73</v>
      </c>
      <c r="E1868" t="s">
        <v>63</v>
      </c>
      <c r="F1868">
        <v>5</v>
      </c>
      <c r="G1868" s="2">
        <v>354.33</v>
      </c>
      <c r="H1868">
        <v>0.01</v>
      </c>
      <c r="I1868" t="s">
        <v>68</v>
      </c>
      <c r="J1868">
        <v>4</v>
      </c>
      <c r="K1868">
        <v>4.0999999999999996</v>
      </c>
      <c r="L1868" s="2">
        <v>1753.93</v>
      </c>
      <c r="M1868">
        <v>2027</v>
      </c>
      <c r="N1868">
        <v>2</v>
      </c>
      <c r="O1868" t="s">
        <v>141</v>
      </c>
      <c r="P1868" s="2">
        <v>1771.65</v>
      </c>
      <c r="Q1868" s="2">
        <v>17.72</v>
      </c>
      <c r="R1868" t="s">
        <v>75</v>
      </c>
      <c r="S1868">
        <v>1</v>
      </c>
      <c r="T1868">
        <v>0</v>
      </c>
      <c r="U1868">
        <f>IF(AND(OR(Dashboard!$D$4="Semua",D1868=Dashboard!$D$4),OR(Dashboard!$H$4="Semua",E1868=Dashboard!$H$4)),1,0)</f>
        <v>1</v>
      </c>
      <c r="V1868">
        <f>IF(U1868=1,IF(COUNTIFS($C$2:C1868,C1868,$U$2:U1868,1)=1,1,0),0)</f>
        <v>0</v>
      </c>
    </row>
    <row r="1869" spans="1:22" x14ac:dyDescent="0.35">
      <c r="A1869">
        <v>11868</v>
      </c>
      <c r="B1869" s="1">
        <v>46429</v>
      </c>
      <c r="C1869">
        <v>1821</v>
      </c>
      <c r="D1869" t="s">
        <v>73</v>
      </c>
      <c r="E1869" t="s">
        <v>74</v>
      </c>
      <c r="F1869">
        <v>2</v>
      </c>
      <c r="G1869" s="2">
        <v>275.08999999999997</v>
      </c>
      <c r="H1869">
        <v>0.19</v>
      </c>
      <c r="I1869" t="s">
        <v>68</v>
      </c>
      <c r="J1869">
        <v>1</v>
      </c>
      <c r="K1869">
        <v>1.5</v>
      </c>
      <c r="L1869" s="2">
        <v>445.65</v>
      </c>
      <c r="M1869">
        <v>2027</v>
      </c>
      <c r="N1869">
        <v>2</v>
      </c>
      <c r="O1869" t="s">
        <v>141</v>
      </c>
      <c r="P1869" s="2">
        <v>550.17999999999995</v>
      </c>
      <c r="Q1869" s="2">
        <v>104.53</v>
      </c>
      <c r="R1869" t="s">
        <v>76</v>
      </c>
      <c r="S1869">
        <v>1</v>
      </c>
      <c r="T1869">
        <v>0</v>
      </c>
      <c r="U1869">
        <f>IF(AND(OR(Dashboard!$D$4="Semua",D1869=Dashboard!$D$4),OR(Dashboard!$H$4="Semua",E1869=Dashboard!$H$4)),1,0)</f>
        <v>1</v>
      </c>
      <c r="V1869">
        <f>IF(U1869=1,IF(COUNTIFS($C$2:C1869,C1869,$U$2:U1869,1)=1,1,0),0)</f>
        <v>0</v>
      </c>
    </row>
    <row r="1870" spans="1:22" x14ac:dyDescent="0.35">
      <c r="A1870">
        <v>11869</v>
      </c>
      <c r="B1870" s="1">
        <v>46430</v>
      </c>
      <c r="C1870">
        <v>1362</v>
      </c>
      <c r="D1870" t="s">
        <v>80</v>
      </c>
      <c r="E1870" t="s">
        <v>63</v>
      </c>
      <c r="F1870">
        <v>2</v>
      </c>
      <c r="G1870" s="2">
        <v>468.29</v>
      </c>
      <c r="H1870">
        <v>0.2</v>
      </c>
      <c r="I1870" t="s">
        <v>68</v>
      </c>
      <c r="J1870">
        <v>3</v>
      </c>
      <c r="K1870">
        <v>3.7</v>
      </c>
      <c r="L1870" s="2">
        <v>749.26</v>
      </c>
      <c r="M1870">
        <v>2027</v>
      </c>
      <c r="N1870">
        <v>2</v>
      </c>
      <c r="O1870" t="s">
        <v>141</v>
      </c>
      <c r="P1870" s="2">
        <v>936.58</v>
      </c>
      <c r="Q1870" s="2">
        <v>187.32</v>
      </c>
      <c r="R1870" t="s">
        <v>76</v>
      </c>
      <c r="S1870">
        <v>1</v>
      </c>
      <c r="T1870">
        <v>0</v>
      </c>
      <c r="U1870">
        <f>IF(AND(OR(Dashboard!$D$4="Semua",D1870=Dashboard!$D$4),OR(Dashboard!$H$4="Semua",E1870=Dashboard!$H$4)),1,0)</f>
        <v>1</v>
      </c>
      <c r="V1870">
        <f>IF(U1870=1,IF(COUNTIFS($C$2:C1870,C1870,$U$2:U1870,1)=1,1,0),0)</f>
        <v>0</v>
      </c>
    </row>
    <row r="1871" spans="1:22" x14ac:dyDescent="0.35">
      <c r="A1871">
        <v>11870</v>
      </c>
      <c r="B1871" s="1">
        <v>46431</v>
      </c>
      <c r="C1871">
        <v>1704</v>
      </c>
      <c r="D1871" t="s">
        <v>62</v>
      </c>
      <c r="E1871" t="s">
        <v>63</v>
      </c>
      <c r="F1871">
        <v>7</v>
      </c>
      <c r="G1871" s="2">
        <v>447.8</v>
      </c>
      <c r="H1871">
        <v>0.15</v>
      </c>
      <c r="I1871" t="s">
        <v>68</v>
      </c>
      <c r="J1871">
        <v>7</v>
      </c>
      <c r="K1871">
        <v>4</v>
      </c>
      <c r="L1871" s="2">
        <v>2664.41</v>
      </c>
      <c r="M1871">
        <v>2027</v>
      </c>
      <c r="N1871">
        <v>2</v>
      </c>
      <c r="O1871" t="s">
        <v>141</v>
      </c>
      <c r="P1871" s="2">
        <v>3134.6</v>
      </c>
      <c r="Q1871" s="2">
        <v>470.19</v>
      </c>
      <c r="R1871" t="s">
        <v>79</v>
      </c>
      <c r="S1871">
        <v>1</v>
      </c>
      <c r="T1871">
        <v>0</v>
      </c>
      <c r="U1871">
        <f>IF(AND(OR(Dashboard!$D$4="Semua",D1871=Dashboard!$D$4),OR(Dashboard!$H$4="Semua",E1871=Dashboard!$H$4)),1,0)</f>
        <v>1</v>
      </c>
      <c r="V1871">
        <f>IF(U1871=1,IF(COUNTIFS($C$2:C1871,C1871,$U$2:U1871,1)=1,1,0),0)</f>
        <v>1</v>
      </c>
    </row>
    <row r="1872" spans="1:22" x14ac:dyDescent="0.35">
      <c r="A1872">
        <v>11871</v>
      </c>
      <c r="B1872" s="1">
        <v>46432</v>
      </c>
      <c r="C1872">
        <v>1818</v>
      </c>
      <c r="D1872" t="s">
        <v>73</v>
      </c>
      <c r="E1872" t="s">
        <v>78</v>
      </c>
      <c r="F1872">
        <v>2</v>
      </c>
      <c r="G1872" s="2">
        <v>329.81</v>
      </c>
      <c r="H1872">
        <v>0.03</v>
      </c>
      <c r="I1872" t="s">
        <v>71</v>
      </c>
      <c r="J1872">
        <v>6</v>
      </c>
      <c r="K1872">
        <v>3.1</v>
      </c>
      <c r="L1872" s="2">
        <v>639.83000000000004</v>
      </c>
      <c r="M1872">
        <v>2027</v>
      </c>
      <c r="N1872">
        <v>2</v>
      </c>
      <c r="O1872" t="s">
        <v>141</v>
      </c>
      <c r="P1872" s="2">
        <v>659.62</v>
      </c>
      <c r="Q1872" s="2">
        <v>19.79</v>
      </c>
      <c r="R1872" t="s">
        <v>75</v>
      </c>
      <c r="S1872">
        <v>1</v>
      </c>
      <c r="T1872">
        <v>0</v>
      </c>
      <c r="U1872">
        <f>IF(AND(OR(Dashboard!$D$4="Semua",D1872=Dashboard!$D$4),OR(Dashboard!$H$4="Semua",E1872=Dashboard!$H$4)),1,0)</f>
        <v>1</v>
      </c>
      <c r="V1872">
        <f>IF(U1872=1,IF(COUNTIFS($C$2:C1872,C1872,$U$2:U1872,1)=1,1,0),0)</f>
        <v>0</v>
      </c>
    </row>
    <row r="1873" spans="1:22" x14ac:dyDescent="0.35">
      <c r="A1873">
        <v>11872</v>
      </c>
      <c r="B1873" s="1">
        <v>46433</v>
      </c>
      <c r="C1873">
        <v>1692</v>
      </c>
      <c r="D1873" t="s">
        <v>62</v>
      </c>
      <c r="E1873" t="s">
        <v>70</v>
      </c>
      <c r="F1873">
        <v>2</v>
      </c>
      <c r="G1873" s="2">
        <v>66.09</v>
      </c>
      <c r="H1873">
        <v>0.31</v>
      </c>
      <c r="I1873" t="s">
        <v>68</v>
      </c>
      <c r="J1873">
        <v>1</v>
      </c>
      <c r="K1873">
        <v>1.3</v>
      </c>
      <c r="L1873" s="2">
        <v>91.2</v>
      </c>
      <c r="M1873">
        <v>2027</v>
      </c>
      <c r="N1873">
        <v>2</v>
      </c>
      <c r="O1873" t="s">
        <v>141</v>
      </c>
      <c r="P1873" s="2">
        <v>132.18</v>
      </c>
      <c r="Q1873" s="2">
        <v>40.98</v>
      </c>
      <c r="R1873" t="s">
        <v>72</v>
      </c>
      <c r="S1873">
        <v>1</v>
      </c>
      <c r="T1873">
        <v>0</v>
      </c>
      <c r="U1873">
        <f>IF(AND(OR(Dashboard!$D$4="Semua",D1873=Dashboard!$D$4),OR(Dashboard!$H$4="Semua",E1873=Dashboard!$H$4)),1,0)</f>
        <v>1</v>
      </c>
      <c r="V1873">
        <f>IF(U1873=1,IF(COUNTIFS($C$2:C1873,C1873,$U$2:U1873,1)=1,1,0),0)</f>
        <v>0</v>
      </c>
    </row>
    <row r="1874" spans="1:22" x14ac:dyDescent="0.35">
      <c r="A1874">
        <v>11873</v>
      </c>
      <c r="B1874" s="1">
        <v>46434</v>
      </c>
      <c r="C1874">
        <v>1291</v>
      </c>
      <c r="D1874" t="s">
        <v>80</v>
      </c>
      <c r="E1874" t="s">
        <v>70</v>
      </c>
      <c r="F1874">
        <v>7</v>
      </c>
      <c r="G1874" s="2">
        <v>556.76</v>
      </c>
      <c r="H1874">
        <v>0.21</v>
      </c>
      <c r="I1874" t="s">
        <v>68</v>
      </c>
      <c r="J1874">
        <v>9</v>
      </c>
      <c r="K1874">
        <v>1.1000000000000001</v>
      </c>
      <c r="L1874" s="2">
        <v>3078.88</v>
      </c>
      <c r="M1874">
        <v>2027</v>
      </c>
      <c r="N1874">
        <v>2</v>
      </c>
      <c r="O1874" t="s">
        <v>141</v>
      </c>
      <c r="P1874" s="2">
        <v>3897.32</v>
      </c>
      <c r="Q1874" s="2">
        <v>818.44</v>
      </c>
      <c r="R1874" t="s">
        <v>77</v>
      </c>
      <c r="S1874">
        <v>1</v>
      </c>
      <c r="T1874">
        <v>0</v>
      </c>
      <c r="U1874">
        <f>IF(AND(OR(Dashboard!$D$4="Semua",D1874=Dashboard!$D$4),OR(Dashboard!$H$4="Semua",E1874=Dashboard!$H$4)),1,0)</f>
        <v>1</v>
      </c>
      <c r="V1874">
        <f>IF(U1874=1,IF(COUNTIFS($C$2:C1874,C1874,$U$2:U1874,1)=1,1,0),0)</f>
        <v>0</v>
      </c>
    </row>
    <row r="1875" spans="1:22" x14ac:dyDescent="0.35">
      <c r="A1875">
        <v>11874</v>
      </c>
      <c r="B1875" s="1">
        <v>46435</v>
      </c>
      <c r="C1875">
        <v>1370</v>
      </c>
      <c r="D1875" t="s">
        <v>73</v>
      </c>
      <c r="E1875" t="s">
        <v>63</v>
      </c>
      <c r="F1875">
        <v>2</v>
      </c>
      <c r="G1875" s="2">
        <v>281.52999999999997</v>
      </c>
      <c r="H1875">
        <v>0.04</v>
      </c>
      <c r="I1875" t="s">
        <v>68</v>
      </c>
      <c r="J1875">
        <v>4</v>
      </c>
      <c r="K1875">
        <v>4.8</v>
      </c>
      <c r="L1875" s="2">
        <v>540.54</v>
      </c>
      <c r="M1875">
        <v>2027</v>
      </c>
      <c r="N1875">
        <v>2</v>
      </c>
      <c r="O1875" t="s">
        <v>141</v>
      </c>
      <c r="P1875" s="2">
        <v>563.05999999999995</v>
      </c>
      <c r="Q1875" s="2">
        <v>22.52</v>
      </c>
      <c r="R1875" t="s">
        <v>75</v>
      </c>
      <c r="S1875">
        <v>1</v>
      </c>
      <c r="T1875">
        <v>0</v>
      </c>
      <c r="U1875">
        <f>IF(AND(OR(Dashboard!$D$4="Semua",D1875=Dashboard!$D$4),OR(Dashboard!$H$4="Semua",E1875=Dashboard!$H$4)),1,0)</f>
        <v>1</v>
      </c>
      <c r="V1875">
        <f>IF(U1875=1,IF(COUNTIFS($C$2:C1875,C1875,$U$2:U1875,1)=1,1,0),0)</f>
        <v>0</v>
      </c>
    </row>
    <row r="1876" spans="1:22" x14ac:dyDescent="0.35">
      <c r="A1876">
        <v>11875</v>
      </c>
      <c r="B1876" s="1">
        <v>46436</v>
      </c>
      <c r="C1876">
        <v>1793</v>
      </c>
      <c r="D1876" t="s">
        <v>67</v>
      </c>
      <c r="E1876" t="s">
        <v>78</v>
      </c>
      <c r="F1876">
        <v>6</v>
      </c>
      <c r="G1876" s="2">
        <v>227.55</v>
      </c>
      <c r="H1876">
        <v>0.18</v>
      </c>
      <c r="I1876" t="s">
        <v>68</v>
      </c>
      <c r="J1876">
        <v>7</v>
      </c>
      <c r="K1876">
        <v>2</v>
      </c>
      <c r="L1876" s="2">
        <v>1119.55</v>
      </c>
      <c r="M1876">
        <v>2027</v>
      </c>
      <c r="N1876">
        <v>2</v>
      </c>
      <c r="O1876" t="s">
        <v>141</v>
      </c>
      <c r="P1876" s="2">
        <v>1365.3</v>
      </c>
      <c r="Q1876" s="2">
        <v>245.75</v>
      </c>
      <c r="R1876" t="s">
        <v>76</v>
      </c>
      <c r="S1876">
        <v>1</v>
      </c>
      <c r="T1876">
        <v>0</v>
      </c>
      <c r="U1876">
        <f>IF(AND(OR(Dashboard!$D$4="Semua",D1876=Dashboard!$D$4),OR(Dashboard!$H$4="Semua",E1876=Dashboard!$H$4)),1,0)</f>
        <v>1</v>
      </c>
      <c r="V1876">
        <f>IF(U1876=1,IF(COUNTIFS($C$2:C1876,C1876,$U$2:U1876,1)=1,1,0),0)</f>
        <v>0</v>
      </c>
    </row>
    <row r="1877" spans="1:22" x14ac:dyDescent="0.35">
      <c r="A1877">
        <v>11876</v>
      </c>
      <c r="B1877" s="1">
        <v>46437</v>
      </c>
      <c r="C1877">
        <v>1028</v>
      </c>
      <c r="D1877" t="s">
        <v>67</v>
      </c>
      <c r="E1877" t="s">
        <v>78</v>
      </c>
      <c r="F1877">
        <v>7</v>
      </c>
      <c r="G1877" s="2">
        <v>383.3</v>
      </c>
      <c r="H1877">
        <v>0.17</v>
      </c>
      <c r="I1877" t="s">
        <v>71</v>
      </c>
      <c r="J1877">
        <v>4</v>
      </c>
      <c r="K1877">
        <v>2.5</v>
      </c>
      <c r="L1877" s="2">
        <v>2226.9699999999998</v>
      </c>
      <c r="M1877">
        <v>2027</v>
      </c>
      <c r="N1877">
        <v>2</v>
      </c>
      <c r="O1877" t="s">
        <v>141</v>
      </c>
      <c r="P1877" s="2">
        <v>2683.1</v>
      </c>
      <c r="Q1877" s="2">
        <v>456.13</v>
      </c>
      <c r="R1877" t="s">
        <v>76</v>
      </c>
      <c r="S1877">
        <v>1</v>
      </c>
      <c r="T1877">
        <v>0</v>
      </c>
      <c r="U1877">
        <f>IF(AND(OR(Dashboard!$D$4="Semua",D1877=Dashboard!$D$4),OR(Dashboard!$H$4="Semua",E1877=Dashboard!$H$4)),1,0)</f>
        <v>1</v>
      </c>
      <c r="V1877">
        <f>IF(U1877=1,IF(COUNTIFS($C$2:C1877,C1877,$U$2:U1877,1)=1,1,0),0)</f>
        <v>0</v>
      </c>
    </row>
    <row r="1878" spans="1:22" x14ac:dyDescent="0.35">
      <c r="A1878">
        <v>11877</v>
      </c>
      <c r="B1878" s="1">
        <v>46438</v>
      </c>
      <c r="C1878">
        <v>1148</v>
      </c>
      <c r="D1878" t="s">
        <v>62</v>
      </c>
      <c r="E1878" t="s">
        <v>78</v>
      </c>
      <c r="F1878">
        <v>4</v>
      </c>
      <c r="G1878" s="2">
        <v>409.2</v>
      </c>
      <c r="H1878">
        <v>0.02</v>
      </c>
      <c r="I1878" t="s">
        <v>71</v>
      </c>
      <c r="J1878">
        <v>7</v>
      </c>
      <c r="K1878">
        <v>4.2</v>
      </c>
      <c r="L1878" s="2">
        <v>1604.06</v>
      </c>
      <c r="M1878">
        <v>2027</v>
      </c>
      <c r="N1878">
        <v>2</v>
      </c>
      <c r="O1878" t="s">
        <v>141</v>
      </c>
      <c r="P1878" s="2">
        <v>1636.8</v>
      </c>
      <c r="Q1878" s="2">
        <v>32.74</v>
      </c>
      <c r="R1878" t="s">
        <v>75</v>
      </c>
      <c r="S1878">
        <v>1</v>
      </c>
      <c r="T1878">
        <v>0</v>
      </c>
      <c r="U1878">
        <f>IF(AND(OR(Dashboard!$D$4="Semua",D1878=Dashboard!$D$4),OR(Dashboard!$H$4="Semua",E1878=Dashboard!$H$4)),1,0)</f>
        <v>1</v>
      </c>
      <c r="V1878">
        <f>IF(U1878=1,IF(COUNTIFS($C$2:C1878,C1878,$U$2:U1878,1)=1,1,0),0)</f>
        <v>0</v>
      </c>
    </row>
    <row r="1879" spans="1:22" x14ac:dyDescent="0.35">
      <c r="A1879">
        <v>11878</v>
      </c>
      <c r="B1879" s="1">
        <v>46439</v>
      </c>
      <c r="C1879">
        <v>1778</v>
      </c>
      <c r="D1879" t="s">
        <v>73</v>
      </c>
      <c r="E1879" t="s">
        <v>74</v>
      </c>
      <c r="F1879">
        <v>1</v>
      </c>
      <c r="G1879" s="2">
        <v>138.25</v>
      </c>
      <c r="H1879">
        <v>0.21</v>
      </c>
      <c r="I1879" t="s">
        <v>71</v>
      </c>
      <c r="J1879">
        <v>5</v>
      </c>
      <c r="K1879">
        <v>3.8</v>
      </c>
      <c r="L1879" s="2">
        <v>109.22</v>
      </c>
      <c r="M1879">
        <v>2027</v>
      </c>
      <c r="N1879">
        <v>2</v>
      </c>
      <c r="O1879" t="s">
        <v>141</v>
      </c>
      <c r="P1879" s="2">
        <v>138.25</v>
      </c>
      <c r="Q1879" s="2">
        <v>29.03</v>
      </c>
      <c r="R1879" t="s">
        <v>77</v>
      </c>
      <c r="S1879">
        <v>1</v>
      </c>
      <c r="T1879">
        <v>0</v>
      </c>
      <c r="U1879">
        <f>IF(AND(OR(Dashboard!$D$4="Semua",D1879=Dashboard!$D$4),OR(Dashboard!$H$4="Semua",E1879=Dashboard!$H$4)),1,0)</f>
        <v>1</v>
      </c>
      <c r="V1879">
        <f>IF(U1879=1,IF(COUNTIFS($C$2:C1879,C1879,$U$2:U1879,1)=1,1,0),0)</f>
        <v>0</v>
      </c>
    </row>
    <row r="1880" spans="1:22" x14ac:dyDescent="0.35">
      <c r="A1880">
        <v>11879</v>
      </c>
      <c r="B1880" s="1">
        <v>46440</v>
      </c>
      <c r="C1880">
        <v>1295</v>
      </c>
      <c r="D1880" t="s">
        <v>80</v>
      </c>
      <c r="E1880" t="s">
        <v>63</v>
      </c>
      <c r="F1880">
        <v>6</v>
      </c>
      <c r="G1880" s="2">
        <v>504.61</v>
      </c>
      <c r="H1880">
        <v>0.28000000000000003</v>
      </c>
      <c r="I1880" t="s">
        <v>68</v>
      </c>
      <c r="J1880">
        <v>1</v>
      </c>
      <c r="K1880">
        <v>4.9000000000000004</v>
      </c>
      <c r="L1880" s="2">
        <v>2179.92</v>
      </c>
      <c r="M1880">
        <v>2027</v>
      </c>
      <c r="N1880">
        <v>2</v>
      </c>
      <c r="O1880" t="s">
        <v>141</v>
      </c>
      <c r="P1880" s="2">
        <v>3027.66</v>
      </c>
      <c r="Q1880" s="2">
        <v>847.74</v>
      </c>
      <c r="R1880" t="s">
        <v>66</v>
      </c>
      <c r="S1880">
        <v>1</v>
      </c>
      <c r="T1880">
        <v>0</v>
      </c>
      <c r="U1880">
        <f>IF(AND(OR(Dashboard!$D$4="Semua",D1880=Dashboard!$D$4),OR(Dashboard!$H$4="Semua",E1880=Dashboard!$H$4)),1,0)</f>
        <v>1</v>
      </c>
      <c r="V1880">
        <f>IF(U1880=1,IF(COUNTIFS($C$2:C1880,C1880,$U$2:U1880,1)=1,1,0),0)</f>
        <v>0</v>
      </c>
    </row>
    <row r="1881" spans="1:22" x14ac:dyDescent="0.35">
      <c r="A1881">
        <v>11880</v>
      </c>
      <c r="B1881" s="1">
        <v>46441</v>
      </c>
      <c r="C1881">
        <v>1010</v>
      </c>
      <c r="D1881" t="s">
        <v>73</v>
      </c>
      <c r="E1881" t="s">
        <v>74</v>
      </c>
      <c r="F1881">
        <v>6</v>
      </c>
      <c r="G1881" s="2">
        <v>184.61</v>
      </c>
      <c r="H1881">
        <v>0.26</v>
      </c>
      <c r="I1881" t="s">
        <v>64</v>
      </c>
      <c r="J1881">
        <v>4</v>
      </c>
      <c r="K1881">
        <v>1.4</v>
      </c>
      <c r="L1881" s="2">
        <v>819.67</v>
      </c>
      <c r="M1881">
        <v>2027</v>
      </c>
      <c r="N1881">
        <v>2</v>
      </c>
      <c r="O1881" t="s">
        <v>141</v>
      </c>
      <c r="P1881" s="2">
        <v>1107.6600000000001</v>
      </c>
      <c r="Q1881" s="2">
        <v>287.99</v>
      </c>
      <c r="R1881" t="s">
        <v>66</v>
      </c>
      <c r="S1881">
        <v>1</v>
      </c>
      <c r="T1881">
        <v>0</v>
      </c>
      <c r="U1881">
        <f>IF(AND(OR(Dashboard!$D$4="Semua",D1881=Dashboard!$D$4),OR(Dashboard!$H$4="Semua",E1881=Dashboard!$H$4)),1,0)</f>
        <v>1</v>
      </c>
      <c r="V1881">
        <f>IF(U1881=1,IF(COUNTIFS($C$2:C1881,C1881,$U$2:U1881,1)=1,1,0),0)</f>
        <v>0</v>
      </c>
    </row>
    <row r="1882" spans="1:22" x14ac:dyDescent="0.35">
      <c r="A1882">
        <v>11881</v>
      </c>
      <c r="B1882" s="1">
        <v>46442</v>
      </c>
      <c r="C1882">
        <v>1511</v>
      </c>
      <c r="D1882" t="s">
        <v>80</v>
      </c>
      <c r="E1882" t="s">
        <v>78</v>
      </c>
      <c r="F1882">
        <v>5</v>
      </c>
      <c r="G1882" s="2">
        <v>124.21</v>
      </c>
      <c r="H1882">
        <v>7.0000000000000007E-2</v>
      </c>
      <c r="I1882" t="s">
        <v>64</v>
      </c>
      <c r="J1882">
        <v>3</v>
      </c>
      <c r="K1882">
        <v>3.8</v>
      </c>
      <c r="L1882" s="2">
        <v>577.58000000000004</v>
      </c>
      <c r="M1882">
        <v>2027</v>
      </c>
      <c r="N1882">
        <v>2</v>
      </c>
      <c r="O1882" t="s">
        <v>141</v>
      </c>
      <c r="P1882" s="2">
        <v>621.04999999999995</v>
      </c>
      <c r="Q1882" s="2">
        <v>43.47</v>
      </c>
      <c r="R1882" t="s">
        <v>69</v>
      </c>
      <c r="S1882">
        <v>1</v>
      </c>
      <c r="T1882">
        <v>0</v>
      </c>
      <c r="U1882">
        <f>IF(AND(OR(Dashboard!$D$4="Semua",D1882=Dashboard!$D$4),OR(Dashboard!$H$4="Semua",E1882=Dashboard!$H$4)),1,0)</f>
        <v>1</v>
      </c>
      <c r="V1882">
        <f>IF(U1882=1,IF(COUNTIFS($C$2:C1882,C1882,$U$2:U1882,1)=1,1,0),0)</f>
        <v>0</v>
      </c>
    </row>
    <row r="1883" spans="1:22" x14ac:dyDescent="0.35">
      <c r="A1883">
        <v>11882</v>
      </c>
      <c r="B1883" s="1">
        <v>46443</v>
      </c>
      <c r="C1883">
        <v>1675</v>
      </c>
      <c r="D1883" t="s">
        <v>67</v>
      </c>
      <c r="E1883" t="s">
        <v>78</v>
      </c>
      <c r="F1883">
        <v>7</v>
      </c>
      <c r="G1883" s="2">
        <v>252.74</v>
      </c>
      <c r="H1883">
        <v>0.3</v>
      </c>
      <c r="I1883" t="s">
        <v>71</v>
      </c>
      <c r="J1883">
        <v>6</v>
      </c>
      <c r="K1883">
        <v>1.3</v>
      </c>
      <c r="L1883" s="2">
        <v>1238.43</v>
      </c>
      <c r="M1883">
        <v>2027</v>
      </c>
      <c r="N1883">
        <v>2</v>
      </c>
      <c r="O1883" t="s">
        <v>141</v>
      </c>
      <c r="P1883" s="2">
        <v>1769.18</v>
      </c>
      <c r="Q1883" s="2">
        <v>530.75</v>
      </c>
      <c r="R1883" t="s">
        <v>66</v>
      </c>
      <c r="S1883">
        <v>1</v>
      </c>
      <c r="T1883">
        <v>0</v>
      </c>
      <c r="U1883">
        <f>IF(AND(OR(Dashboard!$D$4="Semua",D1883=Dashboard!$D$4),OR(Dashboard!$H$4="Semua",E1883=Dashboard!$H$4)),1,0)</f>
        <v>1</v>
      </c>
      <c r="V1883">
        <f>IF(U1883=1,IF(COUNTIFS($C$2:C1883,C1883,$U$2:U1883,1)=1,1,0),0)</f>
        <v>0</v>
      </c>
    </row>
    <row r="1884" spans="1:22" x14ac:dyDescent="0.35">
      <c r="A1884">
        <v>11883</v>
      </c>
      <c r="B1884" s="1">
        <v>46444</v>
      </c>
      <c r="C1884">
        <v>1112</v>
      </c>
      <c r="D1884" t="s">
        <v>67</v>
      </c>
      <c r="E1884" t="s">
        <v>78</v>
      </c>
      <c r="F1884">
        <v>1</v>
      </c>
      <c r="G1884" s="2">
        <v>442.38</v>
      </c>
      <c r="H1884">
        <v>0.12</v>
      </c>
      <c r="I1884" t="s">
        <v>64</v>
      </c>
      <c r="J1884">
        <v>6</v>
      </c>
      <c r="K1884">
        <v>1</v>
      </c>
      <c r="L1884" s="2">
        <v>389.29</v>
      </c>
      <c r="M1884">
        <v>2027</v>
      </c>
      <c r="N1884">
        <v>2</v>
      </c>
      <c r="O1884" t="s">
        <v>141</v>
      </c>
      <c r="P1884" s="2">
        <v>442.38</v>
      </c>
      <c r="Q1884" s="2">
        <v>53.09</v>
      </c>
      <c r="R1884" t="s">
        <v>79</v>
      </c>
      <c r="S1884">
        <v>1</v>
      </c>
      <c r="T1884">
        <v>0</v>
      </c>
      <c r="U1884">
        <f>IF(AND(OR(Dashboard!$D$4="Semua",D1884=Dashboard!$D$4),OR(Dashboard!$H$4="Semua",E1884=Dashboard!$H$4)),1,0)</f>
        <v>1</v>
      </c>
      <c r="V1884">
        <f>IF(U1884=1,IF(COUNTIFS($C$2:C1884,C1884,$U$2:U1884,1)=1,1,0),0)</f>
        <v>0</v>
      </c>
    </row>
    <row r="1885" spans="1:22" x14ac:dyDescent="0.35">
      <c r="A1885">
        <v>11884</v>
      </c>
      <c r="B1885" s="1">
        <v>46445</v>
      </c>
      <c r="C1885">
        <v>1186</v>
      </c>
      <c r="D1885" t="s">
        <v>80</v>
      </c>
      <c r="E1885" t="s">
        <v>70</v>
      </c>
      <c r="F1885">
        <v>2</v>
      </c>
      <c r="G1885" s="2">
        <v>579.79</v>
      </c>
      <c r="H1885">
        <v>0.33</v>
      </c>
      <c r="I1885" t="s">
        <v>71</v>
      </c>
      <c r="J1885">
        <v>1</v>
      </c>
      <c r="K1885">
        <v>1.5</v>
      </c>
      <c r="L1885" s="2">
        <v>776.92</v>
      </c>
      <c r="M1885">
        <v>2027</v>
      </c>
      <c r="N1885">
        <v>2</v>
      </c>
      <c r="O1885" t="s">
        <v>141</v>
      </c>
      <c r="P1885" s="2">
        <v>1159.58</v>
      </c>
      <c r="Q1885" s="2">
        <v>382.66</v>
      </c>
      <c r="R1885" t="s">
        <v>72</v>
      </c>
      <c r="S1885">
        <v>1</v>
      </c>
      <c r="T1885">
        <v>0</v>
      </c>
      <c r="U1885">
        <f>IF(AND(OR(Dashboard!$D$4="Semua",D1885=Dashboard!$D$4),OR(Dashboard!$H$4="Semua",E1885=Dashboard!$H$4)),1,0)</f>
        <v>1</v>
      </c>
      <c r="V1885">
        <f>IF(U1885=1,IF(COUNTIFS($C$2:C1885,C1885,$U$2:U1885,1)=1,1,0),0)</f>
        <v>0</v>
      </c>
    </row>
    <row r="1886" spans="1:22" x14ac:dyDescent="0.35">
      <c r="A1886">
        <v>11885</v>
      </c>
      <c r="B1886" s="1">
        <v>46446</v>
      </c>
      <c r="C1886">
        <v>1806</v>
      </c>
      <c r="D1886" t="s">
        <v>80</v>
      </c>
      <c r="E1886" t="s">
        <v>63</v>
      </c>
      <c r="F1886">
        <v>1</v>
      </c>
      <c r="G1886" s="2">
        <v>488.43</v>
      </c>
      <c r="H1886">
        <v>0.03</v>
      </c>
      <c r="I1886" t="s">
        <v>64</v>
      </c>
      <c r="J1886">
        <v>11</v>
      </c>
      <c r="K1886">
        <v>3.5</v>
      </c>
      <c r="L1886" s="2">
        <v>473.78</v>
      </c>
      <c r="M1886">
        <v>2027</v>
      </c>
      <c r="N1886">
        <v>2</v>
      </c>
      <c r="O1886" t="s">
        <v>141</v>
      </c>
      <c r="P1886" s="2">
        <v>488.43</v>
      </c>
      <c r="Q1886" s="2">
        <v>14.65</v>
      </c>
      <c r="R1886" t="s">
        <v>75</v>
      </c>
      <c r="S1886">
        <v>1</v>
      </c>
      <c r="T1886">
        <v>0</v>
      </c>
      <c r="U1886">
        <f>IF(AND(OR(Dashboard!$D$4="Semua",D1886=Dashboard!$D$4),OR(Dashboard!$H$4="Semua",E1886=Dashboard!$H$4)),1,0)</f>
        <v>1</v>
      </c>
      <c r="V1886">
        <f>IF(U1886=1,IF(COUNTIFS($C$2:C1886,C1886,$U$2:U1886,1)=1,1,0),0)</f>
        <v>0</v>
      </c>
    </row>
    <row r="1887" spans="1:22" x14ac:dyDescent="0.35">
      <c r="A1887">
        <v>11886</v>
      </c>
      <c r="B1887" s="1">
        <v>46447</v>
      </c>
      <c r="C1887">
        <v>1743</v>
      </c>
      <c r="D1887" t="s">
        <v>62</v>
      </c>
      <c r="E1887" t="s">
        <v>70</v>
      </c>
      <c r="F1887">
        <v>4</v>
      </c>
      <c r="G1887" s="2">
        <v>565.1</v>
      </c>
      <c r="H1887">
        <v>0.17</v>
      </c>
      <c r="I1887" t="s">
        <v>64</v>
      </c>
      <c r="J1887">
        <v>2</v>
      </c>
      <c r="K1887">
        <v>3.7</v>
      </c>
      <c r="L1887" s="2">
        <v>1876.13</v>
      </c>
      <c r="M1887">
        <v>2027</v>
      </c>
      <c r="N1887">
        <v>3</v>
      </c>
      <c r="O1887" t="s">
        <v>142</v>
      </c>
      <c r="P1887" s="2">
        <v>2260.4</v>
      </c>
      <c r="Q1887" s="2">
        <v>384.27</v>
      </c>
      <c r="R1887" t="s">
        <v>76</v>
      </c>
      <c r="S1887">
        <v>1</v>
      </c>
      <c r="T1887">
        <v>0</v>
      </c>
      <c r="U1887">
        <f>IF(AND(OR(Dashboard!$D$4="Semua",D1887=Dashboard!$D$4),OR(Dashboard!$H$4="Semua",E1887=Dashboard!$H$4)),1,0)</f>
        <v>1</v>
      </c>
      <c r="V1887">
        <f>IF(U1887=1,IF(COUNTIFS($C$2:C1887,C1887,$U$2:U1887,1)=1,1,0),0)</f>
        <v>1</v>
      </c>
    </row>
    <row r="1888" spans="1:22" x14ac:dyDescent="0.35">
      <c r="A1888">
        <v>11887</v>
      </c>
      <c r="B1888" s="1">
        <v>46448</v>
      </c>
      <c r="C1888">
        <v>1226</v>
      </c>
      <c r="D1888" t="s">
        <v>73</v>
      </c>
      <c r="E1888" t="s">
        <v>74</v>
      </c>
      <c r="F1888">
        <v>3</v>
      </c>
      <c r="G1888" s="2">
        <v>97.25</v>
      </c>
      <c r="H1888">
        <v>0.21</v>
      </c>
      <c r="I1888" t="s">
        <v>64</v>
      </c>
      <c r="J1888">
        <v>2</v>
      </c>
      <c r="K1888">
        <v>2.8</v>
      </c>
      <c r="L1888" s="2">
        <v>230.48</v>
      </c>
      <c r="M1888">
        <v>2027</v>
      </c>
      <c r="N1888">
        <v>3</v>
      </c>
      <c r="O1888" t="s">
        <v>142</v>
      </c>
      <c r="P1888" s="2">
        <v>291.75</v>
      </c>
      <c r="Q1888" s="2">
        <v>61.27</v>
      </c>
      <c r="R1888" t="s">
        <v>77</v>
      </c>
      <c r="S1888">
        <v>1</v>
      </c>
      <c r="T1888">
        <v>0</v>
      </c>
      <c r="U1888">
        <f>IF(AND(OR(Dashboard!$D$4="Semua",D1888=Dashboard!$D$4),OR(Dashboard!$H$4="Semua",E1888=Dashboard!$H$4)),1,0)</f>
        <v>1</v>
      </c>
      <c r="V1888">
        <f>IF(U1888=1,IF(COUNTIFS($C$2:C1888,C1888,$U$2:U1888,1)=1,1,0),0)</f>
        <v>0</v>
      </c>
    </row>
    <row r="1889" spans="1:22" x14ac:dyDescent="0.35">
      <c r="A1889">
        <v>11888</v>
      </c>
      <c r="B1889" s="1">
        <v>46449</v>
      </c>
      <c r="C1889">
        <v>1309</v>
      </c>
      <c r="D1889" t="s">
        <v>80</v>
      </c>
      <c r="E1889" t="s">
        <v>70</v>
      </c>
      <c r="F1889">
        <v>6</v>
      </c>
      <c r="G1889" s="2">
        <v>56.64</v>
      </c>
      <c r="H1889">
        <v>0.09</v>
      </c>
      <c r="I1889" t="s">
        <v>71</v>
      </c>
      <c r="J1889">
        <v>10</v>
      </c>
      <c r="K1889">
        <v>1.2</v>
      </c>
      <c r="L1889" s="2">
        <v>309.25</v>
      </c>
      <c r="M1889">
        <v>2027</v>
      </c>
      <c r="N1889">
        <v>3</v>
      </c>
      <c r="O1889" t="s">
        <v>142</v>
      </c>
      <c r="P1889" s="2">
        <v>339.84</v>
      </c>
      <c r="Q1889" s="2">
        <v>30.59</v>
      </c>
      <c r="R1889" t="s">
        <v>69</v>
      </c>
      <c r="S1889">
        <v>1</v>
      </c>
      <c r="T1889">
        <v>0</v>
      </c>
      <c r="U1889">
        <f>IF(AND(OR(Dashboard!$D$4="Semua",D1889=Dashboard!$D$4),OR(Dashboard!$H$4="Semua",E1889=Dashboard!$H$4)),1,0)</f>
        <v>1</v>
      </c>
      <c r="V1889">
        <f>IF(U1889=1,IF(COUNTIFS($C$2:C1889,C1889,$U$2:U1889,1)=1,1,0),0)</f>
        <v>1</v>
      </c>
    </row>
    <row r="1890" spans="1:22" x14ac:dyDescent="0.35">
      <c r="A1890">
        <v>11889</v>
      </c>
      <c r="B1890" s="1">
        <v>46450</v>
      </c>
      <c r="C1890">
        <v>1097</v>
      </c>
      <c r="D1890" t="s">
        <v>73</v>
      </c>
      <c r="E1890" t="s">
        <v>63</v>
      </c>
      <c r="F1890">
        <v>7</v>
      </c>
      <c r="G1890" s="2">
        <v>341.26</v>
      </c>
      <c r="H1890">
        <v>0.27</v>
      </c>
      <c r="I1890" t="s">
        <v>71</v>
      </c>
      <c r="J1890">
        <v>4</v>
      </c>
      <c r="K1890">
        <v>3.5</v>
      </c>
      <c r="L1890" s="2">
        <v>1743.84</v>
      </c>
      <c r="M1890">
        <v>2027</v>
      </c>
      <c r="N1890">
        <v>3</v>
      </c>
      <c r="O1890" t="s">
        <v>142</v>
      </c>
      <c r="P1890" s="2">
        <v>2388.8200000000002</v>
      </c>
      <c r="Q1890" s="2">
        <v>644.98</v>
      </c>
      <c r="R1890" t="s">
        <v>66</v>
      </c>
      <c r="S1890">
        <v>1</v>
      </c>
      <c r="T1890">
        <v>0</v>
      </c>
      <c r="U1890">
        <f>IF(AND(OR(Dashboard!$D$4="Semua",D1890=Dashboard!$D$4),OR(Dashboard!$H$4="Semua",E1890=Dashboard!$H$4)),1,0)</f>
        <v>1</v>
      </c>
      <c r="V1890">
        <f>IF(U1890=1,IF(COUNTIFS($C$2:C1890,C1890,$U$2:U1890,1)=1,1,0),0)</f>
        <v>0</v>
      </c>
    </row>
    <row r="1891" spans="1:22" x14ac:dyDescent="0.35">
      <c r="A1891">
        <v>11890</v>
      </c>
      <c r="B1891" s="1">
        <v>46451</v>
      </c>
      <c r="C1891">
        <v>1054</v>
      </c>
      <c r="D1891" t="s">
        <v>67</v>
      </c>
      <c r="E1891" t="s">
        <v>70</v>
      </c>
      <c r="F1891">
        <v>7</v>
      </c>
      <c r="G1891" s="2">
        <v>184.82</v>
      </c>
      <c r="H1891">
        <v>0.22</v>
      </c>
      <c r="I1891" t="s">
        <v>71</v>
      </c>
      <c r="J1891">
        <v>9</v>
      </c>
      <c r="K1891">
        <v>1.3</v>
      </c>
      <c r="L1891" s="2">
        <v>1009.12</v>
      </c>
      <c r="M1891">
        <v>2027</v>
      </c>
      <c r="N1891">
        <v>3</v>
      </c>
      <c r="O1891" t="s">
        <v>142</v>
      </c>
      <c r="P1891" s="2">
        <v>1293.74</v>
      </c>
      <c r="Q1891" s="2">
        <v>284.62</v>
      </c>
      <c r="R1891" t="s">
        <v>77</v>
      </c>
      <c r="S1891">
        <v>1</v>
      </c>
      <c r="T1891">
        <v>0</v>
      </c>
      <c r="U1891">
        <f>IF(AND(OR(Dashboard!$D$4="Semua",D1891=Dashboard!$D$4),OR(Dashboard!$H$4="Semua",E1891=Dashboard!$H$4)),1,0)</f>
        <v>1</v>
      </c>
      <c r="V1891">
        <f>IF(U1891=1,IF(COUNTIFS($C$2:C1891,C1891,$U$2:U1891,1)=1,1,0),0)</f>
        <v>0</v>
      </c>
    </row>
    <row r="1892" spans="1:22" x14ac:dyDescent="0.35">
      <c r="A1892">
        <v>11891</v>
      </c>
      <c r="B1892" s="1">
        <v>46452</v>
      </c>
      <c r="C1892">
        <v>1622</v>
      </c>
      <c r="D1892" t="s">
        <v>67</v>
      </c>
      <c r="E1892" t="s">
        <v>78</v>
      </c>
      <c r="F1892">
        <v>1</v>
      </c>
      <c r="G1892" s="2">
        <v>499.41</v>
      </c>
      <c r="H1892">
        <v>0.01</v>
      </c>
      <c r="I1892" t="s">
        <v>68</v>
      </c>
      <c r="J1892">
        <v>11</v>
      </c>
      <c r="K1892">
        <v>1.6</v>
      </c>
      <c r="L1892" s="2">
        <v>494.42</v>
      </c>
      <c r="M1892">
        <v>2027</v>
      </c>
      <c r="N1892">
        <v>3</v>
      </c>
      <c r="O1892" t="s">
        <v>142</v>
      </c>
      <c r="P1892" s="2">
        <v>499.41</v>
      </c>
      <c r="Q1892" s="2">
        <v>4.99</v>
      </c>
      <c r="R1892" t="s">
        <v>75</v>
      </c>
      <c r="S1892">
        <v>1</v>
      </c>
      <c r="T1892">
        <v>0</v>
      </c>
      <c r="U1892">
        <f>IF(AND(OR(Dashboard!$D$4="Semua",D1892=Dashboard!$D$4),OR(Dashboard!$H$4="Semua",E1892=Dashboard!$H$4)),1,0)</f>
        <v>1</v>
      </c>
      <c r="V1892">
        <f>IF(U1892=1,IF(COUNTIFS($C$2:C1892,C1892,$U$2:U1892,1)=1,1,0),0)</f>
        <v>0</v>
      </c>
    </row>
    <row r="1893" spans="1:22" x14ac:dyDescent="0.35">
      <c r="A1893">
        <v>11892</v>
      </c>
      <c r="B1893" s="1">
        <v>46453</v>
      </c>
      <c r="C1893">
        <v>1663</v>
      </c>
      <c r="D1893" t="s">
        <v>67</v>
      </c>
      <c r="E1893" t="s">
        <v>74</v>
      </c>
      <c r="F1893">
        <v>5</v>
      </c>
      <c r="G1893" s="2">
        <v>408.11</v>
      </c>
      <c r="H1893">
        <v>0.21</v>
      </c>
      <c r="I1893" t="s">
        <v>68</v>
      </c>
      <c r="J1893">
        <v>2</v>
      </c>
      <c r="K1893">
        <v>3.1</v>
      </c>
      <c r="L1893" s="2">
        <v>1612.03</v>
      </c>
      <c r="M1893">
        <v>2027</v>
      </c>
      <c r="N1893">
        <v>3</v>
      </c>
      <c r="O1893" t="s">
        <v>142</v>
      </c>
      <c r="P1893" s="2">
        <v>2040.55</v>
      </c>
      <c r="Q1893" s="2">
        <v>428.52</v>
      </c>
      <c r="R1893" t="s">
        <v>77</v>
      </c>
      <c r="S1893">
        <v>1</v>
      </c>
      <c r="T1893">
        <v>0</v>
      </c>
      <c r="U1893">
        <f>IF(AND(OR(Dashboard!$D$4="Semua",D1893=Dashboard!$D$4),OR(Dashboard!$H$4="Semua",E1893=Dashboard!$H$4)),1,0)</f>
        <v>1</v>
      </c>
      <c r="V1893">
        <f>IF(U1893=1,IF(COUNTIFS($C$2:C1893,C1893,$U$2:U1893,1)=1,1,0),0)</f>
        <v>0</v>
      </c>
    </row>
    <row r="1894" spans="1:22" x14ac:dyDescent="0.35">
      <c r="A1894">
        <v>11893</v>
      </c>
      <c r="B1894" s="1">
        <v>46454</v>
      </c>
      <c r="C1894">
        <v>1757</v>
      </c>
      <c r="D1894" t="s">
        <v>67</v>
      </c>
      <c r="E1894" t="s">
        <v>74</v>
      </c>
      <c r="F1894">
        <v>4</v>
      </c>
      <c r="G1894" s="2">
        <v>582.88</v>
      </c>
      <c r="H1894">
        <v>0.17</v>
      </c>
      <c r="I1894" t="s">
        <v>64</v>
      </c>
      <c r="J1894">
        <v>11</v>
      </c>
      <c r="K1894">
        <v>2.4</v>
      </c>
      <c r="L1894" s="2">
        <v>1935.16</v>
      </c>
      <c r="M1894">
        <v>2027</v>
      </c>
      <c r="N1894">
        <v>3</v>
      </c>
      <c r="O1894" t="s">
        <v>142</v>
      </c>
      <c r="P1894" s="2">
        <v>2331.52</v>
      </c>
      <c r="Q1894" s="2">
        <v>396.36</v>
      </c>
      <c r="R1894" t="s">
        <v>76</v>
      </c>
      <c r="S1894">
        <v>1</v>
      </c>
      <c r="T1894">
        <v>0</v>
      </c>
      <c r="U1894">
        <f>IF(AND(OR(Dashboard!$D$4="Semua",D1894=Dashboard!$D$4),OR(Dashboard!$H$4="Semua",E1894=Dashboard!$H$4)),1,0)</f>
        <v>1</v>
      </c>
      <c r="V1894">
        <f>IF(U1894=1,IF(COUNTIFS($C$2:C1894,C1894,$U$2:U1894,1)=1,1,0),0)</f>
        <v>0</v>
      </c>
    </row>
    <row r="1895" spans="1:22" x14ac:dyDescent="0.35">
      <c r="A1895">
        <v>11894</v>
      </c>
      <c r="B1895" s="1">
        <v>46455</v>
      </c>
      <c r="C1895">
        <v>1405</v>
      </c>
      <c r="D1895" t="s">
        <v>62</v>
      </c>
      <c r="E1895" t="s">
        <v>78</v>
      </c>
      <c r="F1895">
        <v>3</v>
      </c>
      <c r="G1895" s="2">
        <v>164.05</v>
      </c>
      <c r="H1895">
        <v>7.0000000000000007E-2</v>
      </c>
      <c r="I1895" t="s">
        <v>68</v>
      </c>
      <c r="J1895">
        <v>8</v>
      </c>
      <c r="K1895">
        <v>2.9</v>
      </c>
      <c r="L1895" s="2">
        <v>457.7</v>
      </c>
      <c r="M1895">
        <v>2027</v>
      </c>
      <c r="N1895">
        <v>3</v>
      </c>
      <c r="O1895" t="s">
        <v>142</v>
      </c>
      <c r="P1895" s="2">
        <v>492.15</v>
      </c>
      <c r="Q1895" s="2">
        <v>34.450000000000003</v>
      </c>
      <c r="R1895" t="s">
        <v>69</v>
      </c>
      <c r="S1895">
        <v>1</v>
      </c>
      <c r="T1895">
        <v>0</v>
      </c>
      <c r="U1895">
        <f>IF(AND(OR(Dashboard!$D$4="Semua",D1895=Dashboard!$D$4),OR(Dashboard!$H$4="Semua",E1895=Dashboard!$H$4)),1,0)</f>
        <v>1</v>
      </c>
      <c r="V1895">
        <f>IF(U1895=1,IF(COUNTIFS($C$2:C1895,C1895,$U$2:U1895,1)=1,1,0),0)</f>
        <v>1</v>
      </c>
    </row>
    <row r="1896" spans="1:22" x14ac:dyDescent="0.35">
      <c r="A1896">
        <v>11895</v>
      </c>
      <c r="B1896" s="1">
        <v>46456</v>
      </c>
      <c r="C1896">
        <v>1068</v>
      </c>
      <c r="D1896" t="s">
        <v>73</v>
      </c>
      <c r="E1896" t="s">
        <v>78</v>
      </c>
      <c r="F1896">
        <v>4</v>
      </c>
      <c r="G1896" s="2">
        <v>299.18</v>
      </c>
      <c r="H1896">
        <v>0.35</v>
      </c>
      <c r="I1896" t="s">
        <v>71</v>
      </c>
      <c r="J1896">
        <v>11</v>
      </c>
      <c r="K1896">
        <v>3.5</v>
      </c>
      <c r="L1896" s="2">
        <v>777.87</v>
      </c>
      <c r="M1896">
        <v>2027</v>
      </c>
      <c r="N1896">
        <v>3</v>
      </c>
      <c r="O1896" t="s">
        <v>142</v>
      </c>
      <c r="P1896" s="2">
        <v>1196.72</v>
      </c>
      <c r="Q1896" s="2">
        <v>418.85</v>
      </c>
      <c r="R1896" t="s">
        <v>72</v>
      </c>
      <c r="S1896">
        <v>1</v>
      </c>
      <c r="T1896">
        <v>0</v>
      </c>
      <c r="U1896">
        <f>IF(AND(OR(Dashboard!$D$4="Semua",D1896=Dashboard!$D$4),OR(Dashboard!$H$4="Semua",E1896=Dashboard!$H$4)),1,0)</f>
        <v>1</v>
      </c>
      <c r="V1896">
        <f>IF(U1896=1,IF(COUNTIFS($C$2:C1896,C1896,$U$2:U1896,1)=1,1,0),0)</f>
        <v>0</v>
      </c>
    </row>
    <row r="1897" spans="1:22" x14ac:dyDescent="0.35">
      <c r="A1897">
        <v>11896</v>
      </c>
      <c r="B1897" s="1">
        <v>46457</v>
      </c>
      <c r="C1897">
        <v>1311</v>
      </c>
      <c r="D1897" t="s">
        <v>80</v>
      </c>
      <c r="E1897" t="s">
        <v>78</v>
      </c>
      <c r="F1897">
        <v>7</v>
      </c>
      <c r="G1897" s="2">
        <v>308.23</v>
      </c>
      <c r="H1897">
        <v>0.31</v>
      </c>
      <c r="I1897" t="s">
        <v>68</v>
      </c>
      <c r="J1897">
        <v>1</v>
      </c>
      <c r="K1897">
        <v>1.6</v>
      </c>
      <c r="L1897" s="2">
        <v>1488.75</v>
      </c>
      <c r="M1897">
        <v>2027</v>
      </c>
      <c r="N1897">
        <v>3</v>
      </c>
      <c r="O1897" t="s">
        <v>142</v>
      </c>
      <c r="P1897" s="2">
        <v>2157.61</v>
      </c>
      <c r="Q1897" s="2">
        <v>668.86</v>
      </c>
      <c r="R1897" t="s">
        <v>72</v>
      </c>
      <c r="S1897">
        <v>1</v>
      </c>
      <c r="T1897">
        <v>0</v>
      </c>
      <c r="U1897">
        <f>IF(AND(OR(Dashboard!$D$4="Semua",D1897=Dashboard!$D$4),OR(Dashboard!$H$4="Semua",E1897=Dashboard!$H$4)),1,0)</f>
        <v>1</v>
      </c>
      <c r="V1897">
        <f>IF(U1897=1,IF(COUNTIFS($C$2:C1897,C1897,$U$2:U1897,1)=1,1,0),0)</f>
        <v>0</v>
      </c>
    </row>
    <row r="1898" spans="1:22" x14ac:dyDescent="0.35">
      <c r="A1898">
        <v>11897</v>
      </c>
      <c r="B1898" s="1">
        <v>46458</v>
      </c>
      <c r="C1898">
        <v>1288</v>
      </c>
      <c r="D1898" t="s">
        <v>67</v>
      </c>
      <c r="E1898" t="s">
        <v>63</v>
      </c>
      <c r="F1898">
        <v>2</v>
      </c>
      <c r="G1898" s="2">
        <v>154.91999999999999</v>
      </c>
      <c r="H1898">
        <v>0.1</v>
      </c>
      <c r="I1898" t="s">
        <v>68</v>
      </c>
      <c r="J1898">
        <v>8</v>
      </c>
      <c r="K1898">
        <v>4.5999999999999996</v>
      </c>
      <c r="L1898" s="2">
        <v>278.86</v>
      </c>
      <c r="M1898">
        <v>2027</v>
      </c>
      <c r="N1898">
        <v>3</v>
      </c>
      <c r="O1898" t="s">
        <v>142</v>
      </c>
      <c r="P1898" s="2">
        <v>309.83999999999997</v>
      </c>
      <c r="Q1898" s="2">
        <v>30.98</v>
      </c>
      <c r="R1898" t="s">
        <v>69</v>
      </c>
      <c r="S1898">
        <v>1</v>
      </c>
      <c r="T1898">
        <v>0</v>
      </c>
      <c r="U1898">
        <f>IF(AND(OR(Dashboard!$D$4="Semua",D1898=Dashboard!$D$4),OR(Dashboard!$H$4="Semua",E1898=Dashboard!$H$4)),1,0)</f>
        <v>1</v>
      </c>
      <c r="V1898">
        <f>IF(U1898=1,IF(COUNTIFS($C$2:C1898,C1898,$U$2:U1898,1)=1,1,0),0)</f>
        <v>0</v>
      </c>
    </row>
    <row r="1899" spans="1:22" x14ac:dyDescent="0.35">
      <c r="A1899">
        <v>11898</v>
      </c>
      <c r="B1899" s="1">
        <v>46459</v>
      </c>
      <c r="C1899">
        <v>1761</v>
      </c>
      <c r="D1899" t="s">
        <v>73</v>
      </c>
      <c r="E1899" t="s">
        <v>70</v>
      </c>
      <c r="F1899">
        <v>3</v>
      </c>
      <c r="G1899" s="2">
        <v>360.2</v>
      </c>
      <c r="H1899">
        <v>0.19</v>
      </c>
      <c r="I1899" t="s">
        <v>64</v>
      </c>
      <c r="J1899">
        <v>3</v>
      </c>
      <c r="K1899">
        <v>3.2</v>
      </c>
      <c r="L1899" s="2">
        <v>875.29</v>
      </c>
      <c r="M1899">
        <v>2027</v>
      </c>
      <c r="N1899">
        <v>3</v>
      </c>
      <c r="O1899" t="s">
        <v>142</v>
      </c>
      <c r="P1899" s="2">
        <v>1080.5999999999999</v>
      </c>
      <c r="Q1899" s="2">
        <v>205.31</v>
      </c>
      <c r="R1899" t="s">
        <v>76</v>
      </c>
      <c r="S1899">
        <v>1</v>
      </c>
      <c r="T1899">
        <v>0</v>
      </c>
      <c r="U1899">
        <f>IF(AND(OR(Dashboard!$D$4="Semua",D1899=Dashboard!$D$4),OR(Dashboard!$H$4="Semua",E1899=Dashboard!$H$4)),1,0)</f>
        <v>1</v>
      </c>
      <c r="V1899">
        <f>IF(U1899=1,IF(COUNTIFS($C$2:C1899,C1899,$U$2:U1899,1)=1,1,0),0)</f>
        <v>0</v>
      </c>
    </row>
    <row r="1900" spans="1:22" x14ac:dyDescent="0.35">
      <c r="A1900">
        <v>11899</v>
      </c>
      <c r="B1900" s="1">
        <v>46460</v>
      </c>
      <c r="C1900">
        <v>1547</v>
      </c>
      <c r="D1900" t="s">
        <v>73</v>
      </c>
      <c r="E1900" t="s">
        <v>74</v>
      </c>
      <c r="F1900">
        <v>7</v>
      </c>
      <c r="G1900" s="2">
        <v>274.32</v>
      </c>
      <c r="H1900">
        <v>0.11</v>
      </c>
      <c r="I1900" t="s">
        <v>64</v>
      </c>
      <c r="J1900">
        <v>5</v>
      </c>
      <c r="K1900">
        <v>1.1000000000000001</v>
      </c>
      <c r="L1900" s="2">
        <v>1709.01</v>
      </c>
      <c r="M1900">
        <v>2027</v>
      </c>
      <c r="N1900">
        <v>3</v>
      </c>
      <c r="O1900" t="s">
        <v>142</v>
      </c>
      <c r="P1900" s="2">
        <v>1920.24</v>
      </c>
      <c r="Q1900" s="2">
        <v>211.23</v>
      </c>
      <c r="R1900" t="s">
        <v>79</v>
      </c>
      <c r="S1900">
        <v>1</v>
      </c>
      <c r="T1900">
        <v>0</v>
      </c>
      <c r="U1900">
        <f>IF(AND(OR(Dashboard!$D$4="Semua",D1900=Dashboard!$D$4),OR(Dashboard!$H$4="Semua",E1900=Dashboard!$H$4)),1,0)</f>
        <v>1</v>
      </c>
      <c r="V1900">
        <f>IF(U1900=1,IF(COUNTIFS($C$2:C1900,C1900,$U$2:U1900,1)=1,1,0),0)</f>
        <v>0</v>
      </c>
    </row>
    <row r="1901" spans="1:22" x14ac:dyDescent="0.35">
      <c r="A1901">
        <v>11900</v>
      </c>
      <c r="B1901" s="1">
        <v>46461</v>
      </c>
      <c r="C1901">
        <v>1750</v>
      </c>
      <c r="D1901" t="s">
        <v>62</v>
      </c>
      <c r="E1901" t="s">
        <v>70</v>
      </c>
      <c r="F1901">
        <v>5</v>
      </c>
      <c r="G1901" s="2">
        <v>276.33</v>
      </c>
      <c r="H1901">
        <v>0.27</v>
      </c>
      <c r="I1901" t="s">
        <v>71</v>
      </c>
      <c r="J1901">
        <v>1</v>
      </c>
      <c r="K1901">
        <v>3.5</v>
      </c>
      <c r="L1901" s="2">
        <v>1008.6</v>
      </c>
      <c r="M1901">
        <v>2027</v>
      </c>
      <c r="N1901">
        <v>3</v>
      </c>
      <c r="O1901" t="s">
        <v>142</v>
      </c>
      <c r="P1901" s="2">
        <v>1381.65</v>
      </c>
      <c r="Q1901" s="2">
        <v>373.05</v>
      </c>
      <c r="R1901" t="s">
        <v>66</v>
      </c>
      <c r="S1901">
        <v>1</v>
      </c>
      <c r="T1901">
        <v>0</v>
      </c>
      <c r="U1901">
        <f>IF(AND(OR(Dashboard!$D$4="Semua",D1901=Dashboard!$D$4),OR(Dashboard!$H$4="Semua",E1901=Dashboard!$H$4)),1,0)</f>
        <v>1</v>
      </c>
      <c r="V1901">
        <f>IF(U1901=1,IF(COUNTIFS($C$2:C1901,C1901,$U$2:U1901,1)=1,1,0),0)</f>
        <v>0</v>
      </c>
    </row>
    <row r="1902" spans="1:22" x14ac:dyDescent="0.35">
      <c r="A1902">
        <v>11901</v>
      </c>
      <c r="B1902" s="1">
        <v>46462</v>
      </c>
      <c r="C1902">
        <v>1147</v>
      </c>
      <c r="D1902" t="s">
        <v>62</v>
      </c>
      <c r="E1902" t="s">
        <v>78</v>
      </c>
      <c r="F1902">
        <v>3</v>
      </c>
      <c r="G1902" s="2">
        <v>227.2</v>
      </c>
      <c r="H1902">
        <v>0.33</v>
      </c>
      <c r="I1902" t="s">
        <v>68</v>
      </c>
      <c r="J1902">
        <v>1</v>
      </c>
      <c r="K1902">
        <v>2.9</v>
      </c>
      <c r="L1902" s="2">
        <v>456.67</v>
      </c>
      <c r="M1902">
        <v>2027</v>
      </c>
      <c r="N1902">
        <v>3</v>
      </c>
      <c r="O1902" t="s">
        <v>142</v>
      </c>
      <c r="P1902" s="2">
        <v>681.6</v>
      </c>
      <c r="Q1902" s="2">
        <v>224.93</v>
      </c>
      <c r="R1902" t="s">
        <v>72</v>
      </c>
      <c r="S1902">
        <v>1</v>
      </c>
      <c r="T1902">
        <v>0</v>
      </c>
      <c r="U1902">
        <f>IF(AND(OR(Dashboard!$D$4="Semua",D1902=Dashboard!$D$4),OR(Dashboard!$H$4="Semua",E1902=Dashboard!$H$4)),1,0)</f>
        <v>1</v>
      </c>
      <c r="V1902">
        <f>IF(U1902=1,IF(COUNTIFS($C$2:C1902,C1902,$U$2:U1902,1)=1,1,0),0)</f>
        <v>0</v>
      </c>
    </row>
    <row r="1903" spans="1:22" x14ac:dyDescent="0.35">
      <c r="A1903">
        <v>11902</v>
      </c>
      <c r="B1903" s="1">
        <v>46463</v>
      </c>
      <c r="C1903">
        <v>1466</v>
      </c>
      <c r="D1903" t="s">
        <v>62</v>
      </c>
      <c r="E1903" t="s">
        <v>78</v>
      </c>
      <c r="F1903">
        <v>7</v>
      </c>
      <c r="G1903" s="2">
        <v>24.9</v>
      </c>
      <c r="H1903">
        <v>0.13</v>
      </c>
      <c r="I1903" t="s">
        <v>71</v>
      </c>
      <c r="J1903">
        <v>6</v>
      </c>
      <c r="K1903">
        <v>3.8</v>
      </c>
      <c r="L1903" s="2">
        <v>151.63999999999999</v>
      </c>
      <c r="M1903">
        <v>2027</v>
      </c>
      <c r="N1903">
        <v>3</v>
      </c>
      <c r="O1903" t="s">
        <v>142</v>
      </c>
      <c r="P1903" s="2">
        <v>174.3</v>
      </c>
      <c r="Q1903" s="2">
        <v>22.66</v>
      </c>
      <c r="R1903" t="s">
        <v>79</v>
      </c>
      <c r="S1903">
        <v>1</v>
      </c>
      <c r="T1903">
        <v>0</v>
      </c>
      <c r="U1903">
        <f>IF(AND(OR(Dashboard!$D$4="Semua",D1903=Dashboard!$D$4),OR(Dashboard!$H$4="Semua",E1903=Dashboard!$H$4)),1,0)</f>
        <v>1</v>
      </c>
      <c r="V1903">
        <f>IF(U1903=1,IF(COUNTIFS($C$2:C1903,C1903,$U$2:U1903,1)=1,1,0),0)</f>
        <v>0</v>
      </c>
    </row>
    <row r="1904" spans="1:22" x14ac:dyDescent="0.35">
      <c r="A1904">
        <v>11903</v>
      </c>
      <c r="B1904" s="1">
        <v>46464</v>
      </c>
      <c r="C1904">
        <v>1738</v>
      </c>
      <c r="D1904" t="s">
        <v>62</v>
      </c>
      <c r="E1904" t="s">
        <v>70</v>
      </c>
      <c r="F1904">
        <v>5</v>
      </c>
      <c r="G1904" s="2">
        <v>320.43</v>
      </c>
      <c r="H1904">
        <v>0.28000000000000003</v>
      </c>
      <c r="I1904" t="s">
        <v>68</v>
      </c>
      <c r="J1904">
        <v>3</v>
      </c>
      <c r="K1904">
        <v>4.0999999999999996</v>
      </c>
      <c r="L1904" s="2">
        <v>1153.55</v>
      </c>
      <c r="M1904">
        <v>2027</v>
      </c>
      <c r="N1904">
        <v>3</v>
      </c>
      <c r="O1904" t="s">
        <v>142</v>
      </c>
      <c r="P1904" s="2">
        <v>1602.15</v>
      </c>
      <c r="Q1904" s="2">
        <v>448.6</v>
      </c>
      <c r="R1904" t="s">
        <v>66</v>
      </c>
      <c r="S1904">
        <v>1</v>
      </c>
      <c r="T1904">
        <v>0</v>
      </c>
      <c r="U1904">
        <f>IF(AND(OR(Dashboard!$D$4="Semua",D1904=Dashboard!$D$4),OR(Dashboard!$H$4="Semua",E1904=Dashboard!$H$4)),1,0)</f>
        <v>1</v>
      </c>
      <c r="V1904">
        <f>IF(U1904=1,IF(COUNTIFS($C$2:C1904,C1904,$U$2:U1904,1)=1,1,0),0)</f>
        <v>0</v>
      </c>
    </row>
    <row r="1905" spans="1:22" x14ac:dyDescent="0.35">
      <c r="A1905">
        <v>11904</v>
      </c>
      <c r="B1905" s="1">
        <v>46465</v>
      </c>
      <c r="C1905">
        <v>1243</v>
      </c>
      <c r="D1905" t="s">
        <v>73</v>
      </c>
      <c r="E1905" t="s">
        <v>74</v>
      </c>
      <c r="F1905">
        <v>2</v>
      </c>
      <c r="G1905" s="2">
        <v>211.12</v>
      </c>
      <c r="H1905">
        <v>0.17</v>
      </c>
      <c r="I1905" t="s">
        <v>68</v>
      </c>
      <c r="J1905">
        <v>8</v>
      </c>
      <c r="K1905">
        <v>4.8</v>
      </c>
      <c r="L1905" s="2">
        <v>350.46</v>
      </c>
      <c r="M1905">
        <v>2027</v>
      </c>
      <c r="N1905">
        <v>3</v>
      </c>
      <c r="O1905" t="s">
        <v>142</v>
      </c>
      <c r="P1905" s="2">
        <v>422.24</v>
      </c>
      <c r="Q1905" s="2">
        <v>71.78</v>
      </c>
      <c r="R1905" t="s">
        <v>76</v>
      </c>
      <c r="S1905">
        <v>1</v>
      </c>
      <c r="T1905">
        <v>0</v>
      </c>
      <c r="U1905">
        <f>IF(AND(OR(Dashboard!$D$4="Semua",D1905=Dashboard!$D$4),OR(Dashboard!$H$4="Semua",E1905=Dashboard!$H$4)),1,0)</f>
        <v>1</v>
      </c>
      <c r="V1905">
        <f>IF(U1905=1,IF(COUNTIFS($C$2:C1905,C1905,$U$2:U1905,1)=1,1,0),0)</f>
        <v>0</v>
      </c>
    </row>
    <row r="1906" spans="1:22" x14ac:dyDescent="0.35">
      <c r="A1906">
        <v>11905</v>
      </c>
      <c r="B1906" s="1">
        <v>46466</v>
      </c>
      <c r="C1906">
        <v>1490</v>
      </c>
      <c r="D1906" t="s">
        <v>67</v>
      </c>
      <c r="E1906" t="s">
        <v>63</v>
      </c>
      <c r="F1906">
        <v>5</v>
      </c>
      <c r="G1906" s="2">
        <v>15.77</v>
      </c>
      <c r="H1906">
        <v>0.14000000000000001</v>
      </c>
      <c r="I1906" t="s">
        <v>68</v>
      </c>
      <c r="J1906">
        <v>4</v>
      </c>
      <c r="K1906">
        <v>5</v>
      </c>
      <c r="L1906" s="2">
        <v>67.81</v>
      </c>
      <c r="M1906">
        <v>2027</v>
      </c>
      <c r="N1906">
        <v>3</v>
      </c>
      <c r="O1906" t="s">
        <v>142</v>
      </c>
      <c r="P1906" s="2">
        <v>78.849999999999994</v>
      </c>
      <c r="Q1906" s="2">
        <v>11.04</v>
      </c>
      <c r="R1906" t="s">
        <v>79</v>
      </c>
      <c r="S1906">
        <v>1</v>
      </c>
      <c r="T1906">
        <v>0</v>
      </c>
      <c r="U1906">
        <f>IF(AND(OR(Dashboard!$D$4="Semua",D1906=Dashboard!$D$4),OR(Dashboard!$H$4="Semua",E1906=Dashboard!$H$4)),1,0)</f>
        <v>1</v>
      </c>
      <c r="V1906">
        <f>IF(U1906=1,IF(COUNTIFS($C$2:C1906,C1906,$U$2:U1906,1)=1,1,0),0)</f>
        <v>0</v>
      </c>
    </row>
    <row r="1907" spans="1:22" x14ac:dyDescent="0.35">
      <c r="A1907">
        <v>11906</v>
      </c>
      <c r="B1907" s="1">
        <v>46467</v>
      </c>
      <c r="C1907">
        <v>1848</v>
      </c>
      <c r="D1907" t="s">
        <v>80</v>
      </c>
      <c r="E1907" t="s">
        <v>70</v>
      </c>
      <c r="F1907">
        <v>4</v>
      </c>
      <c r="G1907" s="2">
        <v>195.15</v>
      </c>
      <c r="H1907">
        <v>0.33</v>
      </c>
      <c r="I1907" t="s">
        <v>71</v>
      </c>
      <c r="J1907">
        <v>6</v>
      </c>
      <c r="K1907">
        <v>3.2</v>
      </c>
      <c r="L1907" s="2">
        <v>523</v>
      </c>
      <c r="M1907">
        <v>2027</v>
      </c>
      <c r="N1907">
        <v>3</v>
      </c>
      <c r="O1907" t="s">
        <v>142</v>
      </c>
      <c r="P1907" s="2">
        <v>780.6</v>
      </c>
      <c r="Q1907" s="2">
        <v>257.60000000000002</v>
      </c>
      <c r="R1907" t="s">
        <v>72</v>
      </c>
      <c r="S1907">
        <v>1</v>
      </c>
      <c r="T1907">
        <v>0</v>
      </c>
      <c r="U1907">
        <f>IF(AND(OR(Dashboard!$D$4="Semua",D1907=Dashboard!$D$4),OR(Dashboard!$H$4="Semua",E1907=Dashboard!$H$4)),1,0)</f>
        <v>1</v>
      </c>
      <c r="V1907">
        <f>IF(U1907=1,IF(COUNTIFS($C$2:C1907,C1907,$U$2:U1907,1)=1,1,0),0)</f>
        <v>0</v>
      </c>
    </row>
    <row r="1908" spans="1:22" x14ac:dyDescent="0.35">
      <c r="A1908">
        <v>11907</v>
      </c>
      <c r="B1908" s="1">
        <v>46468</v>
      </c>
      <c r="C1908">
        <v>1957</v>
      </c>
      <c r="D1908" t="s">
        <v>67</v>
      </c>
      <c r="E1908" t="s">
        <v>78</v>
      </c>
      <c r="F1908">
        <v>1</v>
      </c>
      <c r="G1908" s="2">
        <v>178</v>
      </c>
      <c r="H1908">
        <v>0.18</v>
      </c>
      <c r="I1908" t="s">
        <v>68</v>
      </c>
      <c r="J1908">
        <v>10</v>
      </c>
      <c r="K1908">
        <v>3.2</v>
      </c>
      <c r="L1908" s="2">
        <v>145.96</v>
      </c>
      <c r="M1908">
        <v>2027</v>
      </c>
      <c r="N1908">
        <v>3</v>
      </c>
      <c r="O1908" t="s">
        <v>142</v>
      </c>
      <c r="P1908" s="2">
        <v>178</v>
      </c>
      <c r="Q1908" s="2">
        <v>32.04</v>
      </c>
      <c r="R1908" t="s">
        <v>76</v>
      </c>
      <c r="S1908">
        <v>1</v>
      </c>
      <c r="T1908">
        <v>0</v>
      </c>
      <c r="U1908">
        <f>IF(AND(OR(Dashboard!$D$4="Semua",D1908=Dashboard!$D$4),OR(Dashboard!$H$4="Semua",E1908=Dashboard!$H$4)),1,0)</f>
        <v>1</v>
      </c>
      <c r="V1908">
        <f>IF(U1908=1,IF(COUNTIFS($C$2:C1908,C1908,$U$2:U1908,1)=1,1,0),0)</f>
        <v>0</v>
      </c>
    </row>
    <row r="1909" spans="1:22" x14ac:dyDescent="0.35">
      <c r="A1909">
        <v>11908</v>
      </c>
      <c r="B1909" s="1">
        <v>46469</v>
      </c>
      <c r="C1909">
        <v>1506</v>
      </c>
      <c r="D1909" t="s">
        <v>67</v>
      </c>
      <c r="E1909" t="s">
        <v>78</v>
      </c>
      <c r="F1909">
        <v>4</v>
      </c>
      <c r="G1909" s="2">
        <v>245.17</v>
      </c>
      <c r="H1909">
        <v>0.16</v>
      </c>
      <c r="I1909" t="s">
        <v>71</v>
      </c>
      <c r="J1909">
        <v>9</v>
      </c>
      <c r="K1909">
        <v>1.1000000000000001</v>
      </c>
      <c r="L1909" s="2">
        <v>823.77</v>
      </c>
      <c r="M1909">
        <v>2027</v>
      </c>
      <c r="N1909">
        <v>3</v>
      </c>
      <c r="O1909" t="s">
        <v>142</v>
      </c>
      <c r="P1909" s="2">
        <v>980.68</v>
      </c>
      <c r="Q1909" s="2">
        <v>156.91</v>
      </c>
      <c r="R1909" t="s">
        <v>76</v>
      </c>
      <c r="S1909">
        <v>1</v>
      </c>
      <c r="T1909">
        <v>0</v>
      </c>
      <c r="U1909">
        <f>IF(AND(OR(Dashboard!$D$4="Semua",D1909=Dashboard!$D$4),OR(Dashboard!$H$4="Semua",E1909=Dashboard!$H$4)),1,0)</f>
        <v>1</v>
      </c>
      <c r="V1909">
        <f>IF(U1909=1,IF(COUNTIFS($C$2:C1909,C1909,$U$2:U1909,1)=1,1,0),0)</f>
        <v>1</v>
      </c>
    </row>
    <row r="1910" spans="1:22" x14ac:dyDescent="0.35">
      <c r="A1910">
        <v>11909</v>
      </c>
      <c r="B1910" s="1">
        <v>46470</v>
      </c>
      <c r="C1910">
        <v>1364</v>
      </c>
      <c r="D1910" t="s">
        <v>67</v>
      </c>
      <c r="E1910" t="s">
        <v>63</v>
      </c>
      <c r="F1910">
        <v>7</v>
      </c>
      <c r="G1910" s="2">
        <v>92.13</v>
      </c>
      <c r="H1910">
        <v>0.24</v>
      </c>
      <c r="I1910" t="s">
        <v>68</v>
      </c>
      <c r="J1910">
        <v>8</v>
      </c>
      <c r="K1910">
        <v>4.5</v>
      </c>
      <c r="L1910" s="2">
        <v>490.13</v>
      </c>
      <c r="M1910">
        <v>2027</v>
      </c>
      <c r="N1910">
        <v>3</v>
      </c>
      <c r="O1910" t="s">
        <v>142</v>
      </c>
      <c r="P1910" s="2">
        <v>644.91</v>
      </c>
      <c r="Q1910" s="2">
        <v>154.78</v>
      </c>
      <c r="R1910" t="s">
        <v>77</v>
      </c>
      <c r="S1910">
        <v>1</v>
      </c>
      <c r="T1910">
        <v>0</v>
      </c>
      <c r="U1910">
        <f>IF(AND(OR(Dashboard!$D$4="Semua",D1910=Dashboard!$D$4),OR(Dashboard!$H$4="Semua",E1910=Dashboard!$H$4)),1,0)</f>
        <v>1</v>
      </c>
      <c r="V1910">
        <f>IF(U1910=1,IF(COUNTIFS($C$2:C1910,C1910,$U$2:U1910,1)=1,1,0),0)</f>
        <v>0</v>
      </c>
    </row>
    <row r="1911" spans="1:22" x14ac:dyDescent="0.35">
      <c r="A1911">
        <v>11910</v>
      </c>
      <c r="B1911" s="1">
        <v>46471</v>
      </c>
      <c r="C1911">
        <v>1481</v>
      </c>
      <c r="D1911" t="s">
        <v>67</v>
      </c>
      <c r="E1911" t="s">
        <v>70</v>
      </c>
      <c r="F1911">
        <v>7</v>
      </c>
      <c r="G1911" s="2">
        <v>312</v>
      </c>
      <c r="H1911">
        <v>0.09</v>
      </c>
      <c r="I1911" t="s">
        <v>68</v>
      </c>
      <c r="J1911">
        <v>4</v>
      </c>
      <c r="K1911">
        <v>1.1000000000000001</v>
      </c>
      <c r="L1911" s="2">
        <v>1987.44</v>
      </c>
      <c r="M1911">
        <v>2027</v>
      </c>
      <c r="N1911">
        <v>3</v>
      </c>
      <c r="O1911" t="s">
        <v>142</v>
      </c>
      <c r="P1911" s="2">
        <v>2184</v>
      </c>
      <c r="Q1911" s="2">
        <v>196.56</v>
      </c>
      <c r="R1911" t="s">
        <v>69</v>
      </c>
      <c r="S1911">
        <v>1</v>
      </c>
      <c r="T1911">
        <v>0</v>
      </c>
      <c r="U1911">
        <f>IF(AND(OR(Dashboard!$D$4="Semua",D1911=Dashboard!$D$4),OR(Dashboard!$H$4="Semua",E1911=Dashboard!$H$4)),1,0)</f>
        <v>1</v>
      </c>
      <c r="V1911">
        <f>IF(U1911=1,IF(COUNTIFS($C$2:C1911,C1911,$U$2:U1911,1)=1,1,0),0)</f>
        <v>1</v>
      </c>
    </row>
    <row r="1912" spans="1:22" x14ac:dyDescent="0.35">
      <c r="A1912">
        <v>11911</v>
      </c>
      <c r="B1912" s="1">
        <v>46472</v>
      </c>
      <c r="C1912">
        <v>1200</v>
      </c>
      <c r="D1912" t="s">
        <v>67</v>
      </c>
      <c r="E1912" t="s">
        <v>63</v>
      </c>
      <c r="F1912">
        <v>6</v>
      </c>
      <c r="G1912" s="2">
        <v>420.08</v>
      </c>
      <c r="H1912">
        <v>0.11</v>
      </c>
      <c r="I1912" t="s">
        <v>68</v>
      </c>
      <c r="J1912">
        <v>10</v>
      </c>
      <c r="K1912">
        <v>3.5</v>
      </c>
      <c r="L1912" s="2">
        <v>2243.23</v>
      </c>
      <c r="M1912">
        <v>2027</v>
      </c>
      <c r="N1912">
        <v>3</v>
      </c>
      <c r="O1912" t="s">
        <v>142</v>
      </c>
      <c r="P1912" s="2">
        <v>2520.48</v>
      </c>
      <c r="Q1912" s="2">
        <v>277.25</v>
      </c>
      <c r="R1912" t="s">
        <v>79</v>
      </c>
      <c r="S1912">
        <v>1</v>
      </c>
      <c r="T1912">
        <v>0</v>
      </c>
      <c r="U1912">
        <f>IF(AND(OR(Dashboard!$D$4="Semua",D1912=Dashboard!$D$4),OR(Dashboard!$H$4="Semua",E1912=Dashboard!$H$4)),1,0)</f>
        <v>1</v>
      </c>
      <c r="V1912">
        <f>IF(U1912=1,IF(COUNTIFS($C$2:C1912,C1912,$U$2:U1912,1)=1,1,0),0)</f>
        <v>0</v>
      </c>
    </row>
    <row r="1913" spans="1:22" x14ac:dyDescent="0.35">
      <c r="A1913">
        <v>11912</v>
      </c>
      <c r="B1913" s="1">
        <v>46473</v>
      </c>
      <c r="C1913">
        <v>1153</v>
      </c>
      <c r="D1913" t="s">
        <v>73</v>
      </c>
      <c r="E1913" t="s">
        <v>63</v>
      </c>
      <c r="F1913">
        <v>4</v>
      </c>
      <c r="G1913" s="2">
        <v>383.66</v>
      </c>
      <c r="H1913">
        <v>0.33</v>
      </c>
      <c r="I1913" t="s">
        <v>64</v>
      </c>
      <c r="J1913">
        <v>8</v>
      </c>
      <c r="K1913">
        <v>1.4</v>
      </c>
      <c r="L1913" s="2">
        <v>1028.21</v>
      </c>
      <c r="M1913">
        <v>2027</v>
      </c>
      <c r="N1913">
        <v>3</v>
      </c>
      <c r="O1913" t="s">
        <v>142</v>
      </c>
      <c r="P1913" s="2">
        <v>1534.64</v>
      </c>
      <c r="Q1913" s="2">
        <v>506.43</v>
      </c>
      <c r="R1913" t="s">
        <v>72</v>
      </c>
      <c r="S1913">
        <v>1</v>
      </c>
      <c r="T1913">
        <v>0</v>
      </c>
      <c r="U1913">
        <f>IF(AND(OR(Dashboard!$D$4="Semua",D1913=Dashboard!$D$4),OR(Dashboard!$H$4="Semua",E1913=Dashboard!$H$4)),1,0)</f>
        <v>1</v>
      </c>
      <c r="V1913">
        <f>IF(U1913=1,IF(COUNTIFS($C$2:C1913,C1913,$U$2:U1913,1)=1,1,0),0)</f>
        <v>0</v>
      </c>
    </row>
    <row r="1914" spans="1:22" x14ac:dyDescent="0.35">
      <c r="A1914">
        <v>11913</v>
      </c>
      <c r="B1914" s="1">
        <v>46474</v>
      </c>
      <c r="C1914">
        <v>1449</v>
      </c>
      <c r="D1914" t="s">
        <v>67</v>
      </c>
      <c r="E1914" t="s">
        <v>74</v>
      </c>
      <c r="F1914">
        <v>3</v>
      </c>
      <c r="G1914" s="2">
        <v>485.2</v>
      </c>
      <c r="H1914">
        <v>0.24</v>
      </c>
      <c r="I1914" t="s">
        <v>71</v>
      </c>
      <c r="J1914">
        <v>7</v>
      </c>
      <c r="K1914">
        <v>2.1</v>
      </c>
      <c r="L1914" s="2">
        <v>1106.26</v>
      </c>
      <c r="M1914">
        <v>2027</v>
      </c>
      <c r="N1914">
        <v>3</v>
      </c>
      <c r="O1914" t="s">
        <v>142</v>
      </c>
      <c r="P1914" s="2">
        <v>1455.6</v>
      </c>
      <c r="Q1914" s="2">
        <v>349.34</v>
      </c>
      <c r="R1914" t="s">
        <v>77</v>
      </c>
      <c r="S1914">
        <v>1</v>
      </c>
      <c r="T1914">
        <v>0</v>
      </c>
      <c r="U1914">
        <f>IF(AND(OR(Dashboard!$D$4="Semua",D1914=Dashboard!$D$4),OR(Dashboard!$H$4="Semua",E1914=Dashboard!$H$4)),1,0)</f>
        <v>1</v>
      </c>
      <c r="V1914">
        <f>IF(U1914=1,IF(COUNTIFS($C$2:C1914,C1914,$U$2:U1914,1)=1,1,0),0)</f>
        <v>0</v>
      </c>
    </row>
    <row r="1915" spans="1:22" x14ac:dyDescent="0.35">
      <c r="A1915">
        <v>11914</v>
      </c>
      <c r="B1915" s="1">
        <v>46475</v>
      </c>
      <c r="C1915">
        <v>1500</v>
      </c>
      <c r="D1915" t="s">
        <v>67</v>
      </c>
      <c r="E1915" t="s">
        <v>74</v>
      </c>
      <c r="F1915">
        <v>2</v>
      </c>
      <c r="G1915" s="2">
        <v>279.42</v>
      </c>
      <c r="H1915">
        <v>0.28999999999999998</v>
      </c>
      <c r="I1915" t="s">
        <v>68</v>
      </c>
      <c r="J1915">
        <v>5</v>
      </c>
      <c r="K1915">
        <v>1.6</v>
      </c>
      <c r="L1915" s="2">
        <v>396.78</v>
      </c>
      <c r="M1915">
        <v>2027</v>
      </c>
      <c r="N1915">
        <v>3</v>
      </c>
      <c r="O1915" t="s">
        <v>142</v>
      </c>
      <c r="P1915" s="2">
        <v>558.84</v>
      </c>
      <c r="Q1915" s="2">
        <v>162.06</v>
      </c>
      <c r="R1915" t="s">
        <v>66</v>
      </c>
      <c r="S1915">
        <v>1</v>
      </c>
      <c r="T1915">
        <v>0</v>
      </c>
      <c r="U1915">
        <f>IF(AND(OR(Dashboard!$D$4="Semua",D1915=Dashboard!$D$4),OR(Dashboard!$H$4="Semua",E1915=Dashboard!$H$4)),1,0)</f>
        <v>1</v>
      </c>
      <c r="V1915">
        <f>IF(U1915=1,IF(COUNTIFS($C$2:C1915,C1915,$U$2:U1915,1)=1,1,0),0)</f>
        <v>0</v>
      </c>
    </row>
    <row r="1916" spans="1:22" x14ac:dyDescent="0.35">
      <c r="A1916">
        <v>11915</v>
      </c>
      <c r="B1916" s="1">
        <v>46476</v>
      </c>
      <c r="C1916">
        <v>1072</v>
      </c>
      <c r="D1916" t="s">
        <v>67</v>
      </c>
      <c r="E1916" t="s">
        <v>78</v>
      </c>
      <c r="F1916">
        <v>6</v>
      </c>
      <c r="G1916" s="2">
        <v>318.67</v>
      </c>
      <c r="H1916">
        <v>0.09</v>
      </c>
      <c r="I1916" t="s">
        <v>71</v>
      </c>
      <c r="J1916">
        <v>7</v>
      </c>
      <c r="K1916">
        <v>1.5</v>
      </c>
      <c r="L1916" s="2">
        <v>1739.94</v>
      </c>
      <c r="M1916">
        <v>2027</v>
      </c>
      <c r="N1916">
        <v>3</v>
      </c>
      <c r="O1916" t="s">
        <v>142</v>
      </c>
      <c r="P1916" s="2">
        <v>1912.02</v>
      </c>
      <c r="Q1916" s="2">
        <v>172.08</v>
      </c>
      <c r="R1916" t="s">
        <v>69</v>
      </c>
      <c r="S1916">
        <v>1</v>
      </c>
      <c r="T1916">
        <v>0</v>
      </c>
      <c r="U1916">
        <f>IF(AND(OR(Dashboard!$D$4="Semua",D1916=Dashboard!$D$4),OR(Dashboard!$H$4="Semua",E1916=Dashboard!$H$4)),1,0)</f>
        <v>1</v>
      </c>
      <c r="V1916">
        <f>IF(U1916=1,IF(COUNTIFS($C$2:C1916,C1916,$U$2:U1916,1)=1,1,0),0)</f>
        <v>0</v>
      </c>
    </row>
    <row r="1917" spans="1:22" x14ac:dyDescent="0.35">
      <c r="A1917">
        <v>11916</v>
      </c>
      <c r="B1917" s="1">
        <v>46477</v>
      </c>
      <c r="C1917">
        <v>1712</v>
      </c>
      <c r="D1917" t="s">
        <v>73</v>
      </c>
      <c r="E1917" t="s">
        <v>70</v>
      </c>
      <c r="F1917">
        <v>6</v>
      </c>
      <c r="G1917" s="2">
        <v>489.09</v>
      </c>
      <c r="H1917">
        <v>0.19</v>
      </c>
      <c r="I1917" t="s">
        <v>64</v>
      </c>
      <c r="J1917">
        <v>7</v>
      </c>
      <c r="K1917">
        <v>1.3</v>
      </c>
      <c r="L1917" s="2">
        <v>2376.98</v>
      </c>
      <c r="M1917">
        <v>2027</v>
      </c>
      <c r="N1917">
        <v>3</v>
      </c>
      <c r="O1917" t="s">
        <v>142</v>
      </c>
      <c r="P1917" s="2">
        <v>2934.54</v>
      </c>
      <c r="Q1917" s="2">
        <v>557.55999999999995</v>
      </c>
      <c r="R1917" t="s">
        <v>76</v>
      </c>
      <c r="S1917">
        <v>1</v>
      </c>
      <c r="T1917">
        <v>0</v>
      </c>
      <c r="U1917">
        <f>IF(AND(OR(Dashboard!$D$4="Semua",D1917=Dashboard!$D$4),OR(Dashboard!$H$4="Semua",E1917=Dashboard!$H$4)),1,0)</f>
        <v>1</v>
      </c>
      <c r="V1917">
        <f>IF(U1917=1,IF(COUNTIFS($C$2:C1917,C1917,$U$2:U1917,1)=1,1,0),0)</f>
        <v>1</v>
      </c>
    </row>
    <row r="1918" spans="1:22" x14ac:dyDescent="0.35">
      <c r="A1918">
        <v>11917</v>
      </c>
      <c r="B1918" s="1">
        <v>46478</v>
      </c>
      <c r="C1918">
        <v>1295</v>
      </c>
      <c r="D1918" t="s">
        <v>80</v>
      </c>
      <c r="E1918" t="s">
        <v>74</v>
      </c>
      <c r="F1918">
        <v>6</v>
      </c>
      <c r="G1918" s="2">
        <v>265.20999999999998</v>
      </c>
      <c r="H1918">
        <v>0.34</v>
      </c>
      <c r="I1918" t="s">
        <v>71</v>
      </c>
      <c r="J1918">
        <v>10</v>
      </c>
      <c r="K1918">
        <v>2.2999999999999998</v>
      </c>
      <c r="L1918" s="2">
        <v>1050.23</v>
      </c>
      <c r="M1918">
        <v>2027</v>
      </c>
      <c r="N1918">
        <v>4</v>
      </c>
      <c r="O1918" t="s">
        <v>143</v>
      </c>
      <c r="P1918" s="2">
        <v>1591.26</v>
      </c>
      <c r="Q1918" s="2">
        <v>541.03</v>
      </c>
      <c r="R1918" t="s">
        <v>72</v>
      </c>
      <c r="S1918">
        <v>1</v>
      </c>
      <c r="T1918">
        <v>0</v>
      </c>
      <c r="U1918">
        <f>IF(AND(OR(Dashboard!$D$4="Semua",D1918=Dashboard!$D$4),OR(Dashboard!$H$4="Semua",E1918=Dashboard!$H$4)),1,0)</f>
        <v>1</v>
      </c>
      <c r="V1918">
        <f>IF(U1918=1,IF(COUNTIFS($C$2:C1918,C1918,$U$2:U1918,1)=1,1,0),0)</f>
        <v>0</v>
      </c>
    </row>
    <row r="1919" spans="1:22" x14ac:dyDescent="0.35">
      <c r="A1919">
        <v>11918</v>
      </c>
      <c r="B1919" s="1">
        <v>46479</v>
      </c>
      <c r="C1919">
        <v>1016</v>
      </c>
      <c r="D1919" t="s">
        <v>73</v>
      </c>
      <c r="E1919" t="s">
        <v>78</v>
      </c>
      <c r="F1919">
        <v>7</v>
      </c>
      <c r="G1919" s="2">
        <v>425.44</v>
      </c>
      <c r="H1919">
        <v>0.11</v>
      </c>
      <c r="I1919" t="s">
        <v>71</v>
      </c>
      <c r="J1919">
        <v>2</v>
      </c>
      <c r="K1919">
        <v>2.7</v>
      </c>
      <c r="L1919" s="2">
        <v>2650.49</v>
      </c>
      <c r="M1919">
        <v>2027</v>
      </c>
      <c r="N1919">
        <v>4</v>
      </c>
      <c r="O1919" t="s">
        <v>143</v>
      </c>
      <c r="P1919" s="2">
        <v>2978.08</v>
      </c>
      <c r="Q1919" s="2">
        <v>327.58999999999997</v>
      </c>
      <c r="R1919" t="s">
        <v>79</v>
      </c>
      <c r="S1919">
        <v>1</v>
      </c>
      <c r="T1919">
        <v>0</v>
      </c>
      <c r="U1919">
        <f>IF(AND(OR(Dashboard!$D$4="Semua",D1919=Dashboard!$D$4),OR(Dashboard!$H$4="Semua",E1919=Dashboard!$H$4)),1,0)</f>
        <v>1</v>
      </c>
      <c r="V1919">
        <f>IF(U1919=1,IF(COUNTIFS($C$2:C1919,C1919,$U$2:U1919,1)=1,1,0),0)</f>
        <v>0</v>
      </c>
    </row>
    <row r="1920" spans="1:22" x14ac:dyDescent="0.35">
      <c r="A1920">
        <v>11919</v>
      </c>
      <c r="B1920" s="1">
        <v>46480</v>
      </c>
      <c r="C1920">
        <v>1640</v>
      </c>
      <c r="D1920" t="s">
        <v>67</v>
      </c>
      <c r="E1920" t="s">
        <v>70</v>
      </c>
      <c r="F1920">
        <v>1</v>
      </c>
      <c r="G1920" s="2">
        <v>269.24</v>
      </c>
      <c r="H1920">
        <v>0.06</v>
      </c>
      <c r="I1920" t="s">
        <v>68</v>
      </c>
      <c r="J1920">
        <v>7</v>
      </c>
      <c r="K1920">
        <v>2.9</v>
      </c>
      <c r="L1920" s="2">
        <v>253.09</v>
      </c>
      <c r="M1920">
        <v>2027</v>
      </c>
      <c r="N1920">
        <v>4</v>
      </c>
      <c r="O1920" t="s">
        <v>143</v>
      </c>
      <c r="P1920" s="2">
        <v>269.24</v>
      </c>
      <c r="Q1920" s="2">
        <v>16.149999999999999</v>
      </c>
      <c r="R1920" t="s">
        <v>69</v>
      </c>
      <c r="S1920">
        <v>1</v>
      </c>
      <c r="T1920">
        <v>0</v>
      </c>
      <c r="U1920">
        <f>IF(AND(OR(Dashboard!$D$4="Semua",D1920=Dashboard!$D$4),OR(Dashboard!$H$4="Semua",E1920=Dashboard!$H$4)),1,0)</f>
        <v>1</v>
      </c>
      <c r="V1920">
        <f>IF(U1920=1,IF(COUNTIFS($C$2:C1920,C1920,$U$2:U1920,1)=1,1,0),0)</f>
        <v>0</v>
      </c>
    </row>
    <row r="1921" spans="1:22" x14ac:dyDescent="0.35">
      <c r="A1921">
        <v>11920</v>
      </c>
      <c r="B1921" s="1">
        <v>46481</v>
      </c>
      <c r="C1921">
        <v>1216</v>
      </c>
      <c r="D1921" t="s">
        <v>80</v>
      </c>
      <c r="E1921" t="s">
        <v>78</v>
      </c>
      <c r="F1921">
        <v>5</v>
      </c>
      <c r="G1921" s="2">
        <v>259.38</v>
      </c>
      <c r="H1921">
        <v>0.18</v>
      </c>
      <c r="I1921" t="s">
        <v>71</v>
      </c>
      <c r="J1921">
        <v>3</v>
      </c>
      <c r="K1921">
        <v>2.8</v>
      </c>
      <c r="L1921" s="2">
        <v>1063.46</v>
      </c>
      <c r="M1921">
        <v>2027</v>
      </c>
      <c r="N1921">
        <v>4</v>
      </c>
      <c r="O1921" t="s">
        <v>143</v>
      </c>
      <c r="P1921" s="2">
        <v>1296.9000000000001</v>
      </c>
      <c r="Q1921" s="2">
        <v>233.44</v>
      </c>
      <c r="R1921" t="s">
        <v>76</v>
      </c>
      <c r="S1921">
        <v>1</v>
      </c>
      <c r="T1921">
        <v>0</v>
      </c>
      <c r="U1921">
        <f>IF(AND(OR(Dashboard!$D$4="Semua",D1921=Dashboard!$D$4),OR(Dashboard!$H$4="Semua",E1921=Dashboard!$H$4)),1,0)</f>
        <v>1</v>
      </c>
      <c r="V1921">
        <f>IF(U1921=1,IF(COUNTIFS($C$2:C1921,C1921,$U$2:U1921,1)=1,1,0),0)</f>
        <v>0</v>
      </c>
    </row>
    <row r="1922" spans="1:22" x14ac:dyDescent="0.35">
      <c r="A1922">
        <v>11921</v>
      </c>
      <c r="B1922" s="1">
        <v>46482</v>
      </c>
      <c r="C1922">
        <v>1060</v>
      </c>
      <c r="D1922" t="s">
        <v>67</v>
      </c>
      <c r="E1922" t="s">
        <v>74</v>
      </c>
      <c r="F1922">
        <v>3</v>
      </c>
      <c r="G1922" s="2">
        <v>459.72</v>
      </c>
      <c r="H1922">
        <v>0.14000000000000001</v>
      </c>
      <c r="I1922" t="s">
        <v>71</v>
      </c>
      <c r="J1922">
        <v>8</v>
      </c>
      <c r="K1922">
        <v>3.1</v>
      </c>
      <c r="L1922" s="2">
        <v>1186.08</v>
      </c>
      <c r="M1922">
        <v>2027</v>
      </c>
      <c r="N1922">
        <v>4</v>
      </c>
      <c r="O1922" t="s">
        <v>143</v>
      </c>
      <c r="P1922" s="2">
        <v>1379.16</v>
      </c>
      <c r="Q1922" s="2">
        <v>193.08</v>
      </c>
      <c r="R1922" t="s">
        <v>79</v>
      </c>
      <c r="S1922">
        <v>1</v>
      </c>
      <c r="T1922">
        <v>0</v>
      </c>
      <c r="U1922">
        <f>IF(AND(OR(Dashboard!$D$4="Semua",D1922=Dashboard!$D$4),OR(Dashboard!$H$4="Semua",E1922=Dashboard!$H$4)),1,0)</f>
        <v>1</v>
      </c>
      <c r="V1922">
        <f>IF(U1922=1,IF(COUNTIFS($C$2:C1922,C1922,$U$2:U1922,1)=1,1,0),0)</f>
        <v>0</v>
      </c>
    </row>
    <row r="1923" spans="1:22" x14ac:dyDescent="0.35">
      <c r="A1923">
        <v>11922</v>
      </c>
      <c r="B1923" s="1">
        <v>46483</v>
      </c>
      <c r="C1923">
        <v>1938</v>
      </c>
      <c r="D1923" t="s">
        <v>73</v>
      </c>
      <c r="E1923" t="s">
        <v>78</v>
      </c>
      <c r="F1923">
        <v>7</v>
      </c>
      <c r="G1923" s="2">
        <v>117.28</v>
      </c>
      <c r="H1923">
        <v>0.06</v>
      </c>
      <c r="I1923" t="s">
        <v>71</v>
      </c>
      <c r="J1923">
        <v>8</v>
      </c>
      <c r="K1923">
        <v>4.4000000000000004</v>
      </c>
      <c r="L1923" s="2">
        <v>771.7</v>
      </c>
      <c r="M1923">
        <v>2027</v>
      </c>
      <c r="N1923">
        <v>4</v>
      </c>
      <c r="O1923" t="s">
        <v>143</v>
      </c>
      <c r="P1923" s="2">
        <v>820.96</v>
      </c>
      <c r="Q1923" s="2">
        <v>49.26</v>
      </c>
      <c r="R1923" t="s">
        <v>69</v>
      </c>
      <c r="S1923">
        <v>1</v>
      </c>
      <c r="T1923">
        <v>0</v>
      </c>
      <c r="U1923">
        <f>IF(AND(OR(Dashboard!$D$4="Semua",D1923=Dashboard!$D$4),OR(Dashboard!$H$4="Semua",E1923=Dashboard!$H$4)),1,0)</f>
        <v>1</v>
      </c>
      <c r="V1923">
        <f>IF(U1923=1,IF(COUNTIFS($C$2:C1923,C1923,$U$2:U1923,1)=1,1,0),0)</f>
        <v>0</v>
      </c>
    </row>
    <row r="1924" spans="1:22" x14ac:dyDescent="0.35">
      <c r="A1924">
        <v>11923</v>
      </c>
      <c r="B1924" s="1">
        <v>46484</v>
      </c>
      <c r="C1924">
        <v>1615</v>
      </c>
      <c r="D1924" t="s">
        <v>80</v>
      </c>
      <c r="E1924" t="s">
        <v>70</v>
      </c>
      <c r="F1924">
        <v>2</v>
      </c>
      <c r="G1924" s="2">
        <v>213.07</v>
      </c>
      <c r="H1924">
        <v>0.31</v>
      </c>
      <c r="I1924" t="s">
        <v>64</v>
      </c>
      <c r="J1924">
        <v>9</v>
      </c>
      <c r="K1924">
        <v>3.5</v>
      </c>
      <c r="L1924" s="2">
        <v>294.04000000000002</v>
      </c>
      <c r="M1924">
        <v>2027</v>
      </c>
      <c r="N1924">
        <v>4</v>
      </c>
      <c r="O1924" t="s">
        <v>143</v>
      </c>
      <c r="P1924" s="2">
        <v>426.14</v>
      </c>
      <c r="Q1924" s="2">
        <v>132.1</v>
      </c>
      <c r="R1924" t="s">
        <v>72</v>
      </c>
      <c r="S1924">
        <v>1</v>
      </c>
      <c r="T1924">
        <v>0</v>
      </c>
      <c r="U1924">
        <f>IF(AND(OR(Dashboard!$D$4="Semua",D1924=Dashboard!$D$4),OR(Dashboard!$H$4="Semua",E1924=Dashboard!$H$4)),1,0)</f>
        <v>1</v>
      </c>
      <c r="V1924">
        <f>IF(U1924=1,IF(COUNTIFS($C$2:C1924,C1924,$U$2:U1924,1)=1,1,0),0)</f>
        <v>0</v>
      </c>
    </row>
    <row r="1925" spans="1:22" x14ac:dyDescent="0.35">
      <c r="A1925">
        <v>11924</v>
      </c>
      <c r="B1925" s="1">
        <v>46485</v>
      </c>
      <c r="C1925">
        <v>1041</v>
      </c>
      <c r="D1925" t="s">
        <v>67</v>
      </c>
      <c r="E1925" t="s">
        <v>70</v>
      </c>
      <c r="F1925">
        <v>7</v>
      </c>
      <c r="G1925" s="2">
        <v>146.13999999999999</v>
      </c>
      <c r="H1925">
        <v>0.35</v>
      </c>
      <c r="I1925" t="s">
        <v>68</v>
      </c>
      <c r="J1925">
        <v>11</v>
      </c>
      <c r="K1925">
        <v>1.1000000000000001</v>
      </c>
      <c r="L1925" s="2">
        <v>664.94</v>
      </c>
      <c r="M1925">
        <v>2027</v>
      </c>
      <c r="N1925">
        <v>4</v>
      </c>
      <c r="O1925" t="s">
        <v>143</v>
      </c>
      <c r="P1925" s="2">
        <v>1022.98</v>
      </c>
      <c r="Q1925" s="2">
        <v>358.04</v>
      </c>
      <c r="R1925" t="s">
        <v>72</v>
      </c>
      <c r="S1925">
        <v>1</v>
      </c>
      <c r="T1925">
        <v>0</v>
      </c>
      <c r="U1925">
        <f>IF(AND(OR(Dashboard!$D$4="Semua",D1925=Dashboard!$D$4),OR(Dashboard!$H$4="Semua",E1925=Dashboard!$H$4)),1,0)</f>
        <v>1</v>
      </c>
      <c r="V1925">
        <f>IF(U1925=1,IF(COUNTIFS($C$2:C1925,C1925,$U$2:U1925,1)=1,1,0),0)</f>
        <v>0</v>
      </c>
    </row>
    <row r="1926" spans="1:22" x14ac:dyDescent="0.35">
      <c r="A1926">
        <v>11925</v>
      </c>
      <c r="B1926" s="1">
        <v>46486</v>
      </c>
      <c r="C1926">
        <v>1024</v>
      </c>
      <c r="D1926" t="s">
        <v>80</v>
      </c>
      <c r="E1926" t="s">
        <v>78</v>
      </c>
      <c r="F1926">
        <v>1</v>
      </c>
      <c r="G1926" s="2">
        <v>225.08</v>
      </c>
      <c r="H1926">
        <v>0.2</v>
      </c>
      <c r="I1926" t="s">
        <v>68</v>
      </c>
      <c r="J1926">
        <v>4</v>
      </c>
      <c r="K1926">
        <v>1.7</v>
      </c>
      <c r="L1926" s="2">
        <v>180.06</v>
      </c>
      <c r="M1926">
        <v>2027</v>
      </c>
      <c r="N1926">
        <v>4</v>
      </c>
      <c r="O1926" t="s">
        <v>143</v>
      </c>
      <c r="P1926" s="2">
        <v>225.08</v>
      </c>
      <c r="Q1926" s="2">
        <v>45.02</v>
      </c>
      <c r="R1926" t="s">
        <v>76</v>
      </c>
      <c r="S1926">
        <v>1</v>
      </c>
      <c r="T1926">
        <v>0</v>
      </c>
      <c r="U1926">
        <f>IF(AND(OR(Dashboard!$D$4="Semua",D1926=Dashboard!$D$4),OR(Dashboard!$H$4="Semua",E1926=Dashboard!$H$4)),1,0)</f>
        <v>1</v>
      </c>
      <c r="V1926">
        <f>IF(U1926=1,IF(COUNTIFS($C$2:C1926,C1926,$U$2:U1926,1)=1,1,0),0)</f>
        <v>0</v>
      </c>
    </row>
    <row r="1927" spans="1:22" x14ac:dyDescent="0.35">
      <c r="A1927">
        <v>11926</v>
      </c>
      <c r="B1927" s="1">
        <v>46487</v>
      </c>
      <c r="C1927">
        <v>1038</v>
      </c>
      <c r="D1927" t="s">
        <v>80</v>
      </c>
      <c r="E1927" t="s">
        <v>70</v>
      </c>
      <c r="F1927">
        <v>7</v>
      </c>
      <c r="G1927" s="2">
        <v>149.77000000000001</v>
      </c>
      <c r="H1927">
        <v>0.27</v>
      </c>
      <c r="I1927" t="s">
        <v>64</v>
      </c>
      <c r="J1927">
        <v>10</v>
      </c>
      <c r="K1927">
        <v>2.4</v>
      </c>
      <c r="L1927" s="2">
        <v>765.32</v>
      </c>
      <c r="M1927">
        <v>2027</v>
      </c>
      <c r="N1927">
        <v>4</v>
      </c>
      <c r="O1927" t="s">
        <v>143</v>
      </c>
      <c r="P1927" s="2">
        <v>1048.3900000000001</v>
      </c>
      <c r="Q1927" s="2">
        <v>283.07</v>
      </c>
      <c r="R1927" t="s">
        <v>66</v>
      </c>
      <c r="S1927">
        <v>1</v>
      </c>
      <c r="T1927">
        <v>0</v>
      </c>
      <c r="U1927">
        <f>IF(AND(OR(Dashboard!$D$4="Semua",D1927=Dashboard!$D$4),OR(Dashboard!$H$4="Semua",E1927=Dashboard!$H$4)),1,0)</f>
        <v>1</v>
      </c>
      <c r="V1927">
        <f>IF(U1927=1,IF(COUNTIFS($C$2:C1927,C1927,$U$2:U1927,1)=1,1,0),0)</f>
        <v>0</v>
      </c>
    </row>
    <row r="1928" spans="1:22" x14ac:dyDescent="0.35">
      <c r="A1928">
        <v>11927</v>
      </c>
      <c r="B1928" s="1">
        <v>46488</v>
      </c>
      <c r="C1928">
        <v>1802</v>
      </c>
      <c r="D1928" t="s">
        <v>67</v>
      </c>
      <c r="E1928" t="s">
        <v>78</v>
      </c>
      <c r="F1928">
        <v>7</v>
      </c>
      <c r="G1928" s="2">
        <v>353.95</v>
      </c>
      <c r="H1928">
        <v>0.3</v>
      </c>
      <c r="I1928" t="s">
        <v>71</v>
      </c>
      <c r="J1928">
        <v>3</v>
      </c>
      <c r="K1928">
        <v>4.8</v>
      </c>
      <c r="L1928" s="2">
        <v>1734.36</v>
      </c>
      <c r="M1928">
        <v>2027</v>
      </c>
      <c r="N1928">
        <v>4</v>
      </c>
      <c r="O1928" t="s">
        <v>143</v>
      </c>
      <c r="P1928" s="2">
        <v>2477.65</v>
      </c>
      <c r="Q1928" s="2">
        <v>743.29</v>
      </c>
      <c r="R1928" t="s">
        <v>66</v>
      </c>
      <c r="S1928">
        <v>1</v>
      </c>
      <c r="T1928">
        <v>0</v>
      </c>
      <c r="U1928">
        <f>IF(AND(OR(Dashboard!$D$4="Semua",D1928=Dashboard!$D$4),OR(Dashboard!$H$4="Semua",E1928=Dashboard!$H$4)),1,0)</f>
        <v>1</v>
      </c>
      <c r="V1928">
        <f>IF(U1928=1,IF(COUNTIFS($C$2:C1928,C1928,$U$2:U1928,1)=1,1,0),0)</f>
        <v>0</v>
      </c>
    </row>
    <row r="1929" spans="1:22" x14ac:dyDescent="0.35">
      <c r="A1929">
        <v>11928</v>
      </c>
      <c r="B1929" s="1">
        <v>46489</v>
      </c>
      <c r="C1929">
        <v>1130</v>
      </c>
      <c r="D1929" t="s">
        <v>67</v>
      </c>
      <c r="E1929" t="s">
        <v>70</v>
      </c>
      <c r="F1929">
        <v>4</v>
      </c>
      <c r="G1929" s="2">
        <v>481.93</v>
      </c>
      <c r="H1929">
        <v>0.25</v>
      </c>
      <c r="I1929" t="s">
        <v>68</v>
      </c>
      <c r="J1929">
        <v>9</v>
      </c>
      <c r="K1929">
        <v>1.3</v>
      </c>
      <c r="L1929" s="2">
        <v>1445.79</v>
      </c>
      <c r="M1929">
        <v>2027</v>
      </c>
      <c r="N1929">
        <v>4</v>
      </c>
      <c r="O1929" t="s">
        <v>143</v>
      </c>
      <c r="P1929" s="2">
        <v>1927.72</v>
      </c>
      <c r="Q1929" s="2">
        <v>481.93</v>
      </c>
      <c r="R1929" t="s">
        <v>77</v>
      </c>
      <c r="S1929">
        <v>1</v>
      </c>
      <c r="T1929">
        <v>0</v>
      </c>
      <c r="U1929">
        <f>IF(AND(OR(Dashboard!$D$4="Semua",D1929=Dashboard!$D$4),OR(Dashboard!$H$4="Semua",E1929=Dashboard!$H$4)),1,0)</f>
        <v>1</v>
      </c>
      <c r="V1929">
        <f>IF(U1929=1,IF(COUNTIFS($C$2:C1929,C1929,$U$2:U1929,1)=1,1,0),0)</f>
        <v>0</v>
      </c>
    </row>
    <row r="1930" spans="1:22" x14ac:dyDescent="0.35">
      <c r="A1930">
        <v>11929</v>
      </c>
      <c r="B1930" s="1">
        <v>46490</v>
      </c>
      <c r="C1930">
        <v>1497</v>
      </c>
      <c r="D1930" t="s">
        <v>73</v>
      </c>
      <c r="E1930" t="s">
        <v>78</v>
      </c>
      <c r="F1930">
        <v>2</v>
      </c>
      <c r="G1930" s="2">
        <v>475.17</v>
      </c>
      <c r="H1930">
        <v>0.02</v>
      </c>
      <c r="I1930" t="s">
        <v>68</v>
      </c>
      <c r="J1930">
        <v>9</v>
      </c>
      <c r="K1930">
        <v>3.8</v>
      </c>
      <c r="L1930" s="2">
        <v>931.33</v>
      </c>
      <c r="M1930">
        <v>2027</v>
      </c>
      <c r="N1930">
        <v>4</v>
      </c>
      <c r="O1930" t="s">
        <v>143</v>
      </c>
      <c r="P1930" s="2">
        <v>950.34</v>
      </c>
      <c r="Q1930" s="2">
        <v>19.010000000000002</v>
      </c>
      <c r="R1930" t="s">
        <v>75</v>
      </c>
      <c r="S1930">
        <v>1</v>
      </c>
      <c r="T1930">
        <v>0</v>
      </c>
      <c r="U1930">
        <f>IF(AND(OR(Dashboard!$D$4="Semua",D1930=Dashboard!$D$4),OR(Dashboard!$H$4="Semua",E1930=Dashboard!$H$4)),1,0)</f>
        <v>1</v>
      </c>
      <c r="V1930">
        <f>IF(U1930=1,IF(COUNTIFS($C$2:C1930,C1930,$U$2:U1930,1)=1,1,0),0)</f>
        <v>1</v>
      </c>
    </row>
    <row r="1931" spans="1:22" x14ac:dyDescent="0.35">
      <c r="A1931">
        <v>11930</v>
      </c>
      <c r="B1931" s="1">
        <v>46491</v>
      </c>
      <c r="C1931">
        <v>1228</v>
      </c>
      <c r="D1931" t="s">
        <v>73</v>
      </c>
      <c r="E1931" t="s">
        <v>78</v>
      </c>
      <c r="F1931">
        <v>6</v>
      </c>
      <c r="G1931" s="2">
        <v>228.23</v>
      </c>
      <c r="H1931">
        <v>0.06</v>
      </c>
      <c r="I1931" t="s">
        <v>64</v>
      </c>
      <c r="J1931">
        <v>2</v>
      </c>
      <c r="K1931">
        <v>1.1000000000000001</v>
      </c>
      <c r="L1931" s="2">
        <v>1287.22</v>
      </c>
      <c r="M1931">
        <v>2027</v>
      </c>
      <c r="N1931">
        <v>4</v>
      </c>
      <c r="O1931" t="s">
        <v>143</v>
      </c>
      <c r="P1931" s="2">
        <v>1369.38</v>
      </c>
      <c r="Q1931" s="2">
        <v>82.16</v>
      </c>
      <c r="R1931" t="s">
        <v>69</v>
      </c>
      <c r="S1931">
        <v>1</v>
      </c>
      <c r="T1931">
        <v>0</v>
      </c>
      <c r="U1931">
        <f>IF(AND(OR(Dashboard!$D$4="Semua",D1931=Dashboard!$D$4),OR(Dashboard!$H$4="Semua",E1931=Dashboard!$H$4)),1,0)</f>
        <v>1</v>
      </c>
      <c r="V1931">
        <f>IF(U1931=1,IF(COUNTIFS($C$2:C1931,C1931,$U$2:U1931,1)=1,1,0),0)</f>
        <v>0</v>
      </c>
    </row>
    <row r="1932" spans="1:22" x14ac:dyDescent="0.35">
      <c r="A1932">
        <v>11931</v>
      </c>
      <c r="B1932" s="1">
        <v>46492</v>
      </c>
      <c r="C1932">
        <v>1107</v>
      </c>
      <c r="D1932" t="s">
        <v>67</v>
      </c>
      <c r="E1932" t="s">
        <v>78</v>
      </c>
      <c r="F1932">
        <v>2</v>
      </c>
      <c r="G1932" s="2">
        <v>593.41999999999996</v>
      </c>
      <c r="H1932">
        <v>0.02</v>
      </c>
      <c r="I1932" t="s">
        <v>68</v>
      </c>
      <c r="J1932">
        <v>6</v>
      </c>
      <c r="K1932">
        <v>2.5</v>
      </c>
      <c r="L1932" s="2">
        <v>1163.0999999999999</v>
      </c>
      <c r="M1932">
        <v>2027</v>
      </c>
      <c r="N1932">
        <v>4</v>
      </c>
      <c r="O1932" t="s">
        <v>143</v>
      </c>
      <c r="P1932" s="2">
        <v>1186.8399999999999</v>
      </c>
      <c r="Q1932" s="2">
        <v>23.74</v>
      </c>
      <c r="R1932" t="s">
        <v>75</v>
      </c>
      <c r="S1932">
        <v>1</v>
      </c>
      <c r="T1932">
        <v>0</v>
      </c>
      <c r="U1932">
        <f>IF(AND(OR(Dashboard!$D$4="Semua",D1932=Dashboard!$D$4),OR(Dashboard!$H$4="Semua",E1932=Dashboard!$H$4)),1,0)</f>
        <v>1</v>
      </c>
      <c r="V1932">
        <f>IF(U1932=1,IF(COUNTIFS($C$2:C1932,C1932,$U$2:U1932,1)=1,1,0),0)</f>
        <v>1</v>
      </c>
    </row>
    <row r="1933" spans="1:22" x14ac:dyDescent="0.35">
      <c r="A1933">
        <v>11932</v>
      </c>
      <c r="B1933" s="1">
        <v>46493</v>
      </c>
      <c r="C1933">
        <v>1171</v>
      </c>
      <c r="D1933" t="s">
        <v>67</v>
      </c>
      <c r="E1933" t="s">
        <v>63</v>
      </c>
      <c r="F1933">
        <v>2</v>
      </c>
      <c r="G1933" s="2">
        <v>362.4</v>
      </c>
      <c r="H1933">
        <v>0</v>
      </c>
      <c r="I1933" t="s">
        <v>68</v>
      </c>
      <c r="J1933">
        <v>3</v>
      </c>
      <c r="K1933">
        <v>4.0999999999999996</v>
      </c>
      <c r="L1933" s="2">
        <v>724.8</v>
      </c>
      <c r="M1933">
        <v>2027</v>
      </c>
      <c r="N1933">
        <v>4</v>
      </c>
      <c r="O1933" t="s">
        <v>143</v>
      </c>
      <c r="P1933" s="2">
        <v>724.8</v>
      </c>
      <c r="Q1933" s="2">
        <v>0</v>
      </c>
      <c r="R1933" t="s">
        <v>75</v>
      </c>
      <c r="S1933">
        <v>1</v>
      </c>
      <c r="T1933">
        <v>0</v>
      </c>
      <c r="U1933">
        <f>IF(AND(OR(Dashboard!$D$4="Semua",D1933=Dashboard!$D$4),OR(Dashboard!$H$4="Semua",E1933=Dashboard!$H$4)),1,0)</f>
        <v>1</v>
      </c>
      <c r="V1933">
        <f>IF(U1933=1,IF(COUNTIFS($C$2:C1933,C1933,$U$2:U1933,1)=1,1,0),0)</f>
        <v>0</v>
      </c>
    </row>
    <row r="1934" spans="1:22" x14ac:dyDescent="0.35">
      <c r="A1934">
        <v>11933</v>
      </c>
      <c r="B1934" s="1">
        <v>46494</v>
      </c>
      <c r="C1934">
        <v>1434</v>
      </c>
      <c r="D1934" t="s">
        <v>67</v>
      </c>
      <c r="E1934" t="s">
        <v>70</v>
      </c>
      <c r="F1934">
        <v>4</v>
      </c>
      <c r="G1934" s="2">
        <v>248.65</v>
      </c>
      <c r="H1934">
        <v>0.11</v>
      </c>
      <c r="I1934" t="s">
        <v>68</v>
      </c>
      <c r="J1934">
        <v>5</v>
      </c>
      <c r="K1934">
        <v>2.4</v>
      </c>
      <c r="L1934" s="2">
        <v>885.19</v>
      </c>
      <c r="M1934">
        <v>2027</v>
      </c>
      <c r="N1934">
        <v>4</v>
      </c>
      <c r="O1934" t="s">
        <v>143</v>
      </c>
      <c r="P1934" s="2">
        <v>994.6</v>
      </c>
      <c r="Q1934" s="2">
        <v>109.41</v>
      </c>
      <c r="R1934" t="s">
        <v>79</v>
      </c>
      <c r="S1934">
        <v>1</v>
      </c>
      <c r="T1934">
        <v>0</v>
      </c>
      <c r="U1934">
        <f>IF(AND(OR(Dashboard!$D$4="Semua",D1934=Dashboard!$D$4),OR(Dashboard!$H$4="Semua",E1934=Dashboard!$H$4)),1,0)</f>
        <v>1</v>
      </c>
      <c r="V1934">
        <f>IF(U1934=1,IF(COUNTIFS($C$2:C1934,C1934,$U$2:U1934,1)=1,1,0),0)</f>
        <v>0</v>
      </c>
    </row>
    <row r="1935" spans="1:22" x14ac:dyDescent="0.35">
      <c r="A1935">
        <v>11934</v>
      </c>
      <c r="B1935" s="1">
        <v>46495</v>
      </c>
      <c r="C1935">
        <v>1477</v>
      </c>
      <c r="D1935" t="s">
        <v>73</v>
      </c>
      <c r="E1935" t="s">
        <v>74</v>
      </c>
      <c r="F1935">
        <v>5</v>
      </c>
      <c r="G1935" s="2">
        <v>503.79</v>
      </c>
      <c r="H1935">
        <v>0.14000000000000001</v>
      </c>
      <c r="I1935" t="s">
        <v>64</v>
      </c>
      <c r="J1935">
        <v>2</v>
      </c>
      <c r="K1935">
        <v>2.7</v>
      </c>
      <c r="L1935" s="2">
        <v>2166.3000000000002</v>
      </c>
      <c r="M1935">
        <v>2027</v>
      </c>
      <c r="N1935">
        <v>4</v>
      </c>
      <c r="O1935" t="s">
        <v>143</v>
      </c>
      <c r="P1935" s="2">
        <v>2518.9499999999998</v>
      </c>
      <c r="Q1935" s="2">
        <v>352.65</v>
      </c>
      <c r="R1935" t="s">
        <v>79</v>
      </c>
      <c r="S1935">
        <v>1</v>
      </c>
      <c r="T1935">
        <v>0</v>
      </c>
      <c r="U1935">
        <f>IF(AND(OR(Dashboard!$D$4="Semua",D1935=Dashboard!$D$4),OR(Dashboard!$H$4="Semua",E1935=Dashboard!$H$4)),1,0)</f>
        <v>1</v>
      </c>
      <c r="V1935">
        <f>IF(U1935=1,IF(COUNTIFS($C$2:C1935,C1935,$U$2:U1935,1)=1,1,0),0)</f>
        <v>0</v>
      </c>
    </row>
    <row r="1936" spans="1:22" x14ac:dyDescent="0.35">
      <c r="A1936">
        <v>11935</v>
      </c>
      <c r="B1936" s="1">
        <v>46496</v>
      </c>
      <c r="C1936">
        <v>1101</v>
      </c>
      <c r="D1936" t="s">
        <v>73</v>
      </c>
      <c r="E1936" t="s">
        <v>78</v>
      </c>
      <c r="F1936">
        <v>7</v>
      </c>
      <c r="G1936" s="2">
        <v>441.98</v>
      </c>
      <c r="H1936">
        <v>0.08</v>
      </c>
      <c r="I1936" t="s">
        <v>64</v>
      </c>
      <c r="J1936">
        <v>4</v>
      </c>
      <c r="K1936">
        <v>4.5999999999999996</v>
      </c>
      <c r="L1936" s="2">
        <v>2846.35</v>
      </c>
      <c r="M1936">
        <v>2027</v>
      </c>
      <c r="N1936">
        <v>4</v>
      </c>
      <c r="O1936" t="s">
        <v>143</v>
      </c>
      <c r="P1936" s="2">
        <v>3093.86</v>
      </c>
      <c r="Q1936" s="2">
        <v>247.51</v>
      </c>
      <c r="R1936" t="s">
        <v>69</v>
      </c>
      <c r="S1936">
        <v>1</v>
      </c>
      <c r="T1936">
        <v>0</v>
      </c>
      <c r="U1936">
        <f>IF(AND(OR(Dashboard!$D$4="Semua",D1936=Dashboard!$D$4),OR(Dashboard!$H$4="Semua",E1936=Dashboard!$H$4)),1,0)</f>
        <v>1</v>
      </c>
      <c r="V1936">
        <f>IF(U1936=1,IF(COUNTIFS($C$2:C1936,C1936,$U$2:U1936,1)=1,1,0),0)</f>
        <v>1</v>
      </c>
    </row>
    <row r="1937" spans="1:22" x14ac:dyDescent="0.35">
      <c r="A1937">
        <v>11936</v>
      </c>
      <c r="B1937" s="1">
        <v>46497</v>
      </c>
      <c r="C1937">
        <v>1865</v>
      </c>
      <c r="D1937" t="s">
        <v>67</v>
      </c>
      <c r="E1937" t="s">
        <v>63</v>
      </c>
      <c r="F1937">
        <v>3</v>
      </c>
      <c r="G1937" s="2">
        <v>453.33</v>
      </c>
      <c r="H1937">
        <v>0.02</v>
      </c>
      <c r="I1937" t="s">
        <v>71</v>
      </c>
      <c r="J1937">
        <v>11</v>
      </c>
      <c r="K1937">
        <v>1.3</v>
      </c>
      <c r="L1937" s="2">
        <v>1332.79</v>
      </c>
      <c r="M1937">
        <v>2027</v>
      </c>
      <c r="N1937">
        <v>4</v>
      </c>
      <c r="O1937" t="s">
        <v>143</v>
      </c>
      <c r="P1937" s="2">
        <v>1359.99</v>
      </c>
      <c r="Q1937" s="2">
        <v>27.2</v>
      </c>
      <c r="R1937" t="s">
        <v>75</v>
      </c>
      <c r="S1937">
        <v>1</v>
      </c>
      <c r="T1937">
        <v>0</v>
      </c>
      <c r="U1937">
        <f>IF(AND(OR(Dashboard!$D$4="Semua",D1937=Dashboard!$D$4),OR(Dashboard!$H$4="Semua",E1937=Dashboard!$H$4)),1,0)</f>
        <v>1</v>
      </c>
      <c r="V1937">
        <f>IF(U1937=1,IF(COUNTIFS($C$2:C1937,C1937,$U$2:U1937,1)=1,1,0),0)</f>
        <v>1</v>
      </c>
    </row>
    <row r="1938" spans="1:22" x14ac:dyDescent="0.35">
      <c r="A1938">
        <v>11937</v>
      </c>
      <c r="B1938" s="1">
        <v>46498</v>
      </c>
      <c r="C1938">
        <v>1523</v>
      </c>
      <c r="D1938" t="s">
        <v>73</v>
      </c>
      <c r="E1938" t="s">
        <v>74</v>
      </c>
      <c r="F1938">
        <v>6</v>
      </c>
      <c r="G1938" s="2">
        <v>129.74</v>
      </c>
      <c r="H1938">
        <v>0.19</v>
      </c>
      <c r="I1938" t="s">
        <v>71</v>
      </c>
      <c r="J1938">
        <v>3</v>
      </c>
      <c r="K1938">
        <v>3.1</v>
      </c>
      <c r="L1938" s="2">
        <v>630.54</v>
      </c>
      <c r="M1938">
        <v>2027</v>
      </c>
      <c r="N1938">
        <v>4</v>
      </c>
      <c r="O1938" t="s">
        <v>143</v>
      </c>
      <c r="P1938" s="2">
        <v>778.44</v>
      </c>
      <c r="Q1938" s="2">
        <v>147.9</v>
      </c>
      <c r="R1938" t="s">
        <v>76</v>
      </c>
      <c r="S1938">
        <v>1</v>
      </c>
      <c r="T1938">
        <v>0</v>
      </c>
      <c r="U1938">
        <f>IF(AND(OR(Dashboard!$D$4="Semua",D1938=Dashboard!$D$4),OR(Dashboard!$H$4="Semua",E1938=Dashboard!$H$4)),1,0)</f>
        <v>1</v>
      </c>
      <c r="V1938">
        <f>IF(U1938=1,IF(COUNTIFS($C$2:C1938,C1938,$U$2:U1938,1)=1,1,0),0)</f>
        <v>0</v>
      </c>
    </row>
    <row r="1939" spans="1:22" x14ac:dyDescent="0.35">
      <c r="A1939">
        <v>11938</v>
      </c>
      <c r="B1939" s="1">
        <v>46499</v>
      </c>
      <c r="C1939">
        <v>1274</v>
      </c>
      <c r="D1939" t="s">
        <v>80</v>
      </c>
      <c r="E1939" t="s">
        <v>78</v>
      </c>
      <c r="F1939">
        <v>5</v>
      </c>
      <c r="G1939" s="2">
        <v>288.97000000000003</v>
      </c>
      <c r="H1939">
        <v>0.1</v>
      </c>
      <c r="I1939" t="s">
        <v>68</v>
      </c>
      <c r="J1939">
        <v>2</v>
      </c>
      <c r="K1939">
        <v>2.5</v>
      </c>
      <c r="L1939" s="2">
        <v>1300.3699999999999</v>
      </c>
      <c r="M1939">
        <v>2027</v>
      </c>
      <c r="N1939">
        <v>4</v>
      </c>
      <c r="O1939" t="s">
        <v>143</v>
      </c>
      <c r="P1939" s="2">
        <v>1444.85</v>
      </c>
      <c r="Q1939" s="2">
        <v>144.47999999999999</v>
      </c>
      <c r="R1939" t="s">
        <v>69</v>
      </c>
      <c r="S1939">
        <v>1</v>
      </c>
      <c r="T1939">
        <v>0</v>
      </c>
      <c r="U1939">
        <f>IF(AND(OR(Dashboard!$D$4="Semua",D1939=Dashboard!$D$4),OR(Dashboard!$H$4="Semua",E1939=Dashboard!$H$4)),1,0)</f>
        <v>1</v>
      </c>
      <c r="V1939">
        <f>IF(U1939=1,IF(COUNTIFS($C$2:C1939,C1939,$U$2:U1939,1)=1,1,0),0)</f>
        <v>1</v>
      </c>
    </row>
    <row r="1940" spans="1:22" x14ac:dyDescent="0.35">
      <c r="A1940">
        <v>11939</v>
      </c>
      <c r="B1940" s="1">
        <v>46500</v>
      </c>
      <c r="C1940">
        <v>1612</v>
      </c>
      <c r="D1940" t="s">
        <v>73</v>
      </c>
      <c r="E1940" t="s">
        <v>74</v>
      </c>
      <c r="F1940">
        <v>1</v>
      </c>
      <c r="G1940" s="2">
        <v>519.16999999999996</v>
      </c>
      <c r="H1940">
        <v>0.28000000000000003</v>
      </c>
      <c r="I1940" t="s">
        <v>68</v>
      </c>
      <c r="J1940">
        <v>6</v>
      </c>
      <c r="K1940">
        <v>4.9000000000000004</v>
      </c>
      <c r="L1940" s="2">
        <v>373.8</v>
      </c>
      <c r="M1940">
        <v>2027</v>
      </c>
      <c r="N1940">
        <v>4</v>
      </c>
      <c r="O1940" t="s">
        <v>143</v>
      </c>
      <c r="P1940" s="2">
        <v>519.16999999999996</v>
      </c>
      <c r="Q1940" s="2">
        <v>145.37</v>
      </c>
      <c r="R1940" t="s">
        <v>66</v>
      </c>
      <c r="S1940">
        <v>1</v>
      </c>
      <c r="T1940">
        <v>0</v>
      </c>
      <c r="U1940">
        <f>IF(AND(OR(Dashboard!$D$4="Semua",D1940=Dashboard!$D$4),OR(Dashboard!$H$4="Semua",E1940=Dashboard!$H$4)),1,0)</f>
        <v>1</v>
      </c>
      <c r="V1940">
        <f>IF(U1940=1,IF(COUNTIFS($C$2:C1940,C1940,$U$2:U1940,1)=1,1,0),0)</f>
        <v>0</v>
      </c>
    </row>
    <row r="1941" spans="1:22" x14ac:dyDescent="0.35">
      <c r="A1941">
        <v>11940</v>
      </c>
      <c r="B1941" s="1">
        <v>46501</v>
      </c>
      <c r="C1941">
        <v>1043</v>
      </c>
      <c r="D1941" t="s">
        <v>67</v>
      </c>
      <c r="E1941" t="s">
        <v>63</v>
      </c>
      <c r="F1941">
        <v>7</v>
      </c>
      <c r="G1941" s="2">
        <v>309.86</v>
      </c>
      <c r="H1941">
        <v>0</v>
      </c>
      <c r="I1941" t="s">
        <v>64</v>
      </c>
      <c r="J1941">
        <v>11</v>
      </c>
      <c r="K1941">
        <v>4.2</v>
      </c>
      <c r="L1941" s="2">
        <v>2169.02</v>
      </c>
      <c r="M1941">
        <v>2027</v>
      </c>
      <c r="N1941">
        <v>4</v>
      </c>
      <c r="O1941" t="s">
        <v>143</v>
      </c>
      <c r="P1941" s="2">
        <v>2169.02</v>
      </c>
      <c r="Q1941" s="2">
        <v>0</v>
      </c>
      <c r="R1941" t="s">
        <v>75</v>
      </c>
      <c r="S1941">
        <v>1</v>
      </c>
      <c r="T1941">
        <v>0</v>
      </c>
      <c r="U1941">
        <f>IF(AND(OR(Dashboard!$D$4="Semua",D1941=Dashboard!$D$4),OR(Dashboard!$H$4="Semua",E1941=Dashboard!$H$4)),1,0)</f>
        <v>1</v>
      </c>
      <c r="V1941">
        <f>IF(U1941=1,IF(COUNTIFS($C$2:C1941,C1941,$U$2:U1941,1)=1,1,0),0)</f>
        <v>1</v>
      </c>
    </row>
    <row r="1942" spans="1:22" x14ac:dyDescent="0.35">
      <c r="A1942">
        <v>11941</v>
      </c>
      <c r="B1942" s="1">
        <v>46502</v>
      </c>
      <c r="C1942">
        <v>1954</v>
      </c>
      <c r="D1942" t="s">
        <v>62</v>
      </c>
      <c r="E1942" t="s">
        <v>74</v>
      </c>
      <c r="F1942">
        <v>6</v>
      </c>
      <c r="G1942" s="2">
        <v>414.82</v>
      </c>
      <c r="H1942">
        <v>0.28999999999999998</v>
      </c>
      <c r="I1942" t="s">
        <v>68</v>
      </c>
      <c r="J1942">
        <v>3</v>
      </c>
      <c r="K1942">
        <v>1.5</v>
      </c>
      <c r="L1942" s="2">
        <v>1767.13</v>
      </c>
      <c r="M1942">
        <v>2027</v>
      </c>
      <c r="N1942">
        <v>4</v>
      </c>
      <c r="O1942" t="s">
        <v>143</v>
      </c>
      <c r="P1942" s="2">
        <v>2488.92</v>
      </c>
      <c r="Q1942" s="2">
        <v>721.79</v>
      </c>
      <c r="R1942" t="s">
        <v>66</v>
      </c>
      <c r="S1942">
        <v>1</v>
      </c>
      <c r="T1942">
        <v>0</v>
      </c>
      <c r="U1942">
        <f>IF(AND(OR(Dashboard!$D$4="Semua",D1942=Dashboard!$D$4),OR(Dashboard!$H$4="Semua",E1942=Dashboard!$H$4)),1,0)</f>
        <v>1</v>
      </c>
      <c r="V1942">
        <f>IF(U1942=1,IF(COUNTIFS($C$2:C1942,C1942,$U$2:U1942,1)=1,1,0),0)</f>
        <v>0</v>
      </c>
    </row>
    <row r="1943" spans="1:22" x14ac:dyDescent="0.35">
      <c r="A1943">
        <v>11942</v>
      </c>
      <c r="B1943" s="1">
        <v>46503</v>
      </c>
      <c r="C1943">
        <v>1816</v>
      </c>
      <c r="D1943" t="s">
        <v>73</v>
      </c>
      <c r="E1943" t="s">
        <v>78</v>
      </c>
      <c r="F1943">
        <v>3</v>
      </c>
      <c r="G1943" s="2">
        <v>358.94</v>
      </c>
      <c r="H1943">
        <v>0.33</v>
      </c>
      <c r="I1943" t="s">
        <v>71</v>
      </c>
      <c r="J1943">
        <v>4</v>
      </c>
      <c r="K1943">
        <v>4.7</v>
      </c>
      <c r="L1943" s="2">
        <v>721.47</v>
      </c>
      <c r="M1943">
        <v>2027</v>
      </c>
      <c r="N1943">
        <v>4</v>
      </c>
      <c r="O1943" t="s">
        <v>143</v>
      </c>
      <c r="P1943" s="2">
        <v>1076.82</v>
      </c>
      <c r="Q1943" s="2">
        <v>355.35</v>
      </c>
      <c r="R1943" t="s">
        <v>72</v>
      </c>
      <c r="S1943">
        <v>1</v>
      </c>
      <c r="T1943">
        <v>0</v>
      </c>
      <c r="U1943">
        <f>IF(AND(OR(Dashboard!$D$4="Semua",D1943=Dashboard!$D$4),OR(Dashboard!$H$4="Semua",E1943=Dashboard!$H$4)),1,0)</f>
        <v>1</v>
      </c>
      <c r="V1943">
        <f>IF(U1943=1,IF(COUNTIFS($C$2:C1943,C1943,$U$2:U1943,1)=1,1,0),0)</f>
        <v>0</v>
      </c>
    </row>
    <row r="1944" spans="1:22" x14ac:dyDescent="0.35">
      <c r="A1944">
        <v>11943</v>
      </c>
      <c r="B1944" s="1">
        <v>46504</v>
      </c>
      <c r="C1944">
        <v>1956</v>
      </c>
      <c r="D1944" t="s">
        <v>67</v>
      </c>
      <c r="E1944" t="s">
        <v>74</v>
      </c>
      <c r="F1944">
        <v>7</v>
      </c>
      <c r="G1944" s="2">
        <v>507.78</v>
      </c>
      <c r="H1944">
        <v>0.25</v>
      </c>
      <c r="I1944" t="s">
        <v>71</v>
      </c>
      <c r="J1944">
        <v>6</v>
      </c>
      <c r="K1944">
        <v>1.8</v>
      </c>
      <c r="L1944" s="2">
        <v>2665.84</v>
      </c>
      <c r="M1944">
        <v>2027</v>
      </c>
      <c r="N1944">
        <v>4</v>
      </c>
      <c r="O1944" t="s">
        <v>143</v>
      </c>
      <c r="P1944" s="2">
        <v>3554.46</v>
      </c>
      <c r="Q1944" s="2">
        <v>888.62</v>
      </c>
      <c r="R1944" t="s">
        <v>77</v>
      </c>
      <c r="S1944">
        <v>1</v>
      </c>
      <c r="T1944">
        <v>0</v>
      </c>
      <c r="U1944">
        <f>IF(AND(OR(Dashboard!$D$4="Semua",D1944=Dashboard!$D$4),OR(Dashboard!$H$4="Semua",E1944=Dashboard!$H$4)),1,0)</f>
        <v>1</v>
      </c>
      <c r="V1944">
        <f>IF(U1944=1,IF(COUNTIFS($C$2:C1944,C1944,$U$2:U1944,1)=1,1,0),0)</f>
        <v>0</v>
      </c>
    </row>
    <row r="1945" spans="1:22" x14ac:dyDescent="0.35">
      <c r="A1945">
        <v>11944</v>
      </c>
      <c r="B1945" s="1">
        <v>46505</v>
      </c>
      <c r="C1945">
        <v>1016</v>
      </c>
      <c r="D1945" t="s">
        <v>73</v>
      </c>
      <c r="E1945" t="s">
        <v>74</v>
      </c>
      <c r="F1945">
        <v>1</v>
      </c>
      <c r="G1945" s="2">
        <v>181.47</v>
      </c>
      <c r="H1945">
        <v>0.26</v>
      </c>
      <c r="I1945" t="s">
        <v>68</v>
      </c>
      <c r="J1945">
        <v>5</v>
      </c>
      <c r="K1945">
        <v>1.3</v>
      </c>
      <c r="L1945" s="2">
        <v>134.29</v>
      </c>
      <c r="M1945">
        <v>2027</v>
      </c>
      <c r="N1945">
        <v>4</v>
      </c>
      <c r="O1945" t="s">
        <v>143</v>
      </c>
      <c r="P1945" s="2">
        <v>181.47</v>
      </c>
      <c r="Q1945" s="2">
        <v>47.18</v>
      </c>
      <c r="R1945" t="s">
        <v>66</v>
      </c>
      <c r="S1945">
        <v>1</v>
      </c>
      <c r="T1945">
        <v>0</v>
      </c>
      <c r="U1945">
        <f>IF(AND(OR(Dashboard!$D$4="Semua",D1945=Dashboard!$D$4),OR(Dashboard!$H$4="Semua",E1945=Dashboard!$H$4)),1,0)</f>
        <v>1</v>
      </c>
      <c r="V1945">
        <f>IF(U1945=1,IF(COUNTIFS($C$2:C1945,C1945,$U$2:U1945,1)=1,1,0),0)</f>
        <v>0</v>
      </c>
    </row>
    <row r="1946" spans="1:22" x14ac:dyDescent="0.35">
      <c r="A1946">
        <v>11945</v>
      </c>
      <c r="B1946" s="1">
        <v>46506</v>
      </c>
      <c r="C1946">
        <v>1329</v>
      </c>
      <c r="D1946" t="s">
        <v>67</v>
      </c>
      <c r="E1946" t="s">
        <v>78</v>
      </c>
      <c r="F1946">
        <v>4</v>
      </c>
      <c r="G1946" s="2">
        <v>351.65</v>
      </c>
      <c r="H1946">
        <v>0.33</v>
      </c>
      <c r="I1946" t="s">
        <v>71</v>
      </c>
      <c r="J1946">
        <v>4</v>
      </c>
      <c r="K1946">
        <v>3.2</v>
      </c>
      <c r="L1946" s="2">
        <v>942.42</v>
      </c>
      <c r="M1946">
        <v>2027</v>
      </c>
      <c r="N1946">
        <v>4</v>
      </c>
      <c r="O1946" t="s">
        <v>143</v>
      </c>
      <c r="P1946" s="2">
        <v>1406.6</v>
      </c>
      <c r="Q1946" s="2">
        <v>464.18</v>
      </c>
      <c r="R1946" t="s">
        <v>72</v>
      </c>
      <c r="S1946">
        <v>1</v>
      </c>
      <c r="T1946">
        <v>0</v>
      </c>
      <c r="U1946">
        <f>IF(AND(OR(Dashboard!$D$4="Semua",D1946=Dashboard!$D$4),OR(Dashboard!$H$4="Semua",E1946=Dashboard!$H$4)),1,0)</f>
        <v>1</v>
      </c>
      <c r="V1946">
        <f>IF(U1946=1,IF(COUNTIFS($C$2:C1946,C1946,$U$2:U1946,1)=1,1,0),0)</f>
        <v>0</v>
      </c>
    </row>
    <row r="1947" spans="1:22" x14ac:dyDescent="0.35">
      <c r="A1947">
        <v>11946</v>
      </c>
      <c r="B1947" s="1">
        <v>46507</v>
      </c>
      <c r="C1947">
        <v>1568</v>
      </c>
      <c r="D1947" t="s">
        <v>67</v>
      </c>
      <c r="E1947" t="s">
        <v>63</v>
      </c>
      <c r="F1947">
        <v>5</v>
      </c>
      <c r="G1947" s="2">
        <v>87.09</v>
      </c>
      <c r="H1947">
        <v>7.0000000000000007E-2</v>
      </c>
      <c r="I1947" t="s">
        <v>71</v>
      </c>
      <c r="J1947">
        <v>4</v>
      </c>
      <c r="K1947">
        <v>3.9</v>
      </c>
      <c r="L1947" s="2">
        <v>404.97</v>
      </c>
      <c r="M1947">
        <v>2027</v>
      </c>
      <c r="N1947">
        <v>4</v>
      </c>
      <c r="O1947" t="s">
        <v>143</v>
      </c>
      <c r="P1947" s="2">
        <v>435.45</v>
      </c>
      <c r="Q1947" s="2">
        <v>30.48</v>
      </c>
      <c r="R1947" t="s">
        <v>69</v>
      </c>
      <c r="S1947">
        <v>1</v>
      </c>
      <c r="T1947">
        <v>0</v>
      </c>
      <c r="U1947">
        <f>IF(AND(OR(Dashboard!$D$4="Semua",D1947=Dashboard!$D$4),OR(Dashboard!$H$4="Semua",E1947=Dashboard!$H$4)),1,0)</f>
        <v>1</v>
      </c>
      <c r="V1947">
        <f>IF(U1947=1,IF(COUNTIFS($C$2:C1947,C1947,$U$2:U1947,1)=1,1,0),0)</f>
        <v>0</v>
      </c>
    </row>
    <row r="1948" spans="1:22" x14ac:dyDescent="0.35">
      <c r="A1948">
        <v>11947</v>
      </c>
      <c r="B1948" s="1">
        <v>46508</v>
      </c>
      <c r="C1948">
        <v>1822</v>
      </c>
      <c r="D1948" t="s">
        <v>67</v>
      </c>
      <c r="E1948" t="s">
        <v>63</v>
      </c>
      <c r="F1948">
        <v>7</v>
      </c>
      <c r="G1948" s="2">
        <v>418.77</v>
      </c>
      <c r="H1948">
        <v>0.35</v>
      </c>
      <c r="I1948" t="s">
        <v>71</v>
      </c>
      <c r="J1948">
        <v>2</v>
      </c>
      <c r="K1948">
        <v>3.9</v>
      </c>
      <c r="L1948" s="2">
        <v>1905.4</v>
      </c>
      <c r="M1948">
        <v>2027</v>
      </c>
      <c r="N1948">
        <v>5</v>
      </c>
      <c r="O1948" t="s">
        <v>144</v>
      </c>
      <c r="P1948" s="2">
        <v>2931.39</v>
      </c>
      <c r="Q1948" s="2">
        <v>1025.99</v>
      </c>
      <c r="R1948" t="s">
        <v>72</v>
      </c>
      <c r="S1948">
        <v>1</v>
      </c>
      <c r="T1948">
        <v>0</v>
      </c>
      <c r="U1948">
        <f>IF(AND(OR(Dashboard!$D$4="Semua",D1948=Dashboard!$D$4),OR(Dashboard!$H$4="Semua",E1948=Dashboard!$H$4)),1,0)</f>
        <v>1</v>
      </c>
      <c r="V1948">
        <f>IF(U1948=1,IF(COUNTIFS($C$2:C1948,C1948,$U$2:U1948,1)=1,1,0),0)</f>
        <v>0</v>
      </c>
    </row>
    <row r="1949" spans="1:22" x14ac:dyDescent="0.35">
      <c r="A1949">
        <v>11948</v>
      </c>
      <c r="B1949" s="1">
        <v>46509</v>
      </c>
      <c r="C1949">
        <v>1496</v>
      </c>
      <c r="D1949" t="s">
        <v>67</v>
      </c>
      <c r="E1949" t="s">
        <v>74</v>
      </c>
      <c r="F1949">
        <v>6</v>
      </c>
      <c r="G1949" s="2">
        <v>443.2</v>
      </c>
      <c r="H1949">
        <v>0.27</v>
      </c>
      <c r="I1949" t="s">
        <v>68</v>
      </c>
      <c r="J1949">
        <v>10</v>
      </c>
      <c r="K1949">
        <v>3.1</v>
      </c>
      <c r="L1949" s="2">
        <v>1941.22</v>
      </c>
      <c r="M1949">
        <v>2027</v>
      </c>
      <c r="N1949">
        <v>5</v>
      </c>
      <c r="O1949" t="s">
        <v>144</v>
      </c>
      <c r="P1949" s="2">
        <v>2659.2</v>
      </c>
      <c r="Q1949" s="2">
        <v>717.98</v>
      </c>
      <c r="R1949" t="s">
        <v>66</v>
      </c>
      <c r="S1949">
        <v>1</v>
      </c>
      <c r="T1949">
        <v>0</v>
      </c>
      <c r="U1949">
        <f>IF(AND(OR(Dashboard!$D$4="Semua",D1949=Dashboard!$D$4),OR(Dashboard!$H$4="Semua",E1949=Dashboard!$H$4)),1,0)</f>
        <v>1</v>
      </c>
      <c r="V1949">
        <f>IF(U1949=1,IF(COUNTIFS($C$2:C1949,C1949,$U$2:U1949,1)=1,1,0),0)</f>
        <v>0</v>
      </c>
    </row>
    <row r="1950" spans="1:22" x14ac:dyDescent="0.35">
      <c r="A1950">
        <v>11949</v>
      </c>
      <c r="B1950" s="1">
        <v>46510</v>
      </c>
      <c r="C1950">
        <v>1814</v>
      </c>
      <c r="D1950" t="s">
        <v>62</v>
      </c>
      <c r="E1950" t="s">
        <v>70</v>
      </c>
      <c r="F1950">
        <v>2</v>
      </c>
      <c r="G1950" s="2">
        <v>40.06</v>
      </c>
      <c r="H1950">
        <v>0.25</v>
      </c>
      <c r="I1950" t="s">
        <v>68</v>
      </c>
      <c r="J1950">
        <v>4</v>
      </c>
      <c r="K1950">
        <v>3</v>
      </c>
      <c r="L1950" s="2">
        <v>60.09</v>
      </c>
      <c r="M1950">
        <v>2027</v>
      </c>
      <c r="N1950">
        <v>5</v>
      </c>
      <c r="O1950" t="s">
        <v>144</v>
      </c>
      <c r="P1950" s="2">
        <v>80.12</v>
      </c>
      <c r="Q1950" s="2">
        <v>20.03</v>
      </c>
      <c r="R1950" t="s">
        <v>77</v>
      </c>
      <c r="S1950">
        <v>1</v>
      </c>
      <c r="T1950">
        <v>0</v>
      </c>
      <c r="U1950">
        <f>IF(AND(OR(Dashboard!$D$4="Semua",D1950=Dashboard!$D$4),OR(Dashboard!$H$4="Semua",E1950=Dashboard!$H$4)),1,0)</f>
        <v>1</v>
      </c>
      <c r="V1950">
        <f>IF(U1950=1,IF(COUNTIFS($C$2:C1950,C1950,$U$2:U1950,1)=1,1,0),0)</f>
        <v>0</v>
      </c>
    </row>
    <row r="1951" spans="1:22" x14ac:dyDescent="0.35">
      <c r="A1951">
        <v>11950</v>
      </c>
      <c r="B1951" s="1">
        <v>46511</v>
      </c>
      <c r="C1951">
        <v>1011</v>
      </c>
      <c r="D1951" t="s">
        <v>73</v>
      </c>
      <c r="E1951" t="s">
        <v>74</v>
      </c>
      <c r="F1951">
        <v>3</v>
      </c>
      <c r="G1951" s="2">
        <v>410.34</v>
      </c>
      <c r="H1951">
        <v>0.13</v>
      </c>
      <c r="I1951" t="s">
        <v>71</v>
      </c>
      <c r="J1951">
        <v>8</v>
      </c>
      <c r="K1951">
        <v>4.9000000000000004</v>
      </c>
      <c r="L1951" s="2">
        <v>1070.99</v>
      </c>
      <c r="M1951">
        <v>2027</v>
      </c>
      <c r="N1951">
        <v>5</v>
      </c>
      <c r="O1951" t="s">
        <v>144</v>
      </c>
      <c r="P1951" s="2">
        <v>1231.02</v>
      </c>
      <c r="Q1951" s="2">
        <v>160.03</v>
      </c>
      <c r="R1951" t="s">
        <v>79</v>
      </c>
      <c r="S1951">
        <v>1</v>
      </c>
      <c r="T1951">
        <v>0</v>
      </c>
      <c r="U1951">
        <f>IF(AND(OR(Dashboard!$D$4="Semua",D1951=Dashboard!$D$4),OR(Dashboard!$H$4="Semua",E1951=Dashboard!$H$4)),1,0)</f>
        <v>1</v>
      </c>
      <c r="V1951">
        <f>IF(U1951=1,IF(COUNTIFS($C$2:C1951,C1951,$U$2:U1951,1)=1,1,0),0)</f>
        <v>0</v>
      </c>
    </row>
    <row r="1952" spans="1:22" x14ac:dyDescent="0.35">
      <c r="A1952">
        <v>11951</v>
      </c>
      <c r="B1952" s="1">
        <v>46512</v>
      </c>
      <c r="C1952">
        <v>1317</v>
      </c>
      <c r="D1952" t="s">
        <v>73</v>
      </c>
      <c r="E1952" t="s">
        <v>70</v>
      </c>
      <c r="F1952">
        <v>7</v>
      </c>
      <c r="G1952" s="2">
        <v>257.58999999999997</v>
      </c>
      <c r="H1952">
        <v>0.19</v>
      </c>
      <c r="I1952" t="s">
        <v>64</v>
      </c>
      <c r="J1952">
        <v>5</v>
      </c>
      <c r="K1952">
        <v>4.3</v>
      </c>
      <c r="L1952" s="2">
        <v>1460.54</v>
      </c>
      <c r="M1952">
        <v>2027</v>
      </c>
      <c r="N1952">
        <v>5</v>
      </c>
      <c r="O1952" t="s">
        <v>144</v>
      </c>
      <c r="P1952" s="2">
        <v>1803.13</v>
      </c>
      <c r="Q1952" s="2">
        <v>342.59</v>
      </c>
      <c r="R1952" t="s">
        <v>76</v>
      </c>
      <c r="S1952">
        <v>1</v>
      </c>
      <c r="T1952">
        <v>0</v>
      </c>
      <c r="U1952">
        <f>IF(AND(OR(Dashboard!$D$4="Semua",D1952=Dashboard!$D$4),OR(Dashboard!$H$4="Semua",E1952=Dashboard!$H$4)),1,0)</f>
        <v>1</v>
      </c>
      <c r="V1952">
        <f>IF(U1952=1,IF(COUNTIFS($C$2:C1952,C1952,$U$2:U1952,1)=1,1,0),0)</f>
        <v>0</v>
      </c>
    </row>
    <row r="1953" spans="1:22" x14ac:dyDescent="0.35">
      <c r="A1953">
        <v>11952</v>
      </c>
      <c r="B1953" s="1">
        <v>46513</v>
      </c>
      <c r="C1953">
        <v>1591</v>
      </c>
      <c r="D1953" t="s">
        <v>62</v>
      </c>
      <c r="E1953" t="s">
        <v>74</v>
      </c>
      <c r="F1953">
        <v>6</v>
      </c>
      <c r="G1953" s="2">
        <v>87.6</v>
      </c>
      <c r="H1953">
        <v>0.23</v>
      </c>
      <c r="I1953" t="s">
        <v>68</v>
      </c>
      <c r="J1953">
        <v>11</v>
      </c>
      <c r="K1953">
        <v>3.8</v>
      </c>
      <c r="L1953" s="2">
        <v>404.71</v>
      </c>
      <c r="M1953">
        <v>2027</v>
      </c>
      <c r="N1953">
        <v>5</v>
      </c>
      <c r="O1953" t="s">
        <v>144</v>
      </c>
      <c r="P1953" s="2">
        <v>525.6</v>
      </c>
      <c r="Q1953" s="2">
        <v>120.89</v>
      </c>
      <c r="R1953" t="s">
        <v>77</v>
      </c>
      <c r="S1953">
        <v>1</v>
      </c>
      <c r="T1953">
        <v>0</v>
      </c>
      <c r="U1953">
        <f>IF(AND(OR(Dashboard!$D$4="Semua",D1953=Dashboard!$D$4),OR(Dashboard!$H$4="Semua",E1953=Dashboard!$H$4)),1,0)</f>
        <v>1</v>
      </c>
      <c r="V1953">
        <f>IF(U1953=1,IF(COUNTIFS($C$2:C1953,C1953,$U$2:U1953,1)=1,1,0),0)</f>
        <v>1</v>
      </c>
    </row>
    <row r="1954" spans="1:22" x14ac:dyDescent="0.35">
      <c r="A1954">
        <v>11953</v>
      </c>
      <c r="B1954" s="1">
        <v>46514</v>
      </c>
      <c r="C1954">
        <v>1215</v>
      </c>
      <c r="D1954" t="s">
        <v>67</v>
      </c>
      <c r="E1954" t="s">
        <v>63</v>
      </c>
      <c r="F1954">
        <v>2</v>
      </c>
      <c r="G1954" s="2">
        <v>260.64999999999998</v>
      </c>
      <c r="H1954">
        <v>0.22</v>
      </c>
      <c r="I1954" t="s">
        <v>64</v>
      </c>
      <c r="J1954">
        <v>10</v>
      </c>
      <c r="K1954">
        <v>1.8</v>
      </c>
      <c r="L1954" s="2">
        <v>406.61</v>
      </c>
      <c r="M1954">
        <v>2027</v>
      </c>
      <c r="N1954">
        <v>5</v>
      </c>
      <c r="O1954" t="s">
        <v>144</v>
      </c>
      <c r="P1954" s="2">
        <v>521.29999999999995</v>
      </c>
      <c r="Q1954" s="2">
        <v>114.69</v>
      </c>
      <c r="R1954" t="s">
        <v>77</v>
      </c>
      <c r="S1954">
        <v>1</v>
      </c>
      <c r="T1954">
        <v>0</v>
      </c>
      <c r="U1954">
        <f>IF(AND(OR(Dashboard!$D$4="Semua",D1954=Dashboard!$D$4),OR(Dashboard!$H$4="Semua",E1954=Dashboard!$H$4)),1,0)</f>
        <v>1</v>
      </c>
      <c r="V1954">
        <f>IF(U1954=1,IF(COUNTIFS($C$2:C1954,C1954,$U$2:U1954,1)=1,1,0),0)</f>
        <v>0</v>
      </c>
    </row>
    <row r="1955" spans="1:22" x14ac:dyDescent="0.35">
      <c r="A1955">
        <v>11954</v>
      </c>
      <c r="B1955" s="1">
        <v>46515</v>
      </c>
      <c r="C1955">
        <v>1338</v>
      </c>
      <c r="D1955" t="s">
        <v>62</v>
      </c>
      <c r="E1955" t="s">
        <v>74</v>
      </c>
      <c r="F1955">
        <v>6</v>
      </c>
      <c r="G1955" s="2">
        <v>128.63</v>
      </c>
      <c r="H1955">
        <v>0.25</v>
      </c>
      <c r="I1955" t="s">
        <v>71</v>
      </c>
      <c r="J1955">
        <v>10</v>
      </c>
      <c r="K1955">
        <v>4.3</v>
      </c>
      <c r="L1955" s="2">
        <v>578.84</v>
      </c>
      <c r="M1955">
        <v>2027</v>
      </c>
      <c r="N1955">
        <v>5</v>
      </c>
      <c r="O1955" t="s">
        <v>144</v>
      </c>
      <c r="P1955" s="2">
        <v>771.78</v>
      </c>
      <c r="Q1955" s="2">
        <v>192.94</v>
      </c>
      <c r="R1955" t="s">
        <v>77</v>
      </c>
      <c r="S1955">
        <v>1</v>
      </c>
      <c r="T1955">
        <v>0</v>
      </c>
      <c r="U1955">
        <f>IF(AND(OR(Dashboard!$D$4="Semua",D1955=Dashboard!$D$4),OR(Dashboard!$H$4="Semua",E1955=Dashboard!$H$4)),1,0)</f>
        <v>1</v>
      </c>
      <c r="V1955">
        <f>IF(U1955=1,IF(COUNTIFS($C$2:C1955,C1955,$U$2:U1955,1)=1,1,0),0)</f>
        <v>0</v>
      </c>
    </row>
    <row r="1956" spans="1:22" x14ac:dyDescent="0.35">
      <c r="A1956">
        <v>11955</v>
      </c>
      <c r="B1956" s="1">
        <v>46516</v>
      </c>
      <c r="C1956">
        <v>1775</v>
      </c>
      <c r="D1956" t="s">
        <v>67</v>
      </c>
      <c r="E1956" t="s">
        <v>74</v>
      </c>
      <c r="F1956">
        <v>7</v>
      </c>
      <c r="G1956" s="2">
        <v>258.10000000000002</v>
      </c>
      <c r="H1956">
        <v>0.03</v>
      </c>
      <c r="I1956" t="s">
        <v>64</v>
      </c>
      <c r="J1956">
        <v>8</v>
      </c>
      <c r="K1956">
        <v>4</v>
      </c>
      <c r="L1956" s="2">
        <v>1752.5</v>
      </c>
      <c r="M1956">
        <v>2027</v>
      </c>
      <c r="N1956">
        <v>5</v>
      </c>
      <c r="O1956" t="s">
        <v>144</v>
      </c>
      <c r="P1956" s="2">
        <v>1806.7</v>
      </c>
      <c r="Q1956" s="2">
        <v>54.2</v>
      </c>
      <c r="R1956" t="s">
        <v>75</v>
      </c>
      <c r="S1956">
        <v>1</v>
      </c>
      <c r="T1956">
        <v>0</v>
      </c>
      <c r="U1956">
        <f>IF(AND(OR(Dashboard!$D$4="Semua",D1956=Dashboard!$D$4),OR(Dashboard!$H$4="Semua",E1956=Dashboard!$H$4)),1,0)</f>
        <v>1</v>
      </c>
      <c r="V1956">
        <f>IF(U1956=1,IF(COUNTIFS($C$2:C1956,C1956,$U$2:U1956,1)=1,1,0),0)</f>
        <v>0</v>
      </c>
    </row>
    <row r="1957" spans="1:22" x14ac:dyDescent="0.35">
      <c r="A1957">
        <v>11956</v>
      </c>
      <c r="B1957" s="1">
        <v>46517</v>
      </c>
      <c r="C1957">
        <v>1990</v>
      </c>
      <c r="D1957" t="s">
        <v>80</v>
      </c>
      <c r="E1957" t="s">
        <v>70</v>
      </c>
      <c r="F1957">
        <v>1</v>
      </c>
      <c r="G1957" s="2">
        <v>239.84</v>
      </c>
      <c r="H1957">
        <v>0.12</v>
      </c>
      <c r="I1957" t="s">
        <v>68</v>
      </c>
      <c r="J1957">
        <v>6</v>
      </c>
      <c r="K1957">
        <v>5</v>
      </c>
      <c r="L1957" s="2">
        <v>211.06</v>
      </c>
      <c r="M1957">
        <v>2027</v>
      </c>
      <c r="N1957">
        <v>5</v>
      </c>
      <c r="O1957" t="s">
        <v>144</v>
      </c>
      <c r="P1957" s="2">
        <v>239.84</v>
      </c>
      <c r="Q1957" s="2">
        <v>28.78</v>
      </c>
      <c r="R1957" t="s">
        <v>79</v>
      </c>
      <c r="S1957">
        <v>1</v>
      </c>
      <c r="T1957">
        <v>0</v>
      </c>
      <c r="U1957">
        <f>IF(AND(OR(Dashboard!$D$4="Semua",D1957=Dashboard!$D$4),OR(Dashboard!$H$4="Semua",E1957=Dashboard!$H$4)),1,0)</f>
        <v>1</v>
      </c>
      <c r="V1957">
        <f>IF(U1957=1,IF(COUNTIFS($C$2:C1957,C1957,$U$2:U1957,1)=1,1,0),0)</f>
        <v>1</v>
      </c>
    </row>
    <row r="1958" spans="1:22" x14ac:dyDescent="0.35">
      <c r="A1958">
        <v>11957</v>
      </c>
      <c r="B1958" s="1">
        <v>46518</v>
      </c>
      <c r="C1958">
        <v>1660</v>
      </c>
      <c r="D1958" t="s">
        <v>67</v>
      </c>
      <c r="E1958" t="s">
        <v>63</v>
      </c>
      <c r="F1958">
        <v>2</v>
      </c>
      <c r="G1958" s="2">
        <v>446.96</v>
      </c>
      <c r="H1958">
        <v>0.15</v>
      </c>
      <c r="I1958" t="s">
        <v>68</v>
      </c>
      <c r="J1958">
        <v>10</v>
      </c>
      <c r="K1958">
        <v>1.5</v>
      </c>
      <c r="L1958" s="2">
        <v>759.83</v>
      </c>
      <c r="M1958">
        <v>2027</v>
      </c>
      <c r="N1958">
        <v>5</v>
      </c>
      <c r="O1958" t="s">
        <v>144</v>
      </c>
      <c r="P1958" s="2">
        <v>893.92</v>
      </c>
      <c r="Q1958" s="2">
        <v>134.09</v>
      </c>
      <c r="R1958" t="s">
        <v>79</v>
      </c>
      <c r="S1958">
        <v>1</v>
      </c>
      <c r="T1958">
        <v>0</v>
      </c>
      <c r="U1958">
        <f>IF(AND(OR(Dashboard!$D$4="Semua",D1958=Dashboard!$D$4),OR(Dashboard!$H$4="Semua",E1958=Dashboard!$H$4)),1,0)</f>
        <v>1</v>
      </c>
      <c r="V1958">
        <f>IF(U1958=1,IF(COUNTIFS($C$2:C1958,C1958,$U$2:U1958,1)=1,1,0),0)</f>
        <v>0</v>
      </c>
    </row>
    <row r="1959" spans="1:22" x14ac:dyDescent="0.35">
      <c r="A1959">
        <v>11958</v>
      </c>
      <c r="B1959" s="1">
        <v>46519</v>
      </c>
      <c r="C1959">
        <v>1080</v>
      </c>
      <c r="D1959" t="s">
        <v>80</v>
      </c>
      <c r="E1959" t="s">
        <v>70</v>
      </c>
      <c r="F1959">
        <v>2</v>
      </c>
      <c r="G1959" s="2">
        <v>467.92</v>
      </c>
      <c r="H1959">
        <v>0.09</v>
      </c>
      <c r="I1959" t="s">
        <v>68</v>
      </c>
      <c r="J1959">
        <v>5</v>
      </c>
      <c r="K1959">
        <v>3.9</v>
      </c>
      <c r="L1959" s="2">
        <v>851.61</v>
      </c>
      <c r="M1959">
        <v>2027</v>
      </c>
      <c r="N1959">
        <v>5</v>
      </c>
      <c r="O1959" t="s">
        <v>144</v>
      </c>
      <c r="P1959" s="2">
        <v>935.84</v>
      </c>
      <c r="Q1959" s="2">
        <v>84.23</v>
      </c>
      <c r="R1959" t="s">
        <v>69</v>
      </c>
      <c r="S1959">
        <v>1</v>
      </c>
      <c r="T1959">
        <v>0</v>
      </c>
      <c r="U1959">
        <f>IF(AND(OR(Dashboard!$D$4="Semua",D1959=Dashboard!$D$4),OR(Dashboard!$H$4="Semua",E1959=Dashboard!$H$4)),1,0)</f>
        <v>1</v>
      </c>
      <c r="V1959">
        <f>IF(U1959=1,IF(COUNTIFS($C$2:C1959,C1959,$U$2:U1959,1)=1,1,0),0)</f>
        <v>0</v>
      </c>
    </row>
    <row r="1960" spans="1:22" x14ac:dyDescent="0.35">
      <c r="A1960">
        <v>11959</v>
      </c>
      <c r="B1960" s="1">
        <v>46520</v>
      </c>
      <c r="C1960">
        <v>1726</v>
      </c>
      <c r="D1960" t="s">
        <v>62</v>
      </c>
      <c r="E1960" t="s">
        <v>74</v>
      </c>
      <c r="F1960">
        <v>6</v>
      </c>
      <c r="G1960" s="2">
        <v>370.11</v>
      </c>
      <c r="H1960">
        <v>0.06</v>
      </c>
      <c r="I1960" t="s">
        <v>68</v>
      </c>
      <c r="J1960">
        <v>4</v>
      </c>
      <c r="K1960">
        <v>4.9000000000000004</v>
      </c>
      <c r="L1960" s="2">
        <v>2087.42</v>
      </c>
      <c r="M1960">
        <v>2027</v>
      </c>
      <c r="N1960">
        <v>5</v>
      </c>
      <c r="O1960" t="s">
        <v>144</v>
      </c>
      <c r="P1960" s="2">
        <v>2220.66</v>
      </c>
      <c r="Q1960" s="2">
        <v>133.24</v>
      </c>
      <c r="R1960" t="s">
        <v>69</v>
      </c>
      <c r="S1960">
        <v>1</v>
      </c>
      <c r="T1960">
        <v>0</v>
      </c>
      <c r="U1960">
        <f>IF(AND(OR(Dashboard!$D$4="Semua",D1960=Dashboard!$D$4),OR(Dashboard!$H$4="Semua",E1960=Dashboard!$H$4)),1,0)</f>
        <v>1</v>
      </c>
      <c r="V1960">
        <f>IF(U1960=1,IF(COUNTIFS($C$2:C1960,C1960,$U$2:U1960,1)=1,1,0),0)</f>
        <v>0</v>
      </c>
    </row>
    <row r="1961" spans="1:22" x14ac:dyDescent="0.35">
      <c r="A1961">
        <v>11960</v>
      </c>
      <c r="B1961" s="1">
        <v>46521</v>
      </c>
      <c r="C1961">
        <v>1484</v>
      </c>
      <c r="D1961" t="s">
        <v>67</v>
      </c>
      <c r="E1961" t="s">
        <v>78</v>
      </c>
      <c r="F1961">
        <v>4</v>
      </c>
      <c r="G1961" s="2">
        <v>28.27</v>
      </c>
      <c r="H1961">
        <v>0.05</v>
      </c>
      <c r="I1961" t="s">
        <v>64</v>
      </c>
      <c r="J1961">
        <v>10</v>
      </c>
      <c r="K1961">
        <v>2.9</v>
      </c>
      <c r="L1961" s="2">
        <v>107.43</v>
      </c>
      <c r="M1961">
        <v>2027</v>
      </c>
      <c r="N1961">
        <v>5</v>
      </c>
      <c r="O1961" t="s">
        <v>144</v>
      </c>
      <c r="P1961" s="2">
        <v>113.08</v>
      </c>
      <c r="Q1961" s="2">
        <v>5.65</v>
      </c>
      <c r="R1961" t="s">
        <v>75</v>
      </c>
      <c r="S1961">
        <v>1</v>
      </c>
      <c r="T1961">
        <v>0</v>
      </c>
      <c r="U1961">
        <f>IF(AND(OR(Dashboard!$D$4="Semua",D1961=Dashboard!$D$4),OR(Dashboard!$H$4="Semua",E1961=Dashboard!$H$4)),1,0)</f>
        <v>1</v>
      </c>
      <c r="V1961">
        <f>IF(U1961=1,IF(COUNTIFS($C$2:C1961,C1961,$U$2:U1961,1)=1,1,0),0)</f>
        <v>0</v>
      </c>
    </row>
    <row r="1962" spans="1:22" x14ac:dyDescent="0.35">
      <c r="A1962">
        <v>11961</v>
      </c>
      <c r="B1962" s="1">
        <v>46522</v>
      </c>
      <c r="C1962">
        <v>1373</v>
      </c>
      <c r="D1962" t="s">
        <v>73</v>
      </c>
      <c r="E1962" t="s">
        <v>74</v>
      </c>
      <c r="F1962">
        <v>7</v>
      </c>
      <c r="G1962" s="2">
        <v>559.65</v>
      </c>
      <c r="H1962">
        <v>0.13</v>
      </c>
      <c r="I1962" t="s">
        <v>68</v>
      </c>
      <c r="J1962">
        <v>9</v>
      </c>
      <c r="K1962">
        <v>3.9</v>
      </c>
      <c r="L1962" s="2">
        <v>3408.27</v>
      </c>
      <c r="M1962">
        <v>2027</v>
      </c>
      <c r="N1962">
        <v>5</v>
      </c>
      <c r="O1962" t="s">
        <v>144</v>
      </c>
      <c r="P1962" s="2">
        <v>3917.55</v>
      </c>
      <c r="Q1962" s="2">
        <v>509.28</v>
      </c>
      <c r="R1962" t="s">
        <v>79</v>
      </c>
      <c r="S1962">
        <v>1</v>
      </c>
      <c r="T1962">
        <v>1</v>
      </c>
      <c r="U1962">
        <f>IF(AND(OR(Dashboard!$D$4="Semua",D1962=Dashboard!$D$4),OR(Dashboard!$H$4="Semua",E1962=Dashboard!$H$4)),1,0)</f>
        <v>1</v>
      </c>
      <c r="V1962">
        <f>IF(U1962=1,IF(COUNTIFS($C$2:C1962,C1962,$U$2:U1962,1)=1,1,0),0)</f>
        <v>0</v>
      </c>
    </row>
    <row r="1963" spans="1:22" x14ac:dyDescent="0.35">
      <c r="A1963">
        <v>11962</v>
      </c>
      <c r="B1963" s="1">
        <v>46523</v>
      </c>
      <c r="C1963">
        <v>1975</v>
      </c>
      <c r="D1963" t="s">
        <v>73</v>
      </c>
      <c r="E1963" t="s">
        <v>74</v>
      </c>
      <c r="F1963">
        <v>4</v>
      </c>
      <c r="G1963" s="2">
        <v>416.45</v>
      </c>
      <c r="H1963">
        <v>0.17</v>
      </c>
      <c r="I1963" t="s">
        <v>71</v>
      </c>
      <c r="J1963">
        <v>10</v>
      </c>
      <c r="K1963">
        <v>4.9000000000000004</v>
      </c>
      <c r="L1963" s="2">
        <v>1382.61</v>
      </c>
      <c r="M1963">
        <v>2027</v>
      </c>
      <c r="N1963">
        <v>5</v>
      </c>
      <c r="O1963" t="s">
        <v>144</v>
      </c>
      <c r="P1963" s="2">
        <v>1665.8</v>
      </c>
      <c r="Q1963" s="2">
        <v>283.19</v>
      </c>
      <c r="R1963" t="s">
        <v>76</v>
      </c>
      <c r="S1963">
        <v>1</v>
      </c>
      <c r="T1963">
        <v>0</v>
      </c>
      <c r="U1963">
        <f>IF(AND(OR(Dashboard!$D$4="Semua",D1963=Dashboard!$D$4),OR(Dashboard!$H$4="Semua",E1963=Dashboard!$H$4)),1,0)</f>
        <v>1</v>
      </c>
      <c r="V1963">
        <f>IF(U1963=1,IF(COUNTIFS($C$2:C1963,C1963,$U$2:U1963,1)=1,1,0),0)</f>
        <v>0</v>
      </c>
    </row>
    <row r="1964" spans="1:22" x14ac:dyDescent="0.35">
      <c r="A1964">
        <v>11963</v>
      </c>
      <c r="B1964" s="1">
        <v>46524</v>
      </c>
      <c r="C1964">
        <v>1709</v>
      </c>
      <c r="D1964" t="s">
        <v>73</v>
      </c>
      <c r="E1964" t="s">
        <v>70</v>
      </c>
      <c r="F1964">
        <v>5</v>
      </c>
      <c r="G1964" s="2">
        <v>35</v>
      </c>
      <c r="H1964">
        <v>0.02</v>
      </c>
      <c r="I1964" t="s">
        <v>68</v>
      </c>
      <c r="J1964">
        <v>5</v>
      </c>
      <c r="K1964">
        <v>3.2</v>
      </c>
      <c r="L1964" s="2">
        <v>171.5</v>
      </c>
      <c r="M1964">
        <v>2027</v>
      </c>
      <c r="N1964">
        <v>5</v>
      </c>
      <c r="O1964" t="s">
        <v>144</v>
      </c>
      <c r="P1964" s="2">
        <v>175</v>
      </c>
      <c r="Q1964" s="2">
        <v>3.5</v>
      </c>
      <c r="R1964" t="s">
        <v>75</v>
      </c>
      <c r="S1964">
        <v>1</v>
      </c>
      <c r="T1964">
        <v>0</v>
      </c>
      <c r="U1964">
        <f>IF(AND(OR(Dashboard!$D$4="Semua",D1964=Dashboard!$D$4),OR(Dashboard!$H$4="Semua",E1964=Dashboard!$H$4)),1,0)</f>
        <v>1</v>
      </c>
      <c r="V1964">
        <f>IF(U1964=1,IF(COUNTIFS($C$2:C1964,C1964,$U$2:U1964,1)=1,1,0),0)</f>
        <v>0</v>
      </c>
    </row>
    <row r="1965" spans="1:22" x14ac:dyDescent="0.35">
      <c r="A1965">
        <v>11964</v>
      </c>
      <c r="B1965" s="1">
        <v>46525</v>
      </c>
      <c r="C1965">
        <v>1199</v>
      </c>
      <c r="D1965" t="s">
        <v>73</v>
      </c>
      <c r="E1965" t="s">
        <v>78</v>
      </c>
      <c r="F1965">
        <v>1</v>
      </c>
      <c r="G1965" s="2">
        <v>494.02</v>
      </c>
      <c r="H1965">
        <v>0.33</v>
      </c>
      <c r="I1965" t="s">
        <v>71</v>
      </c>
      <c r="J1965">
        <v>10</v>
      </c>
      <c r="K1965">
        <v>3.8</v>
      </c>
      <c r="L1965" s="2">
        <v>330.99</v>
      </c>
      <c r="M1965">
        <v>2027</v>
      </c>
      <c r="N1965">
        <v>5</v>
      </c>
      <c r="O1965" t="s">
        <v>144</v>
      </c>
      <c r="P1965" s="2">
        <v>494.02</v>
      </c>
      <c r="Q1965" s="2">
        <v>163.03</v>
      </c>
      <c r="R1965" t="s">
        <v>72</v>
      </c>
      <c r="S1965">
        <v>1</v>
      </c>
      <c r="T1965">
        <v>0</v>
      </c>
      <c r="U1965">
        <f>IF(AND(OR(Dashboard!$D$4="Semua",D1965=Dashboard!$D$4),OR(Dashboard!$H$4="Semua",E1965=Dashboard!$H$4)),1,0)</f>
        <v>1</v>
      </c>
      <c r="V1965">
        <f>IF(U1965=1,IF(COUNTIFS($C$2:C1965,C1965,$U$2:U1965,1)=1,1,0),0)</f>
        <v>1</v>
      </c>
    </row>
    <row r="1966" spans="1:22" x14ac:dyDescent="0.35">
      <c r="A1966">
        <v>11965</v>
      </c>
      <c r="B1966" s="1">
        <v>46526</v>
      </c>
      <c r="C1966">
        <v>1536</v>
      </c>
      <c r="D1966" t="s">
        <v>73</v>
      </c>
      <c r="E1966" t="s">
        <v>78</v>
      </c>
      <c r="F1966">
        <v>4</v>
      </c>
      <c r="G1966" s="2">
        <v>132.16</v>
      </c>
      <c r="H1966">
        <v>0.27</v>
      </c>
      <c r="I1966" t="s">
        <v>68</v>
      </c>
      <c r="J1966">
        <v>11</v>
      </c>
      <c r="K1966">
        <v>1.1000000000000001</v>
      </c>
      <c r="L1966" s="2">
        <v>385.91</v>
      </c>
      <c r="M1966">
        <v>2027</v>
      </c>
      <c r="N1966">
        <v>5</v>
      </c>
      <c r="O1966" t="s">
        <v>144</v>
      </c>
      <c r="P1966" s="2">
        <v>528.64</v>
      </c>
      <c r="Q1966" s="2">
        <v>142.72999999999999</v>
      </c>
      <c r="R1966" t="s">
        <v>66</v>
      </c>
      <c r="S1966">
        <v>1</v>
      </c>
      <c r="T1966">
        <v>0</v>
      </c>
      <c r="U1966">
        <f>IF(AND(OR(Dashboard!$D$4="Semua",D1966=Dashboard!$D$4),OR(Dashboard!$H$4="Semua",E1966=Dashboard!$H$4)),1,0)</f>
        <v>1</v>
      </c>
      <c r="V1966">
        <f>IF(U1966=1,IF(COUNTIFS($C$2:C1966,C1966,$U$2:U1966,1)=1,1,0),0)</f>
        <v>0</v>
      </c>
    </row>
    <row r="1967" spans="1:22" x14ac:dyDescent="0.35">
      <c r="A1967">
        <v>11966</v>
      </c>
      <c r="B1967" s="1">
        <v>46527</v>
      </c>
      <c r="C1967">
        <v>1465</v>
      </c>
      <c r="D1967" t="s">
        <v>67</v>
      </c>
      <c r="E1967" t="s">
        <v>70</v>
      </c>
      <c r="F1967">
        <v>6</v>
      </c>
      <c r="G1967" s="2">
        <v>353.84</v>
      </c>
      <c r="H1967">
        <v>0.26</v>
      </c>
      <c r="I1967" t="s">
        <v>68</v>
      </c>
      <c r="J1967">
        <v>6</v>
      </c>
      <c r="K1967">
        <v>3.1</v>
      </c>
      <c r="L1967" s="2">
        <v>1571.05</v>
      </c>
      <c r="M1967">
        <v>2027</v>
      </c>
      <c r="N1967">
        <v>5</v>
      </c>
      <c r="O1967" t="s">
        <v>144</v>
      </c>
      <c r="P1967" s="2">
        <v>2123.04</v>
      </c>
      <c r="Q1967" s="2">
        <v>551.99</v>
      </c>
      <c r="R1967" t="s">
        <v>66</v>
      </c>
      <c r="S1967">
        <v>1</v>
      </c>
      <c r="T1967">
        <v>0</v>
      </c>
      <c r="U1967">
        <f>IF(AND(OR(Dashboard!$D$4="Semua",D1967=Dashboard!$D$4),OR(Dashboard!$H$4="Semua",E1967=Dashboard!$H$4)),1,0)</f>
        <v>1</v>
      </c>
      <c r="V1967">
        <f>IF(U1967=1,IF(COUNTIFS($C$2:C1967,C1967,$U$2:U1967,1)=1,1,0),0)</f>
        <v>0</v>
      </c>
    </row>
    <row r="1968" spans="1:22" x14ac:dyDescent="0.35">
      <c r="A1968">
        <v>11967</v>
      </c>
      <c r="B1968" s="1">
        <v>46528</v>
      </c>
      <c r="C1968">
        <v>1088</v>
      </c>
      <c r="D1968" t="s">
        <v>67</v>
      </c>
      <c r="E1968" t="s">
        <v>63</v>
      </c>
      <c r="F1968">
        <v>7</v>
      </c>
      <c r="G1968" s="2">
        <v>287.98</v>
      </c>
      <c r="H1968">
        <v>0.06</v>
      </c>
      <c r="I1968" t="s">
        <v>68</v>
      </c>
      <c r="J1968">
        <v>7</v>
      </c>
      <c r="K1968">
        <v>2</v>
      </c>
      <c r="L1968" s="2">
        <v>1894.91</v>
      </c>
      <c r="M1968">
        <v>2027</v>
      </c>
      <c r="N1968">
        <v>5</v>
      </c>
      <c r="O1968" t="s">
        <v>144</v>
      </c>
      <c r="P1968" s="2">
        <v>2015.86</v>
      </c>
      <c r="Q1968" s="2">
        <v>120.95</v>
      </c>
      <c r="R1968" t="s">
        <v>69</v>
      </c>
      <c r="S1968">
        <v>1</v>
      </c>
      <c r="T1968">
        <v>0</v>
      </c>
      <c r="U1968">
        <f>IF(AND(OR(Dashboard!$D$4="Semua",D1968=Dashboard!$D$4),OR(Dashboard!$H$4="Semua",E1968=Dashboard!$H$4)),1,0)</f>
        <v>1</v>
      </c>
      <c r="V1968">
        <f>IF(U1968=1,IF(COUNTIFS($C$2:C1968,C1968,$U$2:U1968,1)=1,1,0),0)</f>
        <v>0</v>
      </c>
    </row>
    <row r="1969" spans="1:22" x14ac:dyDescent="0.35">
      <c r="A1969">
        <v>11968</v>
      </c>
      <c r="B1969" s="1">
        <v>46529</v>
      </c>
      <c r="C1969">
        <v>1267</v>
      </c>
      <c r="D1969" t="s">
        <v>67</v>
      </c>
      <c r="E1969" t="s">
        <v>78</v>
      </c>
      <c r="F1969">
        <v>4</v>
      </c>
      <c r="G1969" s="2">
        <v>260.61</v>
      </c>
      <c r="H1969">
        <v>0.21</v>
      </c>
      <c r="I1969" t="s">
        <v>71</v>
      </c>
      <c r="J1969">
        <v>11</v>
      </c>
      <c r="K1969">
        <v>1.5</v>
      </c>
      <c r="L1969" s="2">
        <v>823.53</v>
      </c>
      <c r="M1969">
        <v>2027</v>
      </c>
      <c r="N1969">
        <v>5</v>
      </c>
      <c r="O1969" t="s">
        <v>144</v>
      </c>
      <c r="P1969" s="2">
        <v>1042.44</v>
      </c>
      <c r="Q1969" s="2">
        <v>218.91</v>
      </c>
      <c r="R1969" t="s">
        <v>77</v>
      </c>
      <c r="S1969">
        <v>1</v>
      </c>
      <c r="T1969">
        <v>0</v>
      </c>
      <c r="U1969">
        <f>IF(AND(OR(Dashboard!$D$4="Semua",D1969=Dashboard!$D$4),OR(Dashboard!$H$4="Semua",E1969=Dashboard!$H$4)),1,0)</f>
        <v>1</v>
      </c>
      <c r="V1969">
        <f>IF(U1969=1,IF(COUNTIFS($C$2:C1969,C1969,$U$2:U1969,1)=1,1,0),0)</f>
        <v>0</v>
      </c>
    </row>
    <row r="1970" spans="1:22" x14ac:dyDescent="0.35">
      <c r="A1970">
        <v>11969</v>
      </c>
      <c r="B1970" s="1">
        <v>46530</v>
      </c>
      <c r="C1970">
        <v>1654</v>
      </c>
      <c r="D1970" t="s">
        <v>67</v>
      </c>
      <c r="E1970" t="s">
        <v>78</v>
      </c>
      <c r="F1970">
        <v>5</v>
      </c>
      <c r="G1970" s="2">
        <v>535.48</v>
      </c>
      <c r="H1970">
        <v>0.19</v>
      </c>
      <c r="I1970" t="s">
        <v>68</v>
      </c>
      <c r="J1970">
        <v>11</v>
      </c>
      <c r="K1970">
        <v>3.8</v>
      </c>
      <c r="L1970" s="2">
        <v>2168.69</v>
      </c>
      <c r="M1970">
        <v>2027</v>
      </c>
      <c r="N1970">
        <v>5</v>
      </c>
      <c r="O1970" t="s">
        <v>144</v>
      </c>
      <c r="P1970" s="2">
        <v>2677.4</v>
      </c>
      <c r="Q1970" s="2">
        <v>508.71</v>
      </c>
      <c r="R1970" t="s">
        <v>76</v>
      </c>
      <c r="S1970">
        <v>1</v>
      </c>
      <c r="T1970">
        <v>0</v>
      </c>
      <c r="U1970">
        <f>IF(AND(OR(Dashboard!$D$4="Semua",D1970=Dashboard!$D$4),OR(Dashboard!$H$4="Semua",E1970=Dashboard!$H$4)),1,0)</f>
        <v>1</v>
      </c>
      <c r="V1970">
        <f>IF(U1970=1,IF(COUNTIFS($C$2:C1970,C1970,$U$2:U1970,1)=1,1,0),0)</f>
        <v>0</v>
      </c>
    </row>
    <row r="1971" spans="1:22" x14ac:dyDescent="0.35">
      <c r="A1971">
        <v>11970</v>
      </c>
      <c r="B1971" s="1">
        <v>46531</v>
      </c>
      <c r="C1971">
        <v>1570</v>
      </c>
      <c r="D1971" t="s">
        <v>73</v>
      </c>
      <c r="E1971" t="s">
        <v>70</v>
      </c>
      <c r="F1971">
        <v>3</v>
      </c>
      <c r="G1971" s="2">
        <v>270.86</v>
      </c>
      <c r="H1971">
        <v>0.34</v>
      </c>
      <c r="I1971" t="s">
        <v>68</v>
      </c>
      <c r="J1971">
        <v>1</v>
      </c>
      <c r="K1971">
        <v>1.2</v>
      </c>
      <c r="L1971" s="2">
        <v>536.29999999999995</v>
      </c>
      <c r="M1971">
        <v>2027</v>
      </c>
      <c r="N1971">
        <v>5</v>
      </c>
      <c r="O1971" t="s">
        <v>144</v>
      </c>
      <c r="P1971" s="2">
        <v>812.58</v>
      </c>
      <c r="Q1971" s="2">
        <v>276.27999999999997</v>
      </c>
      <c r="R1971" t="s">
        <v>72</v>
      </c>
      <c r="S1971">
        <v>1</v>
      </c>
      <c r="T1971">
        <v>0</v>
      </c>
      <c r="U1971">
        <f>IF(AND(OR(Dashboard!$D$4="Semua",D1971=Dashboard!$D$4),OR(Dashboard!$H$4="Semua",E1971=Dashboard!$H$4)),1,0)</f>
        <v>1</v>
      </c>
      <c r="V1971">
        <f>IF(U1971=1,IF(COUNTIFS($C$2:C1971,C1971,$U$2:U1971,1)=1,1,0),0)</f>
        <v>1</v>
      </c>
    </row>
    <row r="1972" spans="1:22" x14ac:dyDescent="0.35">
      <c r="A1972">
        <v>11971</v>
      </c>
      <c r="B1972" s="1">
        <v>46532</v>
      </c>
      <c r="C1972">
        <v>1921</v>
      </c>
      <c r="D1972" t="s">
        <v>73</v>
      </c>
      <c r="E1972" t="s">
        <v>63</v>
      </c>
      <c r="F1972">
        <v>5</v>
      </c>
      <c r="G1972" s="2">
        <v>59.08</v>
      </c>
      <c r="H1972">
        <v>0.26</v>
      </c>
      <c r="I1972" t="s">
        <v>68</v>
      </c>
      <c r="J1972">
        <v>9</v>
      </c>
      <c r="K1972">
        <v>4.5999999999999996</v>
      </c>
      <c r="L1972" s="2">
        <v>218.6</v>
      </c>
      <c r="M1972">
        <v>2027</v>
      </c>
      <c r="N1972">
        <v>5</v>
      </c>
      <c r="O1972" t="s">
        <v>144</v>
      </c>
      <c r="P1972" s="2">
        <v>295.39999999999998</v>
      </c>
      <c r="Q1972" s="2">
        <v>76.8</v>
      </c>
      <c r="R1972" t="s">
        <v>66</v>
      </c>
      <c r="S1972">
        <v>1</v>
      </c>
      <c r="T1972">
        <v>0</v>
      </c>
      <c r="U1972">
        <f>IF(AND(OR(Dashboard!$D$4="Semua",D1972=Dashboard!$D$4),OR(Dashboard!$H$4="Semua",E1972=Dashboard!$H$4)),1,0)</f>
        <v>1</v>
      </c>
      <c r="V1972">
        <f>IF(U1972=1,IF(COUNTIFS($C$2:C1972,C1972,$U$2:U1972,1)=1,1,0),0)</f>
        <v>0</v>
      </c>
    </row>
    <row r="1973" spans="1:22" x14ac:dyDescent="0.35">
      <c r="A1973">
        <v>11972</v>
      </c>
      <c r="B1973" s="1">
        <v>46533</v>
      </c>
      <c r="C1973">
        <v>1488</v>
      </c>
      <c r="D1973" t="s">
        <v>73</v>
      </c>
      <c r="E1973" t="s">
        <v>63</v>
      </c>
      <c r="F1973">
        <v>2</v>
      </c>
      <c r="G1973" s="2">
        <v>568.78</v>
      </c>
      <c r="H1973">
        <v>0.2</v>
      </c>
      <c r="I1973" t="s">
        <v>64</v>
      </c>
      <c r="J1973">
        <v>8</v>
      </c>
      <c r="K1973">
        <v>3.1</v>
      </c>
      <c r="L1973" s="2">
        <v>910.05</v>
      </c>
      <c r="M1973">
        <v>2027</v>
      </c>
      <c r="N1973">
        <v>5</v>
      </c>
      <c r="O1973" t="s">
        <v>144</v>
      </c>
      <c r="P1973" s="2">
        <v>1137.56</v>
      </c>
      <c r="Q1973" s="2">
        <v>227.51</v>
      </c>
      <c r="R1973" t="s">
        <v>76</v>
      </c>
      <c r="S1973">
        <v>1</v>
      </c>
      <c r="T1973">
        <v>0</v>
      </c>
      <c r="U1973">
        <f>IF(AND(OR(Dashboard!$D$4="Semua",D1973=Dashboard!$D$4),OR(Dashboard!$H$4="Semua",E1973=Dashboard!$H$4)),1,0)</f>
        <v>1</v>
      </c>
      <c r="V1973">
        <f>IF(U1973=1,IF(COUNTIFS($C$2:C1973,C1973,$U$2:U1973,1)=1,1,0),0)</f>
        <v>0</v>
      </c>
    </row>
    <row r="1974" spans="1:22" x14ac:dyDescent="0.35">
      <c r="A1974">
        <v>11973</v>
      </c>
      <c r="B1974" s="1">
        <v>46534</v>
      </c>
      <c r="C1974">
        <v>1876</v>
      </c>
      <c r="D1974" t="s">
        <v>67</v>
      </c>
      <c r="E1974" t="s">
        <v>74</v>
      </c>
      <c r="F1974">
        <v>7</v>
      </c>
      <c r="G1974" s="2">
        <v>553.51</v>
      </c>
      <c r="H1974">
        <v>0.3</v>
      </c>
      <c r="I1974" t="s">
        <v>71</v>
      </c>
      <c r="J1974">
        <v>11</v>
      </c>
      <c r="K1974">
        <v>3.6</v>
      </c>
      <c r="L1974" s="2">
        <v>2712.2</v>
      </c>
      <c r="M1974">
        <v>2027</v>
      </c>
      <c r="N1974">
        <v>5</v>
      </c>
      <c r="O1974" t="s">
        <v>144</v>
      </c>
      <c r="P1974" s="2">
        <v>3874.57</v>
      </c>
      <c r="Q1974" s="2">
        <v>1162.3699999999999</v>
      </c>
      <c r="R1974" t="s">
        <v>66</v>
      </c>
      <c r="S1974">
        <v>1</v>
      </c>
      <c r="T1974">
        <v>0</v>
      </c>
      <c r="U1974">
        <f>IF(AND(OR(Dashboard!$D$4="Semua",D1974=Dashboard!$D$4),OR(Dashboard!$H$4="Semua",E1974=Dashboard!$H$4)),1,0)</f>
        <v>1</v>
      </c>
      <c r="V1974">
        <f>IF(U1974=1,IF(COUNTIFS($C$2:C1974,C1974,$U$2:U1974,1)=1,1,0),0)</f>
        <v>0</v>
      </c>
    </row>
    <row r="1975" spans="1:22" x14ac:dyDescent="0.35">
      <c r="A1975">
        <v>11974</v>
      </c>
      <c r="B1975" s="1">
        <v>46535</v>
      </c>
      <c r="C1975">
        <v>1537</v>
      </c>
      <c r="D1975" t="s">
        <v>73</v>
      </c>
      <c r="E1975" t="s">
        <v>74</v>
      </c>
      <c r="F1975">
        <v>2</v>
      </c>
      <c r="G1975" s="2">
        <v>415.39</v>
      </c>
      <c r="H1975">
        <v>0.05</v>
      </c>
      <c r="I1975" t="s">
        <v>71</v>
      </c>
      <c r="J1975">
        <v>5</v>
      </c>
      <c r="K1975">
        <v>2</v>
      </c>
      <c r="L1975" s="2">
        <v>789.24</v>
      </c>
      <c r="M1975">
        <v>2027</v>
      </c>
      <c r="N1975">
        <v>5</v>
      </c>
      <c r="O1975" t="s">
        <v>144</v>
      </c>
      <c r="P1975" s="2">
        <v>830.78</v>
      </c>
      <c r="Q1975" s="2">
        <v>41.54</v>
      </c>
      <c r="R1975" t="s">
        <v>75</v>
      </c>
      <c r="S1975">
        <v>1</v>
      </c>
      <c r="T1975">
        <v>0</v>
      </c>
      <c r="U1975">
        <f>IF(AND(OR(Dashboard!$D$4="Semua",D1975=Dashboard!$D$4),OR(Dashboard!$H$4="Semua",E1975=Dashboard!$H$4)),1,0)</f>
        <v>1</v>
      </c>
      <c r="V1975">
        <f>IF(U1975=1,IF(COUNTIFS($C$2:C1975,C1975,$U$2:U1975,1)=1,1,0),0)</f>
        <v>0</v>
      </c>
    </row>
    <row r="1976" spans="1:22" x14ac:dyDescent="0.35">
      <c r="A1976">
        <v>11975</v>
      </c>
      <c r="B1976" s="1">
        <v>46536</v>
      </c>
      <c r="C1976">
        <v>1046</v>
      </c>
      <c r="D1976" t="s">
        <v>73</v>
      </c>
      <c r="E1976" t="s">
        <v>70</v>
      </c>
      <c r="F1976">
        <v>4</v>
      </c>
      <c r="G1976" s="2">
        <v>288.72000000000003</v>
      </c>
      <c r="H1976">
        <v>0.01</v>
      </c>
      <c r="I1976" t="s">
        <v>71</v>
      </c>
      <c r="J1976">
        <v>3</v>
      </c>
      <c r="K1976">
        <v>1.7</v>
      </c>
      <c r="L1976" s="2">
        <v>1143.33</v>
      </c>
      <c r="M1976">
        <v>2027</v>
      </c>
      <c r="N1976">
        <v>5</v>
      </c>
      <c r="O1976" t="s">
        <v>144</v>
      </c>
      <c r="P1976" s="2">
        <v>1154.8800000000001</v>
      </c>
      <c r="Q1976" s="2">
        <v>11.55</v>
      </c>
      <c r="R1976" t="s">
        <v>75</v>
      </c>
      <c r="S1976">
        <v>1</v>
      </c>
      <c r="T1976">
        <v>0</v>
      </c>
      <c r="U1976">
        <f>IF(AND(OR(Dashboard!$D$4="Semua",D1976=Dashboard!$D$4),OR(Dashboard!$H$4="Semua",E1976=Dashboard!$H$4)),1,0)</f>
        <v>1</v>
      </c>
      <c r="V1976">
        <f>IF(U1976=1,IF(COUNTIFS($C$2:C1976,C1976,$U$2:U1976,1)=1,1,0),0)</f>
        <v>0</v>
      </c>
    </row>
    <row r="1977" spans="1:22" x14ac:dyDescent="0.35">
      <c r="A1977">
        <v>11976</v>
      </c>
      <c r="B1977" s="1">
        <v>46537</v>
      </c>
      <c r="C1977">
        <v>1287</v>
      </c>
      <c r="D1977" t="s">
        <v>67</v>
      </c>
      <c r="E1977" t="s">
        <v>63</v>
      </c>
      <c r="F1977">
        <v>4</v>
      </c>
      <c r="G1977" s="2">
        <v>69.319999999999993</v>
      </c>
      <c r="H1977">
        <v>0.24</v>
      </c>
      <c r="I1977" t="s">
        <v>68</v>
      </c>
      <c r="J1977">
        <v>5</v>
      </c>
      <c r="K1977">
        <v>2</v>
      </c>
      <c r="L1977" s="2">
        <v>210.73</v>
      </c>
      <c r="M1977">
        <v>2027</v>
      </c>
      <c r="N1977">
        <v>5</v>
      </c>
      <c r="O1977" t="s">
        <v>144</v>
      </c>
      <c r="P1977" s="2">
        <v>277.27999999999997</v>
      </c>
      <c r="Q1977" s="2">
        <v>66.55</v>
      </c>
      <c r="R1977" t="s">
        <v>77</v>
      </c>
      <c r="S1977">
        <v>1</v>
      </c>
      <c r="T1977">
        <v>0</v>
      </c>
      <c r="U1977">
        <f>IF(AND(OR(Dashboard!$D$4="Semua",D1977=Dashboard!$D$4),OR(Dashboard!$H$4="Semua",E1977=Dashboard!$H$4)),1,0)</f>
        <v>1</v>
      </c>
      <c r="V1977">
        <f>IF(U1977=1,IF(COUNTIFS($C$2:C1977,C1977,$U$2:U1977,1)=1,1,0),0)</f>
        <v>0</v>
      </c>
    </row>
    <row r="1978" spans="1:22" x14ac:dyDescent="0.35">
      <c r="A1978">
        <v>11977</v>
      </c>
      <c r="B1978" s="1">
        <v>46538</v>
      </c>
      <c r="C1978">
        <v>1777</v>
      </c>
      <c r="D1978" t="s">
        <v>80</v>
      </c>
      <c r="E1978" t="s">
        <v>70</v>
      </c>
      <c r="F1978">
        <v>5</v>
      </c>
      <c r="G1978" s="2">
        <v>477.59</v>
      </c>
      <c r="H1978">
        <v>0.03</v>
      </c>
      <c r="I1978" t="s">
        <v>71</v>
      </c>
      <c r="J1978">
        <v>5</v>
      </c>
      <c r="K1978">
        <v>1.9</v>
      </c>
      <c r="L1978" s="2">
        <v>2316.31</v>
      </c>
      <c r="M1978">
        <v>2027</v>
      </c>
      <c r="N1978">
        <v>5</v>
      </c>
      <c r="O1978" t="s">
        <v>144</v>
      </c>
      <c r="P1978" s="2">
        <v>2387.9499999999998</v>
      </c>
      <c r="Q1978" s="2">
        <v>71.64</v>
      </c>
      <c r="R1978" t="s">
        <v>75</v>
      </c>
      <c r="S1978">
        <v>1</v>
      </c>
      <c r="T1978">
        <v>0</v>
      </c>
      <c r="U1978">
        <f>IF(AND(OR(Dashboard!$D$4="Semua",D1978=Dashboard!$D$4),OR(Dashboard!$H$4="Semua",E1978=Dashboard!$H$4)),1,0)</f>
        <v>1</v>
      </c>
      <c r="V1978">
        <f>IF(U1978=1,IF(COUNTIFS($C$2:C1978,C1978,$U$2:U1978,1)=1,1,0),0)</f>
        <v>0</v>
      </c>
    </row>
    <row r="1979" spans="1:22" x14ac:dyDescent="0.35">
      <c r="A1979">
        <v>11978</v>
      </c>
      <c r="B1979" s="1">
        <v>46539</v>
      </c>
      <c r="C1979">
        <v>1015</v>
      </c>
      <c r="D1979" t="s">
        <v>73</v>
      </c>
      <c r="E1979" t="s">
        <v>74</v>
      </c>
      <c r="F1979">
        <v>5</v>
      </c>
      <c r="G1979" s="2">
        <v>59.15</v>
      </c>
      <c r="H1979">
        <v>0.04</v>
      </c>
      <c r="I1979" t="s">
        <v>68</v>
      </c>
      <c r="J1979">
        <v>9</v>
      </c>
      <c r="K1979">
        <v>4.5</v>
      </c>
      <c r="L1979" s="2">
        <v>283.92</v>
      </c>
      <c r="M1979">
        <v>2027</v>
      </c>
      <c r="N1979">
        <v>6</v>
      </c>
      <c r="O1979" t="s">
        <v>145</v>
      </c>
      <c r="P1979" s="2">
        <v>295.75</v>
      </c>
      <c r="Q1979" s="2">
        <v>11.83</v>
      </c>
      <c r="R1979" t="s">
        <v>75</v>
      </c>
      <c r="S1979">
        <v>1</v>
      </c>
      <c r="T1979">
        <v>0</v>
      </c>
      <c r="U1979">
        <f>IF(AND(OR(Dashboard!$D$4="Semua",D1979=Dashboard!$D$4),OR(Dashboard!$H$4="Semua",E1979=Dashboard!$H$4)),1,0)</f>
        <v>1</v>
      </c>
      <c r="V1979">
        <f>IF(U1979=1,IF(COUNTIFS($C$2:C1979,C1979,$U$2:U1979,1)=1,1,0),0)</f>
        <v>0</v>
      </c>
    </row>
    <row r="1980" spans="1:22" x14ac:dyDescent="0.35">
      <c r="A1980">
        <v>11979</v>
      </c>
      <c r="B1980" s="1">
        <v>46540</v>
      </c>
      <c r="C1980">
        <v>1710</v>
      </c>
      <c r="D1980" t="s">
        <v>67</v>
      </c>
      <c r="E1980" t="s">
        <v>70</v>
      </c>
      <c r="F1980">
        <v>6</v>
      </c>
      <c r="G1980" s="2">
        <v>55.13</v>
      </c>
      <c r="H1980">
        <v>0.26</v>
      </c>
      <c r="I1980" t="s">
        <v>68</v>
      </c>
      <c r="J1980">
        <v>7</v>
      </c>
      <c r="K1980">
        <v>4.0999999999999996</v>
      </c>
      <c r="L1980" s="2">
        <v>244.78</v>
      </c>
      <c r="M1980">
        <v>2027</v>
      </c>
      <c r="N1980">
        <v>6</v>
      </c>
      <c r="O1980" t="s">
        <v>145</v>
      </c>
      <c r="P1980" s="2">
        <v>330.78</v>
      </c>
      <c r="Q1980" s="2">
        <v>86</v>
      </c>
      <c r="R1980" t="s">
        <v>66</v>
      </c>
      <c r="S1980">
        <v>1</v>
      </c>
      <c r="T1980">
        <v>0</v>
      </c>
      <c r="U1980">
        <f>IF(AND(OR(Dashboard!$D$4="Semua",D1980=Dashboard!$D$4),OR(Dashboard!$H$4="Semua",E1980=Dashboard!$H$4)),1,0)</f>
        <v>1</v>
      </c>
      <c r="V1980">
        <f>IF(U1980=1,IF(COUNTIFS($C$2:C1980,C1980,$U$2:U1980,1)=1,1,0),0)</f>
        <v>0</v>
      </c>
    </row>
    <row r="1981" spans="1:22" x14ac:dyDescent="0.35">
      <c r="A1981">
        <v>11980</v>
      </c>
      <c r="B1981" s="1">
        <v>46541</v>
      </c>
      <c r="C1981">
        <v>1400</v>
      </c>
      <c r="D1981" t="s">
        <v>80</v>
      </c>
      <c r="E1981" t="s">
        <v>70</v>
      </c>
      <c r="F1981">
        <v>1</v>
      </c>
      <c r="G1981" s="2">
        <v>329.37</v>
      </c>
      <c r="H1981">
        <v>0.09</v>
      </c>
      <c r="I1981" t="s">
        <v>71</v>
      </c>
      <c r="J1981">
        <v>2</v>
      </c>
      <c r="K1981">
        <v>4.4000000000000004</v>
      </c>
      <c r="L1981" s="2">
        <v>299.73</v>
      </c>
      <c r="M1981">
        <v>2027</v>
      </c>
      <c r="N1981">
        <v>6</v>
      </c>
      <c r="O1981" t="s">
        <v>145</v>
      </c>
      <c r="P1981" s="2">
        <v>329.37</v>
      </c>
      <c r="Q1981" s="2">
        <v>29.64</v>
      </c>
      <c r="R1981" t="s">
        <v>69</v>
      </c>
      <c r="S1981">
        <v>1</v>
      </c>
      <c r="T1981">
        <v>0</v>
      </c>
      <c r="U1981">
        <f>IF(AND(OR(Dashboard!$D$4="Semua",D1981=Dashboard!$D$4),OR(Dashboard!$H$4="Semua",E1981=Dashboard!$H$4)),1,0)</f>
        <v>1</v>
      </c>
      <c r="V1981">
        <f>IF(U1981=1,IF(COUNTIFS($C$2:C1981,C1981,$U$2:U1981,1)=1,1,0),0)</f>
        <v>0</v>
      </c>
    </row>
    <row r="1982" spans="1:22" x14ac:dyDescent="0.35">
      <c r="A1982">
        <v>11981</v>
      </c>
      <c r="B1982" s="1">
        <v>46542</v>
      </c>
      <c r="C1982">
        <v>1918</v>
      </c>
      <c r="D1982" t="s">
        <v>80</v>
      </c>
      <c r="E1982" t="s">
        <v>78</v>
      </c>
      <c r="F1982">
        <v>6</v>
      </c>
      <c r="G1982" s="2">
        <v>108.68</v>
      </c>
      <c r="H1982">
        <v>0.22</v>
      </c>
      <c r="I1982" t="s">
        <v>71</v>
      </c>
      <c r="J1982">
        <v>5</v>
      </c>
      <c r="K1982">
        <v>3.9</v>
      </c>
      <c r="L1982" s="2">
        <v>508.62</v>
      </c>
      <c r="M1982">
        <v>2027</v>
      </c>
      <c r="N1982">
        <v>6</v>
      </c>
      <c r="O1982" t="s">
        <v>145</v>
      </c>
      <c r="P1982" s="2">
        <v>652.08000000000004</v>
      </c>
      <c r="Q1982" s="2">
        <v>143.46</v>
      </c>
      <c r="R1982" t="s">
        <v>77</v>
      </c>
      <c r="S1982">
        <v>1</v>
      </c>
      <c r="T1982">
        <v>0</v>
      </c>
      <c r="U1982">
        <f>IF(AND(OR(Dashboard!$D$4="Semua",D1982=Dashboard!$D$4),OR(Dashboard!$H$4="Semua",E1982=Dashboard!$H$4)),1,0)</f>
        <v>1</v>
      </c>
      <c r="V1982">
        <f>IF(U1982=1,IF(COUNTIFS($C$2:C1982,C1982,$U$2:U1982,1)=1,1,0),0)</f>
        <v>0</v>
      </c>
    </row>
    <row r="1983" spans="1:22" x14ac:dyDescent="0.35">
      <c r="A1983">
        <v>11982</v>
      </c>
      <c r="B1983" s="1">
        <v>46543</v>
      </c>
      <c r="C1983">
        <v>1793</v>
      </c>
      <c r="D1983" t="s">
        <v>62</v>
      </c>
      <c r="E1983" t="s">
        <v>78</v>
      </c>
      <c r="F1983">
        <v>2</v>
      </c>
      <c r="G1983" s="2">
        <v>19.52</v>
      </c>
      <c r="H1983">
        <v>0.32</v>
      </c>
      <c r="I1983" t="s">
        <v>68</v>
      </c>
      <c r="J1983">
        <v>9</v>
      </c>
      <c r="K1983">
        <v>3.6</v>
      </c>
      <c r="L1983" s="2">
        <v>26.55</v>
      </c>
      <c r="M1983">
        <v>2027</v>
      </c>
      <c r="N1983">
        <v>6</v>
      </c>
      <c r="O1983" t="s">
        <v>145</v>
      </c>
      <c r="P1983" s="2">
        <v>39.04</v>
      </c>
      <c r="Q1983" s="2">
        <v>12.49</v>
      </c>
      <c r="R1983" t="s">
        <v>72</v>
      </c>
      <c r="S1983">
        <v>1</v>
      </c>
      <c r="T1983">
        <v>0</v>
      </c>
      <c r="U1983">
        <f>IF(AND(OR(Dashboard!$D$4="Semua",D1983=Dashboard!$D$4),OR(Dashboard!$H$4="Semua",E1983=Dashboard!$H$4)),1,0)</f>
        <v>1</v>
      </c>
      <c r="V1983">
        <f>IF(U1983=1,IF(COUNTIFS($C$2:C1983,C1983,$U$2:U1983,1)=1,1,0),0)</f>
        <v>0</v>
      </c>
    </row>
    <row r="1984" spans="1:22" x14ac:dyDescent="0.35">
      <c r="A1984">
        <v>11983</v>
      </c>
      <c r="B1984" s="1">
        <v>46544</v>
      </c>
      <c r="C1984">
        <v>1980</v>
      </c>
      <c r="D1984" t="s">
        <v>73</v>
      </c>
      <c r="E1984" t="s">
        <v>78</v>
      </c>
      <c r="F1984">
        <v>6</v>
      </c>
      <c r="G1984" s="2">
        <v>262.52</v>
      </c>
      <c r="H1984">
        <v>0.11</v>
      </c>
      <c r="I1984" t="s">
        <v>68</v>
      </c>
      <c r="J1984">
        <v>11</v>
      </c>
      <c r="K1984">
        <v>3.1</v>
      </c>
      <c r="L1984" s="2">
        <v>1401.86</v>
      </c>
      <c r="M1984">
        <v>2027</v>
      </c>
      <c r="N1984">
        <v>6</v>
      </c>
      <c r="O1984" t="s">
        <v>145</v>
      </c>
      <c r="P1984" s="2">
        <v>1575.12</v>
      </c>
      <c r="Q1984" s="2">
        <v>173.26</v>
      </c>
      <c r="R1984" t="s">
        <v>79</v>
      </c>
      <c r="S1984">
        <v>1</v>
      </c>
      <c r="T1984">
        <v>0</v>
      </c>
      <c r="U1984">
        <f>IF(AND(OR(Dashboard!$D$4="Semua",D1984=Dashboard!$D$4),OR(Dashboard!$H$4="Semua",E1984=Dashboard!$H$4)),1,0)</f>
        <v>1</v>
      </c>
      <c r="V1984">
        <f>IF(U1984=1,IF(COUNTIFS($C$2:C1984,C1984,$U$2:U1984,1)=1,1,0),0)</f>
        <v>0</v>
      </c>
    </row>
    <row r="1985" spans="1:22" x14ac:dyDescent="0.35">
      <c r="A1985">
        <v>11984</v>
      </c>
      <c r="B1985" s="1">
        <v>46545</v>
      </c>
      <c r="C1985">
        <v>1085</v>
      </c>
      <c r="D1985" t="s">
        <v>73</v>
      </c>
      <c r="E1985" t="s">
        <v>74</v>
      </c>
      <c r="F1985">
        <v>5</v>
      </c>
      <c r="G1985" s="2">
        <v>95.27</v>
      </c>
      <c r="H1985">
        <v>0.08</v>
      </c>
      <c r="I1985" t="s">
        <v>71</v>
      </c>
      <c r="J1985">
        <v>2</v>
      </c>
      <c r="K1985">
        <v>2.1</v>
      </c>
      <c r="L1985" s="2">
        <v>438.24</v>
      </c>
      <c r="M1985">
        <v>2027</v>
      </c>
      <c r="N1985">
        <v>6</v>
      </c>
      <c r="O1985" t="s">
        <v>145</v>
      </c>
      <c r="P1985" s="2">
        <v>476.35</v>
      </c>
      <c r="Q1985" s="2">
        <v>38.11</v>
      </c>
      <c r="R1985" t="s">
        <v>69</v>
      </c>
      <c r="S1985">
        <v>1</v>
      </c>
      <c r="T1985">
        <v>0</v>
      </c>
      <c r="U1985">
        <f>IF(AND(OR(Dashboard!$D$4="Semua",D1985=Dashboard!$D$4),OR(Dashboard!$H$4="Semua",E1985=Dashboard!$H$4)),1,0)</f>
        <v>1</v>
      </c>
      <c r="V1985">
        <f>IF(U1985=1,IF(COUNTIFS($C$2:C1985,C1985,$U$2:U1985,1)=1,1,0),0)</f>
        <v>0</v>
      </c>
    </row>
    <row r="1986" spans="1:22" x14ac:dyDescent="0.35">
      <c r="A1986">
        <v>11985</v>
      </c>
      <c r="B1986" s="1">
        <v>46546</v>
      </c>
      <c r="C1986">
        <v>1249</v>
      </c>
      <c r="D1986" t="s">
        <v>62</v>
      </c>
      <c r="E1986" t="s">
        <v>70</v>
      </c>
      <c r="F1986">
        <v>7</v>
      </c>
      <c r="G1986" s="2">
        <v>108.9</v>
      </c>
      <c r="H1986">
        <v>0.04</v>
      </c>
      <c r="I1986" t="s">
        <v>71</v>
      </c>
      <c r="J1986">
        <v>8</v>
      </c>
      <c r="K1986">
        <v>3.8</v>
      </c>
      <c r="L1986" s="2">
        <v>731.81</v>
      </c>
      <c r="M1986">
        <v>2027</v>
      </c>
      <c r="N1986">
        <v>6</v>
      </c>
      <c r="O1986" t="s">
        <v>145</v>
      </c>
      <c r="P1986" s="2">
        <v>762.3</v>
      </c>
      <c r="Q1986" s="2">
        <v>30.49</v>
      </c>
      <c r="R1986" t="s">
        <v>75</v>
      </c>
      <c r="S1986">
        <v>1</v>
      </c>
      <c r="T1986">
        <v>0</v>
      </c>
      <c r="U1986">
        <f>IF(AND(OR(Dashboard!$D$4="Semua",D1986=Dashboard!$D$4),OR(Dashboard!$H$4="Semua",E1986=Dashboard!$H$4)),1,0)</f>
        <v>1</v>
      </c>
      <c r="V1986">
        <f>IF(U1986=1,IF(COUNTIFS($C$2:C1986,C1986,$U$2:U1986,1)=1,1,0),0)</f>
        <v>0</v>
      </c>
    </row>
    <row r="1987" spans="1:22" x14ac:dyDescent="0.35">
      <c r="A1987">
        <v>11986</v>
      </c>
      <c r="B1987" s="1">
        <v>46547</v>
      </c>
      <c r="C1987">
        <v>1390</v>
      </c>
      <c r="D1987" t="s">
        <v>67</v>
      </c>
      <c r="E1987" t="s">
        <v>78</v>
      </c>
      <c r="F1987">
        <v>6</v>
      </c>
      <c r="G1987" s="2">
        <v>59.99</v>
      </c>
      <c r="H1987">
        <v>0.05</v>
      </c>
      <c r="I1987" t="s">
        <v>68</v>
      </c>
      <c r="J1987">
        <v>3</v>
      </c>
      <c r="K1987">
        <v>1.5</v>
      </c>
      <c r="L1987" s="2">
        <v>341.94</v>
      </c>
      <c r="M1987">
        <v>2027</v>
      </c>
      <c r="N1987">
        <v>6</v>
      </c>
      <c r="O1987" t="s">
        <v>145</v>
      </c>
      <c r="P1987" s="2">
        <v>359.94</v>
      </c>
      <c r="Q1987" s="2">
        <v>18</v>
      </c>
      <c r="R1987" t="s">
        <v>75</v>
      </c>
      <c r="S1987">
        <v>1</v>
      </c>
      <c r="T1987">
        <v>0</v>
      </c>
      <c r="U1987">
        <f>IF(AND(OR(Dashboard!$D$4="Semua",D1987=Dashboard!$D$4),OR(Dashboard!$H$4="Semua",E1987=Dashboard!$H$4)),1,0)</f>
        <v>1</v>
      </c>
      <c r="V1987">
        <f>IF(U1987=1,IF(COUNTIFS($C$2:C1987,C1987,$U$2:U1987,1)=1,1,0),0)</f>
        <v>0</v>
      </c>
    </row>
    <row r="1988" spans="1:22" x14ac:dyDescent="0.35">
      <c r="A1988">
        <v>11987</v>
      </c>
      <c r="B1988" s="1">
        <v>46548</v>
      </c>
      <c r="C1988">
        <v>1781</v>
      </c>
      <c r="D1988" t="s">
        <v>67</v>
      </c>
      <c r="E1988" t="s">
        <v>78</v>
      </c>
      <c r="F1988">
        <v>3</v>
      </c>
      <c r="G1988" s="2">
        <v>134.97999999999999</v>
      </c>
      <c r="H1988">
        <v>0.02</v>
      </c>
      <c r="I1988" t="s">
        <v>68</v>
      </c>
      <c r="J1988">
        <v>4</v>
      </c>
      <c r="K1988">
        <v>3</v>
      </c>
      <c r="L1988" s="2">
        <v>396.84</v>
      </c>
      <c r="M1988">
        <v>2027</v>
      </c>
      <c r="N1988">
        <v>6</v>
      </c>
      <c r="O1988" t="s">
        <v>145</v>
      </c>
      <c r="P1988" s="2">
        <v>404.94</v>
      </c>
      <c r="Q1988" s="2">
        <v>8.1</v>
      </c>
      <c r="R1988" t="s">
        <v>75</v>
      </c>
      <c r="S1988">
        <v>1</v>
      </c>
      <c r="T1988">
        <v>0</v>
      </c>
      <c r="U1988">
        <f>IF(AND(OR(Dashboard!$D$4="Semua",D1988=Dashboard!$D$4),OR(Dashboard!$H$4="Semua",E1988=Dashboard!$H$4)),1,0)</f>
        <v>1</v>
      </c>
      <c r="V1988">
        <f>IF(U1988=1,IF(COUNTIFS($C$2:C1988,C1988,$U$2:U1988,1)=1,1,0),0)</f>
        <v>1</v>
      </c>
    </row>
    <row r="1989" spans="1:22" x14ac:dyDescent="0.35">
      <c r="A1989">
        <v>11988</v>
      </c>
      <c r="B1989" s="1">
        <v>46549</v>
      </c>
      <c r="C1989">
        <v>1334</v>
      </c>
      <c r="D1989" t="s">
        <v>80</v>
      </c>
      <c r="E1989" t="s">
        <v>78</v>
      </c>
      <c r="F1989">
        <v>1</v>
      </c>
      <c r="G1989" s="2">
        <v>433.56</v>
      </c>
      <c r="H1989">
        <v>0.03</v>
      </c>
      <c r="I1989" t="s">
        <v>64</v>
      </c>
      <c r="J1989">
        <v>2</v>
      </c>
      <c r="K1989">
        <v>1.8</v>
      </c>
      <c r="L1989" s="2">
        <v>420.55</v>
      </c>
      <c r="M1989">
        <v>2027</v>
      </c>
      <c r="N1989">
        <v>6</v>
      </c>
      <c r="O1989" t="s">
        <v>145</v>
      </c>
      <c r="P1989" s="2">
        <v>433.56</v>
      </c>
      <c r="Q1989" s="2">
        <v>13.01</v>
      </c>
      <c r="R1989" t="s">
        <v>75</v>
      </c>
      <c r="S1989">
        <v>1</v>
      </c>
      <c r="T1989">
        <v>0</v>
      </c>
      <c r="U1989">
        <f>IF(AND(OR(Dashboard!$D$4="Semua",D1989=Dashboard!$D$4),OR(Dashboard!$H$4="Semua",E1989=Dashboard!$H$4)),1,0)</f>
        <v>1</v>
      </c>
      <c r="V1989">
        <f>IF(U1989=1,IF(COUNTIFS($C$2:C1989,C1989,$U$2:U1989,1)=1,1,0),0)</f>
        <v>0</v>
      </c>
    </row>
    <row r="1990" spans="1:22" x14ac:dyDescent="0.35">
      <c r="A1990">
        <v>11989</v>
      </c>
      <c r="B1990" s="1">
        <v>46550</v>
      </c>
      <c r="C1990">
        <v>1628</v>
      </c>
      <c r="D1990" t="s">
        <v>80</v>
      </c>
      <c r="E1990" t="s">
        <v>74</v>
      </c>
      <c r="F1990">
        <v>5</v>
      </c>
      <c r="G1990" s="2">
        <v>488.22</v>
      </c>
      <c r="H1990">
        <v>0.15</v>
      </c>
      <c r="I1990" t="s">
        <v>71</v>
      </c>
      <c r="J1990">
        <v>9</v>
      </c>
      <c r="K1990">
        <v>3</v>
      </c>
      <c r="L1990" s="2">
        <v>2074.94</v>
      </c>
      <c r="M1990">
        <v>2027</v>
      </c>
      <c r="N1990">
        <v>6</v>
      </c>
      <c r="O1990" t="s">
        <v>145</v>
      </c>
      <c r="P1990" s="2">
        <v>2441.1</v>
      </c>
      <c r="Q1990" s="2">
        <v>366.16</v>
      </c>
      <c r="R1990" t="s">
        <v>79</v>
      </c>
      <c r="S1990">
        <v>1</v>
      </c>
      <c r="T1990">
        <v>0</v>
      </c>
      <c r="U1990">
        <f>IF(AND(OR(Dashboard!$D$4="Semua",D1990=Dashboard!$D$4),OR(Dashboard!$H$4="Semua",E1990=Dashboard!$H$4)),1,0)</f>
        <v>1</v>
      </c>
      <c r="V1990">
        <f>IF(U1990=1,IF(COUNTIFS($C$2:C1990,C1990,$U$2:U1990,1)=1,1,0),0)</f>
        <v>0</v>
      </c>
    </row>
    <row r="1991" spans="1:22" x14ac:dyDescent="0.35">
      <c r="A1991">
        <v>11990</v>
      </c>
      <c r="B1991" s="1">
        <v>46551</v>
      </c>
      <c r="C1991">
        <v>1518</v>
      </c>
      <c r="D1991" t="s">
        <v>62</v>
      </c>
      <c r="E1991" t="s">
        <v>74</v>
      </c>
      <c r="F1991">
        <v>7</v>
      </c>
      <c r="G1991" s="2">
        <v>279.73</v>
      </c>
      <c r="H1991">
        <v>0.11</v>
      </c>
      <c r="I1991" t="s">
        <v>64</v>
      </c>
      <c r="J1991">
        <v>6</v>
      </c>
      <c r="K1991">
        <v>2.2000000000000002</v>
      </c>
      <c r="L1991" s="2">
        <v>1742.72</v>
      </c>
      <c r="M1991">
        <v>2027</v>
      </c>
      <c r="N1991">
        <v>6</v>
      </c>
      <c r="O1991" t="s">
        <v>145</v>
      </c>
      <c r="P1991" s="2">
        <v>1958.11</v>
      </c>
      <c r="Q1991" s="2">
        <v>215.39</v>
      </c>
      <c r="R1991" t="s">
        <v>79</v>
      </c>
      <c r="S1991">
        <v>1</v>
      </c>
      <c r="T1991">
        <v>0</v>
      </c>
      <c r="U1991">
        <f>IF(AND(OR(Dashboard!$D$4="Semua",D1991=Dashboard!$D$4),OR(Dashboard!$H$4="Semua",E1991=Dashboard!$H$4)),1,0)</f>
        <v>1</v>
      </c>
      <c r="V1991">
        <f>IF(U1991=1,IF(COUNTIFS($C$2:C1991,C1991,$U$2:U1991,1)=1,1,0),0)</f>
        <v>0</v>
      </c>
    </row>
    <row r="1992" spans="1:22" x14ac:dyDescent="0.35">
      <c r="A1992">
        <v>11991</v>
      </c>
      <c r="B1992" s="1">
        <v>46552</v>
      </c>
      <c r="C1992">
        <v>1136</v>
      </c>
      <c r="D1992" t="s">
        <v>62</v>
      </c>
      <c r="E1992" t="s">
        <v>70</v>
      </c>
      <c r="F1992">
        <v>4</v>
      </c>
      <c r="G1992" s="2">
        <v>311.33</v>
      </c>
      <c r="H1992">
        <v>0.25</v>
      </c>
      <c r="I1992" t="s">
        <v>68</v>
      </c>
      <c r="J1992">
        <v>9</v>
      </c>
      <c r="K1992">
        <v>1.2</v>
      </c>
      <c r="L1992" s="2">
        <v>933.99</v>
      </c>
      <c r="M1992">
        <v>2027</v>
      </c>
      <c r="N1992">
        <v>6</v>
      </c>
      <c r="O1992" t="s">
        <v>145</v>
      </c>
      <c r="P1992" s="2">
        <v>1245.32</v>
      </c>
      <c r="Q1992" s="2">
        <v>311.33</v>
      </c>
      <c r="R1992" t="s">
        <v>77</v>
      </c>
      <c r="S1992">
        <v>1</v>
      </c>
      <c r="T1992">
        <v>0</v>
      </c>
      <c r="U1992">
        <f>IF(AND(OR(Dashboard!$D$4="Semua",D1992=Dashboard!$D$4),OR(Dashboard!$H$4="Semua",E1992=Dashboard!$H$4)),1,0)</f>
        <v>1</v>
      </c>
      <c r="V1992">
        <f>IF(U1992=1,IF(COUNTIFS($C$2:C1992,C1992,$U$2:U1992,1)=1,1,0),0)</f>
        <v>0</v>
      </c>
    </row>
    <row r="1993" spans="1:22" x14ac:dyDescent="0.35">
      <c r="A1993">
        <v>11992</v>
      </c>
      <c r="B1993" s="1">
        <v>46553</v>
      </c>
      <c r="C1993">
        <v>1882</v>
      </c>
      <c r="D1993" t="s">
        <v>80</v>
      </c>
      <c r="E1993" t="s">
        <v>70</v>
      </c>
      <c r="F1993">
        <v>6</v>
      </c>
      <c r="G1993" s="2">
        <v>34.1</v>
      </c>
      <c r="H1993">
        <v>0.3</v>
      </c>
      <c r="I1993" t="s">
        <v>71</v>
      </c>
      <c r="J1993">
        <v>11</v>
      </c>
      <c r="K1993">
        <v>3</v>
      </c>
      <c r="L1993" s="2">
        <v>143.22</v>
      </c>
      <c r="M1993">
        <v>2027</v>
      </c>
      <c r="N1993">
        <v>6</v>
      </c>
      <c r="O1993" t="s">
        <v>145</v>
      </c>
      <c r="P1993" s="2">
        <v>204.6</v>
      </c>
      <c r="Q1993" s="2">
        <v>61.38</v>
      </c>
      <c r="R1993" t="s">
        <v>66</v>
      </c>
      <c r="S1993">
        <v>1</v>
      </c>
      <c r="T1993">
        <v>0</v>
      </c>
      <c r="U1993">
        <f>IF(AND(OR(Dashboard!$D$4="Semua",D1993=Dashboard!$D$4),OR(Dashboard!$H$4="Semua",E1993=Dashboard!$H$4)),1,0)</f>
        <v>1</v>
      </c>
      <c r="V1993">
        <f>IF(U1993=1,IF(COUNTIFS($C$2:C1993,C1993,$U$2:U1993,1)=1,1,0),0)</f>
        <v>0</v>
      </c>
    </row>
    <row r="1994" spans="1:22" x14ac:dyDescent="0.35">
      <c r="A1994">
        <v>11993</v>
      </c>
      <c r="B1994" s="1">
        <v>46554</v>
      </c>
      <c r="C1994">
        <v>1687</v>
      </c>
      <c r="D1994" t="s">
        <v>73</v>
      </c>
      <c r="E1994" t="s">
        <v>70</v>
      </c>
      <c r="F1994">
        <v>5</v>
      </c>
      <c r="G1994" s="2">
        <v>55.55</v>
      </c>
      <c r="H1994">
        <v>0.27</v>
      </c>
      <c r="I1994" t="s">
        <v>68</v>
      </c>
      <c r="J1994">
        <v>8</v>
      </c>
      <c r="K1994">
        <v>1.7</v>
      </c>
      <c r="L1994" s="2">
        <v>202.76</v>
      </c>
      <c r="M1994">
        <v>2027</v>
      </c>
      <c r="N1994">
        <v>6</v>
      </c>
      <c r="O1994" t="s">
        <v>145</v>
      </c>
      <c r="P1994" s="2">
        <v>277.75</v>
      </c>
      <c r="Q1994" s="2">
        <v>74.989999999999995</v>
      </c>
      <c r="R1994" t="s">
        <v>66</v>
      </c>
      <c r="S1994">
        <v>1</v>
      </c>
      <c r="T1994">
        <v>0</v>
      </c>
      <c r="U1994">
        <f>IF(AND(OR(Dashboard!$D$4="Semua",D1994=Dashboard!$D$4),OR(Dashboard!$H$4="Semua",E1994=Dashboard!$H$4)),1,0)</f>
        <v>1</v>
      </c>
      <c r="V1994">
        <f>IF(U1994=1,IF(COUNTIFS($C$2:C1994,C1994,$U$2:U1994,1)=1,1,0),0)</f>
        <v>0</v>
      </c>
    </row>
    <row r="1995" spans="1:22" x14ac:dyDescent="0.35">
      <c r="A1995">
        <v>11994</v>
      </c>
      <c r="B1995" s="1">
        <v>46555</v>
      </c>
      <c r="C1995">
        <v>1839</v>
      </c>
      <c r="D1995" t="s">
        <v>62</v>
      </c>
      <c r="E1995" t="s">
        <v>78</v>
      </c>
      <c r="F1995">
        <v>4</v>
      </c>
      <c r="G1995" s="2">
        <v>165.68</v>
      </c>
      <c r="H1995">
        <v>0.19</v>
      </c>
      <c r="I1995" t="s">
        <v>71</v>
      </c>
      <c r="J1995">
        <v>9</v>
      </c>
      <c r="K1995">
        <v>1.6</v>
      </c>
      <c r="L1995" s="2">
        <v>536.79999999999995</v>
      </c>
      <c r="M1995">
        <v>2027</v>
      </c>
      <c r="N1995">
        <v>6</v>
      </c>
      <c r="O1995" t="s">
        <v>145</v>
      </c>
      <c r="P1995" s="2">
        <v>662.72</v>
      </c>
      <c r="Q1995" s="2">
        <v>125.92</v>
      </c>
      <c r="R1995" t="s">
        <v>76</v>
      </c>
      <c r="S1995">
        <v>1</v>
      </c>
      <c r="T1995">
        <v>0</v>
      </c>
      <c r="U1995">
        <f>IF(AND(OR(Dashboard!$D$4="Semua",D1995=Dashboard!$D$4),OR(Dashboard!$H$4="Semua",E1995=Dashboard!$H$4)),1,0)</f>
        <v>1</v>
      </c>
      <c r="V1995">
        <f>IF(U1995=1,IF(COUNTIFS($C$2:C1995,C1995,$U$2:U1995,1)=1,1,0),0)</f>
        <v>0</v>
      </c>
    </row>
    <row r="1996" spans="1:22" x14ac:dyDescent="0.35">
      <c r="A1996">
        <v>11995</v>
      </c>
      <c r="B1996" s="1">
        <v>46556</v>
      </c>
      <c r="C1996">
        <v>1497</v>
      </c>
      <c r="D1996" t="s">
        <v>73</v>
      </c>
      <c r="E1996" t="s">
        <v>63</v>
      </c>
      <c r="F1996">
        <v>4</v>
      </c>
      <c r="G1996" s="2">
        <v>333.18</v>
      </c>
      <c r="H1996">
        <v>0.04</v>
      </c>
      <c r="I1996" t="s">
        <v>68</v>
      </c>
      <c r="J1996">
        <v>5</v>
      </c>
      <c r="K1996">
        <v>2.5</v>
      </c>
      <c r="L1996" s="2">
        <v>1279.4100000000001</v>
      </c>
      <c r="M1996">
        <v>2027</v>
      </c>
      <c r="N1996">
        <v>6</v>
      </c>
      <c r="O1996" t="s">
        <v>145</v>
      </c>
      <c r="P1996" s="2">
        <v>1332.72</v>
      </c>
      <c r="Q1996" s="2">
        <v>53.31</v>
      </c>
      <c r="R1996" t="s">
        <v>75</v>
      </c>
      <c r="S1996">
        <v>1</v>
      </c>
      <c r="T1996">
        <v>0</v>
      </c>
      <c r="U1996">
        <f>IF(AND(OR(Dashboard!$D$4="Semua",D1996=Dashboard!$D$4),OR(Dashboard!$H$4="Semua",E1996=Dashboard!$H$4)),1,0)</f>
        <v>1</v>
      </c>
      <c r="V1996">
        <f>IF(U1996=1,IF(COUNTIFS($C$2:C1996,C1996,$U$2:U1996,1)=1,1,0),0)</f>
        <v>0</v>
      </c>
    </row>
    <row r="1997" spans="1:22" x14ac:dyDescent="0.35">
      <c r="A1997">
        <v>11996</v>
      </c>
      <c r="B1997" s="1">
        <v>46557</v>
      </c>
      <c r="C1997">
        <v>1826</v>
      </c>
      <c r="D1997" t="s">
        <v>73</v>
      </c>
      <c r="E1997" t="s">
        <v>74</v>
      </c>
      <c r="F1997">
        <v>2</v>
      </c>
      <c r="G1997" s="2">
        <v>447.64</v>
      </c>
      <c r="H1997">
        <v>0.25</v>
      </c>
      <c r="I1997" t="s">
        <v>68</v>
      </c>
      <c r="J1997">
        <v>6</v>
      </c>
      <c r="K1997">
        <v>2.4</v>
      </c>
      <c r="L1997" s="2">
        <v>671.46</v>
      </c>
      <c r="M1997">
        <v>2027</v>
      </c>
      <c r="N1997">
        <v>6</v>
      </c>
      <c r="O1997" t="s">
        <v>145</v>
      </c>
      <c r="P1997" s="2">
        <v>895.28</v>
      </c>
      <c r="Q1997" s="2">
        <v>223.82</v>
      </c>
      <c r="R1997" t="s">
        <v>77</v>
      </c>
      <c r="S1997">
        <v>1</v>
      </c>
      <c r="T1997">
        <v>0</v>
      </c>
      <c r="U1997">
        <f>IF(AND(OR(Dashboard!$D$4="Semua",D1997=Dashboard!$D$4),OR(Dashboard!$H$4="Semua",E1997=Dashboard!$H$4)),1,0)</f>
        <v>1</v>
      </c>
      <c r="V1997">
        <f>IF(U1997=1,IF(COUNTIFS($C$2:C1997,C1997,$U$2:U1997,1)=1,1,0),0)</f>
        <v>0</v>
      </c>
    </row>
    <row r="1998" spans="1:22" x14ac:dyDescent="0.35">
      <c r="A1998">
        <v>11997</v>
      </c>
      <c r="B1998" s="1">
        <v>46558</v>
      </c>
      <c r="C1998">
        <v>1726</v>
      </c>
      <c r="D1998" t="s">
        <v>62</v>
      </c>
      <c r="E1998" t="s">
        <v>78</v>
      </c>
      <c r="F1998">
        <v>2</v>
      </c>
      <c r="G1998" s="2">
        <v>368.93</v>
      </c>
      <c r="H1998">
        <v>0.13</v>
      </c>
      <c r="I1998" t="s">
        <v>68</v>
      </c>
      <c r="J1998">
        <v>7</v>
      </c>
      <c r="K1998">
        <v>4.5</v>
      </c>
      <c r="L1998" s="2">
        <v>641.94000000000005</v>
      </c>
      <c r="M1998">
        <v>2027</v>
      </c>
      <c r="N1998">
        <v>6</v>
      </c>
      <c r="O1998" t="s">
        <v>145</v>
      </c>
      <c r="P1998" s="2">
        <v>737.86</v>
      </c>
      <c r="Q1998" s="2">
        <v>95.92</v>
      </c>
      <c r="R1998" t="s">
        <v>79</v>
      </c>
      <c r="S1998">
        <v>1</v>
      </c>
      <c r="T1998">
        <v>0</v>
      </c>
      <c r="U1998">
        <f>IF(AND(OR(Dashboard!$D$4="Semua",D1998=Dashboard!$D$4),OR(Dashboard!$H$4="Semua",E1998=Dashboard!$H$4)),1,0)</f>
        <v>1</v>
      </c>
      <c r="V1998">
        <f>IF(U1998=1,IF(COUNTIFS($C$2:C1998,C1998,$U$2:U1998,1)=1,1,0),0)</f>
        <v>0</v>
      </c>
    </row>
    <row r="1999" spans="1:22" x14ac:dyDescent="0.35">
      <c r="A1999">
        <v>11998</v>
      </c>
      <c r="B1999" s="1">
        <v>46559</v>
      </c>
      <c r="C1999">
        <v>1476</v>
      </c>
      <c r="D1999" t="s">
        <v>73</v>
      </c>
      <c r="E1999" t="s">
        <v>78</v>
      </c>
      <c r="F1999">
        <v>7</v>
      </c>
      <c r="G1999" s="2">
        <v>244.39</v>
      </c>
      <c r="H1999">
        <v>0.03</v>
      </c>
      <c r="I1999" t="s">
        <v>71</v>
      </c>
      <c r="J1999">
        <v>5</v>
      </c>
      <c r="K1999">
        <v>3.3</v>
      </c>
      <c r="L1999" s="2">
        <v>1659.41</v>
      </c>
      <c r="M1999">
        <v>2027</v>
      </c>
      <c r="N1999">
        <v>6</v>
      </c>
      <c r="O1999" t="s">
        <v>145</v>
      </c>
      <c r="P1999" s="2">
        <v>1710.73</v>
      </c>
      <c r="Q1999" s="2">
        <v>51.32</v>
      </c>
      <c r="R1999" t="s">
        <v>75</v>
      </c>
      <c r="S1999">
        <v>1</v>
      </c>
      <c r="T1999">
        <v>0</v>
      </c>
      <c r="U1999">
        <f>IF(AND(OR(Dashboard!$D$4="Semua",D1999=Dashboard!$D$4),OR(Dashboard!$H$4="Semua",E1999=Dashboard!$H$4)),1,0)</f>
        <v>1</v>
      </c>
      <c r="V1999">
        <f>IF(U1999=1,IF(COUNTIFS($C$2:C1999,C1999,$U$2:U1999,1)=1,1,0),0)</f>
        <v>0</v>
      </c>
    </row>
    <row r="2000" spans="1:22" x14ac:dyDescent="0.35">
      <c r="A2000">
        <v>11999</v>
      </c>
      <c r="B2000" s="1">
        <v>46560</v>
      </c>
      <c r="C2000">
        <v>1593</v>
      </c>
      <c r="D2000" t="s">
        <v>73</v>
      </c>
      <c r="E2000" t="s">
        <v>70</v>
      </c>
      <c r="F2000">
        <v>5</v>
      </c>
      <c r="G2000" s="2">
        <v>84.22</v>
      </c>
      <c r="H2000">
        <v>0.28999999999999998</v>
      </c>
      <c r="I2000" t="s">
        <v>71</v>
      </c>
      <c r="J2000">
        <v>1</v>
      </c>
      <c r="K2000">
        <v>4.4000000000000004</v>
      </c>
      <c r="L2000" s="2">
        <v>298.98</v>
      </c>
      <c r="M2000">
        <v>2027</v>
      </c>
      <c r="N2000">
        <v>6</v>
      </c>
      <c r="O2000" t="s">
        <v>145</v>
      </c>
      <c r="P2000" s="2">
        <v>421.1</v>
      </c>
      <c r="Q2000" s="2">
        <v>122.12</v>
      </c>
      <c r="R2000" t="s">
        <v>66</v>
      </c>
      <c r="S2000">
        <v>1</v>
      </c>
      <c r="T2000">
        <v>0</v>
      </c>
      <c r="U2000">
        <f>IF(AND(OR(Dashboard!$D$4="Semua",D2000=Dashboard!$D$4),OR(Dashboard!$H$4="Semua",E2000=Dashboard!$H$4)),1,0)</f>
        <v>1</v>
      </c>
      <c r="V2000">
        <f>IF(U2000=1,IF(COUNTIFS($C$2:C2000,C2000,$U$2:U2000,1)=1,1,0),0)</f>
        <v>0</v>
      </c>
    </row>
    <row r="2001" spans="1:22" x14ac:dyDescent="0.35">
      <c r="A2001">
        <v>12000</v>
      </c>
      <c r="B2001" s="1">
        <v>46561</v>
      </c>
      <c r="C2001">
        <v>1222</v>
      </c>
      <c r="D2001" t="s">
        <v>73</v>
      </c>
      <c r="E2001" t="s">
        <v>70</v>
      </c>
      <c r="F2001">
        <v>7</v>
      </c>
      <c r="G2001" s="2">
        <v>471.75</v>
      </c>
      <c r="H2001">
        <v>0.12</v>
      </c>
      <c r="I2001" t="s">
        <v>71</v>
      </c>
      <c r="J2001">
        <v>9</v>
      </c>
      <c r="K2001">
        <v>1.6</v>
      </c>
      <c r="L2001" s="2">
        <v>2905.98</v>
      </c>
      <c r="M2001">
        <v>2027</v>
      </c>
      <c r="N2001">
        <v>6</v>
      </c>
      <c r="O2001" t="s">
        <v>145</v>
      </c>
      <c r="P2001" s="2">
        <v>3302.25</v>
      </c>
      <c r="Q2001" s="2">
        <v>396.27</v>
      </c>
      <c r="R2001" t="s">
        <v>79</v>
      </c>
      <c r="S2001">
        <v>1</v>
      </c>
      <c r="T2001">
        <v>0</v>
      </c>
      <c r="U2001">
        <f>IF(AND(OR(Dashboard!$D$4="Semua",D2001=Dashboard!$D$4),OR(Dashboard!$H$4="Semua",E2001=Dashboard!$H$4)),1,0)</f>
        <v>1</v>
      </c>
      <c r="V2001">
        <f>IF(U2001=1,IF(COUNTIFS($C$2:C2001,C2001,$U$2:U2001,1)=1,1,0),0)</f>
        <v>0</v>
      </c>
    </row>
    <row r="2002" spans="1:22" x14ac:dyDescent="0.35">
      <c r="A2002">
        <v>12001</v>
      </c>
      <c r="B2002" s="1">
        <v>46562</v>
      </c>
      <c r="C2002">
        <v>1989</v>
      </c>
      <c r="D2002" t="s">
        <v>62</v>
      </c>
      <c r="E2002" t="s">
        <v>78</v>
      </c>
      <c r="F2002">
        <v>5</v>
      </c>
      <c r="G2002" s="2">
        <v>227.81</v>
      </c>
      <c r="H2002">
        <v>0.08</v>
      </c>
      <c r="I2002" t="s">
        <v>64</v>
      </c>
      <c r="J2002">
        <v>2</v>
      </c>
      <c r="K2002">
        <v>2.4</v>
      </c>
      <c r="L2002" s="2">
        <v>1047.93</v>
      </c>
      <c r="M2002">
        <v>2027</v>
      </c>
      <c r="N2002">
        <v>6</v>
      </c>
      <c r="O2002" t="s">
        <v>145</v>
      </c>
      <c r="P2002" s="2">
        <v>1139.05</v>
      </c>
      <c r="Q2002" s="2">
        <v>91.12</v>
      </c>
      <c r="R2002" t="s">
        <v>69</v>
      </c>
      <c r="S2002">
        <v>1</v>
      </c>
      <c r="T2002">
        <v>0</v>
      </c>
      <c r="U2002">
        <f>IF(AND(OR(Dashboard!$D$4="Semua",D2002=Dashboard!$D$4),OR(Dashboard!$H$4="Semua",E2002=Dashboard!$H$4)),1,0)</f>
        <v>1</v>
      </c>
      <c r="V2002">
        <f>IF(U2002=1,IF(COUNTIFS($C$2:C2002,C2002,$U$2:U2002,1)=1,1,0),0)</f>
        <v>0</v>
      </c>
    </row>
    <row r="2003" spans="1:22" x14ac:dyDescent="0.35">
      <c r="A2003">
        <v>12002</v>
      </c>
      <c r="B2003" s="1">
        <v>46563</v>
      </c>
      <c r="C2003">
        <v>1371</v>
      </c>
      <c r="D2003" t="s">
        <v>67</v>
      </c>
      <c r="E2003" t="s">
        <v>74</v>
      </c>
      <c r="F2003">
        <v>3</v>
      </c>
      <c r="G2003" s="2">
        <v>445.59</v>
      </c>
      <c r="H2003">
        <v>0.31</v>
      </c>
      <c r="I2003" t="s">
        <v>71</v>
      </c>
      <c r="J2003">
        <v>7</v>
      </c>
      <c r="K2003">
        <v>3.2</v>
      </c>
      <c r="L2003" s="2">
        <v>922.37</v>
      </c>
      <c r="M2003">
        <v>2027</v>
      </c>
      <c r="N2003">
        <v>6</v>
      </c>
      <c r="O2003" t="s">
        <v>145</v>
      </c>
      <c r="P2003" s="2">
        <v>1336.77</v>
      </c>
      <c r="Q2003" s="2">
        <v>414.4</v>
      </c>
      <c r="R2003" t="s">
        <v>72</v>
      </c>
      <c r="S2003">
        <v>1</v>
      </c>
      <c r="T2003">
        <v>0</v>
      </c>
      <c r="U2003">
        <f>IF(AND(OR(Dashboard!$D$4="Semua",D2003=Dashboard!$D$4),OR(Dashboard!$H$4="Semua",E2003=Dashboard!$H$4)),1,0)</f>
        <v>1</v>
      </c>
      <c r="V2003">
        <f>IF(U2003=1,IF(COUNTIFS($C$2:C2003,C2003,$U$2:U2003,1)=1,1,0),0)</f>
        <v>1</v>
      </c>
    </row>
    <row r="2004" spans="1:22" x14ac:dyDescent="0.35">
      <c r="A2004">
        <v>12003</v>
      </c>
      <c r="B2004" s="1">
        <v>46564</v>
      </c>
      <c r="C2004">
        <v>1934</v>
      </c>
      <c r="D2004" t="s">
        <v>80</v>
      </c>
      <c r="E2004" t="s">
        <v>74</v>
      </c>
      <c r="F2004">
        <v>1</v>
      </c>
      <c r="G2004" s="2">
        <v>315.08999999999997</v>
      </c>
      <c r="H2004">
        <v>0.32</v>
      </c>
      <c r="I2004" t="s">
        <v>71</v>
      </c>
      <c r="J2004">
        <v>8</v>
      </c>
      <c r="K2004">
        <v>1.6</v>
      </c>
      <c r="L2004" s="2">
        <v>214.26</v>
      </c>
      <c r="M2004">
        <v>2027</v>
      </c>
      <c r="N2004">
        <v>6</v>
      </c>
      <c r="O2004" t="s">
        <v>145</v>
      </c>
      <c r="P2004" s="2">
        <v>315.08999999999997</v>
      </c>
      <c r="Q2004" s="2">
        <v>100.83</v>
      </c>
      <c r="R2004" t="s">
        <v>72</v>
      </c>
      <c r="S2004">
        <v>1</v>
      </c>
      <c r="T2004">
        <v>0</v>
      </c>
      <c r="U2004">
        <f>IF(AND(OR(Dashboard!$D$4="Semua",D2004=Dashboard!$D$4),OR(Dashboard!$H$4="Semua",E2004=Dashboard!$H$4)),1,0)</f>
        <v>1</v>
      </c>
      <c r="V2004">
        <f>IF(U2004=1,IF(COUNTIFS($C$2:C2004,C2004,$U$2:U2004,1)=1,1,0),0)</f>
        <v>0</v>
      </c>
    </row>
    <row r="2005" spans="1:22" x14ac:dyDescent="0.35">
      <c r="A2005">
        <v>12004</v>
      </c>
      <c r="B2005" s="1">
        <v>46565</v>
      </c>
      <c r="C2005">
        <v>1994</v>
      </c>
      <c r="D2005" t="s">
        <v>73</v>
      </c>
      <c r="E2005" t="s">
        <v>78</v>
      </c>
      <c r="F2005">
        <v>1</v>
      </c>
      <c r="G2005" s="2">
        <v>447.12</v>
      </c>
      <c r="H2005">
        <v>0.12</v>
      </c>
      <c r="I2005" t="s">
        <v>64</v>
      </c>
      <c r="J2005">
        <v>8</v>
      </c>
      <c r="K2005">
        <v>1.5</v>
      </c>
      <c r="L2005" s="2">
        <v>393.47</v>
      </c>
      <c r="M2005">
        <v>2027</v>
      </c>
      <c r="N2005">
        <v>6</v>
      </c>
      <c r="O2005" t="s">
        <v>145</v>
      </c>
      <c r="P2005" s="2">
        <v>447.12</v>
      </c>
      <c r="Q2005" s="2">
        <v>53.65</v>
      </c>
      <c r="R2005" t="s">
        <v>79</v>
      </c>
      <c r="S2005">
        <v>1</v>
      </c>
      <c r="T2005">
        <v>0</v>
      </c>
      <c r="U2005">
        <f>IF(AND(OR(Dashboard!$D$4="Semua",D2005=Dashboard!$D$4),OR(Dashboard!$H$4="Semua",E2005=Dashboard!$H$4)),1,0)</f>
        <v>1</v>
      </c>
      <c r="V2005">
        <f>IF(U2005=1,IF(COUNTIFS($C$2:C2005,C2005,$U$2:U2005,1)=1,1,0),0)</f>
        <v>0</v>
      </c>
    </row>
    <row r="2006" spans="1:22" x14ac:dyDescent="0.35">
      <c r="A2006">
        <v>12005</v>
      </c>
      <c r="B2006" s="1">
        <v>46566</v>
      </c>
      <c r="C2006">
        <v>1401</v>
      </c>
      <c r="D2006" t="s">
        <v>80</v>
      </c>
      <c r="E2006" t="s">
        <v>63</v>
      </c>
      <c r="F2006">
        <v>5</v>
      </c>
      <c r="G2006" s="2">
        <v>545.76</v>
      </c>
      <c r="H2006">
        <v>0.12</v>
      </c>
      <c r="I2006" t="s">
        <v>71</v>
      </c>
      <c r="J2006">
        <v>1</v>
      </c>
      <c r="K2006">
        <v>3.6</v>
      </c>
      <c r="L2006" s="2">
        <v>2401.34</v>
      </c>
      <c r="M2006">
        <v>2027</v>
      </c>
      <c r="N2006">
        <v>6</v>
      </c>
      <c r="O2006" t="s">
        <v>145</v>
      </c>
      <c r="P2006" s="2">
        <v>2728.8</v>
      </c>
      <c r="Q2006" s="2">
        <v>327.45999999999998</v>
      </c>
      <c r="R2006" t="s">
        <v>79</v>
      </c>
      <c r="S2006">
        <v>1</v>
      </c>
      <c r="T2006">
        <v>0</v>
      </c>
      <c r="U2006">
        <f>IF(AND(OR(Dashboard!$D$4="Semua",D2006=Dashboard!$D$4),OR(Dashboard!$H$4="Semua",E2006=Dashboard!$H$4)),1,0)</f>
        <v>1</v>
      </c>
      <c r="V2006">
        <f>IF(U2006=1,IF(COUNTIFS($C$2:C2006,C2006,$U$2:U2006,1)=1,1,0),0)</f>
        <v>0</v>
      </c>
    </row>
    <row r="2007" spans="1:22" x14ac:dyDescent="0.35">
      <c r="A2007">
        <v>12006</v>
      </c>
      <c r="B2007" s="1">
        <v>46567</v>
      </c>
      <c r="C2007">
        <v>1442</v>
      </c>
      <c r="D2007" t="s">
        <v>80</v>
      </c>
      <c r="E2007" t="s">
        <v>63</v>
      </c>
      <c r="F2007">
        <v>2</v>
      </c>
      <c r="G2007" s="2">
        <v>553.79999999999995</v>
      </c>
      <c r="H2007">
        <v>0.2</v>
      </c>
      <c r="I2007" t="s">
        <v>68</v>
      </c>
      <c r="J2007">
        <v>10</v>
      </c>
      <c r="K2007">
        <v>3.6</v>
      </c>
      <c r="L2007" s="2">
        <v>886.08</v>
      </c>
      <c r="M2007">
        <v>2027</v>
      </c>
      <c r="N2007">
        <v>6</v>
      </c>
      <c r="O2007" t="s">
        <v>145</v>
      </c>
      <c r="P2007" s="2">
        <v>1107.5999999999999</v>
      </c>
      <c r="Q2007" s="2">
        <v>221.52</v>
      </c>
      <c r="R2007" t="s">
        <v>76</v>
      </c>
      <c r="S2007">
        <v>1</v>
      </c>
      <c r="T2007">
        <v>0</v>
      </c>
      <c r="U2007">
        <f>IF(AND(OR(Dashboard!$D$4="Semua",D2007=Dashboard!$D$4),OR(Dashboard!$H$4="Semua",E2007=Dashboard!$H$4)),1,0)</f>
        <v>1</v>
      </c>
      <c r="V2007">
        <f>IF(U2007=1,IF(COUNTIFS($C$2:C2007,C2007,$U$2:U2007,1)=1,1,0),0)</f>
        <v>0</v>
      </c>
    </row>
    <row r="2008" spans="1:22" x14ac:dyDescent="0.35">
      <c r="A2008">
        <v>12007</v>
      </c>
      <c r="B2008" s="1">
        <v>46568</v>
      </c>
      <c r="C2008">
        <v>1489</v>
      </c>
      <c r="D2008" t="s">
        <v>73</v>
      </c>
      <c r="E2008" t="s">
        <v>74</v>
      </c>
      <c r="F2008">
        <v>6</v>
      </c>
      <c r="G2008" s="2">
        <v>328.04</v>
      </c>
      <c r="H2008">
        <v>0.26</v>
      </c>
      <c r="I2008" t="s">
        <v>64</v>
      </c>
      <c r="J2008">
        <v>7</v>
      </c>
      <c r="K2008">
        <v>1.9</v>
      </c>
      <c r="L2008" s="2">
        <v>1456.5</v>
      </c>
      <c r="M2008">
        <v>2027</v>
      </c>
      <c r="N2008">
        <v>6</v>
      </c>
      <c r="O2008" t="s">
        <v>145</v>
      </c>
      <c r="P2008" s="2">
        <v>1968.24</v>
      </c>
      <c r="Q2008" s="2">
        <v>511.74</v>
      </c>
      <c r="R2008" t="s">
        <v>66</v>
      </c>
      <c r="S2008">
        <v>1</v>
      </c>
      <c r="T2008">
        <v>0</v>
      </c>
      <c r="U2008">
        <f>IF(AND(OR(Dashboard!$D$4="Semua",D2008=Dashboard!$D$4),OR(Dashboard!$H$4="Semua",E2008=Dashboard!$H$4)),1,0)</f>
        <v>1</v>
      </c>
      <c r="V2008">
        <f>IF(U2008=1,IF(COUNTIFS($C$2:C2008,C2008,$U$2:U2008,1)=1,1,0),0)</f>
        <v>0</v>
      </c>
    </row>
    <row r="2009" spans="1:22" x14ac:dyDescent="0.35">
      <c r="A2009">
        <v>12008</v>
      </c>
      <c r="B2009" s="1">
        <v>46569</v>
      </c>
      <c r="C2009">
        <v>1614</v>
      </c>
      <c r="D2009" t="s">
        <v>67</v>
      </c>
      <c r="E2009" t="s">
        <v>70</v>
      </c>
      <c r="F2009">
        <v>7</v>
      </c>
      <c r="G2009" s="2">
        <v>314.23</v>
      </c>
      <c r="H2009">
        <v>0.02</v>
      </c>
      <c r="I2009" t="s">
        <v>68</v>
      </c>
      <c r="J2009">
        <v>9</v>
      </c>
      <c r="K2009">
        <v>1.9</v>
      </c>
      <c r="L2009" s="2">
        <v>2155.62</v>
      </c>
      <c r="M2009">
        <v>2027</v>
      </c>
      <c r="N2009">
        <v>7</v>
      </c>
      <c r="O2009" t="s">
        <v>146</v>
      </c>
      <c r="P2009" s="2">
        <v>2199.61</v>
      </c>
      <c r="Q2009" s="2">
        <v>43.99</v>
      </c>
      <c r="R2009" t="s">
        <v>75</v>
      </c>
      <c r="S2009">
        <v>1</v>
      </c>
      <c r="T2009">
        <v>0</v>
      </c>
      <c r="U2009">
        <f>IF(AND(OR(Dashboard!$D$4="Semua",D2009=Dashboard!$D$4),OR(Dashboard!$H$4="Semua",E2009=Dashboard!$H$4)),1,0)</f>
        <v>1</v>
      </c>
      <c r="V2009">
        <f>IF(U2009=1,IF(COUNTIFS($C$2:C2009,C2009,$U$2:U2009,1)=1,1,0),0)</f>
        <v>0</v>
      </c>
    </row>
    <row r="2010" spans="1:22" x14ac:dyDescent="0.35">
      <c r="A2010">
        <v>12009</v>
      </c>
      <c r="B2010" s="1">
        <v>46570</v>
      </c>
      <c r="C2010">
        <v>1272</v>
      </c>
      <c r="D2010" t="s">
        <v>73</v>
      </c>
      <c r="E2010" t="s">
        <v>63</v>
      </c>
      <c r="F2010">
        <v>3</v>
      </c>
      <c r="G2010" s="2">
        <v>170.42</v>
      </c>
      <c r="H2010">
        <v>0.21</v>
      </c>
      <c r="I2010" t="s">
        <v>71</v>
      </c>
      <c r="J2010">
        <v>11</v>
      </c>
      <c r="K2010">
        <v>4</v>
      </c>
      <c r="L2010" s="2">
        <v>403.9</v>
      </c>
      <c r="M2010">
        <v>2027</v>
      </c>
      <c r="N2010">
        <v>7</v>
      </c>
      <c r="O2010" t="s">
        <v>146</v>
      </c>
      <c r="P2010" s="2">
        <v>511.26</v>
      </c>
      <c r="Q2010" s="2">
        <v>107.36</v>
      </c>
      <c r="R2010" t="s">
        <v>77</v>
      </c>
      <c r="S2010">
        <v>1</v>
      </c>
      <c r="T2010">
        <v>0</v>
      </c>
      <c r="U2010">
        <f>IF(AND(OR(Dashboard!$D$4="Semua",D2010=Dashboard!$D$4),OR(Dashboard!$H$4="Semua",E2010=Dashboard!$H$4)),1,0)</f>
        <v>1</v>
      </c>
      <c r="V2010">
        <f>IF(U2010=1,IF(COUNTIFS($C$2:C2010,C2010,$U$2:U2010,1)=1,1,0),0)</f>
        <v>0</v>
      </c>
    </row>
    <row r="2011" spans="1:22" x14ac:dyDescent="0.35">
      <c r="A2011">
        <v>12010</v>
      </c>
      <c r="B2011" s="1">
        <v>46571</v>
      </c>
      <c r="C2011">
        <v>1525</v>
      </c>
      <c r="D2011" t="s">
        <v>62</v>
      </c>
      <c r="E2011" t="s">
        <v>63</v>
      </c>
      <c r="F2011">
        <v>1</v>
      </c>
      <c r="G2011" s="2">
        <v>562.44000000000005</v>
      </c>
      <c r="H2011">
        <v>0.33</v>
      </c>
      <c r="I2011" t="s">
        <v>68</v>
      </c>
      <c r="J2011">
        <v>11</v>
      </c>
      <c r="K2011">
        <v>1.5</v>
      </c>
      <c r="L2011" s="2">
        <v>376.83</v>
      </c>
      <c r="M2011">
        <v>2027</v>
      </c>
      <c r="N2011">
        <v>7</v>
      </c>
      <c r="O2011" t="s">
        <v>146</v>
      </c>
      <c r="P2011" s="2">
        <v>562.44000000000005</v>
      </c>
      <c r="Q2011" s="2">
        <v>185.61</v>
      </c>
      <c r="R2011" t="s">
        <v>72</v>
      </c>
      <c r="S2011">
        <v>1</v>
      </c>
      <c r="T2011">
        <v>0</v>
      </c>
      <c r="U2011">
        <f>IF(AND(OR(Dashboard!$D$4="Semua",D2011=Dashboard!$D$4),OR(Dashboard!$H$4="Semua",E2011=Dashboard!$H$4)),1,0)</f>
        <v>1</v>
      </c>
      <c r="V2011">
        <f>IF(U2011=1,IF(COUNTIFS($C$2:C2011,C2011,$U$2:U2011,1)=1,1,0),0)</f>
        <v>0</v>
      </c>
    </row>
    <row r="2012" spans="1:22" x14ac:dyDescent="0.35">
      <c r="A2012">
        <v>12011</v>
      </c>
      <c r="B2012" s="1">
        <v>46572</v>
      </c>
      <c r="C2012">
        <v>1158</v>
      </c>
      <c r="D2012" t="s">
        <v>67</v>
      </c>
      <c r="E2012" t="s">
        <v>70</v>
      </c>
      <c r="F2012">
        <v>5</v>
      </c>
      <c r="G2012" s="2">
        <v>282.88</v>
      </c>
      <c r="H2012">
        <v>0.09</v>
      </c>
      <c r="I2012" t="s">
        <v>71</v>
      </c>
      <c r="J2012">
        <v>3</v>
      </c>
      <c r="K2012">
        <v>4.7</v>
      </c>
      <c r="L2012" s="2">
        <v>1287.0999999999999</v>
      </c>
      <c r="M2012">
        <v>2027</v>
      </c>
      <c r="N2012">
        <v>7</v>
      </c>
      <c r="O2012" t="s">
        <v>146</v>
      </c>
      <c r="P2012" s="2">
        <v>1414.4</v>
      </c>
      <c r="Q2012" s="2">
        <v>127.3</v>
      </c>
      <c r="R2012" t="s">
        <v>69</v>
      </c>
      <c r="S2012">
        <v>1</v>
      </c>
      <c r="T2012">
        <v>0</v>
      </c>
      <c r="U2012">
        <f>IF(AND(OR(Dashboard!$D$4="Semua",D2012=Dashboard!$D$4),OR(Dashboard!$H$4="Semua",E2012=Dashboard!$H$4)),1,0)</f>
        <v>1</v>
      </c>
      <c r="V2012">
        <f>IF(U2012=1,IF(COUNTIFS($C$2:C2012,C2012,$U$2:U2012,1)=1,1,0),0)</f>
        <v>0</v>
      </c>
    </row>
    <row r="2013" spans="1:22" x14ac:dyDescent="0.35">
      <c r="A2013">
        <v>12012</v>
      </c>
      <c r="B2013" s="1">
        <v>46573</v>
      </c>
      <c r="C2013">
        <v>1151</v>
      </c>
      <c r="D2013" t="s">
        <v>62</v>
      </c>
      <c r="E2013" t="s">
        <v>63</v>
      </c>
      <c r="F2013">
        <v>2</v>
      </c>
      <c r="G2013" s="2">
        <v>89.64</v>
      </c>
      <c r="H2013">
        <v>0.32</v>
      </c>
      <c r="I2013" t="s">
        <v>71</v>
      </c>
      <c r="J2013">
        <v>8</v>
      </c>
      <c r="K2013">
        <v>4.8</v>
      </c>
      <c r="L2013" s="2">
        <v>121.91</v>
      </c>
      <c r="M2013">
        <v>2027</v>
      </c>
      <c r="N2013">
        <v>7</v>
      </c>
      <c r="O2013" t="s">
        <v>146</v>
      </c>
      <c r="P2013" s="2">
        <v>179.28</v>
      </c>
      <c r="Q2013" s="2">
        <v>57.37</v>
      </c>
      <c r="R2013" t="s">
        <v>72</v>
      </c>
      <c r="S2013">
        <v>1</v>
      </c>
      <c r="T2013">
        <v>0</v>
      </c>
      <c r="U2013">
        <f>IF(AND(OR(Dashboard!$D$4="Semua",D2013=Dashboard!$D$4),OR(Dashboard!$H$4="Semua",E2013=Dashboard!$H$4)),1,0)</f>
        <v>1</v>
      </c>
      <c r="V2013">
        <f>IF(U2013=1,IF(COUNTIFS($C$2:C2013,C2013,$U$2:U2013,1)=1,1,0),0)</f>
        <v>0</v>
      </c>
    </row>
    <row r="2014" spans="1:22" x14ac:dyDescent="0.35">
      <c r="A2014">
        <v>12013</v>
      </c>
      <c r="B2014" s="1">
        <v>46574</v>
      </c>
      <c r="C2014">
        <v>1994</v>
      </c>
      <c r="D2014" t="s">
        <v>73</v>
      </c>
      <c r="E2014" t="s">
        <v>78</v>
      </c>
      <c r="F2014">
        <v>2</v>
      </c>
      <c r="G2014" s="2">
        <v>268.13</v>
      </c>
      <c r="H2014">
        <v>0.33</v>
      </c>
      <c r="I2014" t="s">
        <v>68</v>
      </c>
      <c r="J2014">
        <v>8</v>
      </c>
      <c r="K2014">
        <v>4.5</v>
      </c>
      <c r="L2014" s="2">
        <v>359.29</v>
      </c>
      <c r="M2014">
        <v>2027</v>
      </c>
      <c r="N2014">
        <v>7</v>
      </c>
      <c r="O2014" t="s">
        <v>146</v>
      </c>
      <c r="P2014" s="2">
        <v>536.26</v>
      </c>
      <c r="Q2014" s="2">
        <v>176.97</v>
      </c>
      <c r="R2014" t="s">
        <v>72</v>
      </c>
      <c r="S2014">
        <v>1</v>
      </c>
      <c r="T2014">
        <v>0</v>
      </c>
      <c r="U2014">
        <f>IF(AND(OR(Dashboard!$D$4="Semua",D2014=Dashboard!$D$4),OR(Dashboard!$H$4="Semua",E2014=Dashboard!$H$4)),1,0)</f>
        <v>1</v>
      </c>
      <c r="V2014">
        <f>IF(U2014=1,IF(COUNTIFS($C$2:C2014,C2014,$U$2:U2014,1)=1,1,0),0)</f>
        <v>0</v>
      </c>
    </row>
    <row r="2015" spans="1:22" x14ac:dyDescent="0.35">
      <c r="A2015">
        <v>12014</v>
      </c>
      <c r="B2015" s="1">
        <v>46575</v>
      </c>
      <c r="C2015">
        <v>1619</v>
      </c>
      <c r="D2015" t="s">
        <v>80</v>
      </c>
      <c r="E2015" t="s">
        <v>63</v>
      </c>
      <c r="F2015">
        <v>2</v>
      </c>
      <c r="G2015" s="2">
        <v>89.33</v>
      </c>
      <c r="H2015">
        <v>0.09</v>
      </c>
      <c r="I2015" t="s">
        <v>71</v>
      </c>
      <c r="J2015">
        <v>9</v>
      </c>
      <c r="K2015">
        <v>1.8</v>
      </c>
      <c r="L2015" s="2">
        <v>162.58000000000001</v>
      </c>
      <c r="M2015">
        <v>2027</v>
      </c>
      <c r="N2015">
        <v>7</v>
      </c>
      <c r="O2015" t="s">
        <v>146</v>
      </c>
      <c r="P2015" s="2">
        <v>178.66</v>
      </c>
      <c r="Q2015" s="2">
        <v>16.079999999999998</v>
      </c>
      <c r="R2015" t="s">
        <v>69</v>
      </c>
      <c r="S2015">
        <v>1</v>
      </c>
      <c r="T2015">
        <v>0</v>
      </c>
      <c r="U2015">
        <f>IF(AND(OR(Dashboard!$D$4="Semua",D2015=Dashboard!$D$4),OR(Dashboard!$H$4="Semua",E2015=Dashboard!$H$4)),1,0)</f>
        <v>1</v>
      </c>
      <c r="V2015">
        <f>IF(U2015=1,IF(COUNTIFS($C$2:C2015,C2015,$U$2:U2015,1)=1,1,0),0)</f>
        <v>0</v>
      </c>
    </row>
    <row r="2016" spans="1:22" x14ac:dyDescent="0.35">
      <c r="A2016">
        <v>12015</v>
      </c>
      <c r="B2016" s="1">
        <v>46576</v>
      </c>
      <c r="C2016">
        <v>1187</v>
      </c>
      <c r="D2016" t="s">
        <v>80</v>
      </c>
      <c r="E2016" t="s">
        <v>70</v>
      </c>
      <c r="F2016">
        <v>7</v>
      </c>
      <c r="G2016" s="2">
        <v>308.98</v>
      </c>
      <c r="H2016">
        <v>0.26</v>
      </c>
      <c r="I2016" t="s">
        <v>71</v>
      </c>
      <c r="J2016">
        <v>8</v>
      </c>
      <c r="K2016">
        <v>1.1000000000000001</v>
      </c>
      <c r="L2016" s="2">
        <v>1600.52</v>
      </c>
      <c r="M2016">
        <v>2027</v>
      </c>
      <c r="N2016">
        <v>7</v>
      </c>
      <c r="O2016" t="s">
        <v>146</v>
      </c>
      <c r="P2016" s="2">
        <v>2162.86</v>
      </c>
      <c r="Q2016" s="2">
        <v>562.34</v>
      </c>
      <c r="R2016" t="s">
        <v>66</v>
      </c>
      <c r="S2016">
        <v>1</v>
      </c>
      <c r="T2016">
        <v>0</v>
      </c>
      <c r="U2016">
        <f>IF(AND(OR(Dashboard!$D$4="Semua",D2016=Dashboard!$D$4),OR(Dashboard!$H$4="Semua",E2016=Dashboard!$H$4)),1,0)</f>
        <v>1</v>
      </c>
      <c r="V2016">
        <f>IF(U2016=1,IF(COUNTIFS($C$2:C2016,C2016,$U$2:U2016,1)=1,1,0),0)</f>
        <v>0</v>
      </c>
    </row>
    <row r="2017" spans="1:22" x14ac:dyDescent="0.35">
      <c r="A2017">
        <v>12016</v>
      </c>
      <c r="B2017" s="1">
        <v>46577</v>
      </c>
      <c r="C2017">
        <v>1812</v>
      </c>
      <c r="D2017" t="s">
        <v>80</v>
      </c>
      <c r="E2017" t="s">
        <v>78</v>
      </c>
      <c r="F2017">
        <v>6</v>
      </c>
      <c r="G2017" s="2">
        <v>343.35</v>
      </c>
      <c r="H2017">
        <v>0.08</v>
      </c>
      <c r="I2017" t="s">
        <v>68</v>
      </c>
      <c r="J2017">
        <v>5</v>
      </c>
      <c r="K2017">
        <v>4.7</v>
      </c>
      <c r="L2017" s="2">
        <v>1895.29</v>
      </c>
      <c r="M2017">
        <v>2027</v>
      </c>
      <c r="N2017">
        <v>7</v>
      </c>
      <c r="O2017" t="s">
        <v>146</v>
      </c>
      <c r="P2017" s="2">
        <v>2060.1</v>
      </c>
      <c r="Q2017" s="2">
        <v>164.81</v>
      </c>
      <c r="R2017" t="s">
        <v>69</v>
      </c>
      <c r="S2017">
        <v>1</v>
      </c>
      <c r="T2017">
        <v>0</v>
      </c>
      <c r="U2017">
        <f>IF(AND(OR(Dashboard!$D$4="Semua",D2017=Dashboard!$D$4),OR(Dashboard!$H$4="Semua",E2017=Dashboard!$H$4)),1,0)</f>
        <v>1</v>
      </c>
      <c r="V2017">
        <f>IF(U2017=1,IF(COUNTIFS($C$2:C2017,C2017,$U$2:U2017,1)=1,1,0),0)</f>
        <v>0</v>
      </c>
    </row>
    <row r="2018" spans="1:22" x14ac:dyDescent="0.35">
      <c r="A2018">
        <v>12017</v>
      </c>
      <c r="B2018" s="1">
        <v>46578</v>
      </c>
      <c r="C2018">
        <v>1097</v>
      </c>
      <c r="D2018" t="s">
        <v>62</v>
      </c>
      <c r="E2018" t="s">
        <v>63</v>
      </c>
      <c r="F2018">
        <v>4</v>
      </c>
      <c r="G2018" s="2">
        <v>212.59</v>
      </c>
      <c r="H2018">
        <v>0.26</v>
      </c>
      <c r="I2018" t="s">
        <v>68</v>
      </c>
      <c r="J2018">
        <v>5</v>
      </c>
      <c r="K2018">
        <v>2.4</v>
      </c>
      <c r="L2018" s="2">
        <v>629.27</v>
      </c>
      <c r="M2018">
        <v>2027</v>
      </c>
      <c r="N2018">
        <v>7</v>
      </c>
      <c r="O2018" t="s">
        <v>146</v>
      </c>
      <c r="P2018" s="2">
        <v>850.36</v>
      </c>
      <c r="Q2018" s="2">
        <v>221.09</v>
      </c>
      <c r="R2018" t="s">
        <v>66</v>
      </c>
      <c r="S2018">
        <v>1</v>
      </c>
      <c r="T2018">
        <v>0</v>
      </c>
      <c r="U2018">
        <f>IF(AND(OR(Dashboard!$D$4="Semua",D2018=Dashboard!$D$4),OR(Dashboard!$H$4="Semua",E2018=Dashboard!$H$4)),1,0)</f>
        <v>1</v>
      </c>
      <c r="V2018">
        <f>IF(U2018=1,IF(COUNTIFS($C$2:C2018,C2018,$U$2:U2018,1)=1,1,0),0)</f>
        <v>0</v>
      </c>
    </row>
    <row r="2019" spans="1:22" x14ac:dyDescent="0.35">
      <c r="A2019">
        <v>12018</v>
      </c>
      <c r="B2019" s="1">
        <v>46579</v>
      </c>
      <c r="C2019">
        <v>1130</v>
      </c>
      <c r="D2019" t="s">
        <v>67</v>
      </c>
      <c r="E2019" t="s">
        <v>74</v>
      </c>
      <c r="F2019">
        <v>7</v>
      </c>
      <c r="G2019" s="2">
        <v>56.92</v>
      </c>
      <c r="H2019">
        <v>0.28000000000000003</v>
      </c>
      <c r="I2019" t="s">
        <v>68</v>
      </c>
      <c r="J2019">
        <v>3</v>
      </c>
      <c r="K2019">
        <v>2.2000000000000002</v>
      </c>
      <c r="L2019" s="2">
        <v>286.88</v>
      </c>
      <c r="M2019">
        <v>2027</v>
      </c>
      <c r="N2019">
        <v>7</v>
      </c>
      <c r="O2019" t="s">
        <v>146</v>
      </c>
      <c r="P2019" s="2">
        <v>398.44</v>
      </c>
      <c r="Q2019" s="2">
        <v>111.56</v>
      </c>
      <c r="R2019" t="s">
        <v>66</v>
      </c>
      <c r="S2019">
        <v>1</v>
      </c>
      <c r="T2019">
        <v>0</v>
      </c>
      <c r="U2019">
        <f>IF(AND(OR(Dashboard!$D$4="Semua",D2019=Dashboard!$D$4),OR(Dashboard!$H$4="Semua",E2019=Dashboard!$H$4)),1,0)</f>
        <v>1</v>
      </c>
      <c r="V2019">
        <f>IF(U2019=1,IF(COUNTIFS($C$2:C2019,C2019,$U$2:U2019,1)=1,1,0),0)</f>
        <v>0</v>
      </c>
    </row>
    <row r="2020" spans="1:22" x14ac:dyDescent="0.35">
      <c r="A2020">
        <v>12019</v>
      </c>
      <c r="B2020" s="1">
        <v>46580</v>
      </c>
      <c r="C2020">
        <v>1804</v>
      </c>
      <c r="D2020" t="s">
        <v>73</v>
      </c>
      <c r="E2020" t="s">
        <v>78</v>
      </c>
      <c r="F2020">
        <v>6</v>
      </c>
      <c r="G2020" s="2">
        <v>566.95000000000005</v>
      </c>
      <c r="H2020">
        <v>0.09</v>
      </c>
      <c r="I2020" t="s">
        <v>64</v>
      </c>
      <c r="J2020">
        <v>6</v>
      </c>
      <c r="K2020">
        <v>2</v>
      </c>
      <c r="L2020" s="2">
        <v>3095.55</v>
      </c>
      <c r="M2020">
        <v>2027</v>
      </c>
      <c r="N2020">
        <v>7</v>
      </c>
      <c r="O2020" t="s">
        <v>146</v>
      </c>
      <c r="P2020" s="2">
        <v>3401.7</v>
      </c>
      <c r="Q2020" s="2">
        <v>306.14999999999998</v>
      </c>
      <c r="R2020" t="s">
        <v>69</v>
      </c>
      <c r="S2020">
        <v>1</v>
      </c>
      <c r="T2020">
        <v>0</v>
      </c>
      <c r="U2020">
        <f>IF(AND(OR(Dashboard!$D$4="Semua",D2020=Dashboard!$D$4),OR(Dashboard!$H$4="Semua",E2020=Dashboard!$H$4)),1,0)</f>
        <v>1</v>
      </c>
      <c r="V2020">
        <f>IF(U2020=1,IF(COUNTIFS($C$2:C2020,C2020,$U$2:U2020,1)=1,1,0),0)</f>
        <v>0</v>
      </c>
    </row>
    <row r="2021" spans="1:22" x14ac:dyDescent="0.35">
      <c r="A2021">
        <v>12020</v>
      </c>
      <c r="B2021" s="1">
        <v>46581</v>
      </c>
      <c r="C2021">
        <v>1170</v>
      </c>
      <c r="D2021" t="s">
        <v>80</v>
      </c>
      <c r="E2021" t="s">
        <v>78</v>
      </c>
      <c r="F2021">
        <v>2</v>
      </c>
      <c r="G2021" s="2">
        <v>467.41</v>
      </c>
      <c r="H2021">
        <v>0.25</v>
      </c>
      <c r="I2021" t="s">
        <v>71</v>
      </c>
      <c r="J2021">
        <v>10</v>
      </c>
      <c r="K2021">
        <v>2</v>
      </c>
      <c r="L2021" s="2">
        <v>701.12</v>
      </c>
      <c r="M2021">
        <v>2027</v>
      </c>
      <c r="N2021">
        <v>7</v>
      </c>
      <c r="O2021" t="s">
        <v>146</v>
      </c>
      <c r="P2021" s="2">
        <v>934.82</v>
      </c>
      <c r="Q2021" s="2">
        <v>233.7</v>
      </c>
      <c r="R2021" t="s">
        <v>77</v>
      </c>
      <c r="S2021">
        <v>1</v>
      </c>
      <c r="T2021">
        <v>0</v>
      </c>
      <c r="U2021">
        <f>IF(AND(OR(Dashboard!$D$4="Semua",D2021=Dashboard!$D$4),OR(Dashboard!$H$4="Semua",E2021=Dashboard!$H$4)),1,0)</f>
        <v>1</v>
      </c>
      <c r="V2021">
        <f>IF(U2021=1,IF(COUNTIFS($C$2:C2021,C2021,$U$2:U2021,1)=1,1,0),0)</f>
        <v>0</v>
      </c>
    </row>
    <row r="2022" spans="1:22" x14ac:dyDescent="0.35">
      <c r="A2022">
        <v>12021</v>
      </c>
      <c r="B2022" s="1">
        <v>46582</v>
      </c>
      <c r="C2022">
        <v>1935</v>
      </c>
      <c r="D2022" t="s">
        <v>80</v>
      </c>
      <c r="E2022" t="s">
        <v>74</v>
      </c>
      <c r="F2022">
        <v>5</v>
      </c>
      <c r="G2022" s="2">
        <v>505.75</v>
      </c>
      <c r="H2022">
        <v>0.28000000000000003</v>
      </c>
      <c r="I2022" t="s">
        <v>64</v>
      </c>
      <c r="J2022">
        <v>3</v>
      </c>
      <c r="K2022">
        <v>3.9</v>
      </c>
      <c r="L2022" s="2">
        <v>1820.7</v>
      </c>
      <c r="M2022">
        <v>2027</v>
      </c>
      <c r="N2022">
        <v>7</v>
      </c>
      <c r="O2022" t="s">
        <v>146</v>
      </c>
      <c r="P2022" s="2">
        <v>2528.75</v>
      </c>
      <c r="Q2022" s="2">
        <v>708.05</v>
      </c>
      <c r="R2022" t="s">
        <v>66</v>
      </c>
      <c r="S2022">
        <v>1</v>
      </c>
      <c r="T2022">
        <v>0</v>
      </c>
      <c r="U2022">
        <f>IF(AND(OR(Dashboard!$D$4="Semua",D2022=Dashboard!$D$4),OR(Dashboard!$H$4="Semua",E2022=Dashboard!$H$4)),1,0)</f>
        <v>1</v>
      </c>
      <c r="V2022">
        <f>IF(U2022=1,IF(COUNTIFS($C$2:C2022,C2022,$U$2:U2022,1)=1,1,0),0)</f>
        <v>0</v>
      </c>
    </row>
    <row r="2023" spans="1:22" x14ac:dyDescent="0.35">
      <c r="A2023">
        <v>12022</v>
      </c>
      <c r="B2023" s="1">
        <v>46583</v>
      </c>
      <c r="C2023">
        <v>1985</v>
      </c>
      <c r="D2023" t="s">
        <v>67</v>
      </c>
      <c r="E2023" t="s">
        <v>74</v>
      </c>
      <c r="F2023">
        <v>3</v>
      </c>
      <c r="G2023" s="2">
        <v>229.62</v>
      </c>
      <c r="H2023">
        <v>0.13</v>
      </c>
      <c r="I2023" t="s">
        <v>68</v>
      </c>
      <c r="J2023">
        <v>2</v>
      </c>
      <c r="K2023">
        <v>4.5999999999999996</v>
      </c>
      <c r="L2023" s="2">
        <v>599.30999999999995</v>
      </c>
      <c r="M2023">
        <v>2027</v>
      </c>
      <c r="N2023">
        <v>7</v>
      </c>
      <c r="O2023" t="s">
        <v>146</v>
      </c>
      <c r="P2023" s="2">
        <v>688.86</v>
      </c>
      <c r="Q2023" s="2">
        <v>89.55</v>
      </c>
      <c r="R2023" t="s">
        <v>79</v>
      </c>
      <c r="S2023">
        <v>1</v>
      </c>
      <c r="T2023">
        <v>0</v>
      </c>
      <c r="U2023">
        <f>IF(AND(OR(Dashboard!$D$4="Semua",D2023=Dashboard!$D$4),OR(Dashboard!$H$4="Semua",E2023=Dashboard!$H$4)),1,0)</f>
        <v>1</v>
      </c>
      <c r="V2023">
        <f>IF(U2023=1,IF(COUNTIFS($C$2:C2023,C2023,$U$2:U2023,1)=1,1,0),0)</f>
        <v>0</v>
      </c>
    </row>
    <row r="2024" spans="1:22" x14ac:dyDescent="0.35">
      <c r="A2024">
        <v>12023</v>
      </c>
      <c r="B2024" s="1">
        <v>46584</v>
      </c>
      <c r="C2024">
        <v>1182</v>
      </c>
      <c r="D2024" t="s">
        <v>73</v>
      </c>
      <c r="E2024" t="s">
        <v>63</v>
      </c>
      <c r="F2024">
        <v>6</v>
      </c>
      <c r="G2024" s="2">
        <v>460.09</v>
      </c>
      <c r="H2024">
        <v>0.06</v>
      </c>
      <c r="I2024" t="s">
        <v>68</v>
      </c>
      <c r="J2024">
        <v>7</v>
      </c>
      <c r="K2024">
        <v>4.0999999999999996</v>
      </c>
      <c r="L2024" s="2">
        <v>2594.91</v>
      </c>
      <c r="M2024">
        <v>2027</v>
      </c>
      <c r="N2024">
        <v>7</v>
      </c>
      <c r="O2024" t="s">
        <v>146</v>
      </c>
      <c r="P2024" s="2">
        <v>2760.54</v>
      </c>
      <c r="Q2024" s="2">
        <v>165.63</v>
      </c>
      <c r="R2024" t="s">
        <v>69</v>
      </c>
      <c r="S2024">
        <v>1</v>
      </c>
      <c r="T2024">
        <v>0</v>
      </c>
      <c r="U2024">
        <f>IF(AND(OR(Dashboard!$D$4="Semua",D2024=Dashboard!$D$4),OR(Dashboard!$H$4="Semua",E2024=Dashboard!$H$4)),1,0)</f>
        <v>1</v>
      </c>
      <c r="V2024">
        <f>IF(U2024=1,IF(COUNTIFS($C$2:C2024,C2024,$U$2:U2024,1)=1,1,0),0)</f>
        <v>0</v>
      </c>
    </row>
    <row r="2025" spans="1:22" x14ac:dyDescent="0.35">
      <c r="A2025">
        <v>12024</v>
      </c>
      <c r="B2025" s="1">
        <v>46585</v>
      </c>
      <c r="C2025">
        <v>1982</v>
      </c>
      <c r="D2025" t="s">
        <v>67</v>
      </c>
      <c r="E2025" t="s">
        <v>63</v>
      </c>
      <c r="F2025">
        <v>5</v>
      </c>
      <c r="G2025" s="2">
        <v>298.94</v>
      </c>
      <c r="H2025">
        <v>0.03</v>
      </c>
      <c r="I2025" t="s">
        <v>68</v>
      </c>
      <c r="J2025">
        <v>10</v>
      </c>
      <c r="K2025">
        <v>3.7</v>
      </c>
      <c r="L2025" s="2">
        <v>1449.86</v>
      </c>
      <c r="M2025">
        <v>2027</v>
      </c>
      <c r="N2025">
        <v>7</v>
      </c>
      <c r="O2025" t="s">
        <v>146</v>
      </c>
      <c r="P2025" s="2">
        <v>1494.7</v>
      </c>
      <c r="Q2025" s="2">
        <v>44.84</v>
      </c>
      <c r="R2025" t="s">
        <v>75</v>
      </c>
      <c r="S2025">
        <v>1</v>
      </c>
      <c r="T2025">
        <v>0</v>
      </c>
      <c r="U2025">
        <f>IF(AND(OR(Dashboard!$D$4="Semua",D2025=Dashboard!$D$4),OR(Dashboard!$H$4="Semua",E2025=Dashboard!$H$4)),1,0)</f>
        <v>1</v>
      </c>
      <c r="V2025">
        <f>IF(U2025=1,IF(COUNTIFS($C$2:C2025,C2025,$U$2:U2025,1)=1,1,0),0)</f>
        <v>0</v>
      </c>
    </row>
    <row r="2026" spans="1:22" x14ac:dyDescent="0.35">
      <c r="A2026">
        <v>12025</v>
      </c>
      <c r="B2026" s="1">
        <v>46586</v>
      </c>
      <c r="C2026">
        <v>1363</v>
      </c>
      <c r="D2026" t="s">
        <v>73</v>
      </c>
      <c r="E2026" t="s">
        <v>70</v>
      </c>
      <c r="F2026">
        <v>7</v>
      </c>
      <c r="G2026" s="2">
        <v>132.63</v>
      </c>
      <c r="H2026">
        <v>0.2</v>
      </c>
      <c r="I2026" t="s">
        <v>68</v>
      </c>
      <c r="J2026">
        <v>3</v>
      </c>
      <c r="K2026">
        <v>2.2000000000000002</v>
      </c>
      <c r="L2026" s="2">
        <v>742.73</v>
      </c>
      <c r="M2026">
        <v>2027</v>
      </c>
      <c r="N2026">
        <v>7</v>
      </c>
      <c r="O2026" t="s">
        <v>146</v>
      </c>
      <c r="P2026" s="2">
        <v>928.41</v>
      </c>
      <c r="Q2026" s="2">
        <v>185.68</v>
      </c>
      <c r="R2026" t="s">
        <v>76</v>
      </c>
      <c r="S2026">
        <v>1</v>
      </c>
      <c r="T2026">
        <v>0</v>
      </c>
      <c r="U2026">
        <f>IF(AND(OR(Dashboard!$D$4="Semua",D2026=Dashboard!$D$4),OR(Dashboard!$H$4="Semua",E2026=Dashboard!$H$4)),1,0)</f>
        <v>1</v>
      </c>
      <c r="V2026">
        <f>IF(U2026=1,IF(COUNTIFS($C$2:C2026,C2026,$U$2:U2026,1)=1,1,0),0)</f>
        <v>0</v>
      </c>
    </row>
    <row r="2027" spans="1:22" x14ac:dyDescent="0.35">
      <c r="A2027">
        <v>12026</v>
      </c>
      <c r="B2027" s="1">
        <v>46587</v>
      </c>
      <c r="C2027">
        <v>1038</v>
      </c>
      <c r="D2027" t="s">
        <v>67</v>
      </c>
      <c r="E2027" t="s">
        <v>70</v>
      </c>
      <c r="F2027">
        <v>7</v>
      </c>
      <c r="G2027" s="2">
        <v>87.79</v>
      </c>
      <c r="H2027">
        <v>0.34</v>
      </c>
      <c r="I2027" t="s">
        <v>71</v>
      </c>
      <c r="J2027">
        <v>4</v>
      </c>
      <c r="K2027">
        <v>3.2</v>
      </c>
      <c r="L2027" s="2">
        <v>405.59</v>
      </c>
      <c r="M2027">
        <v>2027</v>
      </c>
      <c r="N2027">
        <v>7</v>
      </c>
      <c r="O2027" t="s">
        <v>146</v>
      </c>
      <c r="P2027" s="2">
        <v>614.53</v>
      </c>
      <c r="Q2027" s="2">
        <v>208.94</v>
      </c>
      <c r="R2027" t="s">
        <v>72</v>
      </c>
      <c r="S2027">
        <v>1</v>
      </c>
      <c r="T2027">
        <v>0</v>
      </c>
      <c r="U2027">
        <f>IF(AND(OR(Dashboard!$D$4="Semua",D2027=Dashboard!$D$4),OR(Dashboard!$H$4="Semua",E2027=Dashboard!$H$4)),1,0)</f>
        <v>1</v>
      </c>
      <c r="V2027">
        <f>IF(U2027=1,IF(COUNTIFS($C$2:C2027,C2027,$U$2:U2027,1)=1,1,0),0)</f>
        <v>0</v>
      </c>
    </row>
    <row r="2028" spans="1:22" x14ac:dyDescent="0.35">
      <c r="A2028">
        <v>12027</v>
      </c>
      <c r="B2028" s="1">
        <v>46588</v>
      </c>
      <c r="C2028">
        <v>1526</v>
      </c>
      <c r="D2028" t="s">
        <v>67</v>
      </c>
      <c r="E2028" t="s">
        <v>78</v>
      </c>
      <c r="F2028">
        <v>2</v>
      </c>
      <c r="G2028" s="2">
        <v>216.85</v>
      </c>
      <c r="H2028">
        <v>0.28999999999999998</v>
      </c>
      <c r="I2028" t="s">
        <v>64</v>
      </c>
      <c r="J2028">
        <v>11</v>
      </c>
      <c r="K2028">
        <v>1.9</v>
      </c>
      <c r="L2028" s="2">
        <v>307.93</v>
      </c>
      <c r="M2028">
        <v>2027</v>
      </c>
      <c r="N2028">
        <v>7</v>
      </c>
      <c r="O2028" t="s">
        <v>146</v>
      </c>
      <c r="P2028" s="2">
        <v>433.7</v>
      </c>
      <c r="Q2028" s="2">
        <v>125.77</v>
      </c>
      <c r="R2028" t="s">
        <v>66</v>
      </c>
      <c r="S2028">
        <v>1</v>
      </c>
      <c r="T2028">
        <v>0</v>
      </c>
      <c r="U2028">
        <f>IF(AND(OR(Dashboard!$D$4="Semua",D2028=Dashboard!$D$4),OR(Dashboard!$H$4="Semua",E2028=Dashboard!$H$4)),1,0)</f>
        <v>1</v>
      </c>
      <c r="V2028">
        <f>IF(U2028=1,IF(COUNTIFS($C$2:C2028,C2028,$U$2:U2028,1)=1,1,0),0)</f>
        <v>1</v>
      </c>
    </row>
    <row r="2029" spans="1:22" x14ac:dyDescent="0.35">
      <c r="A2029">
        <v>12028</v>
      </c>
      <c r="B2029" s="1">
        <v>46589</v>
      </c>
      <c r="C2029">
        <v>1887</v>
      </c>
      <c r="D2029" t="s">
        <v>80</v>
      </c>
      <c r="E2029" t="s">
        <v>74</v>
      </c>
      <c r="F2029">
        <v>3</v>
      </c>
      <c r="G2029" s="2">
        <v>95.47</v>
      </c>
      <c r="H2029">
        <v>0.15</v>
      </c>
      <c r="I2029" t="s">
        <v>68</v>
      </c>
      <c r="J2029">
        <v>10</v>
      </c>
      <c r="K2029">
        <v>1.4</v>
      </c>
      <c r="L2029" s="2">
        <v>243.45</v>
      </c>
      <c r="M2029">
        <v>2027</v>
      </c>
      <c r="N2029">
        <v>7</v>
      </c>
      <c r="O2029" t="s">
        <v>146</v>
      </c>
      <c r="P2029" s="2">
        <v>286.41000000000003</v>
      </c>
      <c r="Q2029" s="2">
        <v>42.96</v>
      </c>
      <c r="R2029" t="s">
        <v>79</v>
      </c>
      <c r="S2029">
        <v>1</v>
      </c>
      <c r="T2029">
        <v>0</v>
      </c>
      <c r="U2029">
        <f>IF(AND(OR(Dashboard!$D$4="Semua",D2029=Dashboard!$D$4),OR(Dashboard!$H$4="Semua",E2029=Dashboard!$H$4)),1,0)</f>
        <v>1</v>
      </c>
      <c r="V2029">
        <f>IF(U2029=1,IF(COUNTIFS($C$2:C2029,C2029,$U$2:U2029,1)=1,1,0),0)</f>
        <v>0</v>
      </c>
    </row>
    <row r="2030" spans="1:22" x14ac:dyDescent="0.35">
      <c r="A2030">
        <v>12029</v>
      </c>
      <c r="B2030" s="1">
        <v>46590</v>
      </c>
      <c r="C2030">
        <v>1496</v>
      </c>
      <c r="D2030" t="s">
        <v>73</v>
      </c>
      <c r="E2030" t="s">
        <v>74</v>
      </c>
      <c r="F2030">
        <v>1</v>
      </c>
      <c r="G2030" s="2">
        <v>598.99</v>
      </c>
      <c r="H2030">
        <v>0.19</v>
      </c>
      <c r="I2030" t="s">
        <v>64</v>
      </c>
      <c r="J2030">
        <v>8</v>
      </c>
      <c r="K2030">
        <v>1.5</v>
      </c>
      <c r="L2030" s="2">
        <v>485.18</v>
      </c>
      <c r="M2030">
        <v>2027</v>
      </c>
      <c r="N2030">
        <v>7</v>
      </c>
      <c r="O2030" t="s">
        <v>146</v>
      </c>
      <c r="P2030" s="2">
        <v>598.99</v>
      </c>
      <c r="Q2030" s="2">
        <v>113.81</v>
      </c>
      <c r="R2030" t="s">
        <v>76</v>
      </c>
      <c r="S2030">
        <v>1</v>
      </c>
      <c r="T2030">
        <v>0</v>
      </c>
      <c r="U2030">
        <f>IF(AND(OR(Dashboard!$D$4="Semua",D2030=Dashboard!$D$4),OR(Dashboard!$H$4="Semua",E2030=Dashboard!$H$4)),1,0)</f>
        <v>1</v>
      </c>
      <c r="V2030">
        <f>IF(U2030=1,IF(COUNTIFS($C$2:C2030,C2030,$U$2:U2030,1)=1,1,0),0)</f>
        <v>0</v>
      </c>
    </row>
    <row r="2031" spans="1:22" x14ac:dyDescent="0.35">
      <c r="A2031">
        <v>12030</v>
      </c>
      <c r="B2031" s="1">
        <v>46591</v>
      </c>
      <c r="C2031">
        <v>1515</v>
      </c>
      <c r="D2031" t="s">
        <v>67</v>
      </c>
      <c r="E2031" t="s">
        <v>70</v>
      </c>
      <c r="F2031">
        <v>1</v>
      </c>
      <c r="G2031" s="2">
        <v>43.78</v>
      </c>
      <c r="H2031">
        <v>0.1</v>
      </c>
      <c r="I2031" t="s">
        <v>68</v>
      </c>
      <c r="J2031">
        <v>1</v>
      </c>
      <c r="K2031">
        <v>3.4</v>
      </c>
      <c r="L2031" s="2">
        <v>39.4</v>
      </c>
      <c r="M2031">
        <v>2027</v>
      </c>
      <c r="N2031">
        <v>7</v>
      </c>
      <c r="O2031" t="s">
        <v>146</v>
      </c>
      <c r="P2031" s="2">
        <v>43.78</v>
      </c>
      <c r="Q2031" s="2">
        <v>4.38</v>
      </c>
      <c r="R2031" t="s">
        <v>69</v>
      </c>
      <c r="S2031">
        <v>1</v>
      </c>
      <c r="T2031">
        <v>0</v>
      </c>
      <c r="U2031">
        <f>IF(AND(OR(Dashboard!$D$4="Semua",D2031=Dashboard!$D$4),OR(Dashboard!$H$4="Semua",E2031=Dashboard!$H$4)),1,0)</f>
        <v>1</v>
      </c>
      <c r="V2031">
        <f>IF(U2031=1,IF(COUNTIFS($C$2:C2031,C2031,$U$2:U2031,1)=1,1,0),0)</f>
        <v>0</v>
      </c>
    </row>
    <row r="2032" spans="1:22" x14ac:dyDescent="0.35">
      <c r="A2032">
        <v>12031</v>
      </c>
      <c r="B2032" s="1">
        <v>46592</v>
      </c>
      <c r="C2032">
        <v>1348</v>
      </c>
      <c r="D2032" t="s">
        <v>73</v>
      </c>
      <c r="E2032" t="s">
        <v>78</v>
      </c>
      <c r="F2032">
        <v>7</v>
      </c>
      <c r="G2032" s="2">
        <v>273.07</v>
      </c>
      <c r="H2032">
        <v>0.06</v>
      </c>
      <c r="I2032" t="s">
        <v>64</v>
      </c>
      <c r="J2032">
        <v>9</v>
      </c>
      <c r="K2032">
        <v>1.2</v>
      </c>
      <c r="L2032" s="2">
        <v>1796.8</v>
      </c>
      <c r="M2032">
        <v>2027</v>
      </c>
      <c r="N2032">
        <v>7</v>
      </c>
      <c r="O2032" t="s">
        <v>146</v>
      </c>
      <c r="P2032" s="2">
        <v>1911.49</v>
      </c>
      <c r="Q2032" s="2">
        <v>114.69</v>
      </c>
      <c r="R2032" t="s">
        <v>69</v>
      </c>
      <c r="S2032">
        <v>1</v>
      </c>
      <c r="T2032">
        <v>0</v>
      </c>
      <c r="U2032">
        <f>IF(AND(OR(Dashboard!$D$4="Semua",D2032=Dashboard!$D$4),OR(Dashboard!$H$4="Semua",E2032=Dashboard!$H$4)),1,0)</f>
        <v>1</v>
      </c>
      <c r="V2032">
        <f>IF(U2032=1,IF(COUNTIFS($C$2:C2032,C2032,$U$2:U2032,1)=1,1,0),0)</f>
        <v>0</v>
      </c>
    </row>
    <row r="2033" spans="1:22" x14ac:dyDescent="0.35">
      <c r="A2033">
        <v>12032</v>
      </c>
      <c r="B2033" s="1">
        <v>46593</v>
      </c>
      <c r="C2033">
        <v>1981</v>
      </c>
      <c r="D2033" t="s">
        <v>73</v>
      </c>
      <c r="E2033" t="s">
        <v>78</v>
      </c>
      <c r="F2033">
        <v>5</v>
      </c>
      <c r="G2033" s="2">
        <v>279.47000000000003</v>
      </c>
      <c r="H2033">
        <v>0.17</v>
      </c>
      <c r="I2033" t="s">
        <v>68</v>
      </c>
      <c r="J2033">
        <v>6</v>
      </c>
      <c r="K2033">
        <v>4.9000000000000004</v>
      </c>
      <c r="L2033" s="2">
        <v>1159.8</v>
      </c>
      <c r="M2033">
        <v>2027</v>
      </c>
      <c r="N2033">
        <v>7</v>
      </c>
      <c r="O2033" t="s">
        <v>146</v>
      </c>
      <c r="P2033" s="2">
        <v>1397.35</v>
      </c>
      <c r="Q2033" s="2">
        <v>237.55</v>
      </c>
      <c r="R2033" t="s">
        <v>76</v>
      </c>
      <c r="S2033">
        <v>1</v>
      </c>
      <c r="T2033">
        <v>0</v>
      </c>
      <c r="U2033">
        <f>IF(AND(OR(Dashboard!$D$4="Semua",D2033=Dashboard!$D$4),OR(Dashboard!$H$4="Semua",E2033=Dashboard!$H$4)),1,0)</f>
        <v>1</v>
      </c>
      <c r="V2033">
        <f>IF(U2033=1,IF(COUNTIFS($C$2:C2033,C2033,$U$2:U2033,1)=1,1,0),0)</f>
        <v>0</v>
      </c>
    </row>
    <row r="2034" spans="1:22" x14ac:dyDescent="0.35">
      <c r="A2034">
        <v>12033</v>
      </c>
      <c r="B2034" s="1">
        <v>46594</v>
      </c>
      <c r="C2034">
        <v>1920</v>
      </c>
      <c r="D2034" t="s">
        <v>80</v>
      </c>
      <c r="E2034" t="s">
        <v>70</v>
      </c>
      <c r="F2034">
        <v>3</v>
      </c>
      <c r="G2034" s="2">
        <v>190.87</v>
      </c>
      <c r="H2034">
        <v>0.16</v>
      </c>
      <c r="I2034" t="s">
        <v>64</v>
      </c>
      <c r="J2034">
        <v>2</v>
      </c>
      <c r="K2034">
        <v>5</v>
      </c>
      <c r="L2034" s="2">
        <v>480.99</v>
      </c>
      <c r="M2034">
        <v>2027</v>
      </c>
      <c r="N2034">
        <v>7</v>
      </c>
      <c r="O2034" t="s">
        <v>146</v>
      </c>
      <c r="P2034" s="2">
        <v>572.61</v>
      </c>
      <c r="Q2034" s="2">
        <v>91.62</v>
      </c>
      <c r="R2034" t="s">
        <v>76</v>
      </c>
      <c r="S2034">
        <v>1</v>
      </c>
      <c r="T2034">
        <v>0</v>
      </c>
      <c r="U2034">
        <f>IF(AND(OR(Dashboard!$D$4="Semua",D2034=Dashboard!$D$4),OR(Dashboard!$H$4="Semua",E2034=Dashboard!$H$4)),1,0)</f>
        <v>1</v>
      </c>
      <c r="V2034">
        <f>IF(U2034=1,IF(COUNTIFS($C$2:C2034,C2034,$U$2:U2034,1)=1,1,0),0)</f>
        <v>0</v>
      </c>
    </row>
    <row r="2035" spans="1:22" x14ac:dyDescent="0.35">
      <c r="A2035">
        <v>12034</v>
      </c>
      <c r="B2035" s="1">
        <v>46595</v>
      </c>
      <c r="C2035">
        <v>1396</v>
      </c>
      <c r="D2035" t="s">
        <v>62</v>
      </c>
      <c r="E2035" t="s">
        <v>70</v>
      </c>
      <c r="F2035">
        <v>5</v>
      </c>
      <c r="G2035" s="2">
        <v>349.24</v>
      </c>
      <c r="H2035">
        <v>0.18</v>
      </c>
      <c r="I2035" t="s">
        <v>68</v>
      </c>
      <c r="J2035">
        <v>3</v>
      </c>
      <c r="K2035">
        <v>1.6</v>
      </c>
      <c r="L2035" s="2">
        <v>1431.88</v>
      </c>
      <c r="M2035">
        <v>2027</v>
      </c>
      <c r="N2035">
        <v>7</v>
      </c>
      <c r="O2035" t="s">
        <v>146</v>
      </c>
      <c r="P2035" s="2">
        <v>1746.2</v>
      </c>
      <c r="Q2035" s="2">
        <v>314.32</v>
      </c>
      <c r="R2035" t="s">
        <v>76</v>
      </c>
      <c r="S2035">
        <v>1</v>
      </c>
      <c r="T2035">
        <v>0</v>
      </c>
      <c r="U2035">
        <f>IF(AND(OR(Dashboard!$D$4="Semua",D2035=Dashboard!$D$4),OR(Dashboard!$H$4="Semua",E2035=Dashboard!$H$4)),1,0)</f>
        <v>1</v>
      </c>
      <c r="V2035">
        <f>IF(U2035=1,IF(COUNTIFS($C$2:C2035,C2035,$U$2:U2035,1)=1,1,0),0)</f>
        <v>0</v>
      </c>
    </row>
    <row r="2036" spans="1:22" x14ac:dyDescent="0.35">
      <c r="A2036">
        <v>12035</v>
      </c>
      <c r="B2036" s="1">
        <v>46596</v>
      </c>
      <c r="C2036">
        <v>1721</v>
      </c>
      <c r="D2036" t="s">
        <v>67</v>
      </c>
      <c r="E2036" t="s">
        <v>70</v>
      </c>
      <c r="F2036">
        <v>3</v>
      </c>
      <c r="G2036" s="2">
        <v>102.74</v>
      </c>
      <c r="H2036">
        <v>0.33</v>
      </c>
      <c r="I2036" t="s">
        <v>64</v>
      </c>
      <c r="J2036">
        <v>5</v>
      </c>
      <c r="K2036">
        <v>2.7</v>
      </c>
      <c r="L2036" s="2">
        <v>206.51</v>
      </c>
      <c r="M2036">
        <v>2027</v>
      </c>
      <c r="N2036">
        <v>7</v>
      </c>
      <c r="O2036" t="s">
        <v>146</v>
      </c>
      <c r="P2036" s="2">
        <v>308.22000000000003</v>
      </c>
      <c r="Q2036" s="2">
        <v>101.71</v>
      </c>
      <c r="R2036" t="s">
        <v>72</v>
      </c>
      <c r="S2036">
        <v>1</v>
      </c>
      <c r="T2036">
        <v>0</v>
      </c>
      <c r="U2036">
        <f>IF(AND(OR(Dashboard!$D$4="Semua",D2036=Dashboard!$D$4),OR(Dashboard!$H$4="Semua",E2036=Dashboard!$H$4)),1,0)</f>
        <v>1</v>
      </c>
      <c r="V2036">
        <f>IF(U2036=1,IF(COUNTIFS($C$2:C2036,C2036,$U$2:U2036,1)=1,1,0),0)</f>
        <v>1</v>
      </c>
    </row>
    <row r="2037" spans="1:22" x14ac:dyDescent="0.35">
      <c r="A2037">
        <v>12036</v>
      </c>
      <c r="B2037" s="1">
        <v>46597</v>
      </c>
      <c r="C2037">
        <v>1160</v>
      </c>
      <c r="D2037" t="s">
        <v>80</v>
      </c>
      <c r="E2037" t="s">
        <v>63</v>
      </c>
      <c r="F2037">
        <v>3</v>
      </c>
      <c r="G2037" s="2">
        <v>473.59</v>
      </c>
      <c r="H2037">
        <v>0.21</v>
      </c>
      <c r="I2037" t="s">
        <v>68</v>
      </c>
      <c r="J2037">
        <v>11</v>
      </c>
      <c r="K2037">
        <v>4.0999999999999996</v>
      </c>
      <c r="L2037" s="2">
        <v>1122.4100000000001</v>
      </c>
      <c r="M2037">
        <v>2027</v>
      </c>
      <c r="N2037">
        <v>7</v>
      </c>
      <c r="O2037" t="s">
        <v>146</v>
      </c>
      <c r="P2037" s="2">
        <v>1420.77</v>
      </c>
      <c r="Q2037" s="2">
        <v>298.36</v>
      </c>
      <c r="R2037" t="s">
        <v>77</v>
      </c>
      <c r="S2037">
        <v>1</v>
      </c>
      <c r="T2037">
        <v>0</v>
      </c>
      <c r="U2037">
        <f>IF(AND(OR(Dashboard!$D$4="Semua",D2037=Dashboard!$D$4),OR(Dashboard!$H$4="Semua",E2037=Dashboard!$H$4)),1,0)</f>
        <v>1</v>
      </c>
      <c r="V2037">
        <f>IF(U2037=1,IF(COUNTIFS($C$2:C2037,C2037,$U$2:U2037,1)=1,1,0),0)</f>
        <v>0</v>
      </c>
    </row>
    <row r="2038" spans="1:22" x14ac:dyDescent="0.35">
      <c r="A2038">
        <v>12037</v>
      </c>
      <c r="B2038" s="1">
        <v>46598</v>
      </c>
      <c r="C2038">
        <v>1015</v>
      </c>
      <c r="D2038" t="s">
        <v>62</v>
      </c>
      <c r="E2038" t="s">
        <v>78</v>
      </c>
      <c r="F2038">
        <v>7</v>
      </c>
      <c r="G2038" s="2">
        <v>209.48</v>
      </c>
      <c r="H2038">
        <v>0.21</v>
      </c>
      <c r="I2038" t="s">
        <v>68</v>
      </c>
      <c r="J2038">
        <v>6</v>
      </c>
      <c r="K2038">
        <v>4.8</v>
      </c>
      <c r="L2038" s="2">
        <v>1158.42</v>
      </c>
      <c r="M2038">
        <v>2027</v>
      </c>
      <c r="N2038">
        <v>7</v>
      </c>
      <c r="O2038" t="s">
        <v>146</v>
      </c>
      <c r="P2038" s="2">
        <v>1466.36</v>
      </c>
      <c r="Q2038" s="2">
        <v>307.94</v>
      </c>
      <c r="R2038" t="s">
        <v>77</v>
      </c>
      <c r="S2038">
        <v>1</v>
      </c>
      <c r="T2038">
        <v>0</v>
      </c>
      <c r="U2038">
        <f>IF(AND(OR(Dashboard!$D$4="Semua",D2038=Dashboard!$D$4),OR(Dashboard!$H$4="Semua",E2038=Dashboard!$H$4)),1,0)</f>
        <v>1</v>
      </c>
      <c r="V2038">
        <f>IF(U2038=1,IF(COUNTIFS($C$2:C2038,C2038,$U$2:U2038,1)=1,1,0),0)</f>
        <v>0</v>
      </c>
    </row>
    <row r="2039" spans="1:22" x14ac:dyDescent="0.35">
      <c r="A2039">
        <v>12038</v>
      </c>
      <c r="B2039" s="1">
        <v>46599</v>
      </c>
      <c r="C2039">
        <v>1492</v>
      </c>
      <c r="D2039" t="s">
        <v>80</v>
      </c>
      <c r="E2039" t="s">
        <v>78</v>
      </c>
      <c r="F2039">
        <v>5</v>
      </c>
      <c r="G2039" s="2">
        <v>360.94</v>
      </c>
      <c r="H2039">
        <v>0.04</v>
      </c>
      <c r="I2039" t="s">
        <v>71</v>
      </c>
      <c r="J2039">
        <v>9</v>
      </c>
      <c r="K2039">
        <v>4.5999999999999996</v>
      </c>
      <c r="L2039" s="2">
        <v>1732.51</v>
      </c>
      <c r="M2039">
        <v>2027</v>
      </c>
      <c r="N2039">
        <v>7</v>
      </c>
      <c r="O2039" t="s">
        <v>146</v>
      </c>
      <c r="P2039" s="2">
        <v>1804.7</v>
      </c>
      <c r="Q2039" s="2">
        <v>72.19</v>
      </c>
      <c r="R2039" t="s">
        <v>75</v>
      </c>
      <c r="S2039">
        <v>1</v>
      </c>
      <c r="T2039">
        <v>0</v>
      </c>
      <c r="U2039">
        <f>IF(AND(OR(Dashboard!$D$4="Semua",D2039=Dashboard!$D$4),OR(Dashboard!$H$4="Semua",E2039=Dashboard!$H$4)),1,0)</f>
        <v>1</v>
      </c>
      <c r="V2039">
        <f>IF(U2039=1,IF(COUNTIFS($C$2:C2039,C2039,$U$2:U2039,1)=1,1,0),0)</f>
        <v>0</v>
      </c>
    </row>
    <row r="2040" spans="1:22" x14ac:dyDescent="0.35">
      <c r="A2040">
        <v>12039</v>
      </c>
      <c r="B2040" s="1">
        <v>46600</v>
      </c>
      <c r="C2040">
        <v>1425</v>
      </c>
      <c r="D2040" t="s">
        <v>73</v>
      </c>
      <c r="E2040" t="s">
        <v>78</v>
      </c>
      <c r="F2040">
        <v>7</v>
      </c>
      <c r="G2040" s="2">
        <v>433.65</v>
      </c>
      <c r="H2040">
        <v>0.35</v>
      </c>
      <c r="I2040" t="s">
        <v>68</v>
      </c>
      <c r="J2040">
        <v>2</v>
      </c>
      <c r="K2040">
        <v>2</v>
      </c>
      <c r="L2040" s="2">
        <v>1973.11</v>
      </c>
      <c r="M2040">
        <v>2027</v>
      </c>
      <c r="N2040">
        <v>8</v>
      </c>
      <c r="O2040" t="s">
        <v>147</v>
      </c>
      <c r="P2040" s="2">
        <v>3035.55</v>
      </c>
      <c r="Q2040" s="2">
        <v>1062.44</v>
      </c>
      <c r="R2040" t="s">
        <v>72</v>
      </c>
      <c r="S2040">
        <v>1</v>
      </c>
      <c r="T2040">
        <v>0</v>
      </c>
      <c r="U2040">
        <f>IF(AND(OR(Dashboard!$D$4="Semua",D2040=Dashboard!$D$4),OR(Dashboard!$H$4="Semua",E2040=Dashboard!$H$4)),1,0)</f>
        <v>1</v>
      </c>
      <c r="V2040">
        <f>IF(U2040=1,IF(COUNTIFS($C$2:C2040,C2040,$U$2:U2040,1)=1,1,0),0)</f>
        <v>1</v>
      </c>
    </row>
    <row r="2041" spans="1:22" x14ac:dyDescent="0.35">
      <c r="A2041">
        <v>12040</v>
      </c>
      <c r="B2041" s="1">
        <v>46601</v>
      </c>
      <c r="C2041">
        <v>1107</v>
      </c>
      <c r="D2041" t="s">
        <v>62</v>
      </c>
      <c r="E2041" t="s">
        <v>70</v>
      </c>
      <c r="F2041">
        <v>3</v>
      </c>
      <c r="G2041" s="2">
        <v>535.09</v>
      </c>
      <c r="H2041">
        <v>0.27</v>
      </c>
      <c r="I2041" t="s">
        <v>71</v>
      </c>
      <c r="J2041">
        <v>5</v>
      </c>
      <c r="K2041">
        <v>1.3</v>
      </c>
      <c r="L2041" s="2">
        <v>1171.8499999999999</v>
      </c>
      <c r="M2041">
        <v>2027</v>
      </c>
      <c r="N2041">
        <v>8</v>
      </c>
      <c r="O2041" t="s">
        <v>147</v>
      </c>
      <c r="P2041" s="2">
        <v>1605.27</v>
      </c>
      <c r="Q2041" s="2">
        <v>433.42</v>
      </c>
      <c r="R2041" t="s">
        <v>66</v>
      </c>
      <c r="S2041">
        <v>1</v>
      </c>
      <c r="T2041">
        <v>0</v>
      </c>
      <c r="U2041">
        <f>IF(AND(OR(Dashboard!$D$4="Semua",D2041=Dashboard!$D$4),OR(Dashboard!$H$4="Semua",E2041=Dashboard!$H$4)),1,0)</f>
        <v>1</v>
      </c>
      <c r="V2041">
        <f>IF(U2041=1,IF(COUNTIFS($C$2:C2041,C2041,$U$2:U2041,1)=1,1,0),0)</f>
        <v>0</v>
      </c>
    </row>
    <row r="2042" spans="1:22" x14ac:dyDescent="0.35">
      <c r="A2042">
        <v>12041</v>
      </c>
      <c r="B2042" s="1">
        <v>46602</v>
      </c>
      <c r="C2042">
        <v>1893</v>
      </c>
      <c r="D2042" t="s">
        <v>67</v>
      </c>
      <c r="E2042" t="s">
        <v>70</v>
      </c>
      <c r="F2042">
        <v>6</v>
      </c>
      <c r="G2042" s="2">
        <v>503.94</v>
      </c>
      <c r="H2042">
        <v>0.31</v>
      </c>
      <c r="I2042" t="s">
        <v>64</v>
      </c>
      <c r="J2042">
        <v>7</v>
      </c>
      <c r="K2042">
        <v>2.2000000000000002</v>
      </c>
      <c r="L2042" s="2">
        <v>2086.31</v>
      </c>
      <c r="M2042">
        <v>2027</v>
      </c>
      <c r="N2042">
        <v>8</v>
      </c>
      <c r="O2042" t="s">
        <v>147</v>
      </c>
      <c r="P2042" s="2">
        <v>3023.64</v>
      </c>
      <c r="Q2042" s="2">
        <v>937.33</v>
      </c>
      <c r="R2042" t="s">
        <v>72</v>
      </c>
      <c r="S2042">
        <v>1</v>
      </c>
      <c r="T2042">
        <v>0</v>
      </c>
      <c r="U2042">
        <f>IF(AND(OR(Dashboard!$D$4="Semua",D2042=Dashboard!$D$4),OR(Dashboard!$H$4="Semua",E2042=Dashboard!$H$4)),1,0)</f>
        <v>1</v>
      </c>
      <c r="V2042">
        <f>IF(U2042=1,IF(COUNTIFS($C$2:C2042,C2042,$U$2:U2042,1)=1,1,0),0)</f>
        <v>0</v>
      </c>
    </row>
    <row r="2043" spans="1:22" x14ac:dyDescent="0.35">
      <c r="A2043">
        <v>12042</v>
      </c>
      <c r="B2043" s="1">
        <v>46603</v>
      </c>
      <c r="C2043">
        <v>1449</v>
      </c>
      <c r="D2043" t="s">
        <v>73</v>
      </c>
      <c r="E2043" t="s">
        <v>70</v>
      </c>
      <c r="F2043">
        <v>2</v>
      </c>
      <c r="G2043" s="2">
        <v>370.86</v>
      </c>
      <c r="H2043">
        <v>0.15</v>
      </c>
      <c r="I2043" t="s">
        <v>71</v>
      </c>
      <c r="J2043">
        <v>11</v>
      </c>
      <c r="K2043">
        <v>2.7</v>
      </c>
      <c r="L2043" s="2">
        <v>630.46</v>
      </c>
      <c r="M2043">
        <v>2027</v>
      </c>
      <c r="N2043">
        <v>8</v>
      </c>
      <c r="O2043" t="s">
        <v>147</v>
      </c>
      <c r="P2043" s="2">
        <v>741.72</v>
      </c>
      <c r="Q2043" s="2">
        <v>111.26</v>
      </c>
      <c r="R2043" t="s">
        <v>79</v>
      </c>
      <c r="S2043">
        <v>1</v>
      </c>
      <c r="T2043">
        <v>0</v>
      </c>
      <c r="U2043">
        <f>IF(AND(OR(Dashboard!$D$4="Semua",D2043=Dashboard!$D$4),OR(Dashboard!$H$4="Semua",E2043=Dashboard!$H$4)),1,0)</f>
        <v>1</v>
      </c>
      <c r="V2043">
        <f>IF(U2043=1,IF(COUNTIFS($C$2:C2043,C2043,$U$2:U2043,1)=1,1,0),0)</f>
        <v>0</v>
      </c>
    </row>
    <row r="2044" spans="1:22" x14ac:dyDescent="0.35">
      <c r="A2044">
        <v>12043</v>
      </c>
      <c r="B2044" s="1">
        <v>46604</v>
      </c>
      <c r="C2044">
        <v>1310</v>
      </c>
      <c r="D2044" t="s">
        <v>73</v>
      </c>
      <c r="E2044" t="s">
        <v>70</v>
      </c>
      <c r="F2044">
        <v>3</v>
      </c>
      <c r="G2044" s="2">
        <v>242.21</v>
      </c>
      <c r="H2044">
        <v>0.18</v>
      </c>
      <c r="I2044" t="s">
        <v>71</v>
      </c>
      <c r="J2044">
        <v>11</v>
      </c>
      <c r="K2044">
        <v>2.4</v>
      </c>
      <c r="L2044" s="2">
        <v>595.84</v>
      </c>
      <c r="M2044">
        <v>2027</v>
      </c>
      <c r="N2044">
        <v>8</v>
      </c>
      <c r="O2044" t="s">
        <v>147</v>
      </c>
      <c r="P2044" s="2">
        <v>726.63</v>
      </c>
      <c r="Q2044" s="2">
        <v>130.79</v>
      </c>
      <c r="R2044" t="s">
        <v>76</v>
      </c>
      <c r="S2044">
        <v>1</v>
      </c>
      <c r="T2044">
        <v>0</v>
      </c>
      <c r="U2044">
        <f>IF(AND(OR(Dashboard!$D$4="Semua",D2044=Dashboard!$D$4),OR(Dashboard!$H$4="Semua",E2044=Dashboard!$H$4)),1,0)</f>
        <v>1</v>
      </c>
      <c r="V2044">
        <f>IF(U2044=1,IF(COUNTIFS($C$2:C2044,C2044,$U$2:U2044,1)=1,1,0),0)</f>
        <v>1</v>
      </c>
    </row>
    <row r="2045" spans="1:22" x14ac:dyDescent="0.35">
      <c r="A2045">
        <v>12044</v>
      </c>
      <c r="B2045" s="1">
        <v>46605</v>
      </c>
      <c r="C2045">
        <v>1738</v>
      </c>
      <c r="D2045" t="s">
        <v>67</v>
      </c>
      <c r="E2045" t="s">
        <v>74</v>
      </c>
      <c r="F2045">
        <v>6</v>
      </c>
      <c r="G2045" s="2">
        <v>309.37</v>
      </c>
      <c r="H2045">
        <v>0.18</v>
      </c>
      <c r="I2045" t="s">
        <v>68</v>
      </c>
      <c r="J2045">
        <v>7</v>
      </c>
      <c r="K2045">
        <v>4.0999999999999996</v>
      </c>
      <c r="L2045" s="2">
        <v>1522.1</v>
      </c>
      <c r="M2045">
        <v>2027</v>
      </c>
      <c r="N2045">
        <v>8</v>
      </c>
      <c r="O2045" t="s">
        <v>147</v>
      </c>
      <c r="P2045" s="2">
        <v>1856.22</v>
      </c>
      <c r="Q2045" s="2">
        <v>334.12</v>
      </c>
      <c r="R2045" t="s">
        <v>76</v>
      </c>
      <c r="S2045">
        <v>1</v>
      </c>
      <c r="T2045">
        <v>0</v>
      </c>
      <c r="U2045">
        <f>IF(AND(OR(Dashboard!$D$4="Semua",D2045=Dashboard!$D$4),OR(Dashboard!$H$4="Semua",E2045=Dashboard!$H$4)),1,0)</f>
        <v>1</v>
      </c>
      <c r="V2045">
        <f>IF(U2045=1,IF(COUNTIFS($C$2:C2045,C2045,$U$2:U2045,1)=1,1,0),0)</f>
        <v>0</v>
      </c>
    </row>
    <row r="2046" spans="1:22" x14ac:dyDescent="0.35">
      <c r="A2046">
        <v>12045</v>
      </c>
      <c r="B2046" s="1">
        <v>46606</v>
      </c>
      <c r="C2046">
        <v>1169</v>
      </c>
      <c r="D2046" t="s">
        <v>73</v>
      </c>
      <c r="E2046" t="s">
        <v>70</v>
      </c>
      <c r="F2046">
        <v>3</v>
      </c>
      <c r="G2046" s="2">
        <v>464.71</v>
      </c>
      <c r="H2046">
        <v>7.0000000000000007E-2</v>
      </c>
      <c r="I2046" t="s">
        <v>71</v>
      </c>
      <c r="J2046">
        <v>4</v>
      </c>
      <c r="K2046">
        <v>2</v>
      </c>
      <c r="L2046" s="2">
        <v>1296.54</v>
      </c>
      <c r="M2046">
        <v>2027</v>
      </c>
      <c r="N2046">
        <v>8</v>
      </c>
      <c r="O2046" t="s">
        <v>147</v>
      </c>
      <c r="P2046" s="2">
        <v>1394.13</v>
      </c>
      <c r="Q2046" s="2">
        <v>97.59</v>
      </c>
      <c r="R2046" t="s">
        <v>69</v>
      </c>
      <c r="S2046">
        <v>1</v>
      </c>
      <c r="T2046">
        <v>0</v>
      </c>
      <c r="U2046">
        <f>IF(AND(OR(Dashboard!$D$4="Semua",D2046=Dashboard!$D$4),OR(Dashboard!$H$4="Semua",E2046=Dashboard!$H$4)),1,0)</f>
        <v>1</v>
      </c>
      <c r="V2046">
        <f>IF(U2046=1,IF(COUNTIFS($C$2:C2046,C2046,$U$2:U2046,1)=1,1,0),0)</f>
        <v>0</v>
      </c>
    </row>
    <row r="2047" spans="1:22" x14ac:dyDescent="0.35">
      <c r="A2047">
        <v>12046</v>
      </c>
      <c r="B2047" s="1">
        <v>46607</v>
      </c>
      <c r="C2047">
        <v>1545</v>
      </c>
      <c r="D2047" t="s">
        <v>73</v>
      </c>
      <c r="E2047" t="s">
        <v>63</v>
      </c>
      <c r="F2047">
        <v>6</v>
      </c>
      <c r="G2047" s="2">
        <v>528.36</v>
      </c>
      <c r="H2047">
        <v>0.24</v>
      </c>
      <c r="I2047" t="s">
        <v>71</v>
      </c>
      <c r="J2047">
        <v>3</v>
      </c>
      <c r="K2047">
        <v>4.4000000000000004</v>
      </c>
      <c r="L2047" s="2">
        <v>2409.3200000000002</v>
      </c>
      <c r="M2047">
        <v>2027</v>
      </c>
      <c r="N2047">
        <v>8</v>
      </c>
      <c r="O2047" t="s">
        <v>147</v>
      </c>
      <c r="P2047" s="2">
        <v>3170.16</v>
      </c>
      <c r="Q2047" s="2">
        <v>760.84</v>
      </c>
      <c r="R2047" t="s">
        <v>77</v>
      </c>
      <c r="S2047">
        <v>1</v>
      </c>
      <c r="T2047">
        <v>0</v>
      </c>
      <c r="U2047">
        <f>IF(AND(OR(Dashboard!$D$4="Semua",D2047=Dashboard!$D$4),OR(Dashboard!$H$4="Semua",E2047=Dashboard!$H$4)),1,0)</f>
        <v>1</v>
      </c>
      <c r="V2047">
        <f>IF(U2047=1,IF(COUNTIFS($C$2:C2047,C2047,$U$2:U2047,1)=1,1,0),0)</f>
        <v>0</v>
      </c>
    </row>
    <row r="2048" spans="1:22" x14ac:dyDescent="0.35">
      <c r="A2048">
        <v>12047</v>
      </c>
      <c r="B2048" s="1">
        <v>46608</v>
      </c>
      <c r="C2048">
        <v>1413</v>
      </c>
      <c r="D2048" t="s">
        <v>73</v>
      </c>
      <c r="E2048" t="s">
        <v>74</v>
      </c>
      <c r="F2048">
        <v>5</v>
      </c>
      <c r="G2048" s="2">
        <v>75.709999999999994</v>
      </c>
      <c r="H2048">
        <v>0.32</v>
      </c>
      <c r="I2048" t="s">
        <v>64</v>
      </c>
      <c r="J2048">
        <v>8</v>
      </c>
      <c r="K2048">
        <v>1.9</v>
      </c>
      <c r="L2048" s="2">
        <v>257.41000000000003</v>
      </c>
      <c r="M2048">
        <v>2027</v>
      </c>
      <c r="N2048">
        <v>8</v>
      </c>
      <c r="O2048" t="s">
        <v>147</v>
      </c>
      <c r="P2048" s="2">
        <v>378.55</v>
      </c>
      <c r="Q2048" s="2">
        <v>121.14</v>
      </c>
      <c r="R2048" t="s">
        <v>72</v>
      </c>
      <c r="S2048">
        <v>1</v>
      </c>
      <c r="T2048">
        <v>0</v>
      </c>
      <c r="U2048">
        <f>IF(AND(OR(Dashboard!$D$4="Semua",D2048=Dashboard!$D$4),OR(Dashboard!$H$4="Semua",E2048=Dashboard!$H$4)),1,0)</f>
        <v>1</v>
      </c>
      <c r="V2048">
        <f>IF(U2048=1,IF(COUNTIFS($C$2:C2048,C2048,$U$2:U2048,1)=1,1,0),0)</f>
        <v>0</v>
      </c>
    </row>
    <row r="2049" spans="1:22" x14ac:dyDescent="0.35">
      <c r="A2049">
        <v>12048</v>
      </c>
      <c r="B2049" s="1">
        <v>46609</v>
      </c>
      <c r="C2049">
        <v>1250</v>
      </c>
      <c r="D2049" t="s">
        <v>80</v>
      </c>
      <c r="E2049" t="s">
        <v>74</v>
      </c>
      <c r="F2049">
        <v>1</v>
      </c>
      <c r="G2049" s="2">
        <v>240.14</v>
      </c>
      <c r="H2049">
        <v>0.06</v>
      </c>
      <c r="I2049" t="s">
        <v>68</v>
      </c>
      <c r="J2049">
        <v>2</v>
      </c>
      <c r="K2049">
        <v>2.4</v>
      </c>
      <c r="L2049" s="2">
        <v>225.73</v>
      </c>
      <c r="M2049">
        <v>2027</v>
      </c>
      <c r="N2049">
        <v>8</v>
      </c>
      <c r="O2049" t="s">
        <v>147</v>
      </c>
      <c r="P2049" s="2">
        <v>240.14</v>
      </c>
      <c r="Q2049" s="2">
        <v>14.41</v>
      </c>
      <c r="R2049" t="s">
        <v>69</v>
      </c>
      <c r="S2049">
        <v>1</v>
      </c>
      <c r="T2049">
        <v>0</v>
      </c>
      <c r="U2049">
        <f>IF(AND(OR(Dashboard!$D$4="Semua",D2049=Dashboard!$D$4),OR(Dashboard!$H$4="Semua",E2049=Dashboard!$H$4)),1,0)</f>
        <v>1</v>
      </c>
      <c r="V2049">
        <f>IF(U2049=1,IF(COUNTIFS($C$2:C2049,C2049,$U$2:U2049,1)=1,1,0),0)</f>
        <v>0</v>
      </c>
    </row>
    <row r="2050" spans="1:22" x14ac:dyDescent="0.35">
      <c r="A2050">
        <v>12049</v>
      </c>
      <c r="B2050" s="1">
        <v>46610</v>
      </c>
      <c r="C2050">
        <v>1758</v>
      </c>
      <c r="D2050" t="s">
        <v>62</v>
      </c>
      <c r="E2050" t="s">
        <v>70</v>
      </c>
      <c r="F2050">
        <v>4</v>
      </c>
      <c r="G2050" s="2">
        <v>469.03</v>
      </c>
      <c r="H2050">
        <v>0.03</v>
      </c>
      <c r="I2050" t="s">
        <v>71</v>
      </c>
      <c r="J2050">
        <v>5</v>
      </c>
      <c r="K2050">
        <v>2.8</v>
      </c>
      <c r="L2050" s="2">
        <v>1819.84</v>
      </c>
      <c r="M2050">
        <v>2027</v>
      </c>
      <c r="N2050">
        <v>8</v>
      </c>
      <c r="O2050" t="s">
        <v>147</v>
      </c>
      <c r="P2050" s="2">
        <v>1876.12</v>
      </c>
      <c r="Q2050" s="2">
        <v>56.28</v>
      </c>
      <c r="R2050" t="s">
        <v>75</v>
      </c>
      <c r="S2050">
        <v>1</v>
      </c>
      <c r="T2050">
        <v>0</v>
      </c>
      <c r="U2050">
        <f>IF(AND(OR(Dashboard!$D$4="Semua",D2050=Dashboard!$D$4),OR(Dashboard!$H$4="Semua",E2050=Dashboard!$H$4)),1,0)</f>
        <v>1</v>
      </c>
      <c r="V2050">
        <f>IF(U2050=1,IF(COUNTIFS($C$2:C2050,C2050,$U$2:U2050,1)=1,1,0),0)</f>
        <v>0</v>
      </c>
    </row>
    <row r="2051" spans="1:22" x14ac:dyDescent="0.35">
      <c r="A2051">
        <v>12050</v>
      </c>
      <c r="B2051" s="1">
        <v>46611</v>
      </c>
      <c r="C2051">
        <v>1780</v>
      </c>
      <c r="D2051" t="s">
        <v>73</v>
      </c>
      <c r="E2051" t="s">
        <v>78</v>
      </c>
      <c r="F2051">
        <v>3</v>
      </c>
      <c r="G2051" s="2">
        <v>267.52</v>
      </c>
      <c r="H2051">
        <v>0.26</v>
      </c>
      <c r="I2051" t="s">
        <v>68</v>
      </c>
      <c r="J2051">
        <v>10</v>
      </c>
      <c r="K2051">
        <v>2.2000000000000002</v>
      </c>
      <c r="L2051" s="2">
        <v>593.89</v>
      </c>
      <c r="M2051">
        <v>2027</v>
      </c>
      <c r="N2051">
        <v>8</v>
      </c>
      <c r="O2051" t="s">
        <v>147</v>
      </c>
      <c r="P2051" s="2">
        <v>802.56</v>
      </c>
      <c r="Q2051" s="2">
        <v>208.67</v>
      </c>
      <c r="R2051" t="s">
        <v>66</v>
      </c>
      <c r="S2051">
        <v>1</v>
      </c>
      <c r="T2051">
        <v>0</v>
      </c>
      <c r="U2051">
        <f>IF(AND(OR(Dashboard!$D$4="Semua",D2051=Dashboard!$D$4),OR(Dashboard!$H$4="Semua",E2051=Dashboard!$H$4)),1,0)</f>
        <v>1</v>
      </c>
      <c r="V2051">
        <f>IF(U2051=1,IF(COUNTIFS($C$2:C2051,C2051,$U$2:U2051,1)=1,1,0),0)</f>
        <v>1</v>
      </c>
    </row>
    <row r="2052" spans="1:22" x14ac:dyDescent="0.35">
      <c r="A2052">
        <v>12051</v>
      </c>
      <c r="B2052" s="1">
        <v>46612</v>
      </c>
      <c r="C2052">
        <v>1140</v>
      </c>
      <c r="D2052" t="s">
        <v>62</v>
      </c>
      <c r="E2052" t="s">
        <v>70</v>
      </c>
      <c r="F2052">
        <v>4</v>
      </c>
      <c r="G2052" s="2">
        <v>209.35</v>
      </c>
      <c r="H2052">
        <v>0.1</v>
      </c>
      <c r="I2052" t="s">
        <v>68</v>
      </c>
      <c r="J2052">
        <v>5</v>
      </c>
      <c r="K2052">
        <v>4.0999999999999996</v>
      </c>
      <c r="L2052" s="2">
        <v>753.66</v>
      </c>
      <c r="M2052">
        <v>2027</v>
      </c>
      <c r="N2052">
        <v>8</v>
      </c>
      <c r="O2052" t="s">
        <v>147</v>
      </c>
      <c r="P2052" s="2">
        <v>837.4</v>
      </c>
      <c r="Q2052" s="2">
        <v>83.74</v>
      </c>
      <c r="R2052" t="s">
        <v>69</v>
      </c>
      <c r="S2052">
        <v>1</v>
      </c>
      <c r="T2052">
        <v>0</v>
      </c>
      <c r="U2052">
        <f>IF(AND(OR(Dashboard!$D$4="Semua",D2052=Dashboard!$D$4),OR(Dashboard!$H$4="Semua",E2052=Dashboard!$H$4)),1,0)</f>
        <v>1</v>
      </c>
      <c r="V2052">
        <f>IF(U2052=1,IF(COUNTIFS($C$2:C2052,C2052,$U$2:U2052,1)=1,1,0),0)</f>
        <v>0</v>
      </c>
    </row>
    <row r="2053" spans="1:22" x14ac:dyDescent="0.35">
      <c r="A2053">
        <v>12052</v>
      </c>
      <c r="B2053" s="1">
        <v>46613</v>
      </c>
      <c r="C2053">
        <v>1273</v>
      </c>
      <c r="D2053" t="s">
        <v>62</v>
      </c>
      <c r="E2053" t="s">
        <v>78</v>
      </c>
      <c r="F2053">
        <v>3</v>
      </c>
      <c r="G2053" s="2">
        <v>255.62</v>
      </c>
      <c r="H2053">
        <v>0.22</v>
      </c>
      <c r="I2053" t="s">
        <v>68</v>
      </c>
      <c r="J2053">
        <v>1</v>
      </c>
      <c r="K2053">
        <v>2.6</v>
      </c>
      <c r="L2053" s="2">
        <v>598.15</v>
      </c>
      <c r="M2053">
        <v>2027</v>
      </c>
      <c r="N2053">
        <v>8</v>
      </c>
      <c r="O2053" t="s">
        <v>147</v>
      </c>
      <c r="P2053" s="2">
        <v>766.86</v>
      </c>
      <c r="Q2053" s="2">
        <v>168.71</v>
      </c>
      <c r="R2053" t="s">
        <v>77</v>
      </c>
      <c r="S2053">
        <v>1</v>
      </c>
      <c r="T2053">
        <v>0</v>
      </c>
      <c r="U2053">
        <f>IF(AND(OR(Dashboard!$D$4="Semua",D2053=Dashboard!$D$4),OR(Dashboard!$H$4="Semua",E2053=Dashboard!$H$4)),1,0)</f>
        <v>1</v>
      </c>
      <c r="V2053">
        <f>IF(U2053=1,IF(COUNTIFS($C$2:C2053,C2053,$U$2:U2053,1)=1,1,0),0)</f>
        <v>0</v>
      </c>
    </row>
    <row r="2054" spans="1:22" x14ac:dyDescent="0.35">
      <c r="A2054">
        <v>12053</v>
      </c>
      <c r="B2054" s="1">
        <v>46614</v>
      </c>
      <c r="C2054">
        <v>1415</v>
      </c>
      <c r="D2054" t="s">
        <v>80</v>
      </c>
      <c r="E2054" t="s">
        <v>70</v>
      </c>
      <c r="F2054">
        <v>5</v>
      </c>
      <c r="G2054" s="2">
        <v>367.66</v>
      </c>
      <c r="H2054">
        <v>0.24</v>
      </c>
      <c r="I2054" t="s">
        <v>68</v>
      </c>
      <c r="J2054">
        <v>7</v>
      </c>
      <c r="K2054">
        <v>4.5</v>
      </c>
      <c r="L2054" s="2">
        <v>1397.11</v>
      </c>
      <c r="M2054">
        <v>2027</v>
      </c>
      <c r="N2054">
        <v>8</v>
      </c>
      <c r="O2054" t="s">
        <v>147</v>
      </c>
      <c r="P2054" s="2">
        <v>1838.3</v>
      </c>
      <c r="Q2054" s="2">
        <v>441.19</v>
      </c>
      <c r="R2054" t="s">
        <v>77</v>
      </c>
      <c r="S2054">
        <v>1</v>
      </c>
      <c r="T2054">
        <v>0</v>
      </c>
      <c r="U2054">
        <f>IF(AND(OR(Dashboard!$D$4="Semua",D2054=Dashboard!$D$4),OR(Dashboard!$H$4="Semua",E2054=Dashboard!$H$4)),1,0)</f>
        <v>1</v>
      </c>
      <c r="V2054">
        <f>IF(U2054=1,IF(COUNTIFS($C$2:C2054,C2054,$U$2:U2054,1)=1,1,0),0)</f>
        <v>0</v>
      </c>
    </row>
    <row r="2055" spans="1:22" x14ac:dyDescent="0.35">
      <c r="A2055">
        <v>12054</v>
      </c>
      <c r="B2055" s="1">
        <v>46615</v>
      </c>
      <c r="C2055">
        <v>1607</v>
      </c>
      <c r="D2055" t="s">
        <v>73</v>
      </c>
      <c r="E2055" t="s">
        <v>70</v>
      </c>
      <c r="F2055">
        <v>5</v>
      </c>
      <c r="G2055" s="2">
        <v>599.89</v>
      </c>
      <c r="H2055">
        <v>0.11</v>
      </c>
      <c r="I2055" t="s">
        <v>68</v>
      </c>
      <c r="J2055">
        <v>4</v>
      </c>
      <c r="K2055">
        <v>4.9000000000000004</v>
      </c>
      <c r="L2055" s="2">
        <v>2669.51</v>
      </c>
      <c r="M2055">
        <v>2027</v>
      </c>
      <c r="N2055">
        <v>8</v>
      </c>
      <c r="O2055" t="s">
        <v>147</v>
      </c>
      <c r="P2055" s="2">
        <v>2999.45</v>
      </c>
      <c r="Q2055" s="2">
        <v>329.94</v>
      </c>
      <c r="R2055" t="s">
        <v>79</v>
      </c>
      <c r="S2055">
        <v>1</v>
      </c>
      <c r="T2055">
        <v>0</v>
      </c>
      <c r="U2055">
        <f>IF(AND(OR(Dashboard!$D$4="Semua",D2055=Dashboard!$D$4),OR(Dashboard!$H$4="Semua",E2055=Dashboard!$H$4)),1,0)</f>
        <v>1</v>
      </c>
      <c r="V2055">
        <f>IF(U2055=1,IF(COUNTIFS($C$2:C2055,C2055,$U$2:U2055,1)=1,1,0),0)</f>
        <v>0</v>
      </c>
    </row>
    <row r="2056" spans="1:22" x14ac:dyDescent="0.35">
      <c r="A2056">
        <v>12055</v>
      </c>
      <c r="B2056" s="1">
        <v>46616</v>
      </c>
      <c r="C2056">
        <v>1738</v>
      </c>
      <c r="D2056" t="s">
        <v>80</v>
      </c>
      <c r="E2056" t="s">
        <v>78</v>
      </c>
      <c r="F2056">
        <v>6</v>
      </c>
      <c r="G2056" s="2">
        <v>303.39999999999998</v>
      </c>
      <c r="H2056">
        <v>0.28999999999999998</v>
      </c>
      <c r="I2056" t="s">
        <v>68</v>
      </c>
      <c r="J2056">
        <v>10</v>
      </c>
      <c r="K2056">
        <v>4.4000000000000004</v>
      </c>
      <c r="L2056" s="2">
        <v>1292.48</v>
      </c>
      <c r="M2056">
        <v>2027</v>
      </c>
      <c r="N2056">
        <v>8</v>
      </c>
      <c r="O2056" t="s">
        <v>147</v>
      </c>
      <c r="P2056" s="2">
        <v>1820.4</v>
      </c>
      <c r="Q2056" s="2">
        <v>527.91999999999996</v>
      </c>
      <c r="R2056" t="s">
        <v>66</v>
      </c>
      <c r="S2056">
        <v>1</v>
      </c>
      <c r="T2056">
        <v>0</v>
      </c>
      <c r="U2056">
        <f>IF(AND(OR(Dashboard!$D$4="Semua",D2056=Dashboard!$D$4),OR(Dashboard!$H$4="Semua",E2056=Dashboard!$H$4)),1,0)</f>
        <v>1</v>
      </c>
      <c r="V2056">
        <f>IF(U2056=1,IF(COUNTIFS($C$2:C2056,C2056,$U$2:U2056,1)=1,1,0),0)</f>
        <v>0</v>
      </c>
    </row>
    <row r="2057" spans="1:22" x14ac:dyDescent="0.35">
      <c r="A2057">
        <v>12056</v>
      </c>
      <c r="B2057" s="1">
        <v>46617</v>
      </c>
      <c r="C2057">
        <v>1890</v>
      </c>
      <c r="D2057" t="s">
        <v>62</v>
      </c>
      <c r="E2057" t="s">
        <v>78</v>
      </c>
      <c r="F2057">
        <v>3</v>
      </c>
      <c r="G2057" s="2">
        <v>136.97</v>
      </c>
      <c r="H2057">
        <v>0.19</v>
      </c>
      <c r="I2057" t="s">
        <v>64</v>
      </c>
      <c r="J2057">
        <v>2</v>
      </c>
      <c r="K2057">
        <v>3.1</v>
      </c>
      <c r="L2057" s="2">
        <v>332.84</v>
      </c>
      <c r="M2057">
        <v>2027</v>
      </c>
      <c r="N2057">
        <v>8</v>
      </c>
      <c r="O2057" t="s">
        <v>147</v>
      </c>
      <c r="P2057" s="2">
        <v>410.91</v>
      </c>
      <c r="Q2057" s="2">
        <v>78.069999999999993</v>
      </c>
      <c r="R2057" t="s">
        <v>76</v>
      </c>
      <c r="S2057">
        <v>1</v>
      </c>
      <c r="T2057">
        <v>0</v>
      </c>
      <c r="U2057">
        <f>IF(AND(OR(Dashboard!$D$4="Semua",D2057=Dashboard!$D$4),OR(Dashboard!$H$4="Semua",E2057=Dashboard!$H$4)),1,0)</f>
        <v>1</v>
      </c>
      <c r="V2057">
        <f>IF(U2057=1,IF(COUNTIFS($C$2:C2057,C2057,$U$2:U2057,1)=1,1,0),0)</f>
        <v>0</v>
      </c>
    </row>
    <row r="2058" spans="1:22" x14ac:dyDescent="0.35">
      <c r="A2058">
        <v>12057</v>
      </c>
      <c r="B2058" s="1">
        <v>46618</v>
      </c>
      <c r="C2058">
        <v>1038</v>
      </c>
      <c r="D2058" t="s">
        <v>80</v>
      </c>
      <c r="E2058" t="s">
        <v>78</v>
      </c>
      <c r="F2058">
        <v>5</v>
      </c>
      <c r="G2058" s="2">
        <v>110.27</v>
      </c>
      <c r="H2058">
        <v>0.3</v>
      </c>
      <c r="I2058" t="s">
        <v>68</v>
      </c>
      <c r="J2058">
        <v>8</v>
      </c>
      <c r="K2058">
        <v>3</v>
      </c>
      <c r="L2058" s="2">
        <v>385.94</v>
      </c>
      <c r="M2058">
        <v>2027</v>
      </c>
      <c r="N2058">
        <v>8</v>
      </c>
      <c r="O2058" t="s">
        <v>147</v>
      </c>
      <c r="P2058" s="2">
        <v>551.35</v>
      </c>
      <c r="Q2058" s="2">
        <v>165.41</v>
      </c>
      <c r="R2058" t="s">
        <v>66</v>
      </c>
      <c r="S2058">
        <v>1</v>
      </c>
      <c r="T2058">
        <v>0</v>
      </c>
      <c r="U2058">
        <f>IF(AND(OR(Dashboard!$D$4="Semua",D2058=Dashboard!$D$4),OR(Dashboard!$H$4="Semua",E2058=Dashboard!$H$4)),1,0)</f>
        <v>1</v>
      </c>
      <c r="V2058">
        <f>IF(U2058=1,IF(COUNTIFS($C$2:C2058,C2058,$U$2:U2058,1)=1,1,0),0)</f>
        <v>0</v>
      </c>
    </row>
    <row r="2059" spans="1:22" x14ac:dyDescent="0.35">
      <c r="A2059">
        <v>12058</v>
      </c>
      <c r="B2059" s="1">
        <v>46619</v>
      </c>
      <c r="C2059">
        <v>1813</v>
      </c>
      <c r="D2059" t="s">
        <v>73</v>
      </c>
      <c r="E2059" t="s">
        <v>78</v>
      </c>
      <c r="F2059">
        <v>5</v>
      </c>
      <c r="G2059" s="2">
        <v>39.770000000000003</v>
      </c>
      <c r="H2059">
        <v>0.27</v>
      </c>
      <c r="I2059" t="s">
        <v>64</v>
      </c>
      <c r="J2059">
        <v>4</v>
      </c>
      <c r="K2059">
        <v>1.9</v>
      </c>
      <c r="L2059" s="2">
        <v>145.16</v>
      </c>
      <c r="M2059">
        <v>2027</v>
      </c>
      <c r="N2059">
        <v>8</v>
      </c>
      <c r="O2059" t="s">
        <v>147</v>
      </c>
      <c r="P2059" s="2">
        <v>198.85</v>
      </c>
      <c r="Q2059" s="2">
        <v>53.69</v>
      </c>
      <c r="R2059" t="s">
        <v>66</v>
      </c>
      <c r="S2059">
        <v>1</v>
      </c>
      <c r="T2059">
        <v>0</v>
      </c>
      <c r="U2059">
        <f>IF(AND(OR(Dashboard!$D$4="Semua",D2059=Dashboard!$D$4),OR(Dashboard!$H$4="Semua",E2059=Dashboard!$H$4)),1,0)</f>
        <v>1</v>
      </c>
      <c r="V2059">
        <f>IF(U2059=1,IF(COUNTIFS($C$2:C2059,C2059,$U$2:U2059,1)=1,1,0),0)</f>
        <v>0</v>
      </c>
    </row>
    <row r="2060" spans="1:22" x14ac:dyDescent="0.35">
      <c r="A2060">
        <v>12059</v>
      </c>
      <c r="B2060" s="1">
        <v>46620</v>
      </c>
      <c r="C2060">
        <v>1028</v>
      </c>
      <c r="D2060" t="s">
        <v>67</v>
      </c>
      <c r="E2060" t="s">
        <v>63</v>
      </c>
      <c r="F2060">
        <v>3</v>
      </c>
      <c r="G2060" s="2">
        <v>341.91</v>
      </c>
      <c r="H2060">
        <v>0.3</v>
      </c>
      <c r="I2060" t="s">
        <v>68</v>
      </c>
      <c r="J2060">
        <v>1</v>
      </c>
      <c r="K2060">
        <v>3.4</v>
      </c>
      <c r="L2060" s="2">
        <v>718.01</v>
      </c>
      <c r="M2060">
        <v>2027</v>
      </c>
      <c r="N2060">
        <v>8</v>
      </c>
      <c r="O2060" t="s">
        <v>147</v>
      </c>
      <c r="P2060" s="2">
        <v>1025.73</v>
      </c>
      <c r="Q2060" s="2">
        <v>307.72000000000003</v>
      </c>
      <c r="R2060" t="s">
        <v>66</v>
      </c>
      <c r="S2060">
        <v>1</v>
      </c>
      <c r="T2060">
        <v>0</v>
      </c>
      <c r="U2060">
        <f>IF(AND(OR(Dashboard!$D$4="Semua",D2060=Dashboard!$D$4),OR(Dashboard!$H$4="Semua",E2060=Dashboard!$H$4)),1,0)</f>
        <v>1</v>
      </c>
      <c r="V2060">
        <f>IF(U2060=1,IF(COUNTIFS($C$2:C2060,C2060,$U$2:U2060,1)=1,1,0),0)</f>
        <v>0</v>
      </c>
    </row>
    <row r="2061" spans="1:22" x14ac:dyDescent="0.35">
      <c r="A2061">
        <v>12060</v>
      </c>
      <c r="B2061" s="1">
        <v>46621</v>
      </c>
      <c r="C2061">
        <v>1957</v>
      </c>
      <c r="D2061" t="s">
        <v>67</v>
      </c>
      <c r="E2061" t="s">
        <v>78</v>
      </c>
      <c r="F2061">
        <v>6</v>
      </c>
      <c r="G2061" s="2">
        <v>333.57</v>
      </c>
      <c r="H2061">
        <v>0.01</v>
      </c>
      <c r="I2061" t="s">
        <v>68</v>
      </c>
      <c r="J2061">
        <v>8</v>
      </c>
      <c r="K2061">
        <v>4.8</v>
      </c>
      <c r="L2061" s="2">
        <v>1981.41</v>
      </c>
      <c r="M2061">
        <v>2027</v>
      </c>
      <c r="N2061">
        <v>8</v>
      </c>
      <c r="O2061" t="s">
        <v>147</v>
      </c>
      <c r="P2061" s="2">
        <v>2001.42</v>
      </c>
      <c r="Q2061" s="2">
        <v>20.010000000000002</v>
      </c>
      <c r="R2061" t="s">
        <v>75</v>
      </c>
      <c r="S2061">
        <v>1</v>
      </c>
      <c r="T2061">
        <v>0</v>
      </c>
      <c r="U2061">
        <f>IF(AND(OR(Dashboard!$D$4="Semua",D2061=Dashboard!$D$4),OR(Dashboard!$H$4="Semua",E2061=Dashboard!$H$4)),1,0)</f>
        <v>1</v>
      </c>
      <c r="V2061">
        <f>IF(U2061=1,IF(COUNTIFS($C$2:C2061,C2061,$U$2:U2061,1)=1,1,0),0)</f>
        <v>0</v>
      </c>
    </row>
    <row r="2062" spans="1:22" x14ac:dyDescent="0.35">
      <c r="A2062">
        <v>12061</v>
      </c>
      <c r="B2062" s="1">
        <v>46622</v>
      </c>
      <c r="C2062">
        <v>1476</v>
      </c>
      <c r="D2062" t="s">
        <v>67</v>
      </c>
      <c r="E2062" t="s">
        <v>70</v>
      </c>
      <c r="F2062">
        <v>6</v>
      </c>
      <c r="G2062" s="2">
        <v>135.06</v>
      </c>
      <c r="H2062">
        <v>0.09</v>
      </c>
      <c r="I2062" t="s">
        <v>71</v>
      </c>
      <c r="J2062">
        <v>11</v>
      </c>
      <c r="K2062">
        <v>1.3</v>
      </c>
      <c r="L2062" s="2">
        <v>737.43</v>
      </c>
      <c r="M2062">
        <v>2027</v>
      </c>
      <c r="N2062">
        <v>8</v>
      </c>
      <c r="O2062" t="s">
        <v>147</v>
      </c>
      <c r="P2062" s="2">
        <v>810.36</v>
      </c>
      <c r="Q2062" s="2">
        <v>72.930000000000007</v>
      </c>
      <c r="R2062" t="s">
        <v>69</v>
      </c>
      <c r="S2062">
        <v>1</v>
      </c>
      <c r="T2062">
        <v>0</v>
      </c>
      <c r="U2062">
        <f>IF(AND(OR(Dashboard!$D$4="Semua",D2062=Dashboard!$D$4),OR(Dashboard!$H$4="Semua",E2062=Dashboard!$H$4)),1,0)</f>
        <v>1</v>
      </c>
      <c r="V2062">
        <f>IF(U2062=1,IF(COUNTIFS($C$2:C2062,C2062,$U$2:U2062,1)=1,1,0),0)</f>
        <v>0</v>
      </c>
    </row>
    <row r="2063" spans="1:22" x14ac:dyDescent="0.35">
      <c r="A2063">
        <v>12062</v>
      </c>
      <c r="B2063" s="1">
        <v>46623</v>
      </c>
      <c r="C2063">
        <v>1317</v>
      </c>
      <c r="D2063" t="s">
        <v>73</v>
      </c>
      <c r="E2063" t="s">
        <v>70</v>
      </c>
      <c r="F2063">
        <v>6</v>
      </c>
      <c r="G2063" s="2">
        <v>421.77</v>
      </c>
      <c r="H2063">
        <v>0.03</v>
      </c>
      <c r="I2063" t="s">
        <v>71</v>
      </c>
      <c r="J2063">
        <v>7</v>
      </c>
      <c r="K2063">
        <v>4</v>
      </c>
      <c r="L2063" s="2">
        <v>2454.6999999999998</v>
      </c>
      <c r="M2063">
        <v>2027</v>
      </c>
      <c r="N2063">
        <v>8</v>
      </c>
      <c r="O2063" t="s">
        <v>147</v>
      </c>
      <c r="P2063" s="2">
        <v>2530.62</v>
      </c>
      <c r="Q2063" s="2">
        <v>75.92</v>
      </c>
      <c r="R2063" t="s">
        <v>75</v>
      </c>
      <c r="S2063">
        <v>1</v>
      </c>
      <c r="T2063">
        <v>0</v>
      </c>
      <c r="U2063">
        <f>IF(AND(OR(Dashboard!$D$4="Semua",D2063=Dashboard!$D$4),OR(Dashboard!$H$4="Semua",E2063=Dashboard!$H$4)),1,0)</f>
        <v>1</v>
      </c>
      <c r="V2063">
        <f>IF(U2063=1,IF(COUNTIFS($C$2:C2063,C2063,$U$2:U2063,1)=1,1,0),0)</f>
        <v>0</v>
      </c>
    </row>
    <row r="2064" spans="1:22" x14ac:dyDescent="0.35">
      <c r="A2064">
        <v>12063</v>
      </c>
      <c r="B2064" s="1">
        <v>46624</v>
      </c>
      <c r="C2064">
        <v>1244</v>
      </c>
      <c r="D2064" t="s">
        <v>73</v>
      </c>
      <c r="E2064" t="s">
        <v>63</v>
      </c>
      <c r="F2064">
        <v>6</v>
      </c>
      <c r="G2064" s="2">
        <v>448.55</v>
      </c>
      <c r="H2064">
        <v>0.15</v>
      </c>
      <c r="I2064" t="s">
        <v>71</v>
      </c>
      <c r="J2064">
        <v>3</v>
      </c>
      <c r="K2064">
        <v>4.5</v>
      </c>
      <c r="L2064" s="2">
        <v>2287.6</v>
      </c>
      <c r="M2064">
        <v>2027</v>
      </c>
      <c r="N2064">
        <v>8</v>
      </c>
      <c r="O2064" t="s">
        <v>147</v>
      </c>
      <c r="P2064" s="2">
        <v>2691.3</v>
      </c>
      <c r="Q2064" s="2">
        <v>403.7</v>
      </c>
      <c r="R2064" t="s">
        <v>79</v>
      </c>
      <c r="S2064">
        <v>1</v>
      </c>
      <c r="T2064">
        <v>0</v>
      </c>
      <c r="U2064">
        <f>IF(AND(OR(Dashboard!$D$4="Semua",D2064=Dashboard!$D$4),OR(Dashboard!$H$4="Semua",E2064=Dashboard!$H$4)),1,0)</f>
        <v>1</v>
      </c>
      <c r="V2064">
        <f>IF(U2064=1,IF(COUNTIFS($C$2:C2064,C2064,$U$2:U2064,1)=1,1,0),0)</f>
        <v>1</v>
      </c>
    </row>
    <row r="2065" spans="1:22" x14ac:dyDescent="0.35">
      <c r="A2065">
        <v>12064</v>
      </c>
      <c r="B2065" s="1">
        <v>46625</v>
      </c>
      <c r="C2065">
        <v>1747</v>
      </c>
      <c r="D2065" t="s">
        <v>80</v>
      </c>
      <c r="E2065" t="s">
        <v>78</v>
      </c>
      <c r="F2065">
        <v>1</v>
      </c>
      <c r="G2065" s="2">
        <v>166.57</v>
      </c>
      <c r="H2065">
        <v>0.31</v>
      </c>
      <c r="I2065" t="s">
        <v>71</v>
      </c>
      <c r="J2065">
        <v>3</v>
      </c>
      <c r="K2065">
        <v>4.9000000000000004</v>
      </c>
      <c r="L2065" s="2">
        <v>114.93</v>
      </c>
      <c r="M2065">
        <v>2027</v>
      </c>
      <c r="N2065">
        <v>8</v>
      </c>
      <c r="O2065" t="s">
        <v>147</v>
      </c>
      <c r="P2065" s="2">
        <v>166.57</v>
      </c>
      <c r="Q2065" s="2">
        <v>51.64</v>
      </c>
      <c r="R2065" t="s">
        <v>72</v>
      </c>
      <c r="S2065">
        <v>1</v>
      </c>
      <c r="T2065">
        <v>0</v>
      </c>
      <c r="U2065">
        <f>IF(AND(OR(Dashboard!$D$4="Semua",D2065=Dashboard!$D$4),OR(Dashboard!$H$4="Semua",E2065=Dashboard!$H$4)),1,0)</f>
        <v>1</v>
      </c>
      <c r="V2065">
        <f>IF(U2065=1,IF(COUNTIFS($C$2:C2065,C2065,$U$2:U2065,1)=1,1,0),0)</f>
        <v>0</v>
      </c>
    </row>
    <row r="2066" spans="1:22" x14ac:dyDescent="0.35">
      <c r="A2066">
        <v>12065</v>
      </c>
      <c r="B2066" s="1">
        <v>46626</v>
      </c>
      <c r="C2066">
        <v>1696</v>
      </c>
      <c r="D2066" t="s">
        <v>62</v>
      </c>
      <c r="E2066" t="s">
        <v>70</v>
      </c>
      <c r="F2066">
        <v>3</v>
      </c>
      <c r="G2066" s="2">
        <v>216.3</v>
      </c>
      <c r="H2066">
        <v>0.16</v>
      </c>
      <c r="I2066" t="s">
        <v>68</v>
      </c>
      <c r="J2066">
        <v>7</v>
      </c>
      <c r="K2066">
        <v>2.2999999999999998</v>
      </c>
      <c r="L2066" s="2">
        <v>545.08000000000004</v>
      </c>
      <c r="M2066">
        <v>2027</v>
      </c>
      <c r="N2066">
        <v>8</v>
      </c>
      <c r="O2066" t="s">
        <v>147</v>
      </c>
      <c r="P2066" s="2">
        <v>648.9</v>
      </c>
      <c r="Q2066" s="2">
        <v>103.82</v>
      </c>
      <c r="R2066" t="s">
        <v>76</v>
      </c>
      <c r="S2066">
        <v>1</v>
      </c>
      <c r="T2066">
        <v>0</v>
      </c>
      <c r="U2066">
        <f>IF(AND(OR(Dashboard!$D$4="Semua",D2066=Dashboard!$D$4),OR(Dashboard!$H$4="Semua",E2066=Dashboard!$H$4)),1,0)</f>
        <v>1</v>
      </c>
      <c r="V2066">
        <f>IF(U2066=1,IF(COUNTIFS($C$2:C2066,C2066,$U$2:U2066,1)=1,1,0),0)</f>
        <v>0</v>
      </c>
    </row>
    <row r="2067" spans="1:22" x14ac:dyDescent="0.35">
      <c r="A2067">
        <v>12066</v>
      </c>
      <c r="B2067" s="1">
        <v>46627</v>
      </c>
      <c r="C2067">
        <v>1271</v>
      </c>
      <c r="D2067" t="s">
        <v>73</v>
      </c>
      <c r="E2067" t="s">
        <v>63</v>
      </c>
      <c r="F2067">
        <v>7</v>
      </c>
      <c r="G2067" s="2">
        <v>594.42999999999995</v>
      </c>
      <c r="H2067">
        <v>0.3</v>
      </c>
      <c r="I2067" t="s">
        <v>71</v>
      </c>
      <c r="J2067">
        <v>2</v>
      </c>
      <c r="K2067">
        <v>2.4</v>
      </c>
      <c r="L2067" s="2">
        <v>2912.71</v>
      </c>
      <c r="M2067">
        <v>2027</v>
      </c>
      <c r="N2067">
        <v>8</v>
      </c>
      <c r="O2067" t="s">
        <v>147</v>
      </c>
      <c r="P2067" s="2">
        <v>4161.01</v>
      </c>
      <c r="Q2067" s="2">
        <v>1248.3</v>
      </c>
      <c r="R2067" t="s">
        <v>66</v>
      </c>
      <c r="S2067">
        <v>1</v>
      </c>
      <c r="T2067">
        <v>0</v>
      </c>
      <c r="U2067">
        <f>IF(AND(OR(Dashboard!$D$4="Semua",D2067=Dashboard!$D$4),OR(Dashboard!$H$4="Semua",E2067=Dashboard!$H$4)),1,0)</f>
        <v>1</v>
      </c>
      <c r="V2067">
        <f>IF(U2067=1,IF(COUNTIFS($C$2:C2067,C2067,$U$2:U2067,1)=1,1,0),0)</f>
        <v>0</v>
      </c>
    </row>
    <row r="2068" spans="1:22" x14ac:dyDescent="0.35">
      <c r="A2068">
        <v>12067</v>
      </c>
      <c r="B2068" s="1">
        <v>46628</v>
      </c>
      <c r="C2068">
        <v>1439</v>
      </c>
      <c r="D2068" t="s">
        <v>62</v>
      </c>
      <c r="E2068" t="s">
        <v>70</v>
      </c>
      <c r="F2068">
        <v>1</v>
      </c>
      <c r="G2068" s="2">
        <v>233.94</v>
      </c>
      <c r="H2068">
        <v>0.11</v>
      </c>
      <c r="I2068" t="s">
        <v>71</v>
      </c>
      <c r="J2068">
        <v>5</v>
      </c>
      <c r="K2068">
        <v>1.9</v>
      </c>
      <c r="L2068" s="2">
        <v>208.21</v>
      </c>
      <c r="M2068">
        <v>2027</v>
      </c>
      <c r="N2068">
        <v>8</v>
      </c>
      <c r="O2068" t="s">
        <v>147</v>
      </c>
      <c r="P2068" s="2">
        <v>233.94</v>
      </c>
      <c r="Q2068" s="2">
        <v>25.73</v>
      </c>
      <c r="R2068" t="s">
        <v>79</v>
      </c>
      <c r="S2068">
        <v>1</v>
      </c>
      <c r="T2068">
        <v>0</v>
      </c>
      <c r="U2068">
        <f>IF(AND(OR(Dashboard!$D$4="Semua",D2068=Dashboard!$D$4),OR(Dashboard!$H$4="Semua",E2068=Dashboard!$H$4)),1,0)</f>
        <v>1</v>
      </c>
      <c r="V2068">
        <f>IF(U2068=1,IF(COUNTIFS($C$2:C2068,C2068,$U$2:U2068,1)=1,1,0),0)</f>
        <v>1</v>
      </c>
    </row>
    <row r="2069" spans="1:22" x14ac:dyDescent="0.35">
      <c r="A2069">
        <v>12068</v>
      </c>
      <c r="B2069" s="1">
        <v>46629</v>
      </c>
      <c r="C2069">
        <v>1747</v>
      </c>
      <c r="D2069" t="s">
        <v>73</v>
      </c>
      <c r="E2069" t="s">
        <v>63</v>
      </c>
      <c r="F2069">
        <v>5</v>
      </c>
      <c r="G2069" s="2">
        <v>460.07</v>
      </c>
      <c r="H2069">
        <v>0.12</v>
      </c>
      <c r="I2069" t="s">
        <v>68</v>
      </c>
      <c r="J2069">
        <v>7</v>
      </c>
      <c r="K2069">
        <v>4.2</v>
      </c>
      <c r="L2069" s="2">
        <v>2024.31</v>
      </c>
      <c r="M2069">
        <v>2027</v>
      </c>
      <c r="N2069">
        <v>8</v>
      </c>
      <c r="O2069" t="s">
        <v>147</v>
      </c>
      <c r="P2069" s="2">
        <v>2300.35</v>
      </c>
      <c r="Q2069" s="2">
        <v>276.04000000000002</v>
      </c>
      <c r="R2069" t="s">
        <v>79</v>
      </c>
      <c r="S2069">
        <v>1</v>
      </c>
      <c r="T2069">
        <v>0</v>
      </c>
      <c r="U2069">
        <f>IF(AND(OR(Dashboard!$D$4="Semua",D2069=Dashboard!$D$4),OR(Dashboard!$H$4="Semua",E2069=Dashboard!$H$4)),1,0)</f>
        <v>1</v>
      </c>
      <c r="V2069">
        <f>IF(U2069=1,IF(COUNTIFS($C$2:C2069,C2069,$U$2:U2069,1)=1,1,0),0)</f>
        <v>0</v>
      </c>
    </row>
    <row r="2070" spans="1:22" x14ac:dyDescent="0.35">
      <c r="A2070">
        <v>12069</v>
      </c>
      <c r="B2070" s="1">
        <v>46630</v>
      </c>
      <c r="C2070">
        <v>1238</v>
      </c>
      <c r="D2070" t="s">
        <v>80</v>
      </c>
      <c r="E2070" t="s">
        <v>63</v>
      </c>
      <c r="F2070">
        <v>1</v>
      </c>
      <c r="G2070" s="2">
        <v>279.83999999999997</v>
      </c>
      <c r="H2070">
        <v>0.31</v>
      </c>
      <c r="I2070" t="s">
        <v>64</v>
      </c>
      <c r="J2070">
        <v>6</v>
      </c>
      <c r="K2070">
        <v>1.6</v>
      </c>
      <c r="L2070" s="2">
        <v>193.09</v>
      </c>
      <c r="M2070">
        <v>2027</v>
      </c>
      <c r="N2070">
        <v>8</v>
      </c>
      <c r="O2070" t="s">
        <v>147</v>
      </c>
      <c r="P2070" s="2">
        <v>279.83999999999997</v>
      </c>
      <c r="Q2070" s="2">
        <v>86.75</v>
      </c>
      <c r="R2070" t="s">
        <v>72</v>
      </c>
      <c r="S2070">
        <v>1</v>
      </c>
      <c r="T2070">
        <v>0</v>
      </c>
      <c r="U2070">
        <f>IF(AND(OR(Dashboard!$D$4="Semua",D2070=Dashboard!$D$4),OR(Dashboard!$H$4="Semua",E2070=Dashboard!$H$4)),1,0)</f>
        <v>1</v>
      </c>
      <c r="V2070">
        <f>IF(U2070=1,IF(COUNTIFS($C$2:C2070,C2070,$U$2:U2070,1)=1,1,0),0)</f>
        <v>0</v>
      </c>
    </row>
    <row r="2071" spans="1:22" x14ac:dyDescent="0.35">
      <c r="A2071">
        <v>12070</v>
      </c>
      <c r="B2071" s="1">
        <v>46631</v>
      </c>
      <c r="C2071">
        <v>1376</v>
      </c>
      <c r="D2071" t="s">
        <v>80</v>
      </c>
      <c r="E2071" t="s">
        <v>74</v>
      </c>
      <c r="F2071">
        <v>7</v>
      </c>
      <c r="G2071" s="2">
        <v>479.11</v>
      </c>
      <c r="H2071">
        <v>0.15</v>
      </c>
      <c r="I2071" t="s">
        <v>71</v>
      </c>
      <c r="J2071">
        <v>10</v>
      </c>
      <c r="K2071">
        <v>2.1</v>
      </c>
      <c r="L2071" s="2">
        <v>2850.7</v>
      </c>
      <c r="M2071">
        <v>2027</v>
      </c>
      <c r="N2071">
        <v>9</v>
      </c>
      <c r="O2071" t="s">
        <v>148</v>
      </c>
      <c r="P2071" s="2">
        <v>3353.77</v>
      </c>
      <c r="Q2071" s="2">
        <v>503.07</v>
      </c>
      <c r="R2071" t="s">
        <v>79</v>
      </c>
      <c r="S2071">
        <v>1</v>
      </c>
      <c r="T2071">
        <v>0</v>
      </c>
      <c r="U2071">
        <f>IF(AND(OR(Dashboard!$D$4="Semua",D2071=Dashboard!$D$4),OR(Dashboard!$H$4="Semua",E2071=Dashboard!$H$4)),1,0)</f>
        <v>1</v>
      </c>
      <c r="V2071">
        <f>IF(U2071=1,IF(COUNTIFS($C$2:C2071,C2071,$U$2:U2071,1)=1,1,0),0)</f>
        <v>0</v>
      </c>
    </row>
    <row r="2072" spans="1:22" x14ac:dyDescent="0.35">
      <c r="A2072">
        <v>12071</v>
      </c>
      <c r="B2072" s="1">
        <v>46632</v>
      </c>
      <c r="C2072">
        <v>1265</v>
      </c>
      <c r="D2072" t="s">
        <v>80</v>
      </c>
      <c r="E2072" t="s">
        <v>74</v>
      </c>
      <c r="F2072">
        <v>7</v>
      </c>
      <c r="G2072" s="2">
        <v>464.88</v>
      </c>
      <c r="H2072">
        <v>0.28000000000000003</v>
      </c>
      <c r="I2072" t="s">
        <v>68</v>
      </c>
      <c r="J2072">
        <v>7</v>
      </c>
      <c r="K2072">
        <v>2.2000000000000002</v>
      </c>
      <c r="L2072" s="2">
        <v>2343</v>
      </c>
      <c r="M2072">
        <v>2027</v>
      </c>
      <c r="N2072">
        <v>9</v>
      </c>
      <c r="O2072" t="s">
        <v>148</v>
      </c>
      <c r="P2072" s="2">
        <v>3254.16</v>
      </c>
      <c r="Q2072" s="2">
        <v>911.16</v>
      </c>
      <c r="R2072" t="s">
        <v>66</v>
      </c>
      <c r="S2072">
        <v>1</v>
      </c>
      <c r="T2072">
        <v>0</v>
      </c>
      <c r="U2072">
        <f>IF(AND(OR(Dashboard!$D$4="Semua",D2072=Dashboard!$D$4),OR(Dashboard!$H$4="Semua",E2072=Dashboard!$H$4)),1,0)</f>
        <v>1</v>
      </c>
      <c r="V2072">
        <f>IF(U2072=1,IF(COUNTIFS($C$2:C2072,C2072,$U$2:U2072,1)=1,1,0),0)</f>
        <v>1</v>
      </c>
    </row>
    <row r="2073" spans="1:22" x14ac:dyDescent="0.35">
      <c r="A2073">
        <v>12072</v>
      </c>
      <c r="B2073" s="1">
        <v>46633</v>
      </c>
      <c r="C2073">
        <v>1925</v>
      </c>
      <c r="D2073" t="s">
        <v>62</v>
      </c>
      <c r="E2073" t="s">
        <v>78</v>
      </c>
      <c r="F2073">
        <v>7</v>
      </c>
      <c r="G2073" s="2">
        <v>405.64</v>
      </c>
      <c r="H2073">
        <v>0.08</v>
      </c>
      <c r="I2073" t="s">
        <v>64</v>
      </c>
      <c r="J2073">
        <v>2</v>
      </c>
      <c r="K2073">
        <v>2.5</v>
      </c>
      <c r="L2073" s="2">
        <v>2612.3200000000002</v>
      </c>
      <c r="M2073">
        <v>2027</v>
      </c>
      <c r="N2073">
        <v>9</v>
      </c>
      <c r="O2073" t="s">
        <v>148</v>
      </c>
      <c r="P2073" s="2">
        <v>2839.48</v>
      </c>
      <c r="Q2073" s="2">
        <v>227.16</v>
      </c>
      <c r="R2073" t="s">
        <v>69</v>
      </c>
      <c r="S2073">
        <v>1</v>
      </c>
      <c r="T2073">
        <v>0</v>
      </c>
      <c r="U2073">
        <f>IF(AND(OR(Dashboard!$D$4="Semua",D2073=Dashboard!$D$4),OR(Dashboard!$H$4="Semua",E2073=Dashboard!$H$4)),1,0)</f>
        <v>1</v>
      </c>
      <c r="V2073">
        <f>IF(U2073=1,IF(COUNTIFS($C$2:C2073,C2073,$U$2:U2073,1)=1,1,0),0)</f>
        <v>1</v>
      </c>
    </row>
    <row r="2074" spans="1:22" x14ac:dyDescent="0.35">
      <c r="A2074">
        <v>12073</v>
      </c>
      <c r="B2074" s="1">
        <v>46634</v>
      </c>
      <c r="C2074">
        <v>1920</v>
      </c>
      <c r="D2074" t="s">
        <v>73</v>
      </c>
      <c r="E2074" t="s">
        <v>74</v>
      </c>
      <c r="F2074">
        <v>6</v>
      </c>
      <c r="G2074" s="2">
        <v>515.04999999999995</v>
      </c>
      <c r="H2074">
        <v>0.33</v>
      </c>
      <c r="I2074" t="s">
        <v>64</v>
      </c>
      <c r="J2074">
        <v>7</v>
      </c>
      <c r="K2074">
        <v>2.7</v>
      </c>
      <c r="L2074" s="2">
        <v>2070.5</v>
      </c>
      <c r="M2074">
        <v>2027</v>
      </c>
      <c r="N2074">
        <v>9</v>
      </c>
      <c r="O2074" t="s">
        <v>148</v>
      </c>
      <c r="P2074" s="2">
        <v>3090.3</v>
      </c>
      <c r="Q2074" s="2">
        <v>1019.8</v>
      </c>
      <c r="R2074" t="s">
        <v>72</v>
      </c>
      <c r="S2074">
        <v>1</v>
      </c>
      <c r="T2074">
        <v>0</v>
      </c>
      <c r="U2074">
        <f>IF(AND(OR(Dashboard!$D$4="Semua",D2074=Dashboard!$D$4),OR(Dashboard!$H$4="Semua",E2074=Dashboard!$H$4)),1,0)</f>
        <v>1</v>
      </c>
      <c r="V2074">
        <f>IF(U2074=1,IF(COUNTIFS($C$2:C2074,C2074,$U$2:U2074,1)=1,1,0),0)</f>
        <v>0</v>
      </c>
    </row>
    <row r="2075" spans="1:22" x14ac:dyDescent="0.35">
      <c r="A2075">
        <v>12074</v>
      </c>
      <c r="B2075" s="1">
        <v>46635</v>
      </c>
      <c r="C2075">
        <v>1358</v>
      </c>
      <c r="D2075" t="s">
        <v>62</v>
      </c>
      <c r="E2075" t="s">
        <v>63</v>
      </c>
      <c r="F2075">
        <v>5</v>
      </c>
      <c r="G2075" s="2">
        <v>564.44000000000005</v>
      </c>
      <c r="H2075">
        <v>0.2</v>
      </c>
      <c r="I2075" t="s">
        <v>71</v>
      </c>
      <c r="J2075">
        <v>2</v>
      </c>
      <c r="K2075">
        <v>3.2</v>
      </c>
      <c r="L2075" s="2">
        <v>2257.7600000000002</v>
      </c>
      <c r="M2075">
        <v>2027</v>
      </c>
      <c r="N2075">
        <v>9</v>
      </c>
      <c r="O2075" t="s">
        <v>148</v>
      </c>
      <c r="P2075" s="2">
        <v>2822.2</v>
      </c>
      <c r="Q2075" s="2">
        <v>564.44000000000005</v>
      </c>
      <c r="R2075" t="s">
        <v>76</v>
      </c>
      <c r="S2075">
        <v>1</v>
      </c>
      <c r="T2075">
        <v>0</v>
      </c>
      <c r="U2075">
        <f>IF(AND(OR(Dashboard!$D$4="Semua",D2075=Dashboard!$D$4),OR(Dashboard!$H$4="Semua",E2075=Dashboard!$H$4)),1,0)</f>
        <v>1</v>
      </c>
      <c r="V2075">
        <f>IF(U2075=1,IF(COUNTIFS($C$2:C2075,C2075,$U$2:U2075,1)=1,1,0),0)</f>
        <v>0</v>
      </c>
    </row>
    <row r="2076" spans="1:22" x14ac:dyDescent="0.35">
      <c r="A2076">
        <v>12075</v>
      </c>
      <c r="B2076" s="1">
        <v>46636</v>
      </c>
      <c r="C2076">
        <v>1339</v>
      </c>
      <c r="D2076" t="s">
        <v>73</v>
      </c>
      <c r="E2076" t="s">
        <v>70</v>
      </c>
      <c r="F2076">
        <v>1</v>
      </c>
      <c r="G2076" s="2">
        <v>354.29</v>
      </c>
      <c r="H2076">
        <v>0.27</v>
      </c>
      <c r="I2076" t="s">
        <v>68</v>
      </c>
      <c r="J2076">
        <v>7</v>
      </c>
      <c r="K2076">
        <v>4.8</v>
      </c>
      <c r="L2076" s="2">
        <v>258.63</v>
      </c>
      <c r="M2076">
        <v>2027</v>
      </c>
      <c r="N2076">
        <v>9</v>
      </c>
      <c r="O2076" t="s">
        <v>148</v>
      </c>
      <c r="P2076" s="2">
        <v>354.29</v>
      </c>
      <c r="Q2076" s="2">
        <v>95.66</v>
      </c>
      <c r="R2076" t="s">
        <v>66</v>
      </c>
      <c r="S2076">
        <v>1</v>
      </c>
      <c r="T2076">
        <v>0</v>
      </c>
      <c r="U2076">
        <f>IF(AND(OR(Dashboard!$D$4="Semua",D2076=Dashboard!$D$4),OR(Dashboard!$H$4="Semua",E2076=Dashboard!$H$4)),1,0)</f>
        <v>1</v>
      </c>
      <c r="V2076">
        <f>IF(U2076=1,IF(COUNTIFS($C$2:C2076,C2076,$U$2:U2076,1)=1,1,0),0)</f>
        <v>0</v>
      </c>
    </row>
    <row r="2077" spans="1:22" x14ac:dyDescent="0.35">
      <c r="A2077">
        <v>12076</v>
      </c>
      <c r="B2077" s="1">
        <v>46637</v>
      </c>
      <c r="C2077">
        <v>1388</v>
      </c>
      <c r="D2077" t="s">
        <v>80</v>
      </c>
      <c r="E2077" t="s">
        <v>70</v>
      </c>
      <c r="F2077">
        <v>1</v>
      </c>
      <c r="G2077" s="2">
        <v>153.91999999999999</v>
      </c>
      <c r="H2077">
        <v>0.03</v>
      </c>
      <c r="I2077" t="s">
        <v>64</v>
      </c>
      <c r="J2077">
        <v>8</v>
      </c>
      <c r="K2077">
        <v>2</v>
      </c>
      <c r="L2077" s="2">
        <v>149.30000000000001</v>
      </c>
      <c r="M2077">
        <v>2027</v>
      </c>
      <c r="N2077">
        <v>9</v>
      </c>
      <c r="O2077" t="s">
        <v>148</v>
      </c>
      <c r="P2077" s="2">
        <v>153.91999999999999</v>
      </c>
      <c r="Q2077" s="2">
        <v>4.62</v>
      </c>
      <c r="R2077" t="s">
        <v>75</v>
      </c>
      <c r="S2077">
        <v>1</v>
      </c>
      <c r="T2077">
        <v>0</v>
      </c>
      <c r="U2077">
        <f>IF(AND(OR(Dashboard!$D$4="Semua",D2077=Dashboard!$D$4),OR(Dashboard!$H$4="Semua",E2077=Dashboard!$H$4)),1,0)</f>
        <v>1</v>
      </c>
      <c r="V2077">
        <f>IF(U2077=1,IF(COUNTIFS($C$2:C2077,C2077,$U$2:U2077,1)=1,1,0),0)</f>
        <v>0</v>
      </c>
    </row>
    <row r="2078" spans="1:22" x14ac:dyDescent="0.35">
      <c r="A2078">
        <v>12077</v>
      </c>
      <c r="B2078" s="1">
        <v>46638</v>
      </c>
      <c r="C2078">
        <v>1576</v>
      </c>
      <c r="D2078" t="s">
        <v>80</v>
      </c>
      <c r="E2078" t="s">
        <v>78</v>
      </c>
      <c r="F2078">
        <v>3</v>
      </c>
      <c r="G2078" s="2">
        <v>248.2</v>
      </c>
      <c r="H2078">
        <v>0.17</v>
      </c>
      <c r="I2078" t="s">
        <v>68</v>
      </c>
      <c r="J2078">
        <v>10</v>
      </c>
      <c r="K2078">
        <v>4.0999999999999996</v>
      </c>
      <c r="L2078" s="2">
        <v>618.02</v>
      </c>
      <c r="M2078">
        <v>2027</v>
      </c>
      <c r="N2078">
        <v>9</v>
      </c>
      <c r="O2078" t="s">
        <v>148</v>
      </c>
      <c r="P2078" s="2">
        <v>744.6</v>
      </c>
      <c r="Q2078" s="2">
        <v>126.58</v>
      </c>
      <c r="R2078" t="s">
        <v>76</v>
      </c>
      <c r="S2078">
        <v>1</v>
      </c>
      <c r="T2078">
        <v>0</v>
      </c>
      <c r="U2078">
        <f>IF(AND(OR(Dashboard!$D$4="Semua",D2078=Dashboard!$D$4),OR(Dashboard!$H$4="Semua",E2078=Dashboard!$H$4)),1,0)</f>
        <v>1</v>
      </c>
      <c r="V2078">
        <f>IF(U2078=1,IF(COUNTIFS($C$2:C2078,C2078,$U$2:U2078,1)=1,1,0),0)</f>
        <v>0</v>
      </c>
    </row>
    <row r="2079" spans="1:22" x14ac:dyDescent="0.35">
      <c r="A2079">
        <v>12078</v>
      </c>
      <c r="B2079" s="1">
        <v>46639</v>
      </c>
      <c r="C2079">
        <v>1989</v>
      </c>
      <c r="D2079" t="s">
        <v>80</v>
      </c>
      <c r="E2079" t="s">
        <v>74</v>
      </c>
      <c r="F2079">
        <v>1</v>
      </c>
      <c r="G2079" s="2">
        <v>458.61</v>
      </c>
      <c r="H2079">
        <v>0.32</v>
      </c>
      <c r="I2079" t="s">
        <v>68</v>
      </c>
      <c r="J2079">
        <v>8</v>
      </c>
      <c r="K2079">
        <v>3.7</v>
      </c>
      <c r="L2079" s="2">
        <v>311.85000000000002</v>
      </c>
      <c r="M2079">
        <v>2027</v>
      </c>
      <c r="N2079">
        <v>9</v>
      </c>
      <c r="O2079" t="s">
        <v>148</v>
      </c>
      <c r="P2079" s="2">
        <v>458.61</v>
      </c>
      <c r="Q2079" s="2">
        <v>146.76</v>
      </c>
      <c r="R2079" t="s">
        <v>72</v>
      </c>
      <c r="S2079">
        <v>1</v>
      </c>
      <c r="T2079">
        <v>0</v>
      </c>
      <c r="U2079">
        <f>IF(AND(OR(Dashboard!$D$4="Semua",D2079=Dashboard!$D$4),OR(Dashboard!$H$4="Semua",E2079=Dashboard!$H$4)),1,0)</f>
        <v>1</v>
      </c>
      <c r="V2079">
        <f>IF(U2079=1,IF(COUNTIFS($C$2:C2079,C2079,$U$2:U2079,1)=1,1,0),0)</f>
        <v>0</v>
      </c>
    </row>
    <row r="2080" spans="1:22" x14ac:dyDescent="0.35">
      <c r="A2080">
        <v>12079</v>
      </c>
      <c r="B2080" s="1">
        <v>46640</v>
      </c>
      <c r="C2080">
        <v>1688</v>
      </c>
      <c r="D2080" t="s">
        <v>73</v>
      </c>
      <c r="E2080" t="s">
        <v>78</v>
      </c>
      <c r="F2080">
        <v>5</v>
      </c>
      <c r="G2080" s="2">
        <v>395.77</v>
      </c>
      <c r="H2080">
        <v>0.31</v>
      </c>
      <c r="I2080" t="s">
        <v>68</v>
      </c>
      <c r="J2080">
        <v>5</v>
      </c>
      <c r="K2080">
        <v>1.5</v>
      </c>
      <c r="L2080" s="2">
        <v>1365.41</v>
      </c>
      <c r="M2080">
        <v>2027</v>
      </c>
      <c r="N2080">
        <v>9</v>
      </c>
      <c r="O2080" t="s">
        <v>148</v>
      </c>
      <c r="P2080" s="2">
        <v>1978.85</v>
      </c>
      <c r="Q2080" s="2">
        <v>613.44000000000005</v>
      </c>
      <c r="R2080" t="s">
        <v>72</v>
      </c>
      <c r="S2080">
        <v>1</v>
      </c>
      <c r="T2080">
        <v>0</v>
      </c>
      <c r="U2080">
        <f>IF(AND(OR(Dashboard!$D$4="Semua",D2080=Dashboard!$D$4),OR(Dashboard!$H$4="Semua",E2080=Dashboard!$H$4)),1,0)</f>
        <v>1</v>
      </c>
      <c r="V2080">
        <f>IF(U2080=1,IF(COUNTIFS($C$2:C2080,C2080,$U$2:U2080,1)=1,1,0),0)</f>
        <v>0</v>
      </c>
    </row>
    <row r="2081" spans="1:22" x14ac:dyDescent="0.35">
      <c r="A2081">
        <v>12080</v>
      </c>
      <c r="B2081" s="1">
        <v>46641</v>
      </c>
      <c r="C2081">
        <v>1002</v>
      </c>
      <c r="D2081" t="s">
        <v>62</v>
      </c>
      <c r="E2081" t="s">
        <v>63</v>
      </c>
      <c r="F2081">
        <v>6</v>
      </c>
      <c r="G2081" s="2">
        <v>119.01</v>
      </c>
      <c r="H2081">
        <v>0.02</v>
      </c>
      <c r="I2081" t="s">
        <v>71</v>
      </c>
      <c r="J2081">
        <v>7</v>
      </c>
      <c r="K2081">
        <v>4.2</v>
      </c>
      <c r="L2081" s="2">
        <v>699.78</v>
      </c>
      <c r="M2081">
        <v>2027</v>
      </c>
      <c r="N2081">
        <v>9</v>
      </c>
      <c r="O2081" t="s">
        <v>148</v>
      </c>
      <c r="P2081" s="2">
        <v>714.06</v>
      </c>
      <c r="Q2081" s="2">
        <v>14.28</v>
      </c>
      <c r="R2081" t="s">
        <v>75</v>
      </c>
      <c r="S2081">
        <v>1</v>
      </c>
      <c r="T2081">
        <v>0</v>
      </c>
      <c r="U2081">
        <f>IF(AND(OR(Dashboard!$D$4="Semua",D2081=Dashboard!$D$4),OR(Dashboard!$H$4="Semua",E2081=Dashboard!$H$4)),1,0)</f>
        <v>1</v>
      </c>
      <c r="V2081">
        <f>IF(U2081=1,IF(COUNTIFS($C$2:C2081,C2081,$U$2:U2081,1)=1,1,0),0)</f>
        <v>0</v>
      </c>
    </row>
    <row r="2082" spans="1:22" x14ac:dyDescent="0.35">
      <c r="A2082">
        <v>12081</v>
      </c>
      <c r="B2082" s="1">
        <v>46642</v>
      </c>
      <c r="C2082">
        <v>1428</v>
      </c>
      <c r="D2082" t="s">
        <v>73</v>
      </c>
      <c r="E2082" t="s">
        <v>74</v>
      </c>
      <c r="F2082">
        <v>3</v>
      </c>
      <c r="G2082" s="2">
        <v>44.98</v>
      </c>
      <c r="H2082">
        <v>0.11</v>
      </c>
      <c r="I2082" t="s">
        <v>64</v>
      </c>
      <c r="J2082">
        <v>11</v>
      </c>
      <c r="K2082">
        <v>1.4</v>
      </c>
      <c r="L2082" s="2">
        <v>120.1</v>
      </c>
      <c r="M2082">
        <v>2027</v>
      </c>
      <c r="N2082">
        <v>9</v>
      </c>
      <c r="O2082" t="s">
        <v>148</v>
      </c>
      <c r="P2082" s="2">
        <v>134.94</v>
      </c>
      <c r="Q2082" s="2">
        <v>14.84</v>
      </c>
      <c r="R2082" t="s">
        <v>79</v>
      </c>
      <c r="S2082">
        <v>1</v>
      </c>
      <c r="T2082">
        <v>0</v>
      </c>
      <c r="U2082">
        <f>IF(AND(OR(Dashboard!$D$4="Semua",D2082=Dashboard!$D$4),OR(Dashboard!$H$4="Semua",E2082=Dashboard!$H$4)),1,0)</f>
        <v>1</v>
      </c>
      <c r="V2082">
        <f>IF(U2082=1,IF(COUNTIFS($C$2:C2082,C2082,$U$2:U2082,1)=1,1,0),0)</f>
        <v>0</v>
      </c>
    </row>
    <row r="2083" spans="1:22" x14ac:dyDescent="0.35">
      <c r="A2083">
        <v>12082</v>
      </c>
      <c r="B2083" s="1">
        <v>46643</v>
      </c>
      <c r="C2083">
        <v>1141</v>
      </c>
      <c r="D2083" t="s">
        <v>73</v>
      </c>
      <c r="E2083" t="s">
        <v>78</v>
      </c>
      <c r="F2083">
        <v>1</v>
      </c>
      <c r="G2083" s="2">
        <v>414.53</v>
      </c>
      <c r="H2083">
        <v>0.16</v>
      </c>
      <c r="I2083" t="s">
        <v>71</v>
      </c>
      <c r="J2083">
        <v>8</v>
      </c>
      <c r="K2083">
        <v>4</v>
      </c>
      <c r="L2083" s="2">
        <v>348.21</v>
      </c>
      <c r="M2083">
        <v>2027</v>
      </c>
      <c r="N2083">
        <v>9</v>
      </c>
      <c r="O2083" t="s">
        <v>148</v>
      </c>
      <c r="P2083" s="2">
        <v>414.53</v>
      </c>
      <c r="Q2083" s="2">
        <v>66.319999999999993</v>
      </c>
      <c r="R2083" t="s">
        <v>76</v>
      </c>
      <c r="S2083">
        <v>1</v>
      </c>
      <c r="T2083">
        <v>0</v>
      </c>
      <c r="U2083">
        <f>IF(AND(OR(Dashboard!$D$4="Semua",D2083=Dashboard!$D$4),OR(Dashboard!$H$4="Semua",E2083=Dashboard!$H$4)),1,0)</f>
        <v>1</v>
      </c>
      <c r="V2083">
        <f>IF(U2083=1,IF(COUNTIFS($C$2:C2083,C2083,$U$2:U2083,1)=1,1,0),0)</f>
        <v>1</v>
      </c>
    </row>
    <row r="2084" spans="1:22" x14ac:dyDescent="0.35">
      <c r="A2084">
        <v>12083</v>
      </c>
      <c r="B2084" s="1">
        <v>46644</v>
      </c>
      <c r="C2084">
        <v>1375</v>
      </c>
      <c r="D2084" t="s">
        <v>80</v>
      </c>
      <c r="E2084" t="s">
        <v>70</v>
      </c>
      <c r="F2084">
        <v>3</v>
      </c>
      <c r="G2084" s="2">
        <v>161.88</v>
      </c>
      <c r="H2084">
        <v>0.06</v>
      </c>
      <c r="I2084" t="s">
        <v>64</v>
      </c>
      <c r="J2084">
        <v>4</v>
      </c>
      <c r="K2084">
        <v>3.9</v>
      </c>
      <c r="L2084" s="2">
        <v>456.5</v>
      </c>
      <c r="M2084">
        <v>2027</v>
      </c>
      <c r="N2084">
        <v>9</v>
      </c>
      <c r="O2084" t="s">
        <v>148</v>
      </c>
      <c r="P2084" s="2">
        <v>485.64</v>
      </c>
      <c r="Q2084" s="2">
        <v>29.14</v>
      </c>
      <c r="R2084" t="s">
        <v>69</v>
      </c>
      <c r="S2084">
        <v>1</v>
      </c>
      <c r="T2084">
        <v>0</v>
      </c>
      <c r="U2084">
        <f>IF(AND(OR(Dashboard!$D$4="Semua",D2084=Dashboard!$D$4),OR(Dashboard!$H$4="Semua",E2084=Dashboard!$H$4)),1,0)</f>
        <v>1</v>
      </c>
      <c r="V2084">
        <f>IF(U2084=1,IF(COUNTIFS($C$2:C2084,C2084,$U$2:U2084,1)=1,1,0),0)</f>
        <v>0</v>
      </c>
    </row>
    <row r="2085" spans="1:22" x14ac:dyDescent="0.35">
      <c r="A2085">
        <v>12084</v>
      </c>
      <c r="B2085" s="1">
        <v>46645</v>
      </c>
      <c r="C2085">
        <v>1669</v>
      </c>
      <c r="D2085" t="s">
        <v>67</v>
      </c>
      <c r="E2085" t="s">
        <v>70</v>
      </c>
      <c r="F2085">
        <v>4</v>
      </c>
      <c r="G2085" s="2">
        <v>307.31</v>
      </c>
      <c r="H2085">
        <v>0.26</v>
      </c>
      <c r="I2085" t="s">
        <v>68</v>
      </c>
      <c r="J2085">
        <v>2</v>
      </c>
      <c r="K2085">
        <v>3.8</v>
      </c>
      <c r="L2085" s="2">
        <v>909.64</v>
      </c>
      <c r="M2085">
        <v>2027</v>
      </c>
      <c r="N2085">
        <v>9</v>
      </c>
      <c r="O2085" t="s">
        <v>148</v>
      </c>
      <c r="P2085" s="2">
        <v>1229.24</v>
      </c>
      <c r="Q2085" s="2">
        <v>319.60000000000002</v>
      </c>
      <c r="R2085" t="s">
        <v>66</v>
      </c>
      <c r="S2085">
        <v>1</v>
      </c>
      <c r="T2085">
        <v>0</v>
      </c>
      <c r="U2085">
        <f>IF(AND(OR(Dashboard!$D$4="Semua",D2085=Dashboard!$D$4),OR(Dashboard!$H$4="Semua",E2085=Dashboard!$H$4)),1,0)</f>
        <v>1</v>
      </c>
      <c r="V2085">
        <f>IF(U2085=1,IF(COUNTIFS($C$2:C2085,C2085,$U$2:U2085,1)=1,1,0),0)</f>
        <v>0</v>
      </c>
    </row>
    <row r="2086" spans="1:22" x14ac:dyDescent="0.35">
      <c r="A2086">
        <v>12085</v>
      </c>
      <c r="B2086" s="1">
        <v>46646</v>
      </c>
      <c r="C2086">
        <v>1323</v>
      </c>
      <c r="D2086" t="s">
        <v>80</v>
      </c>
      <c r="E2086" t="s">
        <v>78</v>
      </c>
      <c r="F2086">
        <v>3</v>
      </c>
      <c r="G2086" s="2">
        <v>451.85</v>
      </c>
      <c r="H2086">
        <v>0.06</v>
      </c>
      <c r="I2086" t="s">
        <v>68</v>
      </c>
      <c r="J2086">
        <v>7</v>
      </c>
      <c r="K2086">
        <v>2.1</v>
      </c>
      <c r="L2086" s="2">
        <v>1274.22</v>
      </c>
      <c r="M2086">
        <v>2027</v>
      </c>
      <c r="N2086">
        <v>9</v>
      </c>
      <c r="O2086" t="s">
        <v>148</v>
      </c>
      <c r="P2086" s="2">
        <v>1355.55</v>
      </c>
      <c r="Q2086" s="2">
        <v>81.33</v>
      </c>
      <c r="R2086" t="s">
        <v>69</v>
      </c>
      <c r="S2086">
        <v>1</v>
      </c>
      <c r="T2086">
        <v>0</v>
      </c>
      <c r="U2086">
        <f>IF(AND(OR(Dashboard!$D$4="Semua",D2086=Dashboard!$D$4),OR(Dashboard!$H$4="Semua",E2086=Dashboard!$H$4)),1,0)</f>
        <v>1</v>
      </c>
      <c r="V2086">
        <f>IF(U2086=1,IF(COUNTIFS($C$2:C2086,C2086,$U$2:U2086,1)=1,1,0),0)</f>
        <v>0</v>
      </c>
    </row>
    <row r="2087" spans="1:22" x14ac:dyDescent="0.35">
      <c r="A2087">
        <v>12086</v>
      </c>
      <c r="B2087" s="1">
        <v>46647</v>
      </c>
      <c r="C2087">
        <v>1145</v>
      </c>
      <c r="D2087" t="s">
        <v>67</v>
      </c>
      <c r="E2087" t="s">
        <v>78</v>
      </c>
      <c r="F2087">
        <v>7</v>
      </c>
      <c r="G2087" s="2">
        <v>344.16</v>
      </c>
      <c r="H2087">
        <v>0.12</v>
      </c>
      <c r="I2087" t="s">
        <v>71</v>
      </c>
      <c r="J2087">
        <v>1</v>
      </c>
      <c r="K2087">
        <v>3.3</v>
      </c>
      <c r="L2087" s="2">
        <v>2120.0300000000002</v>
      </c>
      <c r="M2087">
        <v>2027</v>
      </c>
      <c r="N2087">
        <v>9</v>
      </c>
      <c r="O2087" t="s">
        <v>148</v>
      </c>
      <c r="P2087" s="2">
        <v>2409.12</v>
      </c>
      <c r="Q2087" s="2">
        <v>289.08999999999997</v>
      </c>
      <c r="R2087" t="s">
        <v>79</v>
      </c>
      <c r="S2087">
        <v>1</v>
      </c>
      <c r="T2087">
        <v>0</v>
      </c>
      <c r="U2087">
        <f>IF(AND(OR(Dashboard!$D$4="Semua",D2087=Dashboard!$D$4),OR(Dashboard!$H$4="Semua",E2087=Dashboard!$H$4)),1,0)</f>
        <v>1</v>
      </c>
      <c r="V2087">
        <f>IF(U2087=1,IF(COUNTIFS($C$2:C2087,C2087,$U$2:U2087,1)=1,1,0),0)</f>
        <v>0</v>
      </c>
    </row>
    <row r="2088" spans="1:22" x14ac:dyDescent="0.35">
      <c r="A2088">
        <v>12087</v>
      </c>
      <c r="B2088" s="1">
        <v>46648</v>
      </c>
      <c r="C2088">
        <v>1957</v>
      </c>
      <c r="D2088" t="s">
        <v>73</v>
      </c>
      <c r="E2088" t="s">
        <v>78</v>
      </c>
      <c r="F2088">
        <v>6</v>
      </c>
      <c r="G2088" s="2">
        <v>63.73</v>
      </c>
      <c r="H2088">
        <v>0.23</v>
      </c>
      <c r="I2088" t="s">
        <v>64</v>
      </c>
      <c r="J2088">
        <v>2</v>
      </c>
      <c r="K2088">
        <v>4</v>
      </c>
      <c r="L2088" s="2">
        <v>294.43</v>
      </c>
      <c r="M2088">
        <v>2027</v>
      </c>
      <c r="N2088">
        <v>9</v>
      </c>
      <c r="O2088" t="s">
        <v>148</v>
      </c>
      <c r="P2088" s="2">
        <v>382.38</v>
      </c>
      <c r="Q2088" s="2">
        <v>87.95</v>
      </c>
      <c r="R2088" t="s">
        <v>77</v>
      </c>
      <c r="S2088">
        <v>1</v>
      </c>
      <c r="T2088">
        <v>0</v>
      </c>
      <c r="U2088">
        <f>IF(AND(OR(Dashboard!$D$4="Semua",D2088=Dashboard!$D$4),OR(Dashboard!$H$4="Semua",E2088=Dashboard!$H$4)),1,0)</f>
        <v>1</v>
      </c>
      <c r="V2088">
        <f>IF(U2088=1,IF(COUNTIFS($C$2:C2088,C2088,$U$2:U2088,1)=1,1,0),0)</f>
        <v>0</v>
      </c>
    </row>
    <row r="2089" spans="1:22" x14ac:dyDescent="0.35">
      <c r="A2089">
        <v>12088</v>
      </c>
      <c r="B2089" s="1">
        <v>46649</v>
      </c>
      <c r="C2089">
        <v>1292</v>
      </c>
      <c r="D2089" t="s">
        <v>80</v>
      </c>
      <c r="E2089" t="s">
        <v>63</v>
      </c>
      <c r="F2089">
        <v>7</v>
      </c>
      <c r="G2089" s="2">
        <v>123.56</v>
      </c>
      <c r="H2089">
        <v>0.17</v>
      </c>
      <c r="I2089" t="s">
        <v>71</v>
      </c>
      <c r="J2089">
        <v>10</v>
      </c>
      <c r="K2089">
        <v>3.6</v>
      </c>
      <c r="L2089" s="2">
        <v>717.88</v>
      </c>
      <c r="M2089">
        <v>2027</v>
      </c>
      <c r="N2089">
        <v>9</v>
      </c>
      <c r="O2089" t="s">
        <v>148</v>
      </c>
      <c r="P2089" s="2">
        <v>864.92</v>
      </c>
      <c r="Q2089" s="2">
        <v>147.04</v>
      </c>
      <c r="R2089" t="s">
        <v>76</v>
      </c>
      <c r="S2089">
        <v>1</v>
      </c>
      <c r="T2089">
        <v>0</v>
      </c>
      <c r="U2089">
        <f>IF(AND(OR(Dashboard!$D$4="Semua",D2089=Dashboard!$D$4),OR(Dashboard!$H$4="Semua",E2089=Dashboard!$H$4)),1,0)</f>
        <v>1</v>
      </c>
      <c r="V2089">
        <f>IF(U2089=1,IF(COUNTIFS($C$2:C2089,C2089,$U$2:U2089,1)=1,1,0),0)</f>
        <v>1</v>
      </c>
    </row>
    <row r="2090" spans="1:22" x14ac:dyDescent="0.35">
      <c r="A2090">
        <v>12089</v>
      </c>
      <c r="B2090" s="1">
        <v>46650</v>
      </c>
      <c r="C2090">
        <v>1664</v>
      </c>
      <c r="D2090" t="s">
        <v>67</v>
      </c>
      <c r="E2090" t="s">
        <v>63</v>
      </c>
      <c r="F2090">
        <v>4</v>
      </c>
      <c r="G2090" s="2">
        <v>143.31</v>
      </c>
      <c r="H2090">
        <v>0.26</v>
      </c>
      <c r="I2090" t="s">
        <v>68</v>
      </c>
      <c r="J2090">
        <v>7</v>
      </c>
      <c r="K2090">
        <v>4.2</v>
      </c>
      <c r="L2090" s="2">
        <v>424.2</v>
      </c>
      <c r="M2090">
        <v>2027</v>
      </c>
      <c r="N2090">
        <v>9</v>
      </c>
      <c r="O2090" t="s">
        <v>148</v>
      </c>
      <c r="P2090" s="2">
        <v>573.24</v>
      </c>
      <c r="Q2090" s="2">
        <v>149.04</v>
      </c>
      <c r="R2090" t="s">
        <v>66</v>
      </c>
      <c r="S2090">
        <v>1</v>
      </c>
      <c r="T2090">
        <v>0</v>
      </c>
      <c r="U2090">
        <f>IF(AND(OR(Dashboard!$D$4="Semua",D2090=Dashboard!$D$4),OR(Dashboard!$H$4="Semua",E2090=Dashboard!$H$4)),1,0)</f>
        <v>1</v>
      </c>
      <c r="V2090">
        <f>IF(U2090=1,IF(COUNTIFS($C$2:C2090,C2090,$U$2:U2090,1)=1,1,0),0)</f>
        <v>0</v>
      </c>
    </row>
    <row r="2091" spans="1:22" x14ac:dyDescent="0.35">
      <c r="A2091">
        <v>12090</v>
      </c>
      <c r="B2091" s="1">
        <v>46651</v>
      </c>
      <c r="C2091">
        <v>1431</v>
      </c>
      <c r="D2091" t="s">
        <v>73</v>
      </c>
      <c r="E2091" t="s">
        <v>70</v>
      </c>
      <c r="F2091">
        <v>7</v>
      </c>
      <c r="G2091" s="2">
        <v>165.85</v>
      </c>
      <c r="H2091">
        <v>0.34</v>
      </c>
      <c r="I2091" t="s">
        <v>68</v>
      </c>
      <c r="J2091">
        <v>10</v>
      </c>
      <c r="K2091">
        <v>3.8</v>
      </c>
      <c r="L2091" s="2">
        <v>766.23</v>
      </c>
      <c r="M2091">
        <v>2027</v>
      </c>
      <c r="N2091">
        <v>9</v>
      </c>
      <c r="O2091" t="s">
        <v>148</v>
      </c>
      <c r="P2091" s="2">
        <v>1160.95</v>
      </c>
      <c r="Q2091" s="2">
        <v>394.72</v>
      </c>
      <c r="R2091" t="s">
        <v>72</v>
      </c>
      <c r="S2091">
        <v>1</v>
      </c>
      <c r="T2091">
        <v>0</v>
      </c>
      <c r="U2091">
        <f>IF(AND(OR(Dashboard!$D$4="Semua",D2091=Dashboard!$D$4),OR(Dashboard!$H$4="Semua",E2091=Dashboard!$H$4)),1,0)</f>
        <v>1</v>
      </c>
      <c r="V2091">
        <f>IF(U2091=1,IF(COUNTIFS($C$2:C2091,C2091,$U$2:U2091,1)=1,1,0),0)</f>
        <v>0</v>
      </c>
    </row>
    <row r="2092" spans="1:22" x14ac:dyDescent="0.35">
      <c r="A2092">
        <v>12091</v>
      </c>
      <c r="B2092" s="1">
        <v>46652</v>
      </c>
      <c r="C2092">
        <v>1704</v>
      </c>
      <c r="D2092" t="s">
        <v>80</v>
      </c>
      <c r="E2092" t="s">
        <v>63</v>
      </c>
      <c r="F2092">
        <v>4</v>
      </c>
      <c r="G2092" s="2">
        <v>345.76</v>
      </c>
      <c r="H2092">
        <v>0.04</v>
      </c>
      <c r="I2092" t="s">
        <v>68</v>
      </c>
      <c r="J2092">
        <v>1</v>
      </c>
      <c r="K2092">
        <v>2.1</v>
      </c>
      <c r="L2092" s="2">
        <v>1327.72</v>
      </c>
      <c r="M2092">
        <v>2027</v>
      </c>
      <c r="N2092">
        <v>9</v>
      </c>
      <c r="O2092" t="s">
        <v>148</v>
      </c>
      <c r="P2092" s="2">
        <v>1383.04</v>
      </c>
      <c r="Q2092" s="2">
        <v>55.32</v>
      </c>
      <c r="R2092" t="s">
        <v>75</v>
      </c>
      <c r="S2092">
        <v>1</v>
      </c>
      <c r="T2092">
        <v>0</v>
      </c>
      <c r="U2092">
        <f>IF(AND(OR(Dashboard!$D$4="Semua",D2092=Dashboard!$D$4),OR(Dashboard!$H$4="Semua",E2092=Dashboard!$H$4)),1,0)</f>
        <v>1</v>
      </c>
      <c r="V2092">
        <f>IF(U2092=1,IF(COUNTIFS($C$2:C2092,C2092,$U$2:U2092,1)=1,1,0),0)</f>
        <v>0</v>
      </c>
    </row>
    <row r="2093" spans="1:22" x14ac:dyDescent="0.35">
      <c r="A2093">
        <v>12092</v>
      </c>
      <c r="B2093" s="1">
        <v>46653</v>
      </c>
      <c r="C2093">
        <v>1948</v>
      </c>
      <c r="D2093" t="s">
        <v>67</v>
      </c>
      <c r="E2093" t="s">
        <v>63</v>
      </c>
      <c r="F2093">
        <v>3</v>
      </c>
      <c r="G2093" s="2">
        <v>309.82</v>
      </c>
      <c r="H2093">
        <v>0.25</v>
      </c>
      <c r="I2093" t="s">
        <v>68</v>
      </c>
      <c r="J2093">
        <v>7</v>
      </c>
      <c r="K2093">
        <v>1.6</v>
      </c>
      <c r="L2093" s="2">
        <v>697.1</v>
      </c>
      <c r="M2093">
        <v>2027</v>
      </c>
      <c r="N2093">
        <v>9</v>
      </c>
      <c r="O2093" t="s">
        <v>148</v>
      </c>
      <c r="P2093" s="2">
        <v>929.46</v>
      </c>
      <c r="Q2093" s="2">
        <v>232.36</v>
      </c>
      <c r="R2093" t="s">
        <v>77</v>
      </c>
      <c r="S2093">
        <v>1</v>
      </c>
      <c r="T2093">
        <v>0</v>
      </c>
      <c r="U2093">
        <f>IF(AND(OR(Dashboard!$D$4="Semua",D2093=Dashboard!$D$4),OR(Dashboard!$H$4="Semua",E2093=Dashboard!$H$4)),1,0)</f>
        <v>1</v>
      </c>
      <c r="V2093">
        <f>IF(U2093=1,IF(COUNTIFS($C$2:C2093,C2093,$U$2:U2093,1)=1,1,0),0)</f>
        <v>1</v>
      </c>
    </row>
    <row r="2094" spans="1:22" x14ac:dyDescent="0.35">
      <c r="A2094">
        <v>12093</v>
      </c>
      <c r="B2094" s="1">
        <v>46654</v>
      </c>
      <c r="C2094">
        <v>1974</v>
      </c>
      <c r="D2094" t="s">
        <v>67</v>
      </c>
      <c r="E2094" t="s">
        <v>74</v>
      </c>
      <c r="F2094">
        <v>5</v>
      </c>
      <c r="G2094" s="2">
        <v>133.85</v>
      </c>
      <c r="H2094">
        <v>0.08</v>
      </c>
      <c r="I2094" t="s">
        <v>68</v>
      </c>
      <c r="J2094">
        <v>5</v>
      </c>
      <c r="K2094">
        <v>3.5</v>
      </c>
      <c r="L2094" s="2">
        <v>615.71</v>
      </c>
      <c r="M2094">
        <v>2027</v>
      </c>
      <c r="N2094">
        <v>9</v>
      </c>
      <c r="O2094" t="s">
        <v>148</v>
      </c>
      <c r="P2094" s="2">
        <v>669.25</v>
      </c>
      <c r="Q2094" s="2">
        <v>53.54</v>
      </c>
      <c r="R2094" t="s">
        <v>69</v>
      </c>
      <c r="S2094">
        <v>1</v>
      </c>
      <c r="T2094">
        <v>0</v>
      </c>
      <c r="U2094">
        <f>IF(AND(OR(Dashboard!$D$4="Semua",D2094=Dashboard!$D$4),OR(Dashboard!$H$4="Semua",E2094=Dashboard!$H$4)),1,0)</f>
        <v>1</v>
      </c>
      <c r="V2094">
        <f>IF(U2094=1,IF(COUNTIFS($C$2:C2094,C2094,$U$2:U2094,1)=1,1,0),0)</f>
        <v>0</v>
      </c>
    </row>
    <row r="2095" spans="1:22" x14ac:dyDescent="0.35">
      <c r="A2095">
        <v>12094</v>
      </c>
      <c r="B2095" s="1">
        <v>46655</v>
      </c>
      <c r="C2095">
        <v>1584</v>
      </c>
      <c r="D2095" t="s">
        <v>67</v>
      </c>
      <c r="E2095" t="s">
        <v>63</v>
      </c>
      <c r="F2095">
        <v>6</v>
      </c>
      <c r="G2095" s="2">
        <v>54.52</v>
      </c>
      <c r="H2095">
        <v>0.15</v>
      </c>
      <c r="I2095" t="s">
        <v>64</v>
      </c>
      <c r="J2095">
        <v>11</v>
      </c>
      <c r="K2095">
        <v>4</v>
      </c>
      <c r="L2095" s="2">
        <v>278.05</v>
      </c>
      <c r="M2095">
        <v>2027</v>
      </c>
      <c r="N2095">
        <v>9</v>
      </c>
      <c r="O2095" t="s">
        <v>148</v>
      </c>
      <c r="P2095" s="2">
        <v>327.12</v>
      </c>
      <c r="Q2095" s="2">
        <v>49.07</v>
      </c>
      <c r="R2095" t="s">
        <v>79</v>
      </c>
      <c r="S2095">
        <v>1</v>
      </c>
      <c r="T2095">
        <v>0</v>
      </c>
      <c r="U2095">
        <f>IF(AND(OR(Dashboard!$D$4="Semua",D2095=Dashboard!$D$4),OR(Dashboard!$H$4="Semua",E2095=Dashboard!$H$4)),1,0)</f>
        <v>1</v>
      </c>
      <c r="V2095">
        <f>IF(U2095=1,IF(COUNTIFS($C$2:C2095,C2095,$U$2:U2095,1)=1,1,0),0)</f>
        <v>1</v>
      </c>
    </row>
    <row r="2096" spans="1:22" x14ac:dyDescent="0.35">
      <c r="A2096">
        <v>12095</v>
      </c>
      <c r="B2096" s="1">
        <v>46656</v>
      </c>
      <c r="C2096">
        <v>1398</v>
      </c>
      <c r="D2096" t="s">
        <v>80</v>
      </c>
      <c r="E2096" t="s">
        <v>74</v>
      </c>
      <c r="F2096">
        <v>5</v>
      </c>
      <c r="G2096" s="2">
        <v>115.29</v>
      </c>
      <c r="H2096">
        <v>0.01</v>
      </c>
      <c r="I2096" t="s">
        <v>71</v>
      </c>
      <c r="J2096">
        <v>3</v>
      </c>
      <c r="K2096">
        <v>1.6</v>
      </c>
      <c r="L2096" s="2">
        <v>570.69000000000005</v>
      </c>
      <c r="M2096">
        <v>2027</v>
      </c>
      <c r="N2096">
        <v>9</v>
      </c>
      <c r="O2096" t="s">
        <v>148</v>
      </c>
      <c r="P2096" s="2">
        <v>576.45000000000005</v>
      </c>
      <c r="Q2096" s="2">
        <v>5.76</v>
      </c>
      <c r="R2096" t="s">
        <v>75</v>
      </c>
      <c r="S2096">
        <v>1</v>
      </c>
      <c r="T2096">
        <v>0</v>
      </c>
      <c r="U2096">
        <f>IF(AND(OR(Dashboard!$D$4="Semua",D2096=Dashboard!$D$4),OR(Dashboard!$H$4="Semua",E2096=Dashboard!$H$4)),1,0)</f>
        <v>1</v>
      </c>
      <c r="V2096">
        <f>IF(U2096=1,IF(COUNTIFS($C$2:C2096,C2096,$U$2:U2096,1)=1,1,0),0)</f>
        <v>1</v>
      </c>
    </row>
    <row r="2097" spans="1:22" x14ac:dyDescent="0.35">
      <c r="A2097">
        <v>12096</v>
      </c>
      <c r="B2097" s="1">
        <v>46657</v>
      </c>
      <c r="C2097">
        <v>1816</v>
      </c>
      <c r="D2097" t="s">
        <v>80</v>
      </c>
      <c r="E2097" t="s">
        <v>63</v>
      </c>
      <c r="F2097">
        <v>6</v>
      </c>
      <c r="G2097" s="2">
        <v>590.86</v>
      </c>
      <c r="H2097">
        <v>0.05</v>
      </c>
      <c r="I2097" t="s">
        <v>71</v>
      </c>
      <c r="J2097">
        <v>11</v>
      </c>
      <c r="K2097">
        <v>1.7</v>
      </c>
      <c r="L2097" s="2">
        <v>3367.9</v>
      </c>
      <c r="M2097">
        <v>2027</v>
      </c>
      <c r="N2097">
        <v>9</v>
      </c>
      <c r="O2097" t="s">
        <v>148</v>
      </c>
      <c r="P2097" s="2">
        <v>3545.16</v>
      </c>
      <c r="Q2097" s="2">
        <v>177.26</v>
      </c>
      <c r="R2097" t="s">
        <v>75</v>
      </c>
      <c r="S2097">
        <v>1</v>
      </c>
      <c r="T2097">
        <v>1</v>
      </c>
      <c r="U2097">
        <f>IF(AND(OR(Dashboard!$D$4="Semua",D2097=Dashboard!$D$4),OR(Dashboard!$H$4="Semua",E2097=Dashboard!$H$4)),1,0)</f>
        <v>1</v>
      </c>
      <c r="V2097">
        <f>IF(U2097=1,IF(COUNTIFS($C$2:C2097,C2097,$U$2:U2097,1)=1,1,0),0)</f>
        <v>0</v>
      </c>
    </row>
    <row r="2098" spans="1:22" x14ac:dyDescent="0.35">
      <c r="A2098">
        <v>12097</v>
      </c>
      <c r="B2098" s="1">
        <v>46658</v>
      </c>
      <c r="C2098">
        <v>1888</v>
      </c>
      <c r="D2098" t="s">
        <v>80</v>
      </c>
      <c r="E2098" t="s">
        <v>70</v>
      </c>
      <c r="F2098">
        <v>6</v>
      </c>
      <c r="G2098" s="2">
        <v>289.10000000000002</v>
      </c>
      <c r="H2098">
        <v>0.11</v>
      </c>
      <c r="I2098" t="s">
        <v>68</v>
      </c>
      <c r="J2098">
        <v>2</v>
      </c>
      <c r="K2098">
        <v>1</v>
      </c>
      <c r="L2098" s="2">
        <v>1543.79</v>
      </c>
      <c r="M2098">
        <v>2027</v>
      </c>
      <c r="N2098">
        <v>9</v>
      </c>
      <c r="O2098" t="s">
        <v>148</v>
      </c>
      <c r="P2098" s="2">
        <v>1734.6</v>
      </c>
      <c r="Q2098" s="2">
        <v>190.81</v>
      </c>
      <c r="R2098" t="s">
        <v>79</v>
      </c>
      <c r="S2098">
        <v>1</v>
      </c>
      <c r="T2098">
        <v>0</v>
      </c>
      <c r="U2098">
        <f>IF(AND(OR(Dashboard!$D$4="Semua",D2098=Dashboard!$D$4),OR(Dashboard!$H$4="Semua",E2098=Dashboard!$H$4)),1,0)</f>
        <v>1</v>
      </c>
      <c r="V2098">
        <f>IF(U2098=1,IF(COUNTIFS($C$2:C2098,C2098,$U$2:U2098,1)=1,1,0),0)</f>
        <v>1</v>
      </c>
    </row>
    <row r="2099" spans="1:22" x14ac:dyDescent="0.35">
      <c r="A2099">
        <v>12098</v>
      </c>
      <c r="B2099" s="1">
        <v>46659</v>
      </c>
      <c r="C2099">
        <v>1343</v>
      </c>
      <c r="D2099" t="s">
        <v>73</v>
      </c>
      <c r="E2099" t="s">
        <v>78</v>
      </c>
      <c r="F2099">
        <v>7</v>
      </c>
      <c r="G2099" s="2">
        <v>522.4</v>
      </c>
      <c r="H2099">
        <v>0.12</v>
      </c>
      <c r="I2099" t="s">
        <v>68</v>
      </c>
      <c r="J2099">
        <v>7</v>
      </c>
      <c r="K2099">
        <v>3.1</v>
      </c>
      <c r="L2099" s="2">
        <v>3217.98</v>
      </c>
      <c r="M2099">
        <v>2027</v>
      </c>
      <c r="N2099">
        <v>9</v>
      </c>
      <c r="O2099" t="s">
        <v>148</v>
      </c>
      <c r="P2099" s="2">
        <v>3656.8</v>
      </c>
      <c r="Q2099" s="2">
        <v>438.82</v>
      </c>
      <c r="R2099" t="s">
        <v>79</v>
      </c>
      <c r="S2099">
        <v>1</v>
      </c>
      <c r="T2099">
        <v>0</v>
      </c>
      <c r="U2099">
        <f>IF(AND(OR(Dashboard!$D$4="Semua",D2099=Dashboard!$D$4),OR(Dashboard!$H$4="Semua",E2099=Dashboard!$H$4)),1,0)</f>
        <v>1</v>
      </c>
      <c r="V2099">
        <f>IF(U2099=1,IF(COUNTIFS($C$2:C2099,C2099,$U$2:U2099,1)=1,1,0),0)</f>
        <v>0</v>
      </c>
    </row>
    <row r="2100" spans="1:22" x14ac:dyDescent="0.35">
      <c r="A2100">
        <v>12099</v>
      </c>
      <c r="B2100" s="1">
        <v>46660</v>
      </c>
      <c r="C2100">
        <v>1963</v>
      </c>
      <c r="D2100" t="s">
        <v>80</v>
      </c>
      <c r="E2100" t="s">
        <v>70</v>
      </c>
      <c r="F2100">
        <v>7</v>
      </c>
      <c r="G2100" s="2">
        <v>511.52</v>
      </c>
      <c r="H2100">
        <v>0.31</v>
      </c>
      <c r="I2100" t="s">
        <v>71</v>
      </c>
      <c r="J2100">
        <v>9</v>
      </c>
      <c r="K2100">
        <v>3.2</v>
      </c>
      <c r="L2100" s="2">
        <v>2470.64</v>
      </c>
      <c r="M2100">
        <v>2027</v>
      </c>
      <c r="N2100">
        <v>9</v>
      </c>
      <c r="O2100" t="s">
        <v>148</v>
      </c>
      <c r="P2100" s="2">
        <v>3580.64</v>
      </c>
      <c r="Q2100" s="2">
        <v>1110</v>
      </c>
      <c r="R2100" t="s">
        <v>72</v>
      </c>
      <c r="S2100">
        <v>1</v>
      </c>
      <c r="T2100">
        <v>0</v>
      </c>
      <c r="U2100">
        <f>IF(AND(OR(Dashboard!$D$4="Semua",D2100=Dashboard!$D$4),OR(Dashboard!$H$4="Semua",E2100=Dashboard!$H$4)),1,0)</f>
        <v>1</v>
      </c>
      <c r="V2100">
        <f>IF(U2100=1,IF(COUNTIFS($C$2:C2100,C2100,$U$2:U2100,1)=1,1,0),0)</f>
        <v>1</v>
      </c>
    </row>
    <row r="2101" spans="1:22" x14ac:dyDescent="0.35">
      <c r="A2101">
        <v>12100</v>
      </c>
      <c r="B2101" s="1">
        <v>46661</v>
      </c>
      <c r="C2101">
        <v>1139</v>
      </c>
      <c r="D2101" t="s">
        <v>80</v>
      </c>
      <c r="E2101" t="s">
        <v>63</v>
      </c>
      <c r="F2101">
        <v>5</v>
      </c>
      <c r="G2101" s="2">
        <v>314.24</v>
      </c>
      <c r="H2101">
        <v>0.26</v>
      </c>
      <c r="I2101" t="s">
        <v>64</v>
      </c>
      <c r="J2101">
        <v>9</v>
      </c>
      <c r="K2101">
        <v>3</v>
      </c>
      <c r="L2101" s="2">
        <v>1162.69</v>
      </c>
      <c r="M2101">
        <v>2027</v>
      </c>
      <c r="N2101">
        <v>10</v>
      </c>
      <c r="O2101" t="s">
        <v>149</v>
      </c>
      <c r="P2101" s="2">
        <v>1571.2</v>
      </c>
      <c r="Q2101" s="2">
        <v>408.51</v>
      </c>
      <c r="R2101" t="s">
        <v>66</v>
      </c>
      <c r="S2101">
        <v>1</v>
      </c>
      <c r="T2101">
        <v>0</v>
      </c>
      <c r="U2101">
        <f>IF(AND(OR(Dashboard!$D$4="Semua",D2101=Dashboard!$D$4),OR(Dashboard!$H$4="Semua",E2101=Dashboard!$H$4)),1,0)</f>
        <v>1</v>
      </c>
      <c r="V2101">
        <f>IF(U2101=1,IF(COUNTIFS($C$2:C2101,C2101,$U$2:U2101,1)=1,1,0),0)</f>
        <v>0</v>
      </c>
    </row>
    <row r="2102" spans="1:22" x14ac:dyDescent="0.35">
      <c r="A2102">
        <v>12101</v>
      </c>
      <c r="B2102" s="1">
        <v>46662</v>
      </c>
      <c r="C2102">
        <v>1186</v>
      </c>
      <c r="D2102" t="s">
        <v>80</v>
      </c>
      <c r="E2102" t="s">
        <v>78</v>
      </c>
      <c r="F2102">
        <v>2</v>
      </c>
      <c r="G2102" s="2">
        <v>428.41</v>
      </c>
      <c r="H2102">
        <v>0.34</v>
      </c>
      <c r="I2102" t="s">
        <v>71</v>
      </c>
      <c r="J2102">
        <v>10</v>
      </c>
      <c r="K2102">
        <v>2.2999999999999998</v>
      </c>
      <c r="L2102" s="2">
        <v>565.5</v>
      </c>
      <c r="M2102">
        <v>2027</v>
      </c>
      <c r="N2102">
        <v>10</v>
      </c>
      <c r="O2102" t="s">
        <v>149</v>
      </c>
      <c r="P2102" s="2">
        <v>856.82</v>
      </c>
      <c r="Q2102" s="2">
        <v>291.32</v>
      </c>
      <c r="R2102" t="s">
        <v>72</v>
      </c>
      <c r="S2102">
        <v>1</v>
      </c>
      <c r="T2102">
        <v>0</v>
      </c>
      <c r="U2102">
        <f>IF(AND(OR(Dashboard!$D$4="Semua",D2102=Dashboard!$D$4),OR(Dashboard!$H$4="Semua",E2102=Dashboard!$H$4)),1,0)</f>
        <v>1</v>
      </c>
      <c r="V2102">
        <f>IF(U2102=1,IF(COUNTIFS($C$2:C2102,C2102,$U$2:U2102,1)=1,1,0),0)</f>
        <v>0</v>
      </c>
    </row>
    <row r="2103" spans="1:22" x14ac:dyDescent="0.35">
      <c r="A2103">
        <v>12102</v>
      </c>
      <c r="B2103" s="1">
        <v>46663</v>
      </c>
      <c r="C2103">
        <v>1804</v>
      </c>
      <c r="D2103" t="s">
        <v>67</v>
      </c>
      <c r="E2103" t="s">
        <v>78</v>
      </c>
      <c r="F2103">
        <v>4</v>
      </c>
      <c r="G2103" s="2">
        <v>127.76</v>
      </c>
      <c r="H2103">
        <v>0.21</v>
      </c>
      <c r="I2103" t="s">
        <v>64</v>
      </c>
      <c r="J2103">
        <v>10</v>
      </c>
      <c r="K2103">
        <v>2.7</v>
      </c>
      <c r="L2103" s="2">
        <v>403.72</v>
      </c>
      <c r="M2103">
        <v>2027</v>
      </c>
      <c r="N2103">
        <v>10</v>
      </c>
      <c r="O2103" t="s">
        <v>149</v>
      </c>
      <c r="P2103" s="2">
        <v>511.04</v>
      </c>
      <c r="Q2103" s="2">
        <v>107.32</v>
      </c>
      <c r="R2103" t="s">
        <v>77</v>
      </c>
      <c r="S2103">
        <v>1</v>
      </c>
      <c r="T2103">
        <v>0</v>
      </c>
      <c r="U2103">
        <f>IF(AND(OR(Dashboard!$D$4="Semua",D2103=Dashboard!$D$4),OR(Dashboard!$H$4="Semua",E2103=Dashboard!$H$4)),1,0)</f>
        <v>1</v>
      </c>
      <c r="V2103">
        <f>IF(U2103=1,IF(COUNTIFS($C$2:C2103,C2103,$U$2:U2103,1)=1,1,0),0)</f>
        <v>0</v>
      </c>
    </row>
    <row r="2104" spans="1:22" x14ac:dyDescent="0.35">
      <c r="A2104">
        <v>12103</v>
      </c>
      <c r="B2104" s="1">
        <v>46664</v>
      </c>
      <c r="C2104">
        <v>1060</v>
      </c>
      <c r="D2104" t="s">
        <v>62</v>
      </c>
      <c r="E2104" t="s">
        <v>78</v>
      </c>
      <c r="F2104">
        <v>7</v>
      </c>
      <c r="G2104" s="2">
        <v>417.71</v>
      </c>
      <c r="H2104">
        <v>0.08</v>
      </c>
      <c r="I2104" t="s">
        <v>64</v>
      </c>
      <c r="J2104">
        <v>8</v>
      </c>
      <c r="K2104">
        <v>4.0999999999999996</v>
      </c>
      <c r="L2104" s="2">
        <v>2690.05</v>
      </c>
      <c r="M2104">
        <v>2027</v>
      </c>
      <c r="N2104">
        <v>10</v>
      </c>
      <c r="O2104" t="s">
        <v>149</v>
      </c>
      <c r="P2104" s="2">
        <v>2923.97</v>
      </c>
      <c r="Q2104" s="2">
        <v>233.92</v>
      </c>
      <c r="R2104" t="s">
        <v>69</v>
      </c>
      <c r="S2104">
        <v>1</v>
      </c>
      <c r="T2104">
        <v>0</v>
      </c>
      <c r="U2104">
        <f>IF(AND(OR(Dashboard!$D$4="Semua",D2104=Dashboard!$D$4),OR(Dashboard!$H$4="Semua",E2104=Dashboard!$H$4)),1,0)</f>
        <v>1</v>
      </c>
      <c r="V2104">
        <f>IF(U2104=1,IF(COUNTIFS($C$2:C2104,C2104,$U$2:U2104,1)=1,1,0),0)</f>
        <v>0</v>
      </c>
    </row>
    <row r="2105" spans="1:22" x14ac:dyDescent="0.35">
      <c r="A2105">
        <v>12104</v>
      </c>
      <c r="B2105" s="1">
        <v>46665</v>
      </c>
      <c r="C2105">
        <v>1996</v>
      </c>
      <c r="D2105" t="s">
        <v>80</v>
      </c>
      <c r="E2105" t="s">
        <v>74</v>
      </c>
      <c r="F2105">
        <v>7</v>
      </c>
      <c r="G2105" s="2">
        <v>174.34</v>
      </c>
      <c r="H2105">
        <v>0.11</v>
      </c>
      <c r="I2105" t="s">
        <v>68</v>
      </c>
      <c r="J2105">
        <v>2</v>
      </c>
      <c r="K2105">
        <v>1.7</v>
      </c>
      <c r="L2105" s="2">
        <v>1086.1400000000001</v>
      </c>
      <c r="M2105">
        <v>2027</v>
      </c>
      <c r="N2105">
        <v>10</v>
      </c>
      <c r="O2105" t="s">
        <v>149</v>
      </c>
      <c r="P2105" s="2">
        <v>1220.3800000000001</v>
      </c>
      <c r="Q2105" s="2">
        <v>134.24</v>
      </c>
      <c r="R2105" t="s">
        <v>79</v>
      </c>
      <c r="S2105">
        <v>1</v>
      </c>
      <c r="T2105">
        <v>0</v>
      </c>
      <c r="U2105">
        <f>IF(AND(OR(Dashboard!$D$4="Semua",D2105=Dashboard!$D$4),OR(Dashboard!$H$4="Semua",E2105=Dashboard!$H$4)),1,0)</f>
        <v>1</v>
      </c>
      <c r="V2105">
        <f>IF(U2105=1,IF(COUNTIFS($C$2:C2105,C2105,$U$2:U2105,1)=1,1,0),0)</f>
        <v>0</v>
      </c>
    </row>
    <row r="2106" spans="1:22" x14ac:dyDescent="0.35">
      <c r="A2106">
        <v>12105</v>
      </c>
      <c r="B2106" s="1">
        <v>46666</v>
      </c>
      <c r="C2106">
        <v>1938</v>
      </c>
      <c r="D2106" t="s">
        <v>73</v>
      </c>
      <c r="E2106" t="s">
        <v>70</v>
      </c>
      <c r="F2106">
        <v>7</v>
      </c>
      <c r="G2106" s="2">
        <v>501.76</v>
      </c>
      <c r="H2106">
        <v>0.11</v>
      </c>
      <c r="I2106" t="s">
        <v>68</v>
      </c>
      <c r="J2106">
        <v>1</v>
      </c>
      <c r="K2106">
        <v>1.8</v>
      </c>
      <c r="L2106" s="2">
        <v>3125.96</v>
      </c>
      <c r="M2106">
        <v>2027</v>
      </c>
      <c r="N2106">
        <v>10</v>
      </c>
      <c r="O2106" t="s">
        <v>149</v>
      </c>
      <c r="P2106" s="2">
        <v>3512.32</v>
      </c>
      <c r="Q2106" s="2">
        <v>386.36</v>
      </c>
      <c r="R2106" t="s">
        <v>79</v>
      </c>
      <c r="S2106">
        <v>1</v>
      </c>
      <c r="T2106">
        <v>0</v>
      </c>
      <c r="U2106">
        <f>IF(AND(OR(Dashboard!$D$4="Semua",D2106=Dashboard!$D$4),OR(Dashboard!$H$4="Semua",E2106=Dashboard!$H$4)),1,0)</f>
        <v>1</v>
      </c>
      <c r="V2106">
        <f>IF(U2106=1,IF(COUNTIFS($C$2:C2106,C2106,$U$2:U2106,1)=1,1,0),0)</f>
        <v>0</v>
      </c>
    </row>
    <row r="2107" spans="1:22" x14ac:dyDescent="0.35">
      <c r="A2107">
        <v>12106</v>
      </c>
      <c r="B2107" s="1">
        <v>46667</v>
      </c>
      <c r="C2107">
        <v>1379</v>
      </c>
      <c r="D2107" t="s">
        <v>67</v>
      </c>
      <c r="E2107" t="s">
        <v>74</v>
      </c>
      <c r="F2107">
        <v>3</v>
      </c>
      <c r="G2107" s="2">
        <v>63.98</v>
      </c>
      <c r="H2107">
        <v>0.11</v>
      </c>
      <c r="I2107" t="s">
        <v>71</v>
      </c>
      <c r="J2107">
        <v>8</v>
      </c>
      <c r="K2107">
        <v>3.7</v>
      </c>
      <c r="L2107" s="2">
        <v>170.83</v>
      </c>
      <c r="M2107">
        <v>2027</v>
      </c>
      <c r="N2107">
        <v>10</v>
      </c>
      <c r="O2107" t="s">
        <v>149</v>
      </c>
      <c r="P2107" s="2">
        <v>191.94</v>
      </c>
      <c r="Q2107" s="2">
        <v>21.11</v>
      </c>
      <c r="R2107" t="s">
        <v>79</v>
      </c>
      <c r="S2107">
        <v>1</v>
      </c>
      <c r="T2107">
        <v>0</v>
      </c>
      <c r="U2107">
        <f>IF(AND(OR(Dashboard!$D$4="Semua",D2107=Dashboard!$D$4),OR(Dashboard!$H$4="Semua",E2107=Dashboard!$H$4)),1,0)</f>
        <v>1</v>
      </c>
      <c r="V2107">
        <f>IF(U2107=1,IF(COUNTIFS($C$2:C2107,C2107,$U$2:U2107,1)=1,1,0),0)</f>
        <v>0</v>
      </c>
    </row>
    <row r="2108" spans="1:22" x14ac:dyDescent="0.35">
      <c r="A2108">
        <v>12107</v>
      </c>
      <c r="B2108" s="1">
        <v>46668</v>
      </c>
      <c r="C2108">
        <v>1709</v>
      </c>
      <c r="D2108" t="s">
        <v>62</v>
      </c>
      <c r="E2108" t="s">
        <v>78</v>
      </c>
      <c r="F2108">
        <v>5</v>
      </c>
      <c r="G2108" s="2">
        <v>467.29</v>
      </c>
      <c r="H2108">
        <v>0.24</v>
      </c>
      <c r="I2108" t="s">
        <v>68</v>
      </c>
      <c r="J2108">
        <v>2</v>
      </c>
      <c r="K2108">
        <v>4.5</v>
      </c>
      <c r="L2108" s="2">
        <v>1775.7</v>
      </c>
      <c r="M2108">
        <v>2027</v>
      </c>
      <c r="N2108">
        <v>10</v>
      </c>
      <c r="O2108" t="s">
        <v>149</v>
      </c>
      <c r="P2108" s="2">
        <v>2336.4499999999998</v>
      </c>
      <c r="Q2108" s="2">
        <v>560.75</v>
      </c>
      <c r="R2108" t="s">
        <v>77</v>
      </c>
      <c r="S2108">
        <v>1</v>
      </c>
      <c r="T2108">
        <v>0</v>
      </c>
      <c r="U2108">
        <f>IF(AND(OR(Dashboard!$D$4="Semua",D2108=Dashboard!$D$4),OR(Dashboard!$H$4="Semua",E2108=Dashboard!$H$4)),1,0)</f>
        <v>1</v>
      </c>
      <c r="V2108">
        <f>IF(U2108=1,IF(COUNTIFS($C$2:C2108,C2108,$U$2:U2108,1)=1,1,0),0)</f>
        <v>0</v>
      </c>
    </row>
    <row r="2109" spans="1:22" x14ac:dyDescent="0.35">
      <c r="A2109">
        <v>12108</v>
      </c>
      <c r="B2109" s="1">
        <v>46669</v>
      </c>
      <c r="C2109">
        <v>1806</v>
      </c>
      <c r="D2109" t="s">
        <v>73</v>
      </c>
      <c r="E2109" t="s">
        <v>70</v>
      </c>
      <c r="F2109">
        <v>5</v>
      </c>
      <c r="G2109" s="2">
        <v>73.459999999999994</v>
      </c>
      <c r="H2109">
        <v>0.19</v>
      </c>
      <c r="I2109" t="s">
        <v>68</v>
      </c>
      <c r="J2109">
        <v>4</v>
      </c>
      <c r="K2109">
        <v>2.4</v>
      </c>
      <c r="L2109" s="2">
        <v>297.51</v>
      </c>
      <c r="M2109">
        <v>2027</v>
      </c>
      <c r="N2109">
        <v>10</v>
      </c>
      <c r="O2109" t="s">
        <v>149</v>
      </c>
      <c r="P2109" s="2">
        <v>367.3</v>
      </c>
      <c r="Q2109" s="2">
        <v>69.790000000000006</v>
      </c>
      <c r="R2109" t="s">
        <v>76</v>
      </c>
      <c r="S2109">
        <v>1</v>
      </c>
      <c r="T2109">
        <v>0</v>
      </c>
      <c r="U2109">
        <f>IF(AND(OR(Dashboard!$D$4="Semua",D2109=Dashboard!$D$4),OR(Dashboard!$H$4="Semua",E2109=Dashboard!$H$4)),1,0)</f>
        <v>1</v>
      </c>
      <c r="V2109">
        <f>IF(U2109=1,IF(COUNTIFS($C$2:C2109,C2109,$U$2:U2109,1)=1,1,0),0)</f>
        <v>0</v>
      </c>
    </row>
    <row r="2110" spans="1:22" x14ac:dyDescent="0.35">
      <c r="A2110">
        <v>12109</v>
      </c>
      <c r="B2110" s="1">
        <v>46670</v>
      </c>
      <c r="C2110">
        <v>1439</v>
      </c>
      <c r="D2110" t="s">
        <v>62</v>
      </c>
      <c r="E2110" t="s">
        <v>70</v>
      </c>
      <c r="F2110">
        <v>7</v>
      </c>
      <c r="G2110" s="2">
        <v>530.5</v>
      </c>
      <c r="H2110">
        <v>0.13</v>
      </c>
      <c r="I2110" t="s">
        <v>68</v>
      </c>
      <c r="J2110">
        <v>4</v>
      </c>
      <c r="K2110">
        <v>4.7</v>
      </c>
      <c r="L2110" s="2">
        <v>3230.74</v>
      </c>
      <c r="M2110">
        <v>2027</v>
      </c>
      <c r="N2110">
        <v>10</v>
      </c>
      <c r="O2110" t="s">
        <v>149</v>
      </c>
      <c r="P2110" s="2">
        <v>3713.5</v>
      </c>
      <c r="Q2110" s="2">
        <v>482.76</v>
      </c>
      <c r="R2110" t="s">
        <v>79</v>
      </c>
      <c r="S2110">
        <v>1</v>
      </c>
      <c r="T2110">
        <v>0</v>
      </c>
      <c r="U2110">
        <f>IF(AND(OR(Dashboard!$D$4="Semua",D2110=Dashboard!$D$4),OR(Dashboard!$H$4="Semua",E2110=Dashboard!$H$4)),1,0)</f>
        <v>1</v>
      </c>
      <c r="V2110">
        <f>IF(U2110=1,IF(COUNTIFS($C$2:C2110,C2110,$U$2:U2110,1)=1,1,0),0)</f>
        <v>0</v>
      </c>
    </row>
    <row r="2111" spans="1:22" x14ac:dyDescent="0.35">
      <c r="A2111">
        <v>12110</v>
      </c>
      <c r="B2111" s="1">
        <v>46671</v>
      </c>
      <c r="C2111">
        <v>1318</v>
      </c>
      <c r="D2111" t="s">
        <v>80</v>
      </c>
      <c r="E2111" t="s">
        <v>63</v>
      </c>
      <c r="F2111">
        <v>3</v>
      </c>
      <c r="G2111" s="2">
        <v>192.96</v>
      </c>
      <c r="H2111">
        <v>0.05</v>
      </c>
      <c r="I2111" t="s">
        <v>68</v>
      </c>
      <c r="J2111">
        <v>2</v>
      </c>
      <c r="K2111">
        <v>1.2</v>
      </c>
      <c r="L2111" s="2">
        <v>549.94000000000005</v>
      </c>
      <c r="M2111">
        <v>2027</v>
      </c>
      <c r="N2111">
        <v>10</v>
      </c>
      <c r="O2111" t="s">
        <v>149</v>
      </c>
      <c r="P2111" s="2">
        <v>578.88</v>
      </c>
      <c r="Q2111" s="2">
        <v>28.94</v>
      </c>
      <c r="R2111" t="s">
        <v>75</v>
      </c>
      <c r="S2111">
        <v>1</v>
      </c>
      <c r="T2111">
        <v>0</v>
      </c>
      <c r="U2111">
        <f>IF(AND(OR(Dashboard!$D$4="Semua",D2111=Dashboard!$D$4),OR(Dashboard!$H$4="Semua",E2111=Dashboard!$H$4)),1,0)</f>
        <v>1</v>
      </c>
      <c r="V2111">
        <f>IF(U2111=1,IF(COUNTIFS($C$2:C2111,C2111,$U$2:U2111,1)=1,1,0),0)</f>
        <v>0</v>
      </c>
    </row>
    <row r="2112" spans="1:22" x14ac:dyDescent="0.35">
      <c r="A2112">
        <v>12111</v>
      </c>
      <c r="B2112" s="1">
        <v>46672</v>
      </c>
      <c r="C2112">
        <v>1301</v>
      </c>
      <c r="D2112" t="s">
        <v>67</v>
      </c>
      <c r="E2112" t="s">
        <v>74</v>
      </c>
      <c r="F2112">
        <v>7</v>
      </c>
      <c r="G2112" s="2">
        <v>397.82</v>
      </c>
      <c r="H2112">
        <v>0.01</v>
      </c>
      <c r="I2112" t="s">
        <v>64</v>
      </c>
      <c r="J2112">
        <v>4</v>
      </c>
      <c r="K2112">
        <v>1.5</v>
      </c>
      <c r="L2112" s="2">
        <v>2756.89</v>
      </c>
      <c r="M2112">
        <v>2027</v>
      </c>
      <c r="N2112">
        <v>10</v>
      </c>
      <c r="O2112" t="s">
        <v>149</v>
      </c>
      <c r="P2112" s="2">
        <v>2784.74</v>
      </c>
      <c r="Q2112" s="2">
        <v>27.85</v>
      </c>
      <c r="R2112" t="s">
        <v>75</v>
      </c>
      <c r="S2112">
        <v>1</v>
      </c>
      <c r="T2112">
        <v>0</v>
      </c>
      <c r="U2112">
        <f>IF(AND(OR(Dashboard!$D$4="Semua",D2112=Dashboard!$D$4),OR(Dashboard!$H$4="Semua",E2112=Dashboard!$H$4)),1,0)</f>
        <v>1</v>
      </c>
      <c r="V2112">
        <f>IF(U2112=1,IF(COUNTIFS($C$2:C2112,C2112,$U$2:U2112,1)=1,1,0),0)</f>
        <v>0</v>
      </c>
    </row>
    <row r="2113" spans="1:22" x14ac:dyDescent="0.35">
      <c r="A2113">
        <v>12112</v>
      </c>
      <c r="B2113" s="1">
        <v>46673</v>
      </c>
      <c r="C2113">
        <v>1343</v>
      </c>
      <c r="D2113" t="s">
        <v>73</v>
      </c>
      <c r="E2113" t="s">
        <v>74</v>
      </c>
      <c r="F2113">
        <v>4</v>
      </c>
      <c r="G2113" s="2">
        <v>300.19</v>
      </c>
      <c r="H2113">
        <v>0.08</v>
      </c>
      <c r="I2113" t="s">
        <v>68</v>
      </c>
      <c r="J2113">
        <v>7</v>
      </c>
      <c r="K2113">
        <v>2.8</v>
      </c>
      <c r="L2113" s="2">
        <v>1104.7</v>
      </c>
      <c r="M2113">
        <v>2027</v>
      </c>
      <c r="N2113">
        <v>10</v>
      </c>
      <c r="O2113" t="s">
        <v>149</v>
      </c>
      <c r="P2113" s="2">
        <v>1200.76</v>
      </c>
      <c r="Q2113" s="2">
        <v>96.06</v>
      </c>
      <c r="R2113" t="s">
        <v>69</v>
      </c>
      <c r="S2113">
        <v>1</v>
      </c>
      <c r="T2113">
        <v>0</v>
      </c>
      <c r="U2113">
        <f>IF(AND(OR(Dashboard!$D$4="Semua",D2113=Dashboard!$D$4),OR(Dashboard!$H$4="Semua",E2113=Dashboard!$H$4)),1,0)</f>
        <v>1</v>
      </c>
      <c r="V2113">
        <f>IF(U2113=1,IF(COUNTIFS($C$2:C2113,C2113,$U$2:U2113,1)=1,1,0),0)</f>
        <v>0</v>
      </c>
    </row>
    <row r="2114" spans="1:22" x14ac:dyDescent="0.35">
      <c r="A2114">
        <v>12113</v>
      </c>
      <c r="B2114" s="1">
        <v>46674</v>
      </c>
      <c r="C2114">
        <v>1010</v>
      </c>
      <c r="D2114" t="s">
        <v>73</v>
      </c>
      <c r="E2114" t="s">
        <v>63</v>
      </c>
      <c r="F2114">
        <v>3</v>
      </c>
      <c r="G2114" s="2">
        <v>229.29</v>
      </c>
      <c r="H2114">
        <v>0.04</v>
      </c>
      <c r="I2114" t="s">
        <v>68</v>
      </c>
      <c r="J2114">
        <v>6</v>
      </c>
      <c r="K2114">
        <v>3.9</v>
      </c>
      <c r="L2114" s="2">
        <v>660.36</v>
      </c>
      <c r="M2114">
        <v>2027</v>
      </c>
      <c r="N2114">
        <v>10</v>
      </c>
      <c r="O2114" t="s">
        <v>149</v>
      </c>
      <c r="P2114" s="2">
        <v>687.87</v>
      </c>
      <c r="Q2114" s="2">
        <v>27.51</v>
      </c>
      <c r="R2114" t="s">
        <v>75</v>
      </c>
      <c r="S2114">
        <v>1</v>
      </c>
      <c r="T2114">
        <v>0</v>
      </c>
      <c r="U2114">
        <f>IF(AND(OR(Dashboard!$D$4="Semua",D2114=Dashboard!$D$4),OR(Dashboard!$H$4="Semua",E2114=Dashboard!$H$4)),1,0)</f>
        <v>1</v>
      </c>
      <c r="V2114">
        <f>IF(U2114=1,IF(COUNTIFS($C$2:C2114,C2114,$U$2:U2114,1)=1,1,0),0)</f>
        <v>0</v>
      </c>
    </row>
    <row r="2115" spans="1:22" x14ac:dyDescent="0.35">
      <c r="A2115">
        <v>12114</v>
      </c>
      <c r="B2115" s="1">
        <v>46675</v>
      </c>
      <c r="C2115">
        <v>1061</v>
      </c>
      <c r="D2115" t="s">
        <v>62</v>
      </c>
      <c r="E2115" t="s">
        <v>74</v>
      </c>
      <c r="F2115">
        <v>7</v>
      </c>
      <c r="G2115" s="2">
        <v>392.58</v>
      </c>
      <c r="H2115">
        <v>0.27</v>
      </c>
      <c r="I2115" t="s">
        <v>71</v>
      </c>
      <c r="J2115">
        <v>10</v>
      </c>
      <c r="K2115">
        <v>2.5</v>
      </c>
      <c r="L2115" s="2">
        <v>2006.08</v>
      </c>
      <c r="M2115">
        <v>2027</v>
      </c>
      <c r="N2115">
        <v>10</v>
      </c>
      <c r="O2115" t="s">
        <v>149</v>
      </c>
      <c r="P2115" s="2">
        <v>2748.06</v>
      </c>
      <c r="Q2115" s="2">
        <v>741.98</v>
      </c>
      <c r="R2115" t="s">
        <v>66</v>
      </c>
      <c r="S2115">
        <v>1</v>
      </c>
      <c r="T2115">
        <v>0</v>
      </c>
      <c r="U2115">
        <f>IF(AND(OR(Dashboard!$D$4="Semua",D2115=Dashboard!$D$4),OR(Dashboard!$H$4="Semua",E2115=Dashboard!$H$4)),1,0)</f>
        <v>1</v>
      </c>
      <c r="V2115">
        <f>IF(U2115=1,IF(COUNTIFS($C$2:C2115,C2115,$U$2:U2115,1)=1,1,0),0)</f>
        <v>0</v>
      </c>
    </row>
    <row r="2116" spans="1:22" x14ac:dyDescent="0.35">
      <c r="A2116">
        <v>12115</v>
      </c>
      <c r="B2116" s="1">
        <v>46676</v>
      </c>
      <c r="C2116">
        <v>1844</v>
      </c>
      <c r="D2116" t="s">
        <v>73</v>
      </c>
      <c r="E2116" t="s">
        <v>78</v>
      </c>
      <c r="F2116">
        <v>6</v>
      </c>
      <c r="G2116" s="2">
        <v>569.29999999999995</v>
      </c>
      <c r="H2116">
        <v>0.04</v>
      </c>
      <c r="I2116" t="s">
        <v>71</v>
      </c>
      <c r="J2116">
        <v>6</v>
      </c>
      <c r="K2116">
        <v>3.2</v>
      </c>
      <c r="L2116" s="2">
        <v>3279.17</v>
      </c>
      <c r="M2116">
        <v>2027</v>
      </c>
      <c r="N2116">
        <v>10</v>
      </c>
      <c r="O2116" t="s">
        <v>149</v>
      </c>
      <c r="P2116" s="2">
        <v>3415.8</v>
      </c>
      <c r="Q2116" s="2">
        <v>136.63</v>
      </c>
      <c r="R2116" t="s">
        <v>75</v>
      </c>
      <c r="S2116">
        <v>1</v>
      </c>
      <c r="T2116">
        <v>1</v>
      </c>
      <c r="U2116">
        <f>IF(AND(OR(Dashboard!$D$4="Semua",D2116=Dashboard!$D$4),OR(Dashboard!$H$4="Semua",E2116=Dashboard!$H$4)),1,0)</f>
        <v>1</v>
      </c>
      <c r="V2116">
        <f>IF(U2116=1,IF(COUNTIFS($C$2:C2116,C2116,$U$2:U2116,1)=1,1,0),0)</f>
        <v>0</v>
      </c>
    </row>
    <row r="2117" spans="1:22" x14ac:dyDescent="0.35">
      <c r="A2117">
        <v>12116</v>
      </c>
      <c r="B2117" s="1">
        <v>46677</v>
      </c>
      <c r="C2117">
        <v>1225</v>
      </c>
      <c r="D2117" t="s">
        <v>80</v>
      </c>
      <c r="E2117" t="s">
        <v>78</v>
      </c>
      <c r="F2117">
        <v>2</v>
      </c>
      <c r="G2117" s="2">
        <v>39.14</v>
      </c>
      <c r="H2117">
        <v>0.25</v>
      </c>
      <c r="I2117" t="s">
        <v>71</v>
      </c>
      <c r="J2117">
        <v>4</v>
      </c>
      <c r="K2117">
        <v>1.1000000000000001</v>
      </c>
      <c r="L2117" s="2">
        <v>58.71</v>
      </c>
      <c r="M2117">
        <v>2027</v>
      </c>
      <c r="N2117">
        <v>10</v>
      </c>
      <c r="O2117" t="s">
        <v>149</v>
      </c>
      <c r="P2117" s="2">
        <v>78.28</v>
      </c>
      <c r="Q2117" s="2">
        <v>19.57</v>
      </c>
      <c r="R2117" t="s">
        <v>77</v>
      </c>
      <c r="S2117">
        <v>1</v>
      </c>
      <c r="T2117">
        <v>0</v>
      </c>
      <c r="U2117">
        <f>IF(AND(OR(Dashboard!$D$4="Semua",D2117=Dashboard!$D$4),OR(Dashboard!$H$4="Semua",E2117=Dashboard!$H$4)),1,0)</f>
        <v>1</v>
      </c>
      <c r="V2117">
        <f>IF(U2117=1,IF(COUNTIFS($C$2:C2117,C2117,$U$2:U2117,1)=1,1,0),0)</f>
        <v>0</v>
      </c>
    </row>
    <row r="2118" spans="1:22" x14ac:dyDescent="0.35">
      <c r="A2118">
        <v>12117</v>
      </c>
      <c r="B2118" s="1">
        <v>46678</v>
      </c>
      <c r="C2118">
        <v>1152</v>
      </c>
      <c r="D2118" t="s">
        <v>67</v>
      </c>
      <c r="E2118" t="s">
        <v>74</v>
      </c>
      <c r="F2118">
        <v>6</v>
      </c>
      <c r="G2118" s="2">
        <v>552.53</v>
      </c>
      <c r="H2118">
        <v>0.13</v>
      </c>
      <c r="I2118" t="s">
        <v>64</v>
      </c>
      <c r="J2118">
        <v>2</v>
      </c>
      <c r="K2118">
        <v>2.8</v>
      </c>
      <c r="L2118" s="2">
        <v>2884.21</v>
      </c>
      <c r="M2118">
        <v>2027</v>
      </c>
      <c r="N2118">
        <v>10</v>
      </c>
      <c r="O2118" t="s">
        <v>149</v>
      </c>
      <c r="P2118" s="2">
        <v>3315.18</v>
      </c>
      <c r="Q2118" s="2">
        <v>430.97</v>
      </c>
      <c r="R2118" t="s">
        <v>79</v>
      </c>
      <c r="S2118">
        <v>1</v>
      </c>
      <c r="T2118">
        <v>0</v>
      </c>
      <c r="U2118">
        <f>IF(AND(OR(Dashboard!$D$4="Semua",D2118=Dashboard!$D$4),OR(Dashboard!$H$4="Semua",E2118=Dashboard!$H$4)),1,0)</f>
        <v>1</v>
      </c>
      <c r="V2118">
        <f>IF(U2118=1,IF(COUNTIFS($C$2:C2118,C2118,$U$2:U2118,1)=1,1,0),0)</f>
        <v>0</v>
      </c>
    </row>
    <row r="2119" spans="1:22" x14ac:dyDescent="0.35">
      <c r="A2119">
        <v>12118</v>
      </c>
      <c r="B2119" s="1">
        <v>46679</v>
      </c>
      <c r="C2119">
        <v>1710</v>
      </c>
      <c r="D2119" t="s">
        <v>73</v>
      </c>
      <c r="E2119" t="s">
        <v>63</v>
      </c>
      <c r="F2119">
        <v>2</v>
      </c>
      <c r="G2119" s="2">
        <v>371.31</v>
      </c>
      <c r="H2119">
        <v>0.03</v>
      </c>
      <c r="I2119" t="s">
        <v>71</v>
      </c>
      <c r="J2119">
        <v>5</v>
      </c>
      <c r="K2119">
        <v>2</v>
      </c>
      <c r="L2119" s="2">
        <v>720.34</v>
      </c>
      <c r="M2119">
        <v>2027</v>
      </c>
      <c r="N2119">
        <v>10</v>
      </c>
      <c r="O2119" t="s">
        <v>149</v>
      </c>
      <c r="P2119" s="2">
        <v>742.62</v>
      </c>
      <c r="Q2119" s="2">
        <v>22.28</v>
      </c>
      <c r="R2119" t="s">
        <v>75</v>
      </c>
      <c r="S2119">
        <v>1</v>
      </c>
      <c r="T2119">
        <v>0</v>
      </c>
      <c r="U2119">
        <f>IF(AND(OR(Dashboard!$D$4="Semua",D2119=Dashboard!$D$4),OR(Dashboard!$H$4="Semua",E2119=Dashboard!$H$4)),1,0)</f>
        <v>1</v>
      </c>
      <c r="V2119">
        <f>IF(U2119=1,IF(COUNTIFS($C$2:C2119,C2119,$U$2:U2119,1)=1,1,0),0)</f>
        <v>0</v>
      </c>
    </row>
    <row r="2120" spans="1:22" x14ac:dyDescent="0.35">
      <c r="A2120">
        <v>12119</v>
      </c>
      <c r="B2120" s="1">
        <v>46680</v>
      </c>
      <c r="C2120">
        <v>1563</v>
      </c>
      <c r="D2120" t="s">
        <v>73</v>
      </c>
      <c r="E2120" t="s">
        <v>70</v>
      </c>
      <c r="F2120">
        <v>3</v>
      </c>
      <c r="G2120" s="2">
        <v>487.28</v>
      </c>
      <c r="H2120">
        <v>0.28000000000000003</v>
      </c>
      <c r="I2120" t="s">
        <v>71</v>
      </c>
      <c r="J2120">
        <v>11</v>
      </c>
      <c r="K2120">
        <v>3.1</v>
      </c>
      <c r="L2120" s="2">
        <v>1052.52</v>
      </c>
      <c r="M2120">
        <v>2027</v>
      </c>
      <c r="N2120">
        <v>10</v>
      </c>
      <c r="O2120" t="s">
        <v>149</v>
      </c>
      <c r="P2120" s="2">
        <v>1461.84</v>
      </c>
      <c r="Q2120" s="2">
        <v>409.32</v>
      </c>
      <c r="R2120" t="s">
        <v>66</v>
      </c>
      <c r="S2120">
        <v>1</v>
      </c>
      <c r="T2120">
        <v>0</v>
      </c>
      <c r="U2120">
        <f>IF(AND(OR(Dashboard!$D$4="Semua",D2120=Dashboard!$D$4),OR(Dashboard!$H$4="Semua",E2120=Dashboard!$H$4)),1,0)</f>
        <v>1</v>
      </c>
      <c r="V2120">
        <f>IF(U2120=1,IF(COUNTIFS($C$2:C2120,C2120,$U$2:U2120,1)=1,1,0),0)</f>
        <v>0</v>
      </c>
    </row>
    <row r="2121" spans="1:22" x14ac:dyDescent="0.35">
      <c r="A2121">
        <v>12120</v>
      </c>
      <c r="B2121" s="1">
        <v>46681</v>
      </c>
      <c r="C2121">
        <v>1771</v>
      </c>
      <c r="D2121" t="s">
        <v>67</v>
      </c>
      <c r="E2121" t="s">
        <v>74</v>
      </c>
      <c r="F2121">
        <v>6</v>
      </c>
      <c r="G2121" s="2">
        <v>239.57</v>
      </c>
      <c r="H2121">
        <v>0.2</v>
      </c>
      <c r="I2121" t="s">
        <v>68</v>
      </c>
      <c r="J2121">
        <v>3</v>
      </c>
      <c r="K2121">
        <v>3.1</v>
      </c>
      <c r="L2121" s="2">
        <v>1149.94</v>
      </c>
      <c r="M2121">
        <v>2027</v>
      </c>
      <c r="N2121">
        <v>10</v>
      </c>
      <c r="O2121" t="s">
        <v>149</v>
      </c>
      <c r="P2121" s="2">
        <v>1437.42</v>
      </c>
      <c r="Q2121" s="2">
        <v>287.48</v>
      </c>
      <c r="R2121" t="s">
        <v>76</v>
      </c>
      <c r="S2121">
        <v>1</v>
      </c>
      <c r="T2121">
        <v>0</v>
      </c>
      <c r="U2121">
        <f>IF(AND(OR(Dashboard!$D$4="Semua",D2121=Dashboard!$D$4),OR(Dashboard!$H$4="Semua",E2121=Dashboard!$H$4)),1,0)</f>
        <v>1</v>
      </c>
      <c r="V2121">
        <f>IF(U2121=1,IF(COUNTIFS($C$2:C2121,C2121,$U$2:U2121,1)=1,1,0),0)</f>
        <v>0</v>
      </c>
    </row>
    <row r="2122" spans="1:22" x14ac:dyDescent="0.35">
      <c r="A2122">
        <v>12121</v>
      </c>
      <c r="B2122" s="1">
        <v>46682</v>
      </c>
      <c r="C2122">
        <v>1570</v>
      </c>
      <c r="D2122" t="s">
        <v>62</v>
      </c>
      <c r="E2122" t="s">
        <v>70</v>
      </c>
      <c r="F2122">
        <v>4</v>
      </c>
      <c r="G2122" s="2">
        <v>291.02999999999997</v>
      </c>
      <c r="H2122">
        <v>0.08</v>
      </c>
      <c r="I2122" t="s">
        <v>71</v>
      </c>
      <c r="J2122">
        <v>3</v>
      </c>
      <c r="K2122">
        <v>4</v>
      </c>
      <c r="L2122" s="2">
        <v>1070.99</v>
      </c>
      <c r="M2122">
        <v>2027</v>
      </c>
      <c r="N2122">
        <v>10</v>
      </c>
      <c r="O2122" t="s">
        <v>149</v>
      </c>
      <c r="P2122" s="2">
        <v>1164.1199999999999</v>
      </c>
      <c r="Q2122" s="2">
        <v>93.13</v>
      </c>
      <c r="R2122" t="s">
        <v>69</v>
      </c>
      <c r="S2122">
        <v>1</v>
      </c>
      <c r="T2122">
        <v>0</v>
      </c>
      <c r="U2122">
        <f>IF(AND(OR(Dashboard!$D$4="Semua",D2122=Dashboard!$D$4),OR(Dashboard!$H$4="Semua",E2122=Dashboard!$H$4)),1,0)</f>
        <v>1</v>
      </c>
      <c r="V2122">
        <f>IF(U2122=1,IF(COUNTIFS($C$2:C2122,C2122,$U$2:U2122,1)=1,1,0),0)</f>
        <v>0</v>
      </c>
    </row>
    <row r="2123" spans="1:22" x14ac:dyDescent="0.35">
      <c r="A2123">
        <v>12122</v>
      </c>
      <c r="B2123" s="1">
        <v>46683</v>
      </c>
      <c r="C2123">
        <v>1583</v>
      </c>
      <c r="D2123" t="s">
        <v>67</v>
      </c>
      <c r="E2123" t="s">
        <v>63</v>
      </c>
      <c r="F2123">
        <v>6</v>
      </c>
      <c r="G2123" s="2">
        <v>523.28</v>
      </c>
      <c r="H2123">
        <v>0.31</v>
      </c>
      <c r="I2123" t="s">
        <v>71</v>
      </c>
      <c r="J2123">
        <v>4</v>
      </c>
      <c r="K2123">
        <v>3.2</v>
      </c>
      <c r="L2123" s="2">
        <v>2166.38</v>
      </c>
      <c r="M2123">
        <v>2027</v>
      </c>
      <c r="N2123">
        <v>10</v>
      </c>
      <c r="O2123" t="s">
        <v>149</v>
      </c>
      <c r="P2123" s="2">
        <v>3139.68</v>
      </c>
      <c r="Q2123" s="2">
        <v>973.3</v>
      </c>
      <c r="R2123" t="s">
        <v>72</v>
      </c>
      <c r="S2123">
        <v>1</v>
      </c>
      <c r="T2123">
        <v>0</v>
      </c>
      <c r="U2123">
        <f>IF(AND(OR(Dashboard!$D$4="Semua",D2123=Dashboard!$D$4),OR(Dashboard!$H$4="Semua",E2123=Dashboard!$H$4)),1,0)</f>
        <v>1</v>
      </c>
      <c r="V2123">
        <f>IF(U2123=1,IF(COUNTIFS($C$2:C2123,C2123,$U$2:U2123,1)=1,1,0),0)</f>
        <v>1</v>
      </c>
    </row>
    <row r="2124" spans="1:22" x14ac:dyDescent="0.35">
      <c r="A2124">
        <v>12123</v>
      </c>
      <c r="B2124" s="1">
        <v>46684</v>
      </c>
      <c r="C2124">
        <v>1659</v>
      </c>
      <c r="D2124" t="s">
        <v>67</v>
      </c>
      <c r="E2124" t="s">
        <v>70</v>
      </c>
      <c r="F2124">
        <v>5</v>
      </c>
      <c r="G2124" s="2">
        <v>257.69</v>
      </c>
      <c r="H2124">
        <v>0.02</v>
      </c>
      <c r="I2124" t="s">
        <v>64</v>
      </c>
      <c r="J2124">
        <v>11</v>
      </c>
      <c r="K2124">
        <v>3.5</v>
      </c>
      <c r="L2124" s="2">
        <v>1262.68</v>
      </c>
      <c r="M2124">
        <v>2027</v>
      </c>
      <c r="N2124">
        <v>10</v>
      </c>
      <c r="O2124" t="s">
        <v>149</v>
      </c>
      <c r="P2124" s="2">
        <v>1288.45</v>
      </c>
      <c r="Q2124" s="2">
        <v>25.77</v>
      </c>
      <c r="R2124" t="s">
        <v>75</v>
      </c>
      <c r="S2124">
        <v>1</v>
      </c>
      <c r="T2124">
        <v>0</v>
      </c>
      <c r="U2124">
        <f>IF(AND(OR(Dashboard!$D$4="Semua",D2124=Dashboard!$D$4),OR(Dashboard!$H$4="Semua",E2124=Dashboard!$H$4)),1,0)</f>
        <v>1</v>
      </c>
      <c r="V2124">
        <f>IF(U2124=1,IF(COUNTIFS($C$2:C2124,C2124,$U$2:U2124,1)=1,1,0),0)</f>
        <v>0</v>
      </c>
    </row>
    <row r="2125" spans="1:22" x14ac:dyDescent="0.35">
      <c r="A2125">
        <v>12124</v>
      </c>
      <c r="B2125" s="1">
        <v>46685</v>
      </c>
      <c r="C2125">
        <v>1860</v>
      </c>
      <c r="D2125" t="s">
        <v>73</v>
      </c>
      <c r="E2125" t="s">
        <v>63</v>
      </c>
      <c r="F2125">
        <v>2</v>
      </c>
      <c r="G2125" s="2">
        <v>327.78</v>
      </c>
      <c r="H2125">
        <v>7.0000000000000007E-2</v>
      </c>
      <c r="I2125" t="s">
        <v>64</v>
      </c>
      <c r="J2125">
        <v>11</v>
      </c>
      <c r="K2125">
        <v>3.1</v>
      </c>
      <c r="L2125" s="2">
        <v>609.66999999999996</v>
      </c>
      <c r="M2125">
        <v>2027</v>
      </c>
      <c r="N2125">
        <v>10</v>
      </c>
      <c r="O2125" t="s">
        <v>149</v>
      </c>
      <c r="P2125" s="2">
        <v>655.56</v>
      </c>
      <c r="Q2125" s="2">
        <v>45.89</v>
      </c>
      <c r="R2125" t="s">
        <v>69</v>
      </c>
      <c r="S2125">
        <v>1</v>
      </c>
      <c r="T2125">
        <v>0</v>
      </c>
      <c r="U2125">
        <f>IF(AND(OR(Dashboard!$D$4="Semua",D2125=Dashboard!$D$4),OR(Dashboard!$H$4="Semua",E2125=Dashboard!$H$4)),1,0)</f>
        <v>1</v>
      </c>
      <c r="V2125">
        <f>IF(U2125=1,IF(COUNTIFS($C$2:C2125,C2125,$U$2:U2125,1)=1,1,0),0)</f>
        <v>0</v>
      </c>
    </row>
    <row r="2126" spans="1:22" x14ac:dyDescent="0.35">
      <c r="A2126">
        <v>12125</v>
      </c>
      <c r="B2126" s="1">
        <v>46686</v>
      </c>
      <c r="C2126">
        <v>1574</v>
      </c>
      <c r="D2126" t="s">
        <v>67</v>
      </c>
      <c r="E2126" t="s">
        <v>63</v>
      </c>
      <c r="F2126">
        <v>2</v>
      </c>
      <c r="G2126" s="2">
        <v>26.81</v>
      </c>
      <c r="H2126">
        <v>0.26</v>
      </c>
      <c r="I2126" t="s">
        <v>71</v>
      </c>
      <c r="J2126">
        <v>5</v>
      </c>
      <c r="K2126">
        <v>5</v>
      </c>
      <c r="L2126" s="2">
        <v>39.68</v>
      </c>
      <c r="M2126">
        <v>2027</v>
      </c>
      <c r="N2126">
        <v>10</v>
      </c>
      <c r="O2126" t="s">
        <v>149</v>
      </c>
      <c r="P2126" s="2">
        <v>53.62</v>
      </c>
      <c r="Q2126" s="2">
        <v>13.94</v>
      </c>
      <c r="R2126" t="s">
        <v>66</v>
      </c>
      <c r="S2126">
        <v>1</v>
      </c>
      <c r="T2126">
        <v>0</v>
      </c>
      <c r="U2126">
        <f>IF(AND(OR(Dashboard!$D$4="Semua",D2126=Dashboard!$D$4),OR(Dashboard!$H$4="Semua",E2126=Dashboard!$H$4)),1,0)</f>
        <v>1</v>
      </c>
      <c r="V2126">
        <f>IF(U2126=1,IF(COUNTIFS($C$2:C2126,C2126,$U$2:U2126,1)=1,1,0),0)</f>
        <v>0</v>
      </c>
    </row>
    <row r="2127" spans="1:22" x14ac:dyDescent="0.35">
      <c r="A2127">
        <v>12126</v>
      </c>
      <c r="B2127" s="1">
        <v>46687</v>
      </c>
      <c r="C2127">
        <v>1309</v>
      </c>
      <c r="D2127" t="s">
        <v>67</v>
      </c>
      <c r="E2127" t="s">
        <v>78</v>
      </c>
      <c r="F2127">
        <v>7</v>
      </c>
      <c r="G2127" s="2">
        <v>107.78</v>
      </c>
      <c r="H2127">
        <v>0.25</v>
      </c>
      <c r="I2127" t="s">
        <v>71</v>
      </c>
      <c r="J2127">
        <v>11</v>
      </c>
      <c r="K2127">
        <v>4.2</v>
      </c>
      <c r="L2127" s="2">
        <v>565.84</v>
      </c>
      <c r="M2127">
        <v>2027</v>
      </c>
      <c r="N2127">
        <v>10</v>
      </c>
      <c r="O2127" t="s">
        <v>149</v>
      </c>
      <c r="P2127" s="2">
        <v>754.46</v>
      </c>
      <c r="Q2127" s="2">
        <v>188.62</v>
      </c>
      <c r="R2127" t="s">
        <v>77</v>
      </c>
      <c r="S2127">
        <v>1</v>
      </c>
      <c r="T2127">
        <v>0</v>
      </c>
      <c r="U2127">
        <f>IF(AND(OR(Dashboard!$D$4="Semua",D2127=Dashboard!$D$4),OR(Dashboard!$H$4="Semua",E2127=Dashboard!$H$4)),1,0)</f>
        <v>1</v>
      </c>
      <c r="V2127">
        <f>IF(U2127=1,IF(COUNTIFS($C$2:C2127,C2127,$U$2:U2127,1)=1,1,0),0)</f>
        <v>0</v>
      </c>
    </row>
    <row r="2128" spans="1:22" x14ac:dyDescent="0.35">
      <c r="A2128">
        <v>12127</v>
      </c>
      <c r="B2128" s="1">
        <v>46688</v>
      </c>
      <c r="C2128">
        <v>1884</v>
      </c>
      <c r="D2128" t="s">
        <v>62</v>
      </c>
      <c r="E2128" t="s">
        <v>78</v>
      </c>
      <c r="F2128">
        <v>4</v>
      </c>
      <c r="G2128" s="2">
        <v>390.39</v>
      </c>
      <c r="H2128">
        <v>0.1</v>
      </c>
      <c r="I2128" t="s">
        <v>68</v>
      </c>
      <c r="J2128">
        <v>2</v>
      </c>
      <c r="K2128">
        <v>4</v>
      </c>
      <c r="L2128" s="2">
        <v>1405.4</v>
      </c>
      <c r="M2128">
        <v>2027</v>
      </c>
      <c r="N2128">
        <v>10</v>
      </c>
      <c r="O2128" t="s">
        <v>149</v>
      </c>
      <c r="P2128" s="2">
        <v>1561.56</v>
      </c>
      <c r="Q2128" s="2">
        <v>156.16</v>
      </c>
      <c r="R2128" t="s">
        <v>69</v>
      </c>
      <c r="S2128">
        <v>1</v>
      </c>
      <c r="T2128">
        <v>0</v>
      </c>
      <c r="U2128">
        <f>IF(AND(OR(Dashboard!$D$4="Semua",D2128=Dashboard!$D$4),OR(Dashboard!$H$4="Semua",E2128=Dashboard!$H$4)),1,0)</f>
        <v>1</v>
      </c>
      <c r="V2128">
        <f>IF(U2128=1,IF(COUNTIFS($C$2:C2128,C2128,$U$2:U2128,1)=1,1,0),0)</f>
        <v>0</v>
      </c>
    </row>
    <row r="2129" spans="1:22" x14ac:dyDescent="0.35">
      <c r="A2129">
        <v>12128</v>
      </c>
      <c r="B2129" s="1">
        <v>46689</v>
      </c>
      <c r="C2129">
        <v>1242</v>
      </c>
      <c r="D2129" t="s">
        <v>67</v>
      </c>
      <c r="E2129" t="s">
        <v>63</v>
      </c>
      <c r="F2129">
        <v>2</v>
      </c>
      <c r="G2129" s="2">
        <v>434.43</v>
      </c>
      <c r="H2129">
        <v>0.02</v>
      </c>
      <c r="I2129" t="s">
        <v>68</v>
      </c>
      <c r="J2129">
        <v>6</v>
      </c>
      <c r="K2129">
        <v>3.5</v>
      </c>
      <c r="L2129" s="2">
        <v>851.48</v>
      </c>
      <c r="M2129">
        <v>2027</v>
      </c>
      <c r="N2129">
        <v>10</v>
      </c>
      <c r="O2129" t="s">
        <v>149</v>
      </c>
      <c r="P2129" s="2">
        <v>868.86</v>
      </c>
      <c r="Q2129" s="2">
        <v>17.38</v>
      </c>
      <c r="R2129" t="s">
        <v>75</v>
      </c>
      <c r="S2129">
        <v>1</v>
      </c>
      <c r="T2129">
        <v>0</v>
      </c>
      <c r="U2129">
        <f>IF(AND(OR(Dashboard!$D$4="Semua",D2129=Dashboard!$D$4),OR(Dashboard!$H$4="Semua",E2129=Dashboard!$H$4)),1,0)</f>
        <v>1</v>
      </c>
      <c r="V2129">
        <f>IF(U2129=1,IF(COUNTIFS($C$2:C2129,C2129,$U$2:U2129,1)=1,1,0),0)</f>
        <v>0</v>
      </c>
    </row>
    <row r="2130" spans="1:22" x14ac:dyDescent="0.35">
      <c r="A2130">
        <v>12129</v>
      </c>
      <c r="B2130" s="1">
        <v>46690</v>
      </c>
      <c r="C2130">
        <v>1492</v>
      </c>
      <c r="D2130" t="s">
        <v>67</v>
      </c>
      <c r="E2130" t="s">
        <v>74</v>
      </c>
      <c r="F2130">
        <v>2</v>
      </c>
      <c r="G2130" s="2">
        <v>355.82</v>
      </c>
      <c r="H2130">
        <v>0.3</v>
      </c>
      <c r="I2130" t="s">
        <v>68</v>
      </c>
      <c r="J2130">
        <v>6</v>
      </c>
      <c r="K2130">
        <v>3.1</v>
      </c>
      <c r="L2130" s="2">
        <v>498.15</v>
      </c>
      <c r="M2130">
        <v>2027</v>
      </c>
      <c r="N2130">
        <v>10</v>
      </c>
      <c r="O2130" t="s">
        <v>149</v>
      </c>
      <c r="P2130" s="2">
        <v>711.64</v>
      </c>
      <c r="Q2130" s="2">
        <v>213.49</v>
      </c>
      <c r="R2130" t="s">
        <v>66</v>
      </c>
      <c r="S2130">
        <v>1</v>
      </c>
      <c r="T2130">
        <v>0</v>
      </c>
      <c r="U2130">
        <f>IF(AND(OR(Dashboard!$D$4="Semua",D2130=Dashboard!$D$4),OR(Dashboard!$H$4="Semua",E2130=Dashboard!$H$4)),1,0)</f>
        <v>1</v>
      </c>
      <c r="V2130">
        <f>IF(U2130=1,IF(COUNTIFS($C$2:C2130,C2130,$U$2:U2130,1)=1,1,0),0)</f>
        <v>0</v>
      </c>
    </row>
    <row r="2131" spans="1:22" x14ac:dyDescent="0.35">
      <c r="A2131">
        <v>12130</v>
      </c>
      <c r="B2131" s="1">
        <v>46691</v>
      </c>
      <c r="C2131">
        <v>1365</v>
      </c>
      <c r="D2131" t="s">
        <v>73</v>
      </c>
      <c r="E2131" t="s">
        <v>78</v>
      </c>
      <c r="F2131">
        <v>7</v>
      </c>
      <c r="G2131" s="2">
        <v>98.84</v>
      </c>
      <c r="H2131">
        <v>0.11</v>
      </c>
      <c r="I2131" t="s">
        <v>68</v>
      </c>
      <c r="J2131">
        <v>8</v>
      </c>
      <c r="K2131">
        <v>2.4</v>
      </c>
      <c r="L2131" s="2">
        <v>615.77</v>
      </c>
      <c r="M2131">
        <v>2027</v>
      </c>
      <c r="N2131">
        <v>10</v>
      </c>
      <c r="O2131" t="s">
        <v>149</v>
      </c>
      <c r="P2131" s="2">
        <v>691.88</v>
      </c>
      <c r="Q2131" s="2">
        <v>76.11</v>
      </c>
      <c r="R2131" t="s">
        <v>79</v>
      </c>
      <c r="S2131">
        <v>1</v>
      </c>
      <c r="T2131">
        <v>0</v>
      </c>
      <c r="U2131">
        <f>IF(AND(OR(Dashboard!$D$4="Semua",D2131=Dashboard!$D$4),OR(Dashboard!$H$4="Semua",E2131=Dashboard!$H$4)),1,0)</f>
        <v>1</v>
      </c>
      <c r="V2131">
        <f>IF(U2131=1,IF(COUNTIFS($C$2:C2131,C2131,$U$2:U2131,1)=1,1,0),0)</f>
        <v>1</v>
      </c>
    </row>
    <row r="2132" spans="1:22" x14ac:dyDescent="0.35">
      <c r="A2132">
        <v>12131</v>
      </c>
      <c r="B2132" s="1">
        <v>46692</v>
      </c>
      <c r="C2132">
        <v>1329</v>
      </c>
      <c r="D2132" t="s">
        <v>62</v>
      </c>
      <c r="E2132" t="s">
        <v>63</v>
      </c>
      <c r="F2132">
        <v>4</v>
      </c>
      <c r="G2132" s="2">
        <v>275.56</v>
      </c>
      <c r="H2132">
        <v>7.0000000000000007E-2</v>
      </c>
      <c r="I2132" t="s">
        <v>68</v>
      </c>
      <c r="J2132">
        <v>2</v>
      </c>
      <c r="K2132">
        <v>4.0999999999999996</v>
      </c>
      <c r="L2132" s="2">
        <v>1025.08</v>
      </c>
      <c r="M2132">
        <v>2027</v>
      </c>
      <c r="N2132">
        <v>11</v>
      </c>
      <c r="O2132" t="s">
        <v>150</v>
      </c>
      <c r="P2132" s="2">
        <v>1102.24</v>
      </c>
      <c r="Q2132" s="2">
        <v>77.16</v>
      </c>
      <c r="R2132" t="s">
        <v>69</v>
      </c>
      <c r="S2132">
        <v>1</v>
      </c>
      <c r="T2132">
        <v>0</v>
      </c>
      <c r="U2132">
        <f>IF(AND(OR(Dashboard!$D$4="Semua",D2132=Dashboard!$D$4),OR(Dashboard!$H$4="Semua",E2132=Dashboard!$H$4)),1,0)</f>
        <v>1</v>
      </c>
      <c r="V2132">
        <f>IF(U2132=1,IF(COUNTIFS($C$2:C2132,C2132,$U$2:U2132,1)=1,1,0),0)</f>
        <v>0</v>
      </c>
    </row>
    <row r="2133" spans="1:22" x14ac:dyDescent="0.35">
      <c r="A2133">
        <v>12132</v>
      </c>
      <c r="B2133" s="1">
        <v>46693</v>
      </c>
      <c r="C2133">
        <v>1106</v>
      </c>
      <c r="D2133" t="s">
        <v>73</v>
      </c>
      <c r="E2133" t="s">
        <v>70</v>
      </c>
      <c r="F2133">
        <v>6</v>
      </c>
      <c r="G2133" s="2">
        <v>222.73</v>
      </c>
      <c r="H2133">
        <v>0.18</v>
      </c>
      <c r="I2133" t="s">
        <v>68</v>
      </c>
      <c r="J2133">
        <v>8</v>
      </c>
      <c r="K2133">
        <v>1.8</v>
      </c>
      <c r="L2133" s="2">
        <v>1095.83</v>
      </c>
      <c r="M2133">
        <v>2027</v>
      </c>
      <c r="N2133">
        <v>11</v>
      </c>
      <c r="O2133" t="s">
        <v>150</v>
      </c>
      <c r="P2133" s="2">
        <v>1336.38</v>
      </c>
      <c r="Q2133" s="2">
        <v>240.55</v>
      </c>
      <c r="R2133" t="s">
        <v>76</v>
      </c>
      <c r="S2133">
        <v>1</v>
      </c>
      <c r="T2133">
        <v>0</v>
      </c>
      <c r="U2133">
        <f>IF(AND(OR(Dashboard!$D$4="Semua",D2133=Dashboard!$D$4),OR(Dashboard!$H$4="Semua",E2133=Dashboard!$H$4)),1,0)</f>
        <v>1</v>
      </c>
      <c r="V2133">
        <f>IF(U2133=1,IF(COUNTIFS($C$2:C2133,C2133,$U$2:U2133,1)=1,1,0),0)</f>
        <v>0</v>
      </c>
    </row>
    <row r="2134" spans="1:22" x14ac:dyDescent="0.35">
      <c r="A2134">
        <v>12133</v>
      </c>
      <c r="B2134" s="1">
        <v>46694</v>
      </c>
      <c r="C2134">
        <v>1225</v>
      </c>
      <c r="D2134" t="s">
        <v>73</v>
      </c>
      <c r="E2134" t="s">
        <v>70</v>
      </c>
      <c r="F2134">
        <v>3</v>
      </c>
      <c r="G2134" s="2">
        <v>304.95999999999998</v>
      </c>
      <c r="H2134">
        <v>0.32</v>
      </c>
      <c r="I2134" t="s">
        <v>71</v>
      </c>
      <c r="J2134">
        <v>8</v>
      </c>
      <c r="K2134">
        <v>1.1000000000000001</v>
      </c>
      <c r="L2134" s="2">
        <v>622.12</v>
      </c>
      <c r="M2134">
        <v>2027</v>
      </c>
      <c r="N2134">
        <v>11</v>
      </c>
      <c r="O2134" t="s">
        <v>150</v>
      </c>
      <c r="P2134" s="2">
        <v>914.88</v>
      </c>
      <c r="Q2134" s="2">
        <v>292.76</v>
      </c>
      <c r="R2134" t="s">
        <v>72</v>
      </c>
      <c r="S2134">
        <v>1</v>
      </c>
      <c r="T2134">
        <v>0</v>
      </c>
      <c r="U2134">
        <f>IF(AND(OR(Dashboard!$D$4="Semua",D2134=Dashboard!$D$4),OR(Dashboard!$H$4="Semua",E2134=Dashboard!$H$4)),1,0)</f>
        <v>1</v>
      </c>
      <c r="V2134">
        <f>IF(U2134=1,IF(COUNTIFS($C$2:C2134,C2134,$U$2:U2134,1)=1,1,0),0)</f>
        <v>0</v>
      </c>
    </row>
    <row r="2135" spans="1:22" x14ac:dyDescent="0.35">
      <c r="A2135">
        <v>12134</v>
      </c>
      <c r="B2135" s="1">
        <v>46695</v>
      </c>
      <c r="C2135">
        <v>1824</v>
      </c>
      <c r="D2135" t="s">
        <v>80</v>
      </c>
      <c r="E2135" t="s">
        <v>74</v>
      </c>
      <c r="F2135">
        <v>6</v>
      </c>
      <c r="G2135" s="2">
        <v>524.14</v>
      </c>
      <c r="H2135">
        <v>0.02</v>
      </c>
      <c r="I2135" t="s">
        <v>71</v>
      </c>
      <c r="J2135">
        <v>4</v>
      </c>
      <c r="K2135">
        <v>3.8</v>
      </c>
      <c r="L2135" s="2">
        <v>3081.94</v>
      </c>
      <c r="M2135">
        <v>2027</v>
      </c>
      <c r="N2135">
        <v>11</v>
      </c>
      <c r="O2135" t="s">
        <v>150</v>
      </c>
      <c r="P2135" s="2">
        <v>3144.84</v>
      </c>
      <c r="Q2135" s="2">
        <v>62.9</v>
      </c>
      <c r="R2135" t="s">
        <v>75</v>
      </c>
      <c r="S2135">
        <v>1</v>
      </c>
      <c r="T2135">
        <v>0</v>
      </c>
      <c r="U2135">
        <f>IF(AND(OR(Dashboard!$D$4="Semua",D2135=Dashboard!$D$4),OR(Dashboard!$H$4="Semua",E2135=Dashboard!$H$4)),1,0)</f>
        <v>1</v>
      </c>
      <c r="V2135">
        <f>IF(U2135=1,IF(COUNTIFS($C$2:C2135,C2135,$U$2:U2135,1)=1,1,0),0)</f>
        <v>0</v>
      </c>
    </row>
    <row r="2136" spans="1:22" x14ac:dyDescent="0.35">
      <c r="A2136">
        <v>12135</v>
      </c>
      <c r="B2136" s="1">
        <v>46696</v>
      </c>
      <c r="C2136">
        <v>1217</v>
      </c>
      <c r="D2136" t="s">
        <v>67</v>
      </c>
      <c r="E2136" t="s">
        <v>70</v>
      </c>
      <c r="F2136">
        <v>5</v>
      </c>
      <c r="G2136" s="2">
        <v>468.88</v>
      </c>
      <c r="H2136">
        <v>0.27</v>
      </c>
      <c r="I2136" t="s">
        <v>71</v>
      </c>
      <c r="J2136">
        <v>7</v>
      </c>
      <c r="K2136">
        <v>1.6</v>
      </c>
      <c r="L2136" s="2">
        <v>1711.41</v>
      </c>
      <c r="M2136">
        <v>2027</v>
      </c>
      <c r="N2136">
        <v>11</v>
      </c>
      <c r="O2136" t="s">
        <v>150</v>
      </c>
      <c r="P2136" s="2">
        <v>2344.4</v>
      </c>
      <c r="Q2136" s="2">
        <v>632.99</v>
      </c>
      <c r="R2136" t="s">
        <v>66</v>
      </c>
      <c r="S2136">
        <v>1</v>
      </c>
      <c r="T2136">
        <v>0</v>
      </c>
      <c r="U2136">
        <f>IF(AND(OR(Dashboard!$D$4="Semua",D2136=Dashboard!$D$4),OR(Dashboard!$H$4="Semua",E2136=Dashboard!$H$4)),1,0)</f>
        <v>1</v>
      </c>
      <c r="V2136">
        <f>IF(U2136=1,IF(COUNTIFS($C$2:C2136,C2136,$U$2:U2136,1)=1,1,0),0)</f>
        <v>0</v>
      </c>
    </row>
    <row r="2137" spans="1:22" x14ac:dyDescent="0.35">
      <c r="A2137">
        <v>12136</v>
      </c>
      <c r="B2137" s="1">
        <v>46697</v>
      </c>
      <c r="C2137">
        <v>1936</v>
      </c>
      <c r="D2137" t="s">
        <v>67</v>
      </c>
      <c r="E2137" t="s">
        <v>70</v>
      </c>
      <c r="F2137">
        <v>5</v>
      </c>
      <c r="G2137" s="2">
        <v>64.13</v>
      </c>
      <c r="H2137">
        <v>0.2</v>
      </c>
      <c r="I2137" t="s">
        <v>71</v>
      </c>
      <c r="J2137">
        <v>7</v>
      </c>
      <c r="K2137">
        <v>4.5999999999999996</v>
      </c>
      <c r="L2137" s="2">
        <v>256.52</v>
      </c>
      <c r="M2137">
        <v>2027</v>
      </c>
      <c r="N2137">
        <v>11</v>
      </c>
      <c r="O2137" t="s">
        <v>150</v>
      </c>
      <c r="P2137" s="2">
        <v>320.64999999999998</v>
      </c>
      <c r="Q2137" s="2">
        <v>64.13</v>
      </c>
      <c r="R2137" t="s">
        <v>76</v>
      </c>
      <c r="S2137">
        <v>1</v>
      </c>
      <c r="T2137">
        <v>0</v>
      </c>
      <c r="U2137">
        <f>IF(AND(OR(Dashboard!$D$4="Semua",D2137=Dashboard!$D$4),OR(Dashboard!$H$4="Semua",E2137=Dashboard!$H$4)),1,0)</f>
        <v>1</v>
      </c>
      <c r="V2137">
        <f>IF(U2137=1,IF(COUNTIFS($C$2:C2137,C2137,$U$2:U2137,1)=1,1,0),0)</f>
        <v>0</v>
      </c>
    </row>
    <row r="2138" spans="1:22" x14ac:dyDescent="0.35">
      <c r="A2138">
        <v>12137</v>
      </c>
      <c r="B2138" s="1">
        <v>46698</v>
      </c>
      <c r="C2138">
        <v>1752</v>
      </c>
      <c r="D2138" t="s">
        <v>67</v>
      </c>
      <c r="E2138" t="s">
        <v>63</v>
      </c>
      <c r="F2138">
        <v>2</v>
      </c>
      <c r="G2138" s="2">
        <v>535.83000000000004</v>
      </c>
      <c r="H2138">
        <v>0.15</v>
      </c>
      <c r="I2138" t="s">
        <v>68</v>
      </c>
      <c r="J2138">
        <v>1</v>
      </c>
      <c r="K2138">
        <v>4.0999999999999996</v>
      </c>
      <c r="L2138" s="2">
        <v>910.91</v>
      </c>
      <c r="M2138">
        <v>2027</v>
      </c>
      <c r="N2138">
        <v>11</v>
      </c>
      <c r="O2138" t="s">
        <v>150</v>
      </c>
      <c r="P2138" s="2">
        <v>1071.6600000000001</v>
      </c>
      <c r="Q2138" s="2">
        <v>160.75</v>
      </c>
      <c r="R2138" t="s">
        <v>79</v>
      </c>
      <c r="S2138">
        <v>1</v>
      </c>
      <c r="T2138">
        <v>0</v>
      </c>
      <c r="U2138">
        <f>IF(AND(OR(Dashboard!$D$4="Semua",D2138=Dashboard!$D$4),OR(Dashboard!$H$4="Semua",E2138=Dashboard!$H$4)),1,0)</f>
        <v>1</v>
      </c>
      <c r="V2138">
        <f>IF(U2138=1,IF(COUNTIFS($C$2:C2138,C2138,$U$2:U2138,1)=1,1,0),0)</f>
        <v>1</v>
      </c>
    </row>
    <row r="2139" spans="1:22" x14ac:dyDescent="0.35">
      <c r="A2139">
        <v>12138</v>
      </c>
      <c r="B2139" s="1">
        <v>46699</v>
      </c>
      <c r="C2139">
        <v>1505</v>
      </c>
      <c r="D2139" t="s">
        <v>80</v>
      </c>
      <c r="E2139" t="s">
        <v>70</v>
      </c>
      <c r="F2139">
        <v>5</v>
      </c>
      <c r="G2139" s="2">
        <v>290.98</v>
      </c>
      <c r="H2139">
        <v>0.26</v>
      </c>
      <c r="I2139" t="s">
        <v>64</v>
      </c>
      <c r="J2139">
        <v>1</v>
      </c>
      <c r="K2139">
        <v>3.4</v>
      </c>
      <c r="L2139" s="2">
        <v>1076.6300000000001</v>
      </c>
      <c r="M2139">
        <v>2027</v>
      </c>
      <c r="N2139">
        <v>11</v>
      </c>
      <c r="O2139" t="s">
        <v>150</v>
      </c>
      <c r="P2139" s="2">
        <v>1454.9</v>
      </c>
      <c r="Q2139" s="2">
        <v>378.27</v>
      </c>
      <c r="R2139" t="s">
        <v>66</v>
      </c>
      <c r="S2139">
        <v>1</v>
      </c>
      <c r="T2139">
        <v>0</v>
      </c>
      <c r="U2139">
        <f>IF(AND(OR(Dashboard!$D$4="Semua",D2139=Dashboard!$D$4),OR(Dashboard!$H$4="Semua",E2139=Dashboard!$H$4)),1,0)</f>
        <v>1</v>
      </c>
      <c r="V2139">
        <f>IF(U2139=1,IF(COUNTIFS($C$2:C2139,C2139,$U$2:U2139,1)=1,1,0),0)</f>
        <v>0</v>
      </c>
    </row>
    <row r="2140" spans="1:22" x14ac:dyDescent="0.35">
      <c r="A2140">
        <v>12139</v>
      </c>
      <c r="B2140" s="1">
        <v>46700</v>
      </c>
      <c r="C2140">
        <v>1258</v>
      </c>
      <c r="D2140" t="s">
        <v>73</v>
      </c>
      <c r="E2140" t="s">
        <v>70</v>
      </c>
      <c r="F2140">
        <v>3</v>
      </c>
      <c r="G2140" s="2">
        <v>450.16</v>
      </c>
      <c r="H2140">
        <v>0.34</v>
      </c>
      <c r="I2140" t="s">
        <v>68</v>
      </c>
      <c r="J2140">
        <v>8</v>
      </c>
      <c r="K2140">
        <v>2.2999999999999998</v>
      </c>
      <c r="L2140" s="2">
        <v>891.32</v>
      </c>
      <c r="M2140">
        <v>2027</v>
      </c>
      <c r="N2140">
        <v>11</v>
      </c>
      <c r="O2140" t="s">
        <v>150</v>
      </c>
      <c r="P2140" s="2">
        <v>1350.48</v>
      </c>
      <c r="Q2140" s="2">
        <v>459.16</v>
      </c>
      <c r="R2140" t="s">
        <v>72</v>
      </c>
      <c r="S2140">
        <v>1</v>
      </c>
      <c r="T2140">
        <v>0</v>
      </c>
      <c r="U2140">
        <f>IF(AND(OR(Dashboard!$D$4="Semua",D2140=Dashboard!$D$4),OR(Dashboard!$H$4="Semua",E2140=Dashboard!$H$4)),1,0)</f>
        <v>1</v>
      </c>
      <c r="V2140">
        <f>IF(U2140=1,IF(COUNTIFS($C$2:C2140,C2140,$U$2:U2140,1)=1,1,0),0)</f>
        <v>0</v>
      </c>
    </row>
    <row r="2141" spans="1:22" x14ac:dyDescent="0.35">
      <c r="A2141">
        <v>12140</v>
      </c>
      <c r="B2141" s="1">
        <v>46701</v>
      </c>
      <c r="C2141">
        <v>1887</v>
      </c>
      <c r="D2141" t="s">
        <v>80</v>
      </c>
      <c r="E2141" t="s">
        <v>70</v>
      </c>
      <c r="F2141">
        <v>2</v>
      </c>
      <c r="G2141" s="2">
        <v>96.92</v>
      </c>
      <c r="H2141">
        <v>0.08</v>
      </c>
      <c r="I2141" t="s">
        <v>64</v>
      </c>
      <c r="J2141">
        <v>11</v>
      </c>
      <c r="K2141">
        <v>3.6</v>
      </c>
      <c r="L2141" s="2">
        <v>178.33</v>
      </c>
      <c r="M2141">
        <v>2027</v>
      </c>
      <c r="N2141">
        <v>11</v>
      </c>
      <c r="O2141" t="s">
        <v>150</v>
      </c>
      <c r="P2141" s="2">
        <v>193.84</v>
      </c>
      <c r="Q2141" s="2">
        <v>15.51</v>
      </c>
      <c r="R2141" t="s">
        <v>69</v>
      </c>
      <c r="S2141">
        <v>1</v>
      </c>
      <c r="T2141">
        <v>0</v>
      </c>
      <c r="U2141">
        <f>IF(AND(OR(Dashboard!$D$4="Semua",D2141=Dashboard!$D$4),OR(Dashboard!$H$4="Semua",E2141=Dashboard!$H$4)),1,0)</f>
        <v>1</v>
      </c>
      <c r="V2141">
        <f>IF(U2141=1,IF(COUNTIFS($C$2:C2141,C2141,$U$2:U2141,1)=1,1,0),0)</f>
        <v>0</v>
      </c>
    </row>
    <row r="2142" spans="1:22" x14ac:dyDescent="0.35">
      <c r="A2142">
        <v>12141</v>
      </c>
      <c r="B2142" s="1">
        <v>46702</v>
      </c>
      <c r="C2142">
        <v>1773</v>
      </c>
      <c r="D2142" t="s">
        <v>67</v>
      </c>
      <c r="E2142" t="s">
        <v>70</v>
      </c>
      <c r="F2142">
        <v>7</v>
      </c>
      <c r="G2142" s="2">
        <v>407.37</v>
      </c>
      <c r="H2142">
        <v>0.05</v>
      </c>
      <c r="I2142" t="s">
        <v>68</v>
      </c>
      <c r="J2142">
        <v>1</v>
      </c>
      <c r="K2142">
        <v>2.9</v>
      </c>
      <c r="L2142" s="2">
        <v>2709.01</v>
      </c>
      <c r="M2142">
        <v>2027</v>
      </c>
      <c r="N2142">
        <v>11</v>
      </c>
      <c r="O2142" t="s">
        <v>150</v>
      </c>
      <c r="P2142" s="2">
        <v>2851.59</v>
      </c>
      <c r="Q2142" s="2">
        <v>142.58000000000001</v>
      </c>
      <c r="R2142" t="s">
        <v>75</v>
      </c>
      <c r="S2142">
        <v>1</v>
      </c>
      <c r="T2142">
        <v>0</v>
      </c>
      <c r="U2142">
        <f>IF(AND(OR(Dashboard!$D$4="Semua",D2142=Dashboard!$D$4),OR(Dashboard!$H$4="Semua",E2142=Dashboard!$H$4)),1,0)</f>
        <v>1</v>
      </c>
      <c r="V2142">
        <f>IF(U2142=1,IF(COUNTIFS($C$2:C2142,C2142,$U$2:U2142,1)=1,1,0),0)</f>
        <v>0</v>
      </c>
    </row>
    <row r="2143" spans="1:22" x14ac:dyDescent="0.35">
      <c r="A2143">
        <v>12142</v>
      </c>
      <c r="B2143" s="1">
        <v>46703</v>
      </c>
      <c r="C2143">
        <v>1516</v>
      </c>
      <c r="D2143" t="s">
        <v>67</v>
      </c>
      <c r="E2143" t="s">
        <v>63</v>
      </c>
      <c r="F2143">
        <v>5</v>
      </c>
      <c r="G2143" s="2">
        <v>153.25</v>
      </c>
      <c r="H2143">
        <v>0.32</v>
      </c>
      <c r="I2143" t="s">
        <v>71</v>
      </c>
      <c r="J2143">
        <v>3</v>
      </c>
      <c r="K2143">
        <v>2.2000000000000002</v>
      </c>
      <c r="L2143" s="2">
        <v>521.04999999999995</v>
      </c>
      <c r="M2143">
        <v>2027</v>
      </c>
      <c r="N2143">
        <v>11</v>
      </c>
      <c r="O2143" t="s">
        <v>150</v>
      </c>
      <c r="P2143" s="2">
        <v>766.25</v>
      </c>
      <c r="Q2143" s="2">
        <v>245.2</v>
      </c>
      <c r="R2143" t="s">
        <v>72</v>
      </c>
      <c r="S2143">
        <v>1</v>
      </c>
      <c r="T2143">
        <v>0</v>
      </c>
      <c r="U2143">
        <f>IF(AND(OR(Dashboard!$D$4="Semua",D2143=Dashboard!$D$4),OR(Dashboard!$H$4="Semua",E2143=Dashboard!$H$4)),1,0)</f>
        <v>1</v>
      </c>
      <c r="V2143">
        <f>IF(U2143=1,IF(COUNTIFS($C$2:C2143,C2143,$U$2:U2143,1)=1,1,0),0)</f>
        <v>0</v>
      </c>
    </row>
    <row r="2144" spans="1:22" x14ac:dyDescent="0.35">
      <c r="A2144">
        <v>12143</v>
      </c>
      <c r="B2144" s="1">
        <v>46704</v>
      </c>
      <c r="C2144">
        <v>1772</v>
      </c>
      <c r="D2144" t="s">
        <v>67</v>
      </c>
      <c r="E2144" t="s">
        <v>70</v>
      </c>
      <c r="F2144">
        <v>7</v>
      </c>
      <c r="G2144" s="2">
        <v>271.45</v>
      </c>
      <c r="H2144">
        <v>0.23</v>
      </c>
      <c r="I2144" t="s">
        <v>68</v>
      </c>
      <c r="J2144">
        <v>6</v>
      </c>
      <c r="K2144">
        <v>4.8</v>
      </c>
      <c r="L2144" s="2">
        <v>1463.12</v>
      </c>
      <c r="M2144">
        <v>2027</v>
      </c>
      <c r="N2144">
        <v>11</v>
      </c>
      <c r="O2144" t="s">
        <v>150</v>
      </c>
      <c r="P2144" s="2">
        <v>1900.15</v>
      </c>
      <c r="Q2144" s="2">
        <v>437.03</v>
      </c>
      <c r="R2144" t="s">
        <v>77</v>
      </c>
      <c r="S2144">
        <v>1</v>
      </c>
      <c r="T2144">
        <v>0</v>
      </c>
      <c r="U2144">
        <f>IF(AND(OR(Dashboard!$D$4="Semua",D2144=Dashboard!$D$4),OR(Dashboard!$H$4="Semua",E2144=Dashboard!$H$4)),1,0)</f>
        <v>1</v>
      </c>
      <c r="V2144">
        <f>IF(U2144=1,IF(COUNTIFS($C$2:C2144,C2144,$U$2:U2144,1)=1,1,0),0)</f>
        <v>0</v>
      </c>
    </row>
    <row r="2145" spans="1:22" x14ac:dyDescent="0.35">
      <c r="A2145">
        <v>12144</v>
      </c>
      <c r="B2145" s="1">
        <v>46705</v>
      </c>
      <c r="C2145">
        <v>1053</v>
      </c>
      <c r="D2145" t="s">
        <v>73</v>
      </c>
      <c r="E2145" t="s">
        <v>74</v>
      </c>
      <c r="F2145">
        <v>1</v>
      </c>
      <c r="G2145" s="2">
        <v>24.86</v>
      </c>
      <c r="H2145">
        <v>0.15</v>
      </c>
      <c r="I2145" t="s">
        <v>68</v>
      </c>
      <c r="J2145">
        <v>8</v>
      </c>
      <c r="K2145">
        <v>1.6</v>
      </c>
      <c r="L2145" s="2">
        <v>21.13</v>
      </c>
      <c r="M2145">
        <v>2027</v>
      </c>
      <c r="N2145">
        <v>11</v>
      </c>
      <c r="O2145" t="s">
        <v>150</v>
      </c>
      <c r="P2145" s="2">
        <v>24.86</v>
      </c>
      <c r="Q2145" s="2">
        <v>3.73</v>
      </c>
      <c r="R2145" t="s">
        <v>79</v>
      </c>
      <c r="S2145">
        <v>1</v>
      </c>
      <c r="T2145">
        <v>0</v>
      </c>
      <c r="U2145">
        <f>IF(AND(OR(Dashboard!$D$4="Semua",D2145=Dashboard!$D$4),OR(Dashboard!$H$4="Semua",E2145=Dashboard!$H$4)),1,0)</f>
        <v>1</v>
      </c>
      <c r="V2145">
        <f>IF(U2145=1,IF(COUNTIFS($C$2:C2145,C2145,$U$2:U2145,1)=1,1,0),0)</f>
        <v>0</v>
      </c>
    </row>
    <row r="2146" spans="1:22" x14ac:dyDescent="0.35">
      <c r="A2146">
        <v>12145</v>
      </c>
      <c r="B2146" s="1">
        <v>46706</v>
      </c>
      <c r="C2146">
        <v>1046</v>
      </c>
      <c r="D2146" t="s">
        <v>80</v>
      </c>
      <c r="E2146" t="s">
        <v>78</v>
      </c>
      <c r="F2146">
        <v>1</v>
      </c>
      <c r="G2146" s="2">
        <v>103.69</v>
      </c>
      <c r="H2146">
        <v>0.2</v>
      </c>
      <c r="I2146" t="s">
        <v>68</v>
      </c>
      <c r="J2146">
        <v>5</v>
      </c>
      <c r="K2146">
        <v>4</v>
      </c>
      <c r="L2146" s="2">
        <v>82.95</v>
      </c>
      <c r="M2146">
        <v>2027</v>
      </c>
      <c r="N2146">
        <v>11</v>
      </c>
      <c r="O2146" t="s">
        <v>150</v>
      </c>
      <c r="P2146" s="2">
        <v>103.69</v>
      </c>
      <c r="Q2146" s="2">
        <v>20.74</v>
      </c>
      <c r="R2146" t="s">
        <v>76</v>
      </c>
      <c r="S2146">
        <v>1</v>
      </c>
      <c r="T2146">
        <v>0</v>
      </c>
      <c r="U2146">
        <f>IF(AND(OR(Dashboard!$D$4="Semua",D2146=Dashboard!$D$4),OR(Dashboard!$H$4="Semua",E2146=Dashboard!$H$4)),1,0)</f>
        <v>1</v>
      </c>
      <c r="V2146">
        <f>IF(U2146=1,IF(COUNTIFS($C$2:C2146,C2146,$U$2:U2146,1)=1,1,0),0)</f>
        <v>0</v>
      </c>
    </row>
    <row r="2147" spans="1:22" x14ac:dyDescent="0.35">
      <c r="A2147">
        <v>12146</v>
      </c>
      <c r="B2147" s="1">
        <v>46707</v>
      </c>
      <c r="C2147">
        <v>1726</v>
      </c>
      <c r="D2147" t="s">
        <v>67</v>
      </c>
      <c r="E2147" t="s">
        <v>74</v>
      </c>
      <c r="F2147">
        <v>1</v>
      </c>
      <c r="G2147" s="2">
        <v>68.87</v>
      </c>
      <c r="H2147">
        <v>0.26</v>
      </c>
      <c r="I2147" t="s">
        <v>71</v>
      </c>
      <c r="J2147">
        <v>5</v>
      </c>
      <c r="K2147">
        <v>4.2</v>
      </c>
      <c r="L2147" s="2">
        <v>50.96</v>
      </c>
      <c r="M2147">
        <v>2027</v>
      </c>
      <c r="N2147">
        <v>11</v>
      </c>
      <c r="O2147" t="s">
        <v>150</v>
      </c>
      <c r="P2147" s="2">
        <v>68.87</v>
      </c>
      <c r="Q2147" s="2">
        <v>17.91</v>
      </c>
      <c r="R2147" t="s">
        <v>66</v>
      </c>
      <c r="S2147">
        <v>1</v>
      </c>
      <c r="T2147">
        <v>0</v>
      </c>
      <c r="U2147">
        <f>IF(AND(OR(Dashboard!$D$4="Semua",D2147=Dashboard!$D$4),OR(Dashboard!$H$4="Semua",E2147=Dashboard!$H$4)),1,0)</f>
        <v>1</v>
      </c>
      <c r="V2147">
        <f>IF(U2147=1,IF(COUNTIFS($C$2:C2147,C2147,$U$2:U2147,1)=1,1,0),0)</f>
        <v>0</v>
      </c>
    </row>
    <row r="2148" spans="1:22" x14ac:dyDescent="0.35">
      <c r="A2148">
        <v>12147</v>
      </c>
      <c r="B2148" s="1">
        <v>46708</v>
      </c>
      <c r="C2148">
        <v>1688</v>
      </c>
      <c r="D2148" t="s">
        <v>73</v>
      </c>
      <c r="E2148" t="s">
        <v>78</v>
      </c>
      <c r="F2148">
        <v>7</v>
      </c>
      <c r="G2148" s="2">
        <v>155.25</v>
      </c>
      <c r="H2148">
        <v>0.27</v>
      </c>
      <c r="I2148" t="s">
        <v>68</v>
      </c>
      <c r="J2148">
        <v>4</v>
      </c>
      <c r="K2148">
        <v>4.8</v>
      </c>
      <c r="L2148" s="2">
        <v>793.33</v>
      </c>
      <c r="M2148">
        <v>2027</v>
      </c>
      <c r="N2148">
        <v>11</v>
      </c>
      <c r="O2148" t="s">
        <v>150</v>
      </c>
      <c r="P2148" s="2">
        <v>1086.75</v>
      </c>
      <c r="Q2148" s="2">
        <v>293.42</v>
      </c>
      <c r="R2148" t="s">
        <v>66</v>
      </c>
      <c r="S2148">
        <v>1</v>
      </c>
      <c r="T2148">
        <v>0</v>
      </c>
      <c r="U2148">
        <f>IF(AND(OR(Dashboard!$D$4="Semua",D2148=Dashboard!$D$4),OR(Dashboard!$H$4="Semua",E2148=Dashboard!$H$4)),1,0)</f>
        <v>1</v>
      </c>
      <c r="V2148">
        <f>IF(U2148=1,IF(COUNTIFS($C$2:C2148,C2148,$U$2:U2148,1)=1,1,0),0)</f>
        <v>0</v>
      </c>
    </row>
    <row r="2149" spans="1:22" x14ac:dyDescent="0.35">
      <c r="A2149">
        <v>12148</v>
      </c>
      <c r="B2149" s="1">
        <v>46709</v>
      </c>
      <c r="C2149">
        <v>1520</v>
      </c>
      <c r="D2149" t="s">
        <v>67</v>
      </c>
      <c r="E2149" t="s">
        <v>74</v>
      </c>
      <c r="F2149">
        <v>1</v>
      </c>
      <c r="G2149" s="2">
        <v>73.510000000000005</v>
      </c>
      <c r="H2149">
        <v>0.32</v>
      </c>
      <c r="I2149" t="s">
        <v>71</v>
      </c>
      <c r="J2149">
        <v>4</v>
      </c>
      <c r="K2149">
        <v>3.2</v>
      </c>
      <c r="L2149" s="2">
        <v>49.99</v>
      </c>
      <c r="M2149">
        <v>2027</v>
      </c>
      <c r="N2149">
        <v>11</v>
      </c>
      <c r="O2149" t="s">
        <v>150</v>
      </c>
      <c r="P2149" s="2">
        <v>73.510000000000005</v>
      </c>
      <c r="Q2149" s="2">
        <v>23.52</v>
      </c>
      <c r="R2149" t="s">
        <v>72</v>
      </c>
      <c r="S2149">
        <v>1</v>
      </c>
      <c r="T2149">
        <v>0</v>
      </c>
      <c r="U2149">
        <f>IF(AND(OR(Dashboard!$D$4="Semua",D2149=Dashboard!$D$4),OR(Dashboard!$H$4="Semua",E2149=Dashboard!$H$4)),1,0)</f>
        <v>1</v>
      </c>
      <c r="V2149">
        <f>IF(U2149=1,IF(COUNTIFS($C$2:C2149,C2149,$U$2:U2149,1)=1,1,0),0)</f>
        <v>0</v>
      </c>
    </row>
    <row r="2150" spans="1:22" x14ac:dyDescent="0.35">
      <c r="A2150">
        <v>12149</v>
      </c>
      <c r="B2150" s="1">
        <v>46710</v>
      </c>
      <c r="C2150">
        <v>1098</v>
      </c>
      <c r="D2150" t="s">
        <v>62</v>
      </c>
      <c r="E2150" t="s">
        <v>78</v>
      </c>
      <c r="F2150">
        <v>6</v>
      </c>
      <c r="G2150" s="2">
        <v>419.77</v>
      </c>
      <c r="H2150">
        <v>0.15</v>
      </c>
      <c r="I2150" t="s">
        <v>68</v>
      </c>
      <c r="J2150">
        <v>7</v>
      </c>
      <c r="K2150">
        <v>3.1</v>
      </c>
      <c r="L2150" s="2">
        <v>2140.83</v>
      </c>
      <c r="M2150">
        <v>2027</v>
      </c>
      <c r="N2150">
        <v>11</v>
      </c>
      <c r="O2150" t="s">
        <v>150</v>
      </c>
      <c r="P2150" s="2">
        <v>2518.62</v>
      </c>
      <c r="Q2150" s="2">
        <v>377.79</v>
      </c>
      <c r="R2150" t="s">
        <v>79</v>
      </c>
      <c r="S2150">
        <v>1</v>
      </c>
      <c r="T2150">
        <v>0</v>
      </c>
      <c r="U2150">
        <f>IF(AND(OR(Dashboard!$D$4="Semua",D2150=Dashboard!$D$4),OR(Dashboard!$H$4="Semua",E2150=Dashboard!$H$4)),1,0)</f>
        <v>1</v>
      </c>
      <c r="V2150">
        <f>IF(U2150=1,IF(COUNTIFS($C$2:C2150,C2150,$U$2:U2150,1)=1,1,0),0)</f>
        <v>0</v>
      </c>
    </row>
    <row r="2151" spans="1:22" x14ac:dyDescent="0.35">
      <c r="A2151">
        <v>12150</v>
      </c>
      <c r="B2151" s="1">
        <v>46711</v>
      </c>
      <c r="C2151">
        <v>1019</v>
      </c>
      <c r="D2151" t="s">
        <v>67</v>
      </c>
      <c r="E2151" t="s">
        <v>78</v>
      </c>
      <c r="F2151">
        <v>1</v>
      </c>
      <c r="G2151" s="2">
        <v>31.99</v>
      </c>
      <c r="H2151">
        <v>0.1</v>
      </c>
      <c r="I2151" t="s">
        <v>68</v>
      </c>
      <c r="J2151">
        <v>6</v>
      </c>
      <c r="K2151">
        <v>4.7</v>
      </c>
      <c r="L2151" s="2">
        <v>28.79</v>
      </c>
      <c r="M2151">
        <v>2027</v>
      </c>
      <c r="N2151">
        <v>11</v>
      </c>
      <c r="O2151" t="s">
        <v>150</v>
      </c>
      <c r="P2151" s="2">
        <v>31.99</v>
      </c>
      <c r="Q2151" s="2">
        <v>3.2</v>
      </c>
      <c r="R2151" t="s">
        <v>69</v>
      </c>
      <c r="S2151">
        <v>1</v>
      </c>
      <c r="T2151">
        <v>0</v>
      </c>
      <c r="U2151">
        <f>IF(AND(OR(Dashboard!$D$4="Semua",D2151=Dashboard!$D$4),OR(Dashboard!$H$4="Semua",E2151=Dashboard!$H$4)),1,0)</f>
        <v>1</v>
      </c>
      <c r="V2151">
        <f>IF(U2151=1,IF(COUNTIFS($C$2:C2151,C2151,$U$2:U2151,1)=1,1,0),0)</f>
        <v>0</v>
      </c>
    </row>
    <row r="2152" spans="1:22" x14ac:dyDescent="0.35">
      <c r="A2152">
        <v>12151</v>
      </c>
      <c r="B2152" s="1">
        <v>46712</v>
      </c>
      <c r="C2152">
        <v>1889</v>
      </c>
      <c r="D2152" t="s">
        <v>62</v>
      </c>
      <c r="E2152" t="s">
        <v>78</v>
      </c>
      <c r="F2152">
        <v>2</v>
      </c>
      <c r="G2152" s="2">
        <v>376.38</v>
      </c>
      <c r="H2152">
        <v>0.22</v>
      </c>
      <c r="I2152" t="s">
        <v>64</v>
      </c>
      <c r="J2152">
        <v>8</v>
      </c>
      <c r="K2152">
        <v>4.2</v>
      </c>
      <c r="L2152" s="2">
        <v>587.15</v>
      </c>
      <c r="M2152">
        <v>2027</v>
      </c>
      <c r="N2152">
        <v>11</v>
      </c>
      <c r="O2152" t="s">
        <v>150</v>
      </c>
      <c r="P2152" s="2">
        <v>752.76</v>
      </c>
      <c r="Q2152" s="2">
        <v>165.61</v>
      </c>
      <c r="R2152" t="s">
        <v>77</v>
      </c>
      <c r="S2152">
        <v>1</v>
      </c>
      <c r="T2152">
        <v>0</v>
      </c>
      <c r="U2152">
        <f>IF(AND(OR(Dashboard!$D$4="Semua",D2152=Dashboard!$D$4),OR(Dashboard!$H$4="Semua",E2152=Dashboard!$H$4)),1,0)</f>
        <v>1</v>
      </c>
      <c r="V2152">
        <f>IF(U2152=1,IF(COUNTIFS($C$2:C2152,C2152,$U$2:U2152,1)=1,1,0),0)</f>
        <v>1</v>
      </c>
    </row>
    <row r="2153" spans="1:22" x14ac:dyDescent="0.35">
      <c r="A2153">
        <v>12152</v>
      </c>
      <c r="B2153" s="1">
        <v>46713</v>
      </c>
      <c r="C2153">
        <v>1752</v>
      </c>
      <c r="D2153" t="s">
        <v>73</v>
      </c>
      <c r="E2153" t="s">
        <v>78</v>
      </c>
      <c r="F2153">
        <v>4</v>
      </c>
      <c r="G2153" s="2">
        <v>97.31</v>
      </c>
      <c r="H2153">
        <v>0.15</v>
      </c>
      <c r="I2153" t="s">
        <v>64</v>
      </c>
      <c r="J2153">
        <v>11</v>
      </c>
      <c r="K2153">
        <v>4.0999999999999996</v>
      </c>
      <c r="L2153" s="2">
        <v>330.85</v>
      </c>
      <c r="M2153">
        <v>2027</v>
      </c>
      <c r="N2153">
        <v>11</v>
      </c>
      <c r="O2153" t="s">
        <v>150</v>
      </c>
      <c r="P2153" s="2">
        <v>389.24</v>
      </c>
      <c r="Q2153" s="2">
        <v>58.39</v>
      </c>
      <c r="R2153" t="s">
        <v>79</v>
      </c>
      <c r="S2153">
        <v>1</v>
      </c>
      <c r="T2153">
        <v>0</v>
      </c>
      <c r="U2153">
        <f>IF(AND(OR(Dashboard!$D$4="Semua",D2153=Dashboard!$D$4),OR(Dashboard!$H$4="Semua",E2153=Dashboard!$H$4)),1,0)</f>
        <v>1</v>
      </c>
      <c r="V2153">
        <f>IF(U2153=1,IF(COUNTIFS($C$2:C2153,C2153,$U$2:U2153,1)=1,1,0),0)</f>
        <v>0</v>
      </c>
    </row>
    <row r="2154" spans="1:22" x14ac:dyDescent="0.35">
      <c r="A2154">
        <v>12153</v>
      </c>
      <c r="B2154" s="1">
        <v>46714</v>
      </c>
      <c r="C2154">
        <v>1572</v>
      </c>
      <c r="D2154" t="s">
        <v>73</v>
      </c>
      <c r="E2154" t="s">
        <v>63</v>
      </c>
      <c r="F2154">
        <v>6</v>
      </c>
      <c r="G2154" s="2">
        <v>567.91999999999996</v>
      </c>
      <c r="H2154">
        <v>0.21</v>
      </c>
      <c r="I2154" t="s">
        <v>71</v>
      </c>
      <c r="J2154">
        <v>6</v>
      </c>
      <c r="K2154">
        <v>4.2</v>
      </c>
      <c r="L2154" s="2">
        <v>2691.94</v>
      </c>
      <c r="M2154">
        <v>2027</v>
      </c>
      <c r="N2154">
        <v>11</v>
      </c>
      <c r="O2154" t="s">
        <v>150</v>
      </c>
      <c r="P2154" s="2">
        <v>3407.52</v>
      </c>
      <c r="Q2154" s="2">
        <v>715.58</v>
      </c>
      <c r="R2154" t="s">
        <v>77</v>
      </c>
      <c r="S2154">
        <v>1</v>
      </c>
      <c r="T2154">
        <v>0</v>
      </c>
      <c r="U2154">
        <f>IF(AND(OR(Dashboard!$D$4="Semua",D2154=Dashboard!$D$4),OR(Dashboard!$H$4="Semua",E2154=Dashboard!$H$4)),1,0)</f>
        <v>1</v>
      </c>
      <c r="V2154">
        <f>IF(U2154=1,IF(COUNTIFS($C$2:C2154,C2154,$U$2:U2154,1)=1,1,0),0)</f>
        <v>0</v>
      </c>
    </row>
    <row r="2155" spans="1:22" x14ac:dyDescent="0.35">
      <c r="A2155">
        <v>12154</v>
      </c>
      <c r="B2155" s="1">
        <v>46715</v>
      </c>
      <c r="C2155">
        <v>1890</v>
      </c>
      <c r="D2155" t="s">
        <v>73</v>
      </c>
      <c r="E2155" t="s">
        <v>74</v>
      </c>
      <c r="F2155">
        <v>4</v>
      </c>
      <c r="G2155" s="2">
        <v>560.86</v>
      </c>
      <c r="H2155">
        <v>0.15</v>
      </c>
      <c r="I2155" t="s">
        <v>68</v>
      </c>
      <c r="J2155">
        <v>11</v>
      </c>
      <c r="K2155">
        <v>3</v>
      </c>
      <c r="L2155" s="2">
        <v>1906.92</v>
      </c>
      <c r="M2155">
        <v>2027</v>
      </c>
      <c r="N2155">
        <v>11</v>
      </c>
      <c r="O2155" t="s">
        <v>150</v>
      </c>
      <c r="P2155" s="2">
        <v>2243.44</v>
      </c>
      <c r="Q2155" s="2">
        <v>336.52</v>
      </c>
      <c r="R2155" t="s">
        <v>79</v>
      </c>
      <c r="S2155">
        <v>1</v>
      </c>
      <c r="T2155">
        <v>0</v>
      </c>
      <c r="U2155">
        <f>IF(AND(OR(Dashboard!$D$4="Semua",D2155=Dashboard!$D$4),OR(Dashboard!$H$4="Semua",E2155=Dashboard!$H$4)),1,0)</f>
        <v>1</v>
      </c>
      <c r="V2155">
        <f>IF(U2155=1,IF(COUNTIFS($C$2:C2155,C2155,$U$2:U2155,1)=1,1,0),0)</f>
        <v>0</v>
      </c>
    </row>
    <row r="2156" spans="1:22" x14ac:dyDescent="0.35">
      <c r="A2156">
        <v>12155</v>
      </c>
      <c r="B2156" s="1">
        <v>46716</v>
      </c>
      <c r="C2156">
        <v>1489</v>
      </c>
      <c r="D2156" t="s">
        <v>67</v>
      </c>
      <c r="E2156" t="s">
        <v>78</v>
      </c>
      <c r="F2156">
        <v>2</v>
      </c>
      <c r="G2156" s="2">
        <v>146.91999999999999</v>
      </c>
      <c r="H2156">
        <v>0.05</v>
      </c>
      <c r="I2156" t="s">
        <v>68</v>
      </c>
      <c r="J2156">
        <v>10</v>
      </c>
      <c r="K2156">
        <v>1.2</v>
      </c>
      <c r="L2156" s="2">
        <v>279.14999999999998</v>
      </c>
      <c r="M2156">
        <v>2027</v>
      </c>
      <c r="N2156">
        <v>11</v>
      </c>
      <c r="O2156" t="s">
        <v>150</v>
      </c>
      <c r="P2156" s="2">
        <v>293.83999999999997</v>
      </c>
      <c r="Q2156" s="2">
        <v>14.69</v>
      </c>
      <c r="R2156" t="s">
        <v>75</v>
      </c>
      <c r="S2156">
        <v>1</v>
      </c>
      <c r="T2156">
        <v>0</v>
      </c>
      <c r="U2156">
        <f>IF(AND(OR(Dashboard!$D$4="Semua",D2156=Dashboard!$D$4),OR(Dashboard!$H$4="Semua",E2156=Dashboard!$H$4)),1,0)</f>
        <v>1</v>
      </c>
      <c r="V2156">
        <f>IF(U2156=1,IF(COUNTIFS($C$2:C2156,C2156,$U$2:U2156,1)=1,1,0),0)</f>
        <v>0</v>
      </c>
    </row>
    <row r="2157" spans="1:22" x14ac:dyDescent="0.35">
      <c r="A2157">
        <v>12156</v>
      </c>
      <c r="B2157" s="1">
        <v>46717</v>
      </c>
      <c r="C2157">
        <v>1418</v>
      </c>
      <c r="D2157" t="s">
        <v>73</v>
      </c>
      <c r="E2157" t="s">
        <v>74</v>
      </c>
      <c r="F2157">
        <v>2</v>
      </c>
      <c r="G2157" s="2">
        <v>374.44</v>
      </c>
      <c r="H2157">
        <v>0.16</v>
      </c>
      <c r="I2157" t="s">
        <v>64</v>
      </c>
      <c r="J2157">
        <v>7</v>
      </c>
      <c r="K2157">
        <v>1.8</v>
      </c>
      <c r="L2157" s="2">
        <v>629.05999999999995</v>
      </c>
      <c r="M2157">
        <v>2027</v>
      </c>
      <c r="N2157">
        <v>11</v>
      </c>
      <c r="O2157" t="s">
        <v>150</v>
      </c>
      <c r="P2157" s="2">
        <v>748.88</v>
      </c>
      <c r="Q2157" s="2">
        <v>119.82</v>
      </c>
      <c r="R2157" t="s">
        <v>76</v>
      </c>
      <c r="S2157">
        <v>1</v>
      </c>
      <c r="T2157">
        <v>0</v>
      </c>
      <c r="U2157">
        <f>IF(AND(OR(Dashboard!$D$4="Semua",D2157=Dashboard!$D$4),OR(Dashboard!$H$4="Semua",E2157=Dashboard!$H$4)),1,0)</f>
        <v>1</v>
      </c>
      <c r="V2157">
        <f>IF(U2157=1,IF(COUNTIFS($C$2:C2157,C2157,$U$2:U2157,1)=1,1,0),0)</f>
        <v>0</v>
      </c>
    </row>
    <row r="2158" spans="1:22" x14ac:dyDescent="0.35">
      <c r="A2158">
        <v>12157</v>
      </c>
      <c r="B2158" s="1">
        <v>46718</v>
      </c>
      <c r="C2158">
        <v>1689</v>
      </c>
      <c r="D2158" t="s">
        <v>73</v>
      </c>
      <c r="E2158" t="s">
        <v>70</v>
      </c>
      <c r="F2158">
        <v>3</v>
      </c>
      <c r="G2158" s="2">
        <v>31.38</v>
      </c>
      <c r="H2158">
        <v>0.24</v>
      </c>
      <c r="I2158" t="s">
        <v>68</v>
      </c>
      <c r="J2158">
        <v>10</v>
      </c>
      <c r="K2158">
        <v>3.6</v>
      </c>
      <c r="L2158" s="2">
        <v>71.55</v>
      </c>
      <c r="M2158">
        <v>2027</v>
      </c>
      <c r="N2158">
        <v>11</v>
      </c>
      <c r="O2158" t="s">
        <v>150</v>
      </c>
      <c r="P2158" s="2">
        <v>94.14</v>
      </c>
      <c r="Q2158" s="2">
        <v>22.59</v>
      </c>
      <c r="R2158" t="s">
        <v>77</v>
      </c>
      <c r="S2158">
        <v>1</v>
      </c>
      <c r="T2158">
        <v>0</v>
      </c>
      <c r="U2158">
        <f>IF(AND(OR(Dashboard!$D$4="Semua",D2158=Dashboard!$D$4),OR(Dashboard!$H$4="Semua",E2158=Dashboard!$H$4)),1,0)</f>
        <v>1</v>
      </c>
      <c r="V2158">
        <f>IF(U2158=1,IF(COUNTIFS($C$2:C2158,C2158,$U$2:U2158,1)=1,1,0),0)</f>
        <v>0</v>
      </c>
    </row>
    <row r="2159" spans="1:22" x14ac:dyDescent="0.35">
      <c r="A2159">
        <v>12158</v>
      </c>
      <c r="B2159" s="1">
        <v>46719</v>
      </c>
      <c r="C2159">
        <v>1849</v>
      </c>
      <c r="D2159" t="s">
        <v>62</v>
      </c>
      <c r="E2159" t="s">
        <v>78</v>
      </c>
      <c r="F2159">
        <v>6</v>
      </c>
      <c r="G2159" s="2">
        <v>560.1</v>
      </c>
      <c r="H2159">
        <v>0.28000000000000003</v>
      </c>
      <c r="I2159" t="s">
        <v>64</v>
      </c>
      <c r="J2159">
        <v>10</v>
      </c>
      <c r="K2159">
        <v>2.6</v>
      </c>
      <c r="L2159" s="2">
        <v>2419.63</v>
      </c>
      <c r="M2159">
        <v>2027</v>
      </c>
      <c r="N2159">
        <v>11</v>
      </c>
      <c r="O2159" t="s">
        <v>150</v>
      </c>
      <c r="P2159" s="2">
        <v>3360.6</v>
      </c>
      <c r="Q2159" s="2">
        <v>940.97</v>
      </c>
      <c r="R2159" t="s">
        <v>66</v>
      </c>
      <c r="S2159">
        <v>1</v>
      </c>
      <c r="T2159">
        <v>0</v>
      </c>
      <c r="U2159">
        <f>IF(AND(OR(Dashboard!$D$4="Semua",D2159=Dashboard!$D$4),OR(Dashboard!$H$4="Semua",E2159=Dashboard!$H$4)),1,0)</f>
        <v>1</v>
      </c>
      <c r="V2159">
        <f>IF(U2159=1,IF(COUNTIFS($C$2:C2159,C2159,$U$2:U2159,1)=1,1,0),0)</f>
        <v>0</v>
      </c>
    </row>
    <row r="2160" spans="1:22" x14ac:dyDescent="0.35">
      <c r="A2160">
        <v>12159</v>
      </c>
      <c r="B2160" s="1">
        <v>46720</v>
      </c>
      <c r="C2160">
        <v>1061</v>
      </c>
      <c r="D2160" t="s">
        <v>80</v>
      </c>
      <c r="E2160" t="s">
        <v>74</v>
      </c>
      <c r="F2160">
        <v>4</v>
      </c>
      <c r="G2160" s="2">
        <v>320.95</v>
      </c>
      <c r="H2160">
        <v>0.17</v>
      </c>
      <c r="I2160" t="s">
        <v>68</v>
      </c>
      <c r="J2160">
        <v>5</v>
      </c>
      <c r="K2160">
        <v>3.4</v>
      </c>
      <c r="L2160" s="2">
        <v>1065.55</v>
      </c>
      <c r="M2160">
        <v>2027</v>
      </c>
      <c r="N2160">
        <v>11</v>
      </c>
      <c r="O2160" t="s">
        <v>150</v>
      </c>
      <c r="P2160" s="2">
        <v>1283.8</v>
      </c>
      <c r="Q2160" s="2">
        <v>218.25</v>
      </c>
      <c r="R2160" t="s">
        <v>76</v>
      </c>
      <c r="S2160">
        <v>1</v>
      </c>
      <c r="T2160">
        <v>0</v>
      </c>
      <c r="U2160">
        <f>IF(AND(OR(Dashboard!$D$4="Semua",D2160=Dashboard!$D$4),OR(Dashboard!$H$4="Semua",E2160=Dashboard!$H$4)),1,0)</f>
        <v>1</v>
      </c>
      <c r="V2160">
        <f>IF(U2160=1,IF(COUNTIFS($C$2:C2160,C2160,$U$2:U2160,1)=1,1,0),0)</f>
        <v>0</v>
      </c>
    </row>
    <row r="2161" spans="1:22" x14ac:dyDescent="0.35">
      <c r="A2161">
        <v>12160</v>
      </c>
      <c r="B2161" s="1">
        <v>46721</v>
      </c>
      <c r="C2161">
        <v>1144</v>
      </c>
      <c r="D2161" t="s">
        <v>80</v>
      </c>
      <c r="E2161" t="s">
        <v>63</v>
      </c>
      <c r="F2161">
        <v>1</v>
      </c>
      <c r="G2161" s="2">
        <v>40.29</v>
      </c>
      <c r="H2161">
        <v>0.06</v>
      </c>
      <c r="I2161" t="s">
        <v>64</v>
      </c>
      <c r="J2161">
        <v>6</v>
      </c>
      <c r="K2161">
        <v>3.2</v>
      </c>
      <c r="L2161" s="2">
        <v>37.869999999999997</v>
      </c>
      <c r="M2161">
        <v>2027</v>
      </c>
      <c r="N2161">
        <v>11</v>
      </c>
      <c r="O2161" t="s">
        <v>150</v>
      </c>
      <c r="P2161" s="2">
        <v>40.29</v>
      </c>
      <c r="Q2161" s="2">
        <v>2.42</v>
      </c>
      <c r="R2161" t="s">
        <v>69</v>
      </c>
      <c r="S2161">
        <v>1</v>
      </c>
      <c r="T2161">
        <v>0</v>
      </c>
      <c r="U2161">
        <f>IF(AND(OR(Dashboard!$D$4="Semua",D2161=Dashboard!$D$4),OR(Dashboard!$H$4="Semua",E2161=Dashboard!$H$4)),1,0)</f>
        <v>1</v>
      </c>
      <c r="V2161">
        <f>IF(U2161=1,IF(COUNTIFS($C$2:C2161,C2161,$U$2:U2161,1)=1,1,0),0)</f>
        <v>0</v>
      </c>
    </row>
    <row r="2162" spans="1:22" x14ac:dyDescent="0.35">
      <c r="A2162">
        <v>12161</v>
      </c>
      <c r="B2162" s="1">
        <v>46722</v>
      </c>
      <c r="C2162">
        <v>1215</v>
      </c>
      <c r="D2162" t="s">
        <v>73</v>
      </c>
      <c r="E2162" t="s">
        <v>74</v>
      </c>
      <c r="F2162">
        <v>2</v>
      </c>
      <c r="G2162" s="2">
        <v>215.36</v>
      </c>
      <c r="H2162">
        <v>0.15</v>
      </c>
      <c r="I2162" t="s">
        <v>68</v>
      </c>
      <c r="J2162">
        <v>1</v>
      </c>
      <c r="K2162">
        <v>2.8</v>
      </c>
      <c r="L2162" s="2">
        <v>366.11</v>
      </c>
      <c r="M2162">
        <v>2027</v>
      </c>
      <c r="N2162">
        <v>12</v>
      </c>
      <c r="O2162" t="s">
        <v>151</v>
      </c>
      <c r="P2162" s="2">
        <v>430.72</v>
      </c>
      <c r="Q2162" s="2">
        <v>64.61</v>
      </c>
      <c r="R2162" t="s">
        <v>79</v>
      </c>
      <c r="S2162">
        <v>1</v>
      </c>
      <c r="T2162">
        <v>0</v>
      </c>
      <c r="U2162">
        <f>IF(AND(OR(Dashboard!$D$4="Semua",D2162=Dashboard!$D$4),OR(Dashboard!$H$4="Semua",E2162=Dashboard!$H$4)),1,0)</f>
        <v>1</v>
      </c>
      <c r="V2162">
        <f>IF(U2162=1,IF(COUNTIFS($C$2:C2162,C2162,$U$2:U2162,1)=1,1,0),0)</f>
        <v>0</v>
      </c>
    </row>
    <row r="2163" spans="1:22" x14ac:dyDescent="0.35">
      <c r="A2163">
        <v>12162</v>
      </c>
      <c r="B2163" s="1">
        <v>46723</v>
      </c>
      <c r="C2163">
        <v>1002</v>
      </c>
      <c r="D2163" t="s">
        <v>73</v>
      </c>
      <c r="E2163" t="s">
        <v>78</v>
      </c>
      <c r="F2163">
        <v>1</v>
      </c>
      <c r="G2163" s="2">
        <v>59.96</v>
      </c>
      <c r="H2163">
        <v>0.28000000000000003</v>
      </c>
      <c r="I2163" t="s">
        <v>68</v>
      </c>
      <c r="J2163">
        <v>3</v>
      </c>
      <c r="K2163">
        <v>1.9</v>
      </c>
      <c r="L2163" s="2">
        <v>43.17</v>
      </c>
      <c r="M2163">
        <v>2027</v>
      </c>
      <c r="N2163">
        <v>12</v>
      </c>
      <c r="O2163" t="s">
        <v>151</v>
      </c>
      <c r="P2163" s="2">
        <v>59.96</v>
      </c>
      <c r="Q2163" s="2">
        <v>16.79</v>
      </c>
      <c r="R2163" t="s">
        <v>66</v>
      </c>
      <c r="S2163">
        <v>1</v>
      </c>
      <c r="T2163">
        <v>0</v>
      </c>
      <c r="U2163">
        <f>IF(AND(OR(Dashboard!$D$4="Semua",D2163=Dashboard!$D$4),OR(Dashboard!$H$4="Semua",E2163=Dashboard!$H$4)),1,0)</f>
        <v>1</v>
      </c>
      <c r="V2163">
        <f>IF(U2163=1,IF(COUNTIFS($C$2:C2163,C2163,$U$2:U2163,1)=1,1,0),0)</f>
        <v>0</v>
      </c>
    </row>
    <row r="2164" spans="1:22" x14ac:dyDescent="0.35">
      <c r="A2164">
        <v>12163</v>
      </c>
      <c r="B2164" s="1">
        <v>46724</v>
      </c>
      <c r="C2164">
        <v>1159</v>
      </c>
      <c r="D2164" t="s">
        <v>73</v>
      </c>
      <c r="E2164" t="s">
        <v>70</v>
      </c>
      <c r="F2164">
        <v>4</v>
      </c>
      <c r="G2164" s="2">
        <v>244.87</v>
      </c>
      <c r="H2164">
        <v>0.14000000000000001</v>
      </c>
      <c r="I2164" t="s">
        <v>71</v>
      </c>
      <c r="J2164">
        <v>8</v>
      </c>
      <c r="K2164">
        <v>3.9</v>
      </c>
      <c r="L2164" s="2">
        <v>842.35</v>
      </c>
      <c r="M2164">
        <v>2027</v>
      </c>
      <c r="N2164">
        <v>12</v>
      </c>
      <c r="O2164" t="s">
        <v>151</v>
      </c>
      <c r="P2164" s="2">
        <v>979.48</v>
      </c>
      <c r="Q2164" s="2">
        <v>137.13</v>
      </c>
      <c r="R2164" t="s">
        <v>79</v>
      </c>
      <c r="S2164">
        <v>1</v>
      </c>
      <c r="T2164">
        <v>0</v>
      </c>
      <c r="U2164">
        <f>IF(AND(OR(Dashboard!$D$4="Semua",D2164=Dashboard!$D$4),OR(Dashboard!$H$4="Semua",E2164=Dashboard!$H$4)),1,0)</f>
        <v>1</v>
      </c>
      <c r="V2164">
        <f>IF(U2164=1,IF(COUNTIFS($C$2:C2164,C2164,$U$2:U2164,1)=1,1,0),0)</f>
        <v>0</v>
      </c>
    </row>
    <row r="2165" spans="1:22" x14ac:dyDescent="0.35">
      <c r="A2165">
        <v>12164</v>
      </c>
      <c r="B2165" s="1">
        <v>46725</v>
      </c>
      <c r="C2165">
        <v>1738</v>
      </c>
      <c r="D2165" t="s">
        <v>80</v>
      </c>
      <c r="E2165" t="s">
        <v>74</v>
      </c>
      <c r="F2165">
        <v>7</v>
      </c>
      <c r="G2165" s="2">
        <v>406.91</v>
      </c>
      <c r="H2165">
        <v>0.24</v>
      </c>
      <c r="I2165" t="s">
        <v>64</v>
      </c>
      <c r="J2165">
        <v>3</v>
      </c>
      <c r="K2165">
        <v>4.5999999999999996</v>
      </c>
      <c r="L2165" s="2">
        <v>2164.7600000000002</v>
      </c>
      <c r="M2165">
        <v>2027</v>
      </c>
      <c r="N2165">
        <v>12</v>
      </c>
      <c r="O2165" t="s">
        <v>151</v>
      </c>
      <c r="P2165" s="2">
        <v>2848.37</v>
      </c>
      <c r="Q2165" s="2">
        <v>683.61</v>
      </c>
      <c r="R2165" t="s">
        <v>77</v>
      </c>
      <c r="S2165">
        <v>1</v>
      </c>
      <c r="T2165">
        <v>0</v>
      </c>
      <c r="U2165">
        <f>IF(AND(OR(Dashboard!$D$4="Semua",D2165=Dashboard!$D$4),OR(Dashboard!$H$4="Semua",E2165=Dashboard!$H$4)),1,0)</f>
        <v>1</v>
      </c>
      <c r="V2165">
        <f>IF(U2165=1,IF(COUNTIFS($C$2:C2165,C2165,$U$2:U2165,1)=1,1,0),0)</f>
        <v>0</v>
      </c>
    </row>
    <row r="2166" spans="1:22" x14ac:dyDescent="0.35">
      <c r="A2166">
        <v>12165</v>
      </c>
      <c r="B2166" s="1">
        <v>46726</v>
      </c>
      <c r="C2166">
        <v>1997</v>
      </c>
      <c r="D2166" t="s">
        <v>62</v>
      </c>
      <c r="E2166" t="s">
        <v>70</v>
      </c>
      <c r="F2166">
        <v>6</v>
      </c>
      <c r="G2166" s="2">
        <v>289.89</v>
      </c>
      <c r="H2166">
        <v>0.18</v>
      </c>
      <c r="I2166" t="s">
        <v>64</v>
      </c>
      <c r="J2166">
        <v>1</v>
      </c>
      <c r="K2166">
        <v>4.0999999999999996</v>
      </c>
      <c r="L2166" s="2">
        <v>1426.26</v>
      </c>
      <c r="M2166">
        <v>2027</v>
      </c>
      <c r="N2166">
        <v>12</v>
      </c>
      <c r="O2166" t="s">
        <v>151</v>
      </c>
      <c r="P2166" s="2">
        <v>1739.34</v>
      </c>
      <c r="Q2166" s="2">
        <v>313.08</v>
      </c>
      <c r="R2166" t="s">
        <v>76</v>
      </c>
      <c r="S2166">
        <v>1</v>
      </c>
      <c r="T2166">
        <v>0</v>
      </c>
      <c r="U2166">
        <f>IF(AND(OR(Dashboard!$D$4="Semua",D2166=Dashboard!$D$4),OR(Dashboard!$H$4="Semua",E2166=Dashboard!$H$4)),1,0)</f>
        <v>1</v>
      </c>
      <c r="V2166">
        <f>IF(U2166=1,IF(COUNTIFS($C$2:C2166,C2166,$U$2:U2166,1)=1,1,0),0)</f>
        <v>0</v>
      </c>
    </row>
    <row r="2167" spans="1:22" x14ac:dyDescent="0.35">
      <c r="A2167">
        <v>12166</v>
      </c>
      <c r="B2167" s="1">
        <v>46727</v>
      </c>
      <c r="C2167">
        <v>1780</v>
      </c>
      <c r="D2167" t="s">
        <v>67</v>
      </c>
      <c r="E2167" t="s">
        <v>63</v>
      </c>
      <c r="F2167">
        <v>5</v>
      </c>
      <c r="G2167" s="2">
        <v>239.48</v>
      </c>
      <c r="H2167">
        <v>0.08</v>
      </c>
      <c r="I2167" t="s">
        <v>71</v>
      </c>
      <c r="J2167">
        <v>3</v>
      </c>
      <c r="K2167">
        <v>1.5</v>
      </c>
      <c r="L2167" s="2">
        <v>1101.6099999999999</v>
      </c>
      <c r="M2167">
        <v>2027</v>
      </c>
      <c r="N2167">
        <v>12</v>
      </c>
      <c r="O2167" t="s">
        <v>151</v>
      </c>
      <c r="P2167" s="2">
        <v>1197.4000000000001</v>
      </c>
      <c r="Q2167" s="2">
        <v>95.79</v>
      </c>
      <c r="R2167" t="s">
        <v>69</v>
      </c>
      <c r="S2167">
        <v>1</v>
      </c>
      <c r="T2167">
        <v>0</v>
      </c>
      <c r="U2167">
        <f>IF(AND(OR(Dashboard!$D$4="Semua",D2167=Dashboard!$D$4),OR(Dashboard!$H$4="Semua",E2167=Dashboard!$H$4)),1,0)</f>
        <v>1</v>
      </c>
      <c r="V2167">
        <f>IF(U2167=1,IF(COUNTIFS($C$2:C2167,C2167,$U$2:U2167,1)=1,1,0),0)</f>
        <v>0</v>
      </c>
    </row>
    <row r="2168" spans="1:22" x14ac:dyDescent="0.35">
      <c r="A2168">
        <v>12167</v>
      </c>
      <c r="B2168" s="1">
        <v>46728</v>
      </c>
      <c r="C2168">
        <v>1119</v>
      </c>
      <c r="D2168" t="s">
        <v>73</v>
      </c>
      <c r="E2168" t="s">
        <v>74</v>
      </c>
      <c r="F2168">
        <v>7</v>
      </c>
      <c r="G2168" s="2">
        <v>84.71</v>
      </c>
      <c r="H2168">
        <v>0.28000000000000003</v>
      </c>
      <c r="I2168" t="s">
        <v>71</v>
      </c>
      <c r="J2168">
        <v>4</v>
      </c>
      <c r="K2168">
        <v>3.2</v>
      </c>
      <c r="L2168" s="2">
        <v>426.94</v>
      </c>
      <c r="M2168">
        <v>2027</v>
      </c>
      <c r="N2168">
        <v>12</v>
      </c>
      <c r="O2168" t="s">
        <v>151</v>
      </c>
      <c r="P2168" s="2">
        <v>592.97</v>
      </c>
      <c r="Q2168" s="2">
        <v>166.03</v>
      </c>
      <c r="R2168" t="s">
        <v>66</v>
      </c>
      <c r="S2168">
        <v>1</v>
      </c>
      <c r="T2168">
        <v>0</v>
      </c>
      <c r="U2168">
        <f>IF(AND(OR(Dashboard!$D$4="Semua",D2168=Dashboard!$D$4),OR(Dashboard!$H$4="Semua",E2168=Dashboard!$H$4)),1,0)</f>
        <v>1</v>
      </c>
      <c r="V2168">
        <f>IF(U2168=1,IF(COUNTIFS($C$2:C2168,C2168,$U$2:U2168,1)=1,1,0),0)</f>
        <v>0</v>
      </c>
    </row>
    <row r="2169" spans="1:22" x14ac:dyDescent="0.35">
      <c r="A2169">
        <v>12168</v>
      </c>
      <c r="B2169" s="1">
        <v>46729</v>
      </c>
      <c r="C2169">
        <v>1892</v>
      </c>
      <c r="D2169" t="s">
        <v>67</v>
      </c>
      <c r="E2169" t="s">
        <v>74</v>
      </c>
      <c r="F2169">
        <v>7</v>
      </c>
      <c r="G2169" s="2">
        <v>158.29</v>
      </c>
      <c r="H2169">
        <v>0.03</v>
      </c>
      <c r="I2169" t="s">
        <v>71</v>
      </c>
      <c r="J2169">
        <v>8</v>
      </c>
      <c r="K2169">
        <v>4.3</v>
      </c>
      <c r="L2169" s="2">
        <v>1074.79</v>
      </c>
      <c r="M2169">
        <v>2027</v>
      </c>
      <c r="N2169">
        <v>12</v>
      </c>
      <c r="O2169" t="s">
        <v>151</v>
      </c>
      <c r="P2169" s="2">
        <v>1108.03</v>
      </c>
      <c r="Q2169" s="2">
        <v>33.24</v>
      </c>
      <c r="R2169" t="s">
        <v>75</v>
      </c>
      <c r="S2169">
        <v>1</v>
      </c>
      <c r="T2169">
        <v>0</v>
      </c>
      <c r="U2169">
        <f>IF(AND(OR(Dashboard!$D$4="Semua",D2169=Dashboard!$D$4),OR(Dashboard!$H$4="Semua",E2169=Dashboard!$H$4)),1,0)</f>
        <v>1</v>
      </c>
      <c r="V2169">
        <f>IF(U2169=1,IF(COUNTIFS($C$2:C2169,C2169,$U$2:U2169,1)=1,1,0),0)</f>
        <v>1</v>
      </c>
    </row>
    <row r="2170" spans="1:22" x14ac:dyDescent="0.35">
      <c r="A2170">
        <v>12169</v>
      </c>
      <c r="B2170" s="1">
        <v>46730</v>
      </c>
      <c r="C2170">
        <v>1088</v>
      </c>
      <c r="D2170" t="s">
        <v>73</v>
      </c>
      <c r="E2170" t="s">
        <v>63</v>
      </c>
      <c r="F2170">
        <v>5</v>
      </c>
      <c r="G2170" s="2">
        <v>73.58</v>
      </c>
      <c r="H2170">
        <v>0.18</v>
      </c>
      <c r="I2170" t="s">
        <v>71</v>
      </c>
      <c r="J2170">
        <v>9</v>
      </c>
      <c r="K2170">
        <v>3.4</v>
      </c>
      <c r="L2170" s="2">
        <v>301.68</v>
      </c>
      <c r="M2170">
        <v>2027</v>
      </c>
      <c r="N2170">
        <v>12</v>
      </c>
      <c r="O2170" t="s">
        <v>151</v>
      </c>
      <c r="P2170" s="2">
        <v>367.9</v>
      </c>
      <c r="Q2170" s="2">
        <v>66.22</v>
      </c>
      <c r="R2170" t="s">
        <v>76</v>
      </c>
      <c r="S2170">
        <v>1</v>
      </c>
      <c r="T2170">
        <v>0</v>
      </c>
      <c r="U2170">
        <f>IF(AND(OR(Dashboard!$D$4="Semua",D2170=Dashboard!$D$4),OR(Dashboard!$H$4="Semua",E2170=Dashboard!$H$4)),1,0)</f>
        <v>1</v>
      </c>
      <c r="V2170">
        <f>IF(U2170=1,IF(COUNTIFS($C$2:C2170,C2170,$U$2:U2170,1)=1,1,0),0)</f>
        <v>0</v>
      </c>
    </row>
    <row r="2171" spans="1:22" x14ac:dyDescent="0.35">
      <c r="A2171">
        <v>12170</v>
      </c>
      <c r="B2171" s="1">
        <v>46731</v>
      </c>
      <c r="C2171">
        <v>1328</v>
      </c>
      <c r="D2171" t="s">
        <v>67</v>
      </c>
      <c r="E2171" t="s">
        <v>63</v>
      </c>
      <c r="F2171">
        <v>2</v>
      </c>
      <c r="G2171" s="2">
        <v>487.39</v>
      </c>
      <c r="H2171">
        <v>7.0000000000000007E-2</v>
      </c>
      <c r="I2171" t="s">
        <v>64</v>
      </c>
      <c r="J2171">
        <v>4</v>
      </c>
      <c r="K2171">
        <v>2.8</v>
      </c>
      <c r="L2171" s="2">
        <v>906.55</v>
      </c>
      <c r="M2171">
        <v>2027</v>
      </c>
      <c r="N2171">
        <v>12</v>
      </c>
      <c r="O2171" t="s">
        <v>151</v>
      </c>
      <c r="P2171" s="2">
        <v>974.78</v>
      </c>
      <c r="Q2171" s="2">
        <v>68.23</v>
      </c>
      <c r="R2171" t="s">
        <v>69</v>
      </c>
      <c r="S2171">
        <v>1</v>
      </c>
      <c r="T2171">
        <v>0</v>
      </c>
      <c r="U2171">
        <f>IF(AND(OR(Dashboard!$D$4="Semua",D2171=Dashboard!$D$4),OR(Dashboard!$H$4="Semua",E2171=Dashboard!$H$4)),1,0)</f>
        <v>1</v>
      </c>
      <c r="V2171">
        <f>IF(U2171=1,IF(COUNTIFS($C$2:C2171,C2171,$U$2:U2171,1)=1,1,0),0)</f>
        <v>0</v>
      </c>
    </row>
    <row r="2172" spans="1:22" x14ac:dyDescent="0.35">
      <c r="A2172">
        <v>12171</v>
      </c>
      <c r="B2172" s="1">
        <v>46732</v>
      </c>
      <c r="C2172">
        <v>1579</v>
      </c>
      <c r="D2172" t="s">
        <v>67</v>
      </c>
      <c r="E2172" t="s">
        <v>63</v>
      </c>
      <c r="F2172">
        <v>3</v>
      </c>
      <c r="G2172" s="2">
        <v>94.12</v>
      </c>
      <c r="H2172">
        <v>0.02</v>
      </c>
      <c r="I2172" t="s">
        <v>71</v>
      </c>
      <c r="J2172">
        <v>7</v>
      </c>
      <c r="K2172">
        <v>2.1</v>
      </c>
      <c r="L2172" s="2">
        <v>276.70999999999998</v>
      </c>
      <c r="M2172">
        <v>2027</v>
      </c>
      <c r="N2172">
        <v>12</v>
      </c>
      <c r="O2172" t="s">
        <v>151</v>
      </c>
      <c r="P2172" s="2">
        <v>282.36</v>
      </c>
      <c r="Q2172" s="2">
        <v>5.65</v>
      </c>
      <c r="R2172" t="s">
        <v>75</v>
      </c>
      <c r="S2172">
        <v>1</v>
      </c>
      <c r="T2172">
        <v>0</v>
      </c>
      <c r="U2172">
        <f>IF(AND(OR(Dashboard!$D$4="Semua",D2172=Dashboard!$D$4),OR(Dashboard!$H$4="Semua",E2172=Dashboard!$H$4)),1,0)</f>
        <v>1</v>
      </c>
      <c r="V2172">
        <f>IF(U2172=1,IF(COUNTIFS($C$2:C2172,C2172,$U$2:U2172,1)=1,1,0),0)</f>
        <v>0</v>
      </c>
    </row>
    <row r="2173" spans="1:22" x14ac:dyDescent="0.35">
      <c r="A2173">
        <v>12172</v>
      </c>
      <c r="B2173" s="1">
        <v>46733</v>
      </c>
      <c r="C2173">
        <v>1909</v>
      </c>
      <c r="D2173" t="s">
        <v>80</v>
      </c>
      <c r="E2173" t="s">
        <v>78</v>
      </c>
      <c r="F2173">
        <v>1</v>
      </c>
      <c r="G2173" s="2">
        <v>363.29</v>
      </c>
      <c r="H2173">
        <v>0.18</v>
      </c>
      <c r="I2173" t="s">
        <v>71</v>
      </c>
      <c r="J2173">
        <v>1</v>
      </c>
      <c r="K2173">
        <v>2.2999999999999998</v>
      </c>
      <c r="L2173" s="2">
        <v>297.89999999999998</v>
      </c>
      <c r="M2173">
        <v>2027</v>
      </c>
      <c r="N2173">
        <v>12</v>
      </c>
      <c r="O2173" t="s">
        <v>151</v>
      </c>
      <c r="P2173" s="2">
        <v>363.29</v>
      </c>
      <c r="Q2173" s="2">
        <v>65.39</v>
      </c>
      <c r="R2173" t="s">
        <v>76</v>
      </c>
      <c r="S2173">
        <v>1</v>
      </c>
      <c r="T2173">
        <v>0</v>
      </c>
      <c r="U2173">
        <f>IF(AND(OR(Dashboard!$D$4="Semua",D2173=Dashboard!$D$4),OR(Dashboard!$H$4="Semua",E2173=Dashboard!$H$4)),1,0)</f>
        <v>1</v>
      </c>
      <c r="V2173">
        <f>IF(U2173=1,IF(COUNTIFS($C$2:C2173,C2173,$U$2:U2173,1)=1,1,0),0)</f>
        <v>0</v>
      </c>
    </row>
    <row r="2174" spans="1:22" x14ac:dyDescent="0.35">
      <c r="A2174">
        <v>12173</v>
      </c>
      <c r="B2174" s="1">
        <v>46734</v>
      </c>
      <c r="C2174">
        <v>1356</v>
      </c>
      <c r="D2174" t="s">
        <v>73</v>
      </c>
      <c r="E2174" t="s">
        <v>78</v>
      </c>
      <c r="F2174">
        <v>2</v>
      </c>
      <c r="G2174" s="2">
        <v>215.5</v>
      </c>
      <c r="H2174">
        <v>0.17</v>
      </c>
      <c r="I2174" t="s">
        <v>71</v>
      </c>
      <c r="J2174">
        <v>9</v>
      </c>
      <c r="K2174">
        <v>2</v>
      </c>
      <c r="L2174" s="2">
        <v>357.73</v>
      </c>
      <c r="M2174">
        <v>2027</v>
      </c>
      <c r="N2174">
        <v>12</v>
      </c>
      <c r="O2174" t="s">
        <v>151</v>
      </c>
      <c r="P2174" s="2">
        <v>431</v>
      </c>
      <c r="Q2174" s="2">
        <v>73.27</v>
      </c>
      <c r="R2174" t="s">
        <v>76</v>
      </c>
      <c r="S2174">
        <v>1</v>
      </c>
      <c r="T2174">
        <v>0</v>
      </c>
      <c r="U2174">
        <f>IF(AND(OR(Dashboard!$D$4="Semua",D2174=Dashboard!$D$4),OR(Dashboard!$H$4="Semua",E2174=Dashboard!$H$4)),1,0)</f>
        <v>1</v>
      </c>
      <c r="V2174">
        <f>IF(U2174=1,IF(COUNTIFS($C$2:C2174,C2174,$U$2:U2174,1)=1,1,0),0)</f>
        <v>0</v>
      </c>
    </row>
    <row r="2175" spans="1:22" x14ac:dyDescent="0.35">
      <c r="A2175">
        <v>12174</v>
      </c>
      <c r="B2175" s="1">
        <v>46735</v>
      </c>
      <c r="C2175">
        <v>1609</v>
      </c>
      <c r="D2175" t="s">
        <v>73</v>
      </c>
      <c r="E2175" t="s">
        <v>74</v>
      </c>
      <c r="F2175">
        <v>3</v>
      </c>
      <c r="G2175" s="2">
        <v>147.19999999999999</v>
      </c>
      <c r="H2175">
        <v>0.25</v>
      </c>
      <c r="I2175" t="s">
        <v>71</v>
      </c>
      <c r="J2175">
        <v>11</v>
      </c>
      <c r="K2175">
        <v>1.8</v>
      </c>
      <c r="L2175" s="2">
        <v>331.2</v>
      </c>
      <c r="M2175">
        <v>2027</v>
      </c>
      <c r="N2175">
        <v>12</v>
      </c>
      <c r="O2175" t="s">
        <v>151</v>
      </c>
      <c r="P2175" s="2">
        <v>441.6</v>
      </c>
      <c r="Q2175" s="2">
        <v>110.4</v>
      </c>
      <c r="R2175" t="s">
        <v>77</v>
      </c>
      <c r="S2175">
        <v>1</v>
      </c>
      <c r="T2175">
        <v>0</v>
      </c>
      <c r="U2175">
        <f>IF(AND(OR(Dashboard!$D$4="Semua",D2175=Dashboard!$D$4),OR(Dashboard!$H$4="Semua",E2175=Dashboard!$H$4)),1,0)</f>
        <v>1</v>
      </c>
      <c r="V2175">
        <f>IF(U2175=1,IF(COUNTIFS($C$2:C2175,C2175,$U$2:U2175,1)=1,1,0),0)</f>
        <v>0</v>
      </c>
    </row>
    <row r="2176" spans="1:22" x14ac:dyDescent="0.35">
      <c r="A2176">
        <v>12175</v>
      </c>
      <c r="B2176" s="1">
        <v>46736</v>
      </c>
      <c r="C2176">
        <v>1266</v>
      </c>
      <c r="D2176" t="s">
        <v>62</v>
      </c>
      <c r="E2176" t="s">
        <v>74</v>
      </c>
      <c r="F2176">
        <v>1</v>
      </c>
      <c r="G2176" s="2">
        <v>389.09</v>
      </c>
      <c r="H2176">
        <v>0.26</v>
      </c>
      <c r="I2176" t="s">
        <v>64</v>
      </c>
      <c r="J2176">
        <v>4</v>
      </c>
      <c r="K2176">
        <v>3.4</v>
      </c>
      <c r="L2176" s="2">
        <v>287.93</v>
      </c>
      <c r="M2176">
        <v>2027</v>
      </c>
      <c r="N2176">
        <v>12</v>
      </c>
      <c r="O2176" t="s">
        <v>151</v>
      </c>
      <c r="P2176" s="2">
        <v>389.09</v>
      </c>
      <c r="Q2176" s="2">
        <v>101.16</v>
      </c>
      <c r="R2176" t="s">
        <v>66</v>
      </c>
      <c r="S2176">
        <v>1</v>
      </c>
      <c r="T2176">
        <v>0</v>
      </c>
      <c r="U2176">
        <f>IF(AND(OR(Dashboard!$D$4="Semua",D2176=Dashboard!$D$4),OR(Dashboard!$H$4="Semua",E2176=Dashboard!$H$4)),1,0)</f>
        <v>1</v>
      </c>
      <c r="V2176">
        <f>IF(U2176=1,IF(COUNTIFS($C$2:C2176,C2176,$U$2:U2176,1)=1,1,0),0)</f>
        <v>1</v>
      </c>
    </row>
    <row r="2177" spans="1:22" x14ac:dyDescent="0.35">
      <c r="A2177">
        <v>12176</v>
      </c>
      <c r="B2177" s="1">
        <v>46737</v>
      </c>
      <c r="C2177">
        <v>1616</v>
      </c>
      <c r="D2177" t="s">
        <v>73</v>
      </c>
      <c r="E2177" t="s">
        <v>74</v>
      </c>
      <c r="F2177">
        <v>4</v>
      </c>
      <c r="G2177" s="2">
        <v>282.35000000000002</v>
      </c>
      <c r="H2177">
        <v>0.25</v>
      </c>
      <c r="I2177" t="s">
        <v>68</v>
      </c>
      <c r="J2177">
        <v>9</v>
      </c>
      <c r="K2177">
        <v>3</v>
      </c>
      <c r="L2177" s="2">
        <v>847.05</v>
      </c>
      <c r="M2177">
        <v>2027</v>
      </c>
      <c r="N2177">
        <v>12</v>
      </c>
      <c r="O2177" t="s">
        <v>151</v>
      </c>
      <c r="P2177" s="2">
        <v>1129.4000000000001</v>
      </c>
      <c r="Q2177" s="2">
        <v>282.35000000000002</v>
      </c>
      <c r="R2177" t="s">
        <v>77</v>
      </c>
      <c r="S2177">
        <v>1</v>
      </c>
      <c r="T2177">
        <v>0</v>
      </c>
      <c r="U2177">
        <f>IF(AND(OR(Dashboard!$D$4="Semua",D2177=Dashboard!$D$4),OR(Dashboard!$H$4="Semua",E2177=Dashboard!$H$4)),1,0)</f>
        <v>1</v>
      </c>
      <c r="V2177">
        <f>IF(U2177=1,IF(COUNTIFS($C$2:C2177,C2177,$U$2:U2177,1)=1,1,0),0)</f>
        <v>0</v>
      </c>
    </row>
    <row r="2178" spans="1:22" x14ac:dyDescent="0.35">
      <c r="A2178">
        <v>12177</v>
      </c>
      <c r="B2178" s="1">
        <v>46738</v>
      </c>
      <c r="C2178">
        <v>1951</v>
      </c>
      <c r="D2178" t="s">
        <v>73</v>
      </c>
      <c r="E2178" t="s">
        <v>70</v>
      </c>
      <c r="F2178">
        <v>7</v>
      </c>
      <c r="G2178" s="2">
        <v>249.09</v>
      </c>
      <c r="H2178">
        <v>0.14000000000000001</v>
      </c>
      <c r="I2178" t="s">
        <v>68</v>
      </c>
      <c r="J2178">
        <v>3</v>
      </c>
      <c r="K2178">
        <v>3.9</v>
      </c>
      <c r="L2178" s="2">
        <v>1499.52</v>
      </c>
      <c r="M2178">
        <v>2027</v>
      </c>
      <c r="N2178">
        <v>12</v>
      </c>
      <c r="O2178" t="s">
        <v>151</v>
      </c>
      <c r="P2178" s="2">
        <v>1743.63</v>
      </c>
      <c r="Q2178" s="2">
        <v>244.11</v>
      </c>
      <c r="R2178" t="s">
        <v>79</v>
      </c>
      <c r="S2178">
        <v>1</v>
      </c>
      <c r="T2178">
        <v>0</v>
      </c>
      <c r="U2178">
        <f>IF(AND(OR(Dashboard!$D$4="Semua",D2178=Dashboard!$D$4),OR(Dashboard!$H$4="Semua",E2178=Dashboard!$H$4)),1,0)</f>
        <v>1</v>
      </c>
      <c r="V2178">
        <f>IF(U2178=1,IF(COUNTIFS($C$2:C2178,C2178,$U$2:U2178,1)=1,1,0),0)</f>
        <v>0</v>
      </c>
    </row>
    <row r="2179" spans="1:22" x14ac:dyDescent="0.35">
      <c r="A2179">
        <v>12178</v>
      </c>
      <c r="B2179" s="1">
        <v>46739</v>
      </c>
      <c r="C2179">
        <v>1322</v>
      </c>
      <c r="D2179" t="s">
        <v>73</v>
      </c>
      <c r="E2179" t="s">
        <v>63</v>
      </c>
      <c r="F2179">
        <v>7</v>
      </c>
      <c r="G2179" s="2">
        <v>361.82</v>
      </c>
      <c r="H2179">
        <v>0.22</v>
      </c>
      <c r="I2179" t="s">
        <v>71</v>
      </c>
      <c r="J2179">
        <v>11</v>
      </c>
      <c r="K2179">
        <v>2.2000000000000002</v>
      </c>
      <c r="L2179" s="2">
        <v>1975.54</v>
      </c>
      <c r="M2179">
        <v>2027</v>
      </c>
      <c r="N2179">
        <v>12</v>
      </c>
      <c r="O2179" t="s">
        <v>151</v>
      </c>
      <c r="P2179" s="2">
        <v>2532.7399999999998</v>
      </c>
      <c r="Q2179" s="2">
        <v>557.20000000000005</v>
      </c>
      <c r="R2179" t="s">
        <v>77</v>
      </c>
      <c r="S2179">
        <v>1</v>
      </c>
      <c r="T2179">
        <v>0</v>
      </c>
      <c r="U2179">
        <f>IF(AND(OR(Dashboard!$D$4="Semua",D2179=Dashboard!$D$4),OR(Dashboard!$H$4="Semua",E2179=Dashboard!$H$4)),1,0)</f>
        <v>1</v>
      </c>
      <c r="V2179">
        <f>IF(U2179=1,IF(COUNTIFS($C$2:C2179,C2179,$U$2:U2179,1)=1,1,0),0)</f>
        <v>0</v>
      </c>
    </row>
    <row r="2180" spans="1:22" x14ac:dyDescent="0.35">
      <c r="A2180">
        <v>12179</v>
      </c>
      <c r="B2180" s="1">
        <v>46740</v>
      </c>
      <c r="C2180">
        <v>1634</v>
      </c>
      <c r="D2180" t="s">
        <v>73</v>
      </c>
      <c r="E2180" t="s">
        <v>74</v>
      </c>
      <c r="F2180">
        <v>5</v>
      </c>
      <c r="G2180" s="2">
        <v>302.39</v>
      </c>
      <c r="H2180">
        <v>0.2</v>
      </c>
      <c r="I2180" t="s">
        <v>68</v>
      </c>
      <c r="J2180">
        <v>5</v>
      </c>
      <c r="K2180">
        <v>2.8</v>
      </c>
      <c r="L2180" s="2">
        <v>1209.56</v>
      </c>
      <c r="M2180">
        <v>2027</v>
      </c>
      <c r="N2180">
        <v>12</v>
      </c>
      <c r="O2180" t="s">
        <v>151</v>
      </c>
      <c r="P2180" s="2">
        <v>1511.95</v>
      </c>
      <c r="Q2180" s="2">
        <v>302.39</v>
      </c>
      <c r="R2180" t="s">
        <v>76</v>
      </c>
      <c r="S2180">
        <v>1</v>
      </c>
      <c r="T2180">
        <v>0</v>
      </c>
      <c r="U2180">
        <f>IF(AND(OR(Dashboard!$D$4="Semua",D2180=Dashboard!$D$4),OR(Dashboard!$H$4="Semua",E2180=Dashboard!$H$4)),1,0)</f>
        <v>1</v>
      </c>
      <c r="V2180">
        <f>IF(U2180=1,IF(COUNTIFS($C$2:C2180,C2180,$U$2:U2180,1)=1,1,0),0)</f>
        <v>0</v>
      </c>
    </row>
    <row r="2181" spans="1:22" x14ac:dyDescent="0.35">
      <c r="A2181">
        <v>12180</v>
      </c>
      <c r="B2181" s="1">
        <v>46741</v>
      </c>
      <c r="C2181">
        <v>1987</v>
      </c>
      <c r="D2181" t="s">
        <v>67</v>
      </c>
      <c r="E2181" t="s">
        <v>63</v>
      </c>
      <c r="F2181">
        <v>3</v>
      </c>
      <c r="G2181" s="2">
        <v>192.54</v>
      </c>
      <c r="H2181">
        <v>0.15</v>
      </c>
      <c r="I2181" t="s">
        <v>71</v>
      </c>
      <c r="J2181">
        <v>1</v>
      </c>
      <c r="K2181">
        <v>3.7</v>
      </c>
      <c r="L2181" s="2">
        <v>490.98</v>
      </c>
      <c r="M2181">
        <v>2027</v>
      </c>
      <c r="N2181">
        <v>12</v>
      </c>
      <c r="O2181" t="s">
        <v>151</v>
      </c>
      <c r="P2181" s="2">
        <v>577.62</v>
      </c>
      <c r="Q2181" s="2">
        <v>86.64</v>
      </c>
      <c r="R2181" t="s">
        <v>79</v>
      </c>
      <c r="S2181">
        <v>1</v>
      </c>
      <c r="T2181">
        <v>0</v>
      </c>
      <c r="U2181">
        <f>IF(AND(OR(Dashboard!$D$4="Semua",D2181=Dashboard!$D$4),OR(Dashboard!$H$4="Semua",E2181=Dashboard!$H$4)),1,0)</f>
        <v>1</v>
      </c>
      <c r="V2181">
        <f>IF(U2181=1,IF(COUNTIFS($C$2:C2181,C2181,$U$2:U2181,1)=1,1,0),0)</f>
        <v>0</v>
      </c>
    </row>
    <row r="2182" spans="1:22" x14ac:dyDescent="0.35">
      <c r="A2182">
        <v>12181</v>
      </c>
      <c r="B2182" s="1">
        <v>46742</v>
      </c>
      <c r="C2182">
        <v>1540</v>
      </c>
      <c r="D2182" t="s">
        <v>80</v>
      </c>
      <c r="E2182" t="s">
        <v>78</v>
      </c>
      <c r="F2182">
        <v>1</v>
      </c>
      <c r="G2182" s="2">
        <v>342.05</v>
      </c>
      <c r="H2182">
        <v>0.21</v>
      </c>
      <c r="I2182" t="s">
        <v>64</v>
      </c>
      <c r="J2182">
        <v>11</v>
      </c>
      <c r="K2182">
        <v>4.9000000000000004</v>
      </c>
      <c r="L2182" s="2">
        <v>270.22000000000003</v>
      </c>
      <c r="M2182">
        <v>2027</v>
      </c>
      <c r="N2182">
        <v>12</v>
      </c>
      <c r="O2182" t="s">
        <v>151</v>
      </c>
      <c r="P2182" s="2">
        <v>342.05</v>
      </c>
      <c r="Q2182" s="2">
        <v>71.83</v>
      </c>
      <c r="R2182" t="s">
        <v>77</v>
      </c>
      <c r="S2182">
        <v>1</v>
      </c>
      <c r="T2182">
        <v>0</v>
      </c>
      <c r="U2182">
        <f>IF(AND(OR(Dashboard!$D$4="Semua",D2182=Dashboard!$D$4),OR(Dashboard!$H$4="Semua",E2182=Dashboard!$H$4)),1,0)</f>
        <v>1</v>
      </c>
      <c r="V2182">
        <f>IF(U2182=1,IF(COUNTIFS($C$2:C2182,C2182,$U$2:U2182,1)=1,1,0),0)</f>
        <v>0</v>
      </c>
    </row>
    <row r="2183" spans="1:22" x14ac:dyDescent="0.35">
      <c r="A2183">
        <v>12182</v>
      </c>
      <c r="B2183" s="1">
        <v>46743</v>
      </c>
      <c r="C2183">
        <v>1648</v>
      </c>
      <c r="D2183" t="s">
        <v>73</v>
      </c>
      <c r="E2183" t="s">
        <v>63</v>
      </c>
      <c r="F2183">
        <v>2</v>
      </c>
      <c r="G2183" s="2">
        <v>406.66</v>
      </c>
      <c r="H2183">
        <v>0.33</v>
      </c>
      <c r="I2183" t="s">
        <v>71</v>
      </c>
      <c r="J2183">
        <v>3</v>
      </c>
      <c r="K2183">
        <v>2.4</v>
      </c>
      <c r="L2183" s="2">
        <v>544.91999999999996</v>
      </c>
      <c r="M2183">
        <v>2027</v>
      </c>
      <c r="N2183">
        <v>12</v>
      </c>
      <c r="O2183" t="s">
        <v>151</v>
      </c>
      <c r="P2183" s="2">
        <v>813.32</v>
      </c>
      <c r="Q2183" s="2">
        <v>268.39999999999998</v>
      </c>
      <c r="R2183" t="s">
        <v>72</v>
      </c>
      <c r="S2183">
        <v>1</v>
      </c>
      <c r="T2183">
        <v>0</v>
      </c>
      <c r="U2183">
        <f>IF(AND(OR(Dashboard!$D$4="Semua",D2183=Dashboard!$D$4),OR(Dashboard!$H$4="Semua",E2183=Dashboard!$H$4)),1,0)</f>
        <v>1</v>
      </c>
      <c r="V2183">
        <f>IF(U2183=1,IF(COUNTIFS($C$2:C2183,C2183,$U$2:U2183,1)=1,1,0),0)</f>
        <v>0</v>
      </c>
    </row>
    <row r="2184" spans="1:22" x14ac:dyDescent="0.35">
      <c r="A2184">
        <v>12183</v>
      </c>
      <c r="B2184" s="1">
        <v>46744</v>
      </c>
      <c r="C2184">
        <v>1194</v>
      </c>
      <c r="D2184" t="s">
        <v>67</v>
      </c>
      <c r="E2184" t="s">
        <v>70</v>
      </c>
      <c r="F2184">
        <v>1</v>
      </c>
      <c r="G2184" s="2">
        <v>30.62</v>
      </c>
      <c r="H2184">
        <v>7.0000000000000007E-2</v>
      </c>
      <c r="I2184" t="s">
        <v>64</v>
      </c>
      <c r="J2184">
        <v>5</v>
      </c>
      <c r="K2184">
        <v>2.2000000000000002</v>
      </c>
      <c r="L2184" s="2">
        <v>28.48</v>
      </c>
      <c r="M2184">
        <v>2027</v>
      </c>
      <c r="N2184">
        <v>12</v>
      </c>
      <c r="O2184" t="s">
        <v>151</v>
      </c>
      <c r="P2184" s="2">
        <v>30.62</v>
      </c>
      <c r="Q2184" s="2">
        <v>2.14</v>
      </c>
      <c r="R2184" t="s">
        <v>69</v>
      </c>
      <c r="S2184">
        <v>1</v>
      </c>
      <c r="T2184">
        <v>0</v>
      </c>
      <c r="U2184">
        <f>IF(AND(OR(Dashboard!$D$4="Semua",D2184=Dashboard!$D$4),OR(Dashboard!$H$4="Semua",E2184=Dashboard!$H$4)),1,0)</f>
        <v>1</v>
      </c>
      <c r="V2184">
        <f>IF(U2184=1,IF(COUNTIFS($C$2:C2184,C2184,$U$2:U2184,1)=1,1,0),0)</f>
        <v>0</v>
      </c>
    </row>
    <row r="2185" spans="1:22" x14ac:dyDescent="0.35">
      <c r="A2185">
        <v>12184</v>
      </c>
      <c r="B2185" s="1">
        <v>46745</v>
      </c>
      <c r="C2185">
        <v>1920</v>
      </c>
      <c r="D2185" t="s">
        <v>80</v>
      </c>
      <c r="E2185" t="s">
        <v>70</v>
      </c>
      <c r="F2185">
        <v>2</v>
      </c>
      <c r="G2185" s="2">
        <v>287.52999999999997</v>
      </c>
      <c r="H2185">
        <v>0.32</v>
      </c>
      <c r="I2185" t="s">
        <v>68</v>
      </c>
      <c r="J2185">
        <v>6</v>
      </c>
      <c r="K2185">
        <v>2.8</v>
      </c>
      <c r="L2185" s="2">
        <v>391.04</v>
      </c>
      <c r="M2185">
        <v>2027</v>
      </c>
      <c r="N2185">
        <v>12</v>
      </c>
      <c r="O2185" t="s">
        <v>151</v>
      </c>
      <c r="P2185" s="2">
        <v>575.05999999999995</v>
      </c>
      <c r="Q2185" s="2">
        <v>184.02</v>
      </c>
      <c r="R2185" t="s">
        <v>72</v>
      </c>
      <c r="S2185">
        <v>1</v>
      </c>
      <c r="T2185">
        <v>0</v>
      </c>
      <c r="U2185">
        <f>IF(AND(OR(Dashboard!$D$4="Semua",D2185=Dashboard!$D$4),OR(Dashboard!$H$4="Semua",E2185=Dashboard!$H$4)),1,0)</f>
        <v>1</v>
      </c>
      <c r="V2185">
        <f>IF(U2185=1,IF(COUNTIFS($C$2:C2185,C2185,$U$2:U2185,1)=1,1,0),0)</f>
        <v>0</v>
      </c>
    </row>
    <row r="2186" spans="1:22" x14ac:dyDescent="0.35">
      <c r="A2186">
        <v>12185</v>
      </c>
      <c r="B2186" s="1">
        <v>46746</v>
      </c>
      <c r="C2186">
        <v>1737</v>
      </c>
      <c r="D2186" t="s">
        <v>67</v>
      </c>
      <c r="E2186" t="s">
        <v>63</v>
      </c>
      <c r="F2186">
        <v>7</v>
      </c>
      <c r="G2186" s="2">
        <v>48.74</v>
      </c>
      <c r="H2186">
        <v>0.02</v>
      </c>
      <c r="I2186" t="s">
        <v>64</v>
      </c>
      <c r="J2186">
        <v>8</v>
      </c>
      <c r="K2186">
        <v>3.9</v>
      </c>
      <c r="L2186" s="2">
        <v>334.36</v>
      </c>
      <c r="M2186">
        <v>2027</v>
      </c>
      <c r="N2186">
        <v>12</v>
      </c>
      <c r="O2186" t="s">
        <v>151</v>
      </c>
      <c r="P2186" s="2">
        <v>341.18</v>
      </c>
      <c r="Q2186" s="2">
        <v>6.82</v>
      </c>
      <c r="R2186" t="s">
        <v>75</v>
      </c>
      <c r="S2186">
        <v>1</v>
      </c>
      <c r="T2186">
        <v>0</v>
      </c>
      <c r="U2186">
        <f>IF(AND(OR(Dashboard!$D$4="Semua",D2186=Dashboard!$D$4),OR(Dashboard!$H$4="Semua",E2186=Dashboard!$H$4)),1,0)</f>
        <v>1</v>
      </c>
      <c r="V2186">
        <f>IF(U2186=1,IF(COUNTIFS($C$2:C2186,C2186,$U$2:U2186,1)=1,1,0),0)</f>
        <v>0</v>
      </c>
    </row>
    <row r="2187" spans="1:22" x14ac:dyDescent="0.35">
      <c r="A2187">
        <v>12186</v>
      </c>
      <c r="B2187" s="1">
        <v>46747</v>
      </c>
      <c r="C2187">
        <v>1331</v>
      </c>
      <c r="D2187" t="s">
        <v>62</v>
      </c>
      <c r="E2187" t="s">
        <v>70</v>
      </c>
      <c r="F2187">
        <v>5</v>
      </c>
      <c r="G2187" s="2">
        <v>124.05</v>
      </c>
      <c r="H2187">
        <v>0.11</v>
      </c>
      <c r="I2187" t="s">
        <v>71</v>
      </c>
      <c r="J2187">
        <v>1</v>
      </c>
      <c r="K2187">
        <v>4.8</v>
      </c>
      <c r="L2187" s="2">
        <v>552.02</v>
      </c>
      <c r="M2187">
        <v>2027</v>
      </c>
      <c r="N2187">
        <v>12</v>
      </c>
      <c r="O2187" t="s">
        <v>151</v>
      </c>
      <c r="P2187" s="2">
        <v>620.25</v>
      </c>
      <c r="Q2187" s="2">
        <v>68.23</v>
      </c>
      <c r="R2187" t="s">
        <v>79</v>
      </c>
      <c r="S2187">
        <v>1</v>
      </c>
      <c r="T2187">
        <v>0</v>
      </c>
      <c r="U2187">
        <f>IF(AND(OR(Dashboard!$D$4="Semua",D2187=Dashboard!$D$4),OR(Dashboard!$H$4="Semua",E2187=Dashboard!$H$4)),1,0)</f>
        <v>1</v>
      </c>
      <c r="V2187">
        <f>IF(U2187=1,IF(COUNTIFS($C$2:C2187,C2187,$U$2:U2187,1)=1,1,0),0)</f>
        <v>1</v>
      </c>
    </row>
    <row r="2188" spans="1:22" x14ac:dyDescent="0.35">
      <c r="A2188">
        <v>12187</v>
      </c>
      <c r="B2188" s="1">
        <v>46748</v>
      </c>
      <c r="C2188">
        <v>1169</v>
      </c>
      <c r="D2188" t="s">
        <v>62</v>
      </c>
      <c r="E2188" t="s">
        <v>70</v>
      </c>
      <c r="F2188">
        <v>5</v>
      </c>
      <c r="G2188" s="2">
        <v>342.9</v>
      </c>
      <c r="H2188">
        <v>0.1</v>
      </c>
      <c r="I2188" t="s">
        <v>68</v>
      </c>
      <c r="J2188">
        <v>3</v>
      </c>
      <c r="K2188">
        <v>3.1</v>
      </c>
      <c r="L2188" s="2">
        <v>1543.05</v>
      </c>
      <c r="M2188">
        <v>2027</v>
      </c>
      <c r="N2188">
        <v>12</v>
      </c>
      <c r="O2188" t="s">
        <v>151</v>
      </c>
      <c r="P2188" s="2">
        <v>1714.5</v>
      </c>
      <c r="Q2188" s="2">
        <v>171.45</v>
      </c>
      <c r="R2188" t="s">
        <v>69</v>
      </c>
      <c r="S2188">
        <v>1</v>
      </c>
      <c r="T2188">
        <v>0</v>
      </c>
      <c r="U2188">
        <f>IF(AND(OR(Dashboard!$D$4="Semua",D2188=Dashboard!$D$4),OR(Dashboard!$H$4="Semua",E2188=Dashboard!$H$4)),1,0)</f>
        <v>1</v>
      </c>
      <c r="V2188">
        <f>IF(U2188=1,IF(COUNTIFS($C$2:C2188,C2188,$U$2:U2188,1)=1,1,0),0)</f>
        <v>0</v>
      </c>
    </row>
    <row r="2189" spans="1:22" x14ac:dyDescent="0.35">
      <c r="A2189">
        <v>12188</v>
      </c>
      <c r="B2189" s="1">
        <v>46749</v>
      </c>
      <c r="C2189">
        <v>1520</v>
      </c>
      <c r="D2189" t="s">
        <v>73</v>
      </c>
      <c r="E2189" t="s">
        <v>78</v>
      </c>
      <c r="F2189">
        <v>1</v>
      </c>
      <c r="G2189" s="2">
        <v>521.72</v>
      </c>
      <c r="H2189">
        <v>0.22</v>
      </c>
      <c r="I2189" t="s">
        <v>71</v>
      </c>
      <c r="J2189">
        <v>1</v>
      </c>
      <c r="K2189">
        <v>4.2</v>
      </c>
      <c r="L2189" s="2">
        <v>406.94</v>
      </c>
      <c r="M2189">
        <v>2027</v>
      </c>
      <c r="N2189">
        <v>12</v>
      </c>
      <c r="O2189" t="s">
        <v>151</v>
      </c>
      <c r="P2189" s="2">
        <v>521.72</v>
      </c>
      <c r="Q2189" s="2">
        <v>114.78</v>
      </c>
      <c r="R2189" t="s">
        <v>77</v>
      </c>
      <c r="S2189">
        <v>1</v>
      </c>
      <c r="T2189">
        <v>0</v>
      </c>
      <c r="U2189">
        <f>IF(AND(OR(Dashboard!$D$4="Semua",D2189=Dashboard!$D$4),OR(Dashboard!$H$4="Semua",E2189=Dashboard!$H$4)),1,0)</f>
        <v>1</v>
      </c>
      <c r="V2189">
        <f>IF(U2189=1,IF(COUNTIFS($C$2:C2189,C2189,$U$2:U2189,1)=1,1,0),0)</f>
        <v>0</v>
      </c>
    </row>
    <row r="2190" spans="1:22" x14ac:dyDescent="0.35">
      <c r="A2190">
        <v>12189</v>
      </c>
      <c r="B2190" s="1">
        <v>46750</v>
      </c>
      <c r="C2190">
        <v>1462</v>
      </c>
      <c r="D2190" t="s">
        <v>80</v>
      </c>
      <c r="E2190" t="s">
        <v>74</v>
      </c>
      <c r="F2190">
        <v>1</v>
      </c>
      <c r="G2190" s="2">
        <v>531.44000000000005</v>
      </c>
      <c r="H2190">
        <v>0.05</v>
      </c>
      <c r="I2190" t="s">
        <v>64</v>
      </c>
      <c r="J2190">
        <v>5</v>
      </c>
      <c r="K2190">
        <v>2.9</v>
      </c>
      <c r="L2190" s="2">
        <v>504.87</v>
      </c>
      <c r="M2190">
        <v>2027</v>
      </c>
      <c r="N2190">
        <v>12</v>
      </c>
      <c r="O2190" t="s">
        <v>151</v>
      </c>
      <c r="P2190" s="2">
        <v>531.44000000000005</v>
      </c>
      <c r="Q2190" s="2">
        <v>26.57</v>
      </c>
      <c r="R2190" t="s">
        <v>75</v>
      </c>
      <c r="S2190">
        <v>1</v>
      </c>
      <c r="T2190">
        <v>0</v>
      </c>
      <c r="U2190">
        <f>IF(AND(OR(Dashboard!$D$4="Semua",D2190=Dashboard!$D$4),OR(Dashboard!$H$4="Semua",E2190=Dashboard!$H$4)),1,0)</f>
        <v>1</v>
      </c>
      <c r="V2190">
        <f>IF(U2190=1,IF(COUNTIFS($C$2:C2190,C2190,$U$2:U2190,1)=1,1,0),0)</f>
        <v>1</v>
      </c>
    </row>
    <row r="2191" spans="1:22" x14ac:dyDescent="0.35">
      <c r="A2191">
        <v>12190</v>
      </c>
      <c r="B2191" s="1">
        <v>46751</v>
      </c>
      <c r="C2191">
        <v>1039</v>
      </c>
      <c r="D2191" t="s">
        <v>67</v>
      </c>
      <c r="E2191" t="s">
        <v>70</v>
      </c>
      <c r="F2191">
        <v>2</v>
      </c>
      <c r="G2191" s="2">
        <v>55.92</v>
      </c>
      <c r="H2191">
        <v>0.31</v>
      </c>
      <c r="I2191" t="s">
        <v>68</v>
      </c>
      <c r="J2191">
        <v>8</v>
      </c>
      <c r="K2191">
        <v>1.2</v>
      </c>
      <c r="L2191" s="2">
        <v>77.17</v>
      </c>
      <c r="M2191">
        <v>2027</v>
      </c>
      <c r="N2191">
        <v>12</v>
      </c>
      <c r="O2191" t="s">
        <v>151</v>
      </c>
      <c r="P2191" s="2">
        <v>111.84</v>
      </c>
      <c r="Q2191" s="2">
        <v>34.67</v>
      </c>
      <c r="R2191" t="s">
        <v>72</v>
      </c>
      <c r="S2191">
        <v>1</v>
      </c>
      <c r="T2191">
        <v>0</v>
      </c>
      <c r="U2191">
        <f>IF(AND(OR(Dashboard!$D$4="Semua",D2191=Dashboard!$D$4),OR(Dashboard!$H$4="Semua",E2191=Dashboard!$H$4)),1,0)</f>
        <v>1</v>
      </c>
      <c r="V2191">
        <f>IF(U2191=1,IF(COUNTIFS($C$2:C2191,C2191,$U$2:U2191,1)=1,1,0),0)</f>
        <v>0</v>
      </c>
    </row>
    <row r="2192" spans="1:22" x14ac:dyDescent="0.35">
      <c r="A2192">
        <v>12191</v>
      </c>
      <c r="B2192" s="1">
        <v>46752</v>
      </c>
      <c r="C2192">
        <v>1536</v>
      </c>
      <c r="D2192" t="s">
        <v>62</v>
      </c>
      <c r="E2192" t="s">
        <v>74</v>
      </c>
      <c r="F2192">
        <v>2</v>
      </c>
      <c r="G2192" s="2">
        <v>260.18</v>
      </c>
      <c r="H2192">
        <v>0.28999999999999998</v>
      </c>
      <c r="I2192" t="s">
        <v>71</v>
      </c>
      <c r="J2192">
        <v>4</v>
      </c>
      <c r="K2192">
        <v>4.5999999999999996</v>
      </c>
      <c r="L2192" s="2">
        <v>369.46</v>
      </c>
      <c r="M2192">
        <v>2027</v>
      </c>
      <c r="N2192">
        <v>12</v>
      </c>
      <c r="O2192" t="s">
        <v>151</v>
      </c>
      <c r="P2192" s="2">
        <v>520.36</v>
      </c>
      <c r="Q2192" s="2">
        <v>150.9</v>
      </c>
      <c r="R2192" t="s">
        <v>66</v>
      </c>
      <c r="S2192">
        <v>1</v>
      </c>
      <c r="T2192">
        <v>0</v>
      </c>
      <c r="U2192">
        <f>IF(AND(OR(Dashboard!$D$4="Semua",D2192=Dashboard!$D$4),OR(Dashboard!$H$4="Semua",E2192=Dashboard!$H$4)),1,0)</f>
        <v>1</v>
      </c>
      <c r="V2192">
        <f>IF(U2192=1,IF(COUNTIFS($C$2:C2192,C2192,$U$2:U2192,1)=1,1,0),0)</f>
        <v>0</v>
      </c>
    </row>
    <row r="2193" spans="1:22" x14ac:dyDescent="0.35">
      <c r="A2193">
        <v>12192</v>
      </c>
      <c r="B2193" s="1">
        <v>46753</v>
      </c>
      <c r="C2193">
        <v>1260</v>
      </c>
      <c r="D2193" t="s">
        <v>67</v>
      </c>
      <c r="E2193" t="s">
        <v>63</v>
      </c>
      <c r="F2193">
        <v>3</v>
      </c>
      <c r="G2193" s="2">
        <v>356.06</v>
      </c>
      <c r="H2193">
        <v>0.23</v>
      </c>
      <c r="I2193" t="s">
        <v>64</v>
      </c>
      <c r="J2193">
        <v>11</v>
      </c>
      <c r="K2193">
        <v>2.2000000000000002</v>
      </c>
      <c r="L2193" s="2">
        <v>822.5</v>
      </c>
      <c r="M2193">
        <v>2028</v>
      </c>
      <c r="N2193">
        <v>1</v>
      </c>
      <c r="O2193" t="s">
        <v>152</v>
      </c>
      <c r="P2193" s="2">
        <v>1068.18</v>
      </c>
      <c r="Q2193" s="2">
        <v>245.68</v>
      </c>
      <c r="R2193" t="s">
        <v>77</v>
      </c>
      <c r="S2193">
        <v>1</v>
      </c>
      <c r="T2193">
        <v>0</v>
      </c>
      <c r="U2193">
        <f>IF(AND(OR(Dashboard!$D$4="Semua",D2193=Dashboard!$D$4),OR(Dashboard!$H$4="Semua",E2193=Dashboard!$H$4)),1,0)</f>
        <v>1</v>
      </c>
      <c r="V2193">
        <f>IF(U2193=1,IF(COUNTIFS($C$2:C2193,C2193,$U$2:U2193,1)=1,1,0),0)</f>
        <v>0</v>
      </c>
    </row>
    <row r="2194" spans="1:22" x14ac:dyDescent="0.35">
      <c r="A2194">
        <v>12193</v>
      </c>
      <c r="B2194" s="1">
        <v>46754</v>
      </c>
      <c r="C2194">
        <v>1394</v>
      </c>
      <c r="D2194" t="s">
        <v>62</v>
      </c>
      <c r="E2194" t="s">
        <v>63</v>
      </c>
      <c r="F2194">
        <v>7</v>
      </c>
      <c r="G2194" s="2">
        <v>101.04</v>
      </c>
      <c r="H2194">
        <v>0.16</v>
      </c>
      <c r="I2194" t="s">
        <v>68</v>
      </c>
      <c r="J2194">
        <v>9</v>
      </c>
      <c r="K2194">
        <v>1.6</v>
      </c>
      <c r="L2194" s="2">
        <v>594.12</v>
      </c>
      <c r="M2194">
        <v>2028</v>
      </c>
      <c r="N2194">
        <v>1</v>
      </c>
      <c r="O2194" t="s">
        <v>152</v>
      </c>
      <c r="P2194" s="2">
        <v>707.28</v>
      </c>
      <c r="Q2194" s="2">
        <v>113.16</v>
      </c>
      <c r="R2194" t="s">
        <v>76</v>
      </c>
      <c r="S2194">
        <v>1</v>
      </c>
      <c r="T2194">
        <v>0</v>
      </c>
      <c r="U2194">
        <f>IF(AND(OR(Dashboard!$D$4="Semua",D2194=Dashboard!$D$4),OR(Dashboard!$H$4="Semua",E2194=Dashboard!$H$4)),1,0)</f>
        <v>1</v>
      </c>
      <c r="V2194">
        <f>IF(U2194=1,IF(COUNTIFS($C$2:C2194,C2194,$U$2:U2194,1)=1,1,0),0)</f>
        <v>1</v>
      </c>
    </row>
    <row r="2195" spans="1:22" x14ac:dyDescent="0.35">
      <c r="A2195">
        <v>12194</v>
      </c>
      <c r="B2195" s="1">
        <v>46755</v>
      </c>
      <c r="C2195">
        <v>1954</v>
      </c>
      <c r="D2195" t="s">
        <v>80</v>
      </c>
      <c r="E2195" t="s">
        <v>70</v>
      </c>
      <c r="F2195">
        <v>3</v>
      </c>
      <c r="G2195" s="2">
        <v>462.78</v>
      </c>
      <c r="H2195">
        <v>0.33</v>
      </c>
      <c r="I2195" t="s">
        <v>71</v>
      </c>
      <c r="J2195">
        <v>6</v>
      </c>
      <c r="K2195">
        <v>5</v>
      </c>
      <c r="L2195" s="2">
        <v>930.19</v>
      </c>
      <c r="M2195">
        <v>2028</v>
      </c>
      <c r="N2195">
        <v>1</v>
      </c>
      <c r="O2195" t="s">
        <v>152</v>
      </c>
      <c r="P2195" s="2">
        <v>1388.34</v>
      </c>
      <c r="Q2195" s="2">
        <v>458.15</v>
      </c>
      <c r="R2195" t="s">
        <v>72</v>
      </c>
      <c r="S2195">
        <v>1</v>
      </c>
      <c r="T2195">
        <v>0</v>
      </c>
      <c r="U2195">
        <f>IF(AND(OR(Dashboard!$D$4="Semua",D2195=Dashboard!$D$4),OR(Dashboard!$H$4="Semua",E2195=Dashboard!$H$4)),1,0)</f>
        <v>1</v>
      </c>
      <c r="V2195">
        <f>IF(U2195=1,IF(COUNTIFS($C$2:C2195,C2195,$U$2:U2195,1)=1,1,0),0)</f>
        <v>0</v>
      </c>
    </row>
    <row r="2196" spans="1:22" x14ac:dyDescent="0.35">
      <c r="A2196">
        <v>12195</v>
      </c>
      <c r="B2196" s="1">
        <v>46756</v>
      </c>
      <c r="C2196">
        <v>1225</v>
      </c>
      <c r="D2196" t="s">
        <v>73</v>
      </c>
      <c r="E2196" t="s">
        <v>63</v>
      </c>
      <c r="F2196">
        <v>3</v>
      </c>
      <c r="G2196" s="2">
        <v>450.38</v>
      </c>
      <c r="H2196">
        <v>0.28999999999999998</v>
      </c>
      <c r="I2196" t="s">
        <v>71</v>
      </c>
      <c r="J2196">
        <v>6</v>
      </c>
      <c r="K2196">
        <v>2.4</v>
      </c>
      <c r="L2196" s="2">
        <v>959.31</v>
      </c>
      <c r="M2196">
        <v>2028</v>
      </c>
      <c r="N2196">
        <v>1</v>
      </c>
      <c r="O2196" t="s">
        <v>152</v>
      </c>
      <c r="P2196" s="2">
        <v>1351.14</v>
      </c>
      <c r="Q2196" s="2">
        <v>391.83</v>
      </c>
      <c r="R2196" t="s">
        <v>66</v>
      </c>
      <c r="S2196">
        <v>1</v>
      </c>
      <c r="T2196">
        <v>0</v>
      </c>
      <c r="U2196">
        <f>IF(AND(OR(Dashboard!$D$4="Semua",D2196=Dashboard!$D$4),OR(Dashboard!$H$4="Semua",E2196=Dashboard!$H$4)),1,0)</f>
        <v>1</v>
      </c>
      <c r="V2196">
        <f>IF(U2196=1,IF(COUNTIFS($C$2:C2196,C2196,$U$2:U2196,1)=1,1,0),0)</f>
        <v>0</v>
      </c>
    </row>
    <row r="2197" spans="1:22" x14ac:dyDescent="0.35">
      <c r="A2197">
        <v>12196</v>
      </c>
      <c r="B2197" s="1">
        <v>46757</v>
      </c>
      <c r="C2197">
        <v>1983</v>
      </c>
      <c r="D2197" t="s">
        <v>67</v>
      </c>
      <c r="E2197" t="s">
        <v>78</v>
      </c>
      <c r="F2197">
        <v>1</v>
      </c>
      <c r="G2197" s="2">
        <v>543.45000000000005</v>
      </c>
      <c r="H2197">
        <v>0.17</v>
      </c>
      <c r="I2197" t="s">
        <v>68</v>
      </c>
      <c r="J2197">
        <v>11</v>
      </c>
      <c r="K2197">
        <v>1.5</v>
      </c>
      <c r="L2197" s="2">
        <v>451.06</v>
      </c>
      <c r="M2197">
        <v>2028</v>
      </c>
      <c r="N2197">
        <v>1</v>
      </c>
      <c r="O2197" t="s">
        <v>152</v>
      </c>
      <c r="P2197" s="2">
        <v>543.45000000000005</v>
      </c>
      <c r="Q2197" s="2">
        <v>92.39</v>
      </c>
      <c r="R2197" t="s">
        <v>76</v>
      </c>
      <c r="S2197">
        <v>1</v>
      </c>
      <c r="T2197">
        <v>0</v>
      </c>
      <c r="U2197">
        <f>IF(AND(OR(Dashboard!$D$4="Semua",D2197=Dashboard!$D$4),OR(Dashboard!$H$4="Semua",E2197=Dashboard!$H$4)),1,0)</f>
        <v>1</v>
      </c>
      <c r="V2197">
        <f>IF(U2197=1,IF(COUNTIFS($C$2:C2197,C2197,$U$2:U2197,1)=1,1,0),0)</f>
        <v>0</v>
      </c>
    </row>
    <row r="2198" spans="1:22" x14ac:dyDescent="0.35">
      <c r="A2198">
        <v>12197</v>
      </c>
      <c r="B2198" s="1">
        <v>46758</v>
      </c>
      <c r="C2198">
        <v>1123</v>
      </c>
      <c r="D2198" t="s">
        <v>62</v>
      </c>
      <c r="E2198" t="s">
        <v>70</v>
      </c>
      <c r="F2198">
        <v>6</v>
      </c>
      <c r="G2198" s="2">
        <v>19.96</v>
      </c>
      <c r="H2198">
        <v>0.25</v>
      </c>
      <c r="I2198" t="s">
        <v>71</v>
      </c>
      <c r="J2198">
        <v>5</v>
      </c>
      <c r="K2198">
        <v>2.2000000000000002</v>
      </c>
      <c r="L2198" s="2">
        <v>89.82</v>
      </c>
      <c r="M2198">
        <v>2028</v>
      </c>
      <c r="N2198">
        <v>1</v>
      </c>
      <c r="O2198" t="s">
        <v>152</v>
      </c>
      <c r="P2198" s="2">
        <v>119.76</v>
      </c>
      <c r="Q2198" s="2">
        <v>29.94</v>
      </c>
      <c r="R2198" t="s">
        <v>77</v>
      </c>
      <c r="S2198">
        <v>1</v>
      </c>
      <c r="T2198">
        <v>0</v>
      </c>
      <c r="U2198">
        <f>IF(AND(OR(Dashboard!$D$4="Semua",D2198=Dashboard!$D$4),OR(Dashboard!$H$4="Semua",E2198=Dashboard!$H$4)),1,0)</f>
        <v>1</v>
      </c>
      <c r="V2198">
        <f>IF(U2198=1,IF(COUNTIFS($C$2:C2198,C2198,$U$2:U2198,1)=1,1,0),0)</f>
        <v>0</v>
      </c>
    </row>
    <row r="2199" spans="1:22" x14ac:dyDescent="0.35">
      <c r="A2199">
        <v>12198</v>
      </c>
      <c r="B2199" s="1">
        <v>46759</v>
      </c>
      <c r="C2199">
        <v>1974</v>
      </c>
      <c r="D2199" t="s">
        <v>62</v>
      </c>
      <c r="E2199" t="s">
        <v>70</v>
      </c>
      <c r="F2199">
        <v>6</v>
      </c>
      <c r="G2199" s="2">
        <v>141.76</v>
      </c>
      <c r="H2199">
        <v>0.2</v>
      </c>
      <c r="I2199" t="s">
        <v>68</v>
      </c>
      <c r="J2199">
        <v>10</v>
      </c>
      <c r="K2199">
        <v>3.1</v>
      </c>
      <c r="L2199" s="2">
        <v>680.45</v>
      </c>
      <c r="M2199">
        <v>2028</v>
      </c>
      <c r="N2199">
        <v>1</v>
      </c>
      <c r="O2199" t="s">
        <v>152</v>
      </c>
      <c r="P2199" s="2">
        <v>850.56</v>
      </c>
      <c r="Q2199" s="2">
        <v>170.11</v>
      </c>
      <c r="R2199" t="s">
        <v>76</v>
      </c>
      <c r="S2199">
        <v>1</v>
      </c>
      <c r="T2199">
        <v>0</v>
      </c>
      <c r="U2199">
        <f>IF(AND(OR(Dashboard!$D$4="Semua",D2199=Dashboard!$D$4),OR(Dashboard!$H$4="Semua",E2199=Dashboard!$H$4)),1,0)</f>
        <v>1</v>
      </c>
      <c r="V2199">
        <f>IF(U2199=1,IF(COUNTIFS($C$2:C2199,C2199,$U$2:U2199,1)=1,1,0),0)</f>
        <v>0</v>
      </c>
    </row>
    <row r="2200" spans="1:22" x14ac:dyDescent="0.35">
      <c r="A2200">
        <v>12199</v>
      </c>
      <c r="B2200" s="1">
        <v>46760</v>
      </c>
      <c r="C2200">
        <v>1037</v>
      </c>
      <c r="D2200" t="s">
        <v>73</v>
      </c>
      <c r="E2200" t="s">
        <v>70</v>
      </c>
      <c r="F2200">
        <v>6</v>
      </c>
      <c r="G2200" s="2">
        <v>498.9</v>
      </c>
      <c r="H2200">
        <v>0.21</v>
      </c>
      <c r="I2200" t="s">
        <v>71</v>
      </c>
      <c r="J2200">
        <v>5</v>
      </c>
      <c r="K2200">
        <v>1.4</v>
      </c>
      <c r="L2200" s="2">
        <v>2364.79</v>
      </c>
      <c r="M2200">
        <v>2028</v>
      </c>
      <c r="N2200">
        <v>1</v>
      </c>
      <c r="O2200" t="s">
        <v>152</v>
      </c>
      <c r="P2200" s="2">
        <v>2993.4</v>
      </c>
      <c r="Q2200" s="2">
        <v>628.61</v>
      </c>
      <c r="R2200" t="s">
        <v>77</v>
      </c>
      <c r="S2200">
        <v>1</v>
      </c>
      <c r="T2200">
        <v>0</v>
      </c>
      <c r="U2200">
        <f>IF(AND(OR(Dashboard!$D$4="Semua",D2200=Dashboard!$D$4),OR(Dashboard!$H$4="Semua",E2200=Dashboard!$H$4)),1,0)</f>
        <v>1</v>
      </c>
      <c r="V2200">
        <f>IF(U2200=1,IF(COUNTIFS($C$2:C2200,C2200,$U$2:U2200,1)=1,1,0),0)</f>
        <v>0</v>
      </c>
    </row>
    <row r="2201" spans="1:22" x14ac:dyDescent="0.35">
      <c r="A2201">
        <v>12200</v>
      </c>
      <c r="B2201" s="1">
        <v>46761</v>
      </c>
      <c r="C2201">
        <v>1327</v>
      </c>
      <c r="D2201" t="s">
        <v>80</v>
      </c>
      <c r="E2201" t="s">
        <v>63</v>
      </c>
      <c r="F2201">
        <v>6</v>
      </c>
      <c r="G2201" s="2">
        <v>407.29</v>
      </c>
      <c r="H2201">
        <v>0.12</v>
      </c>
      <c r="I2201" t="s">
        <v>68</v>
      </c>
      <c r="J2201">
        <v>11</v>
      </c>
      <c r="K2201">
        <v>2.4</v>
      </c>
      <c r="L2201" s="2">
        <v>2150.4899999999998</v>
      </c>
      <c r="M2201">
        <v>2028</v>
      </c>
      <c r="N2201">
        <v>1</v>
      </c>
      <c r="O2201" t="s">
        <v>152</v>
      </c>
      <c r="P2201" s="2">
        <v>2443.7399999999998</v>
      </c>
      <c r="Q2201" s="2">
        <v>293.25</v>
      </c>
      <c r="R2201" t="s">
        <v>79</v>
      </c>
      <c r="S2201">
        <v>1</v>
      </c>
      <c r="T2201">
        <v>0</v>
      </c>
      <c r="U2201">
        <f>IF(AND(OR(Dashboard!$D$4="Semua",D2201=Dashboard!$D$4),OR(Dashboard!$H$4="Semua",E2201=Dashboard!$H$4)),1,0)</f>
        <v>1</v>
      </c>
      <c r="V2201">
        <f>IF(U2201=1,IF(COUNTIFS($C$2:C2201,C2201,$U$2:U2201,1)=1,1,0),0)</f>
        <v>0</v>
      </c>
    </row>
    <row r="2202" spans="1:22" x14ac:dyDescent="0.35">
      <c r="A2202">
        <v>12201</v>
      </c>
      <c r="B2202" s="1">
        <v>46762</v>
      </c>
      <c r="C2202">
        <v>1250</v>
      </c>
      <c r="D2202" t="s">
        <v>73</v>
      </c>
      <c r="E2202" t="s">
        <v>63</v>
      </c>
      <c r="F2202">
        <v>3</v>
      </c>
      <c r="G2202" s="2">
        <v>538.22</v>
      </c>
      <c r="H2202">
        <v>0.16</v>
      </c>
      <c r="I2202" t="s">
        <v>68</v>
      </c>
      <c r="J2202">
        <v>7</v>
      </c>
      <c r="K2202">
        <v>3.7</v>
      </c>
      <c r="L2202" s="2">
        <v>1356.31</v>
      </c>
      <c r="M2202">
        <v>2028</v>
      </c>
      <c r="N2202">
        <v>1</v>
      </c>
      <c r="O2202" t="s">
        <v>152</v>
      </c>
      <c r="P2202" s="2">
        <v>1614.66</v>
      </c>
      <c r="Q2202" s="2">
        <v>258.35000000000002</v>
      </c>
      <c r="R2202" t="s">
        <v>76</v>
      </c>
      <c r="S2202">
        <v>1</v>
      </c>
      <c r="T2202">
        <v>0</v>
      </c>
      <c r="U2202">
        <f>IF(AND(OR(Dashboard!$D$4="Semua",D2202=Dashboard!$D$4),OR(Dashboard!$H$4="Semua",E2202=Dashboard!$H$4)),1,0)</f>
        <v>1</v>
      </c>
      <c r="V2202">
        <f>IF(U2202=1,IF(COUNTIFS($C$2:C2202,C2202,$U$2:U2202,1)=1,1,0),0)</f>
        <v>0</v>
      </c>
    </row>
    <row r="2203" spans="1:22" x14ac:dyDescent="0.35">
      <c r="A2203">
        <v>12202</v>
      </c>
      <c r="B2203" s="1">
        <v>46763</v>
      </c>
      <c r="C2203">
        <v>1900</v>
      </c>
      <c r="D2203" t="s">
        <v>73</v>
      </c>
      <c r="E2203" t="s">
        <v>70</v>
      </c>
      <c r="F2203">
        <v>1</v>
      </c>
      <c r="G2203" s="2">
        <v>48.45</v>
      </c>
      <c r="H2203">
        <v>0.03</v>
      </c>
      <c r="I2203" t="s">
        <v>71</v>
      </c>
      <c r="J2203">
        <v>8</v>
      </c>
      <c r="K2203">
        <v>4.7</v>
      </c>
      <c r="L2203" s="2">
        <v>47</v>
      </c>
      <c r="M2203">
        <v>2028</v>
      </c>
      <c r="N2203">
        <v>1</v>
      </c>
      <c r="O2203" t="s">
        <v>152</v>
      </c>
      <c r="P2203" s="2">
        <v>48.45</v>
      </c>
      <c r="Q2203" s="2">
        <v>1.45</v>
      </c>
      <c r="R2203" t="s">
        <v>75</v>
      </c>
      <c r="S2203">
        <v>1</v>
      </c>
      <c r="T2203">
        <v>0</v>
      </c>
      <c r="U2203">
        <f>IF(AND(OR(Dashboard!$D$4="Semua",D2203=Dashboard!$D$4),OR(Dashboard!$H$4="Semua",E2203=Dashboard!$H$4)),1,0)</f>
        <v>1</v>
      </c>
      <c r="V2203">
        <f>IF(U2203=1,IF(COUNTIFS($C$2:C2203,C2203,$U$2:U2203,1)=1,1,0),0)</f>
        <v>1</v>
      </c>
    </row>
    <row r="2204" spans="1:22" x14ac:dyDescent="0.35">
      <c r="A2204">
        <v>12203</v>
      </c>
      <c r="B2204" s="1">
        <v>46764</v>
      </c>
      <c r="C2204">
        <v>1175</v>
      </c>
      <c r="D2204" t="s">
        <v>67</v>
      </c>
      <c r="E2204" t="s">
        <v>74</v>
      </c>
      <c r="F2204">
        <v>6</v>
      </c>
      <c r="G2204" s="2">
        <v>364.22</v>
      </c>
      <c r="H2204">
        <v>0.13</v>
      </c>
      <c r="I2204" t="s">
        <v>68</v>
      </c>
      <c r="J2204">
        <v>7</v>
      </c>
      <c r="K2204">
        <v>2.6</v>
      </c>
      <c r="L2204" s="2">
        <v>1901.23</v>
      </c>
      <c r="M2204">
        <v>2028</v>
      </c>
      <c r="N2204">
        <v>1</v>
      </c>
      <c r="O2204" t="s">
        <v>152</v>
      </c>
      <c r="P2204" s="2">
        <v>2185.3200000000002</v>
      </c>
      <c r="Q2204" s="2">
        <v>284.08999999999997</v>
      </c>
      <c r="R2204" t="s">
        <v>79</v>
      </c>
      <c r="S2204">
        <v>1</v>
      </c>
      <c r="T2204">
        <v>0</v>
      </c>
      <c r="U2204">
        <f>IF(AND(OR(Dashboard!$D$4="Semua",D2204=Dashboard!$D$4),OR(Dashboard!$H$4="Semua",E2204=Dashboard!$H$4)),1,0)</f>
        <v>1</v>
      </c>
      <c r="V2204">
        <f>IF(U2204=1,IF(COUNTIFS($C$2:C2204,C2204,$U$2:U2204,1)=1,1,0),0)</f>
        <v>0</v>
      </c>
    </row>
    <row r="2205" spans="1:22" x14ac:dyDescent="0.35">
      <c r="A2205">
        <v>12204</v>
      </c>
      <c r="B2205" s="1">
        <v>46765</v>
      </c>
      <c r="C2205">
        <v>1601</v>
      </c>
      <c r="D2205" t="s">
        <v>73</v>
      </c>
      <c r="E2205" t="s">
        <v>63</v>
      </c>
      <c r="F2205">
        <v>5</v>
      </c>
      <c r="G2205" s="2">
        <v>347.89</v>
      </c>
      <c r="H2205">
        <v>0.24</v>
      </c>
      <c r="I2205" t="s">
        <v>68</v>
      </c>
      <c r="J2205">
        <v>1</v>
      </c>
      <c r="K2205">
        <v>3.3</v>
      </c>
      <c r="L2205" s="2">
        <v>1321.98</v>
      </c>
      <c r="M2205">
        <v>2028</v>
      </c>
      <c r="N2205">
        <v>1</v>
      </c>
      <c r="O2205" t="s">
        <v>152</v>
      </c>
      <c r="P2205" s="2">
        <v>1739.45</v>
      </c>
      <c r="Q2205" s="2">
        <v>417.47</v>
      </c>
      <c r="R2205" t="s">
        <v>77</v>
      </c>
      <c r="S2205">
        <v>1</v>
      </c>
      <c r="T2205">
        <v>0</v>
      </c>
      <c r="U2205">
        <f>IF(AND(OR(Dashboard!$D$4="Semua",D2205=Dashboard!$D$4),OR(Dashboard!$H$4="Semua",E2205=Dashboard!$H$4)),1,0)</f>
        <v>1</v>
      </c>
      <c r="V2205">
        <f>IF(U2205=1,IF(COUNTIFS($C$2:C2205,C2205,$U$2:U2205,1)=1,1,0),0)</f>
        <v>0</v>
      </c>
    </row>
    <row r="2206" spans="1:22" x14ac:dyDescent="0.35">
      <c r="A2206">
        <v>12205</v>
      </c>
      <c r="B2206" s="1">
        <v>46766</v>
      </c>
      <c r="C2206">
        <v>1913</v>
      </c>
      <c r="D2206" t="s">
        <v>80</v>
      </c>
      <c r="E2206" t="s">
        <v>63</v>
      </c>
      <c r="F2206">
        <v>4</v>
      </c>
      <c r="G2206" s="2">
        <v>35.869999999999997</v>
      </c>
      <c r="H2206">
        <v>0.33</v>
      </c>
      <c r="I2206" t="s">
        <v>64</v>
      </c>
      <c r="J2206">
        <v>1</v>
      </c>
      <c r="K2206">
        <v>3.5</v>
      </c>
      <c r="L2206" s="2">
        <v>96.13</v>
      </c>
      <c r="M2206">
        <v>2028</v>
      </c>
      <c r="N2206">
        <v>1</v>
      </c>
      <c r="O2206" t="s">
        <v>152</v>
      </c>
      <c r="P2206" s="2">
        <v>143.47999999999999</v>
      </c>
      <c r="Q2206" s="2">
        <v>47.35</v>
      </c>
      <c r="R2206" t="s">
        <v>72</v>
      </c>
      <c r="S2206">
        <v>1</v>
      </c>
      <c r="T2206">
        <v>0</v>
      </c>
      <c r="U2206">
        <f>IF(AND(OR(Dashboard!$D$4="Semua",D2206=Dashboard!$D$4),OR(Dashboard!$H$4="Semua",E2206=Dashboard!$H$4)),1,0)</f>
        <v>1</v>
      </c>
      <c r="V2206">
        <f>IF(U2206=1,IF(COUNTIFS($C$2:C2206,C2206,$U$2:U2206,1)=1,1,0),0)</f>
        <v>0</v>
      </c>
    </row>
    <row r="2207" spans="1:22" x14ac:dyDescent="0.35">
      <c r="A2207">
        <v>12206</v>
      </c>
      <c r="B2207" s="1">
        <v>46767</v>
      </c>
      <c r="C2207">
        <v>1453</v>
      </c>
      <c r="D2207" t="s">
        <v>73</v>
      </c>
      <c r="E2207" t="s">
        <v>70</v>
      </c>
      <c r="F2207">
        <v>5</v>
      </c>
      <c r="G2207" s="2">
        <v>315.41000000000003</v>
      </c>
      <c r="H2207">
        <v>0.34</v>
      </c>
      <c r="I2207" t="s">
        <v>64</v>
      </c>
      <c r="J2207">
        <v>10</v>
      </c>
      <c r="K2207">
        <v>1.3</v>
      </c>
      <c r="L2207" s="2">
        <v>1040.8499999999999</v>
      </c>
      <c r="M2207">
        <v>2028</v>
      </c>
      <c r="N2207">
        <v>1</v>
      </c>
      <c r="O2207" t="s">
        <v>152</v>
      </c>
      <c r="P2207" s="2">
        <v>1577.05</v>
      </c>
      <c r="Q2207" s="2">
        <v>536.20000000000005</v>
      </c>
      <c r="R2207" t="s">
        <v>72</v>
      </c>
      <c r="S2207">
        <v>1</v>
      </c>
      <c r="T2207">
        <v>0</v>
      </c>
      <c r="U2207">
        <f>IF(AND(OR(Dashboard!$D$4="Semua",D2207=Dashboard!$D$4),OR(Dashboard!$H$4="Semua",E2207=Dashboard!$H$4)),1,0)</f>
        <v>1</v>
      </c>
      <c r="V2207">
        <f>IF(U2207=1,IF(COUNTIFS($C$2:C2207,C2207,$U$2:U2207,1)=1,1,0),0)</f>
        <v>1</v>
      </c>
    </row>
    <row r="2208" spans="1:22" x14ac:dyDescent="0.35">
      <c r="A2208">
        <v>12207</v>
      </c>
      <c r="B2208" s="1">
        <v>46768</v>
      </c>
      <c r="C2208">
        <v>1036</v>
      </c>
      <c r="D2208" t="s">
        <v>80</v>
      </c>
      <c r="E2208" t="s">
        <v>74</v>
      </c>
      <c r="F2208">
        <v>1</v>
      </c>
      <c r="G2208" s="2">
        <v>371.57</v>
      </c>
      <c r="H2208">
        <v>0.19</v>
      </c>
      <c r="I2208" t="s">
        <v>64</v>
      </c>
      <c r="J2208">
        <v>6</v>
      </c>
      <c r="K2208">
        <v>2.4</v>
      </c>
      <c r="L2208" s="2">
        <v>300.97000000000003</v>
      </c>
      <c r="M2208">
        <v>2028</v>
      </c>
      <c r="N2208">
        <v>1</v>
      </c>
      <c r="O2208" t="s">
        <v>152</v>
      </c>
      <c r="P2208" s="2">
        <v>371.57</v>
      </c>
      <c r="Q2208" s="2">
        <v>70.599999999999994</v>
      </c>
      <c r="R2208" t="s">
        <v>76</v>
      </c>
      <c r="S2208">
        <v>1</v>
      </c>
      <c r="T2208">
        <v>0</v>
      </c>
      <c r="U2208">
        <f>IF(AND(OR(Dashboard!$D$4="Semua",D2208=Dashboard!$D$4),OR(Dashboard!$H$4="Semua",E2208=Dashboard!$H$4)),1,0)</f>
        <v>1</v>
      </c>
      <c r="V2208">
        <f>IF(U2208=1,IF(COUNTIFS($C$2:C2208,C2208,$U$2:U2208,1)=1,1,0),0)</f>
        <v>0</v>
      </c>
    </row>
    <row r="2209" spans="1:22" x14ac:dyDescent="0.35">
      <c r="A2209">
        <v>12208</v>
      </c>
      <c r="B2209" s="1">
        <v>46769</v>
      </c>
      <c r="C2209">
        <v>1315</v>
      </c>
      <c r="D2209" t="s">
        <v>73</v>
      </c>
      <c r="E2209" t="s">
        <v>70</v>
      </c>
      <c r="F2209">
        <v>1</v>
      </c>
      <c r="G2209" s="2">
        <v>126.91</v>
      </c>
      <c r="H2209">
        <v>0.21</v>
      </c>
      <c r="I2209" t="s">
        <v>71</v>
      </c>
      <c r="J2209">
        <v>3</v>
      </c>
      <c r="K2209">
        <v>3.7</v>
      </c>
      <c r="L2209" s="2">
        <v>100.26</v>
      </c>
      <c r="M2209">
        <v>2028</v>
      </c>
      <c r="N2209">
        <v>1</v>
      </c>
      <c r="O2209" t="s">
        <v>152</v>
      </c>
      <c r="P2209" s="2">
        <v>126.91</v>
      </c>
      <c r="Q2209" s="2">
        <v>26.65</v>
      </c>
      <c r="R2209" t="s">
        <v>77</v>
      </c>
      <c r="S2209">
        <v>1</v>
      </c>
      <c r="T2209">
        <v>0</v>
      </c>
      <c r="U2209">
        <f>IF(AND(OR(Dashboard!$D$4="Semua",D2209=Dashboard!$D$4),OR(Dashboard!$H$4="Semua",E2209=Dashboard!$H$4)),1,0)</f>
        <v>1</v>
      </c>
      <c r="V2209">
        <f>IF(U2209=1,IF(COUNTIFS($C$2:C2209,C2209,$U$2:U2209,1)=1,1,0),0)</f>
        <v>0</v>
      </c>
    </row>
    <row r="2210" spans="1:22" x14ac:dyDescent="0.35">
      <c r="A2210">
        <v>12209</v>
      </c>
      <c r="B2210" s="1">
        <v>46770</v>
      </c>
      <c r="C2210">
        <v>1687</v>
      </c>
      <c r="D2210" t="s">
        <v>73</v>
      </c>
      <c r="E2210" t="s">
        <v>63</v>
      </c>
      <c r="F2210">
        <v>4</v>
      </c>
      <c r="G2210" s="2">
        <v>174.9</v>
      </c>
      <c r="H2210">
        <v>7.0000000000000007E-2</v>
      </c>
      <c r="I2210" t="s">
        <v>64</v>
      </c>
      <c r="J2210">
        <v>9</v>
      </c>
      <c r="K2210">
        <v>3.9</v>
      </c>
      <c r="L2210" s="2">
        <v>650.63</v>
      </c>
      <c r="M2210">
        <v>2028</v>
      </c>
      <c r="N2210">
        <v>1</v>
      </c>
      <c r="O2210" t="s">
        <v>152</v>
      </c>
      <c r="P2210" s="2">
        <v>699.6</v>
      </c>
      <c r="Q2210" s="2">
        <v>48.97</v>
      </c>
      <c r="R2210" t="s">
        <v>69</v>
      </c>
      <c r="S2210">
        <v>1</v>
      </c>
      <c r="T2210">
        <v>0</v>
      </c>
      <c r="U2210">
        <f>IF(AND(OR(Dashboard!$D$4="Semua",D2210=Dashboard!$D$4),OR(Dashboard!$H$4="Semua",E2210=Dashboard!$H$4)),1,0)</f>
        <v>1</v>
      </c>
      <c r="V2210">
        <f>IF(U2210=1,IF(COUNTIFS($C$2:C2210,C2210,$U$2:U2210,1)=1,1,0),0)</f>
        <v>0</v>
      </c>
    </row>
    <row r="2211" spans="1:22" x14ac:dyDescent="0.35">
      <c r="A2211">
        <v>12210</v>
      </c>
      <c r="B2211" s="1">
        <v>46771</v>
      </c>
      <c r="C2211">
        <v>1972</v>
      </c>
      <c r="D2211" t="s">
        <v>73</v>
      </c>
      <c r="E2211" t="s">
        <v>70</v>
      </c>
      <c r="F2211">
        <v>2</v>
      </c>
      <c r="G2211" s="2">
        <v>389.6</v>
      </c>
      <c r="H2211">
        <v>0.24</v>
      </c>
      <c r="I2211" t="s">
        <v>64</v>
      </c>
      <c r="J2211">
        <v>11</v>
      </c>
      <c r="K2211">
        <v>2.4</v>
      </c>
      <c r="L2211" s="2">
        <v>592.19000000000005</v>
      </c>
      <c r="M2211">
        <v>2028</v>
      </c>
      <c r="N2211">
        <v>1</v>
      </c>
      <c r="O2211" t="s">
        <v>152</v>
      </c>
      <c r="P2211" s="2">
        <v>779.2</v>
      </c>
      <c r="Q2211" s="2">
        <v>187.01</v>
      </c>
      <c r="R2211" t="s">
        <v>77</v>
      </c>
      <c r="S2211">
        <v>1</v>
      </c>
      <c r="T2211">
        <v>0</v>
      </c>
      <c r="U2211">
        <f>IF(AND(OR(Dashboard!$D$4="Semua",D2211=Dashboard!$D$4),OR(Dashboard!$H$4="Semua",E2211=Dashboard!$H$4)),1,0)</f>
        <v>1</v>
      </c>
      <c r="V2211">
        <f>IF(U2211=1,IF(COUNTIFS($C$2:C2211,C2211,$U$2:U2211,1)=1,1,0),0)</f>
        <v>0</v>
      </c>
    </row>
    <row r="2212" spans="1:22" x14ac:dyDescent="0.35">
      <c r="A2212">
        <v>12211</v>
      </c>
      <c r="B2212" s="1">
        <v>46772</v>
      </c>
      <c r="C2212">
        <v>1795</v>
      </c>
      <c r="D2212" t="s">
        <v>73</v>
      </c>
      <c r="E2212" t="s">
        <v>70</v>
      </c>
      <c r="F2212">
        <v>2</v>
      </c>
      <c r="G2212" s="2">
        <v>288.95999999999998</v>
      </c>
      <c r="H2212">
        <v>0.02</v>
      </c>
      <c r="I2212" t="s">
        <v>68</v>
      </c>
      <c r="J2212">
        <v>7</v>
      </c>
      <c r="K2212">
        <v>1</v>
      </c>
      <c r="L2212" s="2">
        <v>566.36</v>
      </c>
      <c r="M2212">
        <v>2028</v>
      </c>
      <c r="N2212">
        <v>1</v>
      </c>
      <c r="O2212" t="s">
        <v>152</v>
      </c>
      <c r="P2212" s="2">
        <v>577.91999999999996</v>
      </c>
      <c r="Q2212" s="2">
        <v>11.56</v>
      </c>
      <c r="R2212" t="s">
        <v>75</v>
      </c>
      <c r="S2212">
        <v>1</v>
      </c>
      <c r="T2212">
        <v>0</v>
      </c>
      <c r="U2212">
        <f>IF(AND(OR(Dashboard!$D$4="Semua",D2212=Dashboard!$D$4),OR(Dashboard!$H$4="Semua",E2212=Dashboard!$H$4)),1,0)</f>
        <v>1</v>
      </c>
      <c r="V2212">
        <f>IF(U2212=1,IF(COUNTIFS($C$2:C2212,C2212,$U$2:U2212,1)=1,1,0),0)</f>
        <v>0</v>
      </c>
    </row>
    <row r="2213" spans="1:22" x14ac:dyDescent="0.35">
      <c r="A2213">
        <v>12212</v>
      </c>
      <c r="B2213" s="1">
        <v>46773</v>
      </c>
      <c r="C2213">
        <v>1964</v>
      </c>
      <c r="D2213" t="s">
        <v>73</v>
      </c>
      <c r="E2213" t="s">
        <v>70</v>
      </c>
      <c r="F2213">
        <v>2</v>
      </c>
      <c r="G2213" s="2">
        <v>516.94000000000005</v>
      </c>
      <c r="H2213">
        <v>0.1</v>
      </c>
      <c r="I2213" t="s">
        <v>68</v>
      </c>
      <c r="J2213">
        <v>2</v>
      </c>
      <c r="K2213">
        <v>1</v>
      </c>
      <c r="L2213" s="2">
        <v>930.49</v>
      </c>
      <c r="M2213">
        <v>2028</v>
      </c>
      <c r="N2213">
        <v>1</v>
      </c>
      <c r="O2213" t="s">
        <v>152</v>
      </c>
      <c r="P2213" s="2">
        <v>1033.8800000000001</v>
      </c>
      <c r="Q2213" s="2">
        <v>103.39</v>
      </c>
      <c r="R2213" t="s">
        <v>69</v>
      </c>
      <c r="S2213">
        <v>1</v>
      </c>
      <c r="T2213">
        <v>0</v>
      </c>
      <c r="U2213">
        <f>IF(AND(OR(Dashboard!$D$4="Semua",D2213=Dashboard!$D$4),OR(Dashboard!$H$4="Semua",E2213=Dashboard!$H$4)),1,0)</f>
        <v>1</v>
      </c>
      <c r="V2213">
        <f>IF(U2213=1,IF(COUNTIFS($C$2:C2213,C2213,$U$2:U2213,1)=1,1,0),0)</f>
        <v>1</v>
      </c>
    </row>
    <row r="2214" spans="1:22" x14ac:dyDescent="0.35">
      <c r="A2214">
        <v>12213</v>
      </c>
      <c r="B2214" s="1">
        <v>46774</v>
      </c>
      <c r="C2214">
        <v>1972</v>
      </c>
      <c r="D2214" t="s">
        <v>73</v>
      </c>
      <c r="E2214" t="s">
        <v>74</v>
      </c>
      <c r="F2214">
        <v>3</v>
      </c>
      <c r="G2214" s="2">
        <v>215.29</v>
      </c>
      <c r="H2214">
        <v>0.23</v>
      </c>
      <c r="I2214" t="s">
        <v>68</v>
      </c>
      <c r="J2214">
        <v>3</v>
      </c>
      <c r="K2214">
        <v>3.2</v>
      </c>
      <c r="L2214" s="2">
        <v>497.32</v>
      </c>
      <c r="M2214">
        <v>2028</v>
      </c>
      <c r="N2214">
        <v>1</v>
      </c>
      <c r="O2214" t="s">
        <v>152</v>
      </c>
      <c r="P2214" s="2">
        <v>645.87</v>
      </c>
      <c r="Q2214" s="2">
        <v>148.55000000000001</v>
      </c>
      <c r="R2214" t="s">
        <v>77</v>
      </c>
      <c r="S2214">
        <v>1</v>
      </c>
      <c r="T2214">
        <v>0</v>
      </c>
      <c r="U2214">
        <f>IF(AND(OR(Dashboard!$D$4="Semua",D2214=Dashboard!$D$4),OR(Dashboard!$H$4="Semua",E2214=Dashboard!$H$4)),1,0)</f>
        <v>1</v>
      </c>
      <c r="V2214">
        <f>IF(U2214=1,IF(COUNTIFS($C$2:C2214,C2214,$U$2:U2214,1)=1,1,0),0)</f>
        <v>0</v>
      </c>
    </row>
    <row r="2215" spans="1:22" x14ac:dyDescent="0.35">
      <c r="A2215">
        <v>12214</v>
      </c>
      <c r="B2215" s="1">
        <v>46775</v>
      </c>
      <c r="C2215">
        <v>1592</v>
      </c>
      <c r="D2215" t="s">
        <v>67</v>
      </c>
      <c r="E2215" t="s">
        <v>70</v>
      </c>
      <c r="F2215">
        <v>2</v>
      </c>
      <c r="G2215" s="2">
        <v>171</v>
      </c>
      <c r="H2215">
        <v>0.11</v>
      </c>
      <c r="I2215" t="s">
        <v>71</v>
      </c>
      <c r="J2215">
        <v>8</v>
      </c>
      <c r="K2215">
        <v>3.2</v>
      </c>
      <c r="L2215" s="2">
        <v>304.38</v>
      </c>
      <c r="M2215">
        <v>2028</v>
      </c>
      <c r="N2215">
        <v>1</v>
      </c>
      <c r="O2215" t="s">
        <v>152</v>
      </c>
      <c r="P2215" s="2">
        <v>342</v>
      </c>
      <c r="Q2215" s="2">
        <v>37.619999999999997</v>
      </c>
      <c r="R2215" t="s">
        <v>79</v>
      </c>
      <c r="S2215">
        <v>1</v>
      </c>
      <c r="T2215">
        <v>0</v>
      </c>
      <c r="U2215">
        <f>IF(AND(OR(Dashboard!$D$4="Semua",D2215=Dashboard!$D$4),OR(Dashboard!$H$4="Semua",E2215=Dashboard!$H$4)),1,0)</f>
        <v>1</v>
      </c>
      <c r="V2215">
        <f>IF(U2215=1,IF(COUNTIFS($C$2:C2215,C2215,$U$2:U2215,1)=1,1,0),0)</f>
        <v>0</v>
      </c>
    </row>
    <row r="2216" spans="1:22" x14ac:dyDescent="0.35">
      <c r="A2216">
        <v>12215</v>
      </c>
      <c r="B2216" s="1">
        <v>46776</v>
      </c>
      <c r="C2216">
        <v>1113</v>
      </c>
      <c r="D2216" t="s">
        <v>73</v>
      </c>
      <c r="E2216" t="s">
        <v>63</v>
      </c>
      <c r="F2216">
        <v>7</v>
      </c>
      <c r="G2216" s="2">
        <v>591.15</v>
      </c>
      <c r="H2216">
        <v>0.02</v>
      </c>
      <c r="I2216" t="s">
        <v>64</v>
      </c>
      <c r="J2216">
        <v>1</v>
      </c>
      <c r="K2216">
        <v>3.2</v>
      </c>
      <c r="L2216" s="2">
        <v>4055.29</v>
      </c>
      <c r="M2216">
        <v>2028</v>
      </c>
      <c r="N2216">
        <v>1</v>
      </c>
      <c r="O2216" t="s">
        <v>152</v>
      </c>
      <c r="P2216" s="2">
        <v>4138.05</v>
      </c>
      <c r="Q2216" s="2">
        <v>82.76</v>
      </c>
      <c r="R2216" t="s">
        <v>75</v>
      </c>
      <c r="S2216">
        <v>1</v>
      </c>
      <c r="T2216">
        <v>1</v>
      </c>
      <c r="U2216">
        <f>IF(AND(OR(Dashboard!$D$4="Semua",D2216=Dashboard!$D$4),OR(Dashboard!$H$4="Semua",E2216=Dashboard!$H$4)),1,0)</f>
        <v>1</v>
      </c>
      <c r="V2216">
        <f>IF(U2216=1,IF(COUNTIFS($C$2:C2216,C2216,$U$2:U2216,1)=1,1,0),0)</f>
        <v>0</v>
      </c>
    </row>
    <row r="2217" spans="1:22" x14ac:dyDescent="0.35">
      <c r="A2217">
        <v>12216</v>
      </c>
      <c r="B2217" s="1">
        <v>46777</v>
      </c>
      <c r="C2217">
        <v>1039</v>
      </c>
      <c r="D2217" t="s">
        <v>67</v>
      </c>
      <c r="E2217" t="s">
        <v>70</v>
      </c>
      <c r="F2217">
        <v>3</v>
      </c>
      <c r="G2217" s="2">
        <v>548.01</v>
      </c>
      <c r="H2217">
        <v>0.28999999999999998</v>
      </c>
      <c r="I2217" t="s">
        <v>71</v>
      </c>
      <c r="J2217">
        <v>5</v>
      </c>
      <c r="K2217">
        <v>3.9</v>
      </c>
      <c r="L2217" s="2">
        <v>1167.26</v>
      </c>
      <c r="M2217">
        <v>2028</v>
      </c>
      <c r="N2217">
        <v>1</v>
      </c>
      <c r="O2217" t="s">
        <v>152</v>
      </c>
      <c r="P2217" s="2">
        <v>1644.03</v>
      </c>
      <c r="Q2217" s="2">
        <v>476.77</v>
      </c>
      <c r="R2217" t="s">
        <v>66</v>
      </c>
      <c r="S2217">
        <v>1</v>
      </c>
      <c r="T2217">
        <v>0</v>
      </c>
      <c r="U2217">
        <f>IF(AND(OR(Dashboard!$D$4="Semua",D2217=Dashboard!$D$4),OR(Dashboard!$H$4="Semua",E2217=Dashboard!$H$4)),1,0)</f>
        <v>1</v>
      </c>
      <c r="V2217">
        <f>IF(U2217=1,IF(COUNTIFS($C$2:C2217,C2217,$U$2:U2217,1)=1,1,0),0)</f>
        <v>0</v>
      </c>
    </row>
    <row r="2218" spans="1:22" x14ac:dyDescent="0.35">
      <c r="A2218">
        <v>12217</v>
      </c>
      <c r="B2218" s="1">
        <v>46778</v>
      </c>
      <c r="C2218">
        <v>1300</v>
      </c>
      <c r="D2218" t="s">
        <v>67</v>
      </c>
      <c r="E2218" t="s">
        <v>74</v>
      </c>
      <c r="F2218">
        <v>3</v>
      </c>
      <c r="G2218" s="2">
        <v>31.96</v>
      </c>
      <c r="H2218">
        <v>0.11</v>
      </c>
      <c r="I2218" t="s">
        <v>71</v>
      </c>
      <c r="J2218">
        <v>10</v>
      </c>
      <c r="K2218">
        <v>4.7</v>
      </c>
      <c r="L2218" s="2">
        <v>85.33</v>
      </c>
      <c r="M2218">
        <v>2028</v>
      </c>
      <c r="N2218">
        <v>1</v>
      </c>
      <c r="O2218" t="s">
        <v>152</v>
      </c>
      <c r="P2218" s="2">
        <v>95.88</v>
      </c>
      <c r="Q2218" s="2">
        <v>10.55</v>
      </c>
      <c r="R2218" t="s">
        <v>79</v>
      </c>
      <c r="S2218">
        <v>1</v>
      </c>
      <c r="T2218">
        <v>0</v>
      </c>
      <c r="U2218">
        <f>IF(AND(OR(Dashboard!$D$4="Semua",D2218=Dashboard!$D$4),OR(Dashboard!$H$4="Semua",E2218=Dashboard!$H$4)),1,0)</f>
        <v>1</v>
      </c>
      <c r="V2218">
        <f>IF(U2218=1,IF(COUNTIFS($C$2:C2218,C2218,$U$2:U2218,1)=1,1,0),0)</f>
        <v>0</v>
      </c>
    </row>
    <row r="2219" spans="1:22" x14ac:dyDescent="0.35">
      <c r="A2219">
        <v>12218</v>
      </c>
      <c r="B2219" s="1">
        <v>46779</v>
      </c>
      <c r="C2219">
        <v>1223</v>
      </c>
      <c r="D2219" t="s">
        <v>62</v>
      </c>
      <c r="E2219" t="s">
        <v>78</v>
      </c>
      <c r="F2219">
        <v>2</v>
      </c>
      <c r="G2219" s="2">
        <v>465.88</v>
      </c>
      <c r="H2219">
        <v>0.02</v>
      </c>
      <c r="I2219" t="s">
        <v>68</v>
      </c>
      <c r="J2219">
        <v>1</v>
      </c>
      <c r="K2219">
        <v>5</v>
      </c>
      <c r="L2219" s="2">
        <v>913.12</v>
      </c>
      <c r="M2219">
        <v>2028</v>
      </c>
      <c r="N2219">
        <v>1</v>
      </c>
      <c r="O2219" t="s">
        <v>152</v>
      </c>
      <c r="P2219" s="2">
        <v>931.76</v>
      </c>
      <c r="Q2219" s="2">
        <v>18.64</v>
      </c>
      <c r="R2219" t="s">
        <v>75</v>
      </c>
      <c r="S2219">
        <v>1</v>
      </c>
      <c r="T2219">
        <v>0</v>
      </c>
      <c r="U2219">
        <f>IF(AND(OR(Dashboard!$D$4="Semua",D2219=Dashboard!$D$4),OR(Dashboard!$H$4="Semua",E2219=Dashboard!$H$4)),1,0)</f>
        <v>1</v>
      </c>
      <c r="V2219">
        <f>IF(U2219=1,IF(COUNTIFS($C$2:C2219,C2219,$U$2:U2219,1)=1,1,0),0)</f>
        <v>0</v>
      </c>
    </row>
    <row r="2220" spans="1:22" x14ac:dyDescent="0.35">
      <c r="A2220">
        <v>12219</v>
      </c>
      <c r="B2220" s="1">
        <v>46780</v>
      </c>
      <c r="C2220">
        <v>1317</v>
      </c>
      <c r="D2220" t="s">
        <v>62</v>
      </c>
      <c r="E2220" t="s">
        <v>74</v>
      </c>
      <c r="F2220">
        <v>2</v>
      </c>
      <c r="G2220" s="2">
        <v>79.55</v>
      </c>
      <c r="H2220">
        <v>0.03</v>
      </c>
      <c r="I2220" t="s">
        <v>68</v>
      </c>
      <c r="J2220">
        <v>9</v>
      </c>
      <c r="K2220">
        <v>3.8</v>
      </c>
      <c r="L2220" s="2">
        <v>154.33000000000001</v>
      </c>
      <c r="M2220">
        <v>2028</v>
      </c>
      <c r="N2220">
        <v>1</v>
      </c>
      <c r="O2220" t="s">
        <v>152</v>
      </c>
      <c r="P2220" s="2">
        <v>159.1</v>
      </c>
      <c r="Q2220" s="2">
        <v>4.7699999999999996</v>
      </c>
      <c r="R2220" t="s">
        <v>75</v>
      </c>
      <c r="S2220">
        <v>1</v>
      </c>
      <c r="T2220">
        <v>0</v>
      </c>
      <c r="U2220">
        <f>IF(AND(OR(Dashboard!$D$4="Semua",D2220=Dashboard!$D$4),OR(Dashboard!$H$4="Semua",E2220=Dashboard!$H$4)),1,0)</f>
        <v>1</v>
      </c>
      <c r="V2220">
        <f>IF(U2220=1,IF(COUNTIFS($C$2:C2220,C2220,$U$2:U2220,1)=1,1,0),0)</f>
        <v>0</v>
      </c>
    </row>
    <row r="2221" spans="1:22" x14ac:dyDescent="0.35">
      <c r="A2221">
        <v>12220</v>
      </c>
      <c r="B2221" s="1">
        <v>46781</v>
      </c>
      <c r="C2221">
        <v>1348</v>
      </c>
      <c r="D2221" t="s">
        <v>67</v>
      </c>
      <c r="E2221" t="s">
        <v>70</v>
      </c>
      <c r="F2221">
        <v>4</v>
      </c>
      <c r="G2221" s="2">
        <v>31.08</v>
      </c>
      <c r="H2221">
        <v>0.09</v>
      </c>
      <c r="I2221" t="s">
        <v>71</v>
      </c>
      <c r="J2221">
        <v>7</v>
      </c>
      <c r="K2221">
        <v>3.1</v>
      </c>
      <c r="L2221" s="2">
        <v>113.13</v>
      </c>
      <c r="M2221">
        <v>2028</v>
      </c>
      <c r="N2221">
        <v>1</v>
      </c>
      <c r="O2221" t="s">
        <v>152</v>
      </c>
      <c r="P2221" s="2">
        <v>124.32</v>
      </c>
      <c r="Q2221" s="2">
        <v>11.19</v>
      </c>
      <c r="R2221" t="s">
        <v>69</v>
      </c>
      <c r="S2221">
        <v>1</v>
      </c>
      <c r="T2221">
        <v>0</v>
      </c>
      <c r="U2221">
        <f>IF(AND(OR(Dashboard!$D$4="Semua",D2221=Dashboard!$D$4),OR(Dashboard!$H$4="Semua",E2221=Dashboard!$H$4)),1,0)</f>
        <v>1</v>
      </c>
      <c r="V2221">
        <f>IF(U2221=1,IF(COUNTIFS($C$2:C2221,C2221,$U$2:U2221,1)=1,1,0),0)</f>
        <v>0</v>
      </c>
    </row>
    <row r="2222" spans="1:22" x14ac:dyDescent="0.35">
      <c r="A2222">
        <v>12221</v>
      </c>
      <c r="B2222" s="1">
        <v>46782</v>
      </c>
      <c r="C2222">
        <v>1114</v>
      </c>
      <c r="D2222" t="s">
        <v>73</v>
      </c>
      <c r="E2222" t="s">
        <v>78</v>
      </c>
      <c r="F2222">
        <v>6</v>
      </c>
      <c r="G2222" s="2">
        <v>175.11</v>
      </c>
      <c r="H2222">
        <v>0.06</v>
      </c>
      <c r="I2222" t="s">
        <v>64</v>
      </c>
      <c r="J2222">
        <v>5</v>
      </c>
      <c r="K2222">
        <v>1.6</v>
      </c>
      <c r="L2222" s="2">
        <v>987.62</v>
      </c>
      <c r="M2222">
        <v>2028</v>
      </c>
      <c r="N2222">
        <v>1</v>
      </c>
      <c r="O2222" t="s">
        <v>152</v>
      </c>
      <c r="P2222" s="2">
        <v>1050.6600000000001</v>
      </c>
      <c r="Q2222" s="2">
        <v>63.04</v>
      </c>
      <c r="R2222" t="s">
        <v>69</v>
      </c>
      <c r="S2222">
        <v>1</v>
      </c>
      <c r="T2222">
        <v>0</v>
      </c>
      <c r="U2222">
        <f>IF(AND(OR(Dashboard!$D$4="Semua",D2222=Dashboard!$D$4),OR(Dashboard!$H$4="Semua",E2222=Dashboard!$H$4)),1,0)</f>
        <v>1</v>
      </c>
      <c r="V2222">
        <f>IF(U2222=1,IF(COUNTIFS($C$2:C2222,C2222,$U$2:U2222,1)=1,1,0),0)</f>
        <v>0</v>
      </c>
    </row>
    <row r="2223" spans="1:22" x14ac:dyDescent="0.35">
      <c r="A2223">
        <v>12222</v>
      </c>
      <c r="B2223" s="1">
        <v>46783</v>
      </c>
      <c r="C2223">
        <v>1697</v>
      </c>
      <c r="D2223" t="s">
        <v>73</v>
      </c>
      <c r="E2223" t="s">
        <v>70</v>
      </c>
      <c r="F2223">
        <v>4</v>
      </c>
      <c r="G2223" s="2">
        <v>172.57</v>
      </c>
      <c r="H2223">
        <v>0.27</v>
      </c>
      <c r="I2223" t="s">
        <v>68</v>
      </c>
      <c r="J2223">
        <v>6</v>
      </c>
      <c r="K2223">
        <v>2.5</v>
      </c>
      <c r="L2223" s="2">
        <v>503.9</v>
      </c>
      <c r="M2223">
        <v>2028</v>
      </c>
      <c r="N2223">
        <v>1</v>
      </c>
      <c r="O2223" t="s">
        <v>152</v>
      </c>
      <c r="P2223" s="2">
        <v>690.28</v>
      </c>
      <c r="Q2223" s="2">
        <v>186.38</v>
      </c>
      <c r="R2223" t="s">
        <v>66</v>
      </c>
      <c r="S2223">
        <v>1</v>
      </c>
      <c r="T2223">
        <v>0</v>
      </c>
      <c r="U2223">
        <f>IF(AND(OR(Dashboard!$D$4="Semua",D2223=Dashboard!$D$4),OR(Dashboard!$H$4="Semua",E2223=Dashboard!$H$4)),1,0)</f>
        <v>1</v>
      </c>
      <c r="V2223">
        <f>IF(U2223=1,IF(COUNTIFS($C$2:C2223,C2223,$U$2:U2223,1)=1,1,0),0)</f>
        <v>0</v>
      </c>
    </row>
    <row r="2224" spans="1:22" x14ac:dyDescent="0.35">
      <c r="A2224">
        <v>12223</v>
      </c>
      <c r="B2224" s="1">
        <v>46784</v>
      </c>
      <c r="C2224">
        <v>1322</v>
      </c>
      <c r="D2224" t="s">
        <v>62</v>
      </c>
      <c r="E2224" t="s">
        <v>74</v>
      </c>
      <c r="F2224">
        <v>3</v>
      </c>
      <c r="G2224" s="2">
        <v>494.3</v>
      </c>
      <c r="H2224">
        <v>0.11</v>
      </c>
      <c r="I2224" t="s">
        <v>64</v>
      </c>
      <c r="J2224">
        <v>11</v>
      </c>
      <c r="K2224">
        <v>3.3</v>
      </c>
      <c r="L2224" s="2">
        <v>1319.78</v>
      </c>
      <c r="M2224">
        <v>2028</v>
      </c>
      <c r="N2224">
        <v>2</v>
      </c>
      <c r="O2224" t="s">
        <v>153</v>
      </c>
      <c r="P2224" s="2">
        <v>1482.9</v>
      </c>
      <c r="Q2224" s="2">
        <v>163.12</v>
      </c>
      <c r="R2224" t="s">
        <v>79</v>
      </c>
      <c r="S2224">
        <v>1</v>
      </c>
      <c r="T2224">
        <v>0</v>
      </c>
      <c r="U2224">
        <f>IF(AND(OR(Dashboard!$D$4="Semua",D2224=Dashboard!$D$4),OR(Dashboard!$H$4="Semua",E2224=Dashboard!$H$4)),1,0)</f>
        <v>1</v>
      </c>
      <c r="V2224">
        <f>IF(U2224=1,IF(COUNTIFS($C$2:C2224,C2224,$U$2:U2224,1)=1,1,0),0)</f>
        <v>0</v>
      </c>
    </row>
    <row r="2225" spans="1:22" x14ac:dyDescent="0.35">
      <c r="A2225">
        <v>12224</v>
      </c>
      <c r="B2225" s="1">
        <v>46785</v>
      </c>
      <c r="C2225">
        <v>1567</v>
      </c>
      <c r="D2225" t="s">
        <v>73</v>
      </c>
      <c r="E2225" t="s">
        <v>78</v>
      </c>
      <c r="F2225">
        <v>4</v>
      </c>
      <c r="G2225" s="2">
        <v>430.74</v>
      </c>
      <c r="H2225">
        <v>0.28000000000000003</v>
      </c>
      <c r="I2225" t="s">
        <v>68</v>
      </c>
      <c r="J2225">
        <v>3</v>
      </c>
      <c r="K2225">
        <v>5</v>
      </c>
      <c r="L2225" s="2">
        <v>1240.53</v>
      </c>
      <c r="M2225">
        <v>2028</v>
      </c>
      <c r="N2225">
        <v>2</v>
      </c>
      <c r="O2225" t="s">
        <v>153</v>
      </c>
      <c r="P2225" s="2">
        <v>1722.96</v>
      </c>
      <c r="Q2225" s="2">
        <v>482.43</v>
      </c>
      <c r="R2225" t="s">
        <v>66</v>
      </c>
      <c r="S2225">
        <v>1</v>
      </c>
      <c r="T2225">
        <v>0</v>
      </c>
      <c r="U2225">
        <f>IF(AND(OR(Dashboard!$D$4="Semua",D2225=Dashboard!$D$4),OR(Dashboard!$H$4="Semua",E2225=Dashboard!$H$4)),1,0)</f>
        <v>1</v>
      </c>
      <c r="V2225">
        <f>IF(U2225=1,IF(COUNTIFS($C$2:C2225,C2225,$U$2:U2225,1)=1,1,0),0)</f>
        <v>1</v>
      </c>
    </row>
    <row r="2226" spans="1:22" x14ac:dyDescent="0.35">
      <c r="A2226">
        <v>12225</v>
      </c>
      <c r="B2226" s="1">
        <v>46786</v>
      </c>
      <c r="C2226">
        <v>1039</v>
      </c>
      <c r="D2226" t="s">
        <v>73</v>
      </c>
      <c r="E2226" t="s">
        <v>78</v>
      </c>
      <c r="F2226">
        <v>3</v>
      </c>
      <c r="G2226" s="2">
        <v>589.24</v>
      </c>
      <c r="H2226">
        <v>0.06</v>
      </c>
      <c r="I2226" t="s">
        <v>71</v>
      </c>
      <c r="J2226">
        <v>3</v>
      </c>
      <c r="K2226">
        <v>1.5</v>
      </c>
      <c r="L2226" s="2">
        <v>1661.66</v>
      </c>
      <c r="M2226">
        <v>2028</v>
      </c>
      <c r="N2226">
        <v>2</v>
      </c>
      <c r="O2226" t="s">
        <v>153</v>
      </c>
      <c r="P2226" s="2">
        <v>1767.72</v>
      </c>
      <c r="Q2226" s="2">
        <v>106.06</v>
      </c>
      <c r="R2226" t="s">
        <v>69</v>
      </c>
      <c r="S2226">
        <v>1</v>
      </c>
      <c r="T2226">
        <v>0</v>
      </c>
      <c r="U2226">
        <f>IF(AND(OR(Dashboard!$D$4="Semua",D2226=Dashboard!$D$4),OR(Dashboard!$H$4="Semua",E2226=Dashboard!$H$4)),1,0)</f>
        <v>1</v>
      </c>
      <c r="V2226">
        <f>IF(U2226=1,IF(COUNTIFS($C$2:C2226,C2226,$U$2:U2226,1)=1,1,0),0)</f>
        <v>0</v>
      </c>
    </row>
    <row r="2227" spans="1:22" x14ac:dyDescent="0.35">
      <c r="A2227">
        <v>12226</v>
      </c>
      <c r="B2227" s="1">
        <v>46787</v>
      </c>
      <c r="C2227">
        <v>1865</v>
      </c>
      <c r="D2227" t="s">
        <v>73</v>
      </c>
      <c r="E2227" t="s">
        <v>70</v>
      </c>
      <c r="F2227">
        <v>1</v>
      </c>
      <c r="G2227" s="2">
        <v>431.24</v>
      </c>
      <c r="H2227">
        <v>0.17</v>
      </c>
      <c r="I2227" t="s">
        <v>71</v>
      </c>
      <c r="J2227">
        <v>7</v>
      </c>
      <c r="K2227">
        <v>4.2</v>
      </c>
      <c r="L2227" s="2">
        <v>357.93</v>
      </c>
      <c r="M2227">
        <v>2028</v>
      </c>
      <c r="N2227">
        <v>2</v>
      </c>
      <c r="O2227" t="s">
        <v>153</v>
      </c>
      <c r="P2227" s="2">
        <v>431.24</v>
      </c>
      <c r="Q2227" s="2">
        <v>73.31</v>
      </c>
      <c r="R2227" t="s">
        <v>76</v>
      </c>
      <c r="S2227">
        <v>1</v>
      </c>
      <c r="T2227">
        <v>0</v>
      </c>
      <c r="U2227">
        <f>IF(AND(OR(Dashboard!$D$4="Semua",D2227=Dashboard!$D$4),OR(Dashboard!$H$4="Semua",E2227=Dashboard!$H$4)),1,0)</f>
        <v>1</v>
      </c>
      <c r="V2227">
        <f>IF(U2227=1,IF(COUNTIFS($C$2:C2227,C2227,$U$2:U2227,1)=1,1,0),0)</f>
        <v>0</v>
      </c>
    </row>
    <row r="2228" spans="1:22" x14ac:dyDescent="0.35">
      <c r="A2228">
        <v>12227</v>
      </c>
      <c r="B2228" s="1">
        <v>46788</v>
      </c>
      <c r="C2228">
        <v>1039</v>
      </c>
      <c r="D2228" t="s">
        <v>73</v>
      </c>
      <c r="E2228" t="s">
        <v>70</v>
      </c>
      <c r="F2228">
        <v>3</v>
      </c>
      <c r="G2228" s="2">
        <v>259.68</v>
      </c>
      <c r="H2228">
        <v>0.24</v>
      </c>
      <c r="I2228" t="s">
        <v>64</v>
      </c>
      <c r="J2228">
        <v>7</v>
      </c>
      <c r="K2228">
        <v>5</v>
      </c>
      <c r="L2228" s="2">
        <v>592.07000000000005</v>
      </c>
      <c r="M2228">
        <v>2028</v>
      </c>
      <c r="N2228">
        <v>2</v>
      </c>
      <c r="O2228" t="s">
        <v>153</v>
      </c>
      <c r="P2228" s="2">
        <v>779.04</v>
      </c>
      <c r="Q2228" s="2">
        <v>186.97</v>
      </c>
      <c r="R2228" t="s">
        <v>77</v>
      </c>
      <c r="S2228">
        <v>1</v>
      </c>
      <c r="T2228">
        <v>0</v>
      </c>
      <c r="U2228">
        <f>IF(AND(OR(Dashboard!$D$4="Semua",D2228=Dashboard!$D$4),OR(Dashboard!$H$4="Semua",E2228=Dashboard!$H$4)),1,0)</f>
        <v>1</v>
      </c>
      <c r="V2228">
        <f>IF(U2228=1,IF(COUNTIFS($C$2:C2228,C2228,$U$2:U2228,1)=1,1,0),0)</f>
        <v>0</v>
      </c>
    </row>
    <row r="2229" spans="1:22" x14ac:dyDescent="0.35">
      <c r="A2229">
        <v>12228</v>
      </c>
      <c r="B2229" s="1">
        <v>46789</v>
      </c>
      <c r="C2229">
        <v>1858</v>
      </c>
      <c r="D2229" t="s">
        <v>73</v>
      </c>
      <c r="E2229" t="s">
        <v>74</v>
      </c>
      <c r="F2229">
        <v>3</v>
      </c>
      <c r="G2229" s="2">
        <v>423.87</v>
      </c>
      <c r="H2229">
        <v>0.23</v>
      </c>
      <c r="I2229" t="s">
        <v>68</v>
      </c>
      <c r="J2229">
        <v>7</v>
      </c>
      <c r="K2229">
        <v>4.2</v>
      </c>
      <c r="L2229" s="2">
        <v>979.14</v>
      </c>
      <c r="M2229">
        <v>2028</v>
      </c>
      <c r="N2229">
        <v>2</v>
      </c>
      <c r="O2229" t="s">
        <v>153</v>
      </c>
      <c r="P2229" s="2">
        <v>1271.6099999999999</v>
      </c>
      <c r="Q2229" s="2">
        <v>292.47000000000003</v>
      </c>
      <c r="R2229" t="s">
        <v>77</v>
      </c>
      <c r="S2229">
        <v>1</v>
      </c>
      <c r="T2229">
        <v>0</v>
      </c>
      <c r="U2229">
        <f>IF(AND(OR(Dashboard!$D$4="Semua",D2229=Dashboard!$D$4),OR(Dashboard!$H$4="Semua",E2229=Dashboard!$H$4)),1,0)</f>
        <v>1</v>
      </c>
      <c r="V2229">
        <f>IF(U2229=1,IF(COUNTIFS($C$2:C2229,C2229,$U$2:U2229,1)=1,1,0),0)</f>
        <v>0</v>
      </c>
    </row>
    <row r="2230" spans="1:22" x14ac:dyDescent="0.35">
      <c r="A2230">
        <v>12229</v>
      </c>
      <c r="B2230" s="1">
        <v>46790</v>
      </c>
      <c r="C2230">
        <v>1972</v>
      </c>
      <c r="D2230" t="s">
        <v>80</v>
      </c>
      <c r="E2230" t="s">
        <v>70</v>
      </c>
      <c r="F2230">
        <v>4</v>
      </c>
      <c r="G2230" s="2">
        <v>599.67999999999995</v>
      </c>
      <c r="H2230">
        <v>0.21</v>
      </c>
      <c r="I2230" t="s">
        <v>68</v>
      </c>
      <c r="J2230">
        <v>2</v>
      </c>
      <c r="K2230">
        <v>4.0999999999999996</v>
      </c>
      <c r="L2230" s="2">
        <v>1894.99</v>
      </c>
      <c r="M2230">
        <v>2028</v>
      </c>
      <c r="N2230">
        <v>2</v>
      </c>
      <c r="O2230" t="s">
        <v>153</v>
      </c>
      <c r="P2230" s="2">
        <v>2398.7199999999998</v>
      </c>
      <c r="Q2230" s="2">
        <v>503.73</v>
      </c>
      <c r="R2230" t="s">
        <v>77</v>
      </c>
      <c r="S2230">
        <v>1</v>
      </c>
      <c r="T2230">
        <v>0</v>
      </c>
      <c r="U2230">
        <f>IF(AND(OR(Dashboard!$D$4="Semua",D2230=Dashboard!$D$4),OR(Dashboard!$H$4="Semua",E2230=Dashboard!$H$4)),1,0)</f>
        <v>1</v>
      </c>
      <c r="V2230">
        <f>IF(U2230=1,IF(COUNTIFS($C$2:C2230,C2230,$U$2:U2230,1)=1,1,0),0)</f>
        <v>0</v>
      </c>
    </row>
    <row r="2231" spans="1:22" x14ac:dyDescent="0.35">
      <c r="A2231">
        <v>12230</v>
      </c>
      <c r="B2231" s="1">
        <v>46791</v>
      </c>
      <c r="C2231">
        <v>1748</v>
      </c>
      <c r="D2231" t="s">
        <v>73</v>
      </c>
      <c r="E2231" t="s">
        <v>78</v>
      </c>
      <c r="F2231">
        <v>6</v>
      </c>
      <c r="G2231" s="2">
        <v>430.43</v>
      </c>
      <c r="H2231">
        <v>0.32</v>
      </c>
      <c r="I2231" t="s">
        <v>68</v>
      </c>
      <c r="J2231">
        <v>2</v>
      </c>
      <c r="K2231">
        <v>2</v>
      </c>
      <c r="L2231" s="2">
        <v>1756.15</v>
      </c>
      <c r="M2231">
        <v>2028</v>
      </c>
      <c r="N2231">
        <v>2</v>
      </c>
      <c r="O2231" t="s">
        <v>153</v>
      </c>
      <c r="P2231" s="2">
        <v>2582.58</v>
      </c>
      <c r="Q2231" s="2">
        <v>826.43</v>
      </c>
      <c r="R2231" t="s">
        <v>72</v>
      </c>
      <c r="S2231">
        <v>1</v>
      </c>
      <c r="T2231">
        <v>0</v>
      </c>
      <c r="U2231">
        <f>IF(AND(OR(Dashboard!$D$4="Semua",D2231=Dashboard!$D$4),OR(Dashboard!$H$4="Semua",E2231=Dashboard!$H$4)),1,0)</f>
        <v>1</v>
      </c>
      <c r="V2231">
        <f>IF(U2231=1,IF(COUNTIFS($C$2:C2231,C2231,$U$2:U2231,1)=1,1,0),0)</f>
        <v>0</v>
      </c>
    </row>
    <row r="2232" spans="1:22" x14ac:dyDescent="0.35">
      <c r="A2232">
        <v>12231</v>
      </c>
      <c r="B2232" s="1">
        <v>46792</v>
      </c>
      <c r="C2232">
        <v>1288</v>
      </c>
      <c r="D2232" t="s">
        <v>67</v>
      </c>
      <c r="E2232" t="s">
        <v>63</v>
      </c>
      <c r="F2232">
        <v>1</v>
      </c>
      <c r="G2232" s="2">
        <v>460.58</v>
      </c>
      <c r="H2232">
        <v>0.08</v>
      </c>
      <c r="I2232" t="s">
        <v>64</v>
      </c>
      <c r="J2232">
        <v>11</v>
      </c>
      <c r="K2232">
        <v>1</v>
      </c>
      <c r="L2232" s="2">
        <v>423.73</v>
      </c>
      <c r="M2232">
        <v>2028</v>
      </c>
      <c r="N2232">
        <v>2</v>
      </c>
      <c r="O2232" t="s">
        <v>153</v>
      </c>
      <c r="P2232" s="2">
        <v>460.58</v>
      </c>
      <c r="Q2232" s="2">
        <v>36.85</v>
      </c>
      <c r="R2232" t="s">
        <v>69</v>
      </c>
      <c r="S2232">
        <v>1</v>
      </c>
      <c r="T2232">
        <v>0</v>
      </c>
      <c r="U2232">
        <f>IF(AND(OR(Dashboard!$D$4="Semua",D2232=Dashboard!$D$4),OR(Dashboard!$H$4="Semua",E2232=Dashboard!$H$4)),1,0)</f>
        <v>1</v>
      </c>
      <c r="V2232">
        <f>IF(U2232=1,IF(COUNTIFS($C$2:C2232,C2232,$U$2:U2232,1)=1,1,0),0)</f>
        <v>0</v>
      </c>
    </row>
    <row r="2233" spans="1:22" x14ac:dyDescent="0.35">
      <c r="A2233">
        <v>12232</v>
      </c>
      <c r="B2233" s="1">
        <v>46793</v>
      </c>
      <c r="C2233">
        <v>1261</v>
      </c>
      <c r="D2233" t="s">
        <v>73</v>
      </c>
      <c r="E2233" t="s">
        <v>63</v>
      </c>
      <c r="F2233">
        <v>5</v>
      </c>
      <c r="G2233" s="2">
        <v>563.94000000000005</v>
      </c>
      <c r="H2233">
        <v>0.17</v>
      </c>
      <c r="I2233" t="s">
        <v>68</v>
      </c>
      <c r="J2233">
        <v>5</v>
      </c>
      <c r="K2233">
        <v>1.9</v>
      </c>
      <c r="L2233" s="2">
        <v>2340.35</v>
      </c>
      <c r="M2233">
        <v>2028</v>
      </c>
      <c r="N2233">
        <v>2</v>
      </c>
      <c r="O2233" t="s">
        <v>153</v>
      </c>
      <c r="P2233" s="2">
        <v>2819.7</v>
      </c>
      <c r="Q2233" s="2">
        <v>479.35</v>
      </c>
      <c r="R2233" t="s">
        <v>76</v>
      </c>
      <c r="S2233">
        <v>1</v>
      </c>
      <c r="T2233">
        <v>0</v>
      </c>
      <c r="U2233">
        <f>IF(AND(OR(Dashboard!$D$4="Semua",D2233=Dashboard!$D$4),OR(Dashboard!$H$4="Semua",E2233=Dashboard!$H$4)),1,0)</f>
        <v>1</v>
      </c>
      <c r="V2233">
        <f>IF(U2233=1,IF(COUNTIFS($C$2:C2233,C2233,$U$2:U2233,1)=1,1,0),0)</f>
        <v>1</v>
      </c>
    </row>
    <row r="2234" spans="1:22" x14ac:dyDescent="0.35">
      <c r="A2234">
        <v>12233</v>
      </c>
      <c r="B2234" s="1">
        <v>46794</v>
      </c>
      <c r="C2234">
        <v>1215</v>
      </c>
      <c r="D2234" t="s">
        <v>73</v>
      </c>
      <c r="E2234" t="s">
        <v>74</v>
      </c>
      <c r="F2234">
        <v>5</v>
      </c>
      <c r="G2234" s="2">
        <v>81.489999999999995</v>
      </c>
      <c r="H2234">
        <v>0.31</v>
      </c>
      <c r="I2234" t="s">
        <v>68</v>
      </c>
      <c r="J2234">
        <v>4</v>
      </c>
      <c r="K2234">
        <v>4.2</v>
      </c>
      <c r="L2234" s="2">
        <v>281.14</v>
      </c>
      <c r="M2234">
        <v>2028</v>
      </c>
      <c r="N2234">
        <v>2</v>
      </c>
      <c r="O2234" t="s">
        <v>153</v>
      </c>
      <c r="P2234" s="2">
        <v>407.45</v>
      </c>
      <c r="Q2234" s="2">
        <v>126.31</v>
      </c>
      <c r="R2234" t="s">
        <v>72</v>
      </c>
      <c r="S2234">
        <v>1</v>
      </c>
      <c r="T2234">
        <v>0</v>
      </c>
      <c r="U2234">
        <f>IF(AND(OR(Dashboard!$D$4="Semua",D2234=Dashboard!$D$4),OR(Dashboard!$H$4="Semua",E2234=Dashboard!$H$4)),1,0)</f>
        <v>1</v>
      </c>
      <c r="V2234">
        <f>IF(U2234=1,IF(COUNTIFS($C$2:C2234,C2234,$U$2:U2234,1)=1,1,0),0)</f>
        <v>0</v>
      </c>
    </row>
    <row r="2235" spans="1:22" x14ac:dyDescent="0.35">
      <c r="A2235">
        <v>12234</v>
      </c>
      <c r="B2235" s="1">
        <v>46795</v>
      </c>
      <c r="C2235">
        <v>1146</v>
      </c>
      <c r="D2235" t="s">
        <v>62</v>
      </c>
      <c r="E2235" t="s">
        <v>70</v>
      </c>
      <c r="F2235">
        <v>6</v>
      </c>
      <c r="G2235" s="2">
        <v>427.3</v>
      </c>
      <c r="H2235">
        <v>0.03</v>
      </c>
      <c r="I2235" t="s">
        <v>71</v>
      </c>
      <c r="J2235">
        <v>7</v>
      </c>
      <c r="K2235">
        <v>1.4</v>
      </c>
      <c r="L2235" s="2">
        <v>2486.89</v>
      </c>
      <c r="M2235">
        <v>2028</v>
      </c>
      <c r="N2235">
        <v>2</v>
      </c>
      <c r="O2235" t="s">
        <v>153</v>
      </c>
      <c r="P2235" s="2">
        <v>2563.8000000000002</v>
      </c>
      <c r="Q2235" s="2">
        <v>76.91</v>
      </c>
      <c r="R2235" t="s">
        <v>75</v>
      </c>
      <c r="S2235">
        <v>1</v>
      </c>
      <c r="T2235">
        <v>0</v>
      </c>
      <c r="U2235">
        <f>IF(AND(OR(Dashboard!$D$4="Semua",D2235=Dashboard!$D$4),OR(Dashboard!$H$4="Semua",E2235=Dashboard!$H$4)),1,0)</f>
        <v>1</v>
      </c>
      <c r="V2235">
        <f>IF(U2235=1,IF(COUNTIFS($C$2:C2235,C2235,$U$2:U2235,1)=1,1,0),0)</f>
        <v>0</v>
      </c>
    </row>
    <row r="2236" spans="1:22" x14ac:dyDescent="0.35">
      <c r="A2236">
        <v>12235</v>
      </c>
      <c r="B2236" s="1">
        <v>46796</v>
      </c>
      <c r="C2236">
        <v>1335</v>
      </c>
      <c r="D2236" t="s">
        <v>73</v>
      </c>
      <c r="E2236" t="s">
        <v>74</v>
      </c>
      <c r="F2236">
        <v>5</v>
      </c>
      <c r="G2236" s="2">
        <v>512.72</v>
      </c>
      <c r="H2236">
        <v>0.02</v>
      </c>
      <c r="I2236" t="s">
        <v>71</v>
      </c>
      <c r="J2236">
        <v>3</v>
      </c>
      <c r="K2236">
        <v>2.2000000000000002</v>
      </c>
      <c r="L2236" s="2">
        <v>2512.33</v>
      </c>
      <c r="M2236">
        <v>2028</v>
      </c>
      <c r="N2236">
        <v>2</v>
      </c>
      <c r="O2236" t="s">
        <v>153</v>
      </c>
      <c r="P2236" s="2">
        <v>2563.6</v>
      </c>
      <c r="Q2236" s="2">
        <v>51.27</v>
      </c>
      <c r="R2236" t="s">
        <v>75</v>
      </c>
      <c r="S2236">
        <v>1</v>
      </c>
      <c r="T2236">
        <v>0</v>
      </c>
      <c r="U2236">
        <f>IF(AND(OR(Dashboard!$D$4="Semua",D2236=Dashboard!$D$4),OR(Dashboard!$H$4="Semua",E2236=Dashboard!$H$4)),1,0)</f>
        <v>1</v>
      </c>
      <c r="V2236">
        <f>IF(U2236=1,IF(COUNTIFS($C$2:C2236,C2236,$U$2:U2236,1)=1,1,0),0)</f>
        <v>0</v>
      </c>
    </row>
    <row r="2237" spans="1:22" x14ac:dyDescent="0.35">
      <c r="A2237">
        <v>12236</v>
      </c>
      <c r="B2237" s="1">
        <v>46797</v>
      </c>
      <c r="C2237">
        <v>1167</v>
      </c>
      <c r="D2237" t="s">
        <v>80</v>
      </c>
      <c r="E2237" t="s">
        <v>63</v>
      </c>
      <c r="F2237">
        <v>1</v>
      </c>
      <c r="G2237" s="2">
        <v>573.30999999999995</v>
      </c>
      <c r="H2237">
        <v>0.08</v>
      </c>
      <c r="I2237" t="s">
        <v>64</v>
      </c>
      <c r="J2237">
        <v>5</v>
      </c>
      <c r="K2237">
        <v>3.3</v>
      </c>
      <c r="L2237" s="2">
        <v>527.45000000000005</v>
      </c>
      <c r="M2237">
        <v>2028</v>
      </c>
      <c r="N2237">
        <v>2</v>
      </c>
      <c r="O2237" t="s">
        <v>153</v>
      </c>
      <c r="P2237" s="2">
        <v>573.30999999999995</v>
      </c>
      <c r="Q2237" s="2">
        <v>45.86</v>
      </c>
      <c r="R2237" t="s">
        <v>69</v>
      </c>
      <c r="S2237">
        <v>1</v>
      </c>
      <c r="T2237">
        <v>0</v>
      </c>
      <c r="U2237">
        <f>IF(AND(OR(Dashboard!$D$4="Semua",D2237=Dashboard!$D$4),OR(Dashboard!$H$4="Semua",E2237=Dashboard!$H$4)),1,0)</f>
        <v>1</v>
      </c>
      <c r="V2237">
        <f>IF(U2237=1,IF(COUNTIFS($C$2:C2237,C2237,$U$2:U2237,1)=1,1,0),0)</f>
        <v>0</v>
      </c>
    </row>
    <row r="2238" spans="1:22" x14ac:dyDescent="0.35">
      <c r="A2238">
        <v>12237</v>
      </c>
      <c r="B2238" s="1">
        <v>46798</v>
      </c>
      <c r="C2238">
        <v>1091</v>
      </c>
      <c r="D2238" t="s">
        <v>67</v>
      </c>
      <c r="E2238" t="s">
        <v>63</v>
      </c>
      <c r="F2238">
        <v>2</v>
      </c>
      <c r="G2238" s="2">
        <v>138.41999999999999</v>
      </c>
      <c r="H2238">
        <v>0.22</v>
      </c>
      <c r="I2238" t="s">
        <v>64</v>
      </c>
      <c r="J2238">
        <v>2</v>
      </c>
      <c r="K2238">
        <v>3.3</v>
      </c>
      <c r="L2238" s="2">
        <v>215.94</v>
      </c>
      <c r="M2238">
        <v>2028</v>
      </c>
      <c r="N2238">
        <v>2</v>
      </c>
      <c r="O2238" t="s">
        <v>153</v>
      </c>
      <c r="P2238" s="2">
        <v>276.83999999999997</v>
      </c>
      <c r="Q2238" s="2">
        <v>60.9</v>
      </c>
      <c r="R2238" t="s">
        <v>77</v>
      </c>
      <c r="S2238">
        <v>1</v>
      </c>
      <c r="T2238">
        <v>0</v>
      </c>
      <c r="U2238">
        <f>IF(AND(OR(Dashboard!$D$4="Semua",D2238=Dashboard!$D$4),OR(Dashboard!$H$4="Semua",E2238=Dashboard!$H$4)),1,0)</f>
        <v>1</v>
      </c>
      <c r="V2238">
        <f>IF(U2238=1,IF(COUNTIFS($C$2:C2238,C2238,$U$2:U2238,1)=1,1,0),0)</f>
        <v>0</v>
      </c>
    </row>
    <row r="2239" spans="1:22" x14ac:dyDescent="0.35">
      <c r="A2239">
        <v>12238</v>
      </c>
      <c r="B2239" s="1">
        <v>46799</v>
      </c>
      <c r="C2239">
        <v>1352</v>
      </c>
      <c r="D2239" t="s">
        <v>73</v>
      </c>
      <c r="E2239" t="s">
        <v>70</v>
      </c>
      <c r="F2239">
        <v>1</v>
      </c>
      <c r="G2239" s="2">
        <v>309.8</v>
      </c>
      <c r="H2239">
        <v>0.09</v>
      </c>
      <c r="I2239" t="s">
        <v>71</v>
      </c>
      <c r="J2239">
        <v>1</v>
      </c>
      <c r="K2239">
        <v>3.2</v>
      </c>
      <c r="L2239" s="2">
        <v>281.92</v>
      </c>
      <c r="M2239">
        <v>2028</v>
      </c>
      <c r="N2239">
        <v>2</v>
      </c>
      <c r="O2239" t="s">
        <v>153</v>
      </c>
      <c r="P2239" s="2">
        <v>309.8</v>
      </c>
      <c r="Q2239" s="2">
        <v>27.88</v>
      </c>
      <c r="R2239" t="s">
        <v>69</v>
      </c>
      <c r="S2239">
        <v>1</v>
      </c>
      <c r="T2239">
        <v>0</v>
      </c>
      <c r="U2239">
        <f>IF(AND(OR(Dashboard!$D$4="Semua",D2239=Dashboard!$D$4),OR(Dashboard!$H$4="Semua",E2239=Dashboard!$H$4)),1,0)</f>
        <v>1</v>
      </c>
      <c r="V2239">
        <f>IF(U2239=1,IF(COUNTIFS($C$2:C2239,C2239,$U$2:U2239,1)=1,1,0),0)</f>
        <v>1</v>
      </c>
    </row>
    <row r="2240" spans="1:22" x14ac:dyDescent="0.35">
      <c r="A2240">
        <v>12239</v>
      </c>
      <c r="B2240" s="1">
        <v>46800</v>
      </c>
      <c r="C2240">
        <v>1570</v>
      </c>
      <c r="D2240" t="s">
        <v>62</v>
      </c>
      <c r="E2240" t="s">
        <v>78</v>
      </c>
      <c r="F2240">
        <v>4</v>
      </c>
      <c r="G2240" s="2">
        <v>413.12</v>
      </c>
      <c r="H2240">
        <v>7.0000000000000007E-2</v>
      </c>
      <c r="I2240" t="s">
        <v>64</v>
      </c>
      <c r="J2240">
        <v>9</v>
      </c>
      <c r="K2240">
        <v>4.9000000000000004</v>
      </c>
      <c r="L2240" s="2">
        <v>1536.81</v>
      </c>
      <c r="M2240">
        <v>2028</v>
      </c>
      <c r="N2240">
        <v>2</v>
      </c>
      <c r="O2240" t="s">
        <v>153</v>
      </c>
      <c r="P2240" s="2">
        <v>1652.48</v>
      </c>
      <c r="Q2240" s="2">
        <v>115.67</v>
      </c>
      <c r="R2240" t="s">
        <v>69</v>
      </c>
      <c r="S2240">
        <v>1</v>
      </c>
      <c r="T2240">
        <v>0</v>
      </c>
      <c r="U2240">
        <f>IF(AND(OR(Dashboard!$D$4="Semua",D2240=Dashboard!$D$4),OR(Dashboard!$H$4="Semua",E2240=Dashboard!$H$4)),1,0)</f>
        <v>1</v>
      </c>
      <c r="V2240">
        <f>IF(U2240=1,IF(COUNTIFS($C$2:C2240,C2240,$U$2:U2240,1)=1,1,0),0)</f>
        <v>0</v>
      </c>
    </row>
    <row r="2241" spans="1:22" x14ac:dyDescent="0.35">
      <c r="A2241">
        <v>12240</v>
      </c>
      <c r="B2241" s="1">
        <v>46801</v>
      </c>
      <c r="C2241">
        <v>1570</v>
      </c>
      <c r="D2241" t="s">
        <v>73</v>
      </c>
      <c r="E2241" t="s">
        <v>70</v>
      </c>
      <c r="F2241">
        <v>7</v>
      </c>
      <c r="G2241" s="2">
        <v>159.77000000000001</v>
      </c>
      <c r="H2241">
        <v>0.16</v>
      </c>
      <c r="I2241" t="s">
        <v>71</v>
      </c>
      <c r="J2241">
        <v>4</v>
      </c>
      <c r="K2241">
        <v>1</v>
      </c>
      <c r="L2241" s="2">
        <v>939.45</v>
      </c>
      <c r="M2241">
        <v>2028</v>
      </c>
      <c r="N2241">
        <v>2</v>
      </c>
      <c r="O2241" t="s">
        <v>153</v>
      </c>
      <c r="P2241" s="2">
        <v>1118.3900000000001</v>
      </c>
      <c r="Q2241" s="2">
        <v>178.94</v>
      </c>
      <c r="R2241" t="s">
        <v>76</v>
      </c>
      <c r="S2241">
        <v>1</v>
      </c>
      <c r="T2241">
        <v>0</v>
      </c>
      <c r="U2241">
        <f>IF(AND(OR(Dashboard!$D$4="Semua",D2241=Dashboard!$D$4),OR(Dashboard!$H$4="Semua",E2241=Dashboard!$H$4)),1,0)</f>
        <v>1</v>
      </c>
      <c r="V2241">
        <f>IF(U2241=1,IF(COUNTIFS($C$2:C2241,C2241,$U$2:U2241,1)=1,1,0),0)</f>
        <v>0</v>
      </c>
    </row>
    <row r="2242" spans="1:22" x14ac:dyDescent="0.35">
      <c r="A2242">
        <v>12241</v>
      </c>
      <c r="B2242" s="1">
        <v>46802</v>
      </c>
      <c r="C2242">
        <v>1815</v>
      </c>
      <c r="D2242" t="s">
        <v>62</v>
      </c>
      <c r="E2242" t="s">
        <v>63</v>
      </c>
      <c r="F2242">
        <v>3</v>
      </c>
      <c r="G2242" s="2">
        <v>366.28</v>
      </c>
      <c r="H2242">
        <v>0.21</v>
      </c>
      <c r="I2242" t="s">
        <v>68</v>
      </c>
      <c r="J2242">
        <v>8</v>
      </c>
      <c r="K2242">
        <v>3</v>
      </c>
      <c r="L2242" s="2">
        <v>868.08</v>
      </c>
      <c r="M2242">
        <v>2028</v>
      </c>
      <c r="N2242">
        <v>2</v>
      </c>
      <c r="O2242" t="s">
        <v>153</v>
      </c>
      <c r="P2242" s="2">
        <v>1098.8399999999999</v>
      </c>
      <c r="Q2242" s="2">
        <v>230.76</v>
      </c>
      <c r="R2242" t="s">
        <v>77</v>
      </c>
      <c r="S2242">
        <v>1</v>
      </c>
      <c r="T2242">
        <v>0</v>
      </c>
      <c r="U2242">
        <f>IF(AND(OR(Dashboard!$D$4="Semua",D2242=Dashboard!$D$4),OR(Dashboard!$H$4="Semua",E2242=Dashboard!$H$4)),1,0)</f>
        <v>1</v>
      </c>
      <c r="V2242">
        <f>IF(U2242=1,IF(COUNTIFS($C$2:C2242,C2242,$U$2:U2242,1)=1,1,0),0)</f>
        <v>0</v>
      </c>
    </row>
    <row r="2243" spans="1:22" x14ac:dyDescent="0.35">
      <c r="A2243">
        <v>12242</v>
      </c>
      <c r="B2243" s="1">
        <v>46803</v>
      </c>
      <c r="C2243">
        <v>1680</v>
      </c>
      <c r="D2243" t="s">
        <v>73</v>
      </c>
      <c r="E2243" t="s">
        <v>78</v>
      </c>
      <c r="F2243">
        <v>3</v>
      </c>
      <c r="G2243" s="2">
        <v>165.68</v>
      </c>
      <c r="H2243">
        <v>0.09</v>
      </c>
      <c r="I2243" t="s">
        <v>64</v>
      </c>
      <c r="J2243">
        <v>7</v>
      </c>
      <c r="K2243">
        <v>3</v>
      </c>
      <c r="L2243" s="2">
        <v>452.31</v>
      </c>
      <c r="M2243">
        <v>2028</v>
      </c>
      <c r="N2243">
        <v>2</v>
      </c>
      <c r="O2243" t="s">
        <v>153</v>
      </c>
      <c r="P2243" s="2">
        <v>497.04</v>
      </c>
      <c r="Q2243" s="2">
        <v>44.73</v>
      </c>
      <c r="R2243" t="s">
        <v>69</v>
      </c>
      <c r="S2243">
        <v>1</v>
      </c>
      <c r="T2243">
        <v>0</v>
      </c>
      <c r="U2243">
        <f>IF(AND(OR(Dashboard!$D$4="Semua",D2243=Dashboard!$D$4),OR(Dashboard!$H$4="Semua",E2243=Dashboard!$H$4)),1,0)</f>
        <v>1</v>
      </c>
      <c r="V2243">
        <f>IF(U2243=1,IF(COUNTIFS($C$2:C2243,C2243,$U$2:U2243,1)=1,1,0),0)</f>
        <v>0</v>
      </c>
    </row>
    <row r="2244" spans="1:22" x14ac:dyDescent="0.35">
      <c r="A2244">
        <v>12243</v>
      </c>
      <c r="B2244" s="1">
        <v>46804</v>
      </c>
      <c r="C2244">
        <v>1780</v>
      </c>
      <c r="D2244" t="s">
        <v>62</v>
      </c>
      <c r="E2244" t="s">
        <v>74</v>
      </c>
      <c r="F2244">
        <v>4</v>
      </c>
      <c r="G2244" s="2">
        <v>210.07</v>
      </c>
      <c r="H2244">
        <v>0.11</v>
      </c>
      <c r="I2244" t="s">
        <v>71</v>
      </c>
      <c r="J2244">
        <v>1</v>
      </c>
      <c r="K2244">
        <v>2.2000000000000002</v>
      </c>
      <c r="L2244" s="2">
        <v>747.85</v>
      </c>
      <c r="M2244">
        <v>2028</v>
      </c>
      <c r="N2244">
        <v>2</v>
      </c>
      <c r="O2244" t="s">
        <v>153</v>
      </c>
      <c r="P2244" s="2">
        <v>840.28</v>
      </c>
      <c r="Q2244" s="2">
        <v>92.43</v>
      </c>
      <c r="R2244" t="s">
        <v>79</v>
      </c>
      <c r="S2244">
        <v>1</v>
      </c>
      <c r="T2244">
        <v>0</v>
      </c>
      <c r="U2244">
        <f>IF(AND(OR(Dashboard!$D$4="Semua",D2244=Dashboard!$D$4),OR(Dashboard!$H$4="Semua",E2244=Dashboard!$H$4)),1,0)</f>
        <v>1</v>
      </c>
      <c r="V2244">
        <f>IF(U2244=1,IF(COUNTIFS($C$2:C2244,C2244,$U$2:U2244,1)=1,1,0),0)</f>
        <v>0</v>
      </c>
    </row>
    <row r="2245" spans="1:22" x14ac:dyDescent="0.35">
      <c r="A2245">
        <v>12244</v>
      </c>
      <c r="B2245" s="1">
        <v>46805</v>
      </c>
      <c r="C2245">
        <v>1362</v>
      </c>
      <c r="D2245" t="s">
        <v>73</v>
      </c>
      <c r="E2245" t="s">
        <v>63</v>
      </c>
      <c r="F2245">
        <v>4</v>
      </c>
      <c r="G2245" s="2">
        <v>273.29000000000002</v>
      </c>
      <c r="H2245">
        <v>0.21</v>
      </c>
      <c r="I2245" t="s">
        <v>68</v>
      </c>
      <c r="J2245">
        <v>10</v>
      </c>
      <c r="K2245">
        <v>3.1</v>
      </c>
      <c r="L2245" s="2">
        <v>863.6</v>
      </c>
      <c r="M2245">
        <v>2028</v>
      </c>
      <c r="N2245">
        <v>2</v>
      </c>
      <c r="O2245" t="s">
        <v>153</v>
      </c>
      <c r="P2245" s="2">
        <v>1093.1600000000001</v>
      </c>
      <c r="Q2245" s="2">
        <v>229.56</v>
      </c>
      <c r="R2245" t="s">
        <v>77</v>
      </c>
      <c r="S2245">
        <v>1</v>
      </c>
      <c r="T2245">
        <v>0</v>
      </c>
      <c r="U2245">
        <f>IF(AND(OR(Dashboard!$D$4="Semua",D2245=Dashboard!$D$4),OR(Dashboard!$H$4="Semua",E2245=Dashboard!$H$4)),1,0)</f>
        <v>1</v>
      </c>
      <c r="V2245">
        <f>IF(U2245=1,IF(COUNTIFS($C$2:C2245,C2245,$U$2:U2245,1)=1,1,0),0)</f>
        <v>0</v>
      </c>
    </row>
    <row r="2246" spans="1:22" x14ac:dyDescent="0.35">
      <c r="A2246">
        <v>12245</v>
      </c>
      <c r="B2246" s="1">
        <v>46806</v>
      </c>
      <c r="C2246">
        <v>1556</v>
      </c>
      <c r="D2246" t="s">
        <v>67</v>
      </c>
      <c r="E2246" t="s">
        <v>74</v>
      </c>
      <c r="F2246">
        <v>7</v>
      </c>
      <c r="G2246" s="2">
        <v>324.58</v>
      </c>
      <c r="H2246">
        <v>0.33</v>
      </c>
      <c r="I2246" t="s">
        <v>71</v>
      </c>
      <c r="J2246">
        <v>11</v>
      </c>
      <c r="K2246">
        <v>3.7</v>
      </c>
      <c r="L2246" s="2">
        <v>1522.28</v>
      </c>
      <c r="M2246">
        <v>2028</v>
      </c>
      <c r="N2246">
        <v>2</v>
      </c>
      <c r="O2246" t="s">
        <v>153</v>
      </c>
      <c r="P2246" s="2">
        <v>2272.06</v>
      </c>
      <c r="Q2246" s="2">
        <v>749.78</v>
      </c>
      <c r="R2246" t="s">
        <v>72</v>
      </c>
      <c r="S2246">
        <v>1</v>
      </c>
      <c r="T2246">
        <v>0</v>
      </c>
      <c r="U2246">
        <f>IF(AND(OR(Dashboard!$D$4="Semua",D2246=Dashboard!$D$4),OR(Dashboard!$H$4="Semua",E2246=Dashboard!$H$4)),1,0)</f>
        <v>1</v>
      </c>
      <c r="V2246">
        <f>IF(U2246=1,IF(COUNTIFS($C$2:C2246,C2246,$U$2:U2246,1)=1,1,0),0)</f>
        <v>0</v>
      </c>
    </row>
    <row r="2247" spans="1:22" x14ac:dyDescent="0.35">
      <c r="A2247">
        <v>12246</v>
      </c>
      <c r="B2247" s="1">
        <v>46807</v>
      </c>
      <c r="C2247">
        <v>1344</v>
      </c>
      <c r="D2247" t="s">
        <v>80</v>
      </c>
      <c r="E2247" t="s">
        <v>78</v>
      </c>
      <c r="F2247">
        <v>7</v>
      </c>
      <c r="G2247" s="2">
        <v>277.88</v>
      </c>
      <c r="H2247">
        <v>0.24</v>
      </c>
      <c r="I2247" t="s">
        <v>68</v>
      </c>
      <c r="J2247">
        <v>7</v>
      </c>
      <c r="K2247">
        <v>3.7</v>
      </c>
      <c r="L2247" s="2">
        <v>1478.32</v>
      </c>
      <c r="M2247">
        <v>2028</v>
      </c>
      <c r="N2247">
        <v>2</v>
      </c>
      <c r="O2247" t="s">
        <v>153</v>
      </c>
      <c r="P2247" s="2">
        <v>1945.16</v>
      </c>
      <c r="Q2247" s="2">
        <v>466.84</v>
      </c>
      <c r="R2247" t="s">
        <v>77</v>
      </c>
      <c r="S2247">
        <v>1</v>
      </c>
      <c r="T2247">
        <v>0</v>
      </c>
      <c r="U2247">
        <f>IF(AND(OR(Dashboard!$D$4="Semua",D2247=Dashboard!$D$4),OR(Dashboard!$H$4="Semua",E2247=Dashboard!$H$4)),1,0)</f>
        <v>1</v>
      </c>
      <c r="V2247">
        <f>IF(U2247=1,IF(COUNTIFS($C$2:C2247,C2247,$U$2:U2247,1)=1,1,0),0)</f>
        <v>1</v>
      </c>
    </row>
    <row r="2248" spans="1:22" x14ac:dyDescent="0.35">
      <c r="A2248">
        <v>12247</v>
      </c>
      <c r="B2248" s="1">
        <v>46808</v>
      </c>
      <c r="C2248">
        <v>1692</v>
      </c>
      <c r="D2248" t="s">
        <v>62</v>
      </c>
      <c r="E2248" t="s">
        <v>74</v>
      </c>
      <c r="F2248">
        <v>3</v>
      </c>
      <c r="G2248" s="2">
        <v>303.52</v>
      </c>
      <c r="H2248">
        <v>0.27</v>
      </c>
      <c r="I2248" t="s">
        <v>68</v>
      </c>
      <c r="J2248">
        <v>2</v>
      </c>
      <c r="K2248">
        <v>1.4</v>
      </c>
      <c r="L2248" s="2">
        <v>664.71</v>
      </c>
      <c r="M2248">
        <v>2028</v>
      </c>
      <c r="N2248">
        <v>2</v>
      </c>
      <c r="O2248" t="s">
        <v>153</v>
      </c>
      <c r="P2248" s="2">
        <v>910.56</v>
      </c>
      <c r="Q2248" s="2">
        <v>245.85</v>
      </c>
      <c r="R2248" t="s">
        <v>66</v>
      </c>
      <c r="S2248">
        <v>1</v>
      </c>
      <c r="T2248">
        <v>0</v>
      </c>
      <c r="U2248">
        <f>IF(AND(OR(Dashboard!$D$4="Semua",D2248=Dashboard!$D$4),OR(Dashboard!$H$4="Semua",E2248=Dashboard!$H$4)),1,0)</f>
        <v>1</v>
      </c>
      <c r="V2248">
        <f>IF(U2248=1,IF(COUNTIFS($C$2:C2248,C2248,$U$2:U2248,1)=1,1,0),0)</f>
        <v>0</v>
      </c>
    </row>
    <row r="2249" spans="1:22" x14ac:dyDescent="0.35">
      <c r="A2249">
        <v>12248</v>
      </c>
      <c r="B2249" s="1">
        <v>46809</v>
      </c>
      <c r="C2249">
        <v>1169</v>
      </c>
      <c r="D2249" t="s">
        <v>62</v>
      </c>
      <c r="E2249" t="s">
        <v>63</v>
      </c>
      <c r="F2249">
        <v>7</v>
      </c>
      <c r="G2249" s="2">
        <v>189.67</v>
      </c>
      <c r="H2249">
        <v>0.13</v>
      </c>
      <c r="I2249" t="s">
        <v>71</v>
      </c>
      <c r="J2249">
        <v>3</v>
      </c>
      <c r="K2249">
        <v>4.2</v>
      </c>
      <c r="L2249" s="2">
        <v>1155.0899999999999</v>
      </c>
      <c r="M2249">
        <v>2028</v>
      </c>
      <c r="N2249">
        <v>2</v>
      </c>
      <c r="O2249" t="s">
        <v>153</v>
      </c>
      <c r="P2249" s="2">
        <v>1327.69</v>
      </c>
      <c r="Q2249" s="2">
        <v>172.6</v>
      </c>
      <c r="R2249" t="s">
        <v>79</v>
      </c>
      <c r="S2249">
        <v>1</v>
      </c>
      <c r="T2249">
        <v>0</v>
      </c>
      <c r="U2249">
        <f>IF(AND(OR(Dashboard!$D$4="Semua",D2249=Dashboard!$D$4),OR(Dashboard!$H$4="Semua",E2249=Dashboard!$H$4)),1,0)</f>
        <v>1</v>
      </c>
      <c r="V2249">
        <f>IF(U2249=1,IF(COUNTIFS($C$2:C2249,C2249,$U$2:U2249,1)=1,1,0),0)</f>
        <v>0</v>
      </c>
    </row>
    <row r="2250" spans="1:22" x14ac:dyDescent="0.35">
      <c r="A2250">
        <v>12249</v>
      </c>
      <c r="B2250" s="1">
        <v>46810</v>
      </c>
      <c r="C2250">
        <v>1355</v>
      </c>
      <c r="D2250" t="s">
        <v>80</v>
      </c>
      <c r="E2250" t="s">
        <v>70</v>
      </c>
      <c r="F2250">
        <v>7</v>
      </c>
      <c r="G2250" s="2">
        <v>107.99</v>
      </c>
      <c r="H2250">
        <v>0.1</v>
      </c>
      <c r="I2250" t="s">
        <v>64</v>
      </c>
      <c r="J2250">
        <v>1</v>
      </c>
      <c r="K2250">
        <v>4.7</v>
      </c>
      <c r="L2250" s="2">
        <v>680.34</v>
      </c>
      <c r="M2250">
        <v>2028</v>
      </c>
      <c r="N2250">
        <v>2</v>
      </c>
      <c r="O2250" t="s">
        <v>153</v>
      </c>
      <c r="P2250" s="2">
        <v>755.93</v>
      </c>
      <c r="Q2250" s="2">
        <v>75.59</v>
      </c>
      <c r="R2250" t="s">
        <v>69</v>
      </c>
      <c r="S2250">
        <v>1</v>
      </c>
      <c r="T2250">
        <v>0</v>
      </c>
      <c r="U2250">
        <f>IF(AND(OR(Dashboard!$D$4="Semua",D2250=Dashboard!$D$4),OR(Dashboard!$H$4="Semua",E2250=Dashboard!$H$4)),1,0)</f>
        <v>1</v>
      </c>
      <c r="V2250">
        <f>IF(U2250=1,IF(COUNTIFS($C$2:C2250,C2250,$U$2:U2250,1)=1,1,0),0)</f>
        <v>0</v>
      </c>
    </row>
    <row r="2251" spans="1:22" x14ac:dyDescent="0.35">
      <c r="A2251">
        <v>12250</v>
      </c>
      <c r="B2251" s="1">
        <v>46811</v>
      </c>
      <c r="C2251">
        <v>1190</v>
      </c>
      <c r="D2251" t="s">
        <v>62</v>
      </c>
      <c r="E2251" t="s">
        <v>74</v>
      </c>
      <c r="F2251">
        <v>7</v>
      </c>
      <c r="G2251" s="2">
        <v>42.7</v>
      </c>
      <c r="H2251">
        <v>0.16</v>
      </c>
      <c r="I2251" t="s">
        <v>71</v>
      </c>
      <c r="J2251">
        <v>7</v>
      </c>
      <c r="K2251">
        <v>1.5</v>
      </c>
      <c r="L2251" s="2">
        <v>251.08</v>
      </c>
      <c r="M2251">
        <v>2028</v>
      </c>
      <c r="N2251">
        <v>2</v>
      </c>
      <c r="O2251" t="s">
        <v>153</v>
      </c>
      <c r="P2251" s="2">
        <v>298.89999999999998</v>
      </c>
      <c r="Q2251" s="2">
        <v>47.82</v>
      </c>
      <c r="R2251" t="s">
        <v>76</v>
      </c>
      <c r="S2251">
        <v>1</v>
      </c>
      <c r="T2251">
        <v>0</v>
      </c>
      <c r="U2251">
        <f>IF(AND(OR(Dashboard!$D$4="Semua",D2251=Dashboard!$D$4),OR(Dashboard!$H$4="Semua",E2251=Dashboard!$H$4)),1,0)</f>
        <v>1</v>
      </c>
      <c r="V2251">
        <f>IF(U2251=1,IF(COUNTIFS($C$2:C2251,C2251,$U$2:U2251,1)=1,1,0),0)</f>
        <v>0</v>
      </c>
    </row>
    <row r="2252" spans="1:22" x14ac:dyDescent="0.35">
      <c r="A2252">
        <v>12251</v>
      </c>
      <c r="B2252" s="1">
        <v>46812</v>
      </c>
      <c r="C2252">
        <v>1666</v>
      </c>
      <c r="D2252" t="s">
        <v>73</v>
      </c>
      <c r="E2252" t="s">
        <v>63</v>
      </c>
      <c r="F2252">
        <v>6</v>
      </c>
      <c r="G2252" s="2">
        <v>129.65</v>
      </c>
      <c r="H2252">
        <v>0.28000000000000003</v>
      </c>
      <c r="I2252" t="s">
        <v>68</v>
      </c>
      <c r="J2252">
        <v>3</v>
      </c>
      <c r="K2252">
        <v>2.7</v>
      </c>
      <c r="L2252" s="2">
        <v>560.09</v>
      </c>
      <c r="M2252">
        <v>2028</v>
      </c>
      <c r="N2252">
        <v>2</v>
      </c>
      <c r="O2252" t="s">
        <v>153</v>
      </c>
      <c r="P2252" s="2">
        <v>777.9</v>
      </c>
      <c r="Q2252" s="2">
        <v>217.81</v>
      </c>
      <c r="R2252" t="s">
        <v>66</v>
      </c>
      <c r="S2252">
        <v>1</v>
      </c>
      <c r="T2252">
        <v>0</v>
      </c>
      <c r="U2252">
        <f>IF(AND(OR(Dashboard!$D$4="Semua",D2252=Dashboard!$D$4),OR(Dashboard!$H$4="Semua",E2252=Dashboard!$H$4)),1,0)</f>
        <v>1</v>
      </c>
      <c r="V2252">
        <f>IF(U2252=1,IF(COUNTIFS($C$2:C2252,C2252,$U$2:U2252,1)=1,1,0),0)</f>
        <v>0</v>
      </c>
    </row>
    <row r="2253" spans="1:22" x14ac:dyDescent="0.35">
      <c r="A2253">
        <v>12252</v>
      </c>
      <c r="B2253" s="1">
        <v>46813</v>
      </c>
      <c r="C2253">
        <v>1421</v>
      </c>
      <c r="D2253" t="s">
        <v>73</v>
      </c>
      <c r="E2253" t="s">
        <v>63</v>
      </c>
      <c r="F2253">
        <v>2</v>
      </c>
      <c r="G2253" s="2">
        <v>355.44</v>
      </c>
      <c r="H2253">
        <v>0.16</v>
      </c>
      <c r="I2253" t="s">
        <v>64</v>
      </c>
      <c r="J2253">
        <v>6</v>
      </c>
      <c r="K2253">
        <v>3</v>
      </c>
      <c r="L2253" s="2">
        <v>597.14</v>
      </c>
      <c r="M2253">
        <v>2028</v>
      </c>
      <c r="N2253">
        <v>3</v>
      </c>
      <c r="O2253" t="s">
        <v>154</v>
      </c>
      <c r="P2253" s="2">
        <v>710.88</v>
      </c>
      <c r="Q2253" s="2">
        <v>113.74</v>
      </c>
      <c r="R2253" t="s">
        <v>76</v>
      </c>
      <c r="S2253">
        <v>1</v>
      </c>
      <c r="T2253">
        <v>0</v>
      </c>
      <c r="U2253">
        <f>IF(AND(OR(Dashboard!$D$4="Semua",D2253=Dashboard!$D$4),OR(Dashboard!$H$4="Semua",E2253=Dashboard!$H$4)),1,0)</f>
        <v>1</v>
      </c>
      <c r="V2253">
        <f>IF(U2253=1,IF(COUNTIFS($C$2:C2253,C2253,$U$2:U2253,1)=1,1,0),0)</f>
        <v>0</v>
      </c>
    </row>
    <row r="2254" spans="1:22" x14ac:dyDescent="0.35">
      <c r="A2254">
        <v>12253</v>
      </c>
      <c r="B2254" s="1">
        <v>46814</v>
      </c>
      <c r="C2254">
        <v>1699</v>
      </c>
      <c r="D2254" t="s">
        <v>73</v>
      </c>
      <c r="E2254" t="s">
        <v>78</v>
      </c>
      <c r="F2254">
        <v>7</v>
      </c>
      <c r="G2254" s="2">
        <v>474.88</v>
      </c>
      <c r="H2254">
        <v>0.3</v>
      </c>
      <c r="I2254" t="s">
        <v>68</v>
      </c>
      <c r="J2254">
        <v>7</v>
      </c>
      <c r="K2254">
        <v>1.5</v>
      </c>
      <c r="L2254" s="2">
        <v>2326.91</v>
      </c>
      <c r="M2254">
        <v>2028</v>
      </c>
      <c r="N2254">
        <v>3</v>
      </c>
      <c r="O2254" t="s">
        <v>154</v>
      </c>
      <c r="P2254" s="2">
        <v>3324.16</v>
      </c>
      <c r="Q2254" s="2">
        <v>997.25</v>
      </c>
      <c r="R2254" t="s">
        <v>66</v>
      </c>
      <c r="S2254">
        <v>1</v>
      </c>
      <c r="T2254">
        <v>0</v>
      </c>
      <c r="U2254">
        <f>IF(AND(OR(Dashboard!$D$4="Semua",D2254=Dashboard!$D$4),OR(Dashboard!$H$4="Semua",E2254=Dashboard!$H$4)),1,0)</f>
        <v>1</v>
      </c>
      <c r="V2254">
        <f>IF(U2254=1,IF(COUNTIFS($C$2:C2254,C2254,$U$2:U2254,1)=1,1,0),0)</f>
        <v>0</v>
      </c>
    </row>
    <row r="2255" spans="1:22" x14ac:dyDescent="0.35">
      <c r="A2255">
        <v>12254</v>
      </c>
      <c r="B2255" s="1">
        <v>46815</v>
      </c>
      <c r="C2255">
        <v>1006</v>
      </c>
      <c r="D2255" t="s">
        <v>67</v>
      </c>
      <c r="E2255" t="s">
        <v>63</v>
      </c>
      <c r="F2255">
        <v>2</v>
      </c>
      <c r="G2255" s="2">
        <v>114.01</v>
      </c>
      <c r="H2255">
        <v>0.35</v>
      </c>
      <c r="I2255" t="s">
        <v>68</v>
      </c>
      <c r="J2255">
        <v>3</v>
      </c>
      <c r="K2255">
        <v>3</v>
      </c>
      <c r="L2255" s="2">
        <v>148.21</v>
      </c>
      <c r="M2255">
        <v>2028</v>
      </c>
      <c r="N2255">
        <v>3</v>
      </c>
      <c r="O2255" t="s">
        <v>154</v>
      </c>
      <c r="P2255" s="2">
        <v>228.02</v>
      </c>
      <c r="Q2255" s="2">
        <v>79.81</v>
      </c>
      <c r="R2255" t="s">
        <v>72</v>
      </c>
      <c r="S2255">
        <v>1</v>
      </c>
      <c r="T2255">
        <v>0</v>
      </c>
      <c r="U2255">
        <f>IF(AND(OR(Dashboard!$D$4="Semua",D2255=Dashboard!$D$4),OR(Dashboard!$H$4="Semua",E2255=Dashboard!$H$4)),1,0)</f>
        <v>1</v>
      </c>
      <c r="V2255">
        <f>IF(U2255=1,IF(COUNTIFS($C$2:C2255,C2255,$U$2:U2255,1)=1,1,0),0)</f>
        <v>0</v>
      </c>
    </row>
    <row r="2256" spans="1:22" x14ac:dyDescent="0.35">
      <c r="A2256">
        <v>12255</v>
      </c>
      <c r="B2256" s="1">
        <v>46816</v>
      </c>
      <c r="C2256">
        <v>1132</v>
      </c>
      <c r="D2256" t="s">
        <v>67</v>
      </c>
      <c r="E2256" t="s">
        <v>70</v>
      </c>
      <c r="F2256">
        <v>2</v>
      </c>
      <c r="G2256" s="2">
        <v>78.5</v>
      </c>
      <c r="H2256">
        <v>0.03</v>
      </c>
      <c r="I2256" t="s">
        <v>68</v>
      </c>
      <c r="J2256">
        <v>2</v>
      </c>
      <c r="K2256">
        <v>1.8</v>
      </c>
      <c r="L2256" s="2">
        <v>152.29</v>
      </c>
      <c r="M2256">
        <v>2028</v>
      </c>
      <c r="N2256">
        <v>3</v>
      </c>
      <c r="O2256" t="s">
        <v>154</v>
      </c>
      <c r="P2256" s="2">
        <v>157</v>
      </c>
      <c r="Q2256" s="2">
        <v>4.71</v>
      </c>
      <c r="R2256" t="s">
        <v>75</v>
      </c>
      <c r="S2256">
        <v>1</v>
      </c>
      <c r="T2256">
        <v>0</v>
      </c>
      <c r="U2256">
        <f>IF(AND(OR(Dashboard!$D$4="Semua",D2256=Dashboard!$D$4),OR(Dashboard!$H$4="Semua",E2256=Dashboard!$H$4)),1,0)</f>
        <v>1</v>
      </c>
      <c r="V2256">
        <f>IF(U2256=1,IF(COUNTIFS($C$2:C2256,C2256,$U$2:U2256,1)=1,1,0),0)</f>
        <v>0</v>
      </c>
    </row>
    <row r="2257" spans="1:22" x14ac:dyDescent="0.35">
      <c r="A2257">
        <v>12256</v>
      </c>
      <c r="B2257" s="1">
        <v>46817</v>
      </c>
      <c r="C2257">
        <v>1746</v>
      </c>
      <c r="D2257" t="s">
        <v>67</v>
      </c>
      <c r="E2257" t="s">
        <v>70</v>
      </c>
      <c r="F2257">
        <v>4</v>
      </c>
      <c r="G2257" s="2">
        <v>453.33</v>
      </c>
      <c r="H2257">
        <v>0.02</v>
      </c>
      <c r="I2257" t="s">
        <v>68</v>
      </c>
      <c r="J2257">
        <v>9</v>
      </c>
      <c r="K2257">
        <v>4.7</v>
      </c>
      <c r="L2257" s="2">
        <v>1777.05</v>
      </c>
      <c r="M2257">
        <v>2028</v>
      </c>
      <c r="N2257">
        <v>3</v>
      </c>
      <c r="O2257" t="s">
        <v>154</v>
      </c>
      <c r="P2257" s="2">
        <v>1813.32</v>
      </c>
      <c r="Q2257" s="2">
        <v>36.270000000000003</v>
      </c>
      <c r="R2257" t="s">
        <v>75</v>
      </c>
      <c r="S2257">
        <v>1</v>
      </c>
      <c r="T2257">
        <v>0</v>
      </c>
      <c r="U2257">
        <f>IF(AND(OR(Dashboard!$D$4="Semua",D2257=Dashboard!$D$4),OR(Dashboard!$H$4="Semua",E2257=Dashboard!$H$4)),1,0)</f>
        <v>1</v>
      </c>
      <c r="V2257">
        <f>IF(U2257=1,IF(COUNTIFS($C$2:C2257,C2257,$U$2:U2257,1)=1,1,0),0)</f>
        <v>0</v>
      </c>
    </row>
    <row r="2258" spans="1:22" x14ac:dyDescent="0.35">
      <c r="A2258">
        <v>12257</v>
      </c>
      <c r="B2258" s="1">
        <v>46818</v>
      </c>
      <c r="C2258">
        <v>1556</v>
      </c>
      <c r="D2258" t="s">
        <v>73</v>
      </c>
      <c r="E2258" t="s">
        <v>74</v>
      </c>
      <c r="F2258">
        <v>7</v>
      </c>
      <c r="G2258" s="2">
        <v>193.52</v>
      </c>
      <c r="H2258">
        <v>0.05</v>
      </c>
      <c r="I2258" t="s">
        <v>68</v>
      </c>
      <c r="J2258">
        <v>9</v>
      </c>
      <c r="K2258">
        <v>2.8</v>
      </c>
      <c r="L2258" s="2">
        <v>1286.9100000000001</v>
      </c>
      <c r="M2258">
        <v>2028</v>
      </c>
      <c r="N2258">
        <v>3</v>
      </c>
      <c r="O2258" t="s">
        <v>154</v>
      </c>
      <c r="P2258" s="2">
        <v>1354.64</v>
      </c>
      <c r="Q2258" s="2">
        <v>67.73</v>
      </c>
      <c r="R2258" t="s">
        <v>75</v>
      </c>
      <c r="S2258">
        <v>1</v>
      </c>
      <c r="T2258">
        <v>0</v>
      </c>
      <c r="U2258">
        <f>IF(AND(OR(Dashboard!$D$4="Semua",D2258=Dashboard!$D$4),OR(Dashboard!$H$4="Semua",E2258=Dashboard!$H$4)),1,0)</f>
        <v>1</v>
      </c>
      <c r="V2258">
        <f>IF(U2258=1,IF(COUNTIFS($C$2:C2258,C2258,$U$2:U2258,1)=1,1,0),0)</f>
        <v>0</v>
      </c>
    </row>
    <row r="2259" spans="1:22" x14ac:dyDescent="0.35">
      <c r="A2259">
        <v>12258</v>
      </c>
      <c r="B2259" s="1">
        <v>46819</v>
      </c>
      <c r="C2259">
        <v>1825</v>
      </c>
      <c r="D2259" t="s">
        <v>80</v>
      </c>
      <c r="E2259" t="s">
        <v>74</v>
      </c>
      <c r="F2259">
        <v>3</v>
      </c>
      <c r="G2259" s="2">
        <v>571.63</v>
      </c>
      <c r="H2259">
        <v>0.13</v>
      </c>
      <c r="I2259" t="s">
        <v>71</v>
      </c>
      <c r="J2259">
        <v>7</v>
      </c>
      <c r="K2259">
        <v>5</v>
      </c>
      <c r="L2259" s="2">
        <v>1491.95</v>
      </c>
      <c r="M2259">
        <v>2028</v>
      </c>
      <c r="N2259">
        <v>3</v>
      </c>
      <c r="O2259" t="s">
        <v>154</v>
      </c>
      <c r="P2259" s="2">
        <v>1714.89</v>
      </c>
      <c r="Q2259" s="2">
        <v>222.94</v>
      </c>
      <c r="R2259" t="s">
        <v>79</v>
      </c>
      <c r="S2259">
        <v>1</v>
      </c>
      <c r="T2259">
        <v>0</v>
      </c>
      <c r="U2259">
        <f>IF(AND(OR(Dashboard!$D$4="Semua",D2259=Dashboard!$D$4),OR(Dashboard!$H$4="Semua",E2259=Dashboard!$H$4)),1,0)</f>
        <v>1</v>
      </c>
      <c r="V2259">
        <f>IF(U2259=1,IF(COUNTIFS($C$2:C2259,C2259,$U$2:U2259,1)=1,1,0),0)</f>
        <v>0</v>
      </c>
    </row>
    <row r="2260" spans="1:22" x14ac:dyDescent="0.35">
      <c r="A2260">
        <v>12259</v>
      </c>
      <c r="B2260" s="1">
        <v>46820</v>
      </c>
      <c r="C2260">
        <v>1760</v>
      </c>
      <c r="D2260" t="s">
        <v>73</v>
      </c>
      <c r="E2260" t="s">
        <v>74</v>
      </c>
      <c r="F2260">
        <v>6</v>
      </c>
      <c r="G2260" s="2">
        <v>432.88</v>
      </c>
      <c r="H2260">
        <v>0.05</v>
      </c>
      <c r="I2260" t="s">
        <v>64</v>
      </c>
      <c r="J2260">
        <v>5</v>
      </c>
      <c r="K2260">
        <v>1.2</v>
      </c>
      <c r="L2260" s="2">
        <v>2467.42</v>
      </c>
      <c r="M2260">
        <v>2028</v>
      </c>
      <c r="N2260">
        <v>3</v>
      </c>
      <c r="O2260" t="s">
        <v>154</v>
      </c>
      <c r="P2260" s="2">
        <v>2597.2800000000002</v>
      </c>
      <c r="Q2260" s="2">
        <v>129.86000000000001</v>
      </c>
      <c r="R2260" t="s">
        <v>75</v>
      </c>
      <c r="S2260">
        <v>1</v>
      </c>
      <c r="T2260">
        <v>0</v>
      </c>
      <c r="U2260">
        <f>IF(AND(OR(Dashboard!$D$4="Semua",D2260=Dashboard!$D$4),OR(Dashboard!$H$4="Semua",E2260=Dashboard!$H$4)),1,0)</f>
        <v>1</v>
      </c>
      <c r="V2260">
        <f>IF(U2260=1,IF(COUNTIFS($C$2:C2260,C2260,$U$2:U2260,1)=1,1,0),0)</f>
        <v>0</v>
      </c>
    </row>
    <row r="2261" spans="1:22" x14ac:dyDescent="0.35">
      <c r="A2261">
        <v>12260</v>
      </c>
      <c r="B2261" s="1">
        <v>46821</v>
      </c>
      <c r="C2261">
        <v>1030</v>
      </c>
      <c r="D2261" t="s">
        <v>73</v>
      </c>
      <c r="E2261" t="s">
        <v>74</v>
      </c>
      <c r="F2261">
        <v>3</v>
      </c>
      <c r="G2261" s="2">
        <v>206.15</v>
      </c>
      <c r="H2261">
        <v>0.3</v>
      </c>
      <c r="I2261" t="s">
        <v>64</v>
      </c>
      <c r="J2261">
        <v>4</v>
      </c>
      <c r="K2261">
        <v>1.5</v>
      </c>
      <c r="L2261" s="2">
        <v>432.92</v>
      </c>
      <c r="M2261">
        <v>2028</v>
      </c>
      <c r="N2261">
        <v>3</v>
      </c>
      <c r="O2261" t="s">
        <v>154</v>
      </c>
      <c r="P2261" s="2">
        <v>618.45000000000005</v>
      </c>
      <c r="Q2261" s="2">
        <v>185.53</v>
      </c>
      <c r="R2261" t="s">
        <v>66</v>
      </c>
      <c r="S2261">
        <v>1</v>
      </c>
      <c r="T2261">
        <v>0</v>
      </c>
      <c r="U2261">
        <f>IF(AND(OR(Dashboard!$D$4="Semua",D2261=Dashboard!$D$4),OR(Dashboard!$H$4="Semua",E2261=Dashboard!$H$4)),1,0)</f>
        <v>1</v>
      </c>
      <c r="V2261">
        <f>IF(U2261=1,IF(COUNTIFS($C$2:C2261,C2261,$U$2:U2261,1)=1,1,0),0)</f>
        <v>1</v>
      </c>
    </row>
    <row r="2262" spans="1:22" x14ac:dyDescent="0.35">
      <c r="A2262">
        <v>12261</v>
      </c>
      <c r="B2262" s="1">
        <v>46822</v>
      </c>
      <c r="C2262">
        <v>1534</v>
      </c>
      <c r="D2262" t="s">
        <v>67</v>
      </c>
      <c r="E2262" t="s">
        <v>70</v>
      </c>
      <c r="F2262">
        <v>7</v>
      </c>
      <c r="G2262" s="2">
        <v>184.38</v>
      </c>
      <c r="H2262">
        <v>0.01</v>
      </c>
      <c r="I2262" t="s">
        <v>64</v>
      </c>
      <c r="J2262">
        <v>4</v>
      </c>
      <c r="K2262">
        <v>2.8</v>
      </c>
      <c r="L2262" s="2">
        <v>1277.75</v>
      </c>
      <c r="M2262">
        <v>2028</v>
      </c>
      <c r="N2262">
        <v>3</v>
      </c>
      <c r="O2262" t="s">
        <v>154</v>
      </c>
      <c r="P2262" s="2">
        <v>1290.6600000000001</v>
      </c>
      <c r="Q2262" s="2">
        <v>12.91</v>
      </c>
      <c r="R2262" t="s">
        <v>75</v>
      </c>
      <c r="S2262">
        <v>1</v>
      </c>
      <c r="T2262">
        <v>0</v>
      </c>
      <c r="U2262">
        <f>IF(AND(OR(Dashboard!$D$4="Semua",D2262=Dashboard!$D$4),OR(Dashboard!$H$4="Semua",E2262=Dashboard!$H$4)),1,0)</f>
        <v>1</v>
      </c>
      <c r="V2262">
        <f>IF(U2262=1,IF(COUNTIFS($C$2:C2262,C2262,$U$2:U2262,1)=1,1,0),0)</f>
        <v>1</v>
      </c>
    </row>
    <row r="2263" spans="1:22" x14ac:dyDescent="0.35">
      <c r="A2263">
        <v>12262</v>
      </c>
      <c r="B2263" s="1">
        <v>46823</v>
      </c>
      <c r="C2263">
        <v>1425</v>
      </c>
      <c r="D2263" t="s">
        <v>80</v>
      </c>
      <c r="E2263" t="s">
        <v>78</v>
      </c>
      <c r="F2263">
        <v>3</v>
      </c>
      <c r="G2263" s="2">
        <v>321.36</v>
      </c>
      <c r="H2263">
        <v>0.11</v>
      </c>
      <c r="I2263" t="s">
        <v>71</v>
      </c>
      <c r="J2263">
        <v>1</v>
      </c>
      <c r="K2263">
        <v>4.5</v>
      </c>
      <c r="L2263" s="2">
        <v>858.03</v>
      </c>
      <c r="M2263">
        <v>2028</v>
      </c>
      <c r="N2263">
        <v>3</v>
      </c>
      <c r="O2263" t="s">
        <v>154</v>
      </c>
      <c r="P2263" s="2">
        <v>964.08</v>
      </c>
      <c r="Q2263" s="2">
        <v>106.05</v>
      </c>
      <c r="R2263" t="s">
        <v>79</v>
      </c>
      <c r="S2263">
        <v>1</v>
      </c>
      <c r="T2263">
        <v>0</v>
      </c>
      <c r="U2263">
        <f>IF(AND(OR(Dashboard!$D$4="Semua",D2263=Dashboard!$D$4),OR(Dashboard!$H$4="Semua",E2263=Dashboard!$H$4)),1,0)</f>
        <v>1</v>
      </c>
      <c r="V2263">
        <f>IF(U2263=1,IF(COUNTIFS($C$2:C2263,C2263,$U$2:U2263,1)=1,1,0),0)</f>
        <v>0</v>
      </c>
    </row>
    <row r="2264" spans="1:22" x14ac:dyDescent="0.35">
      <c r="A2264">
        <v>12263</v>
      </c>
      <c r="B2264" s="1">
        <v>46824</v>
      </c>
      <c r="C2264">
        <v>1393</v>
      </c>
      <c r="D2264" t="s">
        <v>80</v>
      </c>
      <c r="E2264" t="s">
        <v>74</v>
      </c>
      <c r="F2264">
        <v>7</v>
      </c>
      <c r="G2264" s="2">
        <v>61.3</v>
      </c>
      <c r="H2264">
        <v>0.06</v>
      </c>
      <c r="I2264" t="s">
        <v>71</v>
      </c>
      <c r="J2264">
        <v>4</v>
      </c>
      <c r="K2264">
        <v>3.2</v>
      </c>
      <c r="L2264" s="2">
        <v>403.35</v>
      </c>
      <c r="M2264">
        <v>2028</v>
      </c>
      <c r="N2264">
        <v>3</v>
      </c>
      <c r="O2264" t="s">
        <v>154</v>
      </c>
      <c r="P2264" s="2">
        <v>429.1</v>
      </c>
      <c r="Q2264" s="2">
        <v>25.75</v>
      </c>
      <c r="R2264" t="s">
        <v>69</v>
      </c>
      <c r="S2264">
        <v>1</v>
      </c>
      <c r="T2264">
        <v>0</v>
      </c>
      <c r="U2264">
        <f>IF(AND(OR(Dashboard!$D$4="Semua",D2264=Dashboard!$D$4),OR(Dashboard!$H$4="Semua",E2264=Dashboard!$H$4)),1,0)</f>
        <v>1</v>
      </c>
      <c r="V2264">
        <f>IF(U2264=1,IF(COUNTIFS($C$2:C2264,C2264,$U$2:U2264,1)=1,1,0),0)</f>
        <v>0</v>
      </c>
    </row>
    <row r="2265" spans="1:22" x14ac:dyDescent="0.35">
      <c r="A2265">
        <v>12264</v>
      </c>
      <c r="B2265" s="1">
        <v>46825</v>
      </c>
      <c r="C2265">
        <v>1671</v>
      </c>
      <c r="D2265" t="s">
        <v>67</v>
      </c>
      <c r="E2265" t="s">
        <v>78</v>
      </c>
      <c r="F2265">
        <v>6</v>
      </c>
      <c r="G2265" s="2">
        <v>83.84</v>
      </c>
      <c r="H2265">
        <v>0.33</v>
      </c>
      <c r="I2265" t="s">
        <v>64</v>
      </c>
      <c r="J2265">
        <v>7</v>
      </c>
      <c r="K2265">
        <v>3.9</v>
      </c>
      <c r="L2265" s="2">
        <v>337.04</v>
      </c>
      <c r="M2265">
        <v>2028</v>
      </c>
      <c r="N2265">
        <v>3</v>
      </c>
      <c r="O2265" t="s">
        <v>154</v>
      </c>
      <c r="P2265" s="2">
        <v>503.04</v>
      </c>
      <c r="Q2265" s="2">
        <v>166</v>
      </c>
      <c r="R2265" t="s">
        <v>72</v>
      </c>
      <c r="S2265">
        <v>1</v>
      </c>
      <c r="T2265">
        <v>0</v>
      </c>
      <c r="U2265">
        <f>IF(AND(OR(Dashboard!$D$4="Semua",D2265=Dashboard!$D$4),OR(Dashboard!$H$4="Semua",E2265=Dashboard!$H$4)),1,0)</f>
        <v>1</v>
      </c>
      <c r="V2265">
        <f>IF(U2265=1,IF(COUNTIFS($C$2:C2265,C2265,$U$2:U2265,1)=1,1,0),0)</f>
        <v>0</v>
      </c>
    </row>
    <row r="2266" spans="1:22" x14ac:dyDescent="0.35">
      <c r="A2266">
        <v>12265</v>
      </c>
      <c r="B2266" s="1">
        <v>46826</v>
      </c>
      <c r="C2266">
        <v>1362</v>
      </c>
      <c r="D2266" t="s">
        <v>73</v>
      </c>
      <c r="E2266" t="s">
        <v>63</v>
      </c>
      <c r="F2266">
        <v>1</v>
      </c>
      <c r="G2266" s="2">
        <v>117.88</v>
      </c>
      <c r="H2266">
        <v>0.23</v>
      </c>
      <c r="I2266" t="s">
        <v>71</v>
      </c>
      <c r="J2266">
        <v>5</v>
      </c>
      <c r="K2266">
        <v>2.7</v>
      </c>
      <c r="L2266" s="2">
        <v>90.77</v>
      </c>
      <c r="M2266">
        <v>2028</v>
      </c>
      <c r="N2266">
        <v>3</v>
      </c>
      <c r="O2266" t="s">
        <v>154</v>
      </c>
      <c r="P2266" s="2">
        <v>117.88</v>
      </c>
      <c r="Q2266" s="2">
        <v>27.11</v>
      </c>
      <c r="R2266" t="s">
        <v>77</v>
      </c>
      <c r="S2266">
        <v>1</v>
      </c>
      <c r="T2266">
        <v>0</v>
      </c>
      <c r="U2266">
        <f>IF(AND(OR(Dashboard!$D$4="Semua",D2266=Dashboard!$D$4),OR(Dashboard!$H$4="Semua",E2266=Dashboard!$H$4)),1,0)</f>
        <v>1</v>
      </c>
      <c r="V2266">
        <f>IF(U2266=1,IF(COUNTIFS($C$2:C2266,C2266,$U$2:U2266,1)=1,1,0),0)</f>
        <v>0</v>
      </c>
    </row>
    <row r="2267" spans="1:22" x14ac:dyDescent="0.35">
      <c r="A2267">
        <v>12266</v>
      </c>
      <c r="B2267" s="1">
        <v>46827</v>
      </c>
      <c r="C2267">
        <v>1436</v>
      </c>
      <c r="D2267" t="s">
        <v>67</v>
      </c>
      <c r="E2267" t="s">
        <v>63</v>
      </c>
      <c r="F2267">
        <v>6</v>
      </c>
      <c r="G2267" s="2">
        <v>468.21</v>
      </c>
      <c r="H2267">
        <v>0.32</v>
      </c>
      <c r="I2267" t="s">
        <v>71</v>
      </c>
      <c r="J2267">
        <v>9</v>
      </c>
      <c r="K2267">
        <v>1.2</v>
      </c>
      <c r="L2267" s="2">
        <v>1910.3</v>
      </c>
      <c r="M2267">
        <v>2028</v>
      </c>
      <c r="N2267">
        <v>3</v>
      </c>
      <c r="O2267" t="s">
        <v>154</v>
      </c>
      <c r="P2267" s="2">
        <v>2809.26</v>
      </c>
      <c r="Q2267" s="2">
        <v>898.96</v>
      </c>
      <c r="R2267" t="s">
        <v>72</v>
      </c>
      <c r="S2267">
        <v>1</v>
      </c>
      <c r="T2267">
        <v>0</v>
      </c>
      <c r="U2267">
        <f>IF(AND(OR(Dashboard!$D$4="Semua",D2267=Dashboard!$D$4),OR(Dashboard!$H$4="Semua",E2267=Dashboard!$H$4)),1,0)</f>
        <v>1</v>
      </c>
      <c r="V2267">
        <f>IF(U2267=1,IF(COUNTIFS($C$2:C2267,C2267,$U$2:U2267,1)=1,1,0),0)</f>
        <v>0</v>
      </c>
    </row>
    <row r="2268" spans="1:22" x14ac:dyDescent="0.35">
      <c r="A2268">
        <v>12267</v>
      </c>
      <c r="B2268" s="1">
        <v>46828</v>
      </c>
      <c r="C2268">
        <v>1669</v>
      </c>
      <c r="D2268" t="s">
        <v>73</v>
      </c>
      <c r="E2268" t="s">
        <v>74</v>
      </c>
      <c r="F2268">
        <v>1</v>
      </c>
      <c r="G2268" s="2">
        <v>315.61</v>
      </c>
      <c r="H2268">
        <v>0.34</v>
      </c>
      <c r="I2268" t="s">
        <v>71</v>
      </c>
      <c r="J2268">
        <v>4</v>
      </c>
      <c r="K2268">
        <v>3.6</v>
      </c>
      <c r="L2268" s="2">
        <v>208.3</v>
      </c>
      <c r="M2268">
        <v>2028</v>
      </c>
      <c r="N2268">
        <v>3</v>
      </c>
      <c r="O2268" t="s">
        <v>154</v>
      </c>
      <c r="P2268" s="2">
        <v>315.61</v>
      </c>
      <c r="Q2268" s="2">
        <v>107.31</v>
      </c>
      <c r="R2268" t="s">
        <v>72</v>
      </c>
      <c r="S2268">
        <v>1</v>
      </c>
      <c r="T2268">
        <v>0</v>
      </c>
      <c r="U2268">
        <f>IF(AND(OR(Dashboard!$D$4="Semua",D2268=Dashboard!$D$4),OR(Dashboard!$H$4="Semua",E2268=Dashboard!$H$4)),1,0)</f>
        <v>1</v>
      </c>
      <c r="V2268">
        <f>IF(U2268=1,IF(COUNTIFS($C$2:C2268,C2268,$U$2:U2268,1)=1,1,0),0)</f>
        <v>0</v>
      </c>
    </row>
    <row r="2269" spans="1:22" x14ac:dyDescent="0.35">
      <c r="A2269">
        <v>12268</v>
      </c>
      <c r="B2269" s="1">
        <v>46829</v>
      </c>
      <c r="C2269">
        <v>1550</v>
      </c>
      <c r="D2269" t="s">
        <v>67</v>
      </c>
      <c r="E2269" t="s">
        <v>63</v>
      </c>
      <c r="F2269">
        <v>5</v>
      </c>
      <c r="G2269" s="2">
        <v>21.18</v>
      </c>
      <c r="H2269">
        <v>0.17</v>
      </c>
      <c r="I2269" t="s">
        <v>68</v>
      </c>
      <c r="J2269">
        <v>11</v>
      </c>
      <c r="K2269">
        <v>3.5</v>
      </c>
      <c r="L2269" s="2">
        <v>87.9</v>
      </c>
      <c r="M2269">
        <v>2028</v>
      </c>
      <c r="N2269">
        <v>3</v>
      </c>
      <c r="O2269" t="s">
        <v>154</v>
      </c>
      <c r="P2269" s="2">
        <v>105.9</v>
      </c>
      <c r="Q2269" s="2">
        <v>18</v>
      </c>
      <c r="R2269" t="s">
        <v>76</v>
      </c>
      <c r="S2269">
        <v>1</v>
      </c>
      <c r="T2269">
        <v>0</v>
      </c>
      <c r="U2269">
        <f>IF(AND(OR(Dashboard!$D$4="Semua",D2269=Dashboard!$D$4),OR(Dashboard!$H$4="Semua",E2269=Dashboard!$H$4)),1,0)</f>
        <v>1</v>
      </c>
      <c r="V2269">
        <f>IF(U2269=1,IF(COUNTIFS($C$2:C2269,C2269,$U$2:U2269,1)=1,1,0),0)</f>
        <v>0</v>
      </c>
    </row>
    <row r="2270" spans="1:22" x14ac:dyDescent="0.35">
      <c r="A2270">
        <v>12269</v>
      </c>
      <c r="B2270" s="1">
        <v>46830</v>
      </c>
      <c r="C2270">
        <v>1926</v>
      </c>
      <c r="D2270" t="s">
        <v>67</v>
      </c>
      <c r="E2270" t="s">
        <v>78</v>
      </c>
      <c r="F2270">
        <v>1</v>
      </c>
      <c r="G2270" s="2">
        <v>409.01</v>
      </c>
      <c r="H2270">
        <v>0.08</v>
      </c>
      <c r="I2270" t="s">
        <v>71</v>
      </c>
      <c r="J2270">
        <v>3</v>
      </c>
      <c r="K2270">
        <v>1.3</v>
      </c>
      <c r="L2270" s="2">
        <v>376.29</v>
      </c>
      <c r="M2270">
        <v>2028</v>
      </c>
      <c r="N2270">
        <v>3</v>
      </c>
      <c r="O2270" t="s">
        <v>154</v>
      </c>
      <c r="P2270" s="2">
        <v>409.01</v>
      </c>
      <c r="Q2270" s="2">
        <v>32.72</v>
      </c>
      <c r="R2270" t="s">
        <v>69</v>
      </c>
      <c r="S2270">
        <v>1</v>
      </c>
      <c r="T2270">
        <v>0</v>
      </c>
      <c r="U2270">
        <f>IF(AND(OR(Dashboard!$D$4="Semua",D2270=Dashboard!$D$4),OR(Dashboard!$H$4="Semua",E2270=Dashboard!$H$4)),1,0)</f>
        <v>1</v>
      </c>
      <c r="V2270">
        <f>IF(U2270=1,IF(COUNTIFS($C$2:C2270,C2270,$U$2:U2270,1)=1,1,0),0)</f>
        <v>1</v>
      </c>
    </row>
    <row r="2271" spans="1:22" x14ac:dyDescent="0.35">
      <c r="A2271">
        <v>12270</v>
      </c>
      <c r="B2271" s="1">
        <v>46831</v>
      </c>
      <c r="C2271">
        <v>1081</v>
      </c>
      <c r="D2271" t="s">
        <v>73</v>
      </c>
      <c r="E2271" t="s">
        <v>78</v>
      </c>
      <c r="F2271">
        <v>2</v>
      </c>
      <c r="G2271" s="2">
        <v>262.86</v>
      </c>
      <c r="H2271">
        <v>7.0000000000000007E-2</v>
      </c>
      <c r="I2271" t="s">
        <v>71</v>
      </c>
      <c r="J2271">
        <v>6</v>
      </c>
      <c r="K2271">
        <v>1.7</v>
      </c>
      <c r="L2271" s="2">
        <v>488.92</v>
      </c>
      <c r="M2271">
        <v>2028</v>
      </c>
      <c r="N2271">
        <v>3</v>
      </c>
      <c r="O2271" t="s">
        <v>154</v>
      </c>
      <c r="P2271" s="2">
        <v>525.72</v>
      </c>
      <c r="Q2271" s="2">
        <v>36.799999999999997</v>
      </c>
      <c r="R2271" t="s">
        <v>69</v>
      </c>
      <c r="S2271">
        <v>1</v>
      </c>
      <c r="T2271">
        <v>0</v>
      </c>
      <c r="U2271">
        <f>IF(AND(OR(Dashboard!$D$4="Semua",D2271=Dashboard!$D$4),OR(Dashboard!$H$4="Semua",E2271=Dashboard!$H$4)),1,0)</f>
        <v>1</v>
      </c>
      <c r="V2271">
        <f>IF(U2271=1,IF(COUNTIFS($C$2:C2271,C2271,$U$2:U2271,1)=1,1,0),0)</f>
        <v>0</v>
      </c>
    </row>
    <row r="2272" spans="1:22" x14ac:dyDescent="0.35">
      <c r="A2272">
        <v>12271</v>
      </c>
      <c r="B2272" s="1">
        <v>46832</v>
      </c>
      <c r="C2272">
        <v>1355</v>
      </c>
      <c r="D2272" t="s">
        <v>73</v>
      </c>
      <c r="E2272" t="s">
        <v>63</v>
      </c>
      <c r="F2272">
        <v>2</v>
      </c>
      <c r="G2272" s="2">
        <v>313.85000000000002</v>
      </c>
      <c r="H2272">
        <v>0.08</v>
      </c>
      <c r="I2272" t="s">
        <v>71</v>
      </c>
      <c r="J2272">
        <v>4</v>
      </c>
      <c r="K2272">
        <v>2.9</v>
      </c>
      <c r="L2272" s="2">
        <v>577.48</v>
      </c>
      <c r="M2272">
        <v>2028</v>
      </c>
      <c r="N2272">
        <v>3</v>
      </c>
      <c r="O2272" t="s">
        <v>154</v>
      </c>
      <c r="P2272" s="2">
        <v>627.70000000000005</v>
      </c>
      <c r="Q2272" s="2">
        <v>50.22</v>
      </c>
      <c r="R2272" t="s">
        <v>69</v>
      </c>
      <c r="S2272">
        <v>1</v>
      </c>
      <c r="T2272">
        <v>0</v>
      </c>
      <c r="U2272">
        <f>IF(AND(OR(Dashboard!$D$4="Semua",D2272=Dashboard!$D$4),OR(Dashboard!$H$4="Semua",E2272=Dashboard!$H$4)),1,0)</f>
        <v>1</v>
      </c>
      <c r="V2272">
        <f>IF(U2272=1,IF(COUNTIFS($C$2:C2272,C2272,$U$2:U2272,1)=1,1,0),0)</f>
        <v>0</v>
      </c>
    </row>
    <row r="2273" spans="1:22" x14ac:dyDescent="0.35">
      <c r="A2273">
        <v>12272</v>
      </c>
      <c r="B2273" s="1">
        <v>46833</v>
      </c>
      <c r="C2273">
        <v>1257</v>
      </c>
      <c r="D2273" t="s">
        <v>62</v>
      </c>
      <c r="E2273" t="s">
        <v>74</v>
      </c>
      <c r="F2273">
        <v>6</v>
      </c>
      <c r="G2273" s="2">
        <v>140.26</v>
      </c>
      <c r="H2273">
        <v>0.25</v>
      </c>
      <c r="I2273" t="s">
        <v>68</v>
      </c>
      <c r="J2273">
        <v>11</v>
      </c>
      <c r="K2273">
        <v>2.8</v>
      </c>
      <c r="L2273" s="2">
        <v>631.16999999999996</v>
      </c>
      <c r="M2273">
        <v>2028</v>
      </c>
      <c r="N2273">
        <v>3</v>
      </c>
      <c r="O2273" t="s">
        <v>154</v>
      </c>
      <c r="P2273" s="2">
        <v>841.56</v>
      </c>
      <c r="Q2273" s="2">
        <v>210.39</v>
      </c>
      <c r="R2273" t="s">
        <v>77</v>
      </c>
      <c r="S2273">
        <v>1</v>
      </c>
      <c r="T2273">
        <v>0</v>
      </c>
      <c r="U2273">
        <f>IF(AND(OR(Dashboard!$D$4="Semua",D2273=Dashboard!$D$4),OR(Dashboard!$H$4="Semua",E2273=Dashboard!$H$4)),1,0)</f>
        <v>1</v>
      </c>
      <c r="V2273">
        <f>IF(U2273=1,IF(COUNTIFS($C$2:C2273,C2273,$U$2:U2273,1)=1,1,0),0)</f>
        <v>0</v>
      </c>
    </row>
    <row r="2274" spans="1:22" x14ac:dyDescent="0.35">
      <c r="A2274">
        <v>12273</v>
      </c>
      <c r="B2274" s="1">
        <v>46834</v>
      </c>
      <c r="C2274">
        <v>1717</v>
      </c>
      <c r="D2274" t="s">
        <v>62</v>
      </c>
      <c r="E2274" t="s">
        <v>78</v>
      </c>
      <c r="F2274">
        <v>2</v>
      </c>
      <c r="G2274" s="2">
        <v>337.79</v>
      </c>
      <c r="H2274">
        <v>0.01</v>
      </c>
      <c r="I2274" t="s">
        <v>71</v>
      </c>
      <c r="J2274">
        <v>2</v>
      </c>
      <c r="K2274">
        <v>4</v>
      </c>
      <c r="L2274" s="2">
        <v>668.82</v>
      </c>
      <c r="M2274">
        <v>2028</v>
      </c>
      <c r="N2274">
        <v>3</v>
      </c>
      <c r="O2274" t="s">
        <v>154</v>
      </c>
      <c r="P2274" s="2">
        <v>675.58</v>
      </c>
      <c r="Q2274" s="2">
        <v>6.76</v>
      </c>
      <c r="R2274" t="s">
        <v>75</v>
      </c>
      <c r="S2274">
        <v>1</v>
      </c>
      <c r="T2274">
        <v>0</v>
      </c>
      <c r="U2274">
        <f>IF(AND(OR(Dashboard!$D$4="Semua",D2274=Dashboard!$D$4),OR(Dashboard!$H$4="Semua",E2274=Dashboard!$H$4)),1,0)</f>
        <v>1</v>
      </c>
      <c r="V2274">
        <f>IF(U2274=1,IF(COUNTIFS($C$2:C2274,C2274,$U$2:U2274,1)=1,1,0),0)</f>
        <v>0</v>
      </c>
    </row>
    <row r="2275" spans="1:22" x14ac:dyDescent="0.35">
      <c r="A2275">
        <v>12274</v>
      </c>
      <c r="B2275" s="1">
        <v>46835</v>
      </c>
      <c r="C2275">
        <v>1588</v>
      </c>
      <c r="D2275" t="s">
        <v>67</v>
      </c>
      <c r="E2275" t="s">
        <v>78</v>
      </c>
      <c r="F2275">
        <v>2</v>
      </c>
      <c r="G2275" s="2">
        <v>587.79999999999995</v>
      </c>
      <c r="H2275">
        <v>0.02</v>
      </c>
      <c r="I2275" t="s">
        <v>64</v>
      </c>
      <c r="J2275">
        <v>5</v>
      </c>
      <c r="K2275">
        <v>2.5</v>
      </c>
      <c r="L2275" s="2">
        <v>1152.0899999999999</v>
      </c>
      <c r="M2275">
        <v>2028</v>
      </c>
      <c r="N2275">
        <v>3</v>
      </c>
      <c r="O2275" t="s">
        <v>154</v>
      </c>
      <c r="P2275" s="2">
        <v>1175.5999999999999</v>
      </c>
      <c r="Q2275" s="2">
        <v>23.51</v>
      </c>
      <c r="R2275" t="s">
        <v>75</v>
      </c>
      <c r="S2275">
        <v>1</v>
      </c>
      <c r="T2275">
        <v>0</v>
      </c>
      <c r="U2275">
        <f>IF(AND(OR(Dashboard!$D$4="Semua",D2275=Dashboard!$D$4),OR(Dashboard!$H$4="Semua",E2275=Dashboard!$H$4)),1,0)</f>
        <v>1</v>
      </c>
      <c r="V2275">
        <f>IF(U2275=1,IF(COUNTIFS($C$2:C2275,C2275,$U$2:U2275,1)=1,1,0),0)</f>
        <v>1</v>
      </c>
    </row>
    <row r="2276" spans="1:22" x14ac:dyDescent="0.35">
      <c r="A2276">
        <v>12275</v>
      </c>
      <c r="B2276" s="1">
        <v>46836</v>
      </c>
      <c r="C2276">
        <v>1988</v>
      </c>
      <c r="D2276" t="s">
        <v>73</v>
      </c>
      <c r="E2276" t="s">
        <v>70</v>
      </c>
      <c r="F2276">
        <v>5</v>
      </c>
      <c r="G2276" s="2">
        <v>57.97</v>
      </c>
      <c r="H2276">
        <v>0.21</v>
      </c>
      <c r="I2276" t="s">
        <v>64</v>
      </c>
      <c r="J2276">
        <v>4</v>
      </c>
      <c r="K2276">
        <v>3.7</v>
      </c>
      <c r="L2276" s="2">
        <v>228.98</v>
      </c>
      <c r="M2276">
        <v>2028</v>
      </c>
      <c r="N2276">
        <v>3</v>
      </c>
      <c r="O2276" t="s">
        <v>154</v>
      </c>
      <c r="P2276" s="2">
        <v>289.85000000000002</v>
      </c>
      <c r="Q2276" s="2">
        <v>60.87</v>
      </c>
      <c r="R2276" t="s">
        <v>77</v>
      </c>
      <c r="S2276">
        <v>1</v>
      </c>
      <c r="T2276">
        <v>0</v>
      </c>
      <c r="U2276">
        <f>IF(AND(OR(Dashboard!$D$4="Semua",D2276=Dashboard!$D$4),OR(Dashboard!$H$4="Semua",E2276=Dashboard!$H$4)),1,0)</f>
        <v>1</v>
      </c>
      <c r="V2276">
        <f>IF(U2276=1,IF(COUNTIFS($C$2:C2276,C2276,$U$2:U2276,1)=1,1,0),0)</f>
        <v>1</v>
      </c>
    </row>
    <row r="2277" spans="1:22" x14ac:dyDescent="0.35">
      <c r="A2277">
        <v>12276</v>
      </c>
      <c r="B2277" s="1">
        <v>46837</v>
      </c>
      <c r="C2277">
        <v>1523</v>
      </c>
      <c r="D2277" t="s">
        <v>73</v>
      </c>
      <c r="E2277" t="s">
        <v>74</v>
      </c>
      <c r="F2277">
        <v>2</v>
      </c>
      <c r="G2277" s="2">
        <v>181.09</v>
      </c>
      <c r="H2277">
        <v>0.22</v>
      </c>
      <c r="I2277" t="s">
        <v>68</v>
      </c>
      <c r="J2277">
        <v>5</v>
      </c>
      <c r="K2277">
        <v>3.8</v>
      </c>
      <c r="L2277" s="2">
        <v>282.5</v>
      </c>
      <c r="M2277">
        <v>2028</v>
      </c>
      <c r="N2277">
        <v>3</v>
      </c>
      <c r="O2277" t="s">
        <v>154</v>
      </c>
      <c r="P2277" s="2">
        <v>362.18</v>
      </c>
      <c r="Q2277" s="2">
        <v>79.680000000000007</v>
      </c>
      <c r="R2277" t="s">
        <v>77</v>
      </c>
      <c r="S2277">
        <v>1</v>
      </c>
      <c r="T2277">
        <v>0</v>
      </c>
      <c r="U2277">
        <f>IF(AND(OR(Dashboard!$D$4="Semua",D2277=Dashboard!$D$4),OR(Dashboard!$H$4="Semua",E2277=Dashboard!$H$4)),1,0)</f>
        <v>1</v>
      </c>
      <c r="V2277">
        <f>IF(U2277=1,IF(COUNTIFS($C$2:C2277,C2277,$U$2:U2277,1)=1,1,0),0)</f>
        <v>0</v>
      </c>
    </row>
    <row r="2278" spans="1:22" x14ac:dyDescent="0.35">
      <c r="A2278">
        <v>12277</v>
      </c>
      <c r="B2278" s="1">
        <v>46838</v>
      </c>
      <c r="C2278">
        <v>1294</v>
      </c>
      <c r="D2278" t="s">
        <v>67</v>
      </c>
      <c r="E2278" t="s">
        <v>70</v>
      </c>
      <c r="F2278">
        <v>4</v>
      </c>
      <c r="G2278" s="2">
        <v>157.15</v>
      </c>
      <c r="H2278">
        <v>0.23</v>
      </c>
      <c r="I2278" t="s">
        <v>68</v>
      </c>
      <c r="J2278">
        <v>9</v>
      </c>
      <c r="K2278">
        <v>3.6</v>
      </c>
      <c r="L2278" s="2">
        <v>484.02</v>
      </c>
      <c r="M2278">
        <v>2028</v>
      </c>
      <c r="N2278">
        <v>3</v>
      </c>
      <c r="O2278" t="s">
        <v>154</v>
      </c>
      <c r="P2278" s="2">
        <v>628.6</v>
      </c>
      <c r="Q2278" s="2">
        <v>144.58000000000001</v>
      </c>
      <c r="R2278" t="s">
        <v>77</v>
      </c>
      <c r="S2278">
        <v>1</v>
      </c>
      <c r="T2278">
        <v>0</v>
      </c>
      <c r="U2278">
        <f>IF(AND(OR(Dashboard!$D$4="Semua",D2278=Dashboard!$D$4),OR(Dashboard!$H$4="Semua",E2278=Dashboard!$H$4)),1,0)</f>
        <v>1</v>
      </c>
      <c r="V2278">
        <f>IF(U2278=1,IF(COUNTIFS($C$2:C2278,C2278,$U$2:U2278,1)=1,1,0),0)</f>
        <v>0</v>
      </c>
    </row>
    <row r="2279" spans="1:22" x14ac:dyDescent="0.35">
      <c r="A2279">
        <v>12278</v>
      </c>
      <c r="B2279" s="1">
        <v>46839</v>
      </c>
      <c r="C2279">
        <v>1961</v>
      </c>
      <c r="D2279" t="s">
        <v>62</v>
      </c>
      <c r="E2279" t="s">
        <v>63</v>
      </c>
      <c r="F2279">
        <v>4</v>
      </c>
      <c r="G2279" s="2">
        <v>160.4</v>
      </c>
      <c r="H2279">
        <v>0.13</v>
      </c>
      <c r="I2279" t="s">
        <v>71</v>
      </c>
      <c r="J2279">
        <v>4</v>
      </c>
      <c r="K2279">
        <v>3.4</v>
      </c>
      <c r="L2279" s="2">
        <v>558.19000000000005</v>
      </c>
      <c r="M2279">
        <v>2028</v>
      </c>
      <c r="N2279">
        <v>3</v>
      </c>
      <c r="O2279" t="s">
        <v>154</v>
      </c>
      <c r="P2279" s="2">
        <v>641.6</v>
      </c>
      <c r="Q2279" s="2">
        <v>83.41</v>
      </c>
      <c r="R2279" t="s">
        <v>79</v>
      </c>
      <c r="S2279">
        <v>1</v>
      </c>
      <c r="T2279">
        <v>0</v>
      </c>
      <c r="U2279">
        <f>IF(AND(OR(Dashboard!$D$4="Semua",D2279=Dashboard!$D$4),OR(Dashboard!$H$4="Semua",E2279=Dashboard!$H$4)),1,0)</f>
        <v>1</v>
      </c>
      <c r="V2279">
        <f>IF(U2279=1,IF(COUNTIFS($C$2:C2279,C2279,$U$2:U2279,1)=1,1,0),0)</f>
        <v>0</v>
      </c>
    </row>
    <row r="2280" spans="1:22" x14ac:dyDescent="0.35">
      <c r="A2280">
        <v>12279</v>
      </c>
      <c r="B2280" s="1">
        <v>46840</v>
      </c>
      <c r="C2280">
        <v>1223</v>
      </c>
      <c r="D2280" t="s">
        <v>73</v>
      </c>
      <c r="E2280" t="s">
        <v>63</v>
      </c>
      <c r="F2280">
        <v>4</v>
      </c>
      <c r="G2280" s="2">
        <v>236.54</v>
      </c>
      <c r="H2280">
        <v>0.28000000000000003</v>
      </c>
      <c r="I2280" t="s">
        <v>68</v>
      </c>
      <c r="J2280">
        <v>6</v>
      </c>
      <c r="K2280">
        <v>4.2</v>
      </c>
      <c r="L2280" s="2">
        <v>681.24</v>
      </c>
      <c r="M2280">
        <v>2028</v>
      </c>
      <c r="N2280">
        <v>3</v>
      </c>
      <c r="O2280" t="s">
        <v>154</v>
      </c>
      <c r="P2280" s="2">
        <v>946.16</v>
      </c>
      <c r="Q2280" s="2">
        <v>264.92</v>
      </c>
      <c r="R2280" t="s">
        <v>66</v>
      </c>
      <c r="S2280">
        <v>1</v>
      </c>
      <c r="T2280">
        <v>0</v>
      </c>
      <c r="U2280">
        <f>IF(AND(OR(Dashboard!$D$4="Semua",D2280=Dashboard!$D$4),OR(Dashboard!$H$4="Semua",E2280=Dashboard!$H$4)),1,0)</f>
        <v>1</v>
      </c>
      <c r="V2280">
        <f>IF(U2280=1,IF(COUNTIFS($C$2:C2280,C2280,$U$2:U2280,1)=1,1,0),0)</f>
        <v>0</v>
      </c>
    </row>
    <row r="2281" spans="1:22" x14ac:dyDescent="0.35">
      <c r="A2281">
        <v>12280</v>
      </c>
      <c r="B2281" s="1">
        <v>46841</v>
      </c>
      <c r="C2281">
        <v>1524</v>
      </c>
      <c r="D2281" t="s">
        <v>80</v>
      </c>
      <c r="E2281" t="s">
        <v>70</v>
      </c>
      <c r="F2281">
        <v>1</v>
      </c>
      <c r="G2281" s="2">
        <v>493.59</v>
      </c>
      <c r="H2281">
        <v>0.19</v>
      </c>
      <c r="I2281" t="s">
        <v>68</v>
      </c>
      <c r="J2281">
        <v>4</v>
      </c>
      <c r="K2281">
        <v>3.6</v>
      </c>
      <c r="L2281" s="2">
        <v>399.81</v>
      </c>
      <c r="M2281">
        <v>2028</v>
      </c>
      <c r="N2281">
        <v>3</v>
      </c>
      <c r="O2281" t="s">
        <v>154</v>
      </c>
      <c r="P2281" s="2">
        <v>493.59</v>
      </c>
      <c r="Q2281" s="2">
        <v>93.78</v>
      </c>
      <c r="R2281" t="s">
        <v>76</v>
      </c>
      <c r="S2281">
        <v>1</v>
      </c>
      <c r="T2281">
        <v>0</v>
      </c>
      <c r="U2281">
        <f>IF(AND(OR(Dashboard!$D$4="Semua",D2281=Dashboard!$D$4),OR(Dashboard!$H$4="Semua",E2281=Dashboard!$H$4)),1,0)</f>
        <v>1</v>
      </c>
      <c r="V2281">
        <f>IF(U2281=1,IF(COUNTIFS($C$2:C2281,C2281,$U$2:U2281,1)=1,1,0),0)</f>
        <v>0</v>
      </c>
    </row>
    <row r="2282" spans="1:22" x14ac:dyDescent="0.35">
      <c r="A2282">
        <v>12281</v>
      </c>
      <c r="B2282" s="1">
        <v>46842</v>
      </c>
      <c r="C2282">
        <v>1045</v>
      </c>
      <c r="D2282" t="s">
        <v>73</v>
      </c>
      <c r="E2282" t="s">
        <v>74</v>
      </c>
      <c r="F2282">
        <v>6</v>
      </c>
      <c r="G2282" s="2">
        <v>549.02</v>
      </c>
      <c r="H2282">
        <v>0.04</v>
      </c>
      <c r="I2282" t="s">
        <v>68</v>
      </c>
      <c r="J2282">
        <v>1</v>
      </c>
      <c r="K2282">
        <v>4.3</v>
      </c>
      <c r="L2282" s="2">
        <v>3162.36</v>
      </c>
      <c r="M2282">
        <v>2028</v>
      </c>
      <c r="N2282">
        <v>3</v>
      </c>
      <c r="O2282" t="s">
        <v>154</v>
      </c>
      <c r="P2282" s="2">
        <v>3294.12</v>
      </c>
      <c r="Q2282" s="2">
        <v>131.76</v>
      </c>
      <c r="R2282" t="s">
        <v>75</v>
      </c>
      <c r="S2282">
        <v>1</v>
      </c>
      <c r="T2282">
        <v>0</v>
      </c>
      <c r="U2282">
        <f>IF(AND(OR(Dashboard!$D$4="Semua",D2282=Dashboard!$D$4),OR(Dashboard!$H$4="Semua",E2282=Dashboard!$H$4)),1,0)</f>
        <v>1</v>
      </c>
      <c r="V2282">
        <f>IF(U2282=1,IF(COUNTIFS($C$2:C2282,C2282,$U$2:U2282,1)=1,1,0),0)</f>
        <v>0</v>
      </c>
    </row>
    <row r="2283" spans="1:22" x14ac:dyDescent="0.35">
      <c r="A2283">
        <v>12282</v>
      </c>
      <c r="B2283" s="1">
        <v>46843</v>
      </c>
      <c r="C2283">
        <v>1666</v>
      </c>
      <c r="D2283" t="s">
        <v>62</v>
      </c>
      <c r="E2283" t="s">
        <v>78</v>
      </c>
      <c r="F2283">
        <v>6</v>
      </c>
      <c r="G2283" s="2">
        <v>133.30000000000001</v>
      </c>
      <c r="H2283">
        <v>0.28000000000000003</v>
      </c>
      <c r="I2283" t="s">
        <v>64</v>
      </c>
      <c r="J2283">
        <v>2</v>
      </c>
      <c r="K2283">
        <v>3.5</v>
      </c>
      <c r="L2283" s="2">
        <v>575.86</v>
      </c>
      <c r="M2283">
        <v>2028</v>
      </c>
      <c r="N2283">
        <v>3</v>
      </c>
      <c r="O2283" t="s">
        <v>154</v>
      </c>
      <c r="P2283" s="2">
        <v>799.8</v>
      </c>
      <c r="Q2283" s="2">
        <v>223.94</v>
      </c>
      <c r="R2283" t="s">
        <v>66</v>
      </c>
      <c r="S2283">
        <v>1</v>
      </c>
      <c r="T2283">
        <v>0</v>
      </c>
      <c r="U2283">
        <f>IF(AND(OR(Dashboard!$D$4="Semua",D2283=Dashboard!$D$4),OR(Dashboard!$H$4="Semua",E2283=Dashboard!$H$4)),1,0)</f>
        <v>1</v>
      </c>
      <c r="V2283">
        <f>IF(U2283=1,IF(COUNTIFS($C$2:C2283,C2283,$U$2:U2283,1)=1,1,0),0)</f>
        <v>0</v>
      </c>
    </row>
    <row r="2284" spans="1:22" x14ac:dyDescent="0.35">
      <c r="A2284">
        <v>12283</v>
      </c>
      <c r="B2284" s="1">
        <v>46844</v>
      </c>
      <c r="C2284">
        <v>1112</v>
      </c>
      <c r="D2284" t="s">
        <v>67</v>
      </c>
      <c r="E2284" t="s">
        <v>63</v>
      </c>
      <c r="F2284">
        <v>3</v>
      </c>
      <c r="G2284" s="2">
        <v>332.63</v>
      </c>
      <c r="H2284">
        <v>0.33</v>
      </c>
      <c r="I2284" t="s">
        <v>71</v>
      </c>
      <c r="J2284">
        <v>6</v>
      </c>
      <c r="K2284">
        <v>1.6</v>
      </c>
      <c r="L2284" s="2">
        <v>668.59</v>
      </c>
      <c r="M2284">
        <v>2028</v>
      </c>
      <c r="N2284">
        <v>4</v>
      </c>
      <c r="O2284" t="s">
        <v>155</v>
      </c>
      <c r="P2284" s="2">
        <v>997.89</v>
      </c>
      <c r="Q2284" s="2">
        <v>329.3</v>
      </c>
      <c r="R2284" t="s">
        <v>72</v>
      </c>
      <c r="S2284">
        <v>1</v>
      </c>
      <c r="T2284">
        <v>0</v>
      </c>
      <c r="U2284">
        <f>IF(AND(OR(Dashboard!$D$4="Semua",D2284=Dashboard!$D$4),OR(Dashboard!$H$4="Semua",E2284=Dashboard!$H$4)),1,0)</f>
        <v>1</v>
      </c>
      <c r="V2284">
        <f>IF(U2284=1,IF(COUNTIFS($C$2:C2284,C2284,$U$2:U2284,1)=1,1,0),0)</f>
        <v>0</v>
      </c>
    </row>
    <row r="2285" spans="1:22" x14ac:dyDescent="0.35">
      <c r="A2285">
        <v>12284</v>
      </c>
      <c r="B2285" s="1">
        <v>46845</v>
      </c>
      <c r="C2285">
        <v>1232</v>
      </c>
      <c r="D2285" t="s">
        <v>80</v>
      </c>
      <c r="E2285" t="s">
        <v>74</v>
      </c>
      <c r="F2285">
        <v>5</v>
      </c>
      <c r="G2285" s="2">
        <v>387.59</v>
      </c>
      <c r="H2285">
        <v>0.02</v>
      </c>
      <c r="I2285" t="s">
        <v>71</v>
      </c>
      <c r="J2285">
        <v>8</v>
      </c>
      <c r="K2285">
        <v>2.2000000000000002</v>
      </c>
      <c r="L2285" s="2">
        <v>1899.19</v>
      </c>
      <c r="M2285">
        <v>2028</v>
      </c>
      <c r="N2285">
        <v>4</v>
      </c>
      <c r="O2285" t="s">
        <v>155</v>
      </c>
      <c r="P2285" s="2">
        <v>1937.95</v>
      </c>
      <c r="Q2285" s="2">
        <v>38.76</v>
      </c>
      <c r="R2285" t="s">
        <v>75</v>
      </c>
      <c r="S2285">
        <v>1</v>
      </c>
      <c r="T2285">
        <v>0</v>
      </c>
      <c r="U2285">
        <f>IF(AND(OR(Dashboard!$D$4="Semua",D2285=Dashboard!$D$4),OR(Dashboard!$H$4="Semua",E2285=Dashboard!$H$4)),1,0)</f>
        <v>1</v>
      </c>
      <c r="V2285">
        <f>IF(U2285=1,IF(COUNTIFS($C$2:C2285,C2285,$U$2:U2285,1)=1,1,0),0)</f>
        <v>0</v>
      </c>
    </row>
    <row r="2286" spans="1:22" x14ac:dyDescent="0.35">
      <c r="A2286">
        <v>12285</v>
      </c>
      <c r="B2286" s="1">
        <v>46846</v>
      </c>
      <c r="C2286">
        <v>1016</v>
      </c>
      <c r="D2286" t="s">
        <v>73</v>
      </c>
      <c r="E2286" t="s">
        <v>74</v>
      </c>
      <c r="F2286">
        <v>4</v>
      </c>
      <c r="G2286" s="2">
        <v>320.27</v>
      </c>
      <c r="H2286">
        <v>0.14000000000000001</v>
      </c>
      <c r="I2286" t="s">
        <v>71</v>
      </c>
      <c r="J2286">
        <v>9</v>
      </c>
      <c r="K2286">
        <v>2.2999999999999998</v>
      </c>
      <c r="L2286" s="2">
        <v>1101.73</v>
      </c>
      <c r="M2286">
        <v>2028</v>
      </c>
      <c r="N2286">
        <v>4</v>
      </c>
      <c r="O2286" t="s">
        <v>155</v>
      </c>
      <c r="P2286" s="2">
        <v>1281.08</v>
      </c>
      <c r="Q2286" s="2">
        <v>179.35</v>
      </c>
      <c r="R2286" t="s">
        <v>79</v>
      </c>
      <c r="S2286">
        <v>1</v>
      </c>
      <c r="T2286">
        <v>0</v>
      </c>
      <c r="U2286">
        <f>IF(AND(OR(Dashboard!$D$4="Semua",D2286=Dashboard!$D$4),OR(Dashboard!$H$4="Semua",E2286=Dashboard!$H$4)),1,0)</f>
        <v>1</v>
      </c>
      <c r="V2286">
        <f>IF(U2286=1,IF(COUNTIFS($C$2:C2286,C2286,$U$2:U2286,1)=1,1,0),0)</f>
        <v>0</v>
      </c>
    </row>
    <row r="2287" spans="1:22" x14ac:dyDescent="0.35">
      <c r="A2287">
        <v>12286</v>
      </c>
      <c r="B2287" s="1">
        <v>46847</v>
      </c>
      <c r="C2287">
        <v>1359</v>
      </c>
      <c r="D2287" t="s">
        <v>67</v>
      </c>
      <c r="E2287" t="s">
        <v>63</v>
      </c>
      <c r="F2287">
        <v>4</v>
      </c>
      <c r="G2287" s="2">
        <v>268.93</v>
      </c>
      <c r="H2287">
        <v>0.17</v>
      </c>
      <c r="I2287" t="s">
        <v>71</v>
      </c>
      <c r="J2287">
        <v>4</v>
      </c>
      <c r="K2287">
        <v>1.4</v>
      </c>
      <c r="L2287" s="2">
        <v>892.85</v>
      </c>
      <c r="M2287">
        <v>2028</v>
      </c>
      <c r="N2287">
        <v>4</v>
      </c>
      <c r="O2287" t="s">
        <v>155</v>
      </c>
      <c r="P2287" s="2">
        <v>1075.72</v>
      </c>
      <c r="Q2287" s="2">
        <v>182.87</v>
      </c>
      <c r="R2287" t="s">
        <v>76</v>
      </c>
      <c r="S2287">
        <v>1</v>
      </c>
      <c r="T2287">
        <v>0</v>
      </c>
      <c r="U2287">
        <f>IF(AND(OR(Dashboard!$D$4="Semua",D2287=Dashboard!$D$4),OR(Dashboard!$H$4="Semua",E2287=Dashboard!$H$4)),1,0)</f>
        <v>1</v>
      </c>
      <c r="V2287">
        <f>IF(U2287=1,IF(COUNTIFS($C$2:C2287,C2287,$U$2:U2287,1)=1,1,0),0)</f>
        <v>0</v>
      </c>
    </row>
    <row r="2288" spans="1:22" x14ac:dyDescent="0.35">
      <c r="A2288">
        <v>12287</v>
      </c>
      <c r="B2288" s="1">
        <v>46848</v>
      </c>
      <c r="C2288">
        <v>1222</v>
      </c>
      <c r="D2288" t="s">
        <v>73</v>
      </c>
      <c r="E2288" t="s">
        <v>63</v>
      </c>
      <c r="F2288">
        <v>2</v>
      </c>
      <c r="G2288" s="2">
        <v>127.31</v>
      </c>
      <c r="H2288">
        <v>0.05</v>
      </c>
      <c r="I2288" t="s">
        <v>68</v>
      </c>
      <c r="J2288">
        <v>6</v>
      </c>
      <c r="K2288">
        <v>3.8</v>
      </c>
      <c r="L2288" s="2">
        <v>241.89</v>
      </c>
      <c r="M2288">
        <v>2028</v>
      </c>
      <c r="N2288">
        <v>4</v>
      </c>
      <c r="O2288" t="s">
        <v>155</v>
      </c>
      <c r="P2288" s="2">
        <v>254.62</v>
      </c>
      <c r="Q2288" s="2">
        <v>12.73</v>
      </c>
      <c r="R2288" t="s">
        <v>75</v>
      </c>
      <c r="S2288">
        <v>1</v>
      </c>
      <c r="T2288">
        <v>0</v>
      </c>
      <c r="U2288">
        <f>IF(AND(OR(Dashboard!$D$4="Semua",D2288=Dashboard!$D$4),OR(Dashboard!$H$4="Semua",E2288=Dashboard!$H$4)),1,0)</f>
        <v>1</v>
      </c>
      <c r="V2288">
        <f>IF(U2288=1,IF(COUNTIFS($C$2:C2288,C2288,$U$2:U2288,1)=1,1,0),0)</f>
        <v>0</v>
      </c>
    </row>
    <row r="2289" spans="1:22" x14ac:dyDescent="0.35">
      <c r="A2289">
        <v>12288</v>
      </c>
      <c r="B2289" s="1">
        <v>46849</v>
      </c>
      <c r="C2289">
        <v>1865</v>
      </c>
      <c r="D2289" t="s">
        <v>73</v>
      </c>
      <c r="E2289" t="s">
        <v>74</v>
      </c>
      <c r="F2289">
        <v>4</v>
      </c>
      <c r="G2289" s="2">
        <v>300.61</v>
      </c>
      <c r="H2289">
        <v>0.3</v>
      </c>
      <c r="I2289" t="s">
        <v>71</v>
      </c>
      <c r="J2289">
        <v>3</v>
      </c>
      <c r="K2289">
        <v>3.4</v>
      </c>
      <c r="L2289" s="2">
        <v>841.71</v>
      </c>
      <c r="M2289">
        <v>2028</v>
      </c>
      <c r="N2289">
        <v>4</v>
      </c>
      <c r="O2289" t="s">
        <v>155</v>
      </c>
      <c r="P2289" s="2">
        <v>1202.44</v>
      </c>
      <c r="Q2289" s="2">
        <v>360.73</v>
      </c>
      <c r="R2289" t="s">
        <v>66</v>
      </c>
      <c r="S2289">
        <v>1</v>
      </c>
      <c r="T2289">
        <v>0</v>
      </c>
      <c r="U2289">
        <f>IF(AND(OR(Dashboard!$D$4="Semua",D2289=Dashboard!$D$4),OR(Dashboard!$H$4="Semua",E2289=Dashboard!$H$4)),1,0)</f>
        <v>1</v>
      </c>
      <c r="V2289">
        <f>IF(U2289=1,IF(COUNTIFS($C$2:C2289,C2289,$U$2:U2289,1)=1,1,0),0)</f>
        <v>0</v>
      </c>
    </row>
    <row r="2290" spans="1:22" x14ac:dyDescent="0.35">
      <c r="A2290">
        <v>12289</v>
      </c>
      <c r="B2290" s="1">
        <v>46850</v>
      </c>
      <c r="C2290">
        <v>1699</v>
      </c>
      <c r="D2290" t="s">
        <v>62</v>
      </c>
      <c r="E2290" t="s">
        <v>78</v>
      </c>
      <c r="F2290">
        <v>2</v>
      </c>
      <c r="G2290" s="2">
        <v>249.71</v>
      </c>
      <c r="H2290">
        <v>0.1</v>
      </c>
      <c r="I2290" t="s">
        <v>68</v>
      </c>
      <c r="J2290">
        <v>9</v>
      </c>
      <c r="K2290">
        <v>3.4</v>
      </c>
      <c r="L2290" s="2">
        <v>449.48</v>
      </c>
      <c r="M2290">
        <v>2028</v>
      </c>
      <c r="N2290">
        <v>4</v>
      </c>
      <c r="O2290" t="s">
        <v>155</v>
      </c>
      <c r="P2290" s="2">
        <v>499.42</v>
      </c>
      <c r="Q2290" s="2">
        <v>49.94</v>
      </c>
      <c r="R2290" t="s">
        <v>69</v>
      </c>
      <c r="S2290">
        <v>1</v>
      </c>
      <c r="T2290">
        <v>0</v>
      </c>
      <c r="U2290">
        <f>IF(AND(OR(Dashboard!$D$4="Semua",D2290=Dashboard!$D$4),OR(Dashboard!$H$4="Semua",E2290=Dashboard!$H$4)),1,0)</f>
        <v>1</v>
      </c>
      <c r="V2290">
        <f>IF(U2290=1,IF(COUNTIFS($C$2:C2290,C2290,$U$2:U2290,1)=1,1,0),0)</f>
        <v>0</v>
      </c>
    </row>
    <row r="2291" spans="1:22" x14ac:dyDescent="0.35">
      <c r="A2291">
        <v>12290</v>
      </c>
      <c r="B2291" s="1">
        <v>46851</v>
      </c>
      <c r="C2291">
        <v>1447</v>
      </c>
      <c r="D2291" t="s">
        <v>62</v>
      </c>
      <c r="E2291" t="s">
        <v>70</v>
      </c>
      <c r="F2291">
        <v>2</v>
      </c>
      <c r="G2291" s="2">
        <v>480.4</v>
      </c>
      <c r="H2291">
        <v>0.27</v>
      </c>
      <c r="I2291" t="s">
        <v>71</v>
      </c>
      <c r="J2291">
        <v>8</v>
      </c>
      <c r="K2291">
        <v>2.9</v>
      </c>
      <c r="L2291" s="2">
        <v>701.38</v>
      </c>
      <c r="M2291">
        <v>2028</v>
      </c>
      <c r="N2291">
        <v>4</v>
      </c>
      <c r="O2291" t="s">
        <v>155</v>
      </c>
      <c r="P2291" s="2">
        <v>960.8</v>
      </c>
      <c r="Q2291" s="2">
        <v>259.42</v>
      </c>
      <c r="R2291" t="s">
        <v>66</v>
      </c>
      <c r="S2291">
        <v>1</v>
      </c>
      <c r="T2291">
        <v>0</v>
      </c>
      <c r="U2291">
        <f>IF(AND(OR(Dashboard!$D$4="Semua",D2291=Dashboard!$D$4),OR(Dashboard!$H$4="Semua",E2291=Dashboard!$H$4)),1,0)</f>
        <v>1</v>
      </c>
      <c r="V2291">
        <f>IF(U2291=1,IF(COUNTIFS($C$2:C2291,C2291,$U$2:U2291,1)=1,1,0),0)</f>
        <v>0</v>
      </c>
    </row>
    <row r="2292" spans="1:22" x14ac:dyDescent="0.35">
      <c r="A2292">
        <v>12291</v>
      </c>
      <c r="B2292" s="1">
        <v>46852</v>
      </c>
      <c r="C2292">
        <v>1855</v>
      </c>
      <c r="D2292" t="s">
        <v>62</v>
      </c>
      <c r="E2292" t="s">
        <v>63</v>
      </c>
      <c r="F2292">
        <v>3</v>
      </c>
      <c r="G2292" s="2">
        <v>461.71</v>
      </c>
      <c r="H2292">
        <v>0.23</v>
      </c>
      <c r="I2292" t="s">
        <v>68</v>
      </c>
      <c r="J2292">
        <v>1</v>
      </c>
      <c r="K2292">
        <v>3.2</v>
      </c>
      <c r="L2292" s="2">
        <v>1066.55</v>
      </c>
      <c r="M2292">
        <v>2028</v>
      </c>
      <c r="N2292">
        <v>4</v>
      </c>
      <c r="O2292" t="s">
        <v>155</v>
      </c>
      <c r="P2292" s="2">
        <v>1385.13</v>
      </c>
      <c r="Q2292" s="2">
        <v>318.58</v>
      </c>
      <c r="R2292" t="s">
        <v>77</v>
      </c>
      <c r="S2292">
        <v>1</v>
      </c>
      <c r="T2292">
        <v>0</v>
      </c>
      <c r="U2292">
        <f>IF(AND(OR(Dashboard!$D$4="Semua",D2292=Dashboard!$D$4),OR(Dashboard!$H$4="Semua",E2292=Dashboard!$H$4)),1,0)</f>
        <v>1</v>
      </c>
      <c r="V2292">
        <f>IF(U2292=1,IF(COUNTIFS($C$2:C2292,C2292,$U$2:U2292,1)=1,1,0),0)</f>
        <v>0</v>
      </c>
    </row>
    <row r="2293" spans="1:22" x14ac:dyDescent="0.35">
      <c r="A2293">
        <v>12292</v>
      </c>
      <c r="B2293" s="1">
        <v>46853</v>
      </c>
      <c r="C2293">
        <v>1364</v>
      </c>
      <c r="D2293" t="s">
        <v>67</v>
      </c>
      <c r="E2293" t="s">
        <v>70</v>
      </c>
      <c r="F2293">
        <v>1</v>
      </c>
      <c r="G2293" s="2">
        <v>93.39</v>
      </c>
      <c r="H2293">
        <v>0.21</v>
      </c>
      <c r="I2293" t="s">
        <v>71</v>
      </c>
      <c r="J2293">
        <v>2</v>
      </c>
      <c r="K2293">
        <v>1</v>
      </c>
      <c r="L2293" s="2">
        <v>73.78</v>
      </c>
      <c r="M2293">
        <v>2028</v>
      </c>
      <c r="N2293">
        <v>4</v>
      </c>
      <c r="O2293" t="s">
        <v>155</v>
      </c>
      <c r="P2293" s="2">
        <v>93.39</v>
      </c>
      <c r="Q2293" s="2">
        <v>19.61</v>
      </c>
      <c r="R2293" t="s">
        <v>77</v>
      </c>
      <c r="S2293">
        <v>1</v>
      </c>
      <c r="T2293">
        <v>0</v>
      </c>
      <c r="U2293">
        <f>IF(AND(OR(Dashboard!$D$4="Semua",D2293=Dashboard!$D$4),OR(Dashboard!$H$4="Semua",E2293=Dashboard!$H$4)),1,0)</f>
        <v>1</v>
      </c>
      <c r="V2293">
        <f>IF(U2293=1,IF(COUNTIFS($C$2:C2293,C2293,$U$2:U2293,1)=1,1,0),0)</f>
        <v>0</v>
      </c>
    </row>
    <row r="2294" spans="1:22" x14ac:dyDescent="0.35">
      <c r="A2294">
        <v>12293</v>
      </c>
      <c r="B2294" s="1">
        <v>46854</v>
      </c>
      <c r="C2294">
        <v>1674</v>
      </c>
      <c r="D2294" t="s">
        <v>80</v>
      </c>
      <c r="E2294" t="s">
        <v>74</v>
      </c>
      <c r="F2294">
        <v>2</v>
      </c>
      <c r="G2294" s="2">
        <v>66.78</v>
      </c>
      <c r="H2294">
        <v>7.0000000000000007E-2</v>
      </c>
      <c r="I2294" t="s">
        <v>71</v>
      </c>
      <c r="J2294">
        <v>10</v>
      </c>
      <c r="K2294">
        <v>1.4</v>
      </c>
      <c r="L2294" s="2">
        <v>124.21</v>
      </c>
      <c r="M2294">
        <v>2028</v>
      </c>
      <c r="N2294">
        <v>4</v>
      </c>
      <c r="O2294" t="s">
        <v>155</v>
      </c>
      <c r="P2294" s="2">
        <v>133.56</v>
      </c>
      <c r="Q2294" s="2">
        <v>9.35</v>
      </c>
      <c r="R2294" t="s">
        <v>69</v>
      </c>
      <c r="S2294">
        <v>1</v>
      </c>
      <c r="T2294">
        <v>0</v>
      </c>
      <c r="U2294">
        <f>IF(AND(OR(Dashboard!$D$4="Semua",D2294=Dashboard!$D$4),OR(Dashboard!$H$4="Semua",E2294=Dashboard!$H$4)),1,0)</f>
        <v>1</v>
      </c>
      <c r="V2294">
        <f>IF(U2294=1,IF(COUNTIFS($C$2:C2294,C2294,$U$2:U2294,1)=1,1,0),0)</f>
        <v>0</v>
      </c>
    </row>
    <row r="2295" spans="1:22" x14ac:dyDescent="0.35">
      <c r="A2295">
        <v>12294</v>
      </c>
      <c r="B2295" s="1">
        <v>46855</v>
      </c>
      <c r="C2295">
        <v>1325</v>
      </c>
      <c r="D2295" t="s">
        <v>73</v>
      </c>
      <c r="E2295" t="s">
        <v>70</v>
      </c>
      <c r="F2295">
        <v>2</v>
      </c>
      <c r="G2295" s="2">
        <v>546.27</v>
      </c>
      <c r="H2295">
        <v>0.08</v>
      </c>
      <c r="I2295" t="s">
        <v>68</v>
      </c>
      <c r="J2295">
        <v>9</v>
      </c>
      <c r="K2295">
        <v>3.7</v>
      </c>
      <c r="L2295" s="2">
        <v>1005.14</v>
      </c>
      <c r="M2295">
        <v>2028</v>
      </c>
      <c r="N2295">
        <v>4</v>
      </c>
      <c r="O2295" t="s">
        <v>155</v>
      </c>
      <c r="P2295" s="2">
        <v>1092.54</v>
      </c>
      <c r="Q2295" s="2">
        <v>87.4</v>
      </c>
      <c r="R2295" t="s">
        <v>69</v>
      </c>
      <c r="S2295">
        <v>1</v>
      </c>
      <c r="T2295">
        <v>0</v>
      </c>
      <c r="U2295">
        <f>IF(AND(OR(Dashboard!$D$4="Semua",D2295=Dashboard!$D$4),OR(Dashboard!$H$4="Semua",E2295=Dashboard!$H$4)),1,0)</f>
        <v>1</v>
      </c>
      <c r="V2295">
        <f>IF(U2295=1,IF(COUNTIFS($C$2:C2295,C2295,$U$2:U2295,1)=1,1,0),0)</f>
        <v>0</v>
      </c>
    </row>
    <row r="2296" spans="1:22" x14ac:dyDescent="0.35">
      <c r="A2296">
        <v>12295</v>
      </c>
      <c r="B2296" s="1">
        <v>46856</v>
      </c>
      <c r="C2296">
        <v>1466</v>
      </c>
      <c r="D2296" t="s">
        <v>73</v>
      </c>
      <c r="E2296" t="s">
        <v>78</v>
      </c>
      <c r="F2296">
        <v>6</v>
      </c>
      <c r="G2296" s="2">
        <v>328.27</v>
      </c>
      <c r="H2296">
        <v>0.02</v>
      </c>
      <c r="I2296" t="s">
        <v>68</v>
      </c>
      <c r="J2296">
        <v>10</v>
      </c>
      <c r="K2296">
        <v>2</v>
      </c>
      <c r="L2296" s="2">
        <v>1930.23</v>
      </c>
      <c r="M2296">
        <v>2028</v>
      </c>
      <c r="N2296">
        <v>4</v>
      </c>
      <c r="O2296" t="s">
        <v>155</v>
      </c>
      <c r="P2296" s="2">
        <v>1969.62</v>
      </c>
      <c r="Q2296" s="2">
        <v>39.39</v>
      </c>
      <c r="R2296" t="s">
        <v>75</v>
      </c>
      <c r="S2296">
        <v>1</v>
      </c>
      <c r="T2296">
        <v>0</v>
      </c>
      <c r="U2296">
        <f>IF(AND(OR(Dashboard!$D$4="Semua",D2296=Dashboard!$D$4),OR(Dashboard!$H$4="Semua",E2296=Dashboard!$H$4)),1,0)</f>
        <v>1</v>
      </c>
      <c r="V2296">
        <f>IF(U2296=1,IF(COUNTIFS($C$2:C2296,C2296,$U$2:U2296,1)=1,1,0),0)</f>
        <v>0</v>
      </c>
    </row>
    <row r="2297" spans="1:22" x14ac:dyDescent="0.35">
      <c r="A2297">
        <v>12296</v>
      </c>
      <c r="B2297" s="1">
        <v>46857</v>
      </c>
      <c r="C2297">
        <v>1413</v>
      </c>
      <c r="D2297" t="s">
        <v>73</v>
      </c>
      <c r="E2297" t="s">
        <v>74</v>
      </c>
      <c r="F2297">
        <v>3</v>
      </c>
      <c r="G2297" s="2">
        <v>516.80999999999995</v>
      </c>
      <c r="H2297">
        <v>0.08</v>
      </c>
      <c r="I2297" t="s">
        <v>68</v>
      </c>
      <c r="J2297">
        <v>3</v>
      </c>
      <c r="K2297">
        <v>1.4</v>
      </c>
      <c r="L2297" s="2">
        <v>1426.4</v>
      </c>
      <c r="M2297">
        <v>2028</v>
      </c>
      <c r="N2297">
        <v>4</v>
      </c>
      <c r="O2297" t="s">
        <v>155</v>
      </c>
      <c r="P2297" s="2">
        <v>1550.43</v>
      </c>
      <c r="Q2297" s="2">
        <v>124.03</v>
      </c>
      <c r="R2297" t="s">
        <v>69</v>
      </c>
      <c r="S2297">
        <v>1</v>
      </c>
      <c r="T2297">
        <v>0</v>
      </c>
      <c r="U2297">
        <f>IF(AND(OR(Dashboard!$D$4="Semua",D2297=Dashboard!$D$4),OR(Dashboard!$H$4="Semua",E2297=Dashboard!$H$4)),1,0)</f>
        <v>1</v>
      </c>
      <c r="V2297">
        <f>IF(U2297=1,IF(COUNTIFS($C$2:C2297,C2297,$U$2:U2297,1)=1,1,0),0)</f>
        <v>0</v>
      </c>
    </row>
    <row r="2298" spans="1:22" x14ac:dyDescent="0.35">
      <c r="A2298">
        <v>12297</v>
      </c>
      <c r="B2298" s="1">
        <v>46858</v>
      </c>
      <c r="C2298">
        <v>1454</v>
      </c>
      <c r="D2298" t="s">
        <v>67</v>
      </c>
      <c r="E2298" t="s">
        <v>78</v>
      </c>
      <c r="F2298">
        <v>2</v>
      </c>
      <c r="G2298" s="2">
        <v>49.02</v>
      </c>
      <c r="H2298">
        <v>0.12</v>
      </c>
      <c r="I2298" t="s">
        <v>71</v>
      </c>
      <c r="J2298">
        <v>3</v>
      </c>
      <c r="K2298">
        <v>2.2999999999999998</v>
      </c>
      <c r="L2298" s="2">
        <v>86.28</v>
      </c>
      <c r="M2298">
        <v>2028</v>
      </c>
      <c r="N2298">
        <v>4</v>
      </c>
      <c r="O2298" t="s">
        <v>155</v>
      </c>
      <c r="P2298" s="2">
        <v>98.04</v>
      </c>
      <c r="Q2298" s="2">
        <v>11.76</v>
      </c>
      <c r="R2298" t="s">
        <v>79</v>
      </c>
      <c r="S2298">
        <v>1</v>
      </c>
      <c r="T2298">
        <v>0</v>
      </c>
      <c r="U2298">
        <f>IF(AND(OR(Dashboard!$D$4="Semua",D2298=Dashboard!$D$4),OR(Dashboard!$H$4="Semua",E2298=Dashboard!$H$4)),1,0)</f>
        <v>1</v>
      </c>
      <c r="V2298">
        <f>IF(U2298=1,IF(COUNTIFS($C$2:C2298,C2298,$U$2:U2298,1)=1,1,0),0)</f>
        <v>0</v>
      </c>
    </row>
    <row r="2299" spans="1:22" x14ac:dyDescent="0.35">
      <c r="A2299">
        <v>12298</v>
      </c>
      <c r="B2299" s="1">
        <v>46859</v>
      </c>
      <c r="C2299">
        <v>1585</v>
      </c>
      <c r="D2299" t="s">
        <v>67</v>
      </c>
      <c r="E2299" t="s">
        <v>74</v>
      </c>
      <c r="F2299">
        <v>5</v>
      </c>
      <c r="G2299" s="2">
        <v>323.01</v>
      </c>
      <c r="H2299">
        <v>0.28999999999999998</v>
      </c>
      <c r="I2299" t="s">
        <v>68</v>
      </c>
      <c r="J2299">
        <v>10</v>
      </c>
      <c r="K2299">
        <v>2</v>
      </c>
      <c r="L2299" s="2">
        <v>1146.69</v>
      </c>
      <c r="M2299">
        <v>2028</v>
      </c>
      <c r="N2299">
        <v>4</v>
      </c>
      <c r="O2299" t="s">
        <v>155</v>
      </c>
      <c r="P2299" s="2">
        <v>1615.05</v>
      </c>
      <c r="Q2299" s="2">
        <v>468.36</v>
      </c>
      <c r="R2299" t="s">
        <v>66</v>
      </c>
      <c r="S2299">
        <v>1</v>
      </c>
      <c r="T2299">
        <v>0</v>
      </c>
      <c r="U2299">
        <f>IF(AND(OR(Dashboard!$D$4="Semua",D2299=Dashboard!$D$4),OR(Dashboard!$H$4="Semua",E2299=Dashboard!$H$4)),1,0)</f>
        <v>1</v>
      </c>
      <c r="V2299">
        <f>IF(U2299=1,IF(COUNTIFS($C$2:C2299,C2299,$U$2:U2299,1)=1,1,0),0)</f>
        <v>1</v>
      </c>
    </row>
    <row r="2300" spans="1:22" x14ac:dyDescent="0.35">
      <c r="A2300">
        <v>12299</v>
      </c>
      <c r="B2300" s="1">
        <v>46860</v>
      </c>
      <c r="C2300">
        <v>1232</v>
      </c>
      <c r="D2300" t="s">
        <v>73</v>
      </c>
      <c r="E2300" t="s">
        <v>78</v>
      </c>
      <c r="F2300">
        <v>1</v>
      </c>
      <c r="G2300" s="2">
        <v>330.56</v>
      </c>
      <c r="H2300">
        <v>0.13</v>
      </c>
      <c r="I2300" t="s">
        <v>68</v>
      </c>
      <c r="J2300">
        <v>9</v>
      </c>
      <c r="K2300">
        <v>1.1000000000000001</v>
      </c>
      <c r="L2300" s="2">
        <v>287.58999999999997</v>
      </c>
      <c r="M2300">
        <v>2028</v>
      </c>
      <c r="N2300">
        <v>4</v>
      </c>
      <c r="O2300" t="s">
        <v>155</v>
      </c>
      <c r="P2300" s="2">
        <v>330.56</v>
      </c>
      <c r="Q2300" s="2">
        <v>42.97</v>
      </c>
      <c r="R2300" t="s">
        <v>79</v>
      </c>
      <c r="S2300">
        <v>1</v>
      </c>
      <c r="T2300">
        <v>0</v>
      </c>
      <c r="U2300">
        <f>IF(AND(OR(Dashboard!$D$4="Semua",D2300=Dashboard!$D$4),OR(Dashboard!$H$4="Semua",E2300=Dashboard!$H$4)),1,0)</f>
        <v>1</v>
      </c>
      <c r="V2300">
        <f>IF(U2300=1,IF(COUNTIFS($C$2:C2300,C2300,$U$2:U2300,1)=1,1,0),0)</f>
        <v>0</v>
      </c>
    </row>
    <row r="2301" spans="1:22" x14ac:dyDescent="0.35">
      <c r="A2301">
        <v>12300</v>
      </c>
      <c r="B2301" s="1">
        <v>46861</v>
      </c>
      <c r="C2301">
        <v>1223</v>
      </c>
      <c r="D2301" t="s">
        <v>67</v>
      </c>
      <c r="E2301" t="s">
        <v>74</v>
      </c>
      <c r="F2301">
        <v>5</v>
      </c>
      <c r="G2301" s="2">
        <v>518.51</v>
      </c>
      <c r="H2301">
        <v>0.26</v>
      </c>
      <c r="I2301" t="s">
        <v>71</v>
      </c>
      <c r="J2301">
        <v>3</v>
      </c>
      <c r="K2301">
        <v>2.6</v>
      </c>
      <c r="L2301" s="2">
        <v>1918.49</v>
      </c>
      <c r="M2301">
        <v>2028</v>
      </c>
      <c r="N2301">
        <v>4</v>
      </c>
      <c r="O2301" t="s">
        <v>155</v>
      </c>
      <c r="P2301" s="2">
        <v>2592.5500000000002</v>
      </c>
      <c r="Q2301" s="2">
        <v>674.06</v>
      </c>
      <c r="R2301" t="s">
        <v>66</v>
      </c>
      <c r="S2301">
        <v>1</v>
      </c>
      <c r="T2301">
        <v>0</v>
      </c>
      <c r="U2301">
        <f>IF(AND(OR(Dashboard!$D$4="Semua",D2301=Dashboard!$D$4),OR(Dashboard!$H$4="Semua",E2301=Dashboard!$H$4)),1,0)</f>
        <v>1</v>
      </c>
      <c r="V2301">
        <f>IF(U2301=1,IF(COUNTIFS($C$2:C2301,C2301,$U$2:U2301,1)=1,1,0),0)</f>
        <v>0</v>
      </c>
    </row>
    <row r="2302" spans="1:22" x14ac:dyDescent="0.35">
      <c r="A2302">
        <v>12301</v>
      </c>
      <c r="B2302" s="1">
        <v>46862</v>
      </c>
      <c r="C2302">
        <v>1993</v>
      </c>
      <c r="D2302" t="s">
        <v>80</v>
      </c>
      <c r="E2302" t="s">
        <v>78</v>
      </c>
      <c r="F2302">
        <v>4</v>
      </c>
      <c r="G2302" s="2">
        <v>72.099999999999994</v>
      </c>
      <c r="H2302">
        <v>0.15</v>
      </c>
      <c r="I2302" t="s">
        <v>71</v>
      </c>
      <c r="J2302">
        <v>10</v>
      </c>
      <c r="K2302">
        <v>1.1000000000000001</v>
      </c>
      <c r="L2302" s="2">
        <v>245.14</v>
      </c>
      <c r="M2302">
        <v>2028</v>
      </c>
      <c r="N2302">
        <v>4</v>
      </c>
      <c r="O2302" t="s">
        <v>155</v>
      </c>
      <c r="P2302" s="2">
        <v>288.39999999999998</v>
      </c>
      <c r="Q2302" s="2">
        <v>43.26</v>
      </c>
      <c r="R2302" t="s">
        <v>79</v>
      </c>
      <c r="S2302">
        <v>1</v>
      </c>
      <c r="T2302">
        <v>0</v>
      </c>
      <c r="U2302">
        <f>IF(AND(OR(Dashboard!$D$4="Semua",D2302=Dashboard!$D$4),OR(Dashboard!$H$4="Semua",E2302=Dashboard!$H$4)),1,0)</f>
        <v>1</v>
      </c>
      <c r="V2302">
        <f>IF(U2302=1,IF(COUNTIFS($C$2:C2302,C2302,$U$2:U2302,1)=1,1,0),0)</f>
        <v>0</v>
      </c>
    </row>
    <row r="2303" spans="1:22" x14ac:dyDescent="0.35">
      <c r="A2303">
        <v>12302</v>
      </c>
      <c r="B2303" s="1">
        <v>46863</v>
      </c>
      <c r="C2303">
        <v>1830</v>
      </c>
      <c r="D2303" t="s">
        <v>67</v>
      </c>
      <c r="E2303" t="s">
        <v>74</v>
      </c>
      <c r="F2303">
        <v>1</v>
      </c>
      <c r="G2303" s="2">
        <v>155.66</v>
      </c>
      <c r="H2303">
        <v>0.27</v>
      </c>
      <c r="I2303" t="s">
        <v>68</v>
      </c>
      <c r="J2303">
        <v>11</v>
      </c>
      <c r="K2303">
        <v>1</v>
      </c>
      <c r="L2303" s="2">
        <v>113.63</v>
      </c>
      <c r="M2303">
        <v>2028</v>
      </c>
      <c r="N2303">
        <v>4</v>
      </c>
      <c r="O2303" t="s">
        <v>155</v>
      </c>
      <c r="P2303" s="2">
        <v>155.66</v>
      </c>
      <c r="Q2303" s="2">
        <v>42.03</v>
      </c>
      <c r="R2303" t="s">
        <v>66</v>
      </c>
      <c r="S2303">
        <v>1</v>
      </c>
      <c r="T2303">
        <v>0</v>
      </c>
      <c r="U2303">
        <f>IF(AND(OR(Dashboard!$D$4="Semua",D2303=Dashboard!$D$4),OR(Dashboard!$H$4="Semua",E2303=Dashboard!$H$4)),1,0)</f>
        <v>1</v>
      </c>
      <c r="V2303">
        <f>IF(U2303=1,IF(COUNTIFS($C$2:C2303,C2303,$U$2:U2303,1)=1,1,0),0)</f>
        <v>0</v>
      </c>
    </row>
    <row r="2304" spans="1:22" x14ac:dyDescent="0.35">
      <c r="A2304">
        <v>12303</v>
      </c>
      <c r="B2304" s="1">
        <v>46864</v>
      </c>
      <c r="C2304">
        <v>1411</v>
      </c>
      <c r="D2304" t="s">
        <v>73</v>
      </c>
      <c r="E2304" t="s">
        <v>78</v>
      </c>
      <c r="F2304">
        <v>4</v>
      </c>
      <c r="G2304" s="2">
        <v>252.82</v>
      </c>
      <c r="H2304">
        <v>0.34</v>
      </c>
      <c r="I2304" t="s">
        <v>71</v>
      </c>
      <c r="J2304">
        <v>5</v>
      </c>
      <c r="K2304">
        <v>4.2</v>
      </c>
      <c r="L2304" s="2">
        <v>667.44</v>
      </c>
      <c r="M2304">
        <v>2028</v>
      </c>
      <c r="N2304">
        <v>4</v>
      </c>
      <c r="O2304" t="s">
        <v>155</v>
      </c>
      <c r="P2304" s="2">
        <v>1011.28</v>
      </c>
      <c r="Q2304" s="2">
        <v>343.84</v>
      </c>
      <c r="R2304" t="s">
        <v>72</v>
      </c>
      <c r="S2304">
        <v>1</v>
      </c>
      <c r="T2304">
        <v>0</v>
      </c>
      <c r="U2304">
        <f>IF(AND(OR(Dashboard!$D$4="Semua",D2304=Dashboard!$D$4),OR(Dashboard!$H$4="Semua",E2304=Dashboard!$H$4)),1,0)</f>
        <v>1</v>
      </c>
      <c r="V2304">
        <f>IF(U2304=1,IF(COUNTIFS($C$2:C2304,C2304,$U$2:U2304,1)=1,1,0),0)</f>
        <v>1</v>
      </c>
    </row>
    <row r="2305" spans="1:22" x14ac:dyDescent="0.35">
      <c r="A2305">
        <v>12304</v>
      </c>
      <c r="B2305" s="1">
        <v>46865</v>
      </c>
      <c r="C2305">
        <v>1571</v>
      </c>
      <c r="D2305" t="s">
        <v>73</v>
      </c>
      <c r="E2305" t="s">
        <v>74</v>
      </c>
      <c r="F2305">
        <v>6</v>
      </c>
      <c r="G2305" s="2">
        <v>521.52</v>
      </c>
      <c r="H2305">
        <v>0.08</v>
      </c>
      <c r="I2305" t="s">
        <v>64</v>
      </c>
      <c r="J2305">
        <v>6</v>
      </c>
      <c r="K2305">
        <v>2.2999999999999998</v>
      </c>
      <c r="L2305" s="2">
        <v>2878.79</v>
      </c>
      <c r="M2305">
        <v>2028</v>
      </c>
      <c r="N2305">
        <v>4</v>
      </c>
      <c r="O2305" t="s">
        <v>155</v>
      </c>
      <c r="P2305" s="2">
        <v>3129.12</v>
      </c>
      <c r="Q2305" s="2">
        <v>250.33</v>
      </c>
      <c r="R2305" t="s">
        <v>69</v>
      </c>
      <c r="S2305">
        <v>1</v>
      </c>
      <c r="T2305">
        <v>0</v>
      </c>
      <c r="U2305">
        <f>IF(AND(OR(Dashboard!$D$4="Semua",D2305=Dashboard!$D$4),OR(Dashboard!$H$4="Semua",E2305=Dashboard!$H$4)),1,0)</f>
        <v>1</v>
      </c>
      <c r="V2305">
        <f>IF(U2305=1,IF(COUNTIFS($C$2:C2305,C2305,$U$2:U2305,1)=1,1,0),0)</f>
        <v>0</v>
      </c>
    </row>
    <row r="2306" spans="1:22" x14ac:dyDescent="0.35">
      <c r="A2306">
        <v>12305</v>
      </c>
      <c r="B2306" s="1">
        <v>46866</v>
      </c>
      <c r="C2306">
        <v>1334</v>
      </c>
      <c r="D2306" t="s">
        <v>73</v>
      </c>
      <c r="E2306" t="s">
        <v>78</v>
      </c>
      <c r="F2306">
        <v>7</v>
      </c>
      <c r="G2306" s="2">
        <v>564.25</v>
      </c>
      <c r="H2306">
        <v>0.3</v>
      </c>
      <c r="I2306" t="s">
        <v>64</v>
      </c>
      <c r="J2306">
        <v>3</v>
      </c>
      <c r="K2306">
        <v>3.3</v>
      </c>
      <c r="L2306" s="2">
        <v>2764.82</v>
      </c>
      <c r="M2306">
        <v>2028</v>
      </c>
      <c r="N2306">
        <v>4</v>
      </c>
      <c r="O2306" t="s">
        <v>155</v>
      </c>
      <c r="P2306" s="2">
        <v>3949.75</v>
      </c>
      <c r="Q2306" s="2">
        <v>1184.93</v>
      </c>
      <c r="R2306" t="s">
        <v>66</v>
      </c>
      <c r="S2306">
        <v>1</v>
      </c>
      <c r="T2306">
        <v>0</v>
      </c>
      <c r="U2306">
        <f>IF(AND(OR(Dashboard!$D$4="Semua",D2306=Dashboard!$D$4),OR(Dashboard!$H$4="Semua",E2306=Dashboard!$H$4)),1,0)</f>
        <v>1</v>
      </c>
      <c r="V2306">
        <f>IF(U2306=1,IF(COUNTIFS($C$2:C2306,C2306,$U$2:U2306,1)=1,1,0),0)</f>
        <v>0</v>
      </c>
    </row>
    <row r="2307" spans="1:22" x14ac:dyDescent="0.35">
      <c r="A2307">
        <v>12306</v>
      </c>
      <c r="B2307" s="1">
        <v>46867</v>
      </c>
      <c r="C2307">
        <v>1221</v>
      </c>
      <c r="D2307" t="s">
        <v>73</v>
      </c>
      <c r="E2307" t="s">
        <v>63</v>
      </c>
      <c r="F2307">
        <v>7</v>
      </c>
      <c r="G2307" s="2">
        <v>595.74</v>
      </c>
      <c r="H2307">
        <v>0.22</v>
      </c>
      <c r="I2307" t="s">
        <v>68</v>
      </c>
      <c r="J2307">
        <v>10</v>
      </c>
      <c r="K2307">
        <v>2.2000000000000002</v>
      </c>
      <c r="L2307" s="2">
        <v>3252.74</v>
      </c>
      <c r="M2307">
        <v>2028</v>
      </c>
      <c r="N2307">
        <v>4</v>
      </c>
      <c r="O2307" t="s">
        <v>155</v>
      </c>
      <c r="P2307" s="2">
        <v>4170.18</v>
      </c>
      <c r="Q2307" s="2">
        <v>917.44</v>
      </c>
      <c r="R2307" t="s">
        <v>77</v>
      </c>
      <c r="S2307">
        <v>1</v>
      </c>
      <c r="T2307">
        <v>0</v>
      </c>
      <c r="U2307">
        <f>IF(AND(OR(Dashboard!$D$4="Semua",D2307=Dashboard!$D$4),OR(Dashboard!$H$4="Semua",E2307=Dashboard!$H$4)),1,0)</f>
        <v>1</v>
      </c>
      <c r="V2307">
        <f>IF(U2307=1,IF(COUNTIFS($C$2:C2307,C2307,$U$2:U2307,1)=1,1,0),0)</f>
        <v>0</v>
      </c>
    </row>
    <row r="2308" spans="1:22" x14ac:dyDescent="0.35">
      <c r="A2308">
        <v>12307</v>
      </c>
      <c r="B2308" s="1">
        <v>46868</v>
      </c>
      <c r="C2308">
        <v>1036</v>
      </c>
      <c r="D2308" t="s">
        <v>67</v>
      </c>
      <c r="E2308" t="s">
        <v>70</v>
      </c>
      <c r="F2308">
        <v>7</v>
      </c>
      <c r="G2308" s="2">
        <v>576.13</v>
      </c>
      <c r="H2308">
        <v>0.28999999999999998</v>
      </c>
      <c r="I2308" t="s">
        <v>64</v>
      </c>
      <c r="J2308">
        <v>8</v>
      </c>
      <c r="K2308">
        <v>4.7</v>
      </c>
      <c r="L2308" s="2">
        <v>2863.37</v>
      </c>
      <c r="M2308">
        <v>2028</v>
      </c>
      <c r="N2308">
        <v>4</v>
      </c>
      <c r="O2308" t="s">
        <v>155</v>
      </c>
      <c r="P2308" s="2">
        <v>4032.91</v>
      </c>
      <c r="Q2308" s="2">
        <v>1169.54</v>
      </c>
      <c r="R2308" t="s">
        <v>66</v>
      </c>
      <c r="S2308">
        <v>1</v>
      </c>
      <c r="T2308">
        <v>0</v>
      </c>
      <c r="U2308">
        <f>IF(AND(OR(Dashboard!$D$4="Semua",D2308=Dashboard!$D$4),OR(Dashboard!$H$4="Semua",E2308=Dashboard!$H$4)),1,0)</f>
        <v>1</v>
      </c>
      <c r="V2308">
        <f>IF(U2308=1,IF(COUNTIFS($C$2:C2308,C2308,$U$2:U2308,1)=1,1,0),0)</f>
        <v>0</v>
      </c>
    </row>
    <row r="2309" spans="1:22" x14ac:dyDescent="0.35">
      <c r="A2309">
        <v>12308</v>
      </c>
      <c r="B2309" s="1">
        <v>46869</v>
      </c>
      <c r="C2309">
        <v>1988</v>
      </c>
      <c r="D2309" t="s">
        <v>67</v>
      </c>
      <c r="E2309" t="s">
        <v>74</v>
      </c>
      <c r="F2309">
        <v>2</v>
      </c>
      <c r="G2309" s="2">
        <v>18.48</v>
      </c>
      <c r="H2309">
        <v>0.23</v>
      </c>
      <c r="I2309" t="s">
        <v>71</v>
      </c>
      <c r="J2309">
        <v>2</v>
      </c>
      <c r="K2309">
        <v>3.9</v>
      </c>
      <c r="L2309" s="2">
        <v>28.46</v>
      </c>
      <c r="M2309">
        <v>2028</v>
      </c>
      <c r="N2309">
        <v>4</v>
      </c>
      <c r="O2309" t="s">
        <v>155</v>
      </c>
      <c r="P2309" s="2">
        <v>36.96</v>
      </c>
      <c r="Q2309" s="2">
        <v>8.5</v>
      </c>
      <c r="R2309" t="s">
        <v>77</v>
      </c>
      <c r="S2309">
        <v>1</v>
      </c>
      <c r="T2309">
        <v>0</v>
      </c>
      <c r="U2309">
        <f>IF(AND(OR(Dashboard!$D$4="Semua",D2309=Dashboard!$D$4),OR(Dashboard!$H$4="Semua",E2309=Dashboard!$H$4)),1,0)</f>
        <v>1</v>
      </c>
      <c r="V2309">
        <f>IF(U2309=1,IF(COUNTIFS($C$2:C2309,C2309,$U$2:U2309,1)=1,1,0),0)</f>
        <v>0</v>
      </c>
    </row>
    <row r="2310" spans="1:22" x14ac:dyDescent="0.35">
      <c r="A2310">
        <v>12309</v>
      </c>
      <c r="B2310" s="1">
        <v>46870</v>
      </c>
      <c r="C2310">
        <v>1277</v>
      </c>
      <c r="D2310" t="s">
        <v>80</v>
      </c>
      <c r="E2310" t="s">
        <v>78</v>
      </c>
      <c r="F2310">
        <v>3</v>
      </c>
      <c r="G2310" s="2">
        <v>42.91</v>
      </c>
      <c r="H2310">
        <v>0.15</v>
      </c>
      <c r="I2310" t="s">
        <v>64</v>
      </c>
      <c r="J2310">
        <v>6</v>
      </c>
      <c r="K2310">
        <v>2.5</v>
      </c>
      <c r="L2310" s="2">
        <v>109.42</v>
      </c>
      <c r="M2310">
        <v>2028</v>
      </c>
      <c r="N2310">
        <v>4</v>
      </c>
      <c r="O2310" t="s">
        <v>155</v>
      </c>
      <c r="P2310" s="2">
        <v>128.72999999999999</v>
      </c>
      <c r="Q2310" s="2">
        <v>19.309999999999999</v>
      </c>
      <c r="R2310" t="s">
        <v>79</v>
      </c>
      <c r="S2310">
        <v>1</v>
      </c>
      <c r="T2310">
        <v>0</v>
      </c>
      <c r="U2310">
        <f>IF(AND(OR(Dashboard!$D$4="Semua",D2310=Dashboard!$D$4),OR(Dashboard!$H$4="Semua",E2310=Dashboard!$H$4)),1,0)</f>
        <v>1</v>
      </c>
      <c r="V2310">
        <f>IF(U2310=1,IF(COUNTIFS($C$2:C2310,C2310,$U$2:U2310,1)=1,1,0),0)</f>
        <v>0</v>
      </c>
    </row>
    <row r="2311" spans="1:22" x14ac:dyDescent="0.35">
      <c r="A2311">
        <v>12310</v>
      </c>
      <c r="B2311" s="1">
        <v>46871</v>
      </c>
      <c r="C2311">
        <v>1195</v>
      </c>
      <c r="D2311" t="s">
        <v>67</v>
      </c>
      <c r="E2311" t="s">
        <v>63</v>
      </c>
      <c r="F2311">
        <v>5</v>
      </c>
      <c r="G2311" s="2">
        <v>101.35</v>
      </c>
      <c r="H2311">
        <v>0.08</v>
      </c>
      <c r="I2311" t="s">
        <v>71</v>
      </c>
      <c r="J2311">
        <v>2</v>
      </c>
      <c r="K2311">
        <v>1.8</v>
      </c>
      <c r="L2311" s="2">
        <v>466.21</v>
      </c>
      <c r="M2311">
        <v>2028</v>
      </c>
      <c r="N2311">
        <v>4</v>
      </c>
      <c r="O2311" t="s">
        <v>155</v>
      </c>
      <c r="P2311" s="2">
        <v>506.75</v>
      </c>
      <c r="Q2311" s="2">
        <v>40.54</v>
      </c>
      <c r="R2311" t="s">
        <v>69</v>
      </c>
      <c r="S2311">
        <v>1</v>
      </c>
      <c r="T2311">
        <v>0</v>
      </c>
      <c r="U2311">
        <f>IF(AND(OR(Dashboard!$D$4="Semua",D2311=Dashboard!$D$4),OR(Dashboard!$H$4="Semua",E2311=Dashboard!$H$4)),1,0)</f>
        <v>1</v>
      </c>
      <c r="V2311">
        <f>IF(U2311=1,IF(COUNTIFS($C$2:C2311,C2311,$U$2:U2311,1)=1,1,0),0)</f>
        <v>0</v>
      </c>
    </row>
    <row r="2312" spans="1:22" x14ac:dyDescent="0.35">
      <c r="A2312">
        <v>12311</v>
      </c>
      <c r="B2312" s="1">
        <v>46872</v>
      </c>
      <c r="C2312">
        <v>1915</v>
      </c>
      <c r="D2312" t="s">
        <v>80</v>
      </c>
      <c r="E2312" t="s">
        <v>74</v>
      </c>
      <c r="F2312">
        <v>4</v>
      </c>
      <c r="G2312" s="2">
        <v>219.08</v>
      </c>
      <c r="H2312">
        <v>0.02</v>
      </c>
      <c r="I2312" t="s">
        <v>71</v>
      </c>
      <c r="J2312">
        <v>9</v>
      </c>
      <c r="K2312">
        <v>1.6</v>
      </c>
      <c r="L2312" s="2">
        <v>858.79</v>
      </c>
      <c r="M2312">
        <v>2028</v>
      </c>
      <c r="N2312">
        <v>4</v>
      </c>
      <c r="O2312" t="s">
        <v>155</v>
      </c>
      <c r="P2312" s="2">
        <v>876.32</v>
      </c>
      <c r="Q2312" s="2">
        <v>17.53</v>
      </c>
      <c r="R2312" t="s">
        <v>75</v>
      </c>
      <c r="S2312">
        <v>1</v>
      </c>
      <c r="T2312">
        <v>0</v>
      </c>
      <c r="U2312">
        <f>IF(AND(OR(Dashboard!$D$4="Semua",D2312=Dashboard!$D$4),OR(Dashboard!$H$4="Semua",E2312=Dashboard!$H$4)),1,0)</f>
        <v>1</v>
      </c>
      <c r="V2312">
        <f>IF(U2312=1,IF(COUNTIFS($C$2:C2312,C2312,$U$2:U2312,1)=1,1,0),0)</f>
        <v>0</v>
      </c>
    </row>
    <row r="2313" spans="1:22" x14ac:dyDescent="0.35">
      <c r="A2313">
        <v>12312</v>
      </c>
      <c r="B2313" s="1">
        <v>46873</v>
      </c>
      <c r="C2313">
        <v>1863</v>
      </c>
      <c r="D2313" t="s">
        <v>73</v>
      </c>
      <c r="E2313" t="s">
        <v>74</v>
      </c>
      <c r="F2313">
        <v>2</v>
      </c>
      <c r="G2313" s="2">
        <v>500.5</v>
      </c>
      <c r="H2313">
        <v>0.19</v>
      </c>
      <c r="I2313" t="s">
        <v>71</v>
      </c>
      <c r="J2313">
        <v>6</v>
      </c>
      <c r="K2313">
        <v>4</v>
      </c>
      <c r="L2313" s="2">
        <v>810.81</v>
      </c>
      <c r="M2313">
        <v>2028</v>
      </c>
      <c r="N2313">
        <v>4</v>
      </c>
      <c r="O2313" t="s">
        <v>155</v>
      </c>
      <c r="P2313" s="2">
        <v>1001</v>
      </c>
      <c r="Q2313" s="2">
        <v>190.19</v>
      </c>
      <c r="R2313" t="s">
        <v>76</v>
      </c>
      <c r="S2313">
        <v>1</v>
      </c>
      <c r="T2313">
        <v>0</v>
      </c>
      <c r="U2313">
        <f>IF(AND(OR(Dashboard!$D$4="Semua",D2313=Dashboard!$D$4),OR(Dashboard!$H$4="Semua",E2313=Dashboard!$H$4)),1,0)</f>
        <v>1</v>
      </c>
      <c r="V2313">
        <f>IF(U2313=1,IF(COUNTIFS($C$2:C2313,C2313,$U$2:U2313,1)=1,1,0),0)</f>
        <v>0</v>
      </c>
    </row>
    <row r="2314" spans="1:22" x14ac:dyDescent="0.35">
      <c r="A2314">
        <v>12313</v>
      </c>
      <c r="B2314" s="1">
        <v>46874</v>
      </c>
      <c r="C2314">
        <v>1483</v>
      </c>
      <c r="D2314" t="s">
        <v>67</v>
      </c>
      <c r="E2314" t="s">
        <v>74</v>
      </c>
      <c r="F2314">
        <v>7</v>
      </c>
      <c r="G2314" s="2">
        <v>537.20000000000005</v>
      </c>
      <c r="H2314">
        <v>0.35</v>
      </c>
      <c r="I2314" t="s">
        <v>71</v>
      </c>
      <c r="J2314">
        <v>9</v>
      </c>
      <c r="K2314">
        <v>2.8</v>
      </c>
      <c r="L2314" s="2">
        <v>2444.2600000000002</v>
      </c>
      <c r="M2314">
        <v>2028</v>
      </c>
      <c r="N2314">
        <v>5</v>
      </c>
      <c r="O2314" t="s">
        <v>156</v>
      </c>
      <c r="P2314" s="2">
        <v>3760.4</v>
      </c>
      <c r="Q2314" s="2">
        <v>1316.14</v>
      </c>
      <c r="R2314" t="s">
        <v>72</v>
      </c>
      <c r="S2314">
        <v>1</v>
      </c>
      <c r="T2314">
        <v>0</v>
      </c>
      <c r="U2314">
        <f>IF(AND(OR(Dashboard!$D$4="Semua",D2314=Dashboard!$D$4),OR(Dashboard!$H$4="Semua",E2314=Dashboard!$H$4)),1,0)</f>
        <v>1</v>
      </c>
      <c r="V2314">
        <f>IF(U2314=1,IF(COUNTIFS($C$2:C2314,C2314,$U$2:U2314,1)=1,1,0),0)</f>
        <v>0</v>
      </c>
    </row>
    <row r="2315" spans="1:22" x14ac:dyDescent="0.35">
      <c r="A2315">
        <v>12314</v>
      </c>
      <c r="B2315" s="1">
        <v>46875</v>
      </c>
      <c r="C2315">
        <v>1241</v>
      </c>
      <c r="D2315" t="s">
        <v>80</v>
      </c>
      <c r="E2315" t="s">
        <v>70</v>
      </c>
      <c r="F2315">
        <v>5</v>
      </c>
      <c r="G2315" s="2">
        <v>124.3</v>
      </c>
      <c r="H2315">
        <v>0.26</v>
      </c>
      <c r="I2315" t="s">
        <v>71</v>
      </c>
      <c r="J2315">
        <v>4</v>
      </c>
      <c r="K2315">
        <v>1.9</v>
      </c>
      <c r="L2315" s="2">
        <v>459.91</v>
      </c>
      <c r="M2315">
        <v>2028</v>
      </c>
      <c r="N2315">
        <v>5</v>
      </c>
      <c r="O2315" t="s">
        <v>156</v>
      </c>
      <c r="P2315" s="2">
        <v>621.5</v>
      </c>
      <c r="Q2315" s="2">
        <v>161.59</v>
      </c>
      <c r="R2315" t="s">
        <v>66</v>
      </c>
      <c r="S2315">
        <v>1</v>
      </c>
      <c r="T2315">
        <v>0</v>
      </c>
      <c r="U2315">
        <f>IF(AND(OR(Dashboard!$D$4="Semua",D2315=Dashboard!$D$4),OR(Dashboard!$H$4="Semua",E2315=Dashboard!$H$4)),1,0)</f>
        <v>1</v>
      </c>
      <c r="V2315">
        <f>IF(U2315=1,IF(COUNTIFS($C$2:C2315,C2315,$U$2:U2315,1)=1,1,0),0)</f>
        <v>0</v>
      </c>
    </row>
    <row r="2316" spans="1:22" x14ac:dyDescent="0.35">
      <c r="A2316">
        <v>12315</v>
      </c>
      <c r="B2316" s="1">
        <v>46876</v>
      </c>
      <c r="C2316">
        <v>1323</v>
      </c>
      <c r="D2316" t="s">
        <v>73</v>
      </c>
      <c r="E2316" t="s">
        <v>78</v>
      </c>
      <c r="F2316">
        <v>5</v>
      </c>
      <c r="G2316" s="2">
        <v>377.5</v>
      </c>
      <c r="H2316">
        <v>0.11</v>
      </c>
      <c r="I2316" t="s">
        <v>68</v>
      </c>
      <c r="J2316">
        <v>3</v>
      </c>
      <c r="K2316">
        <v>4.7</v>
      </c>
      <c r="L2316" s="2">
        <v>1679.88</v>
      </c>
      <c r="M2316">
        <v>2028</v>
      </c>
      <c r="N2316">
        <v>5</v>
      </c>
      <c r="O2316" t="s">
        <v>156</v>
      </c>
      <c r="P2316" s="2">
        <v>1887.5</v>
      </c>
      <c r="Q2316" s="2">
        <v>207.62</v>
      </c>
      <c r="R2316" t="s">
        <v>79</v>
      </c>
      <c r="S2316">
        <v>1</v>
      </c>
      <c r="T2316">
        <v>0</v>
      </c>
      <c r="U2316">
        <f>IF(AND(OR(Dashboard!$D$4="Semua",D2316=Dashboard!$D$4),OR(Dashboard!$H$4="Semua",E2316=Dashboard!$H$4)),1,0)</f>
        <v>1</v>
      </c>
      <c r="V2316">
        <f>IF(U2316=1,IF(COUNTIFS($C$2:C2316,C2316,$U$2:U2316,1)=1,1,0),0)</f>
        <v>0</v>
      </c>
    </row>
    <row r="2317" spans="1:22" x14ac:dyDescent="0.35">
      <c r="A2317">
        <v>12316</v>
      </c>
      <c r="B2317" s="1">
        <v>46877</v>
      </c>
      <c r="C2317">
        <v>1730</v>
      </c>
      <c r="D2317" t="s">
        <v>73</v>
      </c>
      <c r="E2317" t="s">
        <v>78</v>
      </c>
      <c r="F2317">
        <v>6</v>
      </c>
      <c r="G2317" s="2">
        <v>551.66</v>
      </c>
      <c r="H2317">
        <v>0.28999999999999998</v>
      </c>
      <c r="I2317" t="s">
        <v>68</v>
      </c>
      <c r="J2317">
        <v>2</v>
      </c>
      <c r="K2317">
        <v>2.6</v>
      </c>
      <c r="L2317" s="2">
        <v>2350.0700000000002</v>
      </c>
      <c r="M2317">
        <v>2028</v>
      </c>
      <c r="N2317">
        <v>5</v>
      </c>
      <c r="O2317" t="s">
        <v>156</v>
      </c>
      <c r="P2317" s="2">
        <v>3309.96</v>
      </c>
      <c r="Q2317" s="2">
        <v>959.89</v>
      </c>
      <c r="R2317" t="s">
        <v>66</v>
      </c>
      <c r="S2317">
        <v>1</v>
      </c>
      <c r="T2317">
        <v>0</v>
      </c>
      <c r="U2317">
        <f>IF(AND(OR(Dashboard!$D$4="Semua",D2317=Dashboard!$D$4),OR(Dashboard!$H$4="Semua",E2317=Dashboard!$H$4)),1,0)</f>
        <v>1</v>
      </c>
      <c r="V2317">
        <f>IF(U2317=1,IF(COUNTIFS($C$2:C2317,C2317,$U$2:U2317,1)=1,1,0),0)</f>
        <v>0</v>
      </c>
    </row>
    <row r="2318" spans="1:22" x14ac:dyDescent="0.35">
      <c r="A2318">
        <v>12317</v>
      </c>
      <c r="B2318" s="1">
        <v>46878</v>
      </c>
      <c r="C2318">
        <v>1191</v>
      </c>
      <c r="D2318" t="s">
        <v>62</v>
      </c>
      <c r="E2318" t="s">
        <v>74</v>
      </c>
      <c r="F2318">
        <v>6</v>
      </c>
      <c r="G2318" s="2">
        <v>286.27999999999997</v>
      </c>
      <c r="H2318">
        <v>0.27</v>
      </c>
      <c r="I2318" t="s">
        <v>68</v>
      </c>
      <c r="J2318">
        <v>8</v>
      </c>
      <c r="K2318">
        <v>3.2</v>
      </c>
      <c r="L2318" s="2">
        <v>1253.9100000000001</v>
      </c>
      <c r="M2318">
        <v>2028</v>
      </c>
      <c r="N2318">
        <v>5</v>
      </c>
      <c r="O2318" t="s">
        <v>156</v>
      </c>
      <c r="P2318" s="2">
        <v>1717.68</v>
      </c>
      <c r="Q2318" s="2">
        <v>463.77</v>
      </c>
      <c r="R2318" t="s">
        <v>66</v>
      </c>
      <c r="S2318">
        <v>1</v>
      </c>
      <c r="T2318">
        <v>0</v>
      </c>
      <c r="U2318">
        <f>IF(AND(OR(Dashboard!$D$4="Semua",D2318=Dashboard!$D$4),OR(Dashboard!$H$4="Semua",E2318=Dashboard!$H$4)),1,0)</f>
        <v>1</v>
      </c>
      <c r="V2318">
        <f>IF(U2318=1,IF(COUNTIFS($C$2:C2318,C2318,$U$2:U2318,1)=1,1,0),0)</f>
        <v>0</v>
      </c>
    </row>
    <row r="2319" spans="1:22" x14ac:dyDescent="0.35">
      <c r="A2319">
        <v>12318</v>
      </c>
      <c r="B2319" s="1">
        <v>46879</v>
      </c>
      <c r="C2319">
        <v>1016</v>
      </c>
      <c r="D2319" t="s">
        <v>73</v>
      </c>
      <c r="E2319" t="s">
        <v>74</v>
      </c>
      <c r="F2319">
        <v>7</v>
      </c>
      <c r="G2319" s="2">
        <v>75.569999999999993</v>
      </c>
      <c r="H2319">
        <v>0.1</v>
      </c>
      <c r="I2319" t="s">
        <v>64</v>
      </c>
      <c r="J2319">
        <v>4</v>
      </c>
      <c r="K2319">
        <v>4.4000000000000004</v>
      </c>
      <c r="L2319" s="2">
        <v>476.09</v>
      </c>
      <c r="M2319">
        <v>2028</v>
      </c>
      <c r="N2319">
        <v>5</v>
      </c>
      <c r="O2319" t="s">
        <v>156</v>
      </c>
      <c r="P2319" s="2">
        <v>528.99</v>
      </c>
      <c r="Q2319" s="2">
        <v>52.9</v>
      </c>
      <c r="R2319" t="s">
        <v>69</v>
      </c>
      <c r="S2319">
        <v>1</v>
      </c>
      <c r="T2319">
        <v>0</v>
      </c>
      <c r="U2319">
        <f>IF(AND(OR(Dashboard!$D$4="Semua",D2319=Dashboard!$D$4),OR(Dashboard!$H$4="Semua",E2319=Dashboard!$H$4)),1,0)</f>
        <v>1</v>
      </c>
      <c r="V2319">
        <f>IF(U2319=1,IF(COUNTIFS($C$2:C2319,C2319,$U$2:U2319,1)=1,1,0),0)</f>
        <v>0</v>
      </c>
    </row>
    <row r="2320" spans="1:22" x14ac:dyDescent="0.35">
      <c r="A2320">
        <v>12319</v>
      </c>
      <c r="B2320" s="1">
        <v>46880</v>
      </c>
      <c r="C2320">
        <v>1523</v>
      </c>
      <c r="D2320" t="s">
        <v>80</v>
      </c>
      <c r="E2320" t="s">
        <v>74</v>
      </c>
      <c r="F2320">
        <v>4</v>
      </c>
      <c r="G2320" s="2">
        <v>282.82</v>
      </c>
      <c r="H2320">
        <v>0.01</v>
      </c>
      <c r="I2320" t="s">
        <v>71</v>
      </c>
      <c r="J2320">
        <v>2</v>
      </c>
      <c r="K2320">
        <v>4.3</v>
      </c>
      <c r="L2320" s="2">
        <v>1119.97</v>
      </c>
      <c r="M2320">
        <v>2028</v>
      </c>
      <c r="N2320">
        <v>5</v>
      </c>
      <c r="O2320" t="s">
        <v>156</v>
      </c>
      <c r="P2320" s="2">
        <v>1131.28</v>
      </c>
      <c r="Q2320" s="2">
        <v>11.31</v>
      </c>
      <c r="R2320" t="s">
        <v>75</v>
      </c>
      <c r="S2320">
        <v>1</v>
      </c>
      <c r="T2320">
        <v>0</v>
      </c>
      <c r="U2320">
        <f>IF(AND(OR(Dashboard!$D$4="Semua",D2320=Dashboard!$D$4),OR(Dashboard!$H$4="Semua",E2320=Dashboard!$H$4)),1,0)</f>
        <v>1</v>
      </c>
      <c r="V2320">
        <f>IF(U2320=1,IF(COUNTIFS($C$2:C2320,C2320,$U$2:U2320,1)=1,1,0),0)</f>
        <v>0</v>
      </c>
    </row>
    <row r="2321" spans="1:22" x14ac:dyDescent="0.35">
      <c r="A2321">
        <v>12320</v>
      </c>
      <c r="B2321" s="1">
        <v>46881</v>
      </c>
      <c r="C2321">
        <v>1917</v>
      </c>
      <c r="D2321" t="s">
        <v>73</v>
      </c>
      <c r="E2321" t="s">
        <v>63</v>
      </c>
      <c r="F2321">
        <v>7</v>
      </c>
      <c r="G2321" s="2">
        <v>234.84</v>
      </c>
      <c r="H2321">
        <v>0.04</v>
      </c>
      <c r="I2321" t="s">
        <v>71</v>
      </c>
      <c r="J2321">
        <v>11</v>
      </c>
      <c r="K2321">
        <v>3.6</v>
      </c>
      <c r="L2321" s="2">
        <v>1578.12</v>
      </c>
      <c r="M2321">
        <v>2028</v>
      </c>
      <c r="N2321">
        <v>5</v>
      </c>
      <c r="O2321" t="s">
        <v>156</v>
      </c>
      <c r="P2321" s="2">
        <v>1643.88</v>
      </c>
      <c r="Q2321" s="2">
        <v>65.760000000000005</v>
      </c>
      <c r="R2321" t="s">
        <v>75</v>
      </c>
      <c r="S2321">
        <v>1</v>
      </c>
      <c r="T2321">
        <v>0</v>
      </c>
      <c r="U2321">
        <f>IF(AND(OR(Dashboard!$D$4="Semua",D2321=Dashboard!$D$4),OR(Dashboard!$H$4="Semua",E2321=Dashboard!$H$4)),1,0)</f>
        <v>1</v>
      </c>
      <c r="V2321">
        <f>IF(U2321=1,IF(COUNTIFS($C$2:C2321,C2321,$U$2:U2321,1)=1,1,0),0)</f>
        <v>0</v>
      </c>
    </row>
    <row r="2322" spans="1:22" x14ac:dyDescent="0.35">
      <c r="A2322">
        <v>12321</v>
      </c>
      <c r="B2322" s="1">
        <v>46882</v>
      </c>
      <c r="C2322">
        <v>1400</v>
      </c>
      <c r="D2322" t="s">
        <v>80</v>
      </c>
      <c r="E2322" t="s">
        <v>74</v>
      </c>
      <c r="F2322">
        <v>7</v>
      </c>
      <c r="G2322" s="2">
        <v>352.93</v>
      </c>
      <c r="H2322">
        <v>0.31</v>
      </c>
      <c r="I2322" t="s">
        <v>71</v>
      </c>
      <c r="J2322">
        <v>9</v>
      </c>
      <c r="K2322">
        <v>4.5999999999999996</v>
      </c>
      <c r="L2322" s="2">
        <v>1704.65</v>
      </c>
      <c r="M2322">
        <v>2028</v>
      </c>
      <c r="N2322">
        <v>5</v>
      </c>
      <c r="O2322" t="s">
        <v>156</v>
      </c>
      <c r="P2322" s="2">
        <v>2470.5100000000002</v>
      </c>
      <c r="Q2322" s="2">
        <v>765.86</v>
      </c>
      <c r="R2322" t="s">
        <v>72</v>
      </c>
      <c r="S2322">
        <v>1</v>
      </c>
      <c r="T2322">
        <v>0</v>
      </c>
      <c r="U2322">
        <f>IF(AND(OR(Dashboard!$D$4="Semua",D2322=Dashboard!$D$4),OR(Dashboard!$H$4="Semua",E2322=Dashboard!$H$4)),1,0)</f>
        <v>1</v>
      </c>
      <c r="V2322">
        <f>IF(U2322=1,IF(COUNTIFS($C$2:C2322,C2322,$U$2:U2322,1)=1,1,0),0)</f>
        <v>0</v>
      </c>
    </row>
    <row r="2323" spans="1:22" x14ac:dyDescent="0.35">
      <c r="A2323">
        <v>12322</v>
      </c>
      <c r="B2323" s="1">
        <v>46883</v>
      </c>
      <c r="C2323">
        <v>1905</v>
      </c>
      <c r="D2323" t="s">
        <v>73</v>
      </c>
      <c r="E2323" t="s">
        <v>70</v>
      </c>
      <c r="F2323">
        <v>2</v>
      </c>
      <c r="G2323" s="2">
        <v>271.62</v>
      </c>
      <c r="H2323">
        <v>0.28999999999999998</v>
      </c>
      <c r="I2323" t="s">
        <v>68</v>
      </c>
      <c r="J2323">
        <v>8</v>
      </c>
      <c r="K2323">
        <v>4.8</v>
      </c>
      <c r="L2323" s="2">
        <v>385.7</v>
      </c>
      <c r="M2323">
        <v>2028</v>
      </c>
      <c r="N2323">
        <v>5</v>
      </c>
      <c r="O2323" t="s">
        <v>156</v>
      </c>
      <c r="P2323" s="2">
        <v>543.24</v>
      </c>
      <c r="Q2323" s="2">
        <v>157.54</v>
      </c>
      <c r="R2323" t="s">
        <v>66</v>
      </c>
      <c r="S2323">
        <v>1</v>
      </c>
      <c r="T2323">
        <v>0</v>
      </c>
      <c r="U2323">
        <f>IF(AND(OR(Dashboard!$D$4="Semua",D2323=Dashboard!$D$4),OR(Dashboard!$H$4="Semua",E2323=Dashboard!$H$4)),1,0)</f>
        <v>1</v>
      </c>
      <c r="V2323">
        <f>IF(U2323=1,IF(COUNTIFS($C$2:C2323,C2323,$U$2:U2323,1)=1,1,0),0)</f>
        <v>0</v>
      </c>
    </row>
    <row r="2324" spans="1:22" x14ac:dyDescent="0.35">
      <c r="A2324">
        <v>12323</v>
      </c>
      <c r="B2324" s="1">
        <v>46884</v>
      </c>
      <c r="C2324">
        <v>1885</v>
      </c>
      <c r="D2324" t="s">
        <v>73</v>
      </c>
      <c r="E2324" t="s">
        <v>78</v>
      </c>
      <c r="F2324">
        <v>3</v>
      </c>
      <c r="G2324" s="2">
        <v>25.15</v>
      </c>
      <c r="H2324">
        <v>0.1</v>
      </c>
      <c r="I2324" t="s">
        <v>68</v>
      </c>
      <c r="J2324">
        <v>5</v>
      </c>
      <c r="K2324">
        <v>4.7</v>
      </c>
      <c r="L2324" s="2">
        <v>67.900000000000006</v>
      </c>
      <c r="M2324">
        <v>2028</v>
      </c>
      <c r="N2324">
        <v>5</v>
      </c>
      <c r="O2324" t="s">
        <v>156</v>
      </c>
      <c r="P2324" s="2">
        <v>75.45</v>
      </c>
      <c r="Q2324" s="2">
        <v>7.55</v>
      </c>
      <c r="R2324" t="s">
        <v>69</v>
      </c>
      <c r="S2324">
        <v>1</v>
      </c>
      <c r="T2324">
        <v>0</v>
      </c>
      <c r="U2324">
        <f>IF(AND(OR(Dashboard!$D$4="Semua",D2324=Dashboard!$D$4),OR(Dashboard!$H$4="Semua",E2324=Dashboard!$H$4)),1,0)</f>
        <v>1</v>
      </c>
      <c r="V2324">
        <f>IF(U2324=1,IF(COUNTIFS($C$2:C2324,C2324,$U$2:U2324,1)=1,1,0),0)</f>
        <v>0</v>
      </c>
    </row>
    <row r="2325" spans="1:22" x14ac:dyDescent="0.35">
      <c r="A2325">
        <v>12324</v>
      </c>
      <c r="B2325" s="1">
        <v>46885</v>
      </c>
      <c r="C2325">
        <v>1704</v>
      </c>
      <c r="D2325" t="s">
        <v>67</v>
      </c>
      <c r="E2325" t="s">
        <v>70</v>
      </c>
      <c r="F2325">
        <v>7</v>
      </c>
      <c r="G2325" s="2">
        <v>596.49</v>
      </c>
      <c r="H2325">
        <v>0.1</v>
      </c>
      <c r="I2325" t="s">
        <v>71</v>
      </c>
      <c r="J2325">
        <v>8</v>
      </c>
      <c r="K2325">
        <v>2.4</v>
      </c>
      <c r="L2325" s="2">
        <v>3757.89</v>
      </c>
      <c r="M2325">
        <v>2028</v>
      </c>
      <c r="N2325">
        <v>5</v>
      </c>
      <c r="O2325" t="s">
        <v>156</v>
      </c>
      <c r="P2325" s="2">
        <v>4175.43</v>
      </c>
      <c r="Q2325" s="2">
        <v>417.54</v>
      </c>
      <c r="R2325" t="s">
        <v>69</v>
      </c>
      <c r="S2325">
        <v>1</v>
      </c>
      <c r="T2325">
        <v>1</v>
      </c>
      <c r="U2325">
        <f>IF(AND(OR(Dashboard!$D$4="Semua",D2325=Dashboard!$D$4),OR(Dashboard!$H$4="Semua",E2325=Dashboard!$H$4)),1,0)</f>
        <v>1</v>
      </c>
      <c r="V2325">
        <f>IF(U2325=1,IF(COUNTIFS($C$2:C2325,C2325,$U$2:U2325,1)=1,1,0),0)</f>
        <v>0</v>
      </c>
    </row>
    <row r="2326" spans="1:22" x14ac:dyDescent="0.35">
      <c r="A2326">
        <v>12325</v>
      </c>
      <c r="B2326" s="1">
        <v>46886</v>
      </c>
      <c r="C2326">
        <v>1021</v>
      </c>
      <c r="D2326" t="s">
        <v>73</v>
      </c>
      <c r="E2326" t="s">
        <v>74</v>
      </c>
      <c r="F2326">
        <v>4</v>
      </c>
      <c r="G2326" s="2">
        <v>332.97</v>
      </c>
      <c r="H2326">
        <v>0.28000000000000003</v>
      </c>
      <c r="I2326" t="s">
        <v>64</v>
      </c>
      <c r="J2326">
        <v>5</v>
      </c>
      <c r="K2326">
        <v>2.6</v>
      </c>
      <c r="L2326" s="2">
        <v>958.95</v>
      </c>
      <c r="M2326">
        <v>2028</v>
      </c>
      <c r="N2326">
        <v>5</v>
      </c>
      <c r="O2326" t="s">
        <v>156</v>
      </c>
      <c r="P2326" s="2">
        <v>1331.88</v>
      </c>
      <c r="Q2326" s="2">
        <v>372.93</v>
      </c>
      <c r="R2326" t="s">
        <v>66</v>
      </c>
      <c r="S2326">
        <v>1</v>
      </c>
      <c r="T2326">
        <v>0</v>
      </c>
      <c r="U2326">
        <f>IF(AND(OR(Dashboard!$D$4="Semua",D2326=Dashboard!$D$4),OR(Dashboard!$H$4="Semua",E2326=Dashboard!$H$4)),1,0)</f>
        <v>1</v>
      </c>
      <c r="V2326">
        <f>IF(U2326=1,IF(COUNTIFS($C$2:C2326,C2326,$U$2:U2326,1)=1,1,0),0)</f>
        <v>0</v>
      </c>
    </row>
    <row r="2327" spans="1:22" x14ac:dyDescent="0.35">
      <c r="A2327">
        <v>12326</v>
      </c>
      <c r="B2327" s="1">
        <v>46887</v>
      </c>
      <c r="C2327">
        <v>1473</v>
      </c>
      <c r="D2327" t="s">
        <v>67</v>
      </c>
      <c r="E2327" t="s">
        <v>63</v>
      </c>
      <c r="F2327">
        <v>5</v>
      </c>
      <c r="G2327" s="2">
        <v>292.07</v>
      </c>
      <c r="H2327">
        <v>0.33</v>
      </c>
      <c r="I2327" t="s">
        <v>68</v>
      </c>
      <c r="J2327">
        <v>7</v>
      </c>
      <c r="K2327">
        <v>2</v>
      </c>
      <c r="L2327" s="2">
        <v>978.43</v>
      </c>
      <c r="M2327">
        <v>2028</v>
      </c>
      <c r="N2327">
        <v>5</v>
      </c>
      <c r="O2327" t="s">
        <v>156</v>
      </c>
      <c r="P2327" s="2">
        <v>1460.35</v>
      </c>
      <c r="Q2327" s="2">
        <v>481.92</v>
      </c>
      <c r="R2327" t="s">
        <v>72</v>
      </c>
      <c r="S2327">
        <v>1</v>
      </c>
      <c r="T2327">
        <v>0</v>
      </c>
      <c r="U2327">
        <f>IF(AND(OR(Dashboard!$D$4="Semua",D2327=Dashboard!$D$4),OR(Dashboard!$H$4="Semua",E2327=Dashboard!$H$4)),1,0)</f>
        <v>1</v>
      </c>
      <c r="V2327">
        <f>IF(U2327=1,IF(COUNTIFS($C$2:C2327,C2327,$U$2:U2327,1)=1,1,0),0)</f>
        <v>0</v>
      </c>
    </row>
    <row r="2328" spans="1:22" x14ac:dyDescent="0.35">
      <c r="A2328">
        <v>12327</v>
      </c>
      <c r="B2328" s="1">
        <v>46888</v>
      </c>
      <c r="C2328">
        <v>1119</v>
      </c>
      <c r="D2328" t="s">
        <v>73</v>
      </c>
      <c r="E2328" t="s">
        <v>74</v>
      </c>
      <c r="F2328">
        <v>5</v>
      </c>
      <c r="G2328" s="2">
        <v>573.45000000000005</v>
      </c>
      <c r="H2328">
        <v>0.27</v>
      </c>
      <c r="I2328" t="s">
        <v>68</v>
      </c>
      <c r="J2328">
        <v>5</v>
      </c>
      <c r="K2328">
        <v>4.3</v>
      </c>
      <c r="L2328" s="2">
        <v>2093.09</v>
      </c>
      <c r="M2328">
        <v>2028</v>
      </c>
      <c r="N2328">
        <v>5</v>
      </c>
      <c r="O2328" t="s">
        <v>156</v>
      </c>
      <c r="P2328" s="2">
        <v>2867.25</v>
      </c>
      <c r="Q2328" s="2">
        <v>774.16</v>
      </c>
      <c r="R2328" t="s">
        <v>66</v>
      </c>
      <c r="S2328">
        <v>1</v>
      </c>
      <c r="T2328">
        <v>0</v>
      </c>
      <c r="U2328">
        <f>IF(AND(OR(Dashboard!$D$4="Semua",D2328=Dashboard!$D$4),OR(Dashboard!$H$4="Semua",E2328=Dashboard!$H$4)),1,0)</f>
        <v>1</v>
      </c>
      <c r="V2328">
        <f>IF(U2328=1,IF(COUNTIFS($C$2:C2328,C2328,$U$2:U2328,1)=1,1,0),0)</f>
        <v>0</v>
      </c>
    </row>
    <row r="2329" spans="1:22" x14ac:dyDescent="0.35">
      <c r="A2329">
        <v>12328</v>
      </c>
      <c r="B2329" s="1">
        <v>46889</v>
      </c>
      <c r="C2329">
        <v>1209</v>
      </c>
      <c r="D2329" t="s">
        <v>73</v>
      </c>
      <c r="E2329" t="s">
        <v>74</v>
      </c>
      <c r="F2329">
        <v>1</v>
      </c>
      <c r="G2329" s="2">
        <v>106.18</v>
      </c>
      <c r="H2329">
        <v>0.21</v>
      </c>
      <c r="I2329" t="s">
        <v>68</v>
      </c>
      <c r="J2329">
        <v>5</v>
      </c>
      <c r="K2329">
        <v>1.5</v>
      </c>
      <c r="L2329" s="2">
        <v>83.88</v>
      </c>
      <c r="M2329">
        <v>2028</v>
      </c>
      <c r="N2329">
        <v>5</v>
      </c>
      <c r="O2329" t="s">
        <v>156</v>
      </c>
      <c r="P2329" s="2">
        <v>106.18</v>
      </c>
      <c r="Q2329" s="2">
        <v>22.3</v>
      </c>
      <c r="R2329" t="s">
        <v>77</v>
      </c>
      <c r="S2329">
        <v>1</v>
      </c>
      <c r="T2329">
        <v>0</v>
      </c>
      <c r="U2329">
        <f>IF(AND(OR(Dashboard!$D$4="Semua",D2329=Dashboard!$D$4),OR(Dashboard!$H$4="Semua",E2329=Dashboard!$H$4)),1,0)</f>
        <v>1</v>
      </c>
      <c r="V2329">
        <f>IF(U2329=1,IF(COUNTIFS($C$2:C2329,C2329,$U$2:U2329,1)=1,1,0),0)</f>
        <v>0</v>
      </c>
    </row>
    <row r="2330" spans="1:22" x14ac:dyDescent="0.35">
      <c r="A2330">
        <v>12329</v>
      </c>
      <c r="B2330" s="1">
        <v>46890</v>
      </c>
      <c r="C2330">
        <v>1305</v>
      </c>
      <c r="D2330" t="s">
        <v>73</v>
      </c>
      <c r="E2330" t="s">
        <v>74</v>
      </c>
      <c r="F2330">
        <v>7</v>
      </c>
      <c r="G2330" s="2">
        <v>125.7</v>
      </c>
      <c r="H2330">
        <v>0.08</v>
      </c>
      <c r="I2330" t="s">
        <v>68</v>
      </c>
      <c r="J2330">
        <v>4</v>
      </c>
      <c r="K2330">
        <v>2.4</v>
      </c>
      <c r="L2330" s="2">
        <v>809.51</v>
      </c>
      <c r="M2330">
        <v>2028</v>
      </c>
      <c r="N2330">
        <v>5</v>
      </c>
      <c r="O2330" t="s">
        <v>156</v>
      </c>
      <c r="P2330" s="2">
        <v>879.9</v>
      </c>
      <c r="Q2330" s="2">
        <v>70.39</v>
      </c>
      <c r="R2330" t="s">
        <v>69</v>
      </c>
      <c r="S2330">
        <v>1</v>
      </c>
      <c r="T2330">
        <v>0</v>
      </c>
      <c r="U2330">
        <f>IF(AND(OR(Dashboard!$D$4="Semua",D2330=Dashboard!$D$4),OR(Dashboard!$H$4="Semua",E2330=Dashboard!$H$4)),1,0)</f>
        <v>1</v>
      </c>
      <c r="V2330">
        <f>IF(U2330=1,IF(COUNTIFS($C$2:C2330,C2330,$U$2:U2330,1)=1,1,0),0)</f>
        <v>0</v>
      </c>
    </row>
    <row r="2331" spans="1:22" x14ac:dyDescent="0.35">
      <c r="A2331">
        <v>12330</v>
      </c>
      <c r="B2331" s="1">
        <v>46891</v>
      </c>
      <c r="C2331">
        <v>1269</v>
      </c>
      <c r="D2331" t="s">
        <v>73</v>
      </c>
      <c r="E2331" t="s">
        <v>74</v>
      </c>
      <c r="F2331">
        <v>2</v>
      </c>
      <c r="G2331" s="2">
        <v>487.69</v>
      </c>
      <c r="H2331">
        <v>0.18</v>
      </c>
      <c r="I2331" t="s">
        <v>68</v>
      </c>
      <c r="J2331">
        <v>5</v>
      </c>
      <c r="K2331">
        <v>1</v>
      </c>
      <c r="L2331" s="2">
        <v>799.81</v>
      </c>
      <c r="M2331">
        <v>2028</v>
      </c>
      <c r="N2331">
        <v>5</v>
      </c>
      <c r="O2331" t="s">
        <v>156</v>
      </c>
      <c r="P2331" s="2">
        <v>975.38</v>
      </c>
      <c r="Q2331" s="2">
        <v>175.57</v>
      </c>
      <c r="R2331" t="s">
        <v>76</v>
      </c>
      <c r="S2331">
        <v>1</v>
      </c>
      <c r="T2331">
        <v>0</v>
      </c>
      <c r="U2331">
        <f>IF(AND(OR(Dashboard!$D$4="Semua",D2331=Dashboard!$D$4),OR(Dashboard!$H$4="Semua",E2331=Dashboard!$H$4)),1,0)</f>
        <v>1</v>
      </c>
      <c r="V2331">
        <f>IF(U2331=1,IF(COUNTIFS($C$2:C2331,C2331,$U$2:U2331,1)=1,1,0),0)</f>
        <v>0</v>
      </c>
    </row>
    <row r="2332" spans="1:22" x14ac:dyDescent="0.35">
      <c r="A2332">
        <v>12331</v>
      </c>
      <c r="B2332" s="1">
        <v>46892</v>
      </c>
      <c r="C2332">
        <v>1703</v>
      </c>
      <c r="D2332" t="s">
        <v>62</v>
      </c>
      <c r="E2332" t="s">
        <v>74</v>
      </c>
      <c r="F2332">
        <v>1</v>
      </c>
      <c r="G2332" s="2">
        <v>167.59</v>
      </c>
      <c r="H2332">
        <v>0.08</v>
      </c>
      <c r="I2332" t="s">
        <v>71</v>
      </c>
      <c r="J2332">
        <v>7</v>
      </c>
      <c r="K2332">
        <v>3.4</v>
      </c>
      <c r="L2332" s="2">
        <v>154.18</v>
      </c>
      <c r="M2332">
        <v>2028</v>
      </c>
      <c r="N2332">
        <v>5</v>
      </c>
      <c r="O2332" t="s">
        <v>156</v>
      </c>
      <c r="P2332" s="2">
        <v>167.59</v>
      </c>
      <c r="Q2332" s="2">
        <v>13.41</v>
      </c>
      <c r="R2332" t="s">
        <v>69</v>
      </c>
      <c r="S2332">
        <v>1</v>
      </c>
      <c r="T2332">
        <v>0</v>
      </c>
      <c r="U2332">
        <f>IF(AND(OR(Dashboard!$D$4="Semua",D2332=Dashboard!$D$4),OR(Dashboard!$H$4="Semua",E2332=Dashboard!$H$4)),1,0)</f>
        <v>1</v>
      </c>
      <c r="V2332">
        <f>IF(U2332=1,IF(COUNTIFS($C$2:C2332,C2332,$U$2:U2332,1)=1,1,0),0)</f>
        <v>0</v>
      </c>
    </row>
    <row r="2333" spans="1:22" x14ac:dyDescent="0.35">
      <c r="A2333">
        <v>12332</v>
      </c>
      <c r="B2333" s="1">
        <v>46893</v>
      </c>
      <c r="C2333">
        <v>1686</v>
      </c>
      <c r="D2333" t="s">
        <v>73</v>
      </c>
      <c r="E2333" t="s">
        <v>78</v>
      </c>
      <c r="F2333">
        <v>6</v>
      </c>
      <c r="G2333" s="2">
        <v>482.55</v>
      </c>
      <c r="H2333">
        <v>0.28000000000000003</v>
      </c>
      <c r="I2333" t="s">
        <v>68</v>
      </c>
      <c r="J2333">
        <v>3</v>
      </c>
      <c r="K2333">
        <v>3.6</v>
      </c>
      <c r="L2333" s="2">
        <v>2084.62</v>
      </c>
      <c r="M2333">
        <v>2028</v>
      </c>
      <c r="N2333">
        <v>5</v>
      </c>
      <c r="O2333" t="s">
        <v>156</v>
      </c>
      <c r="P2333" s="2">
        <v>2895.3</v>
      </c>
      <c r="Q2333" s="2">
        <v>810.68</v>
      </c>
      <c r="R2333" t="s">
        <v>66</v>
      </c>
      <c r="S2333">
        <v>1</v>
      </c>
      <c r="T2333">
        <v>0</v>
      </c>
      <c r="U2333">
        <f>IF(AND(OR(Dashboard!$D$4="Semua",D2333=Dashboard!$D$4),OR(Dashboard!$H$4="Semua",E2333=Dashboard!$H$4)),1,0)</f>
        <v>1</v>
      </c>
      <c r="V2333">
        <f>IF(U2333=1,IF(COUNTIFS($C$2:C2333,C2333,$U$2:U2333,1)=1,1,0),0)</f>
        <v>0</v>
      </c>
    </row>
    <row r="2334" spans="1:22" x14ac:dyDescent="0.35">
      <c r="A2334">
        <v>12333</v>
      </c>
      <c r="B2334" s="1">
        <v>46894</v>
      </c>
      <c r="C2334">
        <v>1284</v>
      </c>
      <c r="D2334" t="s">
        <v>67</v>
      </c>
      <c r="E2334" t="s">
        <v>70</v>
      </c>
      <c r="F2334">
        <v>3</v>
      </c>
      <c r="G2334" s="2">
        <v>173.85</v>
      </c>
      <c r="H2334">
        <v>0.14000000000000001</v>
      </c>
      <c r="I2334" t="s">
        <v>68</v>
      </c>
      <c r="J2334">
        <v>4</v>
      </c>
      <c r="K2334">
        <v>2</v>
      </c>
      <c r="L2334" s="2">
        <v>448.53</v>
      </c>
      <c r="M2334">
        <v>2028</v>
      </c>
      <c r="N2334">
        <v>5</v>
      </c>
      <c r="O2334" t="s">
        <v>156</v>
      </c>
      <c r="P2334" s="2">
        <v>521.54999999999995</v>
      </c>
      <c r="Q2334" s="2">
        <v>73.02</v>
      </c>
      <c r="R2334" t="s">
        <v>79</v>
      </c>
      <c r="S2334">
        <v>1</v>
      </c>
      <c r="T2334">
        <v>0</v>
      </c>
      <c r="U2334">
        <f>IF(AND(OR(Dashboard!$D$4="Semua",D2334=Dashboard!$D$4),OR(Dashboard!$H$4="Semua",E2334=Dashboard!$H$4)),1,0)</f>
        <v>1</v>
      </c>
      <c r="V2334">
        <f>IF(U2334=1,IF(COUNTIFS($C$2:C2334,C2334,$U$2:U2334,1)=1,1,0),0)</f>
        <v>0</v>
      </c>
    </row>
    <row r="2335" spans="1:22" x14ac:dyDescent="0.35">
      <c r="A2335">
        <v>12334</v>
      </c>
      <c r="B2335" s="1">
        <v>46895</v>
      </c>
      <c r="C2335">
        <v>1715</v>
      </c>
      <c r="D2335" t="s">
        <v>73</v>
      </c>
      <c r="E2335" t="s">
        <v>63</v>
      </c>
      <c r="F2335">
        <v>4</v>
      </c>
      <c r="G2335" s="2">
        <v>34.409999999999997</v>
      </c>
      <c r="H2335">
        <v>0.28999999999999998</v>
      </c>
      <c r="I2335" t="s">
        <v>71</v>
      </c>
      <c r="J2335">
        <v>8</v>
      </c>
      <c r="K2335">
        <v>3.9</v>
      </c>
      <c r="L2335" s="2">
        <v>97.72</v>
      </c>
      <c r="M2335">
        <v>2028</v>
      </c>
      <c r="N2335">
        <v>5</v>
      </c>
      <c r="O2335" t="s">
        <v>156</v>
      </c>
      <c r="P2335" s="2">
        <v>137.63999999999999</v>
      </c>
      <c r="Q2335" s="2">
        <v>39.92</v>
      </c>
      <c r="R2335" t="s">
        <v>66</v>
      </c>
      <c r="S2335">
        <v>1</v>
      </c>
      <c r="T2335">
        <v>0</v>
      </c>
      <c r="U2335">
        <f>IF(AND(OR(Dashboard!$D$4="Semua",D2335=Dashboard!$D$4),OR(Dashboard!$H$4="Semua",E2335=Dashboard!$H$4)),1,0)</f>
        <v>1</v>
      </c>
      <c r="V2335">
        <f>IF(U2335=1,IF(COUNTIFS($C$2:C2335,C2335,$U$2:U2335,1)=1,1,0),0)</f>
        <v>1</v>
      </c>
    </row>
    <row r="2336" spans="1:22" x14ac:dyDescent="0.35">
      <c r="A2336">
        <v>12335</v>
      </c>
      <c r="B2336" s="1">
        <v>46896</v>
      </c>
      <c r="C2336">
        <v>1675</v>
      </c>
      <c r="D2336" t="s">
        <v>73</v>
      </c>
      <c r="E2336" t="s">
        <v>74</v>
      </c>
      <c r="F2336">
        <v>7</v>
      </c>
      <c r="G2336" s="2">
        <v>317.45</v>
      </c>
      <c r="H2336">
        <v>0.13</v>
      </c>
      <c r="I2336" t="s">
        <v>64</v>
      </c>
      <c r="J2336">
        <v>6</v>
      </c>
      <c r="K2336">
        <v>2.5</v>
      </c>
      <c r="L2336" s="2">
        <v>1933.27</v>
      </c>
      <c r="M2336">
        <v>2028</v>
      </c>
      <c r="N2336">
        <v>5</v>
      </c>
      <c r="O2336" t="s">
        <v>156</v>
      </c>
      <c r="P2336" s="2">
        <v>2222.15</v>
      </c>
      <c r="Q2336" s="2">
        <v>288.88</v>
      </c>
      <c r="R2336" t="s">
        <v>79</v>
      </c>
      <c r="S2336">
        <v>1</v>
      </c>
      <c r="T2336">
        <v>0</v>
      </c>
      <c r="U2336">
        <f>IF(AND(OR(Dashboard!$D$4="Semua",D2336=Dashboard!$D$4),OR(Dashboard!$H$4="Semua",E2336=Dashboard!$H$4)),1,0)</f>
        <v>1</v>
      </c>
      <c r="V2336">
        <f>IF(U2336=1,IF(COUNTIFS($C$2:C2336,C2336,$U$2:U2336,1)=1,1,0),0)</f>
        <v>0</v>
      </c>
    </row>
    <row r="2337" spans="1:22" x14ac:dyDescent="0.35">
      <c r="A2337">
        <v>12336</v>
      </c>
      <c r="B2337" s="1">
        <v>46897</v>
      </c>
      <c r="C2337">
        <v>1762</v>
      </c>
      <c r="D2337" t="s">
        <v>62</v>
      </c>
      <c r="E2337" t="s">
        <v>63</v>
      </c>
      <c r="F2337">
        <v>5</v>
      </c>
      <c r="G2337" s="2">
        <v>130.06</v>
      </c>
      <c r="H2337">
        <v>0.28999999999999998</v>
      </c>
      <c r="I2337" t="s">
        <v>68</v>
      </c>
      <c r="J2337">
        <v>8</v>
      </c>
      <c r="K2337">
        <v>2.2000000000000002</v>
      </c>
      <c r="L2337" s="2">
        <v>461.71</v>
      </c>
      <c r="M2337">
        <v>2028</v>
      </c>
      <c r="N2337">
        <v>5</v>
      </c>
      <c r="O2337" t="s">
        <v>156</v>
      </c>
      <c r="P2337" s="2">
        <v>650.29999999999995</v>
      </c>
      <c r="Q2337" s="2">
        <v>188.59</v>
      </c>
      <c r="R2337" t="s">
        <v>66</v>
      </c>
      <c r="S2337">
        <v>1</v>
      </c>
      <c r="T2337">
        <v>0</v>
      </c>
      <c r="U2337">
        <f>IF(AND(OR(Dashboard!$D$4="Semua",D2337=Dashboard!$D$4),OR(Dashboard!$H$4="Semua",E2337=Dashboard!$H$4)),1,0)</f>
        <v>1</v>
      </c>
      <c r="V2337">
        <f>IF(U2337=1,IF(COUNTIFS($C$2:C2337,C2337,$U$2:U2337,1)=1,1,0),0)</f>
        <v>0</v>
      </c>
    </row>
    <row r="2338" spans="1:22" x14ac:dyDescent="0.35">
      <c r="A2338">
        <v>12337</v>
      </c>
      <c r="B2338" s="1">
        <v>46898</v>
      </c>
      <c r="C2338">
        <v>1226</v>
      </c>
      <c r="D2338" t="s">
        <v>73</v>
      </c>
      <c r="E2338" t="s">
        <v>78</v>
      </c>
      <c r="F2338">
        <v>2</v>
      </c>
      <c r="G2338" s="2">
        <v>458.34</v>
      </c>
      <c r="H2338">
        <v>0.12</v>
      </c>
      <c r="I2338" t="s">
        <v>71</v>
      </c>
      <c r="J2338">
        <v>11</v>
      </c>
      <c r="K2338">
        <v>4.8</v>
      </c>
      <c r="L2338" s="2">
        <v>806.68</v>
      </c>
      <c r="M2338">
        <v>2028</v>
      </c>
      <c r="N2338">
        <v>5</v>
      </c>
      <c r="O2338" t="s">
        <v>156</v>
      </c>
      <c r="P2338" s="2">
        <v>916.68</v>
      </c>
      <c r="Q2338" s="2">
        <v>110</v>
      </c>
      <c r="R2338" t="s">
        <v>79</v>
      </c>
      <c r="S2338">
        <v>1</v>
      </c>
      <c r="T2338">
        <v>0</v>
      </c>
      <c r="U2338">
        <f>IF(AND(OR(Dashboard!$D$4="Semua",D2338=Dashboard!$D$4),OR(Dashboard!$H$4="Semua",E2338=Dashboard!$H$4)),1,0)</f>
        <v>1</v>
      </c>
      <c r="V2338">
        <f>IF(U2338=1,IF(COUNTIFS($C$2:C2338,C2338,$U$2:U2338,1)=1,1,0),0)</f>
        <v>0</v>
      </c>
    </row>
    <row r="2339" spans="1:22" x14ac:dyDescent="0.35">
      <c r="A2339">
        <v>12338</v>
      </c>
      <c r="B2339" s="1">
        <v>46899</v>
      </c>
      <c r="C2339">
        <v>1947</v>
      </c>
      <c r="D2339" t="s">
        <v>62</v>
      </c>
      <c r="E2339" t="s">
        <v>70</v>
      </c>
      <c r="F2339">
        <v>5</v>
      </c>
      <c r="G2339" s="2">
        <v>390.1</v>
      </c>
      <c r="H2339">
        <v>0.15</v>
      </c>
      <c r="I2339" t="s">
        <v>68</v>
      </c>
      <c r="J2339">
        <v>2</v>
      </c>
      <c r="K2339">
        <v>3.4</v>
      </c>
      <c r="L2339" s="2">
        <v>1657.92</v>
      </c>
      <c r="M2339">
        <v>2028</v>
      </c>
      <c r="N2339">
        <v>5</v>
      </c>
      <c r="O2339" t="s">
        <v>156</v>
      </c>
      <c r="P2339" s="2">
        <v>1950.5</v>
      </c>
      <c r="Q2339" s="2">
        <v>292.58</v>
      </c>
      <c r="R2339" t="s">
        <v>79</v>
      </c>
      <c r="S2339">
        <v>1</v>
      </c>
      <c r="T2339">
        <v>0</v>
      </c>
      <c r="U2339">
        <f>IF(AND(OR(Dashboard!$D$4="Semua",D2339=Dashboard!$D$4),OR(Dashboard!$H$4="Semua",E2339=Dashboard!$H$4)),1,0)</f>
        <v>1</v>
      </c>
      <c r="V2339">
        <f>IF(U2339=1,IF(COUNTIFS($C$2:C2339,C2339,$U$2:U2339,1)=1,1,0),0)</f>
        <v>0</v>
      </c>
    </row>
    <row r="2340" spans="1:22" x14ac:dyDescent="0.35">
      <c r="A2340">
        <v>12339</v>
      </c>
      <c r="B2340" s="1">
        <v>46900</v>
      </c>
      <c r="C2340">
        <v>1380</v>
      </c>
      <c r="D2340" t="s">
        <v>73</v>
      </c>
      <c r="E2340" t="s">
        <v>74</v>
      </c>
      <c r="F2340">
        <v>7</v>
      </c>
      <c r="G2340" s="2">
        <v>555.30999999999995</v>
      </c>
      <c r="H2340">
        <v>0.22</v>
      </c>
      <c r="I2340" t="s">
        <v>64</v>
      </c>
      <c r="J2340">
        <v>9</v>
      </c>
      <c r="K2340">
        <v>2</v>
      </c>
      <c r="L2340" s="2">
        <v>3031.99</v>
      </c>
      <c r="M2340">
        <v>2028</v>
      </c>
      <c r="N2340">
        <v>5</v>
      </c>
      <c r="O2340" t="s">
        <v>156</v>
      </c>
      <c r="P2340" s="2">
        <v>3887.17</v>
      </c>
      <c r="Q2340" s="2">
        <v>855.18</v>
      </c>
      <c r="R2340" t="s">
        <v>77</v>
      </c>
      <c r="S2340">
        <v>1</v>
      </c>
      <c r="T2340">
        <v>0</v>
      </c>
      <c r="U2340">
        <f>IF(AND(OR(Dashboard!$D$4="Semua",D2340=Dashboard!$D$4),OR(Dashboard!$H$4="Semua",E2340=Dashboard!$H$4)),1,0)</f>
        <v>1</v>
      </c>
      <c r="V2340">
        <f>IF(U2340=1,IF(COUNTIFS($C$2:C2340,C2340,$U$2:U2340,1)=1,1,0),0)</f>
        <v>0</v>
      </c>
    </row>
    <row r="2341" spans="1:22" x14ac:dyDescent="0.35">
      <c r="A2341">
        <v>12340</v>
      </c>
      <c r="B2341" s="1">
        <v>46901</v>
      </c>
      <c r="C2341">
        <v>1459</v>
      </c>
      <c r="D2341" t="s">
        <v>80</v>
      </c>
      <c r="E2341" t="s">
        <v>78</v>
      </c>
      <c r="F2341">
        <v>6</v>
      </c>
      <c r="G2341" s="2">
        <v>473.05</v>
      </c>
      <c r="H2341">
        <v>0.02</v>
      </c>
      <c r="I2341" t="s">
        <v>71</v>
      </c>
      <c r="J2341">
        <v>7</v>
      </c>
      <c r="K2341">
        <v>4.9000000000000004</v>
      </c>
      <c r="L2341" s="2">
        <v>2781.53</v>
      </c>
      <c r="M2341">
        <v>2028</v>
      </c>
      <c r="N2341">
        <v>5</v>
      </c>
      <c r="O2341" t="s">
        <v>156</v>
      </c>
      <c r="P2341" s="2">
        <v>2838.3</v>
      </c>
      <c r="Q2341" s="2">
        <v>56.77</v>
      </c>
      <c r="R2341" t="s">
        <v>75</v>
      </c>
      <c r="S2341">
        <v>1</v>
      </c>
      <c r="T2341">
        <v>0</v>
      </c>
      <c r="U2341">
        <f>IF(AND(OR(Dashboard!$D$4="Semua",D2341=Dashboard!$D$4),OR(Dashboard!$H$4="Semua",E2341=Dashboard!$H$4)),1,0)</f>
        <v>1</v>
      </c>
      <c r="V2341">
        <f>IF(U2341=1,IF(COUNTIFS($C$2:C2341,C2341,$U$2:U2341,1)=1,1,0),0)</f>
        <v>0</v>
      </c>
    </row>
    <row r="2342" spans="1:22" x14ac:dyDescent="0.35">
      <c r="A2342">
        <v>12341</v>
      </c>
      <c r="B2342" s="1">
        <v>46902</v>
      </c>
      <c r="C2342">
        <v>1006</v>
      </c>
      <c r="D2342" t="s">
        <v>67</v>
      </c>
      <c r="E2342" t="s">
        <v>78</v>
      </c>
      <c r="F2342">
        <v>1</v>
      </c>
      <c r="G2342" s="2">
        <v>120.75</v>
      </c>
      <c r="H2342">
        <v>0.33</v>
      </c>
      <c r="I2342" t="s">
        <v>64</v>
      </c>
      <c r="J2342">
        <v>5</v>
      </c>
      <c r="K2342">
        <v>2.6</v>
      </c>
      <c r="L2342" s="2">
        <v>80.900000000000006</v>
      </c>
      <c r="M2342">
        <v>2028</v>
      </c>
      <c r="N2342">
        <v>5</v>
      </c>
      <c r="O2342" t="s">
        <v>156</v>
      </c>
      <c r="P2342" s="2">
        <v>120.75</v>
      </c>
      <c r="Q2342" s="2">
        <v>39.85</v>
      </c>
      <c r="R2342" t="s">
        <v>72</v>
      </c>
      <c r="S2342">
        <v>1</v>
      </c>
      <c r="T2342">
        <v>0</v>
      </c>
      <c r="U2342">
        <f>IF(AND(OR(Dashboard!$D$4="Semua",D2342=Dashboard!$D$4),OR(Dashboard!$H$4="Semua",E2342=Dashboard!$H$4)),1,0)</f>
        <v>1</v>
      </c>
      <c r="V2342">
        <f>IF(U2342=1,IF(COUNTIFS($C$2:C2342,C2342,$U$2:U2342,1)=1,1,0),0)</f>
        <v>0</v>
      </c>
    </row>
    <row r="2343" spans="1:22" x14ac:dyDescent="0.35">
      <c r="A2343">
        <v>12342</v>
      </c>
      <c r="B2343" s="1">
        <v>46903</v>
      </c>
      <c r="C2343">
        <v>1028</v>
      </c>
      <c r="D2343" t="s">
        <v>62</v>
      </c>
      <c r="E2343" t="s">
        <v>70</v>
      </c>
      <c r="F2343">
        <v>7</v>
      </c>
      <c r="G2343" s="2">
        <v>483.09</v>
      </c>
      <c r="H2343">
        <v>0.2</v>
      </c>
      <c r="I2343" t="s">
        <v>68</v>
      </c>
      <c r="J2343">
        <v>11</v>
      </c>
      <c r="K2343">
        <v>3.6</v>
      </c>
      <c r="L2343" s="2">
        <v>2705.3</v>
      </c>
      <c r="M2343">
        <v>2028</v>
      </c>
      <c r="N2343">
        <v>5</v>
      </c>
      <c r="O2343" t="s">
        <v>156</v>
      </c>
      <c r="P2343" s="2">
        <v>3381.63</v>
      </c>
      <c r="Q2343" s="2">
        <v>676.33</v>
      </c>
      <c r="R2343" t="s">
        <v>76</v>
      </c>
      <c r="S2343">
        <v>1</v>
      </c>
      <c r="T2343">
        <v>0</v>
      </c>
      <c r="U2343">
        <f>IF(AND(OR(Dashboard!$D$4="Semua",D2343=Dashboard!$D$4),OR(Dashboard!$H$4="Semua",E2343=Dashboard!$H$4)),1,0)</f>
        <v>1</v>
      </c>
      <c r="V2343">
        <f>IF(U2343=1,IF(COUNTIFS($C$2:C2343,C2343,$U$2:U2343,1)=1,1,0),0)</f>
        <v>0</v>
      </c>
    </row>
    <row r="2344" spans="1:22" x14ac:dyDescent="0.35">
      <c r="A2344">
        <v>12343</v>
      </c>
      <c r="B2344" s="1">
        <v>46904</v>
      </c>
      <c r="C2344">
        <v>1906</v>
      </c>
      <c r="D2344" t="s">
        <v>67</v>
      </c>
      <c r="E2344" t="s">
        <v>74</v>
      </c>
      <c r="F2344">
        <v>1</v>
      </c>
      <c r="G2344" s="2">
        <v>390.42</v>
      </c>
      <c r="H2344">
        <v>0.18</v>
      </c>
      <c r="I2344" t="s">
        <v>71</v>
      </c>
      <c r="J2344">
        <v>7</v>
      </c>
      <c r="K2344">
        <v>3.9</v>
      </c>
      <c r="L2344" s="2">
        <v>320.14</v>
      </c>
      <c r="M2344">
        <v>2028</v>
      </c>
      <c r="N2344">
        <v>5</v>
      </c>
      <c r="O2344" t="s">
        <v>156</v>
      </c>
      <c r="P2344" s="2">
        <v>390.42</v>
      </c>
      <c r="Q2344" s="2">
        <v>70.28</v>
      </c>
      <c r="R2344" t="s">
        <v>76</v>
      </c>
      <c r="S2344">
        <v>1</v>
      </c>
      <c r="T2344">
        <v>0</v>
      </c>
      <c r="U2344">
        <f>IF(AND(OR(Dashboard!$D$4="Semua",D2344=Dashboard!$D$4),OR(Dashboard!$H$4="Semua",E2344=Dashboard!$H$4)),1,0)</f>
        <v>1</v>
      </c>
      <c r="V2344">
        <f>IF(U2344=1,IF(COUNTIFS($C$2:C2344,C2344,$U$2:U2344,1)=1,1,0),0)</f>
        <v>0</v>
      </c>
    </row>
    <row r="2345" spans="1:22" x14ac:dyDescent="0.35">
      <c r="A2345">
        <v>12344</v>
      </c>
      <c r="B2345" s="1">
        <v>46905</v>
      </c>
      <c r="C2345">
        <v>1032</v>
      </c>
      <c r="D2345" t="s">
        <v>67</v>
      </c>
      <c r="E2345" t="s">
        <v>70</v>
      </c>
      <c r="F2345">
        <v>4</v>
      </c>
      <c r="G2345" s="2">
        <v>406.34</v>
      </c>
      <c r="H2345">
        <v>0.28999999999999998</v>
      </c>
      <c r="I2345" t="s">
        <v>71</v>
      </c>
      <c r="J2345">
        <v>2</v>
      </c>
      <c r="K2345">
        <v>2.7</v>
      </c>
      <c r="L2345" s="2">
        <v>1154.01</v>
      </c>
      <c r="M2345">
        <v>2028</v>
      </c>
      <c r="N2345">
        <v>6</v>
      </c>
      <c r="O2345" t="s">
        <v>157</v>
      </c>
      <c r="P2345" s="2">
        <v>1625.36</v>
      </c>
      <c r="Q2345" s="2">
        <v>471.35</v>
      </c>
      <c r="R2345" t="s">
        <v>66</v>
      </c>
      <c r="S2345">
        <v>1</v>
      </c>
      <c r="T2345">
        <v>0</v>
      </c>
      <c r="U2345">
        <f>IF(AND(OR(Dashboard!$D$4="Semua",D2345=Dashboard!$D$4),OR(Dashboard!$H$4="Semua",E2345=Dashboard!$H$4)),1,0)</f>
        <v>1</v>
      </c>
      <c r="V2345">
        <f>IF(U2345=1,IF(COUNTIFS($C$2:C2345,C2345,$U$2:U2345,1)=1,1,0),0)</f>
        <v>0</v>
      </c>
    </row>
    <row r="2346" spans="1:22" x14ac:dyDescent="0.35">
      <c r="A2346">
        <v>12345</v>
      </c>
      <c r="B2346" s="1">
        <v>46906</v>
      </c>
      <c r="C2346">
        <v>1645</v>
      </c>
      <c r="D2346" t="s">
        <v>73</v>
      </c>
      <c r="E2346" t="s">
        <v>70</v>
      </c>
      <c r="F2346">
        <v>2</v>
      </c>
      <c r="G2346" s="2">
        <v>501.87</v>
      </c>
      <c r="H2346">
        <v>0.3</v>
      </c>
      <c r="I2346" t="s">
        <v>68</v>
      </c>
      <c r="J2346">
        <v>11</v>
      </c>
      <c r="K2346">
        <v>3.1</v>
      </c>
      <c r="L2346" s="2">
        <v>702.62</v>
      </c>
      <c r="M2346">
        <v>2028</v>
      </c>
      <c r="N2346">
        <v>6</v>
      </c>
      <c r="O2346" t="s">
        <v>157</v>
      </c>
      <c r="P2346" s="2">
        <v>1003.74</v>
      </c>
      <c r="Q2346" s="2">
        <v>301.12</v>
      </c>
      <c r="R2346" t="s">
        <v>66</v>
      </c>
      <c r="S2346">
        <v>1</v>
      </c>
      <c r="T2346">
        <v>0</v>
      </c>
      <c r="U2346">
        <f>IF(AND(OR(Dashboard!$D$4="Semua",D2346=Dashboard!$D$4),OR(Dashboard!$H$4="Semua",E2346=Dashboard!$H$4)),1,0)</f>
        <v>1</v>
      </c>
      <c r="V2346">
        <f>IF(U2346=1,IF(COUNTIFS($C$2:C2346,C2346,$U$2:U2346,1)=1,1,0),0)</f>
        <v>0</v>
      </c>
    </row>
    <row r="2347" spans="1:22" x14ac:dyDescent="0.35">
      <c r="A2347">
        <v>12346</v>
      </c>
      <c r="B2347" s="1">
        <v>46907</v>
      </c>
      <c r="C2347">
        <v>1878</v>
      </c>
      <c r="D2347" t="s">
        <v>73</v>
      </c>
      <c r="E2347" t="s">
        <v>63</v>
      </c>
      <c r="F2347">
        <v>6</v>
      </c>
      <c r="G2347" s="2">
        <v>350.69</v>
      </c>
      <c r="H2347">
        <v>0.18</v>
      </c>
      <c r="I2347" t="s">
        <v>68</v>
      </c>
      <c r="J2347">
        <v>4</v>
      </c>
      <c r="K2347">
        <v>2</v>
      </c>
      <c r="L2347" s="2">
        <v>1725.39</v>
      </c>
      <c r="M2347">
        <v>2028</v>
      </c>
      <c r="N2347">
        <v>6</v>
      </c>
      <c r="O2347" t="s">
        <v>157</v>
      </c>
      <c r="P2347" s="2">
        <v>2104.14</v>
      </c>
      <c r="Q2347" s="2">
        <v>378.75</v>
      </c>
      <c r="R2347" t="s">
        <v>76</v>
      </c>
      <c r="S2347">
        <v>1</v>
      </c>
      <c r="T2347">
        <v>0</v>
      </c>
      <c r="U2347">
        <f>IF(AND(OR(Dashboard!$D$4="Semua",D2347=Dashboard!$D$4),OR(Dashboard!$H$4="Semua",E2347=Dashboard!$H$4)),1,0)</f>
        <v>1</v>
      </c>
      <c r="V2347">
        <f>IF(U2347=1,IF(COUNTIFS($C$2:C2347,C2347,$U$2:U2347,1)=1,1,0),0)</f>
        <v>0</v>
      </c>
    </row>
    <row r="2348" spans="1:22" x14ac:dyDescent="0.35">
      <c r="A2348">
        <v>12347</v>
      </c>
      <c r="B2348" s="1">
        <v>46908</v>
      </c>
      <c r="C2348">
        <v>1078</v>
      </c>
      <c r="D2348" t="s">
        <v>62</v>
      </c>
      <c r="E2348" t="s">
        <v>63</v>
      </c>
      <c r="F2348">
        <v>2</v>
      </c>
      <c r="G2348" s="2">
        <v>287.61</v>
      </c>
      <c r="H2348">
        <v>0.32</v>
      </c>
      <c r="I2348" t="s">
        <v>71</v>
      </c>
      <c r="J2348">
        <v>7</v>
      </c>
      <c r="K2348">
        <v>2.9</v>
      </c>
      <c r="L2348" s="2">
        <v>391.15</v>
      </c>
      <c r="M2348">
        <v>2028</v>
      </c>
      <c r="N2348">
        <v>6</v>
      </c>
      <c r="O2348" t="s">
        <v>157</v>
      </c>
      <c r="P2348" s="2">
        <v>575.22</v>
      </c>
      <c r="Q2348" s="2">
        <v>184.07</v>
      </c>
      <c r="R2348" t="s">
        <v>72</v>
      </c>
      <c r="S2348">
        <v>1</v>
      </c>
      <c r="T2348">
        <v>0</v>
      </c>
      <c r="U2348">
        <f>IF(AND(OR(Dashboard!$D$4="Semua",D2348=Dashboard!$D$4),OR(Dashboard!$H$4="Semua",E2348=Dashboard!$H$4)),1,0)</f>
        <v>1</v>
      </c>
      <c r="V2348">
        <f>IF(U2348=1,IF(COUNTIFS($C$2:C2348,C2348,$U$2:U2348,1)=1,1,0),0)</f>
        <v>1</v>
      </c>
    </row>
    <row r="2349" spans="1:22" x14ac:dyDescent="0.35">
      <c r="A2349">
        <v>12348</v>
      </c>
      <c r="B2349" s="1">
        <v>46909</v>
      </c>
      <c r="C2349">
        <v>1927</v>
      </c>
      <c r="D2349" t="s">
        <v>73</v>
      </c>
      <c r="E2349" t="s">
        <v>70</v>
      </c>
      <c r="F2349">
        <v>4</v>
      </c>
      <c r="G2349" s="2">
        <v>387.44</v>
      </c>
      <c r="H2349">
        <v>0.02</v>
      </c>
      <c r="I2349" t="s">
        <v>71</v>
      </c>
      <c r="J2349">
        <v>2</v>
      </c>
      <c r="K2349">
        <v>2.2000000000000002</v>
      </c>
      <c r="L2349" s="2">
        <v>1518.76</v>
      </c>
      <c r="M2349">
        <v>2028</v>
      </c>
      <c r="N2349">
        <v>6</v>
      </c>
      <c r="O2349" t="s">
        <v>157</v>
      </c>
      <c r="P2349" s="2">
        <v>1549.76</v>
      </c>
      <c r="Q2349" s="2">
        <v>31</v>
      </c>
      <c r="R2349" t="s">
        <v>75</v>
      </c>
      <c r="S2349">
        <v>1</v>
      </c>
      <c r="T2349">
        <v>0</v>
      </c>
      <c r="U2349">
        <f>IF(AND(OR(Dashboard!$D$4="Semua",D2349=Dashboard!$D$4),OR(Dashboard!$H$4="Semua",E2349=Dashboard!$H$4)),1,0)</f>
        <v>1</v>
      </c>
      <c r="V2349">
        <f>IF(U2349=1,IF(COUNTIFS($C$2:C2349,C2349,$U$2:U2349,1)=1,1,0),0)</f>
        <v>0</v>
      </c>
    </row>
    <row r="2350" spans="1:22" x14ac:dyDescent="0.35">
      <c r="A2350">
        <v>12349</v>
      </c>
      <c r="B2350" s="1">
        <v>46910</v>
      </c>
      <c r="C2350">
        <v>1946</v>
      </c>
      <c r="D2350" t="s">
        <v>67</v>
      </c>
      <c r="E2350" t="s">
        <v>63</v>
      </c>
      <c r="F2350">
        <v>6</v>
      </c>
      <c r="G2350" s="2">
        <v>189.31</v>
      </c>
      <c r="H2350">
        <v>0.04</v>
      </c>
      <c r="I2350" t="s">
        <v>68</v>
      </c>
      <c r="J2350">
        <v>8</v>
      </c>
      <c r="K2350">
        <v>3.2</v>
      </c>
      <c r="L2350" s="2">
        <v>1090.43</v>
      </c>
      <c r="M2350">
        <v>2028</v>
      </c>
      <c r="N2350">
        <v>6</v>
      </c>
      <c r="O2350" t="s">
        <v>157</v>
      </c>
      <c r="P2350" s="2">
        <v>1135.8599999999999</v>
      </c>
      <c r="Q2350" s="2">
        <v>45.43</v>
      </c>
      <c r="R2350" t="s">
        <v>75</v>
      </c>
      <c r="S2350">
        <v>1</v>
      </c>
      <c r="T2350">
        <v>0</v>
      </c>
      <c r="U2350">
        <f>IF(AND(OR(Dashboard!$D$4="Semua",D2350=Dashboard!$D$4),OR(Dashboard!$H$4="Semua",E2350=Dashboard!$H$4)),1,0)</f>
        <v>1</v>
      </c>
      <c r="V2350">
        <f>IF(U2350=1,IF(COUNTIFS($C$2:C2350,C2350,$U$2:U2350,1)=1,1,0),0)</f>
        <v>0</v>
      </c>
    </row>
    <row r="2351" spans="1:22" x14ac:dyDescent="0.35">
      <c r="A2351">
        <v>12350</v>
      </c>
      <c r="B2351" s="1">
        <v>46911</v>
      </c>
      <c r="C2351">
        <v>1458</v>
      </c>
      <c r="D2351" t="s">
        <v>80</v>
      </c>
      <c r="E2351" t="s">
        <v>78</v>
      </c>
      <c r="F2351">
        <v>6</v>
      </c>
      <c r="G2351" s="2">
        <v>121.82</v>
      </c>
      <c r="H2351">
        <v>0.21</v>
      </c>
      <c r="I2351" t="s">
        <v>71</v>
      </c>
      <c r="J2351">
        <v>10</v>
      </c>
      <c r="K2351">
        <v>3.7</v>
      </c>
      <c r="L2351" s="2">
        <v>577.42999999999995</v>
      </c>
      <c r="M2351">
        <v>2028</v>
      </c>
      <c r="N2351">
        <v>6</v>
      </c>
      <c r="O2351" t="s">
        <v>157</v>
      </c>
      <c r="P2351" s="2">
        <v>730.92</v>
      </c>
      <c r="Q2351" s="2">
        <v>153.49</v>
      </c>
      <c r="R2351" t="s">
        <v>77</v>
      </c>
      <c r="S2351">
        <v>1</v>
      </c>
      <c r="T2351">
        <v>0</v>
      </c>
      <c r="U2351">
        <f>IF(AND(OR(Dashboard!$D$4="Semua",D2351=Dashboard!$D$4),OR(Dashboard!$H$4="Semua",E2351=Dashboard!$H$4)),1,0)</f>
        <v>1</v>
      </c>
      <c r="V2351">
        <f>IF(U2351=1,IF(COUNTIFS($C$2:C2351,C2351,$U$2:U2351,1)=1,1,0),0)</f>
        <v>0</v>
      </c>
    </row>
    <row r="2352" spans="1:22" x14ac:dyDescent="0.35">
      <c r="A2352">
        <v>12351</v>
      </c>
      <c r="B2352" s="1">
        <v>46912</v>
      </c>
      <c r="C2352">
        <v>1569</v>
      </c>
      <c r="D2352" t="s">
        <v>73</v>
      </c>
      <c r="E2352" t="s">
        <v>70</v>
      </c>
      <c r="F2352">
        <v>1</v>
      </c>
      <c r="G2352" s="2">
        <v>375.7</v>
      </c>
      <c r="H2352">
        <v>0.12</v>
      </c>
      <c r="I2352" t="s">
        <v>68</v>
      </c>
      <c r="J2352">
        <v>10</v>
      </c>
      <c r="K2352">
        <v>3.5</v>
      </c>
      <c r="L2352" s="2">
        <v>330.62</v>
      </c>
      <c r="M2352">
        <v>2028</v>
      </c>
      <c r="N2352">
        <v>6</v>
      </c>
      <c r="O2352" t="s">
        <v>157</v>
      </c>
      <c r="P2352" s="2">
        <v>375.7</v>
      </c>
      <c r="Q2352" s="2">
        <v>45.08</v>
      </c>
      <c r="R2352" t="s">
        <v>79</v>
      </c>
      <c r="S2352">
        <v>1</v>
      </c>
      <c r="T2352">
        <v>0</v>
      </c>
      <c r="U2352">
        <f>IF(AND(OR(Dashboard!$D$4="Semua",D2352=Dashboard!$D$4),OR(Dashboard!$H$4="Semua",E2352=Dashboard!$H$4)),1,0)</f>
        <v>1</v>
      </c>
      <c r="V2352">
        <f>IF(U2352=1,IF(COUNTIFS($C$2:C2352,C2352,$U$2:U2352,1)=1,1,0),0)</f>
        <v>0</v>
      </c>
    </row>
    <row r="2353" spans="1:22" x14ac:dyDescent="0.35">
      <c r="A2353">
        <v>12352</v>
      </c>
      <c r="B2353" s="1">
        <v>46913</v>
      </c>
      <c r="C2353">
        <v>1982</v>
      </c>
      <c r="D2353" t="s">
        <v>62</v>
      </c>
      <c r="E2353" t="s">
        <v>74</v>
      </c>
      <c r="F2353">
        <v>1</v>
      </c>
      <c r="G2353" s="2">
        <v>151.80000000000001</v>
      </c>
      <c r="H2353">
        <v>0.16</v>
      </c>
      <c r="I2353" t="s">
        <v>68</v>
      </c>
      <c r="J2353">
        <v>11</v>
      </c>
      <c r="K2353">
        <v>4.0999999999999996</v>
      </c>
      <c r="L2353" s="2">
        <v>127.51</v>
      </c>
      <c r="M2353">
        <v>2028</v>
      </c>
      <c r="N2353">
        <v>6</v>
      </c>
      <c r="O2353" t="s">
        <v>157</v>
      </c>
      <c r="P2353" s="2">
        <v>151.80000000000001</v>
      </c>
      <c r="Q2353" s="2">
        <v>24.29</v>
      </c>
      <c r="R2353" t="s">
        <v>76</v>
      </c>
      <c r="S2353">
        <v>1</v>
      </c>
      <c r="T2353">
        <v>0</v>
      </c>
      <c r="U2353">
        <f>IF(AND(OR(Dashboard!$D$4="Semua",D2353=Dashboard!$D$4),OR(Dashboard!$H$4="Semua",E2353=Dashboard!$H$4)),1,0)</f>
        <v>1</v>
      </c>
      <c r="V2353">
        <f>IF(U2353=1,IF(COUNTIFS($C$2:C2353,C2353,$U$2:U2353,1)=1,1,0),0)</f>
        <v>0</v>
      </c>
    </row>
    <row r="2354" spans="1:22" x14ac:dyDescent="0.35">
      <c r="A2354">
        <v>12353</v>
      </c>
      <c r="B2354" s="1">
        <v>46914</v>
      </c>
      <c r="C2354">
        <v>1537</v>
      </c>
      <c r="D2354" t="s">
        <v>80</v>
      </c>
      <c r="E2354" t="s">
        <v>74</v>
      </c>
      <c r="F2354">
        <v>1</v>
      </c>
      <c r="G2354" s="2">
        <v>61.75</v>
      </c>
      <c r="H2354">
        <v>0.11</v>
      </c>
      <c r="I2354" t="s">
        <v>71</v>
      </c>
      <c r="J2354">
        <v>5</v>
      </c>
      <c r="K2354">
        <v>1.2</v>
      </c>
      <c r="L2354" s="2">
        <v>54.96</v>
      </c>
      <c r="M2354">
        <v>2028</v>
      </c>
      <c r="N2354">
        <v>6</v>
      </c>
      <c r="O2354" t="s">
        <v>157</v>
      </c>
      <c r="P2354" s="2">
        <v>61.75</v>
      </c>
      <c r="Q2354" s="2">
        <v>6.79</v>
      </c>
      <c r="R2354" t="s">
        <v>79</v>
      </c>
      <c r="S2354">
        <v>1</v>
      </c>
      <c r="T2354">
        <v>0</v>
      </c>
      <c r="U2354">
        <f>IF(AND(OR(Dashboard!$D$4="Semua",D2354=Dashboard!$D$4),OR(Dashboard!$H$4="Semua",E2354=Dashboard!$H$4)),1,0)</f>
        <v>1</v>
      </c>
      <c r="V2354">
        <f>IF(U2354=1,IF(COUNTIFS($C$2:C2354,C2354,$U$2:U2354,1)=1,1,0),0)</f>
        <v>0</v>
      </c>
    </row>
    <row r="2355" spans="1:22" x14ac:dyDescent="0.35">
      <c r="A2355">
        <v>12354</v>
      </c>
      <c r="B2355" s="1">
        <v>46915</v>
      </c>
      <c r="C2355">
        <v>1481</v>
      </c>
      <c r="D2355" t="s">
        <v>67</v>
      </c>
      <c r="E2355" t="s">
        <v>78</v>
      </c>
      <c r="F2355">
        <v>5</v>
      </c>
      <c r="G2355" s="2">
        <v>15.32</v>
      </c>
      <c r="H2355">
        <v>0.14000000000000001</v>
      </c>
      <c r="I2355" t="s">
        <v>68</v>
      </c>
      <c r="J2355">
        <v>5</v>
      </c>
      <c r="K2355">
        <v>1.3</v>
      </c>
      <c r="L2355" s="2">
        <v>65.88</v>
      </c>
      <c r="M2355">
        <v>2028</v>
      </c>
      <c r="N2355">
        <v>6</v>
      </c>
      <c r="O2355" t="s">
        <v>157</v>
      </c>
      <c r="P2355" s="2">
        <v>76.599999999999994</v>
      </c>
      <c r="Q2355" s="2">
        <v>10.72</v>
      </c>
      <c r="R2355" t="s">
        <v>79</v>
      </c>
      <c r="S2355">
        <v>1</v>
      </c>
      <c r="T2355">
        <v>0</v>
      </c>
      <c r="U2355">
        <f>IF(AND(OR(Dashboard!$D$4="Semua",D2355=Dashboard!$D$4),OR(Dashboard!$H$4="Semua",E2355=Dashboard!$H$4)),1,0)</f>
        <v>1</v>
      </c>
      <c r="V2355">
        <f>IF(U2355=1,IF(COUNTIFS($C$2:C2355,C2355,$U$2:U2355,1)=1,1,0),0)</f>
        <v>0</v>
      </c>
    </row>
    <row r="2356" spans="1:22" x14ac:dyDescent="0.35">
      <c r="A2356">
        <v>12355</v>
      </c>
      <c r="B2356" s="1">
        <v>46916</v>
      </c>
      <c r="C2356">
        <v>1429</v>
      </c>
      <c r="D2356" t="s">
        <v>62</v>
      </c>
      <c r="E2356" t="s">
        <v>74</v>
      </c>
      <c r="F2356">
        <v>3</v>
      </c>
      <c r="G2356" s="2">
        <v>370.87</v>
      </c>
      <c r="H2356">
        <v>0.28999999999999998</v>
      </c>
      <c r="I2356" t="s">
        <v>68</v>
      </c>
      <c r="J2356">
        <v>8</v>
      </c>
      <c r="K2356">
        <v>1.8</v>
      </c>
      <c r="L2356" s="2">
        <v>789.95</v>
      </c>
      <c r="M2356">
        <v>2028</v>
      </c>
      <c r="N2356">
        <v>6</v>
      </c>
      <c r="O2356" t="s">
        <v>157</v>
      </c>
      <c r="P2356" s="2">
        <v>1112.6099999999999</v>
      </c>
      <c r="Q2356" s="2">
        <v>322.66000000000003</v>
      </c>
      <c r="R2356" t="s">
        <v>66</v>
      </c>
      <c r="S2356">
        <v>1</v>
      </c>
      <c r="T2356">
        <v>0</v>
      </c>
      <c r="U2356">
        <f>IF(AND(OR(Dashboard!$D$4="Semua",D2356=Dashboard!$D$4),OR(Dashboard!$H$4="Semua",E2356=Dashboard!$H$4)),1,0)</f>
        <v>1</v>
      </c>
      <c r="V2356">
        <f>IF(U2356=1,IF(COUNTIFS($C$2:C2356,C2356,$U$2:U2356,1)=1,1,0),0)</f>
        <v>1</v>
      </c>
    </row>
    <row r="2357" spans="1:22" x14ac:dyDescent="0.35">
      <c r="A2357">
        <v>12356</v>
      </c>
      <c r="B2357" s="1">
        <v>46917</v>
      </c>
      <c r="C2357">
        <v>1737</v>
      </c>
      <c r="D2357" t="s">
        <v>73</v>
      </c>
      <c r="E2357" t="s">
        <v>74</v>
      </c>
      <c r="F2357">
        <v>7</v>
      </c>
      <c r="G2357" s="2">
        <v>226.86</v>
      </c>
      <c r="H2357">
        <v>0.21</v>
      </c>
      <c r="I2357" t="s">
        <v>68</v>
      </c>
      <c r="J2357">
        <v>1</v>
      </c>
      <c r="K2357">
        <v>4.9000000000000004</v>
      </c>
      <c r="L2357" s="2">
        <v>1254.54</v>
      </c>
      <c r="M2357">
        <v>2028</v>
      </c>
      <c r="N2357">
        <v>6</v>
      </c>
      <c r="O2357" t="s">
        <v>157</v>
      </c>
      <c r="P2357" s="2">
        <v>1588.02</v>
      </c>
      <c r="Q2357" s="2">
        <v>333.48</v>
      </c>
      <c r="R2357" t="s">
        <v>77</v>
      </c>
      <c r="S2357">
        <v>1</v>
      </c>
      <c r="T2357">
        <v>0</v>
      </c>
      <c r="U2357">
        <f>IF(AND(OR(Dashboard!$D$4="Semua",D2357=Dashboard!$D$4),OR(Dashboard!$H$4="Semua",E2357=Dashboard!$H$4)),1,0)</f>
        <v>1</v>
      </c>
      <c r="V2357">
        <f>IF(U2357=1,IF(COUNTIFS($C$2:C2357,C2357,$U$2:U2357,1)=1,1,0),0)</f>
        <v>0</v>
      </c>
    </row>
    <row r="2358" spans="1:22" x14ac:dyDescent="0.35">
      <c r="A2358">
        <v>12357</v>
      </c>
      <c r="B2358" s="1">
        <v>46918</v>
      </c>
      <c r="C2358">
        <v>1284</v>
      </c>
      <c r="D2358" t="s">
        <v>73</v>
      </c>
      <c r="E2358" t="s">
        <v>70</v>
      </c>
      <c r="F2358">
        <v>1</v>
      </c>
      <c r="G2358" s="2">
        <v>455.1</v>
      </c>
      <c r="H2358">
        <v>0.35</v>
      </c>
      <c r="I2358" t="s">
        <v>71</v>
      </c>
      <c r="J2358">
        <v>6</v>
      </c>
      <c r="K2358">
        <v>4.2</v>
      </c>
      <c r="L2358" s="2">
        <v>295.82</v>
      </c>
      <c r="M2358">
        <v>2028</v>
      </c>
      <c r="N2358">
        <v>6</v>
      </c>
      <c r="O2358" t="s">
        <v>157</v>
      </c>
      <c r="P2358" s="2">
        <v>455.1</v>
      </c>
      <c r="Q2358" s="2">
        <v>159.28</v>
      </c>
      <c r="R2358" t="s">
        <v>72</v>
      </c>
      <c r="S2358">
        <v>1</v>
      </c>
      <c r="T2358">
        <v>0</v>
      </c>
      <c r="U2358">
        <f>IF(AND(OR(Dashboard!$D$4="Semua",D2358=Dashboard!$D$4),OR(Dashboard!$H$4="Semua",E2358=Dashboard!$H$4)),1,0)</f>
        <v>1</v>
      </c>
      <c r="V2358">
        <f>IF(U2358=1,IF(COUNTIFS($C$2:C2358,C2358,$U$2:U2358,1)=1,1,0),0)</f>
        <v>0</v>
      </c>
    </row>
    <row r="2359" spans="1:22" x14ac:dyDescent="0.35">
      <c r="A2359">
        <v>12358</v>
      </c>
      <c r="B2359" s="1">
        <v>46919</v>
      </c>
      <c r="C2359">
        <v>1515</v>
      </c>
      <c r="D2359" t="s">
        <v>67</v>
      </c>
      <c r="E2359" t="s">
        <v>78</v>
      </c>
      <c r="F2359">
        <v>3</v>
      </c>
      <c r="G2359" s="2">
        <v>234.48</v>
      </c>
      <c r="H2359">
        <v>0.28000000000000003</v>
      </c>
      <c r="I2359" t="s">
        <v>71</v>
      </c>
      <c r="J2359">
        <v>2</v>
      </c>
      <c r="K2359">
        <v>4.7</v>
      </c>
      <c r="L2359" s="2">
        <v>506.48</v>
      </c>
      <c r="M2359">
        <v>2028</v>
      </c>
      <c r="N2359">
        <v>6</v>
      </c>
      <c r="O2359" t="s">
        <v>157</v>
      </c>
      <c r="P2359" s="2">
        <v>703.44</v>
      </c>
      <c r="Q2359" s="2">
        <v>196.96</v>
      </c>
      <c r="R2359" t="s">
        <v>66</v>
      </c>
      <c r="S2359">
        <v>1</v>
      </c>
      <c r="T2359">
        <v>0</v>
      </c>
      <c r="U2359">
        <f>IF(AND(OR(Dashboard!$D$4="Semua",D2359=Dashboard!$D$4),OR(Dashboard!$H$4="Semua",E2359=Dashboard!$H$4)),1,0)</f>
        <v>1</v>
      </c>
      <c r="V2359">
        <f>IF(U2359=1,IF(COUNTIFS($C$2:C2359,C2359,$U$2:U2359,1)=1,1,0),0)</f>
        <v>0</v>
      </c>
    </row>
    <row r="2360" spans="1:22" x14ac:dyDescent="0.35">
      <c r="A2360">
        <v>12359</v>
      </c>
      <c r="B2360" s="1">
        <v>46920</v>
      </c>
      <c r="C2360">
        <v>1976</v>
      </c>
      <c r="D2360" t="s">
        <v>73</v>
      </c>
      <c r="E2360" t="s">
        <v>70</v>
      </c>
      <c r="F2360">
        <v>3</v>
      </c>
      <c r="G2360" s="2">
        <v>299.31</v>
      </c>
      <c r="H2360">
        <v>0.1</v>
      </c>
      <c r="I2360" t="s">
        <v>64</v>
      </c>
      <c r="J2360">
        <v>1</v>
      </c>
      <c r="K2360">
        <v>2.1</v>
      </c>
      <c r="L2360" s="2">
        <v>808.14</v>
      </c>
      <c r="M2360">
        <v>2028</v>
      </c>
      <c r="N2360">
        <v>6</v>
      </c>
      <c r="O2360" t="s">
        <v>157</v>
      </c>
      <c r="P2360" s="2">
        <v>897.93</v>
      </c>
      <c r="Q2360" s="2">
        <v>89.79</v>
      </c>
      <c r="R2360" t="s">
        <v>69</v>
      </c>
      <c r="S2360">
        <v>1</v>
      </c>
      <c r="T2360">
        <v>0</v>
      </c>
      <c r="U2360">
        <f>IF(AND(OR(Dashboard!$D$4="Semua",D2360=Dashboard!$D$4),OR(Dashboard!$H$4="Semua",E2360=Dashboard!$H$4)),1,0)</f>
        <v>1</v>
      </c>
      <c r="V2360">
        <f>IF(U2360=1,IF(COUNTIFS($C$2:C2360,C2360,$U$2:U2360,1)=1,1,0),0)</f>
        <v>0</v>
      </c>
    </row>
    <row r="2361" spans="1:22" x14ac:dyDescent="0.35">
      <c r="A2361">
        <v>12360</v>
      </c>
      <c r="B2361" s="1">
        <v>46921</v>
      </c>
      <c r="C2361">
        <v>1098</v>
      </c>
      <c r="D2361" t="s">
        <v>80</v>
      </c>
      <c r="E2361" t="s">
        <v>78</v>
      </c>
      <c r="F2361">
        <v>2</v>
      </c>
      <c r="G2361" s="2">
        <v>253.14</v>
      </c>
      <c r="H2361">
        <v>0.09</v>
      </c>
      <c r="I2361" t="s">
        <v>68</v>
      </c>
      <c r="J2361">
        <v>7</v>
      </c>
      <c r="K2361">
        <v>3.3</v>
      </c>
      <c r="L2361" s="2">
        <v>460.71</v>
      </c>
      <c r="M2361">
        <v>2028</v>
      </c>
      <c r="N2361">
        <v>6</v>
      </c>
      <c r="O2361" t="s">
        <v>157</v>
      </c>
      <c r="P2361" s="2">
        <v>506.28</v>
      </c>
      <c r="Q2361" s="2">
        <v>45.57</v>
      </c>
      <c r="R2361" t="s">
        <v>69</v>
      </c>
      <c r="S2361">
        <v>1</v>
      </c>
      <c r="T2361">
        <v>0</v>
      </c>
      <c r="U2361">
        <f>IF(AND(OR(Dashboard!$D$4="Semua",D2361=Dashboard!$D$4),OR(Dashboard!$H$4="Semua",E2361=Dashboard!$H$4)),1,0)</f>
        <v>1</v>
      </c>
      <c r="V2361">
        <f>IF(U2361=1,IF(COUNTIFS($C$2:C2361,C2361,$U$2:U2361,1)=1,1,0),0)</f>
        <v>0</v>
      </c>
    </row>
    <row r="2362" spans="1:22" x14ac:dyDescent="0.35">
      <c r="A2362">
        <v>12361</v>
      </c>
      <c r="B2362" s="1">
        <v>46922</v>
      </c>
      <c r="C2362">
        <v>1396</v>
      </c>
      <c r="D2362" t="s">
        <v>62</v>
      </c>
      <c r="E2362" t="s">
        <v>70</v>
      </c>
      <c r="F2362">
        <v>4</v>
      </c>
      <c r="G2362" s="2">
        <v>395.59</v>
      </c>
      <c r="H2362">
        <v>0.12</v>
      </c>
      <c r="I2362" t="s">
        <v>71</v>
      </c>
      <c r="J2362">
        <v>4</v>
      </c>
      <c r="K2362">
        <v>3.2</v>
      </c>
      <c r="L2362" s="2">
        <v>1392.48</v>
      </c>
      <c r="M2362">
        <v>2028</v>
      </c>
      <c r="N2362">
        <v>6</v>
      </c>
      <c r="O2362" t="s">
        <v>157</v>
      </c>
      <c r="P2362" s="2">
        <v>1582.36</v>
      </c>
      <c r="Q2362" s="2">
        <v>189.88</v>
      </c>
      <c r="R2362" t="s">
        <v>79</v>
      </c>
      <c r="S2362">
        <v>1</v>
      </c>
      <c r="T2362">
        <v>0</v>
      </c>
      <c r="U2362">
        <f>IF(AND(OR(Dashboard!$D$4="Semua",D2362=Dashboard!$D$4),OR(Dashboard!$H$4="Semua",E2362=Dashboard!$H$4)),1,0)</f>
        <v>1</v>
      </c>
      <c r="V2362">
        <f>IF(U2362=1,IF(COUNTIFS($C$2:C2362,C2362,$U$2:U2362,1)=1,1,0),0)</f>
        <v>0</v>
      </c>
    </row>
    <row r="2363" spans="1:22" x14ac:dyDescent="0.35">
      <c r="A2363">
        <v>12362</v>
      </c>
      <c r="B2363" s="1">
        <v>46923</v>
      </c>
      <c r="C2363">
        <v>1488</v>
      </c>
      <c r="D2363" t="s">
        <v>67</v>
      </c>
      <c r="E2363" t="s">
        <v>70</v>
      </c>
      <c r="F2363">
        <v>5</v>
      </c>
      <c r="G2363" s="2">
        <v>223.34</v>
      </c>
      <c r="H2363">
        <v>0.3</v>
      </c>
      <c r="I2363" t="s">
        <v>68</v>
      </c>
      <c r="J2363">
        <v>1</v>
      </c>
      <c r="K2363">
        <v>3.3</v>
      </c>
      <c r="L2363" s="2">
        <v>781.69</v>
      </c>
      <c r="M2363">
        <v>2028</v>
      </c>
      <c r="N2363">
        <v>6</v>
      </c>
      <c r="O2363" t="s">
        <v>157</v>
      </c>
      <c r="P2363" s="2">
        <v>1116.7</v>
      </c>
      <c r="Q2363" s="2">
        <v>335.01</v>
      </c>
      <c r="R2363" t="s">
        <v>66</v>
      </c>
      <c r="S2363">
        <v>1</v>
      </c>
      <c r="T2363">
        <v>0</v>
      </c>
      <c r="U2363">
        <f>IF(AND(OR(Dashboard!$D$4="Semua",D2363=Dashboard!$D$4),OR(Dashboard!$H$4="Semua",E2363=Dashboard!$H$4)),1,0)</f>
        <v>1</v>
      </c>
      <c r="V2363">
        <f>IF(U2363=1,IF(COUNTIFS($C$2:C2363,C2363,$U$2:U2363,1)=1,1,0),0)</f>
        <v>0</v>
      </c>
    </row>
    <row r="2364" spans="1:22" x14ac:dyDescent="0.35">
      <c r="A2364">
        <v>12363</v>
      </c>
      <c r="B2364" s="1">
        <v>46924</v>
      </c>
      <c r="C2364">
        <v>1038</v>
      </c>
      <c r="D2364" t="s">
        <v>73</v>
      </c>
      <c r="E2364" t="s">
        <v>63</v>
      </c>
      <c r="F2364">
        <v>3</v>
      </c>
      <c r="G2364" s="2">
        <v>578.79999999999995</v>
      </c>
      <c r="H2364">
        <v>0.01</v>
      </c>
      <c r="I2364" t="s">
        <v>71</v>
      </c>
      <c r="J2364">
        <v>10</v>
      </c>
      <c r="K2364">
        <v>3.9</v>
      </c>
      <c r="L2364" s="2">
        <v>1719.04</v>
      </c>
      <c r="M2364">
        <v>2028</v>
      </c>
      <c r="N2364">
        <v>6</v>
      </c>
      <c r="O2364" t="s">
        <v>157</v>
      </c>
      <c r="P2364" s="2">
        <v>1736.4</v>
      </c>
      <c r="Q2364" s="2">
        <v>17.36</v>
      </c>
      <c r="R2364" t="s">
        <v>75</v>
      </c>
      <c r="S2364">
        <v>1</v>
      </c>
      <c r="T2364">
        <v>0</v>
      </c>
      <c r="U2364">
        <f>IF(AND(OR(Dashboard!$D$4="Semua",D2364=Dashboard!$D$4),OR(Dashboard!$H$4="Semua",E2364=Dashboard!$H$4)),1,0)</f>
        <v>1</v>
      </c>
      <c r="V2364">
        <f>IF(U2364=1,IF(COUNTIFS($C$2:C2364,C2364,$U$2:U2364,1)=1,1,0),0)</f>
        <v>0</v>
      </c>
    </row>
    <row r="2365" spans="1:22" x14ac:dyDescent="0.35">
      <c r="A2365">
        <v>12364</v>
      </c>
      <c r="B2365" s="1">
        <v>46925</v>
      </c>
      <c r="C2365">
        <v>1270</v>
      </c>
      <c r="D2365" t="s">
        <v>62</v>
      </c>
      <c r="E2365" t="s">
        <v>74</v>
      </c>
      <c r="F2365">
        <v>7</v>
      </c>
      <c r="G2365" s="2">
        <v>562.65</v>
      </c>
      <c r="H2365">
        <v>0.08</v>
      </c>
      <c r="I2365" t="s">
        <v>71</v>
      </c>
      <c r="J2365">
        <v>11</v>
      </c>
      <c r="K2365">
        <v>2.6</v>
      </c>
      <c r="L2365" s="2">
        <v>3623.47</v>
      </c>
      <c r="M2365">
        <v>2028</v>
      </c>
      <c r="N2365">
        <v>6</v>
      </c>
      <c r="O2365" t="s">
        <v>157</v>
      </c>
      <c r="P2365" s="2">
        <v>3938.55</v>
      </c>
      <c r="Q2365" s="2">
        <v>315.08</v>
      </c>
      <c r="R2365" t="s">
        <v>69</v>
      </c>
      <c r="S2365">
        <v>1</v>
      </c>
      <c r="T2365">
        <v>1</v>
      </c>
      <c r="U2365">
        <f>IF(AND(OR(Dashboard!$D$4="Semua",D2365=Dashboard!$D$4),OR(Dashboard!$H$4="Semua",E2365=Dashboard!$H$4)),1,0)</f>
        <v>1</v>
      </c>
      <c r="V2365">
        <f>IF(U2365=1,IF(COUNTIFS($C$2:C2365,C2365,$U$2:U2365,1)=1,1,0),0)</f>
        <v>0</v>
      </c>
    </row>
    <row r="2366" spans="1:22" x14ac:dyDescent="0.35">
      <c r="A2366">
        <v>12365</v>
      </c>
      <c r="B2366" s="1">
        <v>46926</v>
      </c>
      <c r="C2366">
        <v>1886</v>
      </c>
      <c r="D2366" t="s">
        <v>67</v>
      </c>
      <c r="E2366" t="s">
        <v>78</v>
      </c>
      <c r="F2366">
        <v>5</v>
      </c>
      <c r="G2366" s="2">
        <v>511.1</v>
      </c>
      <c r="H2366">
        <v>0.32</v>
      </c>
      <c r="I2366" t="s">
        <v>68</v>
      </c>
      <c r="J2366">
        <v>11</v>
      </c>
      <c r="K2366">
        <v>3.7</v>
      </c>
      <c r="L2366" s="2">
        <v>1737.74</v>
      </c>
      <c r="M2366">
        <v>2028</v>
      </c>
      <c r="N2366">
        <v>6</v>
      </c>
      <c r="O2366" t="s">
        <v>157</v>
      </c>
      <c r="P2366" s="2">
        <v>2555.5</v>
      </c>
      <c r="Q2366" s="2">
        <v>817.76</v>
      </c>
      <c r="R2366" t="s">
        <v>72</v>
      </c>
      <c r="S2366">
        <v>1</v>
      </c>
      <c r="T2366">
        <v>0</v>
      </c>
      <c r="U2366">
        <f>IF(AND(OR(Dashboard!$D$4="Semua",D2366=Dashboard!$D$4),OR(Dashboard!$H$4="Semua",E2366=Dashboard!$H$4)),1,0)</f>
        <v>1</v>
      </c>
      <c r="V2366">
        <f>IF(U2366=1,IF(COUNTIFS($C$2:C2366,C2366,$U$2:U2366,1)=1,1,0),0)</f>
        <v>1</v>
      </c>
    </row>
    <row r="2367" spans="1:22" x14ac:dyDescent="0.35">
      <c r="A2367">
        <v>12366</v>
      </c>
      <c r="B2367" s="1">
        <v>46927</v>
      </c>
      <c r="C2367">
        <v>1796</v>
      </c>
      <c r="D2367" t="s">
        <v>67</v>
      </c>
      <c r="E2367" t="s">
        <v>74</v>
      </c>
      <c r="F2367">
        <v>2</v>
      </c>
      <c r="G2367" s="2">
        <v>553.38</v>
      </c>
      <c r="H2367">
        <v>0.22</v>
      </c>
      <c r="I2367" t="s">
        <v>71</v>
      </c>
      <c r="J2367">
        <v>6</v>
      </c>
      <c r="K2367">
        <v>4.2</v>
      </c>
      <c r="L2367" s="2">
        <v>863.27</v>
      </c>
      <c r="M2367">
        <v>2028</v>
      </c>
      <c r="N2367">
        <v>6</v>
      </c>
      <c r="O2367" t="s">
        <v>157</v>
      </c>
      <c r="P2367" s="2">
        <v>1106.76</v>
      </c>
      <c r="Q2367" s="2">
        <v>243.49</v>
      </c>
      <c r="R2367" t="s">
        <v>77</v>
      </c>
      <c r="S2367">
        <v>1</v>
      </c>
      <c r="T2367">
        <v>0</v>
      </c>
      <c r="U2367">
        <f>IF(AND(OR(Dashboard!$D$4="Semua",D2367=Dashboard!$D$4),OR(Dashboard!$H$4="Semua",E2367=Dashboard!$H$4)),1,0)</f>
        <v>1</v>
      </c>
      <c r="V2367">
        <f>IF(U2367=1,IF(COUNTIFS($C$2:C2367,C2367,$U$2:U2367,1)=1,1,0),0)</f>
        <v>0</v>
      </c>
    </row>
    <row r="2368" spans="1:22" x14ac:dyDescent="0.35">
      <c r="A2368">
        <v>12367</v>
      </c>
      <c r="B2368" s="1">
        <v>46928</v>
      </c>
      <c r="C2368">
        <v>1156</v>
      </c>
      <c r="D2368" t="s">
        <v>67</v>
      </c>
      <c r="E2368" t="s">
        <v>63</v>
      </c>
      <c r="F2368">
        <v>1</v>
      </c>
      <c r="G2368" s="2">
        <v>277.75</v>
      </c>
      <c r="H2368">
        <v>0.08</v>
      </c>
      <c r="I2368" t="s">
        <v>68</v>
      </c>
      <c r="J2368">
        <v>10</v>
      </c>
      <c r="K2368">
        <v>2.2000000000000002</v>
      </c>
      <c r="L2368" s="2">
        <v>255.53</v>
      </c>
      <c r="M2368">
        <v>2028</v>
      </c>
      <c r="N2368">
        <v>6</v>
      </c>
      <c r="O2368" t="s">
        <v>157</v>
      </c>
      <c r="P2368" s="2">
        <v>277.75</v>
      </c>
      <c r="Q2368" s="2">
        <v>22.22</v>
      </c>
      <c r="R2368" t="s">
        <v>69</v>
      </c>
      <c r="S2368">
        <v>1</v>
      </c>
      <c r="T2368">
        <v>0</v>
      </c>
      <c r="U2368">
        <f>IF(AND(OR(Dashboard!$D$4="Semua",D2368=Dashboard!$D$4),OR(Dashboard!$H$4="Semua",E2368=Dashboard!$H$4)),1,0)</f>
        <v>1</v>
      </c>
      <c r="V2368">
        <f>IF(U2368=1,IF(COUNTIFS($C$2:C2368,C2368,$U$2:U2368,1)=1,1,0),0)</f>
        <v>0</v>
      </c>
    </row>
    <row r="2369" spans="1:22" x14ac:dyDescent="0.35">
      <c r="A2369">
        <v>12368</v>
      </c>
      <c r="B2369" s="1">
        <v>46929</v>
      </c>
      <c r="C2369">
        <v>1074</v>
      </c>
      <c r="D2369" t="s">
        <v>62</v>
      </c>
      <c r="E2369" t="s">
        <v>78</v>
      </c>
      <c r="F2369">
        <v>6</v>
      </c>
      <c r="G2369" s="2">
        <v>328.81</v>
      </c>
      <c r="H2369">
        <v>0.08</v>
      </c>
      <c r="I2369" t="s">
        <v>68</v>
      </c>
      <c r="J2369">
        <v>6</v>
      </c>
      <c r="K2369">
        <v>4.8</v>
      </c>
      <c r="L2369" s="2">
        <v>1815.03</v>
      </c>
      <c r="M2369">
        <v>2028</v>
      </c>
      <c r="N2369">
        <v>6</v>
      </c>
      <c r="O2369" t="s">
        <v>157</v>
      </c>
      <c r="P2369" s="2">
        <v>1972.86</v>
      </c>
      <c r="Q2369" s="2">
        <v>157.83000000000001</v>
      </c>
      <c r="R2369" t="s">
        <v>69</v>
      </c>
      <c r="S2369">
        <v>1</v>
      </c>
      <c r="T2369">
        <v>0</v>
      </c>
      <c r="U2369">
        <f>IF(AND(OR(Dashboard!$D$4="Semua",D2369=Dashboard!$D$4),OR(Dashboard!$H$4="Semua",E2369=Dashboard!$H$4)),1,0)</f>
        <v>1</v>
      </c>
      <c r="V2369">
        <f>IF(U2369=1,IF(COUNTIFS($C$2:C2369,C2369,$U$2:U2369,1)=1,1,0),0)</f>
        <v>0</v>
      </c>
    </row>
    <row r="2370" spans="1:22" x14ac:dyDescent="0.35">
      <c r="A2370">
        <v>12369</v>
      </c>
      <c r="B2370" s="1">
        <v>46930</v>
      </c>
      <c r="C2370">
        <v>1883</v>
      </c>
      <c r="D2370" t="s">
        <v>67</v>
      </c>
      <c r="E2370" t="s">
        <v>63</v>
      </c>
      <c r="F2370">
        <v>3</v>
      </c>
      <c r="G2370" s="2">
        <v>449.12</v>
      </c>
      <c r="H2370">
        <v>0.3</v>
      </c>
      <c r="I2370" t="s">
        <v>68</v>
      </c>
      <c r="J2370">
        <v>3</v>
      </c>
      <c r="K2370">
        <v>3.1</v>
      </c>
      <c r="L2370" s="2">
        <v>943.15</v>
      </c>
      <c r="M2370">
        <v>2028</v>
      </c>
      <c r="N2370">
        <v>6</v>
      </c>
      <c r="O2370" t="s">
        <v>157</v>
      </c>
      <c r="P2370" s="2">
        <v>1347.36</v>
      </c>
      <c r="Q2370" s="2">
        <v>404.21</v>
      </c>
      <c r="R2370" t="s">
        <v>66</v>
      </c>
      <c r="S2370">
        <v>1</v>
      </c>
      <c r="T2370">
        <v>0</v>
      </c>
      <c r="U2370">
        <f>IF(AND(OR(Dashboard!$D$4="Semua",D2370=Dashboard!$D$4),OR(Dashboard!$H$4="Semua",E2370=Dashboard!$H$4)),1,0)</f>
        <v>1</v>
      </c>
      <c r="V2370">
        <f>IF(U2370=1,IF(COUNTIFS($C$2:C2370,C2370,$U$2:U2370,1)=1,1,0),0)</f>
        <v>0</v>
      </c>
    </row>
    <row r="2371" spans="1:22" x14ac:dyDescent="0.35">
      <c r="A2371">
        <v>12370</v>
      </c>
      <c r="B2371" s="1">
        <v>46931</v>
      </c>
      <c r="C2371">
        <v>1799</v>
      </c>
      <c r="D2371" t="s">
        <v>80</v>
      </c>
      <c r="E2371" t="s">
        <v>74</v>
      </c>
      <c r="F2371">
        <v>4</v>
      </c>
      <c r="G2371" s="2">
        <v>422.25</v>
      </c>
      <c r="H2371">
        <v>0.31</v>
      </c>
      <c r="I2371" t="s">
        <v>71</v>
      </c>
      <c r="J2371">
        <v>6</v>
      </c>
      <c r="K2371">
        <v>3.9</v>
      </c>
      <c r="L2371" s="2">
        <v>1165.4100000000001</v>
      </c>
      <c r="M2371">
        <v>2028</v>
      </c>
      <c r="N2371">
        <v>6</v>
      </c>
      <c r="O2371" t="s">
        <v>157</v>
      </c>
      <c r="P2371" s="2">
        <v>1689</v>
      </c>
      <c r="Q2371" s="2">
        <v>523.59</v>
      </c>
      <c r="R2371" t="s">
        <v>72</v>
      </c>
      <c r="S2371">
        <v>1</v>
      </c>
      <c r="T2371">
        <v>0</v>
      </c>
      <c r="U2371">
        <f>IF(AND(OR(Dashboard!$D$4="Semua",D2371=Dashboard!$D$4),OR(Dashboard!$H$4="Semua",E2371=Dashboard!$H$4)),1,0)</f>
        <v>1</v>
      </c>
      <c r="V2371">
        <f>IF(U2371=1,IF(COUNTIFS($C$2:C2371,C2371,$U$2:U2371,1)=1,1,0),0)</f>
        <v>0</v>
      </c>
    </row>
    <row r="2372" spans="1:22" x14ac:dyDescent="0.35">
      <c r="A2372">
        <v>12371</v>
      </c>
      <c r="B2372" s="1">
        <v>46932</v>
      </c>
      <c r="C2372">
        <v>1129</v>
      </c>
      <c r="D2372" t="s">
        <v>80</v>
      </c>
      <c r="E2372" t="s">
        <v>70</v>
      </c>
      <c r="F2372">
        <v>6</v>
      </c>
      <c r="G2372" s="2">
        <v>536.04999999999995</v>
      </c>
      <c r="H2372">
        <v>0.09</v>
      </c>
      <c r="I2372" t="s">
        <v>71</v>
      </c>
      <c r="J2372">
        <v>10</v>
      </c>
      <c r="K2372">
        <v>3.9</v>
      </c>
      <c r="L2372" s="2">
        <v>2926.83</v>
      </c>
      <c r="M2372">
        <v>2028</v>
      </c>
      <c r="N2372">
        <v>6</v>
      </c>
      <c r="O2372" t="s">
        <v>157</v>
      </c>
      <c r="P2372" s="2">
        <v>3216.3</v>
      </c>
      <c r="Q2372" s="2">
        <v>289.47000000000003</v>
      </c>
      <c r="R2372" t="s">
        <v>69</v>
      </c>
      <c r="S2372">
        <v>1</v>
      </c>
      <c r="T2372">
        <v>0</v>
      </c>
      <c r="U2372">
        <f>IF(AND(OR(Dashboard!$D$4="Semua",D2372=Dashboard!$D$4),OR(Dashboard!$H$4="Semua",E2372=Dashboard!$H$4)),1,0)</f>
        <v>1</v>
      </c>
      <c r="V2372">
        <f>IF(U2372=1,IF(COUNTIFS($C$2:C2372,C2372,$U$2:U2372,1)=1,1,0),0)</f>
        <v>0</v>
      </c>
    </row>
    <row r="2373" spans="1:22" x14ac:dyDescent="0.35">
      <c r="A2373">
        <v>12372</v>
      </c>
      <c r="B2373" s="1">
        <v>46933</v>
      </c>
      <c r="C2373">
        <v>1686</v>
      </c>
      <c r="D2373" t="s">
        <v>73</v>
      </c>
      <c r="E2373" t="s">
        <v>63</v>
      </c>
      <c r="F2373">
        <v>2</v>
      </c>
      <c r="G2373" s="2">
        <v>434.05</v>
      </c>
      <c r="H2373">
        <v>0.15</v>
      </c>
      <c r="I2373" t="s">
        <v>68</v>
      </c>
      <c r="J2373">
        <v>9</v>
      </c>
      <c r="K2373">
        <v>3.3</v>
      </c>
      <c r="L2373" s="2">
        <v>737.88</v>
      </c>
      <c r="M2373">
        <v>2028</v>
      </c>
      <c r="N2373">
        <v>6</v>
      </c>
      <c r="O2373" t="s">
        <v>157</v>
      </c>
      <c r="P2373" s="2">
        <v>868.1</v>
      </c>
      <c r="Q2373" s="2">
        <v>130.22</v>
      </c>
      <c r="R2373" t="s">
        <v>79</v>
      </c>
      <c r="S2373">
        <v>1</v>
      </c>
      <c r="T2373">
        <v>0</v>
      </c>
      <c r="U2373">
        <f>IF(AND(OR(Dashboard!$D$4="Semua",D2373=Dashboard!$D$4),OR(Dashboard!$H$4="Semua",E2373=Dashboard!$H$4)),1,0)</f>
        <v>1</v>
      </c>
      <c r="V2373">
        <f>IF(U2373=1,IF(COUNTIFS($C$2:C2373,C2373,$U$2:U2373,1)=1,1,0),0)</f>
        <v>0</v>
      </c>
    </row>
    <row r="2374" spans="1:22" x14ac:dyDescent="0.35">
      <c r="A2374">
        <v>12373</v>
      </c>
      <c r="B2374" s="1">
        <v>46934</v>
      </c>
      <c r="C2374">
        <v>1973</v>
      </c>
      <c r="D2374" t="s">
        <v>67</v>
      </c>
      <c r="E2374" t="s">
        <v>63</v>
      </c>
      <c r="F2374">
        <v>5</v>
      </c>
      <c r="G2374" s="2">
        <v>598.76</v>
      </c>
      <c r="H2374">
        <v>0.28999999999999998</v>
      </c>
      <c r="I2374" t="s">
        <v>68</v>
      </c>
      <c r="J2374">
        <v>6</v>
      </c>
      <c r="K2374">
        <v>2.2999999999999998</v>
      </c>
      <c r="L2374" s="2">
        <v>2125.6</v>
      </c>
      <c r="M2374">
        <v>2028</v>
      </c>
      <c r="N2374">
        <v>6</v>
      </c>
      <c r="O2374" t="s">
        <v>157</v>
      </c>
      <c r="P2374" s="2">
        <v>2993.8</v>
      </c>
      <c r="Q2374" s="2">
        <v>868.2</v>
      </c>
      <c r="R2374" t="s">
        <v>66</v>
      </c>
      <c r="S2374">
        <v>1</v>
      </c>
      <c r="T2374">
        <v>0</v>
      </c>
      <c r="U2374">
        <f>IF(AND(OR(Dashboard!$D$4="Semua",D2374=Dashboard!$D$4),OR(Dashboard!$H$4="Semua",E2374=Dashboard!$H$4)),1,0)</f>
        <v>1</v>
      </c>
      <c r="V2374">
        <f>IF(U2374=1,IF(COUNTIFS($C$2:C2374,C2374,$U$2:U2374,1)=1,1,0),0)</f>
        <v>0</v>
      </c>
    </row>
    <row r="2375" spans="1:22" x14ac:dyDescent="0.35">
      <c r="A2375">
        <v>12374</v>
      </c>
      <c r="B2375" s="1">
        <v>46935</v>
      </c>
      <c r="C2375">
        <v>1083</v>
      </c>
      <c r="D2375" t="s">
        <v>80</v>
      </c>
      <c r="E2375" t="s">
        <v>70</v>
      </c>
      <c r="F2375">
        <v>7</v>
      </c>
      <c r="G2375" s="2">
        <v>218.88</v>
      </c>
      <c r="H2375">
        <v>0.27</v>
      </c>
      <c r="I2375" t="s">
        <v>68</v>
      </c>
      <c r="J2375">
        <v>1</v>
      </c>
      <c r="K2375">
        <v>3.7</v>
      </c>
      <c r="L2375" s="2">
        <v>1118.48</v>
      </c>
      <c r="M2375">
        <v>2028</v>
      </c>
      <c r="N2375">
        <v>7</v>
      </c>
      <c r="O2375" t="s">
        <v>158</v>
      </c>
      <c r="P2375" s="2">
        <v>1532.16</v>
      </c>
      <c r="Q2375" s="2">
        <v>413.68</v>
      </c>
      <c r="R2375" t="s">
        <v>66</v>
      </c>
      <c r="S2375">
        <v>1</v>
      </c>
      <c r="T2375">
        <v>0</v>
      </c>
      <c r="U2375">
        <f>IF(AND(OR(Dashboard!$D$4="Semua",D2375=Dashboard!$D$4),OR(Dashboard!$H$4="Semua",E2375=Dashboard!$H$4)),1,0)</f>
        <v>1</v>
      </c>
      <c r="V2375">
        <f>IF(U2375=1,IF(COUNTIFS($C$2:C2375,C2375,$U$2:U2375,1)=1,1,0),0)</f>
        <v>0</v>
      </c>
    </row>
    <row r="2376" spans="1:22" x14ac:dyDescent="0.35">
      <c r="A2376">
        <v>12375</v>
      </c>
      <c r="B2376" s="1">
        <v>46936</v>
      </c>
      <c r="C2376">
        <v>1021</v>
      </c>
      <c r="D2376" t="s">
        <v>67</v>
      </c>
      <c r="E2376" t="s">
        <v>74</v>
      </c>
      <c r="F2376">
        <v>1</v>
      </c>
      <c r="G2376" s="2">
        <v>502.3</v>
      </c>
      <c r="H2376">
        <v>0.28000000000000003</v>
      </c>
      <c r="I2376" t="s">
        <v>68</v>
      </c>
      <c r="J2376">
        <v>10</v>
      </c>
      <c r="K2376">
        <v>1.3</v>
      </c>
      <c r="L2376" s="2">
        <v>361.66</v>
      </c>
      <c r="M2376">
        <v>2028</v>
      </c>
      <c r="N2376">
        <v>7</v>
      </c>
      <c r="O2376" t="s">
        <v>158</v>
      </c>
      <c r="P2376" s="2">
        <v>502.3</v>
      </c>
      <c r="Q2376" s="2">
        <v>140.63999999999999</v>
      </c>
      <c r="R2376" t="s">
        <v>66</v>
      </c>
      <c r="S2376">
        <v>1</v>
      </c>
      <c r="T2376">
        <v>0</v>
      </c>
      <c r="U2376">
        <f>IF(AND(OR(Dashboard!$D$4="Semua",D2376=Dashboard!$D$4),OR(Dashboard!$H$4="Semua",E2376=Dashboard!$H$4)),1,0)</f>
        <v>1</v>
      </c>
      <c r="V2376">
        <f>IF(U2376=1,IF(COUNTIFS($C$2:C2376,C2376,$U$2:U2376,1)=1,1,0),0)</f>
        <v>0</v>
      </c>
    </row>
    <row r="2377" spans="1:22" x14ac:dyDescent="0.35">
      <c r="A2377">
        <v>12376</v>
      </c>
      <c r="B2377" s="1">
        <v>46937</v>
      </c>
      <c r="C2377">
        <v>1458</v>
      </c>
      <c r="D2377" t="s">
        <v>80</v>
      </c>
      <c r="E2377" t="s">
        <v>63</v>
      </c>
      <c r="F2377">
        <v>5</v>
      </c>
      <c r="G2377" s="2">
        <v>423.12</v>
      </c>
      <c r="H2377">
        <v>0.18</v>
      </c>
      <c r="I2377" t="s">
        <v>71</v>
      </c>
      <c r="J2377">
        <v>6</v>
      </c>
      <c r="K2377">
        <v>4.9000000000000004</v>
      </c>
      <c r="L2377" s="2">
        <v>1734.79</v>
      </c>
      <c r="M2377">
        <v>2028</v>
      </c>
      <c r="N2377">
        <v>7</v>
      </c>
      <c r="O2377" t="s">
        <v>158</v>
      </c>
      <c r="P2377" s="2">
        <v>2115.6</v>
      </c>
      <c r="Q2377" s="2">
        <v>380.81</v>
      </c>
      <c r="R2377" t="s">
        <v>76</v>
      </c>
      <c r="S2377">
        <v>1</v>
      </c>
      <c r="T2377">
        <v>0</v>
      </c>
      <c r="U2377">
        <f>IF(AND(OR(Dashboard!$D$4="Semua",D2377=Dashboard!$D$4),OR(Dashboard!$H$4="Semua",E2377=Dashboard!$H$4)),1,0)</f>
        <v>1</v>
      </c>
      <c r="V2377">
        <f>IF(U2377=1,IF(COUNTIFS($C$2:C2377,C2377,$U$2:U2377,1)=1,1,0),0)</f>
        <v>0</v>
      </c>
    </row>
    <row r="2378" spans="1:22" x14ac:dyDescent="0.35">
      <c r="A2378">
        <v>12377</v>
      </c>
      <c r="B2378" s="1">
        <v>46938</v>
      </c>
      <c r="C2378">
        <v>1538</v>
      </c>
      <c r="D2378" t="s">
        <v>62</v>
      </c>
      <c r="E2378" t="s">
        <v>74</v>
      </c>
      <c r="F2378">
        <v>4</v>
      </c>
      <c r="G2378" s="2">
        <v>419.46</v>
      </c>
      <c r="H2378">
        <v>0.32</v>
      </c>
      <c r="I2378" t="s">
        <v>71</v>
      </c>
      <c r="J2378">
        <v>8</v>
      </c>
      <c r="K2378">
        <v>1.7</v>
      </c>
      <c r="L2378" s="2">
        <v>1140.93</v>
      </c>
      <c r="M2378">
        <v>2028</v>
      </c>
      <c r="N2378">
        <v>7</v>
      </c>
      <c r="O2378" t="s">
        <v>158</v>
      </c>
      <c r="P2378" s="2">
        <v>1677.84</v>
      </c>
      <c r="Q2378" s="2">
        <v>536.91</v>
      </c>
      <c r="R2378" t="s">
        <v>72</v>
      </c>
      <c r="S2378">
        <v>1</v>
      </c>
      <c r="T2378">
        <v>0</v>
      </c>
      <c r="U2378">
        <f>IF(AND(OR(Dashboard!$D$4="Semua",D2378=Dashboard!$D$4),OR(Dashboard!$H$4="Semua",E2378=Dashboard!$H$4)),1,0)</f>
        <v>1</v>
      </c>
      <c r="V2378">
        <f>IF(U2378=1,IF(COUNTIFS($C$2:C2378,C2378,$U$2:U2378,1)=1,1,0),0)</f>
        <v>1</v>
      </c>
    </row>
    <row r="2379" spans="1:22" x14ac:dyDescent="0.35">
      <c r="A2379">
        <v>12378</v>
      </c>
      <c r="B2379" s="1">
        <v>46939</v>
      </c>
      <c r="C2379">
        <v>1706</v>
      </c>
      <c r="D2379" t="s">
        <v>67</v>
      </c>
      <c r="E2379" t="s">
        <v>70</v>
      </c>
      <c r="F2379">
        <v>3</v>
      </c>
      <c r="G2379" s="2">
        <v>205.61</v>
      </c>
      <c r="H2379">
        <v>0.11</v>
      </c>
      <c r="I2379" t="s">
        <v>68</v>
      </c>
      <c r="J2379">
        <v>7</v>
      </c>
      <c r="K2379">
        <v>2.1</v>
      </c>
      <c r="L2379" s="2">
        <v>548.98</v>
      </c>
      <c r="M2379">
        <v>2028</v>
      </c>
      <c r="N2379">
        <v>7</v>
      </c>
      <c r="O2379" t="s">
        <v>158</v>
      </c>
      <c r="P2379" s="2">
        <v>616.83000000000004</v>
      </c>
      <c r="Q2379" s="2">
        <v>67.849999999999994</v>
      </c>
      <c r="R2379" t="s">
        <v>79</v>
      </c>
      <c r="S2379">
        <v>1</v>
      </c>
      <c r="T2379">
        <v>0</v>
      </c>
      <c r="U2379">
        <f>IF(AND(OR(Dashboard!$D$4="Semua",D2379=Dashboard!$D$4),OR(Dashboard!$H$4="Semua",E2379=Dashboard!$H$4)),1,0)</f>
        <v>1</v>
      </c>
      <c r="V2379">
        <f>IF(U2379=1,IF(COUNTIFS($C$2:C2379,C2379,$U$2:U2379,1)=1,1,0),0)</f>
        <v>0</v>
      </c>
    </row>
    <row r="2380" spans="1:22" x14ac:dyDescent="0.35">
      <c r="A2380">
        <v>12379</v>
      </c>
      <c r="B2380" s="1">
        <v>46940</v>
      </c>
      <c r="C2380">
        <v>1848</v>
      </c>
      <c r="D2380" t="s">
        <v>80</v>
      </c>
      <c r="E2380" t="s">
        <v>78</v>
      </c>
      <c r="F2380">
        <v>4</v>
      </c>
      <c r="G2380" s="2">
        <v>474.58</v>
      </c>
      <c r="H2380">
        <v>0.05</v>
      </c>
      <c r="I2380" t="s">
        <v>68</v>
      </c>
      <c r="J2380">
        <v>8</v>
      </c>
      <c r="K2380">
        <v>4.8</v>
      </c>
      <c r="L2380" s="2">
        <v>1803.4</v>
      </c>
      <c r="M2380">
        <v>2028</v>
      </c>
      <c r="N2380">
        <v>7</v>
      </c>
      <c r="O2380" t="s">
        <v>158</v>
      </c>
      <c r="P2380" s="2">
        <v>1898.32</v>
      </c>
      <c r="Q2380" s="2">
        <v>94.92</v>
      </c>
      <c r="R2380" t="s">
        <v>75</v>
      </c>
      <c r="S2380">
        <v>1</v>
      </c>
      <c r="T2380">
        <v>0</v>
      </c>
      <c r="U2380">
        <f>IF(AND(OR(Dashboard!$D$4="Semua",D2380=Dashboard!$D$4),OR(Dashboard!$H$4="Semua",E2380=Dashboard!$H$4)),1,0)</f>
        <v>1</v>
      </c>
      <c r="V2380">
        <f>IF(U2380=1,IF(COUNTIFS($C$2:C2380,C2380,$U$2:U2380,1)=1,1,0),0)</f>
        <v>0</v>
      </c>
    </row>
    <row r="2381" spans="1:22" x14ac:dyDescent="0.35">
      <c r="A2381">
        <v>12380</v>
      </c>
      <c r="B2381" s="1">
        <v>46941</v>
      </c>
      <c r="C2381">
        <v>1381</v>
      </c>
      <c r="D2381" t="s">
        <v>80</v>
      </c>
      <c r="E2381" t="s">
        <v>63</v>
      </c>
      <c r="F2381">
        <v>5</v>
      </c>
      <c r="G2381" s="2">
        <v>541.72</v>
      </c>
      <c r="H2381">
        <v>0.25</v>
      </c>
      <c r="I2381" t="s">
        <v>64</v>
      </c>
      <c r="J2381">
        <v>11</v>
      </c>
      <c r="K2381">
        <v>1.7</v>
      </c>
      <c r="L2381" s="2">
        <v>2031.45</v>
      </c>
      <c r="M2381">
        <v>2028</v>
      </c>
      <c r="N2381">
        <v>7</v>
      </c>
      <c r="O2381" t="s">
        <v>158</v>
      </c>
      <c r="P2381" s="2">
        <v>2708.6</v>
      </c>
      <c r="Q2381" s="2">
        <v>677.15</v>
      </c>
      <c r="R2381" t="s">
        <v>77</v>
      </c>
      <c r="S2381">
        <v>1</v>
      </c>
      <c r="T2381">
        <v>0</v>
      </c>
      <c r="U2381">
        <f>IF(AND(OR(Dashboard!$D$4="Semua",D2381=Dashboard!$D$4),OR(Dashboard!$H$4="Semua",E2381=Dashboard!$H$4)),1,0)</f>
        <v>1</v>
      </c>
      <c r="V2381">
        <f>IF(U2381=1,IF(COUNTIFS($C$2:C2381,C2381,$U$2:U2381,1)=1,1,0),0)</f>
        <v>1</v>
      </c>
    </row>
    <row r="2382" spans="1:22" x14ac:dyDescent="0.35">
      <c r="A2382">
        <v>12381</v>
      </c>
      <c r="B2382" s="1">
        <v>46942</v>
      </c>
      <c r="C2382">
        <v>1747</v>
      </c>
      <c r="D2382" t="s">
        <v>80</v>
      </c>
      <c r="E2382" t="s">
        <v>74</v>
      </c>
      <c r="F2382">
        <v>5</v>
      </c>
      <c r="G2382" s="2">
        <v>142.85</v>
      </c>
      <c r="H2382">
        <v>0.19</v>
      </c>
      <c r="I2382" t="s">
        <v>68</v>
      </c>
      <c r="J2382">
        <v>8</v>
      </c>
      <c r="K2382">
        <v>1.7</v>
      </c>
      <c r="L2382" s="2">
        <v>578.54</v>
      </c>
      <c r="M2382">
        <v>2028</v>
      </c>
      <c r="N2382">
        <v>7</v>
      </c>
      <c r="O2382" t="s">
        <v>158</v>
      </c>
      <c r="P2382" s="2">
        <v>714.25</v>
      </c>
      <c r="Q2382" s="2">
        <v>135.71</v>
      </c>
      <c r="R2382" t="s">
        <v>76</v>
      </c>
      <c r="S2382">
        <v>1</v>
      </c>
      <c r="T2382">
        <v>0</v>
      </c>
      <c r="U2382">
        <f>IF(AND(OR(Dashboard!$D$4="Semua",D2382=Dashboard!$D$4),OR(Dashboard!$H$4="Semua",E2382=Dashboard!$H$4)),1,0)</f>
        <v>1</v>
      </c>
      <c r="V2382">
        <f>IF(U2382=1,IF(COUNTIFS($C$2:C2382,C2382,$U$2:U2382,1)=1,1,0),0)</f>
        <v>0</v>
      </c>
    </row>
    <row r="2383" spans="1:22" x14ac:dyDescent="0.35">
      <c r="A2383">
        <v>12382</v>
      </c>
      <c r="B2383" s="1">
        <v>46943</v>
      </c>
      <c r="C2383">
        <v>1439</v>
      </c>
      <c r="D2383" t="s">
        <v>67</v>
      </c>
      <c r="E2383" t="s">
        <v>70</v>
      </c>
      <c r="F2383">
        <v>6</v>
      </c>
      <c r="G2383" s="2">
        <v>380.92</v>
      </c>
      <c r="H2383">
        <v>0.3</v>
      </c>
      <c r="I2383" t="s">
        <v>68</v>
      </c>
      <c r="J2383">
        <v>9</v>
      </c>
      <c r="K2383">
        <v>4.2</v>
      </c>
      <c r="L2383" s="2">
        <v>1599.86</v>
      </c>
      <c r="M2383">
        <v>2028</v>
      </c>
      <c r="N2383">
        <v>7</v>
      </c>
      <c r="O2383" t="s">
        <v>158</v>
      </c>
      <c r="P2383" s="2">
        <v>2285.52</v>
      </c>
      <c r="Q2383" s="2">
        <v>685.66</v>
      </c>
      <c r="R2383" t="s">
        <v>66</v>
      </c>
      <c r="S2383">
        <v>1</v>
      </c>
      <c r="T2383">
        <v>0</v>
      </c>
      <c r="U2383">
        <f>IF(AND(OR(Dashboard!$D$4="Semua",D2383=Dashboard!$D$4),OR(Dashboard!$H$4="Semua",E2383=Dashboard!$H$4)),1,0)</f>
        <v>1</v>
      </c>
      <c r="V2383">
        <f>IF(U2383=1,IF(COUNTIFS($C$2:C2383,C2383,$U$2:U2383,1)=1,1,0),0)</f>
        <v>0</v>
      </c>
    </row>
    <row r="2384" spans="1:22" x14ac:dyDescent="0.35">
      <c r="A2384">
        <v>12383</v>
      </c>
      <c r="B2384" s="1">
        <v>46944</v>
      </c>
      <c r="C2384">
        <v>1603</v>
      </c>
      <c r="D2384" t="s">
        <v>73</v>
      </c>
      <c r="E2384" t="s">
        <v>70</v>
      </c>
      <c r="F2384">
        <v>4</v>
      </c>
      <c r="G2384" s="2">
        <v>244.4</v>
      </c>
      <c r="H2384">
        <v>0.03</v>
      </c>
      <c r="I2384" t="s">
        <v>71</v>
      </c>
      <c r="J2384">
        <v>3</v>
      </c>
      <c r="K2384">
        <v>2</v>
      </c>
      <c r="L2384" s="2">
        <v>948.27</v>
      </c>
      <c r="M2384">
        <v>2028</v>
      </c>
      <c r="N2384">
        <v>7</v>
      </c>
      <c r="O2384" t="s">
        <v>158</v>
      </c>
      <c r="P2384" s="2">
        <v>977.6</v>
      </c>
      <c r="Q2384" s="2">
        <v>29.33</v>
      </c>
      <c r="R2384" t="s">
        <v>75</v>
      </c>
      <c r="S2384">
        <v>1</v>
      </c>
      <c r="T2384">
        <v>0</v>
      </c>
      <c r="U2384">
        <f>IF(AND(OR(Dashboard!$D$4="Semua",D2384=Dashboard!$D$4),OR(Dashboard!$H$4="Semua",E2384=Dashboard!$H$4)),1,0)</f>
        <v>1</v>
      </c>
      <c r="V2384">
        <f>IF(U2384=1,IF(COUNTIFS($C$2:C2384,C2384,$U$2:U2384,1)=1,1,0),0)</f>
        <v>0</v>
      </c>
    </row>
    <row r="2385" spans="1:22" x14ac:dyDescent="0.35">
      <c r="A2385">
        <v>12384</v>
      </c>
      <c r="B2385" s="1">
        <v>46945</v>
      </c>
      <c r="C2385">
        <v>1988</v>
      </c>
      <c r="D2385" t="s">
        <v>67</v>
      </c>
      <c r="E2385" t="s">
        <v>63</v>
      </c>
      <c r="F2385">
        <v>4</v>
      </c>
      <c r="G2385" s="2">
        <v>593.89</v>
      </c>
      <c r="H2385">
        <v>0.3</v>
      </c>
      <c r="I2385" t="s">
        <v>71</v>
      </c>
      <c r="J2385">
        <v>7</v>
      </c>
      <c r="K2385">
        <v>1.4</v>
      </c>
      <c r="L2385" s="2">
        <v>1662.89</v>
      </c>
      <c r="M2385">
        <v>2028</v>
      </c>
      <c r="N2385">
        <v>7</v>
      </c>
      <c r="O2385" t="s">
        <v>158</v>
      </c>
      <c r="P2385" s="2">
        <v>2375.56</v>
      </c>
      <c r="Q2385" s="2">
        <v>712.67</v>
      </c>
      <c r="R2385" t="s">
        <v>66</v>
      </c>
      <c r="S2385">
        <v>1</v>
      </c>
      <c r="T2385">
        <v>0</v>
      </c>
      <c r="U2385">
        <f>IF(AND(OR(Dashboard!$D$4="Semua",D2385=Dashboard!$D$4),OR(Dashboard!$H$4="Semua",E2385=Dashboard!$H$4)),1,0)</f>
        <v>1</v>
      </c>
      <c r="V2385">
        <f>IF(U2385=1,IF(COUNTIFS($C$2:C2385,C2385,$U$2:U2385,1)=1,1,0),0)</f>
        <v>0</v>
      </c>
    </row>
    <row r="2386" spans="1:22" x14ac:dyDescent="0.35">
      <c r="A2386">
        <v>12385</v>
      </c>
      <c r="B2386" s="1">
        <v>46946</v>
      </c>
      <c r="C2386">
        <v>1020</v>
      </c>
      <c r="D2386" t="s">
        <v>80</v>
      </c>
      <c r="E2386" t="s">
        <v>78</v>
      </c>
      <c r="F2386">
        <v>4</v>
      </c>
      <c r="G2386" s="2">
        <v>295.12</v>
      </c>
      <c r="H2386">
        <v>0.1</v>
      </c>
      <c r="I2386" t="s">
        <v>71</v>
      </c>
      <c r="J2386">
        <v>6</v>
      </c>
      <c r="K2386">
        <v>1.9</v>
      </c>
      <c r="L2386" s="2">
        <v>1062.43</v>
      </c>
      <c r="M2386">
        <v>2028</v>
      </c>
      <c r="N2386">
        <v>7</v>
      </c>
      <c r="O2386" t="s">
        <v>158</v>
      </c>
      <c r="P2386" s="2">
        <v>1180.48</v>
      </c>
      <c r="Q2386" s="2">
        <v>118.05</v>
      </c>
      <c r="R2386" t="s">
        <v>69</v>
      </c>
      <c r="S2386">
        <v>1</v>
      </c>
      <c r="T2386">
        <v>0</v>
      </c>
      <c r="U2386">
        <f>IF(AND(OR(Dashboard!$D$4="Semua",D2386=Dashboard!$D$4),OR(Dashboard!$H$4="Semua",E2386=Dashboard!$H$4)),1,0)</f>
        <v>1</v>
      </c>
      <c r="V2386">
        <f>IF(U2386=1,IF(COUNTIFS($C$2:C2386,C2386,$U$2:U2386,1)=1,1,0),0)</f>
        <v>0</v>
      </c>
    </row>
    <row r="2387" spans="1:22" x14ac:dyDescent="0.35">
      <c r="A2387">
        <v>12386</v>
      </c>
      <c r="B2387" s="1">
        <v>46947</v>
      </c>
      <c r="C2387">
        <v>1302</v>
      </c>
      <c r="D2387" t="s">
        <v>67</v>
      </c>
      <c r="E2387" t="s">
        <v>63</v>
      </c>
      <c r="F2387">
        <v>1</v>
      </c>
      <c r="G2387" s="2">
        <v>148.57</v>
      </c>
      <c r="H2387">
        <v>0.23</v>
      </c>
      <c r="I2387" t="s">
        <v>64</v>
      </c>
      <c r="J2387">
        <v>2</v>
      </c>
      <c r="K2387">
        <v>4.5999999999999996</v>
      </c>
      <c r="L2387" s="2">
        <v>114.4</v>
      </c>
      <c r="M2387">
        <v>2028</v>
      </c>
      <c r="N2387">
        <v>7</v>
      </c>
      <c r="O2387" t="s">
        <v>158</v>
      </c>
      <c r="P2387" s="2">
        <v>148.57</v>
      </c>
      <c r="Q2387" s="2">
        <v>34.17</v>
      </c>
      <c r="R2387" t="s">
        <v>77</v>
      </c>
      <c r="S2387">
        <v>1</v>
      </c>
      <c r="T2387">
        <v>0</v>
      </c>
      <c r="U2387">
        <f>IF(AND(OR(Dashboard!$D$4="Semua",D2387=Dashboard!$D$4),OR(Dashboard!$H$4="Semua",E2387=Dashboard!$H$4)),1,0)</f>
        <v>1</v>
      </c>
      <c r="V2387">
        <f>IF(U2387=1,IF(COUNTIFS($C$2:C2387,C2387,$U$2:U2387,1)=1,1,0),0)</f>
        <v>0</v>
      </c>
    </row>
    <row r="2388" spans="1:22" x14ac:dyDescent="0.35">
      <c r="A2388">
        <v>12387</v>
      </c>
      <c r="B2388" s="1">
        <v>46948</v>
      </c>
      <c r="C2388">
        <v>1975</v>
      </c>
      <c r="D2388" t="s">
        <v>80</v>
      </c>
      <c r="E2388" t="s">
        <v>74</v>
      </c>
      <c r="F2388">
        <v>7</v>
      </c>
      <c r="G2388" s="2">
        <v>238.39</v>
      </c>
      <c r="H2388">
        <v>0.01</v>
      </c>
      <c r="I2388" t="s">
        <v>68</v>
      </c>
      <c r="J2388">
        <v>5</v>
      </c>
      <c r="K2388">
        <v>2.1</v>
      </c>
      <c r="L2388" s="2">
        <v>1652.04</v>
      </c>
      <c r="M2388">
        <v>2028</v>
      </c>
      <c r="N2388">
        <v>7</v>
      </c>
      <c r="O2388" t="s">
        <v>158</v>
      </c>
      <c r="P2388" s="2">
        <v>1668.73</v>
      </c>
      <c r="Q2388" s="2">
        <v>16.690000000000001</v>
      </c>
      <c r="R2388" t="s">
        <v>75</v>
      </c>
      <c r="S2388">
        <v>1</v>
      </c>
      <c r="T2388">
        <v>0</v>
      </c>
      <c r="U2388">
        <f>IF(AND(OR(Dashboard!$D$4="Semua",D2388=Dashboard!$D$4),OR(Dashboard!$H$4="Semua",E2388=Dashboard!$H$4)),1,0)</f>
        <v>1</v>
      </c>
      <c r="V2388">
        <f>IF(U2388=1,IF(COUNTIFS($C$2:C2388,C2388,$U$2:U2388,1)=1,1,0),0)</f>
        <v>0</v>
      </c>
    </row>
    <row r="2389" spans="1:22" x14ac:dyDescent="0.35">
      <c r="A2389">
        <v>12388</v>
      </c>
      <c r="B2389" s="1">
        <v>46949</v>
      </c>
      <c r="C2389">
        <v>1868</v>
      </c>
      <c r="D2389" t="s">
        <v>67</v>
      </c>
      <c r="E2389" t="s">
        <v>70</v>
      </c>
      <c r="F2389">
        <v>5</v>
      </c>
      <c r="G2389" s="2">
        <v>397.5</v>
      </c>
      <c r="H2389">
        <v>0.21</v>
      </c>
      <c r="I2389" t="s">
        <v>71</v>
      </c>
      <c r="J2389">
        <v>3</v>
      </c>
      <c r="K2389">
        <v>3.8</v>
      </c>
      <c r="L2389" s="2">
        <v>1570.12</v>
      </c>
      <c r="M2389">
        <v>2028</v>
      </c>
      <c r="N2389">
        <v>7</v>
      </c>
      <c r="O2389" t="s">
        <v>158</v>
      </c>
      <c r="P2389" s="2">
        <v>1987.5</v>
      </c>
      <c r="Q2389" s="2">
        <v>417.38</v>
      </c>
      <c r="R2389" t="s">
        <v>77</v>
      </c>
      <c r="S2389">
        <v>1</v>
      </c>
      <c r="T2389">
        <v>0</v>
      </c>
      <c r="U2389">
        <f>IF(AND(OR(Dashboard!$D$4="Semua",D2389=Dashboard!$D$4),OR(Dashboard!$H$4="Semua",E2389=Dashboard!$H$4)),1,0)</f>
        <v>1</v>
      </c>
      <c r="V2389">
        <f>IF(U2389=1,IF(COUNTIFS($C$2:C2389,C2389,$U$2:U2389,1)=1,1,0),0)</f>
        <v>0</v>
      </c>
    </row>
    <row r="2390" spans="1:22" x14ac:dyDescent="0.35">
      <c r="A2390">
        <v>12389</v>
      </c>
      <c r="B2390" s="1">
        <v>46950</v>
      </c>
      <c r="C2390">
        <v>1954</v>
      </c>
      <c r="D2390" t="s">
        <v>67</v>
      </c>
      <c r="E2390" t="s">
        <v>78</v>
      </c>
      <c r="F2390">
        <v>2</v>
      </c>
      <c r="G2390" s="2">
        <v>59.51</v>
      </c>
      <c r="H2390">
        <v>0.25</v>
      </c>
      <c r="I2390" t="s">
        <v>68</v>
      </c>
      <c r="J2390">
        <v>11</v>
      </c>
      <c r="K2390">
        <v>2.6</v>
      </c>
      <c r="L2390" s="2">
        <v>89.26</v>
      </c>
      <c r="M2390">
        <v>2028</v>
      </c>
      <c r="N2390">
        <v>7</v>
      </c>
      <c r="O2390" t="s">
        <v>158</v>
      </c>
      <c r="P2390" s="2">
        <v>119.02</v>
      </c>
      <c r="Q2390" s="2">
        <v>29.76</v>
      </c>
      <c r="R2390" t="s">
        <v>77</v>
      </c>
      <c r="S2390">
        <v>1</v>
      </c>
      <c r="T2390">
        <v>0</v>
      </c>
      <c r="U2390">
        <f>IF(AND(OR(Dashboard!$D$4="Semua",D2390=Dashboard!$D$4),OR(Dashboard!$H$4="Semua",E2390=Dashboard!$H$4)),1,0)</f>
        <v>1</v>
      </c>
      <c r="V2390">
        <f>IF(U2390=1,IF(COUNTIFS($C$2:C2390,C2390,$U$2:U2390,1)=1,1,0),0)</f>
        <v>0</v>
      </c>
    </row>
    <row r="2391" spans="1:22" x14ac:dyDescent="0.35">
      <c r="A2391">
        <v>12390</v>
      </c>
      <c r="B2391" s="1">
        <v>46951</v>
      </c>
      <c r="C2391">
        <v>1083</v>
      </c>
      <c r="D2391" t="s">
        <v>73</v>
      </c>
      <c r="E2391" t="s">
        <v>74</v>
      </c>
      <c r="F2391">
        <v>1</v>
      </c>
      <c r="G2391" s="2">
        <v>368.11</v>
      </c>
      <c r="H2391">
        <v>0.13</v>
      </c>
      <c r="I2391" t="s">
        <v>71</v>
      </c>
      <c r="J2391">
        <v>5</v>
      </c>
      <c r="K2391">
        <v>2</v>
      </c>
      <c r="L2391" s="2">
        <v>320.26</v>
      </c>
      <c r="M2391">
        <v>2028</v>
      </c>
      <c r="N2391">
        <v>7</v>
      </c>
      <c r="O2391" t="s">
        <v>158</v>
      </c>
      <c r="P2391" s="2">
        <v>368.11</v>
      </c>
      <c r="Q2391" s="2">
        <v>47.85</v>
      </c>
      <c r="R2391" t="s">
        <v>79</v>
      </c>
      <c r="S2391">
        <v>1</v>
      </c>
      <c r="T2391">
        <v>0</v>
      </c>
      <c r="U2391">
        <f>IF(AND(OR(Dashboard!$D$4="Semua",D2391=Dashboard!$D$4),OR(Dashboard!$H$4="Semua",E2391=Dashboard!$H$4)),1,0)</f>
        <v>1</v>
      </c>
      <c r="V2391">
        <f>IF(U2391=1,IF(COUNTIFS($C$2:C2391,C2391,$U$2:U2391,1)=1,1,0),0)</f>
        <v>0</v>
      </c>
    </row>
    <row r="2392" spans="1:22" x14ac:dyDescent="0.35">
      <c r="A2392">
        <v>12391</v>
      </c>
      <c r="B2392" s="1">
        <v>46952</v>
      </c>
      <c r="C2392">
        <v>1773</v>
      </c>
      <c r="D2392" t="s">
        <v>80</v>
      </c>
      <c r="E2392" t="s">
        <v>63</v>
      </c>
      <c r="F2392">
        <v>1</v>
      </c>
      <c r="G2392" s="2">
        <v>559.77</v>
      </c>
      <c r="H2392">
        <v>0.08</v>
      </c>
      <c r="I2392" t="s">
        <v>64</v>
      </c>
      <c r="J2392">
        <v>11</v>
      </c>
      <c r="K2392">
        <v>1.6</v>
      </c>
      <c r="L2392" s="2">
        <v>514.99</v>
      </c>
      <c r="M2392">
        <v>2028</v>
      </c>
      <c r="N2392">
        <v>7</v>
      </c>
      <c r="O2392" t="s">
        <v>158</v>
      </c>
      <c r="P2392" s="2">
        <v>559.77</v>
      </c>
      <c r="Q2392" s="2">
        <v>44.78</v>
      </c>
      <c r="R2392" t="s">
        <v>69</v>
      </c>
      <c r="S2392">
        <v>1</v>
      </c>
      <c r="T2392">
        <v>0</v>
      </c>
      <c r="U2392">
        <f>IF(AND(OR(Dashboard!$D$4="Semua",D2392=Dashboard!$D$4),OR(Dashboard!$H$4="Semua",E2392=Dashboard!$H$4)),1,0)</f>
        <v>1</v>
      </c>
      <c r="V2392">
        <f>IF(U2392=1,IF(COUNTIFS($C$2:C2392,C2392,$U$2:U2392,1)=1,1,0),0)</f>
        <v>0</v>
      </c>
    </row>
    <row r="2393" spans="1:22" x14ac:dyDescent="0.35">
      <c r="A2393">
        <v>12392</v>
      </c>
      <c r="B2393" s="1">
        <v>46953</v>
      </c>
      <c r="C2393">
        <v>1658</v>
      </c>
      <c r="D2393" t="s">
        <v>67</v>
      </c>
      <c r="E2393" t="s">
        <v>70</v>
      </c>
      <c r="F2393">
        <v>1</v>
      </c>
      <c r="G2393" s="2">
        <v>512.46</v>
      </c>
      <c r="H2393">
        <v>0.19</v>
      </c>
      <c r="I2393" t="s">
        <v>71</v>
      </c>
      <c r="J2393">
        <v>9</v>
      </c>
      <c r="K2393">
        <v>4.9000000000000004</v>
      </c>
      <c r="L2393" s="2">
        <v>415.09</v>
      </c>
      <c r="M2393">
        <v>2028</v>
      </c>
      <c r="N2393">
        <v>7</v>
      </c>
      <c r="O2393" t="s">
        <v>158</v>
      </c>
      <c r="P2393" s="2">
        <v>512.46</v>
      </c>
      <c r="Q2393" s="2">
        <v>97.37</v>
      </c>
      <c r="R2393" t="s">
        <v>76</v>
      </c>
      <c r="S2393">
        <v>1</v>
      </c>
      <c r="T2393">
        <v>0</v>
      </c>
      <c r="U2393">
        <f>IF(AND(OR(Dashboard!$D$4="Semua",D2393=Dashboard!$D$4),OR(Dashboard!$H$4="Semua",E2393=Dashboard!$H$4)),1,0)</f>
        <v>1</v>
      </c>
      <c r="V2393">
        <f>IF(U2393=1,IF(COUNTIFS($C$2:C2393,C2393,$U$2:U2393,1)=1,1,0),0)</f>
        <v>0</v>
      </c>
    </row>
    <row r="2394" spans="1:22" x14ac:dyDescent="0.35">
      <c r="A2394">
        <v>12393</v>
      </c>
      <c r="B2394" s="1">
        <v>46954</v>
      </c>
      <c r="C2394">
        <v>1952</v>
      </c>
      <c r="D2394" t="s">
        <v>73</v>
      </c>
      <c r="E2394" t="s">
        <v>63</v>
      </c>
      <c r="F2394">
        <v>6</v>
      </c>
      <c r="G2394" s="2">
        <v>54.59</v>
      </c>
      <c r="H2394">
        <v>0.28999999999999998</v>
      </c>
      <c r="I2394" t="s">
        <v>71</v>
      </c>
      <c r="J2394">
        <v>8</v>
      </c>
      <c r="K2394">
        <v>3.1</v>
      </c>
      <c r="L2394" s="2">
        <v>232.55</v>
      </c>
      <c r="M2394">
        <v>2028</v>
      </c>
      <c r="N2394">
        <v>7</v>
      </c>
      <c r="O2394" t="s">
        <v>158</v>
      </c>
      <c r="P2394" s="2">
        <v>327.54000000000002</v>
      </c>
      <c r="Q2394" s="2">
        <v>94.99</v>
      </c>
      <c r="R2394" t="s">
        <v>66</v>
      </c>
      <c r="S2394">
        <v>1</v>
      </c>
      <c r="T2394">
        <v>0</v>
      </c>
      <c r="U2394">
        <f>IF(AND(OR(Dashboard!$D$4="Semua",D2394=Dashboard!$D$4),OR(Dashboard!$H$4="Semua",E2394=Dashboard!$H$4)),1,0)</f>
        <v>1</v>
      </c>
      <c r="V2394">
        <f>IF(U2394=1,IF(COUNTIFS($C$2:C2394,C2394,$U$2:U2394,1)=1,1,0),0)</f>
        <v>0</v>
      </c>
    </row>
    <row r="2395" spans="1:22" x14ac:dyDescent="0.35">
      <c r="A2395">
        <v>12394</v>
      </c>
      <c r="B2395" s="1">
        <v>46955</v>
      </c>
      <c r="C2395">
        <v>1452</v>
      </c>
      <c r="D2395" t="s">
        <v>73</v>
      </c>
      <c r="E2395" t="s">
        <v>78</v>
      </c>
      <c r="F2395">
        <v>7</v>
      </c>
      <c r="G2395" s="2">
        <v>596.13</v>
      </c>
      <c r="H2395">
        <v>0.11</v>
      </c>
      <c r="I2395" t="s">
        <v>64</v>
      </c>
      <c r="J2395">
        <v>9</v>
      </c>
      <c r="K2395">
        <v>1.5</v>
      </c>
      <c r="L2395" s="2">
        <v>3713.89</v>
      </c>
      <c r="M2395">
        <v>2028</v>
      </c>
      <c r="N2395">
        <v>7</v>
      </c>
      <c r="O2395" t="s">
        <v>158</v>
      </c>
      <c r="P2395" s="2">
        <v>4172.91</v>
      </c>
      <c r="Q2395" s="2">
        <v>459.02</v>
      </c>
      <c r="R2395" t="s">
        <v>79</v>
      </c>
      <c r="S2395">
        <v>1</v>
      </c>
      <c r="T2395">
        <v>1</v>
      </c>
      <c r="U2395">
        <f>IF(AND(OR(Dashboard!$D$4="Semua",D2395=Dashboard!$D$4),OR(Dashboard!$H$4="Semua",E2395=Dashboard!$H$4)),1,0)</f>
        <v>1</v>
      </c>
      <c r="V2395">
        <f>IF(U2395=1,IF(COUNTIFS($C$2:C2395,C2395,$U$2:U2395,1)=1,1,0),0)</f>
        <v>0</v>
      </c>
    </row>
    <row r="2396" spans="1:22" x14ac:dyDescent="0.35">
      <c r="A2396">
        <v>12395</v>
      </c>
      <c r="B2396" s="1">
        <v>46956</v>
      </c>
      <c r="C2396">
        <v>1386</v>
      </c>
      <c r="D2396" t="s">
        <v>80</v>
      </c>
      <c r="E2396" t="s">
        <v>78</v>
      </c>
      <c r="F2396">
        <v>7</v>
      </c>
      <c r="G2396" s="2">
        <v>423.76</v>
      </c>
      <c r="H2396">
        <v>0.09</v>
      </c>
      <c r="I2396" t="s">
        <v>68</v>
      </c>
      <c r="J2396">
        <v>9</v>
      </c>
      <c r="K2396">
        <v>1.8</v>
      </c>
      <c r="L2396" s="2">
        <v>2699.35</v>
      </c>
      <c r="M2396">
        <v>2028</v>
      </c>
      <c r="N2396">
        <v>7</v>
      </c>
      <c r="O2396" t="s">
        <v>158</v>
      </c>
      <c r="P2396" s="2">
        <v>2966.32</v>
      </c>
      <c r="Q2396" s="2">
        <v>266.97000000000003</v>
      </c>
      <c r="R2396" t="s">
        <v>69</v>
      </c>
      <c r="S2396">
        <v>1</v>
      </c>
      <c r="T2396">
        <v>0</v>
      </c>
      <c r="U2396">
        <f>IF(AND(OR(Dashboard!$D$4="Semua",D2396=Dashboard!$D$4),OR(Dashboard!$H$4="Semua",E2396=Dashboard!$H$4)),1,0)</f>
        <v>1</v>
      </c>
      <c r="V2396">
        <f>IF(U2396=1,IF(COUNTIFS($C$2:C2396,C2396,$U$2:U2396,1)=1,1,0),0)</f>
        <v>0</v>
      </c>
    </row>
    <row r="2397" spans="1:22" x14ac:dyDescent="0.35">
      <c r="A2397">
        <v>12396</v>
      </c>
      <c r="B2397" s="1">
        <v>46957</v>
      </c>
      <c r="C2397">
        <v>1506</v>
      </c>
      <c r="D2397" t="s">
        <v>67</v>
      </c>
      <c r="E2397" t="s">
        <v>78</v>
      </c>
      <c r="F2397">
        <v>2</v>
      </c>
      <c r="G2397" s="2">
        <v>109.93</v>
      </c>
      <c r="H2397">
        <v>0.1</v>
      </c>
      <c r="I2397" t="s">
        <v>71</v>
      </c>
      <c r="J2397">
        <v>11</v>
      </c>
      <c r="K2397">
        <v>2.6</v>
      </c>
      <c r="L2397" s="2">
        <v>197.87</v>
      </c>
      <c r="M2397">
        <v>2028</v>
      </c>
      <c r="N2397">
        <v>7</v>
      </c>
      <c r="O2397" t="s">
        <v>158</v>
      </c>
      <c r="P2397" s="2">
        <v>219.86</v>
      </c>
      <c r="Q2397" s="2">
        <v>21.99</v>
      </c>
      <c r="R2397" t="s">
        <v>69</v>
      </c>
      <c r="S2397">
        <v>1</v>
      </c>
      <c r="T2397">
        <v>0</v>
      </c>
      <c r="U2397">
        <f>IF(AND(OR(Dashboard!$D$4="Semua",D2397=Dashboard!$D$4),OR(Dashboard!$H$4="Semua",E2397=Dashboard!$H$4)),1,0)</f>
        <v>1</v>
      </c>
      <c r="V2397">
        <f>IF(U2397=1,IF(COUNTIFS($C$2:C2397,C2397,$U$2:U2397,1)=1,1,0),0)</f>
        <v>0</v>
      </c>
    </row>
    <row r="2398" spans="1:22" x14ac:dyDescent="0.35">
      <c r="A2398">
        <v>12397</v>
      </c>
      <c r="B2398" s="1">
        <v>46958</v>
      </c>
      <c r="C2398">
        <v>1256</v>
      </c>
      <c r="D2398" t="s">
        <v>73</v>
      </c>
      <c r="E2398" t="s">
        <v>78</v>
      </c>
      <c r="F2398">
        <v>4</v>
      </c>
      <c r="G2398" s="2">
        <v>22.26</v>
      </c>
      <c r="H2398">
        <v>0.33</v>
      </c>
      <c r="I2398" t="s">
        <v>64</v>
      </c>
      <c r="J2398">
        <v>8</v>
      </c>
      <c r="K2398">
        <v>3.2</v>
      </c>
      <c r="L2398" s="2">
        <v>59.66</v>
      </c>
      <c r="M2398">
        <v>2028</v>
      </c>
      <c r="N2398">
        <v>7</v>
      </c>
      <c r="O2398" t="s">
        <v>158</v>
      </c>
      <c r="P2398" s="2">
        <v>89.04</v>
      </c>
      <c r="Q2398" s="2">
        <v>29.38</v>
      </c>
      <c r="R2398" t="s">
        <v>72</v>
      </c>
      <c r="S2398">
        <v>1</v>
      </c>
      <c r="T2398">
        <v>0</v>
      </c>
      <c r="U2398">
        <f>IF(AND(OR(Dashboard!$D$4="Semua",D2398=Dashboard!$D$4),OR(Dashboard!$H$4="Semua",E2398=Dashboard!$H$4)),1,0)</f>
        <v>1</v>
      </c>
      <c r="V2398">
        <f>IF(U2398=1,IF(COUNTIFS($C$2:C2398,C2398,$U$2:U2398,1)=1,1,0),0)</f>
        <v>0</v>
      </c>
    </row>
    <row r="2399" spans="1:22" x14ac:dyDescent="0.35">
      <c r="A2399">
        <v>12398</v>
      </c>
      <c r="B2399" s="1">
        <v>46959</v>
      </c>
      <c r="C2399">
        <v>1569</v>
      </c>
      <c r="D2399" t="s">
        <v>62</v>
      </c>
      <c r="E2399" t="s">
        <v>78</v>
      </c>
      <c r="F2399">
        <v>6</v>
      </c>
      <c r="G2399" s="2">
        <v>115.2</v>
      </c>
      <c r="H2399">
        <v>0.13</v>
      </c>
      <c r="I2399" t="s">
        <v>71</v>
      </c>
      <c r="J2399">
        <v>8</v>
      </c>
      <c r="K2399">
        <v>1.7</v>
      </c>
      <c r="L2399" s="2">
        <v>601.34</v>
      </c>
      <c r="M2399">
        <v>2028</v>
      </c>
      <c r="N2399">
        <v>7</v>
      </c>
      <c r="O2399" t="s">
        <v>158</v>
      </c>
      <c r="P2399" s="2">
        <v>691.2</v>
      </c>
      <c r="Q2399" s="2">
        <v>89.86</v>
      </c>
      <c r="R2399" t="s">
        <v>79</v>
      </c>
      <c r="S2399">
        <v>1</v>
      </c>
      <c r="T2399">
        <v>0</v>
      </c>
      <c r="U2399">
        <f>IF(AND(OR(Dashboard!$D$4="Semua",D2399=Dashboard!$D$4),OR(Dashboard!$H$4="Semua",E2399=Dashboard!$H$4)),1,0)</f>
        <v>1</v>
      </c>
      <c r="V2399">
        <f>IF(U2399=1,IF(COUNTIFS($C$2:C2399,C2399,$U$2:U2399,1)=1,1,0),0)</f>
        <v>0</v>
      </c>
    </row>
    <row r="2400" spans="1:22" x14ac:dyDescent="0.35">
      <c r="A2400">
        <v>12399</v>
      </c>
      <c r="B2400" s="1">
        <v>46960</v>
      </c>
      <c r="C2400">
        <v>1891</v>
      </c>
      <c r="D2400" t="s">
        <v>80</v>
      </c>
      <c r="E2400" t="s">
        <v>63</v>
      </c>
      <c r="F2400">
        <v>5</v>
      </c>
      <c r="G2400" s="2">
        <v>505.33</v>
      </c>
      <c r="H2400">
        <v>0</v>
      </c>
      <c r="I2400" t="s">
        <v>68</v>
      </c>
      <c r="J2400">
        <v>11</v>
      </c>
      <c r="K2400">
        <v>2.1</v>
      </c>
      <c r="L2400" s="2">
        <v>2526.65</v>
      </c>
      <c r="M2400">
        <v>2028</v>
      </c>
      <c r="N2400">
        <v>7</v>
      </c>
      <c r="O2400" t="s">
        <v>158</v>
      </c>
      <c r="P2400" s="2">
        <v>2526.65</v>
      </c>
      <c r="Q2400" s="2">
        <v>0</v>
      </c>
      <c r="R2400" t="s">
        <v>75</v>
      </c>
      <c r="S2400">
        <v>1</v>
      </c>
      <c r="T2400">
        <v>0</v>
      </c>
      <c r="U2400">
        <f>IF(AND(OR(Dashboard!$D$4="Semua",D2400=Dashboard!$D$4),OR(Dashboard!$H$4="Semua",E2400=Dashboard!$H$4)),1,0)</f>
        <v>1</v>
      </c>
      <c r="V2400">
        <f>IF(U2400=1,IF(COUNTIFS($C$2:C2400,C2400,$U$2:U2400,1)=1,1,0),0)</f>
        <v>0</v>
      </c>
    </row>
    <row r="2401" spans="1:22" x14ac:dyDescent="0.35">
      <c r="A2401">
        <v>12400</v>
      </c>
      <c r="B2401" s="1">
        <v>46961</v>
      </c>
      <c r="C2401">
        <v>1933</v>
      </c>
      <c r="D2401" t="s">
        <v>62</v>
      </c>
      <c r="E2401" t="s">
        <v>78</v>
      </c>
      <c r="F2401">
        <v>3</v>
      </c>
      <c r="G2401" s="2">
        <v>27.66</v>
      </c>
      <c r="H2401">
        <v>0.27</v>
      </c>
      <c r="I2401" t="s">
        <v>68</v>
      </c>
      <c r="J2401">
        <v>11</v>
      </c>
      <c r="K2401">
        <v>4.0999999999999996</v>
      </c>
      <c r="L2401" s="2">
        <v>60.58</v>
      </c>
      <c r="M2401">
        <v>2028</v>
      </c>
      <c r="N2401">
        <v>7</v>
      </c>
      <c r="O2401" t="s">
        <v>158</v>
      </c>
      <c r="P2401" s="2">
        <v>82.98</v>
      </c>
      <c r="Q2401" s="2">
        <v>22.4</v>
      </c>
      <c r="R2401" t="s">
        <v>66</v>
      </c>
      <c r="S2401">
        <v>1</v>
      </c>
      <c r="T2401">
        <v>0</v>
      </c>
      <c r="U2401">
        <f>IF(AND(OR(Dashboard!$D$4="Semua",D2401=Dashboard!$D$4),OR(Dashboard!$H$4="Semua",E2401=Dashboard!$H$4)),1,0)</f>
        <v>1</v>
      </c>
      <c r="V2401">
        <f>IF(U2401=1,IF(COUNTIFS($C$2:C2401,C2401,$U$2:U2401,1)=1,1,0),0)</f>
        <v>0</v>
      </c>
    </row>
    <row r="2402" spans="1:22" x14ac:dyDescent="0.35">
      <c r="A2402">
        <v>12401</v>
      </c>
      <c r="B2402" s="1">
        <v>46962</v>
      </c>
      <c r="C2402">
        <v>1526</v>
      </c>
      <c r="D2402" t="s">
        <v>67</v>
      </c>
      <c r="E2402" t="s">
        <v>78</v>
      </c>
      <c r="F2402">
        <v>6</v>
      </c>
      <c r="G2402" s="2">
        <v>151.38999999999999</v>
      </c>
      <c r="H2402">
        <v>0.24</v>
      </c>
      <c r="I2402" t="s">
        <v>68</v>
      </c>
      <c r="J2402">
        <v>6</v>
      </c>
      <c r="K2402">
        <v>2.7</v>
      </c>
      <c r="L2402" s="2">
        <v>690.34</v>
      </c>
      <c r="M2402">
        <v>2028</v>
      </c>
      <c r="N2402">
        <v>7</v>
      </c>
      <c r="O2402" t="s">
        <v>158</v>
      </c>
      <c r="P2402" s="2">
        <v>908.34</v>
      </c>
      <c r="Q2402" s="2">
        <v>218</v>
      </c>
      <c r="R2402" t="s">
        <v>77</v>
      </c>
      <c r="S2402">
        <v>1</v>
      </c>
      <c r="T2402">
        <v>0</v>
      </c>
      <c r="U2402">
        <f>IF(AND(OR(Dashboard!$D$4="Semua",D2402=Dashboard!$D$4),OR(Dashboard!$H$4="Semua",E2402=Dashboard!$H$4)),1,0)</f>
        <v>1</v>
      </c>
      <c r="V2402">
        <f>IF(U2402=1,IF(COUNTIFS($C$2:C2402,C2402,$U$2:U2402,1)=1,1,0),0)</f>
        <v>0</v>
      </c>
    </row>
    <row r="2403" spans="1:22" x14ac:dyDescent="0.35">
      <c r="A2403">
        <v>12402</v>
      </c>
      <c r="B2403" s="1">
        <v>46963</v>
      </c>
      <c r="C2403">
        <v>1161</v>
      </c>
      <c r="D2403" t="s">
        <v>67</v>
      </c>
      <c r="E2403" t="s">
        <v>70</v>
      </c>
      <c r="F2403">
        <v>3</v>
      </c>
      <c r="G2403" s="2">
        <v>458.02</v>
      </c>
      <c r="H2403">
        <v>0.04</v>
      </c>
      <c r="I2403" t="s">
        <v>68</v>
      </c>
      <c r="J2403">
        <v>6</v>
      </c>
      <c r="K2403">
        <v>1</v>
      </c>
      <c r="L2403" s="2">
        <v>1319.1</v>
      </c>
      <c r="M2403">
        <v>2028</v>
      </c>
      <c r="N2403">
        <v>7</v>
      </c>
      <c r="O2403" t="s">
        <v>158</v>
      </c>
      <c r="P2403" s="2">
        <v>1374.06</v>
      </c>
      <c r="Q2403" s="2">
        <v>54.96</v>
      </c>
      <c r="R2403" t="s">
        <v>75</v>
      </c>
      <c r="S2403">
        <v>1</v>
      </c>
      <c r="T2403">
        <v>0</v>
      </c>
      <c r="U2403">
        <f>IF(AND(OR(Dashboard!$D$4="Semua",D2403=Dashboard!$D$4),OR(Dashboard!$H$4="Semua",E2403=Dashboard!$H$4)),1,0)</f>
        <v>1</v>
      </c>
      <c r="V2403">
        <f>IF(U2403=1,IF(COUNTIFS($C$2:C2403,C2403,$U$2:U2403,1)=1,1,0),0)</f>
        <v>0</v>
      </c>
    </row>
    <row r="2404" spans="1:22" x14ac:dyDescent="0.35">
      <c r="A2404">
        <v>12403</v>
      </c>
      <c r="B2404" s="1">
        <v>46964</v>
      </c>
      <c r="C2404">
        <v>1956</v>
      </c>
      <c r="D2404" t="s">
        <v>62</v>
      </c>
      <c r="E2404" t="s">
        <v>78</v>
      </c>
      <c r="F2404">
        <v>5</v>
      </c>
      <c r="G2404" s="2">
        <v>357.87</v>
      </c>
      <c r="H2404">
        <v>0.34</v>
      </c>
      <c r="I2404" t="s">
        <v>71</v>
      </c>
      <c r="J2404">
        <v>6</v>
      </c>
      <c r="K2404">
        <v>1.2</v>
      </c>
      <c r="L2404" s="2">
        <v>1180.97</v>
      </c>
      <c r="M2404">
        <v>2028</v>
      </c>
      <c r="N2404">
        <v>7</v>
      </c>
      <c r="O2404" t="s">
        <v>158</v>
      </c>
      <c r="P2404" s="2">
        <v>1789.35</v>
      </c>
      <c r="Q2404" s="2">
        <v>608.38</v>
      </c>
      <c r="R2404" t="s">
        <v>72</v>
      </c>
      <c r="S2404">
        <v>1</v>
      </c>
      <c r="T2404">
        <v>0</v>
      </c>
      <c r="U2404">
        <f>IF(AND(OR(Dashboard!$D$4="Semua",D2404=Dashboard!$D$4),OR(Dashboard!$H$4="Semua",E2404=Dashboard!$H$4)),1,0)</f>
        <v>1</v>
      </c>
      <c r="V2404">
        <f>IF(U2404=1,IF(COUNTIFS($C$2:C2404,C2404,$U$2:U2404,1)=1,1,0),0)</f>
        <v>0</v>
      </c>
    </row>
    <row r="2405" spans="1:22" x14ac:dyDescent="0.35">
      <c r="A2405">
        <v>12404</v>
      </c>
      <c r="B2405" s="1">
        <v>46965</v>
      </c>
      <c r="C2405">
        <v>1162</v>
      </c>
      <c r="D2405" t="s">
        <v>67</v>
      </c>
      <c r="E2405" t="s">
        <v>70</v>
      </c>
      <c r="F2405">
        <v>2</v>
      </c>
      <c r="G2405" s="2">
        <v>472.9</v>
      </c>
      <c r="H2405">
        <v>0.21</v>
      </c>
      <c r="I2405" t="s">
        <v>68</v>
      </c>
      <c r="J2405">
        <v>10</v>
      </c>
      <c r="K2405">
        <v>2.8</v>
      </c>
      <c r="L2405" s="2">
        <v>747.18</v>
      </c>
      <c r="M2405">
        <v>2028</v>
      </c>
      <c r="N2405">
        <v>7</v>
      </c>
      <c r="O2405" t="s">
        <v>158</v>
      </c>
      <c r="P2405" s="2">
        <v>945.8</v>
      </c>
      <c r="Q2405" s="2">
        <v>198.62</v>
      </c>
      <c r="R2405" t="s">
        <v>77</v>
      </c>
      <c r="S2405">
        <v>1</v>
      </c>
      <c r="T2405">
        <v>0</v>
      </c>
      <c r="U2405">
        <f>IF(AND(OR(Dashboard!$D$4="Semua",D2405=Dashboard!$D$4),OR(Dashboard!$H$4="Semua",E2405=Dashboard!$H$4)),1,0)</f>
        <v>1</v>
      </c>
      <c r="V2405">
        <f>IF(U2405=1,IF(COUNTIFS($C$2:C2405,C2405,$U$2:U2405,1)=1,1,0),0)</f>
        <v>0</v>
      </c>
    </row>
    <row r="2406" spans="1:22" x14ac:dyDescent="0.35">
      <c r="A2406">
        <v>12405</v>
      </c>
      <c r="B2406" s="1">
        <v>46966</v>
      </c>
      <c r="C2406">
        <v>1831</v>
      </c>
      <c r="D2406" t="s">
        <v>80</v>
      </c>
      <c r="E2406" t="s">
        <v>70</v>
      </c>
      <c r="F2406">
        <v>7</v>
      </c>
      <c r="G2406" s="2">
        <v>451.5</v>
      </c>
      <c r="H2406">
        <v>0.18</v>
      </c>
      <c r="I2406" t="s">
        <v>68</v>
      </c>
      <c r="J2406">
        <v>6</v>
      </c>
      <c r="K2406">
        <v>1.2</v>
      </c>
      <c r="L2406" s="2">
        <v>2591.61</v>
      </c>
      <c r="M2406">
        <v>2028</v>
      </c>
      <c r="N2406">
        <v>8</v>
      </c>
      <c r="O2406" t="s">
        <v>159</v>
      </c>
      <c r="P2406" s="2">
        <v>3160.5</v>
      </c>
      <c r="Q2406" s="2">
        <v>568.89</v>
      </c>
      <c r="R2406" t="s">
        <v>76</v>
      </c>
      <c r="S2406">
        <v>1</v>
      </c>
      <c r="T2406">
        <v>0</v>
      </c>
      <c r="U2406">
        <f>IF(AND(OR(Dashboard!$D$4="Semua",D2406=Dashboard!$D$4),OR(Dashboard!$H$4="Semua",E2406=Dashboard!$H$4)),1,0)</f>
        <v>1</v>
      </c>
      <c r="V2406">
        <f>IF(U2406=1,IF(COUNTIFS($C$2:C2406,C2406,$U$2:U2406,1)=1,1,0),0)</f>
        <v>0</v>
      </c>
    </row>
    <row r="2407" spans="1:22" x14ac:dyDescent="0.35">
      <c r="A2407">
        <v>12406</v>
      </c>
      <c r="B2407" s="1">
        <v>46967</v>
      </c>
      <c r="C2407">
        <v>1792</v>
      </c>
      <c r="D2407" t="s">
        <v>73</v>
      </c>
      <c r="E2407" t="s">
        <v>70</v>
      </c>
      <c r="F2407">
        <v>3</v>
      </c>
      <c r="G2407" s="2">
        <v>44.6</v>
      </c>
      <c r="H2407">
        <v>0.13</v>
      </c>
      <c r="I2407" t="s">
        <v>68</v>
      </c>
      <c r="J2407">
        <v>11</v>
      </c>
      <c r="K2407">
        <v>1.7</v>
      </c>
      <c r="L2407" s="2">
        <v>116.41</v>
      </c>
      <c r="M2407">
        <v>2028</v>
      </c>
      <c r="N2407">
        <v>8</v>
      </c>
      <c r="O2407" t="s">
        <v>159</v>
      </c>
      <c r="P2407" s="2">
        <v>133.80000000000001</v>
      </c>
      <c r="Q2407" s="2">
        <v>17.39</v>
      </c>
      <c r="R2407" t="s">
        <v>79</v>
      </c>
      <c r="S2407">
        <v>1</v>
      </c>
      <c r="T2407">
        <v>0</v>
      </c>
      <c r="U2407">
        <f>IF(AND(OR(Dashboard!$D$4="Semua",D2407=Dashboard!$D$4),OR(Dashboard!$H$4="Semua",E2407=Dashboard!$H$4)),1,0)</f>
        <v>1</v>
      </c>
      <c r="V2407">
        <f>IF(U2407=1,IF(COUNTIFS($C$2:C2407,C2407,$U$2:U2407,1)=1,1,0),0)</f>
        <v>0</v>
      </c>
    </row>
    <row r="2408" spans="1:22" x14ac:dyDescent="0.35">
      <c r="A2408">
        <v>12407</v>
      </c>
      <c r="B2408" s="1">
        <v>46968</v>
      </c>
      <c r="C2408">
        <v>1791</v>
      </c>
      <c r="D2408" t="s">
        <v>67</v>
      </c>
      <c r="E2408" t="s">
        <v>63</v>
      </c>
      <c r="F2408">
        <v>1</v>
      </c>
      <c r="G2408" s="2">
        <v>537.12</v>
      </c>
      <c r="H2408">
        <v>0.31</v>
      </c>
      <c r="I2408" t="s">
        <v>71</v>
      </c>
      <c r="J2408">
        <v>9</v>
      </c>
      <c r="K2408">
        <v>3.9</v>
      </c>
      <c r="L2408" s="2">
        <v>370.61</v>
      </c>
      <c r="M2408">
        <v>2028</v>
      </c>
      <c r="N2408">
        <v>8</v>
      </c>
      <c r="O2408" t="s">
        <v>159</v>
      </c>
      <c r="P2408" s="2">
        <v>537.12</v>
      </c>
      <c r="Q2408" s="2">
        <v>166.51</v>
      </c>
      <c r="R2408" t="s">
        <v>72</v>
      </c>
      <c r="S2408">
        <v>1</v>
      </c>
      <c r="T2408">
        <v>0</v>
      </c>
      <c r="U2408">
        <f>IF(AND(OR(Dashboard!$D$4="Semua",D2408=Dashboard!$D$4),OR(Dashboard!$H$4="Semua",E2408=Dashboard!$H$4)),1,0)</f>
        <v>1</v>
      </c>
      <c r="V2408">
        <f>IF(U2408=1,IF(COUNTIFS($C$2:C2408,C2408,$U$2:U2408,1)=1,1,0),0)</f>
        <v>0</v>
      </c>
    </row>
    <row r="2409" spans="1:22" x14ac:dyDescent="0.35">
      <c r="A2409">
        <v>12408</v>
      </c>
      <c r="B2409" s="1">
        <v>46969</v>
      </c>
      <c r="C2409">
        <v>1523</v>
      </c>
      <c r="D2409" t="s">
        <v>73</v>
      </c>
      <c r="E2409" t="s">
        <v>63</v>
      </c>
      <c r="F2409">
        <v>6</v>
      </c>
      <c r="G2409" s="2">
        <v>147.81</v>
      </c>
      <c r="H2409">
        <v>0.09</v>
      </c>
      <c r="I2409" t="s">
        <v>71</v>
      </c>
      <c r="J2409">
        <v>10</v>
      </c>
      <c r="K2409">
        <v>2.9</v>
      </c>
      <c r="L2409" s="2">
        <v>807.04</v>
      </c>
      <c r="M2409">
        <v>2028</v>
      </c>
      <c r="N2409">
        <v>8</v>
      </c>
      <c r="O2409" t="s">
        <v>159</v>
      </c>
      <c r="P2409" s="2">
        <v>886.86</v>
      </c>
      <c r="Q2409" s="2">
        <v>79.819999999999993</v>
      </c>
      <c r="R2409" t="s">
        <v>69</v>
      </c>
      <c r="S2409">
        <v>1</v>
      </c>
      <c r="T2409">
        <v>0</v>
      </c>
      <c r="U2409">
        <f>IF(AND(OR(Dashboard!$D$4="Semua",D2409=Dashboard!$D$4),OR(Dashboard!$H$4="Semua",E2409=Dashboard!$H$4)),1,0)</f>
        <v>1</v>
      </c>
      <c r="V2409">
        <f>IF(U2409=1,IF(COUNTIFS($C$2:C2409,C2409,$U$2:U2409,1)=1,1,0),0)</f>
        <v>0</v>
      </c>
    </row>
    <row r="2410" spans="1:22" x14ac:dyDescent="0.35">
      <c r="A2410">
        <v>12409</v>
      </c>
      <c r="B2410" s="1">
        <v>46970</v>
      </c>
      <c r="C2410">
        <v>1785</v>
      </c>
      <c r="D2410" t="s">
        <v>73</v>
      </c>
      <c r="E2410" t="s">
        <v>74</v>
      </c>
      <c r="F2410">
        <v>3</v>
      </c>
      <c r="G2410" s="2">
        <v>338.73</v>
      </c>
      <c r="H2410">
        <v>0.1</v>
      </c>
      <c r="I2410" t="s">
        <v>71</v>
      </c>
      <c r="J2410">
        <v>1</v>
      </c>
      <c r="K2410">
        <v>2.9</v>
      </c>
      <c r="L2410" s="2">
        <v>914.57</v>
      </c>
      <c r="M2410">
        <v>2028</v>
      </c>
      <c r="N2410">
        <v>8</v>
      </c>
      <c r="O2410" t="s">
        <v>159</v>
      </c>
      <c r="P2410" s="2">
        <v>1016.19</v>
      </c>
      <c r="Q2410" s="2">
        <v>101.62</v>
      </c>
      <c r="R2410" t="s">
        <v>69</v>
      </c>
      <c r="S2410">
        <v>1</v>
      </c>
      <c r="T2410">
        <v>0</v>
      </c>
      <c r="U2410">
        <f>IF(AND(OR(Dashboard!$D$4="Semua",D2410=Dashboard!$D$4),OR(Dashboard!$H$4="Semua",E2410=Dashboard!$H$4)),1,0)</f>
        <v>1</v>
      </c>
      <c r="V2410">
        <f>IF(U2410=1,IF(COUNTIFS($C$2:C2410,C2410,$U$2:U2410,1)=1,1,0),0)</f>
        <v>1</v>
      </c>
    </row>
    <row r="2411" spans="1:22" x14ac:dyDescent="0.35">
      <c r="A2411">
        <v>12410</v>
      </c>
      <c r="B2411" s="1">
        <v>46971</v>
      </c>
      <c r="C2411">
        <v>1270</v>
      </c>
      <c r="D2411" t="s">
        <v>73</v>
      </c>
      <c r="E2411" t="s">
        <v>74</v>
      </c>
      <c r="F2411">
        <v>5</v>
      </c>
      <c r="G2411" s="2">
        <v>391.91</v>
      </c>
      <c r="H2411">
        <v>0.04</v>
      </c>
      <c r="I2411" t="s">
        <v>68</v>
      </c>
      <c r="J2411">
        <v>10</v>
      </c>
      <c r="K2411">
        <v>3.4</v>
      </c>
      <c r="L2411" s="2">
        <v>1881.17</v>
      </c>
      <c r="M2411">
        <v>2028</v>
      </c>
      <c r="N2411">
        <v>8</v>
      </c>
      <c r="O2411" t="s">
        <v>159</v>
      </c>
      <c r="P2411" s="2">
        <v>1959.55</v>
      </c>
      <c r="Q2411" s="2">
        <v>78.38</v>
      </c>
      <c r="R2411" t="s">
        <v>75</v>
      </c>
      <c r="S2411">
        <v>1</v>
      </c>
      <c r="T2411">
        <v>0</v>
      </c>
      <c r="U2411">
        <f>IF(AND(OR(Dashboard!$D$4="Semua",D2411=Dashboard!$D$4),OR(Dashboard!$H$4="Semua",E2411=Dashboard!$H$4)),1,0)</f>
        <v>1</v>
      </c>
      <c r="V2411">
        <f>IF(U2411=1,IF(COUNTIFS($C$2:C2411,C2411,$U$2:U2411,1)=1,1,0),0)</f>
        <v>0</v>
      </c>
    </row>
    <row r="2412" spans="1:22" x14ac:dyDescent="0.35">
      <c r="A2412">
        <v>12411</v>
      </c>
      <c r="B2412" s="1">
        <v>46972</v>
      </c>
      <c r="C2412">
        <v>1491</v>
      </c>
      <c r="D2412" t="s">
        <v>73</v>
      </c>
      <c r="E2412" t="s">
        <v>70</v>
      </c>
      <c r="F2412">
        <v>7</v>
      </c>
      <c r="G2412" s="2">
        <v>113.65</v>
      </c>
      <c r="H2412">
        <v>0.27</v>
      </c>
      <c r="I2412" t="s">
        <v>68</v>
      </c>
      <c r="J2412">
        <v>6</v>
      </c>
      <c r="K2412">
        <v>4.2</v>
      </c>
      <c r="L2412" s="2">
        <v>580.75</v>
      </c>
      <c r="M2412">
        <v>2028</v>
      </c>
      <c r="N2412">
        <v>8</v>
      </c>
      <c r="O2412" t="s">
        <v>159</v>
      </c>
      <c r="P2412" s="2">
        <v>795.55</v>
      </c>
      <c r="Q2412" s="2">
        <v>214.8</v>
      </c>
      <c r="R2412" t="s">
        <v>66</v>
      </c>
      <c r="S2412">
        <v>1</v>
      </c>
      <c r="T2412">
        <v>0</v>
      </c>
      <c r="U2412">
        <f>IF(AND(OR(Dashboard!$D$4="Semua",D2412=Dashboard!$D$4),OR(Dashboard!$H$4="Semua",E2412=Dashboard!$H$4)),1,0)</f>
        <v>1</v>
      </c>
      <c r="V2412">
        <f>IF(U2412=1,IF(COUNTIFS($C$2:C2412,C2412,$U$2:U2412,1)=1,1,0),0)</f>
        <v>0</v>
      </c>
    </row>
    <row r="2413" spans="1:22" x14ac:dyDescent="0.35">
      <c r="A2413">
        <v>12412</v>
      </c>
      <c r="B2413" s="1">
        <v>46973</v>
      </c>
      <c r="C2413">
        <v>1207</v>
      </c>
      <c r="D2413" t="s">
        <v>62</v>
      </c>
      <c r="E2413" t="s">
        <v>63</v>
      </c>
      <c r="F2413">
        <v>1</v>
      </c>
      <c r="G2413" s="2">
        <v>586.1</v>
      </c>
      <c r="H2413">
        <v>0.21</v>
      </c>
      <c r="I2413" t="s">
        <v>68</v>
      </c>
      <c r="J2413">
        <v>8</v>
      </c>
      <c r="K2413">
        <v>1.6</v>
      </c>
      <c r="L2413" s="2">
        <v>463.02</v>
      </c>
      <c r="M2413">
        <v>2028</v>
      </c>
      <c r="N2413">
        <v>8</v>
      </c>
      <c r="O2413" t="s">
        <v>159</v>
      </c>
      <c r="P2413" s="2">
        <v>586.1</v>
      </c>
      <c r="Q2413" s="2">
        <v>123.08</v>
      </c>
      <c r="R2413" t="s">
        <v>77</v>
      </c>
      <c r="S2413">
        <v>1</v>
      </c>
      <c r="T2413">
        <v>0</v>
      </c>
      <c r="U2413">
        <f>IF(AND(OR(Dashboard!$D$4="Semua",D2413=Dashboard!$D$4),OR(Dashboard!$H$4="Semua",E2413=Dashboard!$H$4)),1,0)</f>
        <v>1</v>
      </c>
      <c r="V2413">
        <f>IF(U2413=1,IF(COUNTIFS($C$2:C2413,C2413,$U$2:U2413,1)=1,1,0),0)</f>
        <v>0</v>
      </c>
    </row>
    <row r="2414" spans="1:22" x14ac:dyDescent="0.35">
      <c r="A2414">
        <v>12413</v>
      </c>
      <c r="B2414" s="1">
        <v>46974</v>
      </c>
      <c r="C2414">
        <v>1538</v>
      </c>
      <c r="D2414" t="s">
        <v>73</v>
      </c>
      <c r="E2414" t="s">
        <v>78</v>
      </c>
      <c r="F2414">
        <v>3</v>
      </c>
      <c r="G2414" s="2">
        <v>300.57</v>
      </c>
      <c r="H2414">
        <v>0.21</v>
      </c>
      <c r="I2414" t="s">
        <v>68</v>
      </c>
      <c r="J2414">
        <v>1</v>
      </c>
      <c r="K2414">
        <v>1.7</v>
      </c>
      <c r="L2414" s="2">
        <v>712.35</v>
      </c>
      <c r="M2414">
        <v>2028</v>
      </c>
      <c r="N2414">
        <v>8</v>
      </c>
      <c r="O2414" t="s">
        <v>159</v>
      </c>
      <c r="P2414" s="2">
        <v>901.71</v>
      </c>
      <c r="Q2414" s="2">
        <v>189.36</v>
      </c>
      <c r="R2414" t="s">
        <v>77</v>
      </c>
      <c r="S2414">
        <v>1</v>
      </c>
      <c r="T2414">
        <v>0</v>
      </c>
      <c r="U2414">
        <f>IF(AND(OR(Dashboard!$D$4="Semua",D2414=Dashboard!$D$4),OR(Dashboard!$H$4="Semua",E2414=Dashboard!$H$4)),1,0)</f>
        <v>1</v>
      </c>
      <c r="V2414">
        <f>IF(U2414=1,IF(COUNTIFS($C$2:C2414,C2414,$U$2:U2414,1)=1,1,0),0)</f>
        <v>0</v>
      </c>
    </row>
    <row r="2415" spans="1:22" x14ac:dyDescent="0.35">
      <c r="A2415">
        <v>12414</v>
      </c>
      <c r="B2415" s="1">
        <v>46975</v>
      </c>
      <c r="C2415">
        <v>1583</v>
      </c>
      <c r="D2415" t="s">
        <v>80</v>
      </c>
      <c r="E2415" t="s">
        <v>74</v>
      </c>
      <c r="F2415">
        <v>7</v>
      </c>
      <c r="G2415" s="2">
        <v>48.72</v>
      </c>
      <c r="H2415">
        <v>0.08</v>
      </c>
      <c r="I2415" t="s">
        <v>68</v>
      </c>
      <c r="J2415">
        <v>11</v>
      </c>
      <c r="K2415">
        <v>1.5</v>
      </c>
      <c r="L2415" s="2">
        <v>313.76</v>
      </c>
      <c r="M2415">
        <v>2028</v>
      </c>
      <c r="N2415">
        <v>8</v>
      </c>
      <c r="O2415" t="s">
        <v>159</v>
      </c>
      <c r="P2415" s="2">
        <v>341.04</v>
      </c>
      <c r="Q2415" s="2">
        <v>27.28</v>
      </c>
      <c r="R2415" t="s">
        <v>69</v>
      </c>
      <c r="S2415">
        <v>1</v>
      </c>
      <c r="T2415">
        <v>0</v>
      </c>
      <c r="U2415">
        <f>IF(AND(OR(Dashboard!$D$4="Semua",D2415=Dashboard!$D$4),OR(Dashboard!$H$4="Semua",E2415=Dashboard!$H$4)),1,0)</f>
        <v>1</v>
      </c>
      <c r="V2415">
        <f>IF(U2415=1,IF(COUNTIFS($C$2:C2415,C2415,$U$2:U2415,1)=1,1,0),0)</f>
        <v>0</v>
      </c>
    </row>
    <row r="2416" spans="1:22" x14ac:dyDescent="0.35">
      <c r="A2416">
        <v>12415</v>
      </c>
      <c r="B2416" s="1">
        <v>46976</v>
      </c>
      <c r="C2416">
        <v>1059</v>
      </c>
      <c r="D2416" t="s">
        <v>80</v>
      </c>
      <c r="E2416" t="s">
        <v>63</v>
      </c>
      <c r="F2416">
        <v>5</v>
      </c>
      <c r="G2416" s="2">
        <v>563.29999999999995</v>
      </c>
      <c r="H2416">
        <v>0.23</v>
      </c>
      <c r="I2416" t="s">
        <v>71</v>
      </c>
      <c r="J2416">
        <v>11</v>
      </c>
      <c r="K2416">
        <v>4.7</v>
      </c>
      <c r="L2416" s="2">
        <v>2168.6999999999998</v>
      </c>
      <c r="M2416">
        <v>2028</v>
      </c>
      <c r="N2416">
        <v>8</v>
      </c>
      <c r="O2416" t="s">
        <v>159</v>
      </c>
      <c r="P2416" s="2">
        <v>2816.5</v>
      </c>
      <c r="Q2416" s="2">
        <v>647.79999999999995</v>
      </c>
      <c r="R2416" t="s">
        <v>77</v>
      </c>
      <c r="S2416">
        <v>1</v>
      </c>
      <c r="T2416">
        <v>0</v>
      </c>
      <c r="U2416">
        <f>IF(AND(OR(Dashboard!$D$4="Semua",D2416=Dashboard!$D$4),OR(Dashboard!$H$4="Semua",E2416=Dashboard!$H$4)),1,0)</f>
        <v>1</v>
      </c>
      <c r="V2416">
        <f>IF(U2416=1,IF(COUNTIFS($C$2:C2416,C2416,$U$2:U2416,1)=1,1,0),0)</f>
        <v>1</v>
      </c>
    </row>
    <row r="2417" spans="1:22" x14ac:dyDescent="0.35">
      <c r="A2417">
        <v>12416</v>
      </c>
      <c r="B2417" s="1">
        <v>46977</v>
      </c>
      <c r="C2417">
        <v>1429</v>
      </c>
      <c r="D2417" t="s">
        <v>67</v>
      </c>
      <c r="E2417" t="s">
        <v>78</v>
      </c>
      <c r="F2417">
        <v>2</v>
      </c>
      <c r="G2417" s="2">
        <v>357.97</v>
      </c>
      <c r="H2417">
        <v>0.27</v>
      </c>
      <c r="I2417" t="s">
        <v>68</v>
      </c>
      <c r="J2417">
        <v>6</v>
      </c>
      <c r="K2417">
        <v>3.3</v>
      </c>
      <c r="L2417" s="2">
        <v>522.64</v>
      </c>
      <c r="M2417">
        <v>2028</v>
      </c>
      <c r="N2417">
        <v>8</v>
      </c>
      <c r="O2417" t="s">
        <v>159</v>
      </c>
      <c r="P2417" s="2">
        <v>715.94</v>
      </c>
      <c r="Q2417" s="2">
        <v>193.3</v>
      </c>
      <c r="R2417" t="s">
        <v>66</v>
      </c>
      <c r="S2417">
        <v>1</v>
      </c>
      <c r="T2417">
        <v>0</v>
      </c>
      <c r="U2417">
        <f>IF(AND(OR(Dashboard!$D$4="Semua",D2417=Dashboard!$D$4),OR(Dashboard!$H$4="Semua",E2417=Dashboard!$H$4)),1,0)</f>
        <v>1</v>
      </c>
      <c r="V2417">
        <f>IF(U2417=1,IF(COUNTIFS($C$2:C2417,C2417,$U$2:U2417,1)=1,1,0),0)</f>
        <v>0</v>
      </c>
    </row>
    <row r="2418" spans="1:22" x14ac:dyDescent="0.35">
      <c r="A2418">
        <v>12417</v>
      </c>
      <c r="B2418" s="1">
        <v>46978</v>
      </c>
      <c r="C2418">
        <v>1984</v>
      </c>
      <c r="D2418" t="s">
        <v>73</v>
      </c>
      <c r="E2418" t="s">
        <v>78</v>
      </c>
      <c r="F2418">
        <v>5</v>
      </c>
      <c r="G2418" s="2">
        <v>424.03</v>
      </c>
      <c r="H2418">
        <v>0.13</v>
      </c>
      <c r="I2418" t="s">
        <v>64</v>
      </c>
      <c r="J2418">
        <v>9</v>
      </c>
      <c r="K2418">
        <v>1.4</v>
      </c>
      <c r="L2418" s="2">
        <v>1844.53</v>
      </c>
      <c r="M2418">
        <v>2028</v>
      </c>
      <c r="N2418">
        <v>8</v>
      </c>
      <c r="O2418" t="s">
        <v>159</v>
      </c>
      <c r="P2418" s="2">
        <v>2120.15</v>
      </c>
      <c r="Q2418" s="2">
        <v>275.62</v>
      </c>
      <c r="R2418" t="s">
        <v>79</v>
      </c>
      <c r="S2418">
        <v>1</v>
      </c>
      <c r="T2418">
        <v>0</v>
      </c>
      <c r="U2418">
        <f>IF(AND(OR(Dashboard!$D$4="Semua",D2418=Dashboard!$D$4),OR(Dashboard!$H$4="Semua",E2418=Dashboard!$H$4)),1,0)</f>
        <v>1</v>
      </c>
      <c r="V2418">
        <f>IF(U2418=1,IF(COUNTIFS($C$2:C2418,C2418,$U$2:U2418,1)=1,1,0),0)</f>
        <v>0</v>
      </c>
    </row>
    <row r="2419" spans="1:22" x14ac:dyDescent="0.35">
      <c r="A2419">
        <v>12418</v>
      </c>
      <c r="B2419" s="1">
        <v>46979</v>
      </c>
      <c r="C2419">
        <v>1656</v>
      </c>
      <c r="D2419" t="s">
        <v>80</v>
      </c>
      <c r="E2419" t="s">
        <v>63</v>
      </c>
      <c r="F2419">
        <v>2</v>
      </c>
      <c r="G2419" s="2">
        <v>322.23</v>
      </c>
      <c r="H2419">
        <v>0.28000000000000003</v>
      </c>
      <c r="I2419" t="s">
        <v>71</v>
      </c>
      <c r="J2419">
        <v>6</v>
      </c>
      <c r="K2419">
        <v>1.9</v>
      </c>
      <c r="L2419" s="2">
        <v>464.01</v>
      </c>
      <c r="M2419">
        <v>2028</v>
      </c>
      <c r="N2419">
        <v>8</v>
      </c>
      <c r="O2419" t="s">
        <v>159</v>
      </c>
      <c r="P2419" s="2">
        <v>644.46</v>
      </c>
      <c r="Q2419" s="2">
        <v>180.45</v>
      </c>
      <c r="R2419" t="s">
        <v>66</v>
      </c>
      <c r="S2419">
        <v>1</v>
      </c>
      <c r="T2419">
        <v>0</v>
      </c>
      <c r="U2419">
        <f>IF(AND(OR(Dashboard!$D$4="Semua",D2419=Dashboard!$D$4),OR(Dashboard!$H$4="Semua",E2419=Dashboard!$H$4)),1,0)</f>
        <v>1</v>
      </c>
      <c r="V2419">
        <f>IF(U2419=1,IF(COUNTIFS($C$2:C2419,C2419,$U$2:U2419,1)=1,1,0),0)</f>
        <v>0</v>
      </c>
    </row>
    <row r="2420" spans="1:22" x14ac:dyDescent="0.35">
      <c r="A2420">
        <v>12419</v>
      </c>
      <c r="B2420" s="1">
        <v>46980</v>
      </c>
      <c r="C2420">
        <v>1604</v>
      </c>
      <c r="D2420" t="s">
        <v>67</v>
      </c>
      <c r="E2420" t="s">
        <v>74</v>
      </c>
      <c r="F2420">
        <v>7</v>
      </c>
      <c r="G2420" s="2">
        <v>503.32</v>
      </c>
      <c r="H2420">
        <v>0.12</v>
      </c>
      <c r="I2420" t="s">
        <v>68</v>
      </c>
      <c r="J2420">
        <v>2</v>
      </c>
      <c r="K2420">
        <v>3.9</v>
      </c>
      <c r="L2420" s="2">
        <v>3100.45</v>
      </c>
      <c r="M2420">
        <v>2028</v>
      </c>
      <c r="N2420">
        <v>8</v>
      </c>
      <c r="O2420" t="s">
        <v>159</v>
      </c>
      <c r="P2420" s="2">
        <v>3523.24</v>
      </c>
      <c r="Q2420" s="2">
        <v>422.79</v>
      </c>
      <c r="R2420" t="s">
        <v>79</v>
      </c>
      <c r="S2420">
        <v>1</v>
      </c>
      <c r="T2420">
        <v>0</v>
      </c>
      <c r="U2420">
        <f>IF(AND(OR(Dashboard!$D$4="Semua",D2420=Dashboard!$D$4),OR(Dashboard!$H$4="Semua",E2420=Dashboard!$H$4)),1,0)</f>
        <v>1</v>
      </c>
      <c r="V2420">
        <f>IF(U2420=1,IF(COUNTIFS($C$2:C2420,C2420,$U$2:U2420,1)=1,1,0),0)</f>
        <v>0</v>
      </c>
    </row>
    <row r="2421" spans="1:22" x14ac:dyDescent="0.35">
      <c r="A2421">
        <v>12420</v>
      </c>
      <c r="B2421" s="1">
        <v>46981</v>
      </c>
      <c r="C2421">
        <v>1308</v>
      </c>
      <c r="D2421" t="s">
        <v>80</v>
      </c>
      <c r="E2421" t="s">
        <v>63</v>
      </c>
      <c r="F2421">
        <v>7</v>
      </c>
      <c r="G2421" s="2">
        <v>34.380000000000003</v>
      </c>
      <c r="H2421">
        <v>0.27</v>
      </c>
      <c r="I2421" t="s">
        <v>71</v>
      </c>
      <c r="J2421">
        <v>1</v>
      </c>
      <c r="K2421">
        <v>1.1000000000000001</v>
      </c>
      <c r="L2421" s="2">
        <v>175.68</v>
      </c>
      <c r="M2421">
        <v>2028</v>
      </c>
      <c r="N2421">
        <v>8</v>
      </c>
      <c r="O2421" t="s">
        <v>159</v>
      </c>
      <c r="P2421" s="2">
        <v>240.66</v>
      </c>
      <c r="Q2421" s="2">
        <v>64.98</v>
      </c>
      <c r="R2421" t="s">
        <v>66</v>
      </c>
      <c r="S2421">
        <v>1</v>
      </c>
      <c r="T2421">
        <v>0</v>
      </c>
      <c r="U2421">
        <f>IF(AND(OR(Dashboard!$D$4="Semua",D2421=Dashboard!$D$4),OR(Dashboard!$H$4="Semua",E2421=Dashboard!$H$4)),1,0)</f>
        <v>1</v>
      </c>
      <c r="V2421">
        <f>IF(U2421=1,IF(COUNTIFS($C$2:C2421,C2421,$U$2:U2421,1)=1,1,0),0)</f>
        <v>0</v>
      </c>
    </row>
    <row r="2422" spans="1:22" x14ac:dyDescent="0.35">
      <c r="A2422">
        <v>12421</v>
      </c>
      <c r="B2422" s="1">
        <v>46982</v>
      </c>
      <c r="C2422">
        <v>1519</v>
      </c>
      <c r="D2422" t="s">
        <v>80</v>
      </c>
      <c r="E2422" t="s">
        <v>74</v>
      </c>
      <c r="F2422">
        <v>1</v>
      </c>
      <c r="G2422" s="2">
        <v>172</v>
      </c>
      <c r="H2422">
        <v>0.01</v>
      </c>
      <c r="I2422" t="s">
        <v>71</v>
      </c>
      <c r="J2422">
        <v>4</v>
      </c>
      <c r="K2422">
        <v>3.9</v>
      </c>
      <c r="L2422" s="2">
        <v>170.28</v>
      </c>
      <c r="M2422">
        <v>2028</v>
      </c>
      <c r="N2422">
        <v>8</v>
      </c>
      <c r="O2422" t="s">
        <v>159</v>
      </c>
      <c r="P2422" s="2">
        <v>172</v>
      </c>
      <c r="Q2422" s="2">
        <v>1.72</v>
      </c>
      <c r="R2422" t="s">
        <v>75</v>
      </c>
      <c r="S2422">
        <v>1</v>
      </c>
      <c r="T2422">
        <v>0</v>
      </c>
      <c r="U2422">
        <f>IF(AND(OR(Dashboard!$D$4="Semua",D2422=Dashboard!$D$4),OR(Dashboard!$H$4="Semua",E2422=Dashboard!$H$4)),1,0)</f>
        <v>1</v>
      </c>
      <c r="V2422">
        <f>IF(U2422=1,IF(COUNTIFS($C$2:C2422,C2422,$U$2:U2422,1)=1,1,0),0)</f>
        <v>0</v>
      </c>
    </row>
    <row r="2423" spans="1:22" x14ac:dyDescent="0.35">
      <c r="A2423">
        <v>12422</v>
      </c>
      <c r="B2423" s="1">
        <v>46983</v>
      </c>
      <c r="C2423">
        <v>1590</v>
      </c>
      <c r="D2423" t="s">
        <v>62</v>
      </c>
      <c r="E2423" t="s">
        <v>70</v>
      </c>
      <c r="F2423">
        <v>5</v>
      </c>
      <c r="G2423" s="2">
        <v>289.74</v>
      </c>
      <c r="H2423">
        <v>0.19</v>
      </c>
      <c r="I2423" t="s">
        <v>71</v>
      </c>
      <c r="J2423">
        <v>6</v>
      </c>
      <c r="K2423">
        <v>4.5999999999999996</v>
      </c>
      <c r="L2423" s="2">
        <v>1173.45</v>
      </c>
      <c r="M2423">
        <v>2028</v>
      </c>
      <c r="N2423">
        <v>8</v>
      </c>
      <c r="O2423" t="s">
        <v>159</v>
      </c>
      <c r="P2423" s="2">
        <v>1448.7</v>
      </c>
      <c r="Q2423" s="2">
        <v>275.25</v>
      </c>
      <c r="R2423" t="s">
        <v>76</v>
      </c>
      <c r="S2423">
        <v>1</v>
      </c>
      <c r="T2423">
        <v>0</v>
      </c>
      <c r="U2423">
        <f>IF(AND(OR(Dashboard!$D$4="Semua",D2423=Dashboard!$D$4),OR(Dashboard!$H$4="Semua",E2423=Dashboard!$H$4)),1,0)</f>
        <v>1</v>
      </c>
      <c r="V2423">
        <f>IF(U2423=1,IF(COUNTIFS($C$2:C2423,C2423,$U$2:U2423,1)=1,1,0),0)</f>
        <v>1</v>
      </c>
    </row>
    <row r="2424" spans="1:22" x14ac:dyDescent="0.35">
      <c r="A2424">
        <v>12423</v>
      </c>
      <c r="B2424" s="1">
        <v>46984</v>
      </c>
      <c r="C2424">
        <v>1026</v>
      </c>
      <c r="D2424" t="s">
        <v>67</v>
      </c>
      <c r="E2424" t="s">
        <v>63</v>
      </c>
      <c r="F2424">
        <v>4</v>
      </c>
      <c r="G2424" s="2">
        <v>59.81</v>
      </c>
      <c r="H2424">
        <v>0.34</v>
      </c>
      <c r="I2424" t="s">
        <v>64</v>
      </c>
      <c r="J2424">
        <v>10</v>
      </c>
      <c r="K2424">
        <v>1.2</v>
      </c>
      <c r="L2424" s="2">
        <v>157.9</v>
      </c>
      <c r="M2424">
        <v>2028</v>
      </c>
      <c r="N2424">
        <v>8</v>
      </c>
      <c r="O2424" t="s">
        <v>159</v>
      </c>
      <c r="P2424" s="2">
        <v>239.24</v>
      </c>
      <c r="Q2424" s="2">
        <v>81.34</v>
      </c>
      <c r="R2424" t="s">
        <v>72</v>
      </c>
      <c r="S2424">
        <v>1</v>
      </c>
      <c r="T2424">
        <v>0</v>
      </c>
      <c r="U2424">
        <f>IF(AND(OR(Dashboard!$D$4="Semua",D2424=Dashboard!$D$4),OR(Dashboard!$H$4="Semua",E2424=Dashboard!$H$4)),1,0)</f>
        <v>1</v>
      </c>
      <c r="V2424">
        <f>IF(U2424=1,IF(COUNTIFS($C$2:C2424,C2424,$U$2:U2424,1)=1,1,0),0)</f>
        <v>0</v>
      </c>
    </row>
    <row r="2425" spans="1:22" x14ac:dyDescent="0.35">
      <c r="A2425">
        <v>12424</v>
      </c>
      <c r="B2425" s="1">
        <v>46985</v>
      </c>
      <c r="C2425">
        <v>1685</v>
      </c>
      <c r="D2425" t="s">
        <v>73</v>
      </c>
      <c r="E2425" t="s">
        <v>63</v>
      </c>
      <c r="F2425">
        <v>6</v>
      </c>
      <c r="G2425" s="2">
        <v>427.96</v>
      </c>
      <c r="H2425">
        <v>0.34</v>
      </c>
      <c r="I2425" t="s">
        <v>68</v>
      </c>
      <c r="J2425">
        <v>10</v>
      </c>
      <c r="K2425">
        <v>1.7</v>
      </c>
      <c r="L2425" s="2">
        <v>1694.72</v>
      </c>
      <c r="M2425">
        <v>2028</v>
      </c>
      <c r="N2425">
        <v>8</v>
      </c>
      <c r="O2425" t="s">
        <v>159</v>
      </c>
      <c r="P2425" s="2">
        <v>2567.7600000000002</v>
      </c>
      <c r="Q2425" s="2">
        <v>873.04</v>
      </c>
      <c r="R2425" t="s">
        <v>72</v>
      </c>
      <c r="S2425">
        <v>1</v>
      </c>
      <c r="T2425">
        <v>0</v>
      </c>
      <c r="U2425">
        <f>IF(AND(OR(Dashboard!$D$4="Semua",D2425=Dashboard!$D$4),OR(Dashboard!$H$4="Semua",E2425=Dashboard!$H$4)),1,0)</f>
        <v>1</v>
      </c>
      <c r="V2425">
        <f>IF(U2425=1,IF(COUNTIFS($C$2:C2425,C2425,$U$2:U2425,1)=1,1,0),0)</f>
        <v>0</v>
      </c>
    </row>
    <row r="2426" spans="1:22" x14ac:dyDescent="0.35">
      <c r="A2426">
        <v>12425</v>
      </c>
      <c r="B2426" s="1">
        <v>46986</v>
      </c>
      <c r="C2426">
        <v>1561</v>
      </c>
      <c r="D2426" t="s">
        <v>67</v>
      </c>
      <c r="E2426" t="s">
        <v>74</v>
      </c>
      <c r="F2426">
        <v>4</v>
      </c>
      <c r="G2426" s="2">
        <v>245.29</v>
      </c>
      <c r="H2426">
        <v>0.1</v>
      </c>
      <c r="I2426" t="s">
        <v>64</v>
      </c>
      <c r="J2426">
        <v>9</v>
      </c>
      <c r="K2426">
        <v>1</v>
      </c>
      <c r="L2426" s="2">
        <v>883.04</v>
      </c>
      <c r="M2426">
        <v>2028</v>
      </c>
      <c r="N2426">
        <v>8</v>
      </c>
      <c r="O2426" t="s">
        <v>159</v>
      </c>
      <c r="P2426" s="2">
        <v>981.16</v>
      </c>
      <c r="Q2426" s="2">
        <v>98.12</v>
      </c>
      <c r="R2426" t="s">
        <v>69</v>
      </c>
      <c r="S2426">
        <v>1</v>
      </c>
      <c r="T2426">
        <v>0</v>
      </c>
      <c r="U2426">
        <f>IF(AND(OR(Dashboard!$D$4="Semua",D2426=Dashboard!$D$4),OR(Dashboard!$H$4="Semua",E2426=Dashboard!$H$4)),1,0)</f>
        <v>1</v>
      </c>
      <c r="V2426">
        <f>IF(U2426=1,IF(COUNTIFS($C$2:C2426,C2426,$U$2:U2426,1)=1,1,0),0)</f>
        <v>0</v>
      </c>
    </row>
    <row r="2427" spans="1:22" x14ac:dyDescent="0.35">
      <c r="A2427">
        <v>12426</v>
      </c>
      <c r="B2427" s="1">
        <v>46987</v>
      </c>
      <c r="C2427">
        <v>1198</v>
      </c>
      <c r="D2427" t="s">
        <v>73</v>
      </c>
      <c r="E2427" t="s">
        <v>74</v>
      </c>
      <c r="F2427">
        <v>4</v>
      </c>
      <c r="G2427" s="2">
        <v>174.51</v>
      </c>
      <c r="H2427">
        <v>0.15</v>
      </c>
      <c r="I2427" t="s">
        <v>68</v>
      </c>
      <c r="J2427">
        <v>5</v>
      </c>
      <c r="K2427">
        <v>1.4</v>
      </c>
      <c r="L2427" s="2">
        <v>593.33000000000004</v>
      </c>
      <c r="M2427">
        <v>2028</v>
      </c>
      <c r="N2427">
        <v>8</v>
      </c>
      <c r="O2427" t="s">
        <v>159</v>
      </c>
      <c r="P2427" s="2">
        <v>698.04</v>
      </c>
      <c r="Q2427" s="2">
        <v>104.71</v>
      </c>
      <c r="R2427" t="s">
        <v>79</v>
      </c>
      <c r="S2427">
        <v>1</v>
      </c>
      <c r="T2427">
        <v>0</v>
      </c>
      <c r="U2427">
        <f>IF(AND(OR(Dashboard!$D$4="Semua",D2427=Dashboard!$D$4),OR(Dashboard!$H$4="Semua",E2427=Dashboard!$H$4)),1,0)</f>
        <v>1</v>
      </c>
      <c r="V2427">
        <f>IF(U2427=1,IF(COUNTIFS($C$2:C2427,C2427,$U$2:U2427,1)=1,1,0),0)</f>
        <v>1</v>
      </c>
    </row>
    <row r="2428" spans="1:22" x14ac:dyDescent="0.35">
      <c r="A2428">
        <v>12427</v>
      </c>
      <c r="B2428" s="1">
        <v>46988</v>
      </c>
      <c r="C2428">
        <v>1386</v>
      </c>
      <c r="D2428" t="s">
        <v>62</v>
      </c>
      <c r="E2428" t="s">
        <v>63</v>
      </c>
      <c r="F2428">
        <v>4</v>
      </c>
      <c r="G2428" s="2">
        <v>16.98</v>
      </c>
      <c r="H2428">
        <v>0.02</v>
      </c>
      <c r="I2428" t="s">
        <v>64</v>
      </c>
      <c r="J2428">
        <v>7</v>
      </c>
      <c r="K2428">
        <v>3.5</v>
      </c>
      <c r="L2428" s="2">
        <v>66.56</v>
      </c>
      <c r="M2428">
        <v>2028</v>
      </c>
      <c r="N2428">
        <v>8</v>
      </c>
      <c r="O2428" t="s">
        <v>159</v>
      </c>
      <c r="P2428" s="2">
        <v>67.92</v>
      </c>
      <c r="Q2428" s="2">
        <v>1.36</v>
      </c>
      <c r="R2428" t="s">
        <v>75</v>
      </c>
      <c r="S2428">
        <v>1</v>
      </c>
      <c r="T2428">
        <v>0</v>
      </c>
      <c r="U2428">
        <f>IF(AND(OR(Dashboard!$D$4="Semua",D2428=Dashboard!$D$4),OR(Dashboard!$H$4="Semua",E2428=Dashboard!$H$4)),1,0)</f>
        <v>1</v>
      </c>
      <c r="V2428">
        <f>IF(U2428=1,IF(COUNTIFS($C$2:C2428,C2428,$U$2:U2428,1)=1,1,0),0)</f>
        <v>0</v>
      </c>
    </row>
    <row r="2429" spans="1:22" x14ac:dyDescent="0.35">
      <c r="A2429">
        <v>12428</v>
      </c>
      <c r="B2429" s="1">
        <v>46989</v>
      </c>
      <c r="C2429">
        <v>1348</v>
      </c>
      <c r="D2429" t="s">
        <v>73</v>
      </c>
      <c r="E2429" t="s">
        <v>78</v>
      </c>
      <c r="F2429">
        <v>6</v>
      </c>
      <c r="G2429" s="2">
        <v>436.1</v>
      </c>
      <c r="H2429">
        <v>0.31</v>
      </c>
      <c r="I2429" t="s">
        <v>68</v>
      </c>
      <c r="J2429">
        <v>6</v>
      </c>
      <c r="K2429">
        <v>1.2</v>
      </c>
      <c r="L2429" s="2">
        <v>1805.45</v>
      </c>
      <c r="M2429">
        <v>2028</v>
      </c>
      <c r="N2429">
        <v>8</v>
      </c>
      <c r="O2429" t="s">
        <v>159</v>
      </c>
      <c r="P2429" s="2">
        <v>2616.6</v>
      </c>
      <c r="Q2429" s="2">
        <v>811.15</v>
      </c>
      <c r="R2429" t="s">
        <v>72</v>
      </c>
      <c r="S2429">
        <v>1</v>
      </c>
      <c r="T2429">
        <v>0</v>
      </c>
      <c r="U2429">
        <f>IF(AND(OR(Dashboard!$D$4="Semua",D2429=Dashboard!$D$4),OR(Dashboard!$H$4="Semua",E2429=Dashboard!$H$4)),1,0)</f>
        <v>1</v>
      </c>
      <c r="V2429">
        <f>IF(U2429=1,IF(COUNTIFS($C$2:C2429,C2429,$U$2:U2429,1)=1,1,0),0)</f>
        <v>0</v>
      </c>
    </row>
    <row r="2430" spans="1:22" x14ac:dyDescent="0.35">
      <c r="A2430">
        <v>12429</v>
      </c>
      <c r="B2430" s="1">
        <v>46990</v>
      </c>
      <c r="C2430">
        <v>1959</v>
      </c>
      <c r="D2430" t="s">
        <v>73</v>
      </c>
      <c r="E2430" t="s">
        <v>78</v>
      </c>
      <c r="F2430">
        <v>4</v>
      </c>
      <c r="G2430" s="2">
        <v>502.78</v>
      </c>
      <c r="H2430">
        <v>0.2</v>
      </c>
      <c r="I2430" t="s">
        <v>68</v>
      </c>
      <c r="J2430">
        <v>6</v>
      </c>
      <c r="K2430">
        <v>2.7</v>
      </c>
      <c r="L2430" s="2">
        <v>1608.9</v>
      </c>
      <c r="M2430">
        <v>2028</v>
      </c>
      <c r="N2430">
        <v>8</v>
      </c>
      <c r="O2430" t="s">
        <v>159</v>
      </c>
      <c r="P2430" s="2">
        <v>2011.12</v>
      </c>
      <c r="Q2430" s="2">
        <v>402.22</v>
      </c>
      <c r="R2430" t="s">
        <v>76</v>
      </c>
      <c r="S2430">
        <v>1</v>
      </c>
      <c r="T2430">
        <v>0</v>
      </c>
      <c r="U2430">
        <f>IF(AND(OR(Dashboard!$D$4="Semua",D2430=Dashboard!$D$4),OR(Dashboard!$H$4="Semua",E2430=Dashboard!$H$4)),1,0)</f>
        <v>1</v>
      </c>
      <c r="V2430">
        <f>IF(U2430=1,IF(COUNTIFS($C$2:C2430,C2430,$U$2:U2430,1)=1,1,0),0)</f>
        <v>0</v>
      </c>
    </row>
    <row r="2431" spans="1:22" x14ac:dyDescent="0.35">
      <c r="A2431">
        <v>12430</v>
      </c>
      <c r="B2431" s="1">
        <v>46991</v>
      </c>
      <c r="C2431">
        <v>1939</v>
      </c>
      <c r="D2431" t="s">
        <v>80</v>
      </c>
      <c r="E2431" t="s">
        <v>78</v>
      </c>
      <c r="F2431">
        <v>2</v>
      </c>
      <c r="G2431" s="2">
        <v>246.1</v>
      </c>
      <c r="H2431">
        <v>0.13</v>
      </c>
      <c r="I2431" t="s">
        <v>71</v>
      </c>
      <c r="J2431">
        <v>9</v>
      </c>
      <c r="K2431">
        <v>3</v>
      </c>
      <c r="L2431" s="2">
        <v>428.21</v>
      </c>
      <c r="M2431">
        <v>2028</v>
      </c>
      <c r="N2431">
        <v>8</v>
      </c>
      <c r="O2431" t="s">
        <v>159</v>
      </c>
      <c r="P2431" s="2">
        <v>492.2</v>
      </c>
      <c r="Q2431" s="2">
        <v>63.99</v>
      </c>
      <c r="R2431" t="s">
        <v>79</v>
      </c>
      <c r="S2431">
        <v>1</v>
      </c>
      <c r="T2431">
        <v>0</v>
      </c>
      <c r="U2431">
        <f>IF(AND(OR(Dashboard!$D$4="Semua",D2431=Dashboard!$D$4),OR(Dashboard!$H$4="Semua",E2431=Dashboard!$H$4)),1,0)</f>
        <v>1</v>
      </c>
      <c r="V2431">
        <f>IF(U2431=1,IF(COUNTIFS($C$2:C2431,C2431,$U$2:U2431,1)=1,1,0),0)</f>
        <v>0</v>
      </c>
    </row>
    <row r="2432" spans="1:22" x14ac:dyDescent="0.35">
      <c r="A2432">
        <v>12431</v>
      </c>
      <c r="B2432" s="1">
        <v>46992</v>
      </c>
      <c r="C2432">
        <v>1692</v>
      </c>
      <c r="D2432" t="s">
        <v>67</v>
      </c>
      <c r="E2432" t="s">
        <v>70</v>
      </c>
      <c r="F2432">
        <v>5</v>
      </c>
      <c r="G2432" s="2">
        <v>345.07</v>
      </c>
      <c r="H2432">
        <v>0.04</v>
      </c>
      <c r="I2432" t="s">
        <v>68</v>
      </c>
      <c r="J2432">
        <v>5</v>
      </c>
      <c r="K2432">
        <v>4.5999999999999996</v>
      </c>
      <c r="L2432" s="2">
        <v>1656.34</v>
      </c>
      <c r="M2432">
        <v>2028</v>
      </c>
      <c r="N2432">
        <v>8</v>
      </c>
      <c r="O2432" t="s">
        <v>159</v>
      </c>
      <c r="P2432" s="2">
        <v>1725.35</v>
      </c>
      <c r="Q2432" s="2">
        <v>69.010000000000005</v>
      </c>
      <c r="R2432" t="s">
        <v>75</v>
      </c>
      <c r="S2432">
        <v>1</v>
      </c>
      <c r="T2432">
        <v>0</v>
      </c>
      <c r="U2432">
        <f>IF(AND(OR(Dashboard!$D$4="Semua",D2432=Dashboard!$D$4),OR(Dashboard!$H$4="Semua",E2432=Dashboard!$H$4)),1,0)</f>
        <v>1</v>
      </c>
      <c r="V2432">
        <f>IF(U2432=1,IF(COUNTIFS($C$2:C2432,C2432,$U$2:U2432,1)=1,1,0),0)</f>
        <v>0</v>
      </c>
    </row>
    <row r="2433" spans="1:22" x14ac:dyDescent="0.35">
      <c r="A2433">
        <v>12432</v>
      </c>
      <c r="B2433" s="1">
        <v>46993</v>
      </c>
      <c r="C2433">
        <v>1535</v>
      </c>
      <c r="D2433" t="s">
        <v>67</v>
      </c>
      <c r="E2433" t="s">
        <v>70</v>
      </c>
      <c r="F2433">
        <v>7</v>
      </c>
      <c r="G2433" s="2">
        <v>148.19999999999999</v>
      </c>
      <c r="H2433">
        <v>0.33</v>
      </c>
      <c r="I2433" t="s">
        <v>68</v>
      </c>
      <c r="J2433">
        <v>2</v>
      </c>
      <c r="K2433">
        <v>2.9</v>
      </c>
      <c r="L2433" s="2">
        <v>695.06</v>
      </c>
      <c r="M2433">
        <v>2028</v>
      </c>
      <c r="N2433">
        <v>8</v>
      </c>
      <c r="O2433" t="s">
        <v>159</v>
      </c>
      <c r="P2433" s="2">
        <v>1037.4000000000001</v>
      </c>
      <c r="Q2433" s="2">
        <v>342.34</v>
      </c>
      <c r="R2433" t="s">
        <v>72</v>
      </c>
      <c r="S2433">
        <v>1</v>
      </c>
      <c r="T2433">
        <v>0</v>
      </c>
      <c r="U2433">
        <f>IF(AND(OR(Dashboard!$D$4="Semua",D2433=Dashboard!$D$4),OR(Dashboard!$H$4="Semua",E2433=Dashboard!$H$4)),1,0)</f>
        <v>1</v>
      </c>
      <c r="V2433">
        <f>IF(U2433=1,IF(COUNTIFS($C$2:C2433,C2433,$U$2:U2433,1)=1,1,0),0)</f>
        <v>1</v>
      </c>
    </row>
    <row r="2434" spans="1:22" x14ac:dyDescent="0.35">
      <c r="A2434">
        <v>12433</v>
      </c>
      <c r="B2434" s="1">
        <v>46994</v>
      </c>
      <c r="C2434">
        <v>1827</v>
      </c>
      <c r="D2434" t="s">
        <v>67</v>
      </c>
      <c r="E2434" t="s">
        <v>74</v>
      </c>
      <c r="F2434">
        <v>1</v>
      </c>
      <c r="G2434" s="2">
        <v>378.99</v>
      </c>
      <c r="H2434">
        <v>0.19</v>
      </c>
      <c r="I2434" t="s">
        <v>68</v>
      </c>
      <c r="J2434">
        <v>8</v>
      </c>
      <c r="K2434">
        <v>1.6</v>
      </c>
      <c r="L2434" s="2">
        <v>306.98</v>
      </c>
      <c r="M2434">
        <v>2028</v>
      </c>
      <c r="N2434">
        <v>8</v>
      </c>
      <c r="O2434" t="s">
        <v>159</v>
      </c>
      <c r="P2434" s="2">
        <v>378.99</v>
      </c>
      <c r="Q2434" s="2">
        <v>72.010000000000005</v>
      </c>
      <c r="R2434" t="s">
        <v>76</v>
      </c>
      <c r="S2434">
        <v>1</v>
      </c>
      <c r="T2434">
        <v>0</v>
      </c>
      <c r="U2434">
        <f>IF(AND(OR(Dashboard!$D$4="Semua",D2434=Dashboard!$D$4),OR(Dashboard!$H$4="Semua",E2434=Dashboard!$H$4)),1,0)</f>
        <v>1</v>
      </c>
      <c r="V2434">
        <f>IF(U2434=1,IF(COUNTIFS($C$2:C2434,C2434,$U$2:U2434,1)=1,1,0),0)</f>
        <v>0</v>
      </c>
    </row>
    <row r="2435" spans="1:22" x14ac:dyDescent="0.35">
      <c r="A2435">
        <v>12434</v>
      </c>
      <c r="B2435" s="1">
        <v>46995</v>
      </c>
      <c r="C2435">
        <v>1377</v>
      </c>
      <c r="D2435" t="s">
        <v>62</v>
      </c>
      <c r="E2435" t="s">
        <v>70</v>
      </c>
      <c r="F2435">
        <v>4</v>
      </c>
      <c r="G2435" s="2">
        <v>22.1</v>
      </c>
      <c r="H2435">
        <v>0.1</v>
      </c>
      <c r="I2435" t="s">
        <v>71</v>
      </c>
      <c r="J2435">
        <v>11</v>
      </c>
      <c r="K2435">
        <v>2.2000000000000002</v>
      </c>
      <c r="L2435" s="2">
        <v>79.56</v>
      </c>
      <c r="M2435">
        <v>2028</v>
      </c>
      <c r="N2435">
        <v>8</v>
      </c>
      <c r="O2435" t="s">
        <v>159</v>
      </c>
      <c r="P2435" s="2">
        <v>88.4</v>
      </c>
      <c r="Q2435" s="2">
        <v>8.84</v>
      </c>
      <c r="R2435" t="s">
        <v>69</v>
      </c>
      <c r="S2435">
        <v>1</v>
      </c>
      <c r="T2435">
        <v>0</v>
      </c>
      <c r="U2435">
        <f>IF(AND(OR(Dashboard!$D$4="Semua",D2435=Dashboard!$D$4),OR(Dashboard!$H$4="Semua",E2435=Dashboard!$H$4)),1,0)</f>
        <v>1</v>
      </c>
      <c r="V2435">
        <f>IF(U2435=1,IF(COUNTIFS($C$2:C2435,C2435,$U$2:U2435,1)=1,1,0),0)</f>
        <v>0</v>
      </c>
    </row>
    <row r="2436" spans="1:22" x14ac:dyDescent="0.35">
      <c r="A2436">
        <v>12435</v>
      </c>
      <c r="B2436" s="1">
        <v>46996</v>
      </c>
      <c r="C2436">
        <v>1898</v>
      </c>
      <c r="D2436" t="s">
        <v>73</v>
      </c>
      <c r="E2436" t="s">
        <v>78</v>
      </c>
      <c r="F2436">
        <v>7</v>
      </c>
      <c r="G2436" s="2">
        <v>300.86</v>
      </c>
      <c r="H2436">
        <v>0.12</v>
      </c>
      <c r="I2436" t="s">
        <v>64</v>
      </c>
      <c r="J2436">
        <v>3</v>
      </c>
      <c r="K2436">
        <v>3.7</v>
      </c>
      <c r="L2436" s="2">
        <v>1853.3</v>
      </c>
      <c r="M2436">
        <v>2028</v>
      </c>
      <c r="N2436">
        <v>8</v>
      </c>
      <c r="O2436" t="s">
        <v>159</v>
      </c>
      <c r="P2436" s="2">
        <v>2106.02</v>
      </c>
      <c r="Q2436" s="2">
        <v>252.72</v>
      </c>
      <c r="R2436" t="s">
        <v>79</v>
      </c>
      <c r="S2436">
        <v>1</v>
      </c>
      <c r="T2436">
        <v>0</v>
      </c>
      <c r="U2436">
        <f>IF(AND(OR(Dashboard!$D$4="Semua",D2436=Dashboard!$D$4),OR(Dashboard!$H$4="Semua",E2436=Dashboard!$H$4)),1,0)</f>
        <v>1</v>
      </c>
      <c r="V2436">
        <f>IF(U2436=1,IF(COUNTIFS($C$2:C2436,C2436,$U$2:U2436,1)=1,1,0),0)</f>
        <v>0</v>
      </c>
    </row>
    <row r="2437" spans="1:22" x14ac:dyDescent="0.35">
      <c r="A2437">
        <v>12436</v>
      </c>
      <c r="B2437" s="1">
        <v>46997</v>
      </c>
      <c r="C2437">
        <v>1915</v>
      </c>
      <c r="D2437" t="s">
        <v>62</v>
      </c>
      <c r="E2437" t="s">
        <v>63</v>
      </c>
      <c r="F2437">
        <v>4</v>
      </c>
      <c r="G2437" s="2">
        <v>391.86</v>
      </c>
      <c r="H2437">
        <v>0.09</v>
      </c>
      <c r="I2437" t="s">
        <v>71</v>
      </c>
      <c r="J2437">
        <v>9</v>
      </c>
      <c r="K2437">
        <v>1.4</v>
      </c>
      <c r="L2437" s="2">
        <v>1426.37</v>
      </c>
      <c r="M2437">
        <v>2028</v>
      </c>
      <c r="N2437">
        <v>9</v>
      </c>
      <c r="O2437" t="s">
        <v>160</v>
      </c>
      <c r="P2437" s="2">
        <v>1567.44</v>
      </c>
      <c r="Q2437" s="2">
        <v>141.07</v>
      </c>
      <c r="R2437" t="s">
        <v>69</v>
      </c>
      <c r="S2437">
        <v>1</v>
      </c>
      <c r="T2437">
        <v>0</v>
      </c>
      <c r="U2437">
        <f>IF(AND(OR(Dashboard!$D$4="Semua",D2437=Dashboard!$D$4),OR(Dashboard!$H$4="Semua",E2437=Dashboard!$H$4)),1,0)</f>
        <v>1</v>
      </c>
      <c r="V2437">
        <f>IF(U2437=1,IF(COUNTIFS($C$2:C2437,C2437,$U$2:U2437,1)=1,1,0),0)</f>
        <v>0</v>
      </c>
    </row>
    <row r="2438" spans="1:22" x14ac:dyDescent="0.35">
      <c r="A2438">
        <v>12437</v>
      </c>
      <c r="B2438" s="1">
        <v>46998</v>
      </c>
      <c r="C2438">
        <v>1557</v>
      </c>
      <c r="D2438" t="s">
        <v>73</v>
      </c>
      <c r="E2438" t="s">
        <v>70</v>
      </c>
      <c r="F2438">
        <v>1</v>
      </c>
      <c r="G2438" s="2">
        <v>552.14</v>
      </c>
      <c r="H2438">
        <v>0.21</v>
      </c>
      <c r="I2438" t="s">
        <v>64</v>
      </c>
      <c r="J2438">
        <v>5</v>
      </c>
      <c r="K2438">
        <v>1.9</v>
      </c>
      <c r="L2438" s="2">
        <v>436.19</v>
      </c>
      <c r="M2438">
        <v>2028</v>
      </c>
      <c r="N2438">
        <v>9</v>
      </c>
      <c r="O2438" t="s">
        <v>160</v>
      </c>
      <c r="P2438" s="2">
        <v>552.14</v>
      </c>
      <c r="Q2438" s="2">
        <v>115.95</v>
      </c>
      <c r="R2438" t="s">
        <v>77</v>
      </c>
      <c r="S2438">
        <v>1</v>
      </c>
      <c r="T2438">
        <v>0</v>
      </c>
      <c r="U2438">
        <f>IF(AND(OR(Dashboard!$D$4="Semua",D2438=Dashboard!$D$4),OR(Dashboard!$H$4="Semua",E2438=Dashboard!$H$4)),1,0)</f>
        <v>1</v>
      </c>
      <c r="V2438">
        <f>IF(U2438=1,IF(COUNTIFS($C$2:C2438,C2438,$U$2:U2438,1)=1,1,0),0)</f>
        <v>0</v>
      </c>
    </row>
    <row r="2439" spans="1:22" x14ac:dyDescent="0.35">
      <c r="A2439">
        <v>12438</v>
      </c>
      <c r="B2439" s="1">
        <v>46999</v>
      </c>
      <c r="C2439">
        <v>1526</v>
      </c>
      <c r="D2439" t="s">
        <v>80</v>
      </c>
      <c r="E2439" t="s">
        <v>70</v>
      </c>
      <c r="F2439">
        <v>1</v>
      </c>
      <c r="G2439" s="2">
        <v>238.08</v>
      </c>
      <c r="H2439">
        <v>0.33</v>
      </c>
      <c r="I2439" t="s">
        <v>71</v>
      </c>
      <c r="J2439">
        <v>1</v>
      </c>
      <c r="K2439">
        <v>5</v>
      </c>
      <c r="L2439" s="2">
        <v>159.51</v>
      </c>
      <c r="M2439">
        <v>2028</v>
      </c>
      <c r="N2439">
        <v>9</v>
      </c>
      <c r="O2439" t="s">
        <v>160</v>
      </c>
      <c r="P2439" s="2">
        <v>238.08</v>
      </c>
      <c r="Q2439" s="2">
        <v>78.569999999999993</v>
      </c>
      <c r="R2439" t="s">
        <v>72</v>
      </c>
      <c r="S2439">
        <v>1</v>
      </c>
      <c r="T2439">
        <v>0</v>
      </c>
      <c r="U2439">
        <f>IF(AND(OR(Dashboard!$D$4="Semua",D2439=Dashboard!$D$4),OR(Dashboard!$H$4="Semua",E2439=Dashboard!$H$4)),1,0)</f>
        <v>1</v>
      </c>
      <c r="V2439">
        <f>IF(U2439=1,IF(COUNTIFS($C$2:C2439,C2439,$U$2:U2439,1)=1,1,0),0)</f>
        <v>0</v>
      </c>
    </row>
    <row r="2440" spans="1:22" x14ac:dyDescent="0.35">
      <c r="A2440">
        <v>12439</v>
      </c>
      <c r="B2440" s="1">
        <v>47000</v>
      </c>
      <c r="C2440">
        <v>1152</v>
      </c>
      <c r="D2440" t="s">
        <v>80</v>
      </c>
      <c r="E2440" t="s">
        <v>78</v>
      </c>
      <c r="F2440">
        <v>4</v>
      </c>
      <c r="G2440" s="2">
        <v>462.64</v>
      </c>
      <c r="H2440">
        <v>0.3</v>
      </c>
      <c r="I2440" t="s">
        <v>68</v>
      </c>
      <c r="J2440">
        <v>4</v>
      </c>
      <c r="K2440">
        <v>1</v>
      </c>
      <c r="L2440" s="2">
        <v>1295.3900000000001</v>
      </c>
      <c r="M2440">
        <v>2028</v>
      </c>
      <c r="N2440">
        <v>9</v>
      </c>
      <c r="O2440" t="s">
        <v>160</v>
      </c>
      <c r="P2440" s="2">
        <v>1850.56</v>
      </c>
      <c r="Q2440" s="2">
        <v>555.16999999999996</v>
      </c>
      <c r="R2440" t="s">
        <v>66</v>
      </c>
      <c r="S2440">
        <v>1</v>
      </c>
      <c r="T2440">
        <v>0</v>
      </c>
      <c r="U2440">
        <f>IF(AND(OR(Dashboard!$D$4="Semua",D2440=Dashboard!$D$4),OR(Dashboard!$H$4="Semua",E2440=Dashboard!$H$4)),1,0)</f>
        <v>1</v>
      </c>
      <c r="V2440">
        <f>IF(U2440=1,IF(COUNTIFS($C$2:C2440,C2440,$U$2:U2440,1)=1,1,0),0)</f>
        <v>0</v>
      </c>
    </row>
    <row r="2441" spans="1:22" x14ac:dyDescent="0.35">
      <c r="A2441">
        <v>12440</v>
      </c>
      <c r="B2441" s="1">
        <v>47001</v>
      </c>
      <c r="C2441">
        <v>1733</v>
      </c>
      <c r="D2441" t="s">
        <v>73</v>
      </c>
      <c r="E2441" t="s">
        <v>70</v>
      </c>
      <c r="F2441">
        <v>2</v>
      </c>
      <c r="G2441" s="2">
        <v>364.65</v>
      </c>
      <c r="H2441">
        <v>0.16</v>
      </c>
      <c r="I2441" t="s">
        <v>68</v>
      </c>
      <c r="J2441">
        <v>9</v>
      </c>
      <c r="K2441">
        <v>1.6</v>
      </c>
      <c r="L2441" s="2">
        <v>612.61</v>
      </c>
      <c r="M2441">
        <v>2028</v>
      </c>
      <c r="N2441">
        <v>9</v>
      </c>
      <c r="O2441" t="s">
        <v>160</v>
      </c>
      <c r="P2441" s="2">
        <v>729.3</v>
      </c>
      <c r="Q2441" s="2">
        <v>116.69</v>
      </c>
      <c r="R2441" t="s">
        <v>76</v>
      </c>
      <c r="S2441">
        <v>1</v>
      </c>
      <c r="T2441">
        <v>0</v>
      </c>
      <c r="U2441">
        <f>IF(AND(OR(Dashboard!$D$4="Semua",D2441=Dashboard!$D$4),OR(Dashboard!$H$4="Semua",E2441=Dashboard!$H$4)),1,0)</f>
        <v>1</v>
      </c>
      <c r="V2441">
        <f>IF(U2441=1,IF(COUNTIFS($C$2:C2441,C2441,$U$2:U2441,1)=1,1,0),0)</f>
        <v>0</v>
      </c>
    </row>
    <row r="2442" spans="1:22" x14ac:dyDescent="0.35">
      <c r="A2442">
        <v>12441</v>
      </c>
      <c r="B2442" s="1">
        <v>47002</v>
      </c>
      <c r="C2442">
        <v>1205</v>
      </c>
      <c r="D2442" t="s">
        <v>67</v>
      </c>
      <c r="E2442" t="s">
        <v>74</v>
      </c>
      <c r="F2442">
        <v>7</v>
      </c>
      <c r="G2442" s="2">
        <v>557.29999999999995</v>
      </c>
      <c r="H2442">
        <v>0.28999999999999998</v>
      </c>
      <c r="I2442" t="s">
        <v>71</v>
      </c>
      <c r="J2442">
        <v>1</v>
      </c>
      <c r="K2442">
        <v>4.4000000000000004</v>
      </c>
      <c r="L2442" s="2">
        <v>2769.78</v>
      </c>
      <c r="M2442">
        <v>2028</v>
      </c>
      <c r="N2442">
        <v>9</v>
      </c>
      <c r="O2442" t="s">
        <v>160</v>
      </c>
      <c r="P2442" s="2">
        <v>3901.1</v>
      </c>
      <c r="Q2442" s="2">
        <v>1131.32</v>
      </c>
      <c r="R2442" t="s">
        <v>66</v>
      </c>
      <c r="S2442">
        <v>1</v>
      </c>
      <c r="T2442">
        <v>0</v>
      </c>
      <c r="U2442">
        <f>IF(AND(OR(Dashboard!$D$4="Semua",D2442=Dashboard!$D$4),OR(Dashboard!$H$4="Semua",E2442=Dashboard!$H$4)),1,0)</f>
        <v>1</v>
      </c>
      <c r="V2442">
        <f>IF(U2442=1,IF(COUNTIFS($C$2:C2442,C2442,$U$2:U2442,1)=1,1,0),0)</f>
        <v>0</v>
      </c>
    </row>
    <row r="2443" spans="1:22" x14ac:dyDescent="0.35">
      <c r="A2443">
        <v>12442</v>
      </c>
      <c r="B2443" s="1">
        <v>47003</v>
      </c>
      <c r="C2443">
        <v>1454</v>
      </c>
      <c r="D2443" t="s">
        <v>73</v>
      </c>
      <c r="E2443" t="s">
        <v>63</v>
      </c>
      <c r="F2443">
        <v>1</v>
      </c>
      <c r="G2443" s="2">
        <v>248.05</v>
      </c>
      <c r="H2443">
        <v>0.15</v>
      </c>
      <c r="I2443" t="s">
        <v>68</v>
      </c>
      <c r="J2443">
        <v>8</v>
      </c>
      <c r="K2443">
        <v>1.4</v>
      </c>
      <c r="L2443" s="2">
        <v>210.84</v>
      </c>
      <c r="M2443">
        <v>2028</v>
      </c>
      <c r="N2443">
        <v>9</v>
      </c>
      <c r="O2443" t="s">
        <v>160</v>
      </c>
      <c r="P2443" s="2">
        <v>248.05</v>
      </c>
      <c r="Q2443" s="2">
        <v>37.21</v>
      </c>
      <c r="R2443" t="s">
        <v>79</v>
      </c>
      <c r="S2443">
        <v>1</v>
      </c>
      <c r="T2443">
        <v>0</v>
      </c>
      <c r="U2443">
        <f>IF(AND(OR(Dashboard!$D$4="Semua",D2443=Dashboard!$D$4),OR(Dashboard!$H$4="Semua",E2443=Dashboard!$H$4)),1,0)</f>
        <v>1</v>
      </c>
      <c r="V2443">
        <f>IF(U2443=1,IF(COUNTIFS($C$2:C2443,C2443,$U$2:U2443,1)=1,1,0),0)</f>
        <v>0</v>
      </c>
    </row>
    <row r="2444" spans="1:22" x14ac:dyDescent="0.35">
      <c r="A2444">
        <v>12443</v>
      </c>
      <c r="B2444" s="1">
        <v>47004</v>
      </c>
      <c r="C2444">
        <v>1272</v>
      </c>
      <c r="D2444" t="s">
        <v>80</v>
      </c>
      <c r="E2444" t="s">
        <v>78</v>
      </c>
      <c r="F2444">
        <v>5</v>
      </c>
      <c r="G2444" s="2">
        <v>201.67</v>
      </c>
      <c r="H2444">
        <v>0.09</v>
      </c>
      <c r="I2444" t="s">
        <v>68</v>
      </c>
      <c r="J2444">
        <v>8</v>
      </c>
      <c r="K2444">
        <v>1.1000000000000001</v>
      </c>
      <c r="L2444" s="2">
        <v>917.6</v>
      </c>
      <c r="M2444">
        <v>2028</v>
      </c>
      <c r="N2444">
        <v>9</v>
      </c>
      <c r="O2444" t="s">
        <v>160</v>
      </c>
      <c r="P2444" s="2">
        <v>1008.35</v>
      </c>
      <c r="Q2444" s="2">
        <v>90.75</v>
      </c>
      <c r="R2444" t="s">
        <v>69</v>
      </c>
      <c r="S2444">
        <v>1</v>
      </c>
      <c r="T2444">
        <v>0</v>
      </c>
      <c r="U2444">
        <f>IF(AND(OR(Dashboard!$D$4="Semua",D2444=Dashboard!$D$4),OR(Dashboard!$H$4="Semua",E2444=Dashboard!$H$4)),1,0)</f>
        <v>1</v>
      </c>
      <c r="V2444">
        <f>IF(U2444=1,IF(COUNTIFS($C$2:C2444,C2444,$U$2:U2444,1)=1,1,0),0)</f>
        <v>0</v>
      </c>
    </row>
    <row r="2445" spans="1:22" x14ac:dyDescent="0.35">
      <c r="A2445">
        <v>12444</v>
      </c>
      <c r="B2445" s="1">
        <v>47005</v>
      </c>
      <c r="C2445">
        <v>1893</v>
      </c>
      <c r="D2445" t="s">
        <v>67</v>
      </c>
      <c r="E2445" t="s">
        <v>74</v>
      </c>
      <c r="F2445">
        <v>7</v>
      </c>
      <c r="G2445" s="2">
        <v>533.98</v>
      </c>
      <c r="H2445">
        <v>0.34</v>
      </c>
      <c r="I2445" t="s">
        <v>71</v>
      </c>
      <c r="J2445">
        <v>9</v>
      </c>
      <c r="K2445">
        <v>1.5</v>
      </c>
      <c r="L2445" s="2">
        <v>2466.9899999999998</v>
      </c>
      <c r="M2445">
        <v>2028</v>
      </c>
      <c r="N2445">
        <v>9</v>
      </c>
      <c r="O2445" t="s">
        <v>160</v>
      </c>
      <c r="P2445" s="2">
        <v>3737.86</v>
      </c>
      <c r="Q2445" s="2">
        <v>1270.8699999999999</v>
      </c>
      <c r="R2445" t="s">
        <v>72</v>
      </c>
      <c r="S2445">
        <v>1</v>
      </c>
      <c r="T2445">
        <v>0</v>
      </c>
      <c r="U2445">
        <f>IF(AND(OR(Dashboard!$D$4="Semua",D2445=Dashboard!$D$4),OR(Dashboard!$H$4="Semua",E2445=Dashboard!$H$4)),1,0)</f>
        <v>1</v>
      </c>
      <c r="V2445">
        <f>IF(U2445=1,IF(COUNTIFS($C$2:C2445,C2445,$U$2:U2445,1)=1,1,0),0)</f>
        <v>0</v>
      </c>
    </row>
    <row r="2446" spans="1:22" x14ac:dyDescent="0.35">
      <c r="A2446">
        <v>12445</v>
      </c>
      <c r="B2446" s="1">
        <v>47006</v>
      </c>
      <c r="C2446">
        <v>1235</v>
      </c>
      <c r="D2446" t="s">
        <v>67</v>
      </c>
      <c r="E2446" t="s">
        <v>78</v>
      </c>
      <c r="F2446">
        <v>5</v>
      </c>
      <c r="G2446" s="2">
        <v>43.81</v>
      </c>
      <c r="H2446">
        <v>0.11</v>
      </c>
      <c r="I2446" t="s">
        <v>71</v>
      </c>
      <c r="J2446">
        <v>9</v>
      </c>
      <c r="K2446">
        <v>3.8</v>
      </c>
      <c r="L2446" s="2">
        <v>194.95</v>
      </c>
      <c r="M2446">
        <v>2028</v>
      </c>
      <c r="N2446">
        <v>9</v>
      </c>
      <c r="O2446" t="s">
        <v>160</v>
      </c>
      <c r="P2446" s="2">
        <v>219.05</v>
      </c>
      <c r="Q2446" s="2">
        <v>24.1</v>
      </c>
      <c r="R2446" t="s">
        <v>79</v>
      </c>
      <c r="S2446">
        <v>1</v>
      </c>
      <c r="T2446">
        <v>0</v>
      </c>
      <c r="U2446">
        <f>IF(AND(OR(Dashboard!$D$4="Semua",D2446=Dashboard!$D$4),OR(Dashboard!$H$4="Semua",E2446=Dashboard!$H$4)),1,0)</f>
        <v>1</v>
      </c>
      <c r="V2446">
        <f>IF(U2446=1,IF(COUNTIFS($C$2:C2446,C2446,$U$2:U2446,1)=1,1,0),0)</f>
        <v>0</v>
      </c>
    </row>
    <row r="2447" spans="1:22" x14ac:dyDescent="0.35">
      <c r="A2447">
        <v>12446</v>
      </c>
      <c r="B2447" s="1">
        <v>47007</v>
      </c>
      <c r="C2447">
        <v>1851</v>
      </c>
      <c r="D2447" t="s">
        <v>73</v>
      </c>
      <c r="E2447" t="s">
        <v>74</v>
      </c>
      <c r="F2447">
        <v>7</v>
      </c>
      <c r="G2447" s="2">
        <v>94.79</v>
      </c>
      <c r="H2447">
        <v>0.11</v>
      </c>
      <c r="I2447" t="s">
        <v>68</v>
      </c>
      <c r="J2447">
        <v>6</v>
      </c>
      <c r="K2447">
        <v>5</v>
      </c>
      <c r="L2447" s="2">
        <v>590.54</v>
      </c>
      <c r="M2447">
        <v>2028</v>
      </c>
      <c r="N2447">
        <v>9</v>
      </c>
      <c r="O2447" t="s">
        <v>160</v>
      </c>
      <c r="P2447" s="2">
        <v>663.53</v>
      </c>
      <c r="Q2447" s="2">
        <v>72.989999999999995</v>
      </c>
      <c r="R2447" t="s">
        <v>79</v>
      </c>
      <c r="S2447">
        <v>1</v>
      </c>
      <c r="T2447">
        <v>0</v>
      </c>
      <c r="U2447">
        <f>IF(AND(OR(Dashboard!$D$4="Semua",D2447=Dashboard!$D$4),OR(Dashboard!$H$4="Semua",E2447=Dashboard!$H$4)),1,0)</f>
        <v>1</v>
      </c>
      <c r="V2447">
        <f>IF(U2447=1,IF(COUNTIFS($C$2:C2447,C2447,$U$2:U2447,1)=1,1,0),0)</f>
        <v>0</v>
      </c>
    </row>
    <row r="2448" spans="1:22" x14ac:dyDescent="0.35">
      <c r="A2448">
        <v>12447</v>
      </c>
      <c r="B2448" s="1">
        <v>47008</v>
      </c>
      <c r="C2448">
        <v>1739</v>
      </c>
      <c r="D2448" t="s">
        <v>73</v>
      </c>
      <c r="E2448" t="s">
        <v>63</v>
      </c>
      <c r="F2448">
        <v>2</v>
      </c>
      <c r="G2448" s="2">
        <v>63.21</v>
      </c>
      <c r="H2448">
        <v>0.35</v>
      </c>
      <c r="I2448" t="s">
        <v>64</v>
      </c>
      <c r="J2448">
        <v>5</v>
      </c>
      <c r="K2448">
        <v>3.4</v>
      </c>
      <c r="L2448" s="2">
        <v>82.17</v>
      </c>
      <c r="M2448">
        <v>2028</v>
      </c>
      <c r="N2448">
        <v>9</v>
      </c>
      <c r="O2448" t="s">
        <v>160</v>
      </c>
      <c r="P2448" s="2">
        <v>126.42</v>
      </c>
      <c r="Q2448" s="2">
        <v>44.25</v>
      </c>
      <c r="R2448" t="s">
        <v>72</v>
      </c>
      <c r="S2448">
        <v>1</v>
      </c>
      <c r="T2448">
        <v>0</v>
      </c>
      <c r="U2448">
        <f>IF(AND(OR(Dashboard!$D$4="Semua",D2448=Dashboard!$D$4),OR(Dashboard!$H$4="Semua",E2448=Dashboard!$H$4)),1,0)</f>
        <v>1</v>
      </c>
      <c r="V2448">
        <f>IF(U2448=1,IF(COUNTIFS($C$2:C2448,C2448,$U$2:U2448,1)=1,1,0),0)</f>
        <v>0</v>
      </c>
    </row>
    <row r="2449" spans="1:22" x14ac:dyDescent="0.35">
      <c r="A2449">
        <v>12448</v>
      </c>
      <c r="B2449" s="1">
        <v>47009</v>
      </c>
      <c r="C2449">
        <v>1520</v>
      </c>
      <c r="D2449" t="s">
        <v>73</v>
      </c>
      <c r="E2449" t="s">
        <v>63</v>
      </c>
      <c r="F2449">
        <v>6</v>
      </c>
      <c r="G2449" s="2">
        <v>508.22</v>
      </c>
      <c r="H2449">
        <v>0.05</v>
      </c>
      <c r="I2449" t="s">
        <v>71</v>
      </c>
      <c r="J2449">
        <v>7</v>
      </c>
      <c r="K2449">
        <v>1.5</v>
      </c>
      <c r="L2449" s="2">
        <v>2896.85</v>
      </c>
      <c r="M2449">
        <v>2028</v>
      </c>
      <c r="N2449">
        <v>9</v>
      </c>
      <c r="O2449" t="s">
        <v>160</v>
      </c>
      <c r="P2449" s="2">
        <v>3049.32</v>
      </c>
      <c r="Q2449" s="2">
        <v>152.47</v>
      </c>
      <c r="R2449" t="s">
        <v>75</v>
      </c>
      <c r="S2449">
        <v>1</v>
      </c>
      <c r="T2449">
        <v>0</v>
      </c>
      <c r="U2449">
        <f>IF(AND(OR(Dashboard!$D$4="Semua",D2449=Dashboard!$D$4),OR(Dashboard!$H$4="Semua",E2449=Dashboard!$H$4)),1,0)</f>
        <v>1</v>
      </c>
      <c r="V2449">
        <f>IF(U2449=1,IF(COUNTIFS($C$2:C2449,C2449,$U$2:U2449,1)=1,1,0),0)</f>
        <v>0</v>
      </c>
    </row>
    <row r="2450" spans="1:22" x14ac:dyDescent="0.35">
      <c r="A2450">
        <v>12449</v>
      </c>
      <c r="B2450" s="1">
        <v>47010</v>
      </c>
      <c r="C2450">
        <v>1677</v>
      </c>
      <c r="D2450" t="s">
        <v>73</v>
      </c>
      <c r="E2450" t="s">
        <v>74</v>
      </c>
      <c r="F2450">
        <v>3</v>
      </c>
      <c r="G2450" s="2">
        <v>21.21</v>
      </c>
      <c r="H2450">
        <v>0.27</v>
      </c>
      <c r="I2450" t="s">
        <v>71</v>
      </c>
      <c r="J2450">
        <v>9</v>
      </c>
      <c r="K2450">
        <v>1.7</v>
      </c>
      <c r="L2450" s="2">
        <v>46.45</v>
      </c>
      <c r="M2450">
        <v>2028</v>
      </c>
      <c r="N2450">
        <v>9</v>
      </c>
      <c r="O2450" t="s">
        <v>160</v>
      </c>
      <c r="P2450" s="2">
        <v>63.63</v>
      </c>
      <c r="Q2450" s="2">
        <v>17.18</v>
      </c>
      <c r="R2450" t="s">
        <v>66</v>
      </c>
      <c r="S2450">
        <v>1</v>
      </c>
      <c r="T2450">
        <v>0</v>
      </c>
      <c r="U2450">
        <f>IF(AND(OR(Dashboard!$D$4="Semua",D2450=Dashboard!$D$4),OR(Dashboard!$H$4="Semua",E2450=Dashboard!$H$4)),1,0)</f>
        <v>1</v>
      </c>
      <c r="V2450">
        <f>IF(U2450=1,IF(COUNTIFS($C$2:C2450,C2450,$U$2:U2450,1)=1,1,0),0)</f>
        <v>0</v>
      </c>
    </row>
    <row r="2451" spans="1:22" x14ac:dyDescent="0.35">
      <c r="A2451">
        <v>12450</v>
      </c>
      <c r="B2451" s="1">
        <v>47011</v>
      </c>
      <c r="C2451">
        <v>1943</v>
      </c>
      <c r="D2451" t="s">
        <v>67</v>
      </c>
      <c r="E2451" t="s">
        <v>74</v>
      </c>
      <c r="F2451">
        <v>2</v>
      </c>
      <c r="G2451" s="2">
        <v>519.07000000000005</v>
      </c>
      <c r="H2451">
        <v>0.33</v>
      </c>
      <c r="I2451" t="s">
        <v>64</v>
      </c>
      <c r="J2451">
        <v>5</v>
      </c>
      <c r="K2451">
        <v>3.2</v>
      </c>
      <c r="L2451" s="2">
        <v>695.55</v>
      </c>
      <c r="M2451">
        <v>2028</v>
      </c>
      <c r="N2451">
        <v>9</v>
      </c>
      <c r="O2451" t="s">
        <v>160</v>
      </c>
      <c r="P2451" s="2">
        <v>1038.1400000000001</v>
      </c>
      <c r="Q2451" s="2">
        <v>342.59</v>
      </c>
      <c r="R2451" t="s">
        <v>72</v>
      </c>
      <c r="S2451">
        <v>1</v>
      </c>
      <c r="T2451">
        <v>0</v>
      </c>
      <c r="U2451">
        <f>IF(AND(OR(Dashboard!$D$4="Semua",D2451=Dashboard!$D$4),OR(Dashboard!$H$4="Semua",E2451=Dashboard!$H$4)),1,0)</f>
        <v>1</v>
      </c>
      <c r="V2451">
        <f>IF(U2451=1,IF(COUNTIFS($C$2:C2451,C2451,$U$2:U2451,1)=1,1,0),0)</f>
        <v>0</v>
      </c>
    </row>
    <row r="2452" spans="1:22" x14ac:dyDescent="0.35">
      <c r="A2452">
        <v>12451</v>
      </c>
      <c r="B2452" s="1">
        <v>47012</v>
      </c>
      <c r="C2452">
        <v>1955</v>
      </c>
      <c r="D2452" t="s">
        <v>62</v>
      </c>
      <c r="E2452" t="s">
        <v>74</v>
      </c>
      <c r="F2452">
        <v>4</v>
      </c>
      <c r="G2452" s="2">
        <v>278.99</v>
      </c>
      <c r="H2452">
        <v>0.18</v>
      </c>
      <c r="I2452" t="s">
        <v>68</v>
      </c>
      <c r="J2452">
        <v>3</v>
      </c>
      <c r="K2452">
        <v>3.9</v>
      </c>
      <c r="L2452" s="2">
        <v>915.09</v>
      </c>
      <c r="M2452">
        <v>2028</v>
      </c>
      <c r="N2452">
        <v>9</v>
      </c>
      <c r="O2452" t="s">
        <v>160</v>
      </c>
      <c r="P2452" s="2">
        <v>1115.96</v>
      </c>
      <c r="Q2452" s="2">
        <v>200.87</v>
      </c>
      <c r="R2452" t="s">
        <v>76</v>
      </c>
      <c r="S2452">
        <v>1</v>
      </c>
      <c r="T2452">
        <v>0</v>
      </c>
      <c r="U2452">
        <f>IF(AND(OR(Dashboard!$D$4="Semua",D2452=Dashboard!$D$4),OR(Dashboard!$H$4="Semua",E2452=Dashboard!$H$4)),1,0)</f>
        <v>1</v>
      </c>
      <c r="V2452">
        <f>IF(U2452=1,IF(COUNTIFS($C$2:C2452,C2452,$U$2:U2452,1)=1,1,0),0)</f>
        <v>0</v>
      </c>
    </row>
    <row r="2453" spans="1:22" x14ac:dyDescent="0.35">
      <c r="A2453">
        <v>12452</v>
      </c>
      <c r="B2453" s="1">
        <v>47013</v>
      </c>
      <c r="C2453">
        <v>1830</v>
      </c>
      <c r="D2453" t="s">
        <v>80</v>
      </c>
      <c r="E2453" t="s">
        <v>74</v>
      </c>
      <c r="F2453">
        <v>3</v>
      </c>
      <c r="G2453" s="2">
        <v>17.350000000000001</v>
      </c>
      <c r="H2453">
        <v>0</v>
      </c>
      <c r="I2453" t="s">
        <v>71</v>
      </c>
      <c r="J2453">
        <v>9</v>
      </c>
      <c r="K2453">
        <v>3.7</v>
      </c>
      <c r="L2453" s="2">
        <v>52.05</v>
      </c>
      <c r="M2453">
        <v>2028</v>
      </c>
      <c r="N2453">
        <v>9</v>
      </c>
      <c r="O2453" t="s">
        <v>160</v>
      </c>
      <c r="P2453" s="2">
        <v>52.05</v>
      </c>
      <c r="Q2453" s="2">
        <v>0</v>
      </c>
      <c r="R2453" t="s">
        <v>75</v>
      </c>
      <c r="S2453">
        <v>1</v>
      </c>
      <c r="T2453">
        <v>0</v>
      </c>
      <c r="U2453">
        <f>IF(AND(OR(Dashboard!$D$4="Semua",D2453=Dashboard!$D$4),OR(Dashboard!$H$4="Semua",E2453=Dashboard!$H$4)),1,0)</f>
        <v>1</v>
      </c>
      <c r="V2453">
        <f>IF(U2453=1,IF(COUNTIFS($C$2:C2453,C2453,$U$2:U2453,1)=1,1,0),0)</f>
        <v>0</v>
      </c>
    </row>
    <row r="2454" spans="1:22" x14ac:dyDescent="0.35">
      <c r="A2454">
        <v>12453</v>
      </c>
      <c r="B2454" s="1">
        <v>47014</v>
      </c>
      <c r="C2454">
        <v>1725</v>
      </c>
      <c r="D2454" t="s">
        <v>67</v>
      </c>
      <c r="E2454" t="s">
        <v>74</v>
      </c>
      <c r="F2454">
        <v>4</v>
      </c>
      <c r="G2454" s="2">
        <v>249.96</v>
      </c>
      <c r="H2454">
        <v>0.13</v>
      </c>
      <c r="I2454" t="s">
        <v>64</v>
      </c>
      <c r="J2454">
        <v>10</v>
      </c>
      <c r="K2454">
        <v>3.3</v>
      </c>
      <c r="L2454" s="2">
        <v>869.86</v>
      </c>
      <c r="M2454">
        <v>2028</v>
      </c>
      <c r="N2454">
        <v>9</v>
      </c>
      <c r="O2454" t="s">
        <v>160</v>
      </c>
      <c r="P2454" s="2">
        <v>999.84</v>
      </c>
      <c r="Q2454" s="2">
        <v>129.97999999999999</v>
      </c>
      <c r="R2454" t="s">
        <v>79</v>
      </c>
      <c r="S2454">
        <v>1</v>
      </c>
      <c r="T2454">
        <v>0</v>
      </c>
      <c r="U2454">
        <f>IF(AND(OR(Dashboard!$D$4="Semua",D2454=Dashboard!$D$4),OR(Dashboard!$H$4="Semua",E2454=Dashboard!$H$4)),1,0)</f>
        <v>1</v>
      </c>
      <c r="V2454">
        <f>IF(U2454=1,IF(COUNTIFS($C$2:C2454,C2454,$U$2:U2454,1)=1,1,0),0)</f>
        <v>0</v>
      </c>
    </row>
    <row r="2455" spans="1:22" x14ac:dyDescent="0.35">
      <c r="A2455">
        <v>12454</v>
      </c>
      <c r="B2455" s="1">
        <v>47015</v>
      </c>
      <c r="C2455">
        <v>1500</v>
      </c>
      <c r="D2455" t="s">
        <v>62</v>
      </c>
      <c r="E2455" t="s">
        <v>74</v>
      </c>
      <c r="F2455">
        <v>5</v>
      </c>
      <c r="G2455" s="2">
        <v>124.28</v>
      </c>
      <c r="H2455">
        <v>0.04</v>
      </c>
      <c r="I2455" t="s">
        <v>71</v>
      </c>
      <c r="J2455">
        <v>1</v>
      </c>
      <c r="K2455">
        <v>4.9000000000000004</v>
      </c>
      <c r="L2455" s="2">
        <v>596.54</v>
      </c>
      <c r="M2455">
        <v>2028</v>
      </c>
      <c r="N2455">
        <v>9</v>
      </c>
      <c r="O2455" t="s">
        <v>160</v>
      </c>
      <c r="P2455" s="2">
        <v>621.4</v>
      </c>
      <c r="Q2455" s="2">
        <v>24.86</v>
      </c>
      <c r="R2455" t="s">
        <v>75</v>
      </c>
      <c r="S2455">
        <v>1</v>
      </c>
      <c r="T2455">
        <v>0</v>
      </c>
      <c r="U2455">
        <f>IF(AND(OR(Dashboard!$D$4="Semua",D2455=Dashboard!$D$4),OR(Dashboard!$H$4="Semua",E2455=Dashboard!$H$4)),1,0)</f>
        <v>1</v>
      </c>
      <c r="V2455">
        <f>IF(U2455=1,IF(COUNTIFS($C$2:C2455,C2455,$U$2:U2455,1)=1,1,0),0)</f>
        <v>0</v>
      </c>
    </row>
    <row r="2456" spans="1:22" x14ac:dyDescent="0.35">
      <c r="A2456">
        <v>12455</v>
      </c>
      <c r="B2456" s="1">
        <v>47016</v>
      </c>
      <c r="C2456">
        <v>1116</v>
      </c>
      <c r="D2456" t="s">
        <v>80</v>
      </c>
      <c r="E2456" t="s">
        <v>63</v>
      </c>
      <c r="F2456">
        <v>1</v>
      </c>
      <c r="G2456" s="2">
        <v>380.27</v>
      </c>
      <c r="H2456">
        <v>0.15</v>
      </c>
      <c r="I2456" t="s">
        <v>71</v>
      </c>
      <c r="J2456">
        <v>1</v>
      </c>
      <c r="K2456">
        <v>1.8</v>
      </c>
      <c r="L2456" s="2">
        <v>323.23</v>
      </c>
      <c r="M2456">
        <v>2028</v>
      </c>
      <c r="N2456">
        <v>9</v>
      </c>
      <c r="O2456" t="s">
        <v>160</v>
      </c>
      <c r="P2456" s="2">
        <v>380.27</v>
      </c>
      <c r="Q2456" s="2">
        <v>57.04</v>
      </c>
      <c r="R2456" t="s">
        <v>79</v>
      </c>
      <c r="S2456">
        <v>1</v>
      </c>
      <c r="T2456">
        <v>0</v>
      </c>
      <c r="U2456">
        <f>IF(AND(OR(Dashboard!$D$4="Semua",D2456=Dashboard!$D$4),OR(Dashboard!$H$4="Semua",E2456=Dashboard!$H$4)),1,0)</f>
        <v>1</v>
      </c>
      <c r="V2456">
        <f>IF(U2456=1,IF(COUNTIFS($C$2:C2456,C2456,$U$2:U2456,1)=1,1,0),0)</f>
        <v>0</v>
      </c>
    </row>
    <row r="2457" spans="1:22" x14ac:dyDescent="0.35">
      <c r="A2457">
        <v>12456</v>
      </c>
      <c r="B2457" s="1">
        <v>47017</v>
      </c>
      <c r="C2457">
        <v>1385</v>
      </c>
      <c r="D2457" t="s">
        <v>62</v>
      </c>
      <c r="E2457" t="s">
        <v>74</v>
      </c>
      <c r="F2457">
        <v>7</v>
      </c>
      <c r="G2457" s="2">
        <v>412.42</v>
      </c>
      <c r="H2457">
        <v>0.28000000000000003</v>
      </c>
      <c r="I2457" t="s">
        <v>68</v>
      </c>
      <c r="J2457">
        <v>10</v>
      </c>
      <c r="K2457">
        <v>1.7</v>
      </c>
      <c r="L2457" s="2">
        <v>2078.6</v>
      </c>
      <c r="M2457">
        <v>2028</v>
      </c>
      <c r="N2457">
        <v>9</v>
      </c>
      <c r="O2457" t="s">
        <v>160</v>
      </c>
      <c r="P2457" s="2">
        <v>2886.94</v>
      </c>
      <c r="Q2457" s="2">
        <v>808.34</v>
      </c>
      <c r="R2457" t="s">
        <v>66</v>
      </c>
      <c r="S2457">
        <v>1</v>
      </c>
      <c r="T2457">
        <v>0</v>
      </c>
      <c r="U2457">
        <f>IF(AND(OR(Dashboard!$D$4="Semua",D2457=Dashboard!$D$4),OR(Dashboard!$H$4="Semua",E2457=Dashboard!$H$4)),1,0)</f>
        <v>1</v>
      </c>
      <c r="V2457">
        <f>IF(U2457=1,IF(COUNTIFS($C$2:C2457,C2457,$U$2:U2457,1)=1,1,0),0)</f>
        <v>0</v>
      </c>
    </row>
    <row r="2458" spans="1:22" x14ac:dyDescent="0.35">
      <c r="A2458">
        <v>12457</v>
      </c>
      <c r="B2458" s="1">
        <v>47018</v>
      </c>
      <c r="C2458">
        <v>1343</v>
      </c>
      <c r="D2458" t="s">
        <v>67</v>
      </c>
      <c r="E2458" t="s">
        <v>70</v>
      </c>
      <c r="F2458">
        <v>4</v>
      </c>
      <c r="G2458" s="2">
        <v>300.2</v>
      </c>
      <c r="H2458">
        <v>0.15</v>
      </c>
      <c r="I2458" t="s">
        <v>71</v>
      </c>
      <c r="J2458">
        <v>11</v>
      </c>
      <c r="K2458">
        <v>4.4000000000000004</v>
      </c>
      <c r="L2458" s="2">
        <v>1020.68</v>
      </c>
      <c r="M2458">
        <v>2028</v>
      </c>
      <c r="N2458">
        <v>9</v>
      </c>
      <c r="O2458" t="s">
        <v>160</v>
      </c>
      <c r="P2458" s="2">
        <v>1200.8</v>
      </c>
      <c r="Q2458" s="2">
        <v>180.12</v>
      </c>
      <c r="R2458" t="s">
        <v>79</v>
      </c>
      <c r="S2458">
        <v>1</v>
      </c>
      <c r="T2458">
        <v>0</v>
      </c>
      <c r="U2458">
        <f>IF(AND(OR(Dashboard!$D$4="Semua",D2458=Dashboard!$D$4),OR(Dashboard!$H$4="Semua",E2458=Dashboard!$H$4)),1,0)</f>
        <v>1</v>
      </c>
      <c r="V2458">
        <f>IF(U2458=1,IF(COUNTIFS($C$2:C2458,C2458,$U$2:U2458,1)=1,1,0),0)</f>
        <v>0</v>
      </c>
    </row>
    <row r="2459" spans="1:22" x14ac:dyDescent="0.35">
      <c r="A2459">
        <v>12458</v>
      </c>
      <c r="B2459" s="1">
        <v>47019</v>
      </c>
      <c r="C2459">
        <v>1583</v>
      </c>
      <c r="D2459" t="s">
        <v>73</v>
      </c>
      <c r="E2459" t="s">
        <v>63</v>
      </c>
      <c r="F2459">
        <v>5</v>
      </c>
      <c r="G2459" s="2">
        <v>38.700000000000003</v>
      </c>
      <c r="H2459">
        <v>0.15</v>
      </c>
      <c r="I2459" t="s">
        <v>68</v>
      </c>
      <c r="J2459">
        <v>4</v>
      </c>
      <c r="K2459">
        <v>2.2000000000000002</v>
      </c>
      <c r="L2459" s="2">
        <v>164.48</v>
      </c>
      <c r="M2459">
        <v>2028</v>
      </c>
      <c r="N2459">
        <v>9</v>
      </c>
      <c r="O2459" t="s">
        <v>160</v>
      </c>
      <c r="P2459" s="2">
        <v>193.5</v>
      </c>
      <c r="Q2459" s="2">
        <v>29.02</v>
      </c>
      <c r="R2459" t="s">
        <v>79</v>
      </c>
      <c r="S2459">
        <v>1</v>
      </c>
      <c r="T2459">
        <v>0</v>
      </c>
      <c r="U2459">
        <f>IF(AND(OR(Dashboard!$D$4="Semua",D2459=Dashboard!$D$4),OR(Dashboard!$H$4="Semua",E2459=Dashboard!$H$4)),1,0)</f>
        <v>1</v>
      </c>
      <c r="V2459">
        <f>IF(U2459=1,IF(COUNTIFS($C$2:C2459,C2459,$U$2:U2459,1)=1,1,0),0)</f>
        <v>0</v>
      </c>
    </row>
    <row r="2460" spans="1:22" x14ac:dyDescent="0.35">
      <c r="A2460">
        <v>12459</v>
      </c>
      <c r="B2460" s="1">
        <v>47020</v>
      </c>
      <c r="C2460">
        <v>1394</v>
      </c>
      <c r="D2460" t="s">
        <v>73</v>
      </c>
      <c r="E2460" t="s">
        <v>78</v>
      </c>
      <c r="F2460">
        <v>2</v>
      </c>
      <c r="G2460" s="2">
        <v>398.84</v>
      </c>
      <c r="H2460">
        <v>0.19</v>
      </c>
      <c r="I2460" t="s">
        <v>64</v>
      </c>
      <c r="J2460">
        <v>2</v>
      </c>
      <c r="K2460">
        <v>2.2999999999999998</v>
      </c>
      <c r="L2460" s="2">
        <v>646.12</v>
      </c>
      <c r="M2460">
        <v>2028</v>
      </c>
      <c r="N2460">
        <v>9</v>
      </c>
      <c r="O2460" t="s">
        <v>160</v>
      </c>
      <c r="P2460" s="2">
        <v>797.68</v>
      </c>
      <c r="Q2460" s="2">
        <v>151.56</v>
      </c>
      <c r="R2460" t="s">
        <v>76</v>
      </c>
      <c r="S2460">
        <v>1</v>
      </c>
      <c r="T2460">
        <v>0</v>
      </c>
      <c r="U2460">
        <f>IF(AND(OR(Dashboard!$D$4="Semua",D2460=Dashboard!$D$4),OR(Dashboard!$H$4="Semua",E2460=Dashboard!$H$4)),1,0)</f>
        <v>1</v>
      </c>
      <c r="V2460">
        <f>IF(U2460=1,IF(COUNTIFS($C$2:C2460,C2460,$U$2:U2460,1)=1,1,0),0)</f>
        <v>0</v>
      </c>
    </row>
    <row r="2461" spans="1:22" x14ac:dyDescent="0.35">
      <c r="A2461">
        <v>12460</v>
      </c>
      <c r="B2461" s="1">
        <v>47021</v>
      </c>
      <c r="C2461">
        <v>1063</v>
      </c>
      <c r="D2461" t="s">
        <v>80</v>
      </c>
      <c r="E2461" t="s">
        <v>63</v>
      </c>
      <c r="F2461">
        <v>4</v>
      </c>
      <c r="G2461" s="2">
        <v>507.59</v>
      </c>
      <c r="H2461">
        <v>0.2</v>
      </c>
      <c r="I2461" t="s">
        <v>64</v>
      </c>
      <c r="J2461">
        <v>7</v>
      </c>
      <c r="K2461">
        <v>3.2</v>
      </c>
      <c r="L2461" s="2">
        <v>1624.29</v>
      </c>
      <c r="M2461">
        <v>2028</v>
      </c>
      <c r="N2461">
        <v>9</v>
      </c>
      <c r="O2461" t="s">
        <v>160</v>
      </c>
      <c r="P2461" s="2">
        <v>2030.36</v>
      </c>
      <c r="Q2461" s="2">
        <v>406.07</v>
      </c>
      <c r="R2461" t="s">
        <v>76</v>
      </c>
      <c r="S2461">
        <v>1</v>
      </c>
      <c r="T2461">
        <v>0</v>
      </c>
      <c r="U2461">
        <f>IF(AND(OR(Dashboard!$D$4="Semua",D2461=Dashboard!$D$4),OR(Dashboard!$H$4="Semua",E2461=Dashboard!$H$4)),1,0)</f>
        <v>1</v>
      </c>
      <c r="V2461">
        <f>IF(U2461=1,IF(COUNTIFS($C$2:C2461,C2461,$U$2:U2461,1)=1,1,0),0)</f>
        <v>1</v>
      </c>
    </row>
    <row r="2462" spans="1:22" x14ac:dyDescent="0.35">
      <c r="A2462">
        <v>12461</v>
      </c>
      <c r="B2462" s="1">
        <v>47022</v>
      </c>
      <c r="C2462">
        <v>1716</v>
      </c>
      <c r="D2462" t="s">
        <v>73</v>
      </c>
      <c r="E2462" t="s">
        <v>78</v>
      </c>
      <c r="F2462">
        <v>5</v>
      </c>
      <c r="G2462" s="2">
        <v>436.39</v>
      </c>
      <c r="H2462">
        <v>0.3</v>
      </c>
      <c r="I2462" t="s">
        <v>64</v>
      </c>
      <c r="J2462">
        <v>2</v>
      </c>
      <c r="K2462">
        <v>2.5</v>
      </c>
      <c r="L2462" s="2">
        <v>1527.36</v>
      </c>
      <c r="M2462">
        <v>2028</v>
      </c>
      <c r="N2462">
        <v>9</v>
      </c>
      <c r="O2462" t="s">
        <v>160</v>
      </c>
      <c r="P2462" s="2">
        <v>2181.9499999999998</v>
      </c>
      <c r="Q2462" s="2">
        <v>654.59</v>
      </c>
      <c r="R2462" t="s">
        <v>66</v>
      </c>
      <c r="S2462">
        <v>1</v>
      </c>
      <c r="T2462">
        <v>0</v>
      </c>
      <c r="U2462">
        <f>IF(AND(OR(Dashboard!$D$4="Semua",D2462=Dashboard!$D$4),OR(Dashboard!$H$4="Semua",E2462=Dashboard!$H$4)),1,0)</f>
        <v>1</v>
      </c>
      <c r="V2462">
        <f>IF(U2462=1,IF(COUNTIFS($C$2:C2462,C2462,$U$2:U2462,1)=1,1,0),0)</f>
        <v>0</v>
      </c>
    </row>
    <row r="2463" spans="1:22" x14ac:dyDescent="0.35">
      <c r="A2463">
        <v>12462</v>
      </c>
      <c r="B2463" s="1">
        <v>47023</v>
      </c>
      <c r="C2463">
        <v>1720</v>
      </c>
      <c r="D2463" t="s">
        <v>73</v>
      </c>
      <c r="E2463" t="s">
        <v>78</v>
      </c>
      <c r="F2463">
        <v>1</v>
      </c>
      <c r="G2463" s="2">
        <v>500.53</v>
      </c>
      <c r="H2463">
        <v>0.11</v>
      </c>
      <c r="I2463" t="s">
        <v>71</v>
      </c>
      <c r="J2463">
        <v>7</v>
      </c>
      <c r="K2463">
        <v>2.2000000000000002</v>
      </c>
      <c r="L2463" s="2">
        <v>445.47</v>
      </c>
      <c r="M2463">
        <v>2028</v>
      </c>
      <c r="N2463">
        <v>9</v>
      </c>
      <c r="O2463" t="s">
        <v>160</v>
      </c>
      <c r="P2463" s="2">
        <v>500.53</v>
      </c>
      <c r="Q2463" s="2">
        <v>55.06</v>
      </c>
      <c r="R2463" t="s">
        <v>79</v>
      </c>
      <c r="S2463">
        <v>1</v>
      </c>
      <c r="T2463">
        <v>0</v>
      </c>
      <c r="U2463">
        <f>IF(AND(OR(Dashboard!$D$4="Semua",D2463=Dashboard!$D$4),OR(Dashboard!$H$4="Semua",E2463=Dashboard!$H$4)),1,0)</f>
        <v>1</v>
      </c>
      <c r="V2463">
        <f>IF(U2463=1,IF(COUNTIFS($C$2:C2463,C2463,$U$2:U2463,1)=1,1,0),0)</f>
        <v>0</v>
      </c>
    </row>
    <row r="2464" spans="1:22" x14ac:dyDescent="0.35">
      <c r="A2464">
        <v>12463</v>
      </c>
      <c r="B2464" s="1">
        <v>47024</v>
      </c>
      <c r="C2464">
        <v>1071</v>
      </c>
      <c r="D2464" t="s">
        <v>67</v>
      </c>
      <c r="E2464" t="s">
        <v>70</v>
      </c>
      <c r="F2464">
        <v>7</v>
      </c>
      <c r="G2464" s="2">
        <v>132.30000000000001</v>
      </c>
      <c r="H2464">
        <v>0.28999999999999998</v>
      </c>
      <c r="I2464" t="s">
        <v>68</v>
      </c>
      <c r="J2464">
        <v>8</v>
      </c>
      <c r="K2464">
        <v>4.7</v>
      </c>
      <c r="L2464" s="2">
        <v>657.53</v>
      </c>
      <c r="M2464">
        <v>2028</v>
      </c>
      <c r="N2464">
        <v>9</v>
      </c>
      <c r="O2464" t="s">
        <v>160</v>
      </c>
      <c r="P2464" s="2">
        <v>926.1</v>
      </c>
      <c r="Q2464" s="2">
        <v>268.57</v>
      </c>
      <c r="R2464" t="s">
        <v>66</v>
      </c>
      <c r="S2464">
        <v>1</v>
      </c>
      <c r="T2464">
        <v>0</v>
      </c>
      <c r="U2464">
        <f>IF(AND(OR(Dashboard!$D$4="Semua",D2464=Dashboard!$D$4),OR(Dashboard!$H$4="Semua",E2464=Dashboard!$H$4)),1,0)</f>
        <v>1</v>
      </c>
      <c r="V2464">
        <f>IF(U2464=1,IF(COUNTIFS($C$2:C2464,C2464,$U$2:U2464,1)=1,1,0),0)</f>
        <v>0</v>
      </c>
    </row>
    <row r="2465" spans="1:22" x14ac:dyDescent="0.35">
      <c r="A2465">
        <v>12464</v>
      </c>
      <c r="B2465" s="1">
        <v>47025</v>
      </c>
      <c r="C2465">
        <v>1788</v>
      </c>
      <c r="D2465" t="s">
        <v>67</v>
      </c>
      <c r="E2465" t="s">
        <v>74</v>
      </c>
      <c r="F2465">
        <v>4</v>
      </c>
      <c r="G2465" s="2">
        <v>535</v>
      </c>
      <c r="H2465">
        <v>0.2</v>
      </c>
      <c r="I2465" t="s">
        <v>68</v>
      </c>
      <c r="J2465">
        <v>11</v>
      </c>
      <c r="K2465">
        <v>1.5</v>
      </c>
      <c r="L2465" s="2">
        <v>1712</v>
      </c>
      <c r="M2465">
        <v>2028</v>
      </c>
      <c r="N2465">
        <v>9</v>
      </c>
      <c r="O2465" t="s">
        <v>160</v>
      </c>
      <c r="P2465" s="2">
        <v>2140</v>
      </c>
      <c r="Q2465" s="2">
        <v>428</v>
      </c>
      <c r="R2465" t="s">
        <v>76</v>
      </c>
      <c r="S2465">
        <v>1</v>
      </c>
      <c r="T2465">
        <v>0</v>
      </c>
      <c r="U2465">
        <f>IF(AND(OR(Dashboard!$D$4="Semua",D2465=Dashboard!$D$4),OR(Dashboard!$H$4="Semua",E2465=Dashboard!$H$4)),1,0)</f>
        <v>1</v>
      </c>
      <c r="V2465">
        <f>IF(U2465=1,IF(COUNTIFS($C$2:C2465,C2465,$U$2:U2465,1)=1,1,0),0)</f>
        <v>0</v>
      </c>
    </row>
    <row r="2466" spans="1:22" x14ac:dyDescent="0.35">
      <c r="A2466">
        <v>12465</v>
      </c>
      <c r="B2466" s="1">
        <v>47026</v>
      </c>
      <c r="C2466">
        <v>1273</v>
      </c>
      <c r="D2466" t="s">
        <v>67</v>
      </c>
      <c r="E2466" t="s">
        <v>74</v>
      </c>
      <c r="F2466">
        <v>6</v>
      </c>
      <c r="G2466" s="2">
        <v>203.48</v>
      </c>
      <c r="H2466">
        <v>0.11</v>
      </c>
      <c r="I2466" t="s">
        <v>64</v>
      </c>
      <c r="J2466">
        <v>8</v>
      </c>
      <c r="K2466">
        <v>2.6</v>
      </c>
      <c r="L2466" s="2">
        <v>1086.58</v>
      </c>
      <c r="M2466">
        <v>2028</v>
      </c>
      <c r="N2466">
        <v>9</v>
      </c>
      <c r="O2466" t="s">
        <v>160</v>
      </c>
      <c r="P2466" s="2">
        <v>1220.8800000000001</v>
      </c>
      <c r="Q2466" s="2">
        <v>134.30000000000001</v>
      </c>
      <c r="R2466" t="s">
        <v>79</v>
      </c>
      <c r="S2466">
        <v>1</v>
      </c>
      <c r="T2466">
        <v>0</v>
      </c>
      <c r="U2466">
        <f>IF(AND(OR(Dashboard!$D$4="Semua",D2466=Dashboard!$D$4),OR(Dashboard!$H$4="Semua",E2466=Dashboard!$H$4)),1,0)</f>
        <v>1</v>
      </c>
      <c r="V2466">
        <f>IF(U2466=1,IF(COUNTIFS($C$2:C2466,C2466,$U$2:U2466,1)=1,1,0),0)</f>
        <v>0</v>
      </c>
    </row>
    <row r="2467" spans="1:22" x14ac:dyDescent="0.35">
      <c r="A2467">
        <v>12466</v>
      </c>
      <c r="B2467" s="1">
        <v>47027</v>
      </c>
      <c r="C2467">
        <v>1989</v>
      </c>
      <c r="D2467" t="s">
        <v>73</v>
      </c>
      <c r="E2467" t="s">
        <v>63</v>
      </c>
      <c r="F2467">
        <v>5</v>
      </c>
      <c r="G2467" s="2">
        <v>22.84</v>
      </c>
      <c r="H2467">
        <v>0.1</v>
      </c>
      <c r="I2467" t="s">
        <v>68</v>
      </c>
      <c r="J2467">
        <v>3</v>
      </c>
      <c r="K2467">
        <v>1</v>
      </c>
      <c r="L2467" s="2">
        <v>102.78</v>
      </c>
      <c r="M2467">
        <v>2028</v>
      </c>
      <c r="N2467">
        <v>10</v>
      </c>
      <c r="O2467" t="s">
        <v>161</v>
      </c>
      <c r="P2467" s="2">
        <v>114.2</v>
      </c>
      <c r="Q2467" s="2">
        <v>11.42</v>
      </c>
      <c r="R2467" t="s">
        <v>69</v>
      </c>
      <c r="S2467">
        <v>1</v>
      </c>
      <c r="T2467">
        <v>0</v>
      </c>
      <c r="U2467">
        <f>IF(AND(OR(Dashboard!$D$4="Semua",D2467=Dashboard!$D$4),OR(Dashboard!$H$4="Semua",E2467=Dashboard!$H$4)),1,0)</f>
        <v>1</v>
      </c>
      <c r="V2467">
        <f>IF(U2467=1,IF(COUNTIFS($C$2:C2467,C2467,$U$2:U2467,1)=1,1,0),0)</f>
        <v>0</v>
      </c>
    </row>
    <row r="2468" spans="1:22" x14ac:dyDescent="0.35">
      <c r="A2468">
        <v>12467</v>
      </c>
      <c r="B2468" s="1">
        <v>47028</v>
      </c>
      <c r="C2468">
        <v>1319</v>
      </c>
      <c r="D2468" t="s">
        <v>67</v>
      </c>
      <c r="E2468" t="s">
        <v>74</v>
      </c>
      <c r="F2468">
        <v>4</v>
      </c>
      <c r="G2468" s="2">
        <v>508.38</v>
      </c>
      <c r="H2468">
        <v>0.13</v>
      </c>
      <c r="I2468" t="s">
        <v>68</v>
      </c>
      <c r="J2468">
        <v>9</v>
      </c>
      <c r="K2468">
        <v>4.2</v>
      </c>
      <c r="L2468" s="2">
        <v>1769.16</v>
      </c>
      <c r="M2468">
        <v>2028</v>
      </c>
      <c r="N2468">
        <v>10</v>
      </c>
      <c r="O2468" t="s">
        <v>161</v>
      </c>
      <c r="P2468" s="2">
        <v>2033.52</v>
      </c>
      <c r="Q2468" s="2">
        <v>264.36</v>
      </c>
      <c r="R2468" t="s">
        <v>79</v>
      </c>
      <c r="S2468">
        <v>1</v>
      </c>
      <c r="T2468">
        <v>0</v>
      </c>
      <c r="U2468">
        <f>IF(AND(OR(Dashboard!$D$4="Semua",D2468=Dashboard!$D$4),OR(Dashboard!$H$4="Semua",E2468=Dashboard!$H$4)),1,0)</f>
        <v>1</v>
      </c>
      <c r="V2468">
        <f>IF(U2468=1,IF(COUNTIFS($C$2:C2468,C2468,$U$2:U2468,1)=1,1,0),0)</f>
        <v>0</v>
      </c>
    </row>
    <row r="2469" spans="1:22" x14ac:dyDescent="0.35">
      <c r="A2469">
        <v>12468</v>
      </c>
      <c r="B2469" s="1">
        <v>47029</v>
      </c>
      <c r="C2469">
        <v>1337</v>
      </c>
      <c r="D2469" t="s">
        <v>67</v>
      </c>
      <c r="E2469" t="s">
        <v>70</v>
      </c>
      <c r="F2469">
        <v>1</v>
      </c>
      <c r="G2469" s="2">
        <v>565.97</v>
      </c>
      <c r="H2469">
        <v>0.22</v>
      </c>
      <c r="I2469" t="s">
        <v>71</v>
      </c>
      <c r="J2469">
        <v>10</v>
      </c>
      <c r="K2469">
        <v>1.7</v>
      </c>
      <c r="L2469" s="2">
        <v>441.46</v>
      </c>
      <c r="M2469">
        <v>2028</v>
      </c>
      <c r="N2469">
        <v>10</v>
      </c>
      <c r="O2469" t="s">
        <v>161</v>
      </c>
      <c r="P2469" s="2">
        <v>565.97</v>
      </c>
      <c r="Q2469" s="2">
        <v>124.51</v>
      </c>
      <c r="R2469" t="s">
        <v>77</v>
      </c>
      <c r="S2469">
        <v>1</v>
      </c>
      <c r="T2469">
        <v>0</v>
      </c>
      <c r="U2469">
        <f>IF(AND(OR(Dashboard!$D$4="Semua",D2469=Dashboard!$D$4),OR(Dashboard!$H$4="Semua",E2469=Dashboard!$H$4)),1,0)</f>
        <v>1</v>
      </c>
      <c r="V2469">
        <f>IF(U2469=1,IF(COUNTIFS($C$2:C2469,C2469,$U$2:U2469,1)=1,1,0),0)</f>
        <v>0</v>
      </c>
    </row>
    <row r="2470" spans="1:22" x14ac:dyDescent="0.35">
      <c r="A2470">
        <v>12469</v>
      </c>
      <c r="B2470" s="1">
        <v>47030</v>
      </c>
      <c r="C2470">
        <v>1365</v>
      </c>
      <c r="D2470" t="s">
        <v>62</v>
      </c>
      <c r="E2470" t="s">
        <v>63</v>
      </c>
      <c r="F2470">
        <v>7</v>
      </c>
      <c r="G2470" s="2">
        <v>398.5</v>
      </c>
      <c r="H2470">
        <v>0.08</v>
      </c>
      <c r="I2470" t="s">
        <v>68</v>
      </c>
      <c r="J2470">
        <v>10</v>
      </c>
      <c r="K2470">
        <v>4.0999999999999996</v>
      </c>
      <c r="L2470" s="2">
        <v>2566.34</v>
      </c>
      <c r="M2470">
        <v>2028</v>
      </c>
      <c r="N2470">
        <v>10</v>
      </c>
      <c r="O2470" t="s">
        <v>161</v>
      </c>
      <c r="P2470" s="2">
        <v>2789.5</v>
      </c>
      <c r="Q2470" s="2">
        <v>223.16</v>
      </c>
      <c r="R2470" t="s">
        <v>69</v>
      </c>
      <c r="S2470">
        <v>1</v>
      </c>
      <c r="T2470">
        <v>0</v>
      </c>
      <c r="U2470">
        <f>IF(AND(OR(Dashboard!$D$4="Semua",D2470=Dashboard!$D$4),OR(Dashboard!$H$4="Semua",E2470=Dashboard!$H$4)),1,0)</f>
        <v>1</v>
      </c>
      <c r="V2470">
        <f>IF(U2470=1,IF(COUNTIFS($C$2:C2470,C2470,$U$2:U2470,1)=1,1,0),0)</f>
        <v>0</v>
      </c>
    </row>
    <row r="2471" spans="1:22" x14ac:dyDescent="0.35">
      <c r="A2471">
        <v>12470</v>
      </c>
      <c r="B2471" s="1">
        <v>47031</v>
      </c>
      <c r="C2471">
        <v>1494</v>
      </c>
      <c r="D2471" t="s">
        <v>80</v>
      </c>
      <c r="E2471" t="s">
        <v>63</v>
      </c>
      <c r="F2471">
        <v>4</v>
      </c>
      <c r="G2471" s="2">
        <v>150.38999999999999</v>
      </c>
      <c r="H2471">
        <v>0.32</v>
      </c>
      <c r="I2471" t="s">
        <v>71</v>
      </c>
      <c r="J2471">
        <v>10</v>
      </c>
      <c r="K2471">
        <v>1.6</v>
      </c>
      <c r="L2471" s="2">
        <v>409.06</v>
      </c>
      <c r="M2471">
        <v>2028</v>
      </c>
      <c r="N2471">
        <v>10</v>
      </c>
      <c r="O2471" t="s">
        <v>161</v>
      </c>
      <c r="P2471" s="2">
        <v>601.55999999999995</v>
      </c>
      <c r="Q2471" s="2">
        <v>192.5</v>
      </c>
      <c r="R2471" t="s">
        <v>72</v>
      </c>
      <c r="S2471">
        <v>1</v>
      </c>
      <c r="T2471">
        <v>0</v>
      </c>
      <c r="U2471">
        <f>IF(AND(OR(Dashboard!$D$4="Semua",D2471=Dashboard!$D$4),OR(Dashboard!$H$4="Semua",E2471=Dashboard!$H$4)),1,0)</f>
        <v>1</v>
      </c>
      <c r="V2471">
        <f>IF(U2471=1,IF(COUNTIFS($C$2:C2471,C2471,$U$2:U2471,1)=1,1,0),0)</f>
        <v>1</v>
      </c>
    </row>
    <row r="2472" spans="1:22" x14ac:dyDescent="0.35">
      <c r="A2472">
        <v>12471</v>
      </c>
      <c r="B2472" s="1">
        <v>47032</v>
      </c>
      <c r="C2472">
        <v>1606</v>
      </c>
      <c r="D2472" t="s">
        <v>62</v>
      </c>
      <c r="E2472" t="s">
        <v>63</v>
      </c>
      <c r="F2472">
        <v>4</v>
      </c>
      <c r="G2472" s="2">
        <v>162.27000000000001</v>
      </c>
      <c r="H2472">
        <v>0.2</v>
      </c>
      <c r="I2472" t="s">
        <v>71</v>
      </c>
      <c r="J2472">
        <v>6</v>
      </c>
      <c r="K2472">
        <v>2.7</v>
      </c>
      <c r="L2472" s="2">
        <v>519.26</v>
      </c>
      <c r="M2472">
        <v>2028</v>
      </c>
      <c r="N2472">
        <v>10</v>
      </c>
      <c r="O2472" t="s">
        <v>161</v>
      </c>
      <c r="P2472" s="2">
        <v>649.08000000000004</v>
      </c>
      <c r="Q2472" s="2">
        <v>129.82</v>
      </c>
      <c r="R2472" t="s">
        <v>76</v>
      </c>
      <c r="S2472">
        <v>1</v>
      </c>
      <c r="T2472">
        <v>0</v>
      </c>
      <c r="U2472">
        <f>IF(AND(OR(Dashboard!$D$4="Semua",D2472=Dashboard!$D$4),OR(Dashboard!$H$4="Semua",E2472=Dashboard!$H$4)),1,0)</f>
        <v>1</v>
      </c>
      <c r="V2472">
        <f>IF(U2472=1,IF(COUNTIFS($C$2:C2472,C2472,$U$2:U2472,1)=1,1,0),0)</f>
        <v>0</v>
      </c>
    </row>
    <row r="2473" spans="1:22" x14ac:dyDescent="0.35">
      <c r="A2473">
        <v>12472</v>
      </c>
      <c r="B2473" s="1">
        <v>47033</v>
      </c>
      <c r="C2473">
        <v>1165</v>
      </c>
      <c r="D2473" t="s">
        <v>80</v>
      </c>
      <c r="E2473" t="s">
        <v>74</v>
      </c>
      <c r="F2473">
        <v>7</v>
      </c>
      <c r="G2473" s="2">
        <v>287.95999999999998</v>
      </c>
      <c r="H2473">
        <v>0.32</v>
      </c>
      <c r="I2473" t="s">
        <v>71</v>
      </c>
      <c r="J2473">
        <v>4</v>
      </c>
      <c r="K2473">
        <v>3.9</v>
      </c>
      <c r="L2473" s="2">
        <v>1370.69</v>
      </c>
      <c r="M2473">
        <v>2028</v>
      </c>
      <c r="N2473">
        <v>10</v>
      </c>
      <c r="O2473" t="s">
        <v>161</v>
      </c>
      <c r="P2473" s="2">
        <v>2015.72</v>
      </c>
      <c r="Q2473" s="2">
        <v>645.03</v>
      </c>
      <c r="R2473" t="s">
        <v>72</v>
      </c>
      <c r="S2473">
        <v>1</v>
      </c>
      <c r="T2473">
        <v>0</v>
      </c>
      <c r="U2473">
        <f>IF(AND(OR(Dashboard!$D$4="Semua",D2473=Dashboard!$D$4),OR(Dashboard!$H$4="Semua",E2473=Dashboard!$H$4)),1,0)</f>
        <v>1</v>
      </c>
      <c r="V2473">
        <f>IF(U2473=1,IF(COUNTIFS($C$2:C2473,C2473,$U$2:U2473,1)=1,1,0),0)</f>
        <v>0</v>
      </c>
    </row>
    <row r="2474" spans="1:22" x14ac:dyDescent="0.35">
      <c r="A2474">
        <v>12473</v>
      </c>
      <c r="B2474" s="1">
        <v>47034</v>
      </c>
      <c r="C2474">
        <v>1543</v>
      </c>
      <c r="D2474" t="s">
        <v>67</v>
      </c>
      <c r="E2474" t="s">
        <v>74</v>
      </c>
      <c r="F2474">
        <v>6</v>
      </c>
      <c r="G2474" s="2">
        <v>540.23</v>
      </c>
      <c r="H2474">
        <v>0.02</v>
      </c>
      <c r="I2474" t="s">
        <v>64</v>
      </c>
      <c r="J2474">
        <v>8</v>
      </c>
      <c r="K2474">
        <v>2.1</v>
      </c>
      <c r="L2474" s="2">
        <v>3176.55</v>
      </c>
      <c r="M2474">
        <v>2028</v>
      </c>
      <c r="N2474">
        <v>10</v>
      </c>
      <c r="O2474" t="s">
        <v>161</v>
      </c>
      <c r="P2474" s="2">
        <v>3241.38</v>
      </c>
      <c r="Q2474" s="2">
        <v>64.83</v>
      </c>
      <c r="R2474" t="s">
        <v>75</v>
      </c>
      <c r="S2474">
        <v>1</v>
      </c>
      <c r="T2474">
        <v>0</v>
      </c>
      <c r="U2474">
        <f>IF(AND(OR(Dashboard!$D$4="Semua",D2474=Dashboard!$D$4),OR(Dashboard!$H$4="Semua",E2474=Dashboard!$H$4)),1,0)</f>
        <v>1</v>
      </c>
      <c r="V2474">
        <f>IF(U2474=1,IF(COUNTIFS($C$2:C2474,C2474,$U$2:U2474,1)=1,1,0),0)</f>
        <v>1</v>
      </c>
    </row>
    <row r="2475" spans="1:22" x14ac:dyDescent="0.35">
      <c r="A2475">
        <v>12474</v>
      </c>
      <c r="B2475" s="1">
        <v>47035</v>
      </c>
      <c r="C2475">
        <v>1010</v>
      </c>
      <c r="D2475" t="s">
        <v>73</v>
      </c>
      <c r="E2475" t="s">
        <v>74</v>
      </c>
      <c r="F2475">
        <v>5</v>
      </c>
      <c r="G2475" s="2">
        <v>102.51</v>
      </c>
      <c r="H2475">
        <v>0.12</v>
      </c>
      <c r="I2475" t="s">
        <v>68</v>
      </c>
      <c r="J2475">
        <v>4</v>
      </c>
      <c r="K2475">
        <v>2.2999999999999998</v>
      </c>
      <c r="L2475" s="2">
        <v>451.04</v>
      </c>
      <c r="M2475">
        <v>2028</v>
      </c>
      <c r="N2475">
        <v>10</v>
      </c>
      <c r="O2475" t="s">
        <v>161</v>
      </c>
      <c r="P2475" s="2">
        <v>512.54999999999995</v>
      </c>
      <c r="Q2475" s="2">
        <v>61.51</v>
      </c>
      <c r="R2475" t="s">
        <v>79</v>
      </c>
      <c r="S2475">
        <v>1</v>
      </c>
      <c r="T2475">
        <v>0</v>
      </c>
      <c r="U2475">
        <f>IF(AND(OR(Dashboard!$D$4="Semua",D2475=Dashboard!$D$4),OR(Dashboard!$H$4="Semua",E2475=Dashboard!$H$4)),1,0)</f>
        <v>1</v>
      </c>
      <c r="V2475">
        <f>IF(U2475=1,IF(COUNTIFS($C$2:C2475,C2475,$U$2:U2475,1)=1,1,0),0)</f>
        <v>0</v>
      </c>
    </row>
    <row r="2476" spans="1:22" x14ac:dyDescent="0.35">
      <c r="A2476">
        <v>12475</v>
      </c>
      <c r="B2476" s="1">
        <v>47036</v>
      </c>
      <c r="C2476">
        <v>1300</v>
      </c>
      <c r="D2476" t="s">
        <v>80</v>
      </c>
      <c r="E2476" t="s">
        <v>63</v>
      </c>
      <c r="F2476">
        <v>3</v>
      </c>
      <c r="G2476" s="2">
        <v>498.19</v>
      </c>
      <c r="H2476">
        <v>0.01</v>
      </c>
      <c r="I2476" t="s">
        <v>68</v>
      </c>
      <c r="J2476">
        <v>4</v>
      </c>
      <c r="K2476">
        <v>3.7</v>
      </c>
      <c r="L2476" s="2">
        <v>1479.62</v>
      </c>
      <c r="M2476">
        <v>2028</v>
      </c>
      <c r="N2476">
        <v>10</v>
      </c>
      <c r="O2476" t="s">
        <v>161</v>
      </c>
      <c r="P2476" s="2">
        <v>1494.57</v>
      </c>
      <c r="Q2476" s="2">
        <v>14.95</v>
      </c>
      <c r="R2476" t="s">
        <v>75</v>
      </c>
      <c r="S2476">
        <v>1</v>
      </c>
      <c r="T2476">
        <v>0</v>
      </c>
      <c r="U2476">
        <f>IF(AND(OR(Dashboard!$D$4="Semua",D2476=Dashboard!$D$4),OR(Dashboard!$H$4="Semua",E2476=Dashboard!$H$4)),1,0)</f>
        <v>1</v>
      </c>
      <c r="V2476">
        <f>IF(U2476=1,IF(COUNTIFS($C$2:C2476,C2476,$U$2:U2476,1)=1,1,0),0)</f>
        <v>0</v>
      </c>
    </row>
    <row r="2477" spans="1:22" x14ac:dyDescent="0.35">
      <c r="A2477">
        <v>12476</v>
      </c>
      <c r="B2477" s="1">
        <v>47037</v>
      </c>
      <c r="C2477">
        <v>1728</v>
      </c>
      <c r="D2477" t="s">
        <v>67</v>
      </c>
      <c r="E2477" t="s">
        <v>63</v>
      </c>
      <c r="F2477">
        <v>7</v>
      </c>
      <c r="G2477" s="2">
        <v>185.41</v>
      </c>
      <c r="H2477">
        <v>0.1</v>
      </c>
      <c r="I2477" t="s">
        <v>68</v>
      </c>
      <c r="J2477">
        <v>11</v>
      </c>
      <c r="K2477">
        <v>1.8</v>
      </c>
      <c r="L2477" s="2">
        <v>1168.08</v>
      </c>
      <c r="M2477">
        <v>2028</v>
      </c>
      <c r="N2477">
        <v>10</v>
      </c>
      <c r="O2477" t="s">
        <v>161</v>
      </c>
      <c r="P2477" s="2">
        <v>1297.8699999999999</v>
      </c>
      <c r="Q2477" s="2">
        <v>129.79</v>
      </c>
      <c r="R2477" t="s">
        <v>69</v>
      </c>
      <c r="S2477">
        <v>1</v>
      </c>
      <c r="T2477">
        <v>0</v>
      </c>
      <c r="U2477">
        <f>IF(AND(OR(Dashboard!$D$4="Semua",D2477=Dashboard!$D$4),OR(Dashboard!$H$4="Semua",E2477=Dashboard!$H$4)),1,0)</f>
        <v>1</v>
      </c>
      <c r="V2477">
        <f>IF(U2477=1,IF(COUNTIFS($C$2:C2477,C2477,$U$2:U2477,1)=1,1,0),0)</f>
        <v>0</v>
      </c>
    </row>
    <row r="2478" spans="1:22" x14ac:dyDescent="0.35">
      <c r="A2478">
        <v>12477</v>
      </c>
      <c r="B2478" s="1">
        <v>47038</v>
      </c>
      <c r="C2478">
        <v>1800</v>
      </c>
      <c r="D2478" t="s">
        <v>67</v>
      </c>
      <c r="E2478" t="s">
        <v>78</v>
      </c>
      <c r="F2478">
        <v>4</v>
      </c>
      <c r="G2478" s="2">
        <v>488.02</v>
      </c>
      <c r="H2478">
        <v>0.3</v>
      </c>
      <c r="I2478" t="s">
        <v>64</v>
      </c>
      <c r="J2478">
        <v>8</v>
      </c>
      <c r="K2478">
        <v>4.8</v>
      </c>
      <c r="L2478" s="2">
        <v>1366.46</v>
      </c>
      <c r="M2478">
        <v>2028</v>
      </c>
      <c r="N2478">
        <v>10</v>
      </c>
      <c r="O2478" t="s">
        <v>161</v>
      </c>
      <c r="P2478" s="2">
        <v>1952.08</v>
      </c>
      <c r="Q2478" s="2">
        <v>585.62</v>
      </c>
      <c r="R2478" t="s">
        <v>66</v>
      </c>
      <c r="S2478">
        <v>1</v>
      </c>
      <c r="T2478">
        <v>0</v>
      </c>
      <c r="U2478">
        <f>IF(AND(OR(Dashboard!$D$4="Semua",D2478=Dashboard!$D$4),OR(Dashboard!$H$4="Semua",E2478=Dashboard!$H$4)),1,0)</f>
        <v>1</v>
      </c>
      <c r="V2478">
        <f>IF(U2478=1,IF(COUNTIFS($C$2:C2478,C2478,$U$2:U2478,1)=1,1,0),0)</f>
        <v>0</v>
      </c>
    </row>
    <row r="2479" spans="1:22" x14ac:dyDescent="0.35">
      <c r="A2479">
        <v>12478</v>
      </c>
      <c r="B2479" s="1">
        <v>47039</v>
      </c>
      <c r="C2479">
        <v>1101</v>
      </c>
      <c r="D2479" t="s">
        <v>67</v>
      </c>
      <c r="E2479" t="s">
        <v>78</v>
      </c>
      <c r="F2479">
        <v>3</v>
      </c>
      <c r="G2479" s="2">
        <v>553.36</v>
      </c>
      <c r="H2479">
        <v>0.01</v>
      </c>
      <c r="I2479" t="s">
        <v>68</v>
      </c>
      <c r="J2479">
        <v>4</v>
      </c>
      <c r="K2479">
        <v>1.8</v>
      </c>
      <c r="L2479" s="2">
        <v>1643.48</v>
      </c>
      <c r="M2479">
        <v>2028</v>
      </c>
      <c r="N2479">
        <v>10</v>
      </c>
      <c r="O2479" t="s">
        <v>161</v>
      </c>
      <c r="P2479" s="2">
        <v>1660.08</v>
      </c>
      <c r="Q2479" s="2">
        <v>16.600000000000001</v>
      </c>
      <c r="R2479" t="s">
        <v>75</v>
      </c>
      <c r="S2479">
        <v>1</v>
      </c>
      <c r="T2479">
        <v>0</v>
      </c>
      <c r="U2479">
        <f>IF(AND(OR(Dashboard!$D$4="Semua",D2479=Dashboard!$D$4),OR(Dashboard!$H$4="Semua",E2479=Dashboard!$H$4)),1,0)</f>
        <v>1</v>
      </c>
      <c r="V2479">
        <f>IF(U2479=1,IF(COUNTIFS($C$2:C2479,C2479,$U$2:U2479,1)=1,1,0),0)</f>
        <v>0</v>
      </c>
    </row>
    <row r="2480" spans="1:22" x14ac:dyDescent="0.35">
      <c r="A2480">
        <v>12479</v>
      </c>
      <c r="B2480" s="1">
        <v>47040</v>
      </c>
      <c r="C2480">
        <v>1424</v>
      </c>
      <c r="D2480" t="s">
        <v>67</v>
      </c>
      <c r="E2480" t="s">
        <v>74</v>
      </c>
      <c r="F2480">
        <v>2</v>
      </c>
      <c r="G2480" s="2">
        <v>265.08</v>
      </c>
      <c r="H2480">
        <v>0.15</v>
      </c>
      <c r="I2480" t="s">
        <v>68</v>
      </c>
      <c r="J2480">
        <v>1</v>
      </c>
      <c r="K2480">
        <v>4</v>
      </c>
      <c r="L2480" s="2">
        <v>450.64</v>
      </c>
      <c r="M2480">
        <v>2028</v>
      </c>
      <c r="N2480">
        <v>10</v>
      </c>
      <c r="O2480" t="s">
        <v>161</v>
      </c>
      <c r="P2480" s="2">
        <v>530.16</v>
      </c>
      <c r="Q2480" s="2">
        <v>79.52</v>
      </c>
      <c r="R2480" t="s">
        <v>79</v>
      </c>
      <c r="S2480">
        <v>1</v>
      </c>
      <c r="T2480">
        <v>0</v>
      </c>
      <c r="U2480">
        <f>IF(AND(OR(Dashboard!$D$4="Semua",D2480=Dashboard!$D$4),OR(Dashboard!$H$4="Semua",E2480=Dashboard!$H$4)),1,0)</f>
        <v>1</v>
      </c>
      <c r="V2480">
        <f>IF(U2480=1,IF(COUNTIFS($C$2:C2480,C2480,$U$2:U2480,1)=1,1,0),0)</f>
        <v>0</v>
      </c>
    </row>
    <row r="2481" spans="1:22" x14ac:dyDescent="0.35">
      <c r="A2481">
        <v>12480</v>
      </c>
      <c r="B2481" s="1">
        <v>47041</v>
      </c>
      <c r="C2481">
        <v>1391</v>
      </c>
      <c r="D2481" t="s">
        <v>73</v>
      </c>
      <c r="E2481" t="s">
        <v>63</v>
      </c>
      <c r="F2481">
        <v>4</v>
      </c>
      <c r="G2481" s="2">
        <v>228.55</v>
      </c>
      <c r="H2481">
        <v>0.04</v>
      </c>
      <c r="I2481" t="s">
        <v>71</v>
      </c>
      <c r="J2481">
        <v>6</v>
      </c>
      <c r="K2481">
        <v>4.2</v>
      </c>
      <c r="L2481" s="2">
        <v>877.63</v>
      </c>
      <c r="M2481">
        <v>2028</v>
      </c>
      <c r="N2481">
        <v>10</v>
      </c>
      <c r="O2481" t="s">
        <v>161</v>
      </c>
      <c r="P2481" s="2">
        <v>914.2</v>
      </c>
      <c r="Q2481" s="2">
        <v>36.57</v>
      </c>
      <c r="R2481" t="s">
        <v>75</v>
      </c>
      <c r="S2481">
        <v>1</v>
      </c>
      <c r="T2481">
        <v>0</v>
      </c>
      <c r="U2481">
        <f>IF(AND(OR(Dashboard!$D$4="Semua",D2481=Dashboard!$D$4),OR(Dashboard!$H$4="Semua",E2481=Dashboard!$H$4)),1,0)</f>
        <v>1</v>
      </c>
      <c r="V2481">
        <f>IF(U2481=1,IF(COUNTIFS($C$2:C2481,C2481,$U$2:U2481,1)=1,1,0),0)</f>
        <v>0</v>
      </c>
    </row>
    <row r="2482" spans="1:22" x14ac:dyDescent="0.35">
      <c r="A2482">
        <v>12481</v>
      </c>
      <c r="B2482" s="1">
        <v>47042</v>
      </c>
      <c r="C2482">
        <v>1778</v>
      </c>
      <c r="D2482" t="s">
        <v>67</v>
      </c>
      <c r="E2482" t="s">
        <v>74</v>
      </c>
      <c r="F2482">
        <v>3</v>
      </c>
      <c r="G2482" s="2">
        <v>484.3</v>
      </c>
      <c r="H2482">
        <v>0.15</v>
      </c>
      <c r="I2482" t="s">
        <v>68</v>
      </c>
      <c r="J2482">
        <v>8</v>
      </c>
      <c r="K2482">
        <v>2.5</v>
      </c>
      <c r="L2482" s="2">
        <v>1234.97</v>
      </c>
      <c r="M2482">
        <v>2028</v>
      </c>
      <c r="N2482">
        <v>10</v>
      </c>
      <c r="O2482" t="s">
        <v>161</v>
      </c>
      <c r="P2482" s="2">
        <v>1452.9</v>
      </c>
      <c r="Q2482" s="2">
        <v>217.93</v>
      </c>
      <c r="R2482" t="s">
        <v>79</v>
      </c>
      <c r="S2482">
        <v>1</v>
      </c>
      <c r="T2482">
        <v>0</v>
      </c>
      <c r="U2482">
        <f>IF(AND(OR(Dashboard!$D$4="Semua",D2482=Dashboard!$D$4),OR(Dashboard!$H$4="Semua",E2482=Dashboard!$H$4)),1,0)</f>
        <v>1</v>
      </c>
      <c r="V2482">
        <f>IF(U2482=1,IF(COUNTIFS($C$2:C2482,C2482,$U$2:U2482,1)=1,1,0),0)</f>
        <v>0</v>
      </c>
    </row>
    <row r="2483" spans="1:22" x14ac:dyDescent="0.35">
      <c r="A2483">
        <v>12482</v>
      </c>
      <c r="B2483" s="1">
        <v>47043</v>
      </c>
      <c r="C2483">
        <v>1213</v>
      </c>
      <c r="D2483" t="s">
        <v>73</v>
      </c>
      <c r="E2483" t="s">
        <v>74</v>
      </c>
      <c r="F2483">
        <v>2</v>
      </c>
      <c r="G2483" s="2">
        <v>324.75</v>
      </c>
      <c r="H2483">
        <v>0.28999999999999998</v>
      </c>
      <c r="I2483" t="s">
        <v>64</v>
      </c>
      <c r="J2483">
        <v>3</v>
      </c>
      <c r="K2483">
        <v>1.6</v>
      </c>
      <c r="L2483" s="2">
        <v>461.14</v>
      </c>
      <c r="M2483">
        <v>2028</v>
      </c>
      <c r="N2483">
        <v>10</v>
      </c>
      <c r="O2483" t="s">
        <v>161</v>
      </c>
      <c r="P2483" s="2">
        <v>649.5</v>
      </c>
      <c r="Q2483" s="2">
        <v>188.36</v>
      </c>
      <c r="R2483" t="s">
        <v>66</v>
      </c>
      <c r="S2483">
        <v>1</v>
      </c>
      <c r="T2483">
        <v>0</v>
      </c>
      <c r="U2483">
        <f>IF(AND(OR(Dashboard!$D$4="Semua",D2483=Dashboard!$D$4),OR(Dashboard!$H$4="Semua",E2483=Dashboard!$H$4)),1,0)</f>
        <v>1</v>
      </c>
      <c r="V2483">
        <f>IF(U2483=1,IF(COUNTIFS($C$2:C2483,C2483,$U$2:U2483,1)=1,1,0),0)</f>
        <v>0</v>
      </c>
    </row>
    <row r="2484" spans="1:22" x14ac:dyDescent="0.35">
      <c r="A2484">
        <v>12483</v>
      </c>
      <c r="B2484" s="1">
        <v>47044</v>
      </c>
      <c r="C2484">
        <v>1690</v>
      </c>
      <c r="D2484" t="s">
        <v>80</v>
      </c>
      <c r="E2484" t="s">
        <v>78</v>
      </c>
      <c r="F2484">
        <v>6</v>
      </c>
      <c r="G2484" s="2">
        <v>415.4</v>
      </c>
      <c r="H2484">
        <v>0.22</v>
      </c>
      <c r="I2484" t="s">
        <v>64</v>
      </c>
      <c r="J2484">
        <v>2</v>
      </c>
      <c r="K2484">
        <v>1.7</v>
      </c>
      <c r="L2484" s="2">
        <v>1944.07</v>
      </c>
      <c r="M2484">
        <v>2028</v>
      </c>
      <c r="N2484">
        <v>10</v>
      </c>
      <c r="O2484" t="s">
        <v>161</v>
      </c>
      <c r="P2484" s="2">
        <v>2492.4</v>
      </c>
      <c r="Q2484" s="2">
        <v>548.33000000000004</v>
      </c>
      <c r="R2484" t="s">
        <v>77</v>
      </c>
      <c r="S2484">
        <v>1</v>
      </c>
      <c r="T2484">
        <v>0</v>
      </c>
      <c r="U2484">
        <f>IF(AND(OR(Dashboard!$D$4="Semua",D2484=Dashboard!$D$4),OR(Dashboard!$H$4="Semua",E2484=Dashboard!$H$4)),1,0)</f>
        <v>1</v>
      </c>
      <c r="V2484">
        <f>IF(U2484=1,IF(COUNTIFS($C$2:C2484,C2484,$U$2:U2484,1)=1,1,0),0)</f>
        <v>0</v>
      </c>
    </row>
    <row r="2485" spans="1:22" x14ac:dyDescent="0.35">
      <c r="A2485">
        <v>12484</v>
      </c>
      <c r="B2485" s="1">
        <v>47045</v>
      </c>
      <c r="C2485">
        <v>1087</v>
      </c>
      <c r="D2485" t="s">
        <v>73</v>
      </c>
      <c r="E2485" t="s">
        <v>70</v>
      </c>
      <c r="F2485">
        <v>5</v>
      </c>
      <c r="G2485" s="2">
        <v>379.36</v>
      </c>
      <c r="H2485">
        <v>0.26</v>
      </c>
      <c r="I2485" t="s">
        <v>71</v>
      </c>
      <c r="J2485">
        <v>6</v>
      </c>
      <c r="K2485">
        <v>4.9000000000000004</v>
      </c>
      <c r="L2485" s="2">
        <v>1403.63</v>
      </c>
      <c r="M2485">
        <v>2028</v>
      </c>
      <c r="N2485">
        <v>10</v>
      </c>
      <c r="O2485" t="s">
        <v>161</v>
      </c>
      <c r="P2485" s="2">
        <v>1896.8</v>
      </c>
      <c r="Q2485" s="2">
        <v>493.17</v>
      </c>
      <c r="R2485" t="s">
        <v>66</v>
      </c>
      <c r="S2485">
        <v>1</v>
      </c>
      <c r="T2485">
        <v>0</v>
      </c>
      <c r="U2485">
        <f>IF(AND(OR(Dashboard!$D$4="Semua",D2485=Dashboard!$D$4),OR(Dashboard!$H$4="Semua",E2485=Dashboard!$H$4)),1,0)</f>
        <v>1</v>
      </c>
      <c r="V2485">
        <f>IF(U2485=1,IF(COUNTIFS($C$2:C2485,C2485,$U$2:U2485,1)=1,1,0),0)</f>
        <v>0</v>
      </c>
    </row>
    <row r="2486" spans="1:22" x14ac:dyDescent="0.35">
      <c r="A2486">
        <v>12485</v>
      </c>
      <c r="B2486" s="1">
        <v>47046</v>
      </c>
      <c r="C2486">
        <v>1552</v>
      </c>
      <c r="D2486" t="s">
        <v>73</v>
      </c>
      <c r="E2486" t="s">
        <v>74</v>
      </c>
      <c r="F2486">
        <v>4</v>
      </c>
      <c r="G2486" s="2">
        <v>104.44</v>
      </c>
      <c r="H2486">
        <v>0.12</v>
      </c>
      <c r="I2486" t="s">
        <v>71</v>
      </c>
      <c r="J2486">
        <v>1</v>
      </c>
      <c r="K2486">
        <v>3.9</v>
      </c>
      <c r="L2486" s="2">
        <v>367.63</v>
      </c>
      <c r="M2486">
        <v>2028</v>
      </c>
      <c r="N2486">
        <v>10</v>
      </c>
      <c r="O2486" t="s">
        <v>161</v>
      </c>
      <c r="P2486" s="2">
        <v>417.76</v>
      </c>
      <c r="Q2486" s="2">
        <v>50.13</v>
      </c>
      <c r="R2486" t="s">
        <v>79</v>
      </c>
      <c r="S2486">
        <v>1</v>
      </c>
      <c r="T2486">
        <v>0</v>
      </c>
      <c r="U2486">
        <f>IF(AND(OR(Dashboard!$D$4="Semua",D2486=Dashboard!$D$4),OR(Dashboard!$H$4="Semua",E2486=Dashboard!$H$4)),1,0)</f>
        <v>1</v>
      </c>
      <c r="V2486">
        <f>IF(U2486=1,IF(COUNTIFS($C$2:C2486,C2486,$U$2:U2486,1)=1,1,0),0)</f>
        <v>1</v>
      </c>
    </row>
    <row r="2487" spans="1:22" x14ac:dyDescent="0.35">
      <c r="A2487">
        <v>12486</v>
      </c>
      <c r="B2487" s="1">
        <v>47047</v>
      </c>
      <c r="C2487">
        <v>1400</v>
      </c>
      <c r="D2487" t="s">
        <v>67</v>
      </c>
      <c r="E2487" t="s">
        <v>70</v>
      </c>
      <c r="F2487">
        <v>5</v>
      </c>
      <c r="G2487" s="2">
        <v>509.2</v>
      </c>
      <c r="H2487">
        <v>0.33</v>
      </c>
      <c r="I2487" t="s">
        <v>68</v>
      </c>
      <c r="J2487">
        <v>11</v>
      </c>
      <c r="K2487">
        <v>2.8</v>
      </c>
      <c r="L2487" s="2">
        <v>1705.82</v>
      </c>
      <c r="M2487">
        <v>2028</v>
      </c>
      <c r="N2487">
        <v>10</v>
      </c>
      <c r="O2487" t="s">
        <v>161</v>
      </c>
      <c r="P2487" s="2">
        <v>2546</v>
      </c>
      <c r="Q2487" s="2">
        <v>840.18</v>
      </c>
      <c r="R2487" t="s">
        <v>72</v>
      </c>
      <c r="S2487">
        <v>1</v>
      </c>
      <c r="T2487">
        <v>0</v>
      </c>
      <c r="U2487">
        <f>IF(AND(OR(Dashboard!$D$4="Semua",D2487=Dashboard!$D$4),OR(Dashboard!$H$4="Semua",E2487=Dashboard!$H$4)),1,0)</f>
        <v>1</v>
      </c>
      <c r="V2487">
        <f>IF(U2487=1,IF(COUNTIFS($C$2:C2487,C2487,$U$2:U2487,1)=1,1,0),0)</f>
        <v>0</v>
      </c>
    </row>
    <row r="2488" spans="1:22" x14ac:dyDescent="0.35">
      <c r="A2488">
        <v>12487</v>
      </c>
      <c r="B2488" s="1">
        <v>47048</v>
      </c>
      <c r="C2488">
        <v>1587</v>
      </c>
      <c r="D2488" t="s">
        <v>80</v>
      </c>
      <c r="E2488" t="s">
        <v>70</v>
      </c>
      <c r="F2488">
        <v>2</v>
      </c>
      <c r="G2488" s="2">
        <v>129.53</v>
      </c>
      <c r="H2488">
        <v>0.25</v>
      </c>
      <c r="I2488" t="s">
        <v>71</v>
      </c>
      <c r="J2488">
        <v>5</v>
      </c>
      <c r="K2488">
        <v>2</v>
      </c>
      <c r="L2488" s="2">
        <v>194.3</v>
      </c>
      <c r="M2488">
        <v>2028</v>
      </c>
      <c r="N2488">
        <v>10</v>
      </c>
      <c r="O2488" t="s">
        <v>161</v>
      </c>
      <c r="P2488" s="2">
        <v>259.06</v>
      </c>
      <c r="Q2488" s="2">
        <v>64.760000000000005</v>
      </c>
      <c r="R2488" t="s">
        <v>77</v>
      </c>
      <c r="S2488">
        <v>1</v>
      </c>
      <c r="T2488">
        <v>0</v>
      </c>
      <c r="U2488">
        <f>IF(AND(OR(Dashboard!$D$4="Semua",D2488=Dashboard!$D$4),OR(Dashboard!$H$4="Semua",E2488=Dashboard!$H$4)),1,0)</f>
        <v>1</v>
      </c>
      <c r="V2488">
        <f>IF(U2488=1,IF(COUNTIFS($C$2:C2488,C2488,$U$2:U2488,1)=1,1,0),0)</f>
        <v>0</v>
      </c>
    </row>
    <row r="2489" spans="1:22" x14ac:dyDescent="0.35">
      <c r="A2489">
        <v>12488</v>
      </c>
      <c r="B2489" s="1">
        <v>47049</v>
      </c>
      <c r="C2489">
        <v>1888</v>
      </c>
      <c r="D2489" t="s">
        <v>67</v>
      </c>
      <c r="E2489" t="s">
        <v>63</v>
      </c>
      <c r="F2489">
        <v>5</v>
      </c>
      <c r="G2489" s="2">
        <v>560.39</v>
      </c>
      <c r="H2489">
        <v>0.15</v>
      </c>
      <c r="I2489" t="s">
        <v>71</v>
      </c>
      <c r="J2489">
        <v>6</v>
      </c>
      <c r="K2489">
        <v>1.1000000000000001</v>
      </c>
      <c r="L2489" s="2">
        <v>2381.66</v>
      </c>
      <c r="M2489">
        <v>2028</v>
      </c>
      <c r="N2489">
        <v>10</v>
      </c>
      <c r="O2489" t="s">
        <v>161</v>
      </c>
      <c r="P2489" s="2">
        <v>2801.95</v>
      </c>
      <c r="Q2489" s="2">
        <v>420.29</v>
      </c>
      <c r="R2489" t="s">
        <v>79</v>
      </c>
      <c r="S2489">
        <v>1</v>
      </c>
      <c r="T2489">
        <v>0</v>
      </c>
      <c r="U2489">
        <f>IF(AND(OR(Dashboard!$D$4="Semua",D2489=Dashboard!$D$4),OR(Dashboard!$H$4="Semua",E2489=Dashboard!$H$4)),1,0)</f>
        <v>1</v>
      </c>
      <c r="V2489">
        <f>IF(U2489=1,IF(COUNTIFS($C$2:C2489,C2489,$U$2:U2489,1)=1,1,0),0)</f>
        <v>0</v>
      </c>
    </row>
    <row r="2490" spans="1:22" x14ac:dyDescent="0.35">
      <c r="A2490">
        <v>12489</v>
      </c>
      <c r="B2490" s="1">
        <v>47050</v>
      </c>
      <c r="C2490">
        <v>1045</v>
      </c>
      <c r="D2490" t="s">
        <v>73</v>
      </c>
      <c r="E2490" t="s">
        <v>63</v>
      </c>
      <c r="F2490">
        <v>5</v>
      </c>
      <c r="G2490" s="2">
        <v>161.58000000000001</v>
      </c>
      <c r="H2490">
        <v>0.15</v>
      </c>
      <c r="I2490" t="s">
        <v>68</v>
      </c>
      <c r="J2490">
        <v>8</v>
      </c>
      <c r="K2490">
        <v>3.7</v>
      </c>
      <c r="L2490" s="2">
        <v>686.72</v>
      </c>
      <c r="M2490">
        <v>2028</v>
      </c>
      <c r="N2490">
        <v>10</v>
      </c>
      <c r="O2490" t="s">
        <v>161</v>
      </c>
      <c r="P2490" s="2">
        <v>807.9</v>
      </c>
      <c r="Q2490" s="2">
        <v>121.18</v>
      </c>
      <c r="R2490" t="s">
        <v>79</v>
      </c>
      <c r="S2490">
        <v>1</v>
      </c>
      <c r="T2490">
        <v>0</v>
      </c>
      <c r="U2490">
        <f>IF(AND(OR(Dashboard!$D$4="Semua",D2490=Dashboard!$D$4),OR(Dashboard!$H$4="Semua",E2490=Dashboard!$H$4)),1,0)</f>
        <v>1</v>
      </c>
      <c r="V2490">
        <f>IF(U2490=1,IF(COUNTIFS($C$2:C2490,C2490,$U$2:U2490,1)=1,1,0),0)</f>
        <v>0</v>
      </c>
    </row>
    <row r="2491" spans="1:22" x14ac:dyDescent="0.35">
      <c r="A2491">
        <v>12490</v>
      </c>
      <c r="B2491" s="1">
        <v>47051</v>
      </c>
      <c r="C2491">
        <v>1671</v>
      </c>
      <c r="D2491" t="s">
        <v>67</v>
      </c>
      <c r="E2491" t="s">
        <v>74</v>
      </c>
      <c r="F2491">
        <v>7</v>
      </c>
      <c r="G2491" s="2">
        <v>444.32</v>
      </c>
      <c r="H2491">
        <v>0.32</v>
      </c>
      <c r="I2491" t="s">
        <v>68</v>
      </c>
      <c r="J2491">
        <v>7</v>
      </c>
      <c r="K2491">
        <v>4.8</v>
      </c>
      <c r="L2491" s="2">
        <v>2114.96</v>
      </c>
      <c r="M2491">
        <v>2028</v>
      </c>
      <c r="N2491">
        <v>10</v>
      </c>
      <c r="O2491" t="s">
        <v>161</v>
      </c>
      <c r="P2491" s="2">
        <v>3110.24</v>
      </c>
      <c r="Q2491" s="2">
        <v>995.28</v>
      </c>
      <c r="R2491" t="s">
        <v>72</v>
      </c>
      <c r="S2491">
        <v>1</v>
      </c>
      <c r="T2491">
        <v>0</v>
      </c>
      <c r="U2491">
        <f>IF(AND(OR(Dashboard!$D$4="Semua",D2491=Dashboard!$D$4),OR(Dashboard!$H$4="Semua",E2491=Dashboard!$H$4)),1,0)</f>
        <v>1</v>
      </c>
      <c r="V2491">
        <f>IF(U2491=1,IF(COUNTIFS($C$2:C2491,C2491,$U$2:U2491,1)=1,1,0),0)</f>
        <v>0</v>
      </c>
    </row>
    <row r="2492" spans="1:22" x14ac:dyDescent="0.35">
      <c r="A2492">
        <v>12491</v>
      </c>
      <c r="B2492" s="1">
        <v>47052</v>
      </c>
      <c r="C2492">
        <v>1462</v>
      </c>
      <c r="D2492" t="s">
        <v>73</v>
      </c>
      <c r="E2492" t="s">
        <v>78</v>
      </c>
      <c r="F2492">
        <v>1</v>
      </c>
      <c r="G2492" s="2">
        <v>181.52</v>
      </c>
      <c r="H2492">
        <v>0.2</v>
      </c>
      <c r="I2492" t="s">
        <v>64</v>
      </c>
      <c r="J2492">
        <v>6</v>
      </c>
      <c r="K2492">
        <v>1.4</v>
      </c>
      <c r="L2492" s="2">
        <v>145.22</v>
      </c>
      <c r="M2492">
        <v>2028</v>
      </c>
      <c r="N2492">
        <v>10</v>
      </c>
      <c r="O2492" t="s">
        <v>161</v>
      </c>
      <c r="P2492" s="2">
        <v>181.52</v>
      </c>
      <c r="Q2492" s="2">
        <v>36.299999999999997</v>
      </c>
      <c r="R2492" t="s">
        <v>76</v>
      </c>
      <c r="S2492">
        <v>1</v>
      </c>
      <c r="T2492">
        <v>0</v>
      </c>
      <c r="U2492">
        <f>IF(AND(OR(Dashboard!$D$4="Semua",D2492=Dashboard!$D$4),OR(Dashboard!$H$4="Semua",E2492=Dashboard!$H$4)),1,0)</f>
        <v>1</v>
      </c>
      <c r="V2492">
        <f>IF(U2492=1,IF(COUNTIFS($C$2:C2492,C2492,$U$2:U2492,1)=1,1,0),0)</f>
        <v>0</v>
      </c>
    </row>
    <row r="2493" spans="1:22" x14ac:dyDescent="0.35">
      <c r="A2493">
        <v>12492</v>
      </c>
      <c r="B2493" s="1">
        <v>47053</v>
      </c>
      <c r="C2493">
        <v>1591</v>
      </c>
      <c r="D2493" t="s">
        <v>62</v>
      </c>
      <c r="E2493" t="s">
        <v>78</v>
      </c>
      <c r="F2493">
        <v>2</v>
      </c>
      <c r="G2493" s="2">
        <v>200.9</v>
      </c>
      <c r="H2493">
        <v>0.25</v>
      </c>
      <c r="I2493" t="s">
        <v>68</v>
      </c>
      <c r="J2493">
        <v>2</v>
      </c>
      <c r="K2493">
        <v>4</v>
      </c>
      <c r="L2493" s="2">
        <v>301.35000000000002</v>
      </c>
      <c r="M2493">
        <v>2028</v>
      </c>
      <c r="N2493">
        <v>10</v>
      </c>
      <c r="O2493" t="s">
        <v>161</v>
      </c>
      <c r="P2493" s="2">
        <v>401.8</v>
      </c>
      <c r="Q2493" s="2">
        <v>100.45</v>
      </c>
      <c r="R2493" t="s">
        <v>77</v>
      </c>
      <c r="S2493">
        <v>1</v>
      </c>
      <c r="T2493">
        <v>0</v>
      </c>
      <c r="U2493">
        <f>IF(AND(OR(Dashboard!$D$4="Semua",D2493=Dashboard!$D$4),OR(Dashboard!$H$4="Semua",E2493=Dashboard!$H$4)),1,0)</f>
        <v>1</v>
      </c>
      <c r="V2493">
        <f>IF(U2493=1,IF(COUNTIFS($C$2:C2493,C2493,$U$2:U2493,1)=1,1,0),0)</f>
        <v>0</v>
      </c>
    </row>
    <row r="2494" spans="1:22" x14ac:dyDescent="0.35">
      <c r="A2494">
        <v>12493</v>
      </c>
      <c r="B2494" s="1">
        <v>47054</v>
      </c>
      <c r="C2494">
        <v>1309</v>
      </c>
      <c r="D2494" t="s">
        <v>62</v>
      </c>
      <c r="E2494" t="s">
        <v>74</v>
      </c>
      <c r="F2494">
        <v>5</v>
      </c>
      <c r="G2494" s="2">
        <v>196.35</v>
      </c>
      <c r="H2494">
        <v>0.15</v>
      </c>
      <c r="I2494" t="s">
        <v>71</v>
      </c>
      <c r="J2494">
        <v>8</v>
      </c>
      <c r="K2494">
        <v>1.6</v>
      </c>
      <c r="L2494" s="2">
        <v>834.49</v>
      </c>
      <c r="M2494">
        <v>2028</v>
      </c>
      <c r="N2494">
        <v>10</v>
      </c>
      <c r="O2494" t="s">
        <v>161</v>
      </c>
      <c r="P2494" s="2">
        <v>981.75</v>
      </c>
      <c r="Q2494" s="2">
        <v>147.26</v>
      </c>
      <c r="R2494" t="s">
        <v>79</v>
      </c>
      <c r="S2494">
        <v>1</v>
      </c>
      <c r="T2494">
        <v>0</v>
      </c>
      <c r="U2494">
        <f>IF(AND(OR(Dashboard!$D$4="Semua",D2494=Dashboard!$D$4),OR(Dashboard!$H$4="Semua",E2494=Dashboard!$H$4)),1,0)</f>
        <v>1</v>
      </c>
      <c r="V2494">
        <f>IF(U2494=1,IF(COUNTIFS($C$2:C2494,C2494,$U$2:U2494,1)=1,1,0),0)</f>
        <v>0</v>
      </c>
    </row>
    <row r="2495" spans="1:22" x14ac:dyDescent="0.35">
      <c r="A2495">
        <v>12494</v>
      </c>
      <c r="B2495" s="1">
        <v>47055</v>
      </c>
      <c r="C2495">
        <v>1085</v>
      </c>
      <c r="D2495" t="s">
        <v>67</v>
      </c>
      <c r="E2495" t="s">
        <v>74</v>
      </c>
      <c r="F2495">
        <v>3</v>
      </c>
      <c r="G2495" s="2">
        <v>452.52</v>
      </c>
      <c r="H2495">
        <v>0.08</v>
      </c>
      <c r="I2495" t="s">
        <v>68</v>
      </c>
      <c r="J2495">
        <v>8</v>
      </c>
      <c r="K2495">
        <v>4.2</v>
      </c>
      <c r="L2495" s="2">
        <v>1248.96</v>
      </c>
      <c r="M2495">
        <v>2028</v>
      </c>
      <c r="N2495">
        <v>10</v>
      </c>
      <c r="O2495" t="s">
        <v>161</v>
      </c>
      <c r="P2495" s="2">
        <v>1357.56</v>
      </c>
      <c r="Q2495" s="2">
        <v>108.6</v>
      </c>
      <c r="R2495" t="s">
        <v>69</v>
      </c>
      <c r="S2495">
        <v>1</v>
      </c>
      <c r="T2495">
        <v>0</v>
      </c>
      <c r="U2495">
        <f>IF(AND(OR(Dashboard!$D$4="Semua",D2495=Dashboard!$D$4),OR(Dashboard!$H$4="Semua",E2495=Dashboard!$H$4)),1,0)</f>
        <v>1</v>
      </c>
      <c r="V2495">
        <f>IF(U2495=1,IF(COUNTIFS($C$2:C2495,C2495,$U$2:U2495,1)=1,1,0),0)</f>
        <v>0</v>
      </c>
    </row>
    <row r="2496" spans="1:22" x14ac:dyDescent="0.35">
      <c r="A2496">
        <v>12495</v>
      </c>
      <c r="B2496" s="1">
        <v>47056</v>
      </c>
      <c r="C2496">
        <v>1091</v>
      </c>
      <c r="D2496" t="s">
        <v>73</v>
      </c>
      <c r="E2496" t="s">
        <v>78</v>
      </c>
      <c r="F2496">
        <v>2</v>
      </c>
      <c r="G2496" s="2">
        <v>340.74</v>
      </c>
      <c r="H2496">
        <v>0.25</v>
      </c>
      <c r="I2496" t="s">
        <v>68</v>
      </c>
      <c r="J2496">
        <v>11</v>
      </c>
      <c r="K2496">
        <v>2.5</v>
      </c>
      <c r="L2496" s="2">
        <v>511.11</v>
      </c>
      <c r="M2496">
        <v>2028</v>
      </c>
      <c r="N2496">
        <v>10</v>
      </c>
      <c r="O2496" t="s">
        <v>161</v>
      </c>
      <c r="P2496" s="2">
        <v>681.48</v>
      </c>
      <c r="Q2496" s="2">
        <v>170.37</v>
      </c>
      <c r="R2496" t="s">
        <v>77</v>
      </c>
      <c r="S2496">
        <v>1</v>
      </c>
      <c r="T2496">
        <v>0</v>
      </c>
      <c r="U2496">
        <f>IF(AND(OR(Dashboard!$D$4="Semua",D2496=Dashboard!$D$4),OR(Dashboard!$H$4="Semua",E2496=Dashboard!$H$4)),1,0)</f>
        <v>1</v>
      </c>
      <c r="V2496">
        <f>IF(U2496=1,IF(COUNTIFS($C$2:C2496,C2496,$U$2:U2496,1)=1,1,0),0)</f>
        <v>0</v>
      </c>
    </row>
    <row r="2497" spans="1:22" x14ac:dyDescent="0.35">
      <c r="A2497">
        <v>12496</v>
      </c>
      <c r="B2497" s="1">
        <v>47057</v>
      </c>
      <c r="C2497">
        <v>1659</v>
      </c>
      <c r="D2497" t="s">
        <v>80</v>
      </c>
      <c r="E2497" t="s">
        <v>70</v>
      </c>
      <c r="F2497">
        <v>1</v>
      </c>
      <c r="G2497" s="2">
        <v>531.53</v>
      </c>
      <c r="H2497">
        <v>0.21</v>
      </c>
      <c r="I2497" t="s">
        <v>64</v>
      </c>
      <c r="J2497">
        <v>5</v>
      </c>
      <c r="K2497">
        <v>3.8</v>
      </c>
      <c r="L2497" s="2">
        <v>419.91</v>
      </c>
      <c r="M2497">
        <v>2028</v>
      </c>
      <c r="N2497">
        <v>10</v>
      </c>
      <c r="O2497" t="s">
        <v>161</v>
      </c>
      <c r="P2497" s="2">
        <v>531.53</v>
      </c>
      <c r="Q2497" s="2">
        <v>111.62</v>
      </c>
      <c r="R2497" t="s">
        <v>77</v>
      </c>
      <c r="S2497">
        <v>1</v>
      </c>
      <c r="T2497">
        <v>0</v>
      </c>
      <c r="U2497">
        <f>IF(AND(OR(Dashboard!$D$4="Semua",D2497=Dashboard!$D$4),OR(Dashboard!$H$4="Semua",E2497=Dashboard!$H$4)),1,0)</f>
        <v>1</v>
      </c>
      <c r="V2497">
        <f>IF(U2497=1,IF(COUNTIFS($C$2:C2497,C2497,$U$2:U2497,1)=1,1,0),0)</f>
        <v>0</v>
      </c>
    </row>
    <row r="2498" spans="1:22" x14ac:dyDescent="0.35">
      <c r="A2498">
        <v>12497</v>
      </c>
      <c r="B2498" s="1">
        <v>47058</v>
      </c>
      <c r="C2498">
        <v>1672</v>
      </c>
      <c r="D2498" t="s">
        <v>73</v>
      </c>
      <c r="E2498" t="s">
        <v>74</v>
      </c>
      <c r="F2498">
        <v>4</v>
      </c>
      <c r="G2498" s="2">
        <v>194.81</v>
      </c>
      <c r="H2498">
        <v>0.18</v>
      </c>
      <c r="I2498" t="s">
        <v>68</v>
      </c>
      <c r="J2498">
        <v>3</v>
      </c>
      <c r="K2498">
        <v>4.7</v>
      </c>
      <c r="L2498" s="2">
        <v>638.98</v>
      </c>
      <c r="M2498">
        <v>2028</v>
      </c>
      <c r="N2498">
        <v>11</v>
      </c>
      <c r="O2498" t="s">
        <v>162</v>
      </c>
      <c r="P2498" s="2">
        <v>779.24</v>
      </c>
      <c r="Q2498" s="2">
        <v>140.26</v>
      </c>
      <c r="R2498" t="s">
        <v>76</v>
      </c>
      <c r="S2498">
        <v>1</v>
      </c>
      <c r="T2498">
        <v>0</v>
      </c>
      <c r="U2498">
        <f>IF(AND(OR(Dashboard!$D$4="Semua",D2498=Dashboard!$D$4),OR(Dashboard!$H$4="Semua",E2498=Dashboard!$H$4)),1,0)</f>
        <v>1</v>
      </c>
      <c r="V2498">
        <f>IF(U2498=1,IF(COUNTIFS($C$2:C2498,C2498,$U$2:U2498,1)=1,1,0),0)</f>
        <v>0</v>
      </c>
    </row>
    <row r="2499" spans="1:22" x14ac:dyDescent="0.35">
      <c r="A2499">
        <v>12498</v>
      </c>
      <c r="B2499" s="1">
        <v>47059</v>
      </c>
      <c r="C2499">
        <v>1713</v>
      </c>
      <c r="D2499" t="s">
        <v>67</v>
      </c>
      <c r="E2499" t="s">
        <v>70</v>
      </c>
      <c r="F2499">
        <v>6</v>
      </c>
      <c r="G2499" s="2">
        <v>419.82</v>
      </c>
      <c r="H2499">
        <v>0.22</v>
      </c>
      <c r="I2499" t="s">
        <v>71</v>
      </c>
      <c r="J2499">
        <v>11</v>
      </c>
      <c r="K2499">
        <v>3.5</v>
      </c>
      <c r="L2499" s="2">
        <v>1964.76</v>
      </c>
      <c r="M2499">
        <v>2028</v>
      </c>
      <c r="N2499">
        <v>11</v>
      </c>
      <c r="O2499" t="s">
        <v>162</v>
      </c>
      <c r="P2499" s="2">
        <v>2518.92</v>
      </c>
      <c r="Q2499" s="2">
        <v>554.16</v>
      </c>
      <c r="R2499" t="s">
        <v>77</v>
      </c>
      <c r="S2499">
        <v>1</v>
      </c>
      <c r="T2499">
        <v>0</v>
      </c>
      <c r="U2499">
        <f>IF(AND(OR(Dashboard!$D$4="Semua",D2499=Dashboard!$D$4),OR(Dashboard!$H$4="Semua",E2499=Dashboard!$H$4)),1,0)</f>
        <v>1</v>
      </c>
      <c r="V2499">
        <f>IF(U2499=1,IF(COUNTIFS($C$2:C2499,C2499,$U$2:U2499,1)=1,1,0),0)</f>
        <v>0</v>
      </c>
    </row>
    <row r="2500" spans="1:22" x14ac:dyDescent="0.35">
      <c r="A2500">
        <v>12499</v>
      </c>
      <c r="B2500" s="1">
        <v>47060</v>
      </c>
      <c r="C2500">
        <v>1935</v>
      </c>
      <c r="D2500" t="s">
        <v>73</v>
      </c>
      <c r="E2500" t="s">
        <v>74</v>
      </c>
      <c r="F2500">
        <v>5</v>
      </c>
      <c r="G2500" s="2">
        <v>455.47</v>
      </c>
      <c r="H2500">
        <v>7.0000000000000007E-2</v>
      </c>
      <c r="I2500" t="s">
        <v>68</v>
      </c>
      <c r="J2500">
        <v>8</v>
      </c>
      <c r="K2500">
        <v>4.7</v>
      </c>
      <c r="L2500" s="2">
        <v>2117.94</v>
      </c>
      <c r="M2500">
        <v>2028</v>
      </c>
      <c r="N2500">
        <v>11</v>
      </c>
      <c r="O2500" t="s">
        <v>162</v>
      </c>
      <c r="P2500" s="2">
        <v>2277.35</v>
      </c>
      <c r="Q2500" s="2">
        <v>159.41</v>
      </c>
      <c r="R2500" t="s">
        <v>69</v>
      </c>
      <c r="S2500">
        <v>1</v>
      </c>
      <c r="T2500">
        <v>0</v>
      </c>
      <c r="U2500">
        <f>IF(AND(OR(Dashboard!$D$4="Semua",D2500=Dashboard!$D$4),OR(Dashboard!$H$4="Semua",E2500=Dashboard!$H$4)),1,0)</f>
        <v>1</v>
      </c>
      <c r="V2500">
        <f>IF(U2500=1,IF(COUNTIFS($C$2:C2500,C2500,$U$2:U2500,1)=1,1,0),0)</f>
        <v>0</v>
      </c>
    </row>
    <row r="2501" spans="1:22" x14ac:dyDescent="0.35">
      <c r="A2501">
        <v>12500</v>
      </c>
      <c r="B2501" s="1">
        <v>47061</v>
      </c>
      <c r="C2501">
        <v>1927</v>
      </c>
      <c r="D2501" t="s">
        <v>62</v>
      </c>
      <c r="E2501" t="s">
        <v>74</v>
      </c>
      <c r="F2501">
        <v>3</v>
      </c>
      <c r="G2501" s="2">
        <v>103.62</v>
      </c>
      <c r="H2501">
        <v>0.28000000000000003</v>
      </c>
      <c r="I2501" t="s">
        <v>68</v>
      </c>
      <c r="J2501">
        <v>5</v>
      </c>
      <c r="K2501">
        <v>1.9</v>
      </c>
      <c r="L2501" s="2">
        <v>223.82</v>
      </c>
      <c r="M2501">
        <v>2028</v>
      </c>
      <c r="N2501">
        <v>11</v>
      </c>
      <c r="O2501" t="s">
        <v>162</v>
      </c>
      <c r="P2501" s="2">
        <v>310.86</v>
      </c>
      <c r="Q2501" s="2">
        <v>87.04</v>
      </c>
      <c r="R2501" t="s">
        <v>66</v>
      </c>
      <c r="S2501">
        <v>1</v>
      </c>
      <c r="T2501">
        <v>0</v>
      </c>
      <c r="U2501">
        <f>IF(AND(OR(Dashboard!$D$4="Semua",D2501=Dashboard!$D$4),OR(Dashboard!$H$4="Semua",E2501=Dashboard!$H$4)),1,0)</f>
        <v>1</v>
      </c>
      <c r="V2501">
        <f>IF(U2501=1,IF(COUNTIFS($C$2:C2501,C2501,$U$2:U2501,1)=1,1,0),0)</f>
        <v>0</v>
      </c>
    </row>
    <row r="2502" spans="1:22" x14ac:dyDescent="0.35">
      <c r="A2502">
        <v>12501</v>
      </c>
      <c r="B2502" s="1">
        <v>47062</v>
      </c>
      <c r="C2502">
        <v>1241</v>
      </c>
      <c r="D2502" t="s">
        <v>73</v>
      </c>
      <c r="E2502" t="s">
        <v>70</v>
      </c>
      <c r="F2502">
        <v>1</v>
      </c>
      <c r="G2502" s="2">
        <v>249.34</v>
      </c>
      <c r="H2502">
        <v>0.33</v>
      </c>
      <c r="I2502" t="s">
        <v>64</v>
      </c>
      <c r="J2502">
        <v>3</v>
      </c>
      <c r="K2502">
        <v>4.9000000000000004</v>
      </c>
      <c r="L2502" s="2">
        <v>167.06</v>
      </c>
      <c r="M2502">
        <v>2028</v>
      </c>
      <c r="N2502">
        <v>11</v>
      </c>
      <c r="O2502" t="s">
        <v>162</v>
      </c>
      <c r="P2502" s="2">
        <v>249.34</v>
      </c>
      <c r="Q2502" s="2">
        <v>82.28</v>
      </c>
      <c r="R2502" t="s">
        <v>72</v>
      </c>
      <c r="S2502">
        <v>1</v>
      </c>
      <c r="T2502">
        <v>0</v>
      </c>
      <c r="U2502">
        <f>IF(AND(OR(Dashboard!$D$4="Semua",D2502=Dashboard!$D$4),OR(Dashboard!$H$4="Semua",E2502=Dashboard!$H$4)),1,0)</f>
        <v>1</v>
      </c>
      <c r="V2502">
        <f>IF(U2502=1,IF(COUNTIFS($C$2:C2502,C2502,$U$2:U2502,1)=1,1,0),0)</f>
        <v>0</v>
      </c>
    </row>
    <row r="2503" spans="1:22" x14ac:dyDescent="0.35">
      <c r="A2503">
        <v>12502</v>
      </c>
      <c r="B2503" s="1">
        <v>47063</v>
      </c>
      <c r="C2503">
        <v>1864</v>
      </c>
      <c r="D2503" t="s">
        <v>67</v>
      </c>
      <c r="E2503" t="s">
        <v>70</v>
      </c>
      <c r="F2503">
        <v>2</v>
      </c>
      <c r="G2503" s="2">
        <v>297.45</v>
      </c>
      <c r="H2503">
        <v>0.31</v>
      </c>
      <c r="I2503" t="s">
        <v>71</v>
      </c>
      <c r="J2503">
        <v>9</v>
      </c>
      <c r="K2503">
        <v>4.5</v>
      </c>
      <c r="L2503" s="2">
        <v>410.48</v>
      </c>
      <c r="M2503">
        <v>2028</v>
      </c>
      <c r="N2503">
        <v>11</v>
      </c>
      <c r="O2503" t="s">
        <v>162</v>
      </c>
      <c r="P2503" s="2">
        <v>594.9</v>
      </c>
      <c r="Q2503" s="2">
        <v>184.42</v>
      </c>
      <c r="R2503" t="s">
        <v>72</v>
      </c>
      <c r="S2503">
        <v>1</v>
      </c>
      <c r="T2503">
        <v>0</v>
      </c>
      <c r="U2503">
        <f>IF(AND(OR(Dashboard!$D$4="Semua",D2503=Dashboard!$D$4),OR(Dashboard!$H$4="Semua",E2503=Dashboard!$H$4)),1,0)</f>
        <v>1</v>
      </c>
      <c r="V2503">
        <f>IF(U2503=1,IF(COUNTIFS($C$2:C2503,C2503,$U$2:U2503,1)=1,1,0),0)</f>
        <v>0</v>
      </c>
    </row>
    <row r="2504" spans="1:22" x14ac:dyDescent="0.35">
      <c r="A2504">
        <v>12503</v>
      </c>
      <c r="B2504" s="1">
        <v>47064</v>
      </c>
      <c r="C2504">
        <v>1001</v>
      </c>
      <c r="D2504" t="s">
        <v>80</v>
      </c>
      <c r="E2504" t="s">
        <v>78</v>
      </c>
      <c r="F2504">
        <v>6</v>
      </c>
      <c r="G2504" s="2">
        <v>223.08</v>
      </c>
      <c r="H2504">
        <v>0.11</v>
      </c>
      <c r="I2504" t="s">
        <v>64</v>
      </c>
      <c r="J2504">
        <v>9</v>
      </c>
      <c r="K2504">
        <v>1.4</v>
      </c>
      <c r="L2504" s="2">
        <v>1191.25</v>
      </c>
      <c r="M2504">
        <v>2028</v>
      </c>
      <c r="N2504">
        <v>11</v>
      </c>
      <c r="O2504" t="s">
        <v>162</v>
      </c>
      <c r="P2504" s="2">
        <v>1338.48</v>
      </c>
      <c r="Q2504" s="2">
        <v>147.22999999999999</v>
      </c>
      <c r="R2504" t="s">
        <v>79</v>
      </c>
      <c r="S2504">
        <v>1</v>
      </c>
      <c r="T2504">
        <v>0</v>
      </c>
      <c r="U2504">
        <f>IF(AND(OR(Dashboard!$D$4="Semua",D2504=Dashboard!$D$4),OR(Dashboard!$H$4="Semua",E2504=Dashboard!$H$4)),1,0)</f>
        <v>1</v>
      </c>
      <c r="V2504">
        <f>IF(U2504=1,IF(COUNTIFS($C$2:C2504,C2504,$U$2:U2504,1)=1,1,0),0)</f>
        <v>0</v>
      </c>
    </row>
    <row r="2505" spans="1:22" x14ac:dyDescent="0.35">
      <c r="A2505">
        <v>12504</v>
      </c>
      <c r="B2505" s="1">
        <v>47065</v>
      </c>
      <c r="C2505">
        <v>1224</v>
      </c>
      <c r="D2505" t="s">
        <v>67</v>
      </c>
      <c r="E2505" t="s">
        <v>74</v>
      </c>
      <c r="F2505">
        <v>6</v>
      </c>
      <c r="G2505" s="2">
        <v>203.44</v>
      </c>
      <c r="H2505">
        <v>0.14000000000000001</v>
      </c>
      <c r="I2505" t="s">
        <v>64</v>
      </c>
      <c r="J2505">
        <v>7</v>
      </c>
      <c r="K2505">
        <v>2.7</v>
      </c>
      <c r="L2505" s="2">
        <v>1049.75</v>
      </c>
      <c r="M2505">
        <v>2028</v>
      </c>
      <c r="N2505">
        <v>11</v>
      </c>
      <c r="O2505" t="s">
        <v>162</v>
      </c>
      <c r="P2505" s="2">
        <v>1220.6400000000001</v>
      </c>
      <c r="Q2505" s="2">
        <v>170.89</v>
      </c>
      <c r="R2505" t="s">
        <v>79</v>
      </c>
      <c r="S2505">
        <v>1</v>
      </c>
      <c r="T2505">
        <v>0</v>
      </c>
      <c r="U2505">
        <f>IF(AND(OR(Dashboard!$D$4="Semua",D2505=Dashboard!$D$4),OR(Dashboard!$H$4="Semua",E2505=Dashboard!$H$4)),1,0)</f>
        <v>1</v>
      </c>
      <c r="V2505">
        <f>IF(U2505=1,IF(COUNTIFS($C$2:C2505,C2505,$U$2:U2505,1)=1,1,0),0)</f>
        <v>0</v>
      </c>
    </row>
    <row r="2506" spans="1:22" x14ac:dyDescent="0.35">
      <c r="A2506">
        <v>12505</v>
      </c>
      <c r="B2506" s="1">
        <v>47066</v>
      </c>
      <c r="C2506">
        <v>1800</v>
      </c>
      <c r="D2506" t="s">
        <v>73</v>
      </c>
      <c r="E2506" t="s">
        <v>63</v>
      </c>
      <c r="F2506">
        <v>5</v>
      </c>
      <c r="G2506" s="2">
        <v>416.56</v>
      </c>
      <c r="H2506">
        <v>0.28000000000000003</v>
      </c>
      <c r="I2506" t="s">
        <v>64</v>
      </c>
      <c r="J2506">
        <v>8</v>
      </c>
      <c r="K2506">
        <v>4.7</v>
      </c>
      <c r="L2506" s="2">
        <v>1499.62</v>
      </c>
      <c r="M2506">
        <v>2028</v>
      </c>
      <c r="N2506">
        <v>11</v>
      </c>
      <c r="O2506" t="s">
        <v>162</v>
      </c>
      <c r="P2506" s="2">
        <v>2082.8000000000002</v>
      </c>
      <c r="Q2506" s="2">
        <v>583.17999999999995</v>
      </c>
      <c r="R2506" t="s">
        <v>66</v>
      </c>
      <c r="S2506">
        <v>1</v>
      </c>
      <c r="T2506">
        <v>0</v>
      </c>
      <c r="U2506">
        <f>IF(AND(OR(Dashboard!$D$4="Semua",D2506=Dashboard!$D$4),OR(Dashboard!$H$4="Semua",E2506=Dashboard!$H$4)),1,0)</f>
        <v>1</v>
      </c>
      <c r="V2506">
        <f>IF(U2506=1,IF(COUNTIFS($C$2:C2506,C2506,$U$2:U2506,1)=1,1,0),0)</f>
        <v>0</v>
      </c>
    </row>
    <row r="2507" spans="1:22" x14ac:dyDescent="0.35">
      <c r="A2507">
        <v>12506</v>
      </c>
      <c r="B2507" s="1">
        <v>47067</v>
      </c>
      <c r="C2507">
        <v>1744</v>
      </c>
      <c r="D2507" t="s">
        <v>62</v>
      </c>
      <c r="E2507" t="s">
        <v>63</v>
      </c>
      <c r="F2507">
        <v>1</v>
      </c>
      <c r="G2507" s="2">
        <v>141.28</v>
      </c>
      <c r="H2507">
        <v>0.21</v>
      </c>
      <c r="I2507" t="s">
        <v>64</v>
      </c>
      <c r="J2507">
        <v>5</v>
      </c>
      <c r="K2507">
        <v>1.3</v>
      </c>
      <c r="L2507" s="2">
        <v>111.61</v>
      </c>
      <c r="M2507">
        <v>2028</v>
      </c>
      <c r="N2507">
        <v>11</v>
      </c>
      <c r="O2507" t="s">
        <v>162</v>
      </c>
      <c r="P2507" s="2">
        <v>141.28</v>
      </c>
      <c r="Q2507" s="2">
        <v>29.67</v>
      </c>
      <c r="R2507" t="s">
        <v>77</v>
      </c>
      <c r="S2507">
        <v>1</v>
      </c>
      <c r="T2507">
        <v>0</v>
      </c>
      <c r="U2507">
        <f>IF(AND(OR(Dashboard!$D$4="Semua",D2507=Dashboard!$D$4),OR(Dashboard!$H$4="Semua",E2507=Dashboard!$H$4)),1,0)</f>
        <v>1</v>
      </c>
      <c r="V2507">
        <f>IF(U2507=1,IF(COUNTIFS($C$2:C2507,C2507,$U$2:U2507,1)=1,1,0),0)</f>
        <v>0</v>
      </c>
    </row>
    <row r="2508" spans="1:22" x14ac:dyDescent="0.35">
      <c r="A2508">
        <v>12507</v>
      </c>
      <c r="B2508" s="1">
        <v>47068</v>
      </c>
      <c r="C2508">
        <v>1972</v>
      </c>
      <c r="D2508" t="s">
        <v>67</v>
      </c>
      <c r="E2508" t="s">
        <v>74</v>
      </c>
      <c r="F2508">
        <v>1</v>
      </c>
      <c r="G2508" s="2">
        <v>429.99</v>
      </c>
      <c r="H2508">
        <v>0.19</v>
      </c>
      <c r="I2508" t="s">
        <v>68</v>
      </c>
      <c r="J2508">
        <v>5</v>
      </c>
      <c r="K2508">
        <v>2.8</v>
      </c>
      <c r="L2508" s="2">
        <v>348.29</v>
      </c>
      <c r="M2508">
        <v>2028</v>
      </c>
      <c r="N2508">
        <v>11</v>
      </c>
      <c r="O2508" t="s">
        <v>162</v>
      </c>
      <c r="P2508" s="2">
        <v>429.99</v>
      </c>
      <c r="Q2508" s="2">
        <v>81.7</v>
      </c>
      <c r="R2508" t="s">
        <v>76</v>
      </c>
      <c r="S2508">
        <v>1</v>
      </c>
      <c r="T2508">
        <v>0</v>
      </c>
      <c r="U2508">
        <f>IF(AND(OR(Dashboard!$D$4="Semua",D2508=Dashboard!$D$4),OR(Dashboard!$H$4="Semua",E2508=Dashboard!$H$4)),1,0)</f>
        <v>1</v>
      </c>
      <c r="V2508">
        <f>IF(U2508=1,IF(COUNTIFS($C$2:C2508,C2508,$U$2:U2508,1)=1,1,0),0)</f>
        <v>0</v>
      </c>
    </row>
    <row r="2509" spans="1:22" x14ac:dyDescent="0.35">
      <c r="A2509">
        <v>12508</v>
      </c>
      <c r="B2509" s="1">
        <v>47069</v>
      </c>
      <c r="C2509">
        <v>1925</v>
      </c>
      <c r="D2509" t="s">
        <v>67</v>
      </c>
      <c r="E2509" t="s">
        <v>74</v>
      </c>
      <c r="F2509">
        <v>3</v>
      </c>
      <c r="G2509" s="2">
        <v>562</v>
      </c>
      <c r="H2509">
        <v>0.32</v>
      </c>
      <c r="I2509" t="s">
        <v>64</v>
      </c>
      <c r="J2509">
        <v>5</v>
      </c>
      <c r="K2509">
        <v>3.9</v>
      </c>
      <c r="L2509" s="2">
        <v>1146.48</v>
      </c>
      <c r="M2509">
        <v>2028</v>
      </c>
      <c r="N2509">
        <v>11</v>
      </c>
      <c r="O2509" t="s">
        <v>162</v>
      </c>
      <c r="P2509" s="2">
        <v>1686</v>
      </c>
      <c r="Q2509" s="2">
        <v>539.52</v>
      </c>
      <c r="R2509" t="s">
        <v>72</v>
      </c>
      <c r="S2509">
        <v>1</v>
      </c>
      <c r="T2509">
        <v>0</v>
      </c>
      <c r="U2509">
        <f>IF(AND(OR(Dashboard!$D$4="Semua",D2509=Dashboard!$D$4),OR(Dashboard!$H$4="Semua",E2509=Dashboard!$H$4)),1,0)</f>
        <v>1</v>
      </c>
      <c r="V2509">
        <f>IF(U2509=1,IF(COUNTIFS($C$2:C2509,C2509,$U$2:U2509,1)=1,1,0),0)</f>
        <v>0</v>
      </c>
    </row>
    <row r="2510" spans="1:22" x14ac:dyDescent="0.35">
      <c r="A2510">
        <v>12509</v>
      </c>
      <c r="B2510" s="1">
        <v>47070</v>
      </c>
      <c r="C2510">
        <v>1928</v>
      </c>
      <c r="D2510" t="s">
        <v>73</v>
      </c>
      <c r="E2510" t="s">
        <v>74</v>
      </c>
      <c r="F2510">
        <v>4</v>
      </c>
      <c r="G2510" s="2">
        <v>345.64</v>
      </c>
      <c r="H2510">
        <v>0.19</v>
      </c>
      <c r="I2510" t="s">
        <v>68</v>
      </c>
      <c r="J2510">
        <v>2</v>
      </c>
      <c r="K2510">
        <v>1.1000000000000001</v>
      </c>
      <c r="L2510" s="2">
        <v>1119.8699999999999</v>
      </c>
      <c r="M2510">
        <v>2028</v>
      </c>
      <c r="N2510">
        <v>11</v>
      </c>
      <c r="O2510" t="s">
        <v>162</v>
      </c>
      <c r="P2510" s="2">
        <v>1382.56</v>
      </c>
      <c r="Q2510" s="2">
        <v>262.69</v>
      </c>
      <c r="R2510" t="s">
        <v>76</v>
      </c>
      <c r="S2510">
        <v>1</v>
      </c>
      <c r="T2510">
        <v>0</v>
      </c>
      <c r="U2510">
        <f>IF(AND(OR(Dashboard!$D$4="Semua",D2510=Dashboard!$D$4),OR(Dashboard!$H$4="Semua",E2510=Dashboard!$H$4)),1,0)</f>
        <v>1</v>
      </c>
      <c r="V2510">
        <f>IF(U2510=1,IF(COUNTIFS($C$2:C2510,C2510,$U$2:U2510,1)=1,1,0),0)</f>
        <v>0</v>
      </c>
    </row>
    <row r="2511" spans="1:22" x14ac:dyDescent="0.35">
      <c r="A2511">
        <v>12510</v>
      </c>
      <c r="B2511" s="1">
        <v>47071</v>
      </c>
      <c r="C2511">
        <v>1588</v>
      </c>
      <c r="D2511" t="s">
        <v>67</v>
      </c>
      <c r="E2511" t="s">
        <v>70</v>
      </c>
      <c r="F2511">
        <v>4</v>
      </c>
      <c r="G2511" s="2">
        <v>372.69</v>
      </c>
      <c r="H2511">
        <v>0.18</v>
      </c>
      <c r="I2511" t="s">
        <v>68</v>
      </c>
      <c r="J2511">
        <v>3</v>
      </c>
      <c r="K2511">
        <v>4</v>
      </c>
      <c r="L2511" s="2">
        <v>1222.42</v>
      </c>
      <c r="M2511">
        <v>2028</v>
      </c>
      <c r="N2511">
        <v>11</v>
      </c>
      <c r="O2511" t="s">
        <v>162</v>
      </c>
      <c r="P2511" s="2">
        <v>1490.76</v>
      </c>
      <c r="Q2511" s="2">
        <v>268.33999999999997</v>
      </c>
      <c r="R2511" t="s">
        <v>76</v>
      </c>
      <c r="S2511">
        <v>1</v>
      </c>
      <c r="T2511">
        <v>0</v>
      </c>
      <c r="U2511">
        <f>IF(AND(OR(Dashboard!$D$4="Semua",D2511=Dashboard!$D$4),OR(Dashboard!$H$4="Semua",E2511=Dashboard!$H$4)),1,0)</f>
        <v>1</v>
      </c>
      <c r="V2511">
        <f>IF(U2511=1,IF(COUNTIFS($C$2:C2511,C2511,$U$2:U2511,1)=1,1,0),0)</f>
        <v>0</v>
      </c>
    </row>
    <row r="2512" spans="1:22" x14ac:dyDescent="0.35">
      <c r="A2512">
        <v>12511</v>
      </c>
      <c r="B2512" s="1">
        <v>47072</v>
      </c>
      <c r="C2512">
        <v>1115</v>
      </c>
      <c r="D2512" t="s">
        <v>67</v>
      </c>
      <c r="E2512" t="s">
        <v>63</v>
      </c>
      <c r="F2512">
        <v>7</v>
      </c>
      <c r="G2512" s="2">
        <v>55.33</v>
      </c>
      <c r="H2512">
        <v>0.01</v>
      </c>
      <c r="I2512" t="s">
        <v>68</v>
      </c>
      <c r="J2512">
        <v>8</v>
      </c>
      <c r="K2512">
        <v>2.4</v>
      </c>
      <c r="L2512" s="2">
        <v>383.44</v>
      </c>
      <c r="M2512">
        <v>2028</v>
      </c>
      <c r="N2512">
        <v>11</v>
      </c>
      <c r="O2512" t="s">
        <v>162</v>
      </c>
      <c r="P2512" s="2">
        <v>387.31</v>
      </c>
      <c r="Q2512" s="2">
        <v>3.87</v>
      </c>
      <c r="R2512" t="s">
        <v>75</v>
      </c>
      <c r="S2512">
        <v>1</v>
      </c>
      <c r="T2512">
        <v>0</v>
      </c>
      <c r="U2512">
        <f>IF(AND(OR(Dashboard!$D$4="Semua",D2512=Dashboard!$D$4),OR(Dashboard!$H$4="Semua",E2512=Dashboard!$H$4)),1,0)</f>
        <v>1</v>
      </c>
      <c r="V2512">
        <f>IF(U2512=1,IF(COUNTIFS($C$2:C2512,C2512,$U$2:U2512,1)=1,1,0),0)</f>
        <v>0</v>
      </c>
    </row>
    <row r="2513" spans="1:22" x14ac:dyDescent="0.35">
      <c r="A2513">
        <v>12512</v>
      </c>
      <c r="B2513" s="1">
        <v>47073</v>
      </c>
      <c r="C2513">
        <v>1665</v>
      </c>
      <c r="D2513" t="s">
        <v>73</v>
      </c>
      <c r="E2513" t="s">
        <v>63</v>
      </c>
      <c r="F2513">
        <v>4</v>
      </c>
      <c r="G2513" s="2">
        <v>520.72</v>
      </c>
      <c r="H2513">
        <v>0.02</v>
      </c>
      <c r="I2513" t="s">
        <v>68</v>
      </c>
      <c r="J2513">
        <v>6</v>
      </c>
      <c r="K2513">
        <v>2</v>
      </c>
      <c r="L2513" s="2">
        <v>2041.22</v>
      </c>
      <c r="M2513">
        <v>2028</v>
      </c>
      <c r="N2513">
        <v>11</v>
      </c>
      <c r="O2513" t="s">
        <v>162</v>
      </c>
      <c r="P2513" s="2">
        <v>2082.88</v>
      </c>
      <c r="Q2513" s="2">
        <v>41.66</v>
      </c>
      <c r="R2513" t="s">
        <v>75</v>
      </c>
      <c r="S2513">
        <v>1</v>
      </c>
      <c r="T2513">
        <v>0</v>
      </c>
      <c r="U2513">
        <f>IF(AND(OR(Dashboard!$D$4="Semua",D2513=Dashboard!$D$4),OR(Dashboard!$H$4="Semua",E2513=Dashboard!$H$4)),1,0)</f>
        <v>1</v>
      </c>
      <c r="V2513">
        <f>IF(U2513=1,IF(COUNTIFS($C$2:C2513,C2513,$U$2:U2513,1)=1,1,0),0)</f>
        <v>0</v>
      </c>
    </row>
    <row r="2514" spans="1:22" x14ac:dyDescent="0.35">
      <c r="A2514">
        <v>12513</v>
      </c>
      <c r="B2514" s="1">
        <v>47074</v>
      </c>
      <c r="C2514">
        <v>1917</v>
      </c>
      <c r="D2514" t="s">
        <v>73</v>
      </c>
      <c r="E2514" t="s">
        <v>63</v>
      </c>
      <c r="F2514">
        <v>7</v>
      </c>
      <c r="G2514" s="2">
        <v>181.99</v>
      </c>
      <c r="H2514">
        <v>0</v>
      </c>
      <c r="I2514" t="s">
        <v>71</v>
      </c>
      <c r="J2514">
        <v>9</v>
      </c>
      <c r="K2514">
        <v>3.3</v>
      </c>
      <c r="L2514" s="2">
        <v>1273.93</v>
      </c>
      <c r="M2514">
        <v>2028</v>
      </c>
      <c r="N2514">
        <v>11</v>
      </c>
      <c r="O2514" t="s">
        <v>162</v>
      </c>
      <c r="P2514" s="2">
        <v>1273.93</v>
      </c>
      <c r="Q2514" s="2">
        <v>0</v>
      </c>
      <c r="R2514" t="s">
        <v>75</v>
      </c>
      <c r="S2514">
        <v>1</v>
      </c>
      <c r="T2514">
        <v>0</v>
      </c>
      <c r="U2514">
        <f>IF(AND(OR(Dashboard!$D$4="Semua",D2514=Dashboard!$D$4),OR(Dashboard!$H$4="Semua",E2514=Dashboard!$H$4)),1,0)</f>
        <v>1</v>
      </c>
      <c r="V2514">
        <f>IF(U2514=1,IF(COUNTIFS($C$2:C2514,C2514,$U$2:U2514,1)=1,1,0),0)</f>
        <v>0</v>
      </c>
    </row>
    <row r="2515" spans="1:22" x14ac:dyDescent="0.35">
      <c r="A2515">
        <v>12514</v>
      </c>
      <c r="B2515" s="1">
        <v>47075</v>
      </c>
      <c r="C2515">
        <v>1102</v>
      </c>
      <c r="D2515" t="s">
        <v>80</v>
      </c>
      <c r="E2515" t="s">
        <v>74</v>
      </c>
      <c r="F2515">
        <v>6</v>
      </c>
      <c r="G2515" s="2">
        <v>374.8</v>
      </c>
      <c r="H2515">
        <v>0.32</v>
      </c>
      <c r="I2515" t="s">
        <v>68</v>
      </c>
      <c r="J2515">
        <v>7</v>
      </c>
      <c r="K2515">
        <v>3.2</v>
      </c>
      <c r="L2515" s="2">
        <v>1529.18</v>
      </c>
      <c r="M2515">
        <v>2028</v>
      </c>
      <c r="N2515">
        <v>11</v>
      </c>
      <c r="O2515" t="s">
        <v>162</v>
      </c>
      <c r="P2515" s="2">
        <v>2248.8000000000002</v>
      </c>
      <c r="Q2515" s="2">
        <v>719.62</v>
      </c>
      <c r="R2515" t="s">
        <v>72</v>
      </c>
      <c r="S2515">
        <v>1</v>
      </c>
      <c r="T2515">
        <v>0</v>
      </c>
      <c r="U2515">
        <f>IF(AND(OR(Dashboard!$D$4="Semua",D2515=Dashboard!$D$4),OR(Dashboard!$H$4="Semua",E2515=Dashboard!$H$4)),1,0)</f>
        <v>1</v>
      </c>
      <c r="V2515">
        <f>IF(U2515=1,IF(COUNTIFS($C$2:C2515,C2515,$U$2:U2515,1)=1,1,0),0)</f>
        <v>0</v>
      </c>
    </row>
    <row r="2516" spans="1:22" x14ac:dyDescent="0.35">
      <c r="A2516">
        <v>12515</v>
      </c>
      <c r="B2516" s="1">
        <v>47076</v>
      </c>
      <c r="C2516">
        <v>1193</v>
      </c>
      <c r="D2516" t="s">
        <v>73</v>
      </c>
      <c r="E2516" t="s">
        <v>70</v>
      </c>
      <c r="F2516">
        <v>6</v>
      </c>
      <c r="G2516" s="2">
        <v>587.78</v>
      </c>
      <c r="H2516">
        <v>0.14000000000000001</v>
      </c>
      <c r="I2516" t="s">
        <v>68</v>
      </c>
      <c r="J2516">
        <v>6</v>
      </c>
      <c r="K2516">
        <v>4.5</v>
      </c>
      <c r="L2516" s="2">
        <v>3032.94</v>
      </c>
      <c r="M2516">
        <v>2028</v>
      </c>
      <c r="N2516">
        <v>11</v>
      </c>
      <c r="O2516" t="s">
        <v>162</v>
      </c>
      <c r="P2516" s="2">
        <v>3526.68</v>
      </c>
      <c r="Q2516" s="2">
        <v>493.74</v>
      </c>
      <c r="R2516" t="s">
        <v>79</v>
      </c>
      <c r="S2516">
        <v>1</v>
      </c>
      <c r="T2516">
        <v>0</v>
      </c>
      <c r="U2516">
        <f>IF(AND(OR(Dashboard!$D$4="Semua",D2516=Dashboard!$D$4),OR(Dashboard!$H$4="Semua",E2516=Dashboard!$H$4)),1,0)</f>
        <v>1</v>
      </c>
      <c r="V2516">
        <f>IF(U2516=1,IF(COUNTIFS($C$2:C2516,C2516,$U$2:U2516,1)=1,1,0),0)</f>
        <v>0</v>
      </c>
    </row>
    <row r="2517" spans="1:22" x14ac:dyDescent="0.35">
      <c r="A2517">
        <v>12516</v>
      </c>
      <c r="B2517" s="1">
        <v>47077</v>
      </c>
      <c r="C2517">
        <v>1165</v>
      </c>
      <c r="D2517" t="s">
        <v>73</v>
      </c>
      <c r="E2517" t="s">
        <v>74</v>
      </c>
      <c r="F2517">
        <v>2</v>
      </c>
      <c r="G2517" s="2">
        <v>363.37</v>
      </c>
      <c r="H2517">
        <v>0.16</v>
      </c>
      <c r="I2517" t="s">
        <v>71</v>
      </c>
      <c r="J2517">
        <v>11</v>
      </c>
      <c r="K2517">
        <v>3.7</v>
      </c>
      <c r="L2517" s="2">
        <v>610.46</v>
      </c>
      <c r="M2517">
        <v>2028</v>
      </c>
      <c r="N2517">
        <v>11</v>
      </c>
      <c r="O2517" t="s">
        <v>162</v>
      </c>
      <c r="P2517" s="2">
        <v>726.74</v>
      </c>
      <c r="Q2517" s="2">
        <v>116.28</v>
      </c>
      <c r="R2517" t="s">
        <v>76</v>
      </c>
      <c r="S2517">
        <v>1</v>
      </c>
      <c r="T2517">
        <v>0</v>
      </c>
      <c r="U2517">
        <f>IF(AND(OR(Dashboard!$D$4="Semua",D2517=Dashboard!$D$4),OR(Dashboard!$H$4="Semua",E2517=Dashboard!$H$4)),1,0)</f>
        <v>1</v>
      </c>
      <c r="V2517">
        <f>IF(U2517=1,IF(COUNTIFS($C$2:C2517,C2517,$U$2:U2517,1)=1,1,0),0)</f>
        <v>0</v>
      </c>
    </row>
    <row r="2518" spans="1:22" x14ac:dyDescent="0.35">
      <c r="A2518">
        <v>12517</v>
      </c>
      <c r="B2518" s="1">
        <v>47078</v>
      </c>
      <c r="C2518">
        <v>1870</v>
      </c>
      <c r="D2518" t="s">
        <v>67</v>
      </c>
      <c r="E2518" t="s">
        <v>78</v>
      </c>
      <c r="F2518">
        <v>6</v>
      </c>
      <c r="G2518" s="2">
        <v>438.96</v>
      </c>
      <c r="H2518">
        <v>0.3</v>
      </c>
      <c r="I2518" t="s">
        <v>68</v>
      </c>
      <c r="J2518">
        <v>4</v>
      </c>
      <c r="K2518">
        <v>2.7</v>
      </c>
      <c r="L2518" s="2">
        <v>1843.63</v>
      </c>
      <c r="M2518">
        <v>2028</v>
      </c>
      <c r="N2518">
        <v>11</v>
      </c>
      <c r="O2518" t="s">
        <v>162</v>
      </c>
      <c r="P2518" s="2">
        <v>2633.76</v>
      </c>
      <c r="Q2518" s="2">
        <v>790.13</v>
      </c>
      <c r="R2518" t="s">
        <v>66</v>
      </c>
      <c r="S2518">
        <v>1</v>
      </c>
      <c r="T2518">
        <v>0</v>
      </c>
      <c r="U2518">
        <f>IF(AND(OR(Dashboard!$D$4="Semua",D2518=Dashboard!$D$4),OR(Dashboard!$H$4="Semua",E2518=Dashboard!$H$4)),1,0)</f>
        <v>1</v>
      </c>
      <c r="V2518">
        <f>IF(U2518=1,IF(COUNTIFS($C$2:C2518,C2518,$U$2:U2518,1)=1,1,0),0)</f>
        <v>0</v>
      </c>
    </row>
    <row r="2519" spans="1:22" x14ac:dyDescent="0.35">
      <c r="A2519">
        <v>12518</v>
      </c>
      <c r="B2519" s="1">
        <v>47079</v>
      </c>
      <c r="C2519">
        <v>1089</v>
      </c>
      <c r="D2519" t="s">
        <v>80</v>
      </c>
      <c r="E2519" t="s">
        <v>78</v>
      </c>
      <c r="F2519">
        <v>6</v>
      </c>
      <c r="G2519" s="2">
        <v>275.51</v>
      </c>
      <c r="H2519">
        <v>0.21</v>
      </c>
      <c r="I2519" t="s">
        <v>71</v>
      </c>
      <c r="J2519">
        <v>7</v>
      </c>
      <c r="K2519">
        <v>3.6</v>
      </c>
      <c r="L2519" s="2">
        <v>1305.92</v>
      </c>
      <c r="M2519">
        <v>2028</v>
      </c>
      <c r="N2519">
        <v>11</v>
      </c>
      <c r="O2519" t="s">
        <v>162</v>
      </c>
      <c r="P2519" s="2">
        <v>1653.06</v>
      </c>
      <c r="Q2519" s="2">
        <v>347.14</v>
      </c>
      <c r="R2519" t="s">
        <v>77</v>
      </c>
      <c r="S2519">
        <v>1</v>
      </c>
      <c r="T2519">
        <v>0</v>
      </c>
      <c r="U2519">
        <f>IF(AND(OR(Dashboard!$D$4="Semua",D2519=Dashboard!$D$4),OR(Dashboard!$H$4="Semua",E2519=Dashboard!$H$4)),1,0)</f>
        <v>1</v>
      </c>
      <c r="V2519">
        <f>IF(U2519=1,IF(COUNTIFS($C$2:C2519,C2519,$U$2:U2519,1)=1,1,0),0)</f>
        <v>0</v>
      </c>
    </row>
    <row r="2520" spans="1:22" x14ac:dyDescent="0.35">
      <c r="A2520">
        <v>12519</v>
      </c>
      <c r="B2520" s="1">
        <v>47080</v>
      </c>
      <c r="C2520">
        <v>1685</v>
      </c>
      <c r="D2520" t="s">
        <v>73</v>
      </c>
      <c r="E2520" t="s">
        <v>63</v>
      </c>
      <c r="F2520">
        <v>1</v>
      </c>
      <c r="G2520" s="2">
        <v>50.31</v>
      </c>
      <c r="H2520">
        <v>0.21</v>
      </c>
      <c r="I2520" t="s">
        <v>68</v>
      </c>
      <c r="J2520">
        <v>4</v>
      </c>
      <c r="K2520">
        <v>4</v>
      </c>
      <c r="L2520" s="2">
        <v>39.74</v>
      </c>
      <c r="M2520">
        <v>2028</v>
      </c>
      <c r="N2520">
        <v>11</v>
      </c>
      <c r="O2520" t="s">
        <v>162</v>
      </c>
      <c r="P2520" s="2">
        <v>50.31</v>
      </c>
      <c r="Q2520" s="2">
        <v>10.57</v>
      </c>
      <c r="R2520" t="s">
        <v>77</v>
      </c>
      <c r="S2520">
        <v>1</v>
      </c>
      <c r="T2520">
        <v>0</v>
      </c>
      <c r="U2520">
        <f>IF(AND(OR(Dashboard!$D$4="Semua",D2520=Dashboard!$D$4),OR(Dashboard!$H$4="Semua",E2520=Dashboard!$H$4)),1,0)</f>
        <v>1</v>
      </c>
      <c r="V2520">
        <f>IF(U2520=1,IF(COUNTIFS($C$2:C2520,C2520,$U$2:U2520,1)=1,1,0),0)</f>
        <v>0</v>
      </c>
    </row>
    <row r="2521" spans="1:22" x14ac:dyDescent="0.35">
      <c r="A2521">
        <v>12520</v>
      </c>
      <c r="B2521" s="1">
        <v>47081</v>
      </c>
      <c r="C2521">
        <v>1121</v>
      </c>
      <c r="D2521" t="s">
        <v>67</v>
      </c>
      <c r="E2521" t="s">
        <v>74</v>
      </c>
      <c r="F2521">
        <v>2</v>
      </c>
      <c r="G2521" s="2">
        <v>481.6</v>
      </c>
      <c r="H2521">
        <v>0.1</v>
      </c>
      <c r="I2521" t="s">
        <v>68</v>
      </c>
      <c r="J2521">
        <v>7</v>
      </c>
      <c r="K2521">
        <v>4.7</v>
      </c>
      <c r="L2521" s="2">
        <v>866.88</v>
      </c>
      <c r="M2521">
        <v>2028</v>
      </c>
      <c r="N2521">
        <v>11</v>
      </c>
      <c r="O2521" t="s">
        <v>162</v>
      </c>
      <c r="P2521" s="2">
        <v>963.2</v>
      </c>
      <c r="Q2521" s="2">
        <v>96.32</v>
      </c>
      <c r="R2521" t="s">
        <v>69</v>
      </c>
      <c r="S2521">
        <v>1</v>
      </c>
      <c r="T2521">
        <v>0</v>
      </c>
      <c r="U2521">
        <f>IF(AND(OR(Dashboard!$D$4="Semua",D2521=Dashboard!$D$4),OR(Dashboard!$H$4="Semua",E2521=Dashboard!$H$4)),1,0)</f>
        <v>1</v>
      </c>
      <c r="V2521">
        <f>IF(U2521=1,IF(COUNTIFS($C$2:C2521,C2521,$U$2:U2521,1)=1,1,0),0)</f>
        <v>0</v>
      </c>
    </row>
    <row r="2522" spans="1:22" x14ac:dyDescent="0.35">
      <c r="A2522">
        <v>12521</v>
      </c>
      <c r="B2522" s="1">
        <v>47082</v>
      </c>
      <c r="C2522">
        <v>1142</v>
      </c>
      <c r="D2522" t="s">
        <v>73</v>
      </c>
      <c r="E2522" t="s">
        <v>78</v>
      </c>
      <c r="F2522">
        <v>1</v>
      </c>
      <c r="G2522" s="2">
        <v>35.47</v>
      </c>
      <c r="H2522">
        <v>0.28999999999999998</v>
      </c>
      <c r="I2522" t="s">
        <v>68</v>
      </c>
      <c r="J2522">
        <v>5</v>
      </c>
      <c r="K2522">
        <v>3.8</v>
      </c>
      <c r="L2522" s="2">
        <v>25.18</v>
      </c>
      <c r="M2522">
        <v>2028</v>
      </c>
      <c r="N2522">
        <v>11</v>
      </c>
      <c r="O2522" t="s">
        <v>162</v>
      </c>
      <c r="P2522" s="2">
        <v>35.47</v>
      </c>
      <c r="Q2522" s="2">
        <v>10.29</v>
      </c>
      <c r="R2522" t="s">
        <v>66</v>
      </c>
      <c r="S2522">
        <v>1</v>
      </c>
      <c r="T2522">
        <v>0</v>
      </c>
      <c r="U2522">
        <f>IF(AND(OR(Dashboard!$D$4="Semua",D2522=Dashboard!$D$4),OR(Dashboard!$H$4="Semua",E2522=Dashboard!$H$4)),1,0)</f>
        <v>1</v>
      </c>
      <c r="V2522">
        <f>IF(U2522=1,IF(COUNTIFS($C$2:C2522,C2522,$U$2:U2522,1)=1,1,0),0)</f>
        <v>0</v>
      </c>
    </row>
    <row r="2523" spans="1:22" x14ac:dyDescent="0.35">
      <c r="A2523">
        <v>12522</v>
      </c>
      <c r="B2523" s="1">
        <v>47083</v>
      </c>
      <c r="C2523">
        <v>1993</v>
      </c>
      <c r="D2523" t="s">
        <v>73</v>
      </c>
      <c r="E2523" t="s">
        <v>78</v>
      </c>
      <c r="F2523">
        <v>3</v>
      </c>
      <c r="G2523" s="2">
        <v>424.88</v>
      </c>
      <c r="H2523">
        <v>0.06</v>
      </c>
      <c r="I2523" t="s">
        <v>68</v>
      </c>
      <c r="J2523">
        <v>2</v>
      </c>
      <c r="K2523">
        <v>3.2</v>
      </c>
      <c r="L2523" s="2">
        <v>1198.1600000000001</v>
      </c>
      <c r="M2523">
        <v>2028</v>
      </c>
      <c r="N2523">
        <v>11</v>
      </c>
      <c r="O2523" t="s">
        <v>162</v>
      </c>
      <c r="P2523" s="2">
        <v>1274.6400000000001</v>
      </c>
      <c r="Q2523" s="2">
        <v>76.48</v>
      </c>
      <c r="R2523" t="s">
        <v>69</v>
      </c>
      <c r="S2523">
        <v>1</v>
      </c>
      <c r="T2523">
        <v>0</v>
      </c>
      <c r="U2523">
        <f>IF(AND(OR(Dashboard!$D$4="Semua",D2523=Dashboard!$D$4),OR(Dashboard!$H$4="Semua",E2523=Dashboard!$H$4)),1,0)</f>
        <v>1</v>
      </c>
      <c r="V2523">
        <f>IF(U2523=1,IF(COUNTIFS($C$2:C2523,C2523,$U$2:U2523,1)=1,1,0),0)</f>
        <v>0</v>
      </c>
    </row>
    <row r="2524" spans="1:22" x14ac:dyDescent="0.35">
      <c r="A2524">
        <v>12523</v>
      </c>
      <c r="B2524" s="1">
        <v>47084</v>
      </c>
      <c r="C2524">
        <v>1105</v>
      </c>
      <c r="D2524" t="s">
        <v>73</v>
      </c>
      <c r="E2524" t="s">
        <v>74</v>
      </c>
      <c r="F2524">
        <v>7</v>
      </c>
      <c r="G2524" s="2">
        <v>28.41</v>
      </c>
      <c r="H2524">
        <v>0.02</v>
      </c>
      <c r="I2524" t="s">
        <v>71</v>
      </c>
      <c r="J2524">
        <v>7</v>
      </c>
      <c r="K2524">
        <v>2.5</v>
      </c>
      <c r="L2524" s="2">
        <v>194.89</v>
      </c>
      <c r="M2524">
        <v>2028</v>
      </c>
      <c r="N2524">
        <v>11</v>
      </c>
      <c r="O2524" t="s">
        <v>162</v>
      </c>
      <c r="P2524" s="2">
        <v>198.87</v>
      </c>
      <c r="Q2524" s="2">
        <v>3.98</v>
      </c>
      <c r="R2524" t="s">
        <v>75</v>
      </c>
      <c r="S2524">
        <v>1</v>
      </c>
      <c r="T2524">
        <v>0</v>
      </c>
      <c r="U2524">
        <f>IF(AND(OR(Dashboard!$D$4="Semua",D2524=Dashboard!$D$4),OR(Dashboard!$H$4="Semua",E2524=Dashboard!$H$4)),1,0)</f>
        <v>1</v>
      </c>
      <c r="V2524">
        <f>IF(U2524=1,IF(COUNTIFS($C$2:C2524,C2524,$U$2:U2524,1)=1,1,0),0)</f>
        <v>0</v>
      </c>
    </row>
    <row r="2525" spans="1:22" x14ac:dyDescent="0.35">
      <c r="A2525">
        <v>12524</v>
      </c>
      <c r="B2525" s="1">
        <v>47085</v>
      </c>
      <c r="C2525">
        <v>1886</v>
      </c>
      <c r="D2525" t="s">
        <v>80</v>
      </c>
      <c r="E2525" t="s">
        <v>70</v>
      </c>
      <c r="F2525">
        <v>7</v>
      </c>
      <c r="G2525" s="2">
        <v>519.45000000000005</v>
      </c>
      <c r="H2525">
        <v>7.0000000000000007E-2</v>
      </c>
      <c r="I2525" t="s">
        <v>71</v>
      </c>
      <c r="J2525">
        <v>8</v>
      </c>
      <c r="K2525">
        <v>4.5999999999999996</v>
      </c>
      <c r="L2525" s="2">
        <v>3381.62</v>
      </c>
      <c r="M2525">
        <v>2028</v>
      </c>
      <c r="N2525">
        <v>11</v>
      </c>
      <c r="O2525" t="s">
        <v>162</v>
      </c>
      <c r="P2525" s="2">
        <v>3636.15</v>
      </c>
      <c r="Q2525" s="2">
        <v>254.53</v>
      </c>
      <c r="R2525" t="s">
        <v>69</v>
      </c>
      <c r="S2525">
        <v>1</v>
      </c>
      <c r="T2525">
        <v>1</v>
      </c>
      <c r="U2525">
        <f>IF(AND(OR(Dashboard!$D$4="Semua",D2525=Dashboard!$D$4),OR(Dashboard!$H$4="Semua",E2525=Dashboard!$H$4)),1,0)</f>
        <v>1</v>
      </c>
      <c r="V2525">
        <f>IF(U2525=1,IF(COUNTIFS($C$2:C2525,C2525,$U$2:U2525,1)=1,1,0),0)</f>
        <v>0</v>
      </c>
    </row>
    <row r="2526" spans="1:22" x14ac:dyDescent="0.35">
      <c r="A2526">
        <v>12525</v>
      </c>
      <c r="B2526" s="1">
        <v>47086</v>
      </c>
      <c r="C2526">
        <v>1427</v>
      </c>
      <c r="D2526" t="s">
        <v>73</v>
      </c>
      <c r="E2526" t="s">
        <v>74</v>
      </c>
      <c r="F2526">
        <v>3</v>
      </c>
      <c r="G2526" s="2">
        <v>107.22</v>
      </c>
      <c r="H2526">
        <v>0.09</v>
      </c>
      <c r="I2526" t="s">
        <v>68</v>
      </c>
      <c r="J2526">
        <v>10</v>
      </c>
      <c r="K2526">
        <v>4.2</v>
      </c>
      <c r="L2526" s="2">
        <v>292.70999999999998</v>
      </c>
      <c r="M2526">
        <v>2028</v>
      </c>
      <c r="N2526">
        <v>11</v>
      </c>
      <c r="O2526" t="s">
        <v>162</v>
      </c>
      <c r="P2526" s="2">
        <v>321.66000000000003</v>
      </c>
      <c r="Q2526" s="2">
        <v>28.95</v>
      </c>
      <c r="R2526" t="s">
        <v>69</v>
      </c>
      <c r="S2526">
        <v>1</v>
      </c>
      <c r="T2526">
        <v>0</v>
      </c>
      <c r="U2526">
        <f>IF(AND(OR(Dashboard!$D$4="Semua",D2526=Dashboard!$D$4),OR(Dashboard!$H$4="Semua",E2526=Dashboard!$H$4)),1,0)</f>
        <v>1</v>
      </c>
      <c r="V2526">
        <f>IF(U2526=1,IF(COUNTIFS($C$2:C2526,C2526,$U$2:U2526,1)=1,1,0),0)</f>
        <v>0</v>
      </c>
    </row>
    <row r="2527" spans="1:22" x14ac:dyDescent="0.35">
      <c r="A2527">
        <v>12526</v>
      </c>
      <c r="B2527" s="1">
        <v>47087</v>
      </c>
      <c r="C2527">
        <v>1304</v>
      </c>
      <c r="D2527" t="s">
        <v>73</v>
      </c>
      <c r="E2527" t="s">
        <v>74</v>
      </c>
      <c r="F2527">
        <v>7</v>
      </c>
      <c r="G2527" s="2">
        <v>315.85000000000002</v>
      </c>
      <c r="H2527">
        <v>0.1</v>
      </c>
      <c r="I2527" t="s">
        <v>68</v>
      </c>
      <c r="J2527">
        <v>11</v>
      </c>
      <c r="K2527">
        <v>1.3</v>
      </c>
      <c r="L2527" s="2">
        <v>1989.86</v>
      </c>
      <c r="M2527">
        <v>2028</v>
      </c>
      <c r="N2527">
        <v>11</v>
      </c>
      <c r="O2527" t="s">
        <v>162</v>
      </c>
      <c r="P2527" s="2">
        <v>2210.9499999999998</v>
      </c>
      <c r="Q2527" s="2">
        <v>221.09</v>
      </c>
      <c r="R2527" t="s">
        <v>69</v>
      </c>
      <c r="S2527">
        <v>1</v>
      </c>
      <c r="T2527">
        <v>0</v>
      </c>
      <c r="U2527">
        <f>IF(AND(OR(Dashboard!$D$4="Semua",D2527=Dashboard!$D$4),OR(Dashboard!$H$4="Semua",E2527=Dashboard!$H$4)),1,0)</f>
        <v>1</v>
      </c>
      <c r="V2527">
        <f>IF(U2527=1,IF(COUNTIFS($C$2:C2527,C2527,$U$2:U2527,1)=1,1,0),0)</f>
        <v>0</v>
      </c>
    </row>
    <row r="2528" spans="1:22" x14ac:dyDescent="0.35">
      <c r="A2528">
        <v>12527</v>
      </c>
      <c r="B2528" s="1">
        <v>47088</v>
      </c>
      <c r="C2528">
        <v>1871</v>
      </c>
      <c r="D2528" t="s">
        <v>67</v>
      </c>
      <c r="E2528" t="s">
        <v>70</v>
      </c>
      <c r="F2528">
        <v>2</v>
      </c>
      <c r="G2528" s="2">
        <v>364.33</v>
      </c>
      <c r="H2528">
        <v>0.23</v>
      </c>
      <c r="I2528" t="s">
        <v>68</v>
      </c>
      <c r="J2528">
        <v>2</v>
      </c>
      <c r="K2528">
        <v>3.8</v>
      </c>
      <c r="L2528" s="2">
        <v>561.07000000000005</v>
      </c>
      <c r="M2528">
        <v>2028</v>
      </c>
      <c r="N2528">
        <v>12</v>
      </c>
      <c r="O2528" t="s">
        <v>163</v>
      </c>
      <c r="P2528" s="2">
        <v>728.66</v>
      </c>
      <c r="Q2528" s="2">
        <v>167.59</v>
      </c>
      <c r="R2528" t="s">
        <v>77</v>
      </c>
      <c r="S2528">
        <v>1</v>
      </c>
      <c r="T2528">
        <v>0</v>
      </c>
      <c r="U2528">
        <f>IF(AND(OR(Dashboard!$D$4="Semua",D2528=Dashboard!$D$4),OR(Dashboard!$H$4="Semua",E2528=Dashboard!$H$4)),1,0)</f>
        <v>1</v>
      </c>
      <c r="V2528">
        <f>IF(U2528=1,IF(COUNTIFS($C$2:C2528,C2528,$U$2:U2528,1)=1,1,0),0)</f>
        <v>0</v>
      </c>
    </row>
    <row r="2529" spans="1:22" x14ac:dyDescent="0.35">
      <c r="A2529">
        <v>12528</v>
      </c>
      <c r="B2529" s="1">
        <v>47089</v>
      </c>
      <c r="C2529">
        <v>1970</v>
      </c>
      <c r="D2529" t="s">
        <v>80</v>
      </c>
      <c r="E2529" t="s">
        <v>63</v>
      </c>
      <c r="F2529">
        <v>2</v>
      </c>
      <c r="G2529" s="2">
        <v>282.66000000000003</v>
      </c>
      <c r="H2529">
        <v>0.08</v>
      </c>
      <c r="I2529" t="s">
        <v>64</v>
      </c>
      <c r="J2529">
        <v>6</v>
      </c>
      <c r="K2529">
        <v>3.2</v>
      </c>
      <c r="L2529" s="2">
        <v>520.09</v>
      </c>
      <c r="M2529">
        <v>2028</v>
      </c>
      <c r="N2529">
        <v>12</v>
      </c>
      <c r="O2529" t="s">
        <v>163</v>
      </c>
      <c r="P2529" s="2">
        <v>565.32000000000005</v>
      </c>
      <c r="Q2529" s="2">
        <v>45.23</v>
      </c>
      <c r="R2529" t="s">
        <v>69</v>
      </c>
      <c r="S2529">
        <v>1</v>
      </c>
      <c r="T2529">
        <v>0</v>
      </c>
      <c r="U2529">
        <f>IF(AND(OR(Dashboard!$D$4="Semua",D2529=Dashboard!$D$4),OR(Dashboard!$H$4="Semua",E2529=Dashboard!$H$4)),1,0)</f>
        <v>1</v>
      </c>
      <c r="V2529">
        <f>IF(U2529=1,IF(COUNTIFS($C$2:C2529,C2529,$U$2:U2529,1)=1,1,0),0)</f>
        <v>0</v>
      </c>
    </row>
    <row r="2530" spans="1:22" x14ac:dyDescent="0.35">
      <c r="A2530">
        <v>12529</v>
      </c>
      <c r="B2530" s="1">
        <v>47090</v>
      </c>
      <c r="C2530">
        <v>1316</v>
      </c>
      <c r="D2530" t="s">
        <v>73</v>
      </c>
      <c r="E2530" t="s">
        <v>63</v>
      </c>
      <c r="F2530">
        <v>6</v>
      </c>
      <c r="G2530" s="2">
        <v>214.35</v>
      </c>
      <c r="H2530">
        <v>0.24</v>
      </c>
      <c r="I2530" t="s">
        <v>68</v>
      </c>
      <c r="J2530">
        <v>4</v>
      </c>
      <c r="K2530">
        <v>1.4</v>
      </c>
      <c r="L2530" s="2">
        <v>977.44</v>
      </c>
      <c r="M2530">
        <v>2028</v>
      </c>
      <c r="N2530">
        <v>12</v>
      </c>
      <c r="O2530" t="s">
        <v>163</v>
      </c>
      <c r="P2530" s="2">
        <v>1286.0999999999999</v>
      </c>
      <c r="Q2530" s="2">
        <v>308.66000000000003</v>
      </c>
      <c r="R2530" t="s">
        <v>77</v>
      </c>
      <c r="S2530">
        <v>1</v>
      </c>
      <c r="T2530">
        <v>0</v>
      </c>
      <c r="U2530">
        <f>IF(AND(OR(Dashboard!$D$4="Semua",D2530=Dashboard!$D$4),OR(Dashboard!$H$4="Semua",E2530=Dashboard!$H$4)),1,0)</f>
        <v>1</v>
      </c>
      <c r="V2530">
        <f>IF(U2530=1,IF(COUNTIFS($C$2:C2530,C2530,$U$2:U2530,1)=1,1,0),0)</f>
        <v>1</v>
      </c>
    </row>
    <row r="2531" spans="1:22" x14ac:dyDescent="0.35">
      <c r="A2531">
        <v>12530</v>
      </c>
      <c r="B2531" s="1">
        <v>47091</v>
      </c>
      <c r="C2531">
        <v>1962</v>
      </c>
      <c r="D2531" t="s">
        <v>67</v>
      </c>
      <c r="E2531" t="s">
        <v>63</v>
      </c>
      <c r="F2531">
        <v>7</v>
      </c>
      <c r="G2531" s="2">
        <v>288.67</v>
      </c>
      <c r="H2531">
        <v>0.03</v>
      </c>
      <c r="I2531" t="s">
        <v>64</v>
      </c>
      <c r="J2531">
        <v>5</v>
      </c>
      <c r="K2531">
        <v>3.3</v>
      </c>
      <c r="L2531" s="2">
        <v>1960.07</v>
      </c>
      <c r="M2531">
        <v>2028</v>
      </c>
      <c r="N2531">
        <v>12</v>
      </c>
      <c r="O2531" t="s">
        <v>163</v>
      </c>
      <c r="P2531" s="2">
        <v>2020.69</v>
      </c>
      <c r="Q2531" s="2">
        <v>60.62</v>
      </c>
      <c r="R2531" t="s">
        <v>75</v>
      </c>
      <c r="S2531">
        <v>1</v>
      </c>
      <c r="T2531">
        <v>0</v>
      </c>
      <c r="U2531">
        <f>IF(AND(OR(Dashboard!$D$4="Semua",D2531=Dashboard!$D$4),OR(Dashboard!$H$4="Semua",E2531=Dashboard!$H$4)),1,0)</f>
        <v>1</v>
      </c>
      <c r="V2531">
        <f>IF(U2531=1,IF(COUNTIFS($C$2:C2531,C2531,$U$2:U2531,1)=1,1,0),0)</f>
        <v>0</v>
      </c>
    </row>
    <row r="2532" spans="1:22" x14ac:dyDescent="0.35">
      <c r="A2532">
        <v>12531</v>
      </c>
      <c r="B2532" s="1">
        <v>47092</v>
      </c>
      <c r="C2532">
        <v>1634</v>
      </c>
      <c r="D2532" t="s">
        <v>73</v>
      </c>
      <c r="E2532" t="s">
        <v>70</v>
      </c>
      <c r="F2532">
        <v>3</v>
      </c>
      <c r="G2532" s="2">
        <v>197.18</v>
      </c>
      <c r="H2532">
        <v>0.05</v>
      </c>
      <c r="I2532" t="s">
        <v>71</v>
      </c>
      <c r="J2532">
        <v>1</v>
      </c>
      <c r="K2532">
        <v>1.8</v>
      </c>
      <c r="L2532" s="2">
        <v>561.96</v>
      </c>
      <c r="M2532">
        <v>2028</v>
      </c>
      <c r="N2532">
        <v>12</v>
      </c>
      <c r="O2532" t="s">
        <v>163</v>
      </c>
      <c r="P2532" s="2">
        <v>591.54</v>
      </c>
      <c r="Q2532" s="2">
        <v>29.58</v>
      </c>
      <c r="R2532" t="s">
        <v>75</v>
      </c>
      <c r="S2532">
        <v>1</v>
      </c>
      <c r="T2532">
        <v>0</v>
      </c>
      <c r="U2532">
        <f>IF(AND(OR(Dashboard!$D$4="Semua",D2532=Dashboard!$D$4),OR(Dashboard!$H$4="Semua",E2532=Dashboard!$H$4)),1,0)</f>
        <v>1</v>
      </c>
      <c r="V2532">
        <f>IF(U2532=1,IF(COUNTIFS($C$2:C2532,C2532,$U$2:U2532,1)=1,1,0),0)</f>
        <v>0</v>
      </c>
    </row>
    <row r="2533" spans="1:22" x14ac:dyDescent="0.35">
      <c r="A2533">
        <v>12532</v>
      </c>
      <c r="B2533" s="1">
        <v>47093</v>
      </c>
      <c r="C2533">
        <v>1901</v>
      </c>
      <c r="D2533" t="s">
        <v>67</v>
      </c>
      <c r="E2533" t="s">
        <v>78</v>
      </c>
      <c r="F2533">
        <v>5</v>
      </c>
      <c r="G2533" s="2">
        <v>271.3</v>
      </c>
      <c r="H2533">
        <v>0.18</v>
      </c>
      <c r="I2533" t="s">
        <v>68</v>
      </c>
      <c r="J2533">
        <v>6</v>
      </c>
      <c r="K2533">
        <v>3.8</v>
      </c>
      <c r="L2533" s="2">
        <v>1112.33</v>
      </c>
      <c r="M2533">
        <v>2028</v>
      </c>
      <c r="N2533">
        <v>12</v>
      </c>
      <c r="O2533" t="s">
        <v>163</v>
      </c>
      <c r="P2533" s="2">
        <v>1356.5</v>
      </c>
      <c r="Q2533" s="2">
        <v>244.17</v>
      </c>
      <c r="R2533" t="s">
        <v>76</v>
      </c>
      <c r="S2533">
        <v>1</v>
      </c>
      <c r="T2533">
        <v>0</v>
      </c>
      <c r="U2533">
        <f>IF(AND(OR(Dashboard!$D$4="Semua",D2533=Dashboard!$D$4),OR(Dashboard!$H$4="Semua",E2533=Dashboard!$H$4)),1,0)</f>
        <v>1</v>
      </c>
      <c r="V2533">
        <f>IF(U2533=1,IF(COUNTIFS($C$2:C2533,C2533,$U$2:U2533,1)=1,1,0),0)</f>
        <v>0</v>
      </c>
    </row>
    <row r="2534" spans="1:22" x14ac:dyDescent="0.35">
      <c r="A2534">
        <v>12533</v>
      </c>
      <c r="B2534" s="1">
        <v>47094</v>
      </c>
      <c r="C2534">
        <v>1008</v>
      </c>
      <c r="D2534" t="s">
        <v>67</v>
      </c>
      <c r="E2534" t="s">
        <v>70</v>
      </c>
      <c r="F2534">
        <v>4</v>
      </c>
      <c r="G2534" s="2">
        <v>224.96</v>
      </c>
      <c r="H2534">
        <v>0.32</v>
      </c>
      <c r="I2534" t="s">
        <v>64</v>
      </c>
      <c r="J2534">
        <v>11</v>
      </c>
      <c r="K2534">
        <v>2.1</v>
      </c>
      <c r="L2534" s="2">
        <v>611.89</v>
      </c>
      <c r="M2534">
        <v>2028</v>
      </c>
      <c r="N2534">
        <v>12</v>
      </c>
      <c r="O2534" t="s">
        <v>163</v>
      </c>
      <c r="P2534" s="2">
        <v>899.84</v>
      </c>
      <c r="Q2534" s="2">
        <v>287.95</v>
      </c>
      <c r="R2534" t="s">
        <v>72</v>
      </c>
      <c r="S2534">
        <v>1</v>
      </c>
      <c r="T2534">
        <v>0</v>
      </c>
      <c r="U2534">
        <f>IF(AND(OR(Dashboard!$D$4="Semua",D2534=Dashboard!$D$4),OR(Dashboard!$H$4="Semua",E2534=Dashboard!$H$4)),1,0)</f>
        <v>1</v>
      </c>
      <c r="V2534">
        <f>IF(U2534=1,IF(COUNTIFS($C$2:C2534,C2534,$U$2:U2534,1)=1,1,0),0)</f>
        <v>0</v>
      </c>
    </row>
    <row r="2535" spans="1:22" x14ac:dyDescent="0.35">
      <c r="A2535">
        <v>12534</v>
      </c>
      <c r="B2535" s="1">
        <v>47095</v>
      </c>
      <c r="C2535">
        <v>1773</v>
      </c>
      <c r="D2535" t="s">
        <v>67</v>
      </c>
      <c r="E2535" t="s">
        <v>74</v>
      </c>
      <c r="F2535">
        <v>6</v>
      </c>
      <c r="G2535" s="2">
        <v>346.23</v>
      </c>
      <c r="H2535">
        <v>0.3</v>
      </c>
      <c r="I2535" t="s">
        <v>71</v>
      </c>
      <c r="J2535">
        <v>8</v>
      </c>
      <c r="K2535">
        <v>1.6</v>
      </c>
      <c r="L2535" s="2">
        <v>1454.17</v>
      </c>
      <c r="M2535">
        <v>2028</v>
      </c>
      <c r="N2535">
        <v>12</v>
      </c>
      <c r="O2535" t="s">
        <v>163</v>
      </c>
      <c r="P2535" s="2">
        <v>2077.38</v>
      </c>
      <c r="Q2535" s="2">
        <v>623.21</v>
      </c>
      <c r="R2535" t="s">
        <v>66</v>
      </c>
      <c r="S2535">
        <v>1</v>
      </c>
      <c r="T2535">
        <v>0</v>
      </c>
      <c r="U2535">
        <f>IF(AND(OR(Dashboard!$D$4="Semua",D2535=Dashboard!$D$4),OR(Dashboard!$H$4="Semua",E2535=Dashboard!$H$4)),1,0)</f>
        <v>1</v>
      </c>
      <c r="V2535">
        <f>IF(U2535=1,IF(COUNTIFS($C$2:C2535,C2535,$U$2:U2535,1)=1,1,0),0)</f>
        <v>0</v>
      </c>
    </row>
    <row r="2536" spans="1:22" x14ac:dyDescent="0.35">
      <c r="A2536">
        <v>12535</v>
      </c>
      <c r="B2536" s="1">
        <v>47096</v>
      </c>
      <c r="C2536">
        <v>1072</v>
      </c>
      <c r="D2536" t="s">
        <v>73</v>
      </c>
      <c r="E2536" t="s">
        <v>70</v>
      </c>
      <c r="F2536">
        <v>4</v>
      </c>
      <c r="G2536" s="2">
        <v>154.19</v>
      </c>
      <c r="H2536">
        <v>0.34</v>
      </c>
      <c r="I2536" t="s">
        <v>71</v>
      </c>
      <c r="J2536">
        <v>2</v>
      </c>
      <c r="K2536">
        <v>1.3</v>
      </c>
      <c r="L2536" s="2">
        <v>407.06</v>
      </c>
      <c r="M2536">
        <v>2028</v>
      </c>
      <c r="N2536">
        <v>12</v>
      </c>
      <c r="O2536" t="s">
        <v>163</v>
      </c>
      <c r="P2536" s="2">
        <v>616.76</v>
      </c>
      <c r="Q2536" s="2">
        <v>209.7</v>
      </c>
      <c r="R2536" t="s">
        <v>72</v>
      </c>
      <c r="S2536">
        <v>1</v>
      </c>
      <c r="T2536">
        <v>0</v>
      </c>
      <c r="U2536">
        <f>IF(AND(OR(Dashboard!$D$4="Semua",D2536=Dashboard!$D$4),OR(Dashboard!$H$4="Semua",E2536=Dashboard!$H$4)),1,0)</f>
        <v>1</v>
      </c>
      <c r="V2536">
        <f>IF(U2536=1,IF(COUNTIFS($C$2:C2536,C2536,$U$2:U2536,1)=1,1,0),0)</f>
        <v>0</v>
      </c>
    </row>
    <row r="2537" spans="1:22" x14ac:dyDescent="0.35">
      <c r="A2537">
        <v>12536</v>
      </c>
      <c r="B2537" s="1">
        <v>47097</v>
      </c>
      <c r="C2537">
        <v>1358</v>
      </c>
      <c r="D2537" t="s">
        <v>73</v>
      </c>
      <c r="E2537" t="s">
        <v>78</v>
      </c>
      <c r="F2537">
        <v>3</v>
      </c>
      <c r="G2537" s="2">
        <v>593.36</v>
      </c>
      <c r="H2537">
        <v>0.23</v>
      </c>
      <c r="I2537" t="s">
        <v>68</v>
      </c>
      <c r="J2537">
        <v>1</v>
      </c>
      <c r="K2537">
        <v>3</v>
      </c>
      <c r="L2537" s="2">
        <v>1370.66</v>
      </c>
      <c r="M2537">
        <v>2028</v>
      </c>
      <c r="N2537">
        <v>12</v>
      </c>
      <c r="O2537" t="s">
        <v>163</v>
      </c>
      <c r="P2537" s="2">
        <v>1780.08</v>
      </c>
      <c r="Q2537" s="2">
        <v>409.42</v>
      </c>
      <c r="R2537" t="s">
        <v>77</v>
      </c>
      <c r="S2537">
        <v>1</v>
      </c>
      <c r="T2537">
        <v>0</v>
      </c>
      <c r="U2537">
        <f>IF(AND(OR(Dashboard!$D$4="Semua",D2537=Dashboard!$D$4),OR(Dashboard!$H$4="Semua",E2537=Dashboard!$H$4)),1,0)</f>
        <v>1</v>
      </c>
      <c r="V2537">
        <f>IF(U2537=1,IF(COUNTIFS($C$2:C2537,C2537,$U$2:U2537,1)=1,1,0),0)</f>
        <v>0</v>
      </c>
    </row>
    <row r="2538" spans="1:22" x14ac:dyDescent="0.35">
      <c r="A2538">
        <v>12537</v>
      </c>
      <c r="B2538" s="1">
        <v>47098</v>
      </c>
      <c r="C2538">
        <v>1222</v>
      </c>
      <c r="D2538" t="s">
        <v>73</v>
      </c>
      <c r="E2538" t="s">
        <v>78</v>
      </c>
      <c r="F2538">
        <v>7</v>
      </c>
      <c r="G2538" s="2">
        <v>308.01</v>
      </c>
      <c r="H2538">
        <v>0.24</v>
      </c>
      <c r="I2538" t="s">
        <v>71</v>
      </c>
      <c r="J2538">
        <v>9</v>
      </c>
      <c r="K2538">
        <v>1.8</v>
      </c>
      <c r="L2538" s="2">
        <v>1638.61</v>
      </c>
      <c r="M2538">
        <v>2028</v>
      </c>
      <c r="N2538">
        <v>12</v>
      </c>
      <c r="O2538" t="s">
        <v>163</v>
      </c>
      <c r="P2538" s="2">
        <v>2156.0700000000002</v>
      </c>
      <c r="Q2538" s="2">
        <v>517.46</v>
      </c>
      <c r="R2538" t="s">
        <v>77</v>
      </c>
      <c r="S2538">
        <v>1</v>
      </c>
      <c r="T2538">
        <v>0</v>
      </c>
      <c r="U2538">
        <f>IF(AND(OR(Dashboard!$D$4="Semua",D2538=Dashboard!$D$4),OR(Dashboard!$H$4="Semua",E2538=Dashboard!$H$4)),1,0)</f>
        <v>1</v>
      </c>
      <c r="V2538">
        <f>IF(U2538=1,IF(COUNTIFS($C$2:C2538,C2538,$U$2:U2538,1)=1,1,0),0)</f>
        <v>0</v>
      </c>
    </row>
    <row r="2539" spans="1:22" x14ac:dyDescent="0.35">
      <c r="A2539">
        <v>12538</v>
      </c>
      <c r="B2539" s="1">
        <v>47099</v>
      </c>
      <c r="C2539">
        <v>1415</v>
      </c>
      <c r="D2539" t="s">
        <v>67</v>
      </c>
      <c r="E2539" t="s">
        <v>74</v>
      </c>
      <c r="F2539">
        <v>7</v>
      </c>
      <c r="G2539" s="2">
        <v>128.58000000000001</v>
      </c>
      <c r="H2539">
        <v>0.22</v>
      </c>
      <c r="I2539" t="s">
        <v>68</v>
      </c>
      <c r="J2539">
        <v>2</v>
      </c>
      <c r="K2539">
        <v>4.4000000000000004</v>
      </c>
      <c r="L2539" s="2">
        <v>702.05</v>
      </c>
      <c r="M2539">
        <v>2028</v>
      </c>
      <c r="N2539">
        <v>12</v>
      </c>
      <c r="O2539" t="s">
        <v>163</v>
      </c>
      <c r="P2539" s="2">
        <v>900.06</v>
      </c>
      <c r="Q2539" s="2">
        <v>198.01</v>
      </c>
      <c r="R2539" t="s">
        <v>77</v>
      </c>
      <c r="S2539">
        <v>1</v>
      </c>
      <c r="T2539">
        <v>0</v>
      </c>
      <c r="U2539">
        <f>IF(AND(OR(Dashboard!$D$4="Semua",D2539=Dashboard!$D$4),OR(Dashboard!$H$4="Semua",E2539=Dashboard!$H$4)),1,0)</f>
        <v>1</v>
      </c>
      <c r="V2539">
        <f>IF(U2539=1,IF(COUNTIFS($C$2:C2539,C2539,$U$2:U2539,1)=1,1,0),0)</f>
        <v>0</v>
      </c>
    </row>
    <row r="2540" spans="1:22" x14ac:dyDescent="0.35">
      <c r="A2540">
        <v>12539</v>
      </c>
      <c r="B2540" s="1">
        <v>47100</v>
      </c>
      <c r="C2540">
        <v>1552</v>
      </c>
      <c r="D2540" t="s">
        <v>73</v>
      </c>
      <c r="E2540" t="s">
        <v>63</v>
      </c>
      <c r="F2540">
        <v>4</v>
      </c>
      <c r="G2540" s="2">
        <v>294.08</v>
      </c>
      <c r="H2540">
        <v>0.22</v>
      </c>
      <c r="I2540" t="s">
        <v>68</v>
      </c>
      <c r="J2540">
        <v>8</v>
      </c>
      <c r="K2540">
        <v>1</v>
      </c>
      <c r="L2540" s="2">
        <v>917.53</v>
      </c>
      <c r="M2540">
        <v>2028</v>
      </c>
      <c r="N2540">
        <v>12</v>
      </c>
      <c r="O2540" t="s">
        <v>163</v>
      </c>
      <c r="P2540" s="2">
        <v>1176.32</v>
      </c>
      <c r="Q2540" s="2">
        <v>258.79000000000002</v>
      </c>
      <c r="R2540" t="s">
        <v>77</v>
      </c>
      <c r="S2540">
        <v>1</v>
      </c>
      <c r="T2540">
        <v>0</v>
      </c>
      <c r="U2540">
        <f>IF(AND(OR(Dashboard!$D$4="Semua",D2540=Dashboard!$D$4),OR(Dashboard!$H$4="Semua",E2540=Dashboard!$H$4)),1,0)</f>
        <v>1</v>
      </c>
      <c r="V2540">
        <f>IF(U2540=1,IF(COUNTIFS($C$2:C2540,C2540,$U$2:U2540,1)=1,1,0),0)</f>
        <v>0</v>
      </c>
    </row>
    <row r="2541" spans="1:22" x14ac:dyDescent="0.35">
      <c r="A2541">
        <v>12540</v>
      </c>
      <c r="B2541" s="1">
        <v>47101</v>
      </c>
      <c r="C2541">
        <v>1369</v>
      </c>
      <c r="D2541" t="s">
        <v>80</v>
      </c>
      <c r="E2541" t="s">
        <v>78</v>
      </c>
      <c r="F2541">
        <v>5</v>
      </c>
      <c r="G2541" s="2">
        <v>521.85</v>
      </c>
      <c r="H2541">
        <v>0.05</v>
      </c>
      <c r="I2541" t="s">
        <v>64</v>
      </c>
      <c r="J2541">
        <v>5</v>
      </c>
      <c r="K2541">
        <v>4.4000000000000004</v>
      </c>
      <c r="L2541" s="2">
        <v>2478.79</v>
      </c>
      <c r="M2541">
        <v>2028</v>
      </c>
      <c r="N2541">
        <v>12</v>
      </c>
      <c r="O2541" t="s">
        <v>163</v>
      </c>
      <c r="P2541" s="2">
        <v>2609.25</v>
      </c>
      <c r="Q2541" s="2">
        <v>130.46</v>
      </c>
      <c r="R2541" t="s">
        <v>75</v>
      </c>
      <c r="S2541">
        <v>1</v>
      </c>
      <c r="T2541">
        <v>0</v>
      </c>
      <c r="U2541">
        <f>IF(AND(OR(Dashboard!$D$4="Semua",D2541=Dashboard!$D$4),OR(Dashboard!$H$4="Semua",E2541=Dashboard!$H$4)),1,0)</f>
        <v>1</v>
      </c>
      <c r="V2541">
        <f>IF(U2541=1,IF(COUNTIFS($C$2:C2541,C2541,$U$2:U2541,1)=1,1,0),0)</f>
        <v>0</v>
      </c>
    </row>
    <row r="2542" spans="1:22" x14ac:dyDescent="0.35">
      <c r="A2542">
        <v>12541</v>
      </c>
      <c r="B2542" s="1">
        <v>47102</v>
      </c>
      <c r="C2542">
        <v>1715</v>
      </c>
      <c r="D2542" t="s">
        <v>62</v>
      </c>
      <c r="E2542" t="s">
        <v>78</v>
      </c>
      <c r="F2542">
        <v>7</v>
      </c>
      <c r="G2542" s="2">
        <v>27.76</v>
      </c>
      <c r="H2542">
        <v>0.19</v>
      </c>
      <c r="I2542" t="s">
        <v>64</v>
      </c>
      <c r="J2542">
        <v>2</v>
      </c>
      <c r="K2542">
        <v>3.1</v>
      </c>
      <c r="L2542" s="2">
        <v>157.4</v>
      </c>
      <c r="M2542">
        <v>2028</v>
      </c>
      <c r="N2542">
        <v>12</v>
      </c>
      <c r="O2542" t="s">
        <v>163</v>
      </c>
      <c r="P2542" s="2">
        <v>194.32</v>
      </c>
      <c r="Q2542" s="2">
        <v>36.92</v>
      </c>
      <c r="R2542" t="s">
        <v>76</v>
      </c>
      <c r="S2542">
        <v>1</v>
      </c>
      <c r="T2542">
        <v>0</v>
      </c>
      <c r="U2542">
        <f>IF(AND(OR(Dashboard!$D$4="Semua",D2542=Dashboard!$D$4),OR(Dashboard!$H$4="Semua",E2542=Dashboard!$H$4)),1,0)</f>
        <v>1</v>
      </c>
      <c r="V2542">
        <f>IF(U2542=1,IF(COUNTIFS($C$2:C2542,C2542,$U$2:U2542,1)=1,1,0),0)</f>
        <v>0</v>
      </c>
    </row>
    <row r="2543" spans="1:22" x14ac:dyDescent="0.35">
      <c r="A2543">
        <v>12542</v>
      </c>
      <c r="B2543" s="1">
        <v>47103</v>
      </c>
      <c r="C2543">
        <v>1263</v>
      </c>
      <c r="D2543" t="s">
        <v>62</v>
      </c>
      <c r="E2543" t="s">
        <v>78</v>
      </c>
      <c r="F2543">
        <v>5</v>
      </c>
      <c r="G2543" s="2">
        <v>412.54</v>
      </c>
      <c r="H2543">
        <v>0.14000000000000001</v>
      </c>
      <c r="I2543" t="s">
        <v>68</v>
      </c>
      <c r="J2543">
        <v>5</v>
      </c>
      <c r="K2543">
        <v>4.7</v>
      </c>
      <c r="L2543" s="2">
        <v>1773.92</v>
      </c>
      <c r="M2543">
        <v>2028</v>
      </c>
      <c r="N2543">
        <v>12</v>
      </c>
      <c r="O2543" t="s">
        <v>163</v>
      </c>
      <c r="P2543" s="2">
        <v>2062.6999999999998</v>
      </c>
      <c r="Q2543" s="2">
        <v>288.77999999999997</v>
      </c>
      <c r="R2543" t="s">
        <v>79</v>
      </c>
      <c r="S2543">
        <v>1</v>
      </c>
      <c r="T2543">
        <v>0</v>
      </c>
      <c r="U2543">
        <f>IF(AND(OR(Dashboard!$D$4="Semua",D2543=Dashboard!$D$4),OR(Dashboard!$H$4="Semua",E2543=Dashboard!$H$4)),1,0)</f>
        <v>1</v>
      </c>
      <c r="V2543">
        <f>IF(U2543=1,IF(COUNTIFS($C$2:C2543,C2543,$U$2:U2543,1)=1,1,0),0)</f>
        <v>0</v>
      </c>
    </row>
    <row r="2544" spans="1:22" x14ac:dyDescent="0.35">
      <c r="A2544">
        <v>12543</v>
      </c>
      <c r="B2544" s="1">
        <v>47104</v>
      </c>
      <c r="C2544">
        <v>1839</v>
      </c>
      <c r="D2544" t="s">
        <v>62</v>
      </c>
      <c r="E2544" t="s">
        <v>74</v>
      </c>
      <c r="F2544">
        <v>1</v>
      </c>
      <c r="G2544" s="2">
        <v>335.56</v>
      </c>
      <c r="H2544">
        <v>0.15</v>
      </c>
      <c r="I2544" t="s">
        <v>71</v>
      </c>
      <c r="J2544">
        <v>9</v>
      </c>
      <c r="K2544">
        <v>1.8</v>
      </c>
      <c r="L2544" s="2">
        <v>285.23</v>
      </c>
      <c r="M2544">
        <v>2028</v>
      </c>
      <c r="N2544">
        <v>12</v>
      </c>
      <c r="O2544" t="s">
        <v>163</v>
      </c>
      <c r="P2544" s="2">
        <v>335.56</v>
      </c>
      <c r="Q2544" s="2">
        <v>50.33</v>
      </c>
      <c r="R2544" t="s">
        <v>79</v>
      </c>
      <c r="S2544">
        <v>1</v>
      </c>
      <c r="T2544">
        <v>0</v>
      </c>
      <c r="U2544">
        <f>IF(AND(OR(Dashboard!$D$4="Semua",D2544=Dashboard!$D$4),OR(Dashboard!$H$4="Semua",E2544=Dashboard!$H$4)),1,0)</f>
        <v>1</v>
      </c>
      <c r="V2544">
        <f>IF(U2544=1,IF(COUNTIFS($C$2:C2544,C2544,$U$2:U2544,1)=1,1,0),0)</f>
        <v>0</v>
      </c>
    </row>
    <row r="2545" spans="1:22" x14ac:dyDescent="0.35">
      <c r="A2545">
        <v>12544</v>
      </c>
      <c r="B2545" s="1">
        <v>47105</v>
      </c>
      <c r="C2545">
        <v>1689</v>
      </c>
      <c r="D2545" t="s">
        <v>67</v>
      </c>
      <c r="E2545" t="s">
        <v>78</v>
      </c>
      <c r="F2545">
        <v>2</v>
      </c>
      <c r="G2545" s="2">
        <v>114.19</v>
      </c>
      <c r="H2545">
        <v>0.18</v>
      </c>
      <c r="I2545" t="s">
        <v>71</v>
      </c>
      <c r="J2545">
        <v>6</v>
      </c>
      <c r="K2545">
        <v>1.4</v>
      </c>
      <c r="L2545" s="2">
        <v>187.27</v>
      </c>
      <c r="M2545">
        <v>2028</v>
      </c>
      <c r="N2545">
        <v>12</v>
      </c>
      <c r="O2545" t="s">
        <v>163</v>
      </c>
      <c r="P2545" s="2">
        <v>228.38</v>
      </c>
      <c r="Q2545" s="2">
        <v>41.11</v>
      </c>
      <c r="R2545" t="s">
        <v>76</v>
      </c>
      <c r="S2545">
        <v>1</v>
      </c>
      <c r="T2545">
        <v>0</v>
      </c>
      <c r="U2545">
        <f>IF(AND(OR(Dashboard!$D$4="Semua",D2545=Dashboard!$D$4),OR(Dashboard!$H$4="Semua",E2545=Dashboard!$H$4)),1,0)</f>
        <v>1</v>
      </c>
      <c r="V2545">
        <f>IF(U2545=1,IF(COUNTIFS($C$2:C2545,C2545,$U$2:U2545,1)=1,1,0),0)</f>
        <v>0</v>
      </c>
    </row>
    <row r="2546" spans="1:22" x14ac:dyDescent="0.35">
      <c r="A2546">
        <v>12545</v>
      </c>
      <c r="B2546" s="1">
        <v>47106</v>
      </c>
      <c r="C2546">
        <v>1859</v>
      </c>
      <c r="D2546" t="s">
        <v>80</v>
      </c>
      <c r="E2546" t="s">
        <v>63</v>
      </c>
      <c r="F2546">
        <v>4</v>
      </c>
      <c r="G2546" s="2">
        <v>493.22</v>
      </c>
      <c r="H2546">
        <v>0.04</v>
      </c>
      <c r="I2546" t="s">
        <v>68</v>
      </c>
      <c r="J2546">
        <v>3</v>
      </c>
      <c r="K2546">
        <v>3.5</v>
      </c>
      <c r="L2546" s="2">
        <v>1893.96</v>
      </c>
      <c r="M2546">
        <v>2028</v>
      </c>
      <c r="N2546">
        <v>12</v>
      </c>
      <c r="O2546" t="s">
        <v>163</v>
      </c>
      <c r="P2546" s="2">
        <v>1972.88</v>
      </c>
      <c r="Q2546" s="2">
        <v>78.92</v>
      </c>
      <c r="R2546" t="s">
        <v>75</v>
      </c>
      <c r="S2546">
        <v>1</v>
      </c>
      <c r="T2546">
        <v>0</v>
      </c>
      <c r="U2546">
        <f>IF(AND(OR(Dashboard!$D$4="Semua",D2546=Dashboard!$D$4),OR(Dashboard!$H$4="Semua",E2546=Dashboard!$H$4)),1,0)</f>
        <v>1</v>
      </c>
      <c r="V2546">
        <f>IF(U2546=1,IF(COUNTIFS($C$2:C2546,C2546,$U$2:U2546,1)=1,1,0),0)</f>
        <v>1</v>
      </c>
    </row>
    <row r="2547" spans="1:22" x14ac:dyDescent="0.35">
      <c r="A2547">
        <v>12546</v>
      </c>
      <c r="B2547" s="1">
        <v>47107</v>
      </c>
      <c r="C2547">
        <v>1317</v>
      </c>
      <c r="D2547" t="s">
        <v>73</v>
      </c>
      <c r="E2547" t="s">
        <v>74</v>
      </c>
      <c r="F2547">
        <v>7</v>
      </c>
      <c r="G2547" s="2">
        <v>230.8</v>
      </c>
      <c r="H2547">
        <v>0.13</v>
      </c>
      <c r="I2547" t="s">
        <v>68</v>
      </c>
      <c r="J2547">
        <v>8</v>
      </c>
      <c r="K2547">
        <v>3.8</v>
      </c>
      <c r="L2547" s="2">
        <v>1405.57</v>
      </c>
      <c r="M2547">
        <v>2028</v>
      </c>
      <c r="N2547">
        <v>12</v>
      </c>
      <c r="O2547" t="s">
        <v>163</v>
      </c>
      <c r="P2547" s="2">
        <v>1615.6</v>
      </c>
      <c r="Q2547" s="2">
        <v>210.03</v>
      </c>
      <c r="R2547" t="s">
        <v>79</v>
      </c>
      <c r="S2547">
        <v>1</v>
      </c>
      <c r="T2547">
        <v>0</v>
      </c>
      <c r="U2547">
        <f>IF(AND(OR(Dashboard!$D$4="Semua",D2547=Dashboard!$D$4),OR(Dashboard!$H$4="Semua",E2547=Dashboard!$H$4)),1,0)</f>
        <v>1</v>
      </c>
      <c r="V2547">
        <f>IF(U2547=1,IF(COUNTIFS($C$2:C2547,C2547,$U$2:U2547,1)=1,1,0),0)</f>
        <v>0</v>
      </c>
    </row>
    <row r="2548" spans="1:22" x14ac:dyDescent="0.35">
      <c r="A2548">
        <v>12547</v>
      </c>
      <c r="B2548" s="1">
        <v>47108</v>
      </c>
      <c r="C2548">
        <v>1083</v>
      </c>
      <c r="D2548" t="s">
        <v>67</v>
      </c>
      <c r="E2548" t="s">
        <v>63</v>
      </c>
      <c r="F2548">
        <v>5</v>
      </c>
      <c r="G2548" s="2">
        <v>186.87</v>
      </c>
      <c r="H2548">
        <v>0.02</v>
      </c>
      <c r="I2548" t="s">
        <v>68</v>
      </c>
      <c r="J2548">
        <v>1</v>
      </c>
      <c r="K2548">
        <v>2.5</v>
      </c>
      <c r="L2548" s="2">
        <v>915.66</v>
      </c>
      <c r="M2548">
        <v>2028</v>
      </c>
      <c r="N2548">
        <v>12</v>
      </c>
      <c r="O2548" t="s">
        <v>163</v>
      </c>
      <c r="P2548" s="2">
        <v>934.35</v>
      </c>
      <c r="Q2548" s="2">
        <v>18.690000000000001</v>
      </c>
      <c r="R2548" t="s">
        <v>75</v>
      </c>
      <c r="S2548">
        <v>1</v>
      </c>
      <c r="T2548">
        <v>0</v>
      </c>
      <c r="U2548">
        <f>IF(AND(OR(Dashboard!$D$4="Semua",D2548=Dashboard!$D$4),OR(Dashboard!$H$4="Semua",E2548=Dashboard!$H$4)),1,0)</f>
        <v>1</v>
      </c>
      <c r="V2548">
        <f>IF(U2548=1,IF(COUNTIFS($C$2:C2548,C2548,$U$2:U2548,1)=1,1,0),0)</f>
        <v>0</v>
      </c>
    </row>
    <row r="2549" spans="1:22" x14ac:dyDescent="0.35">
      <c r="A2549">
        <v>12548</v>
      </c>
      <c r="B2549" s="1">
        <v>47109</v>
      </c>
      <c r="C2549">
        <v>1317</v>
      </c>
      <c r="D2549" t="s">
        <v>67</v>
      </c>
      <c r="E2549" t="s">
        <v>78</v>
      </c>
      <c r="F2549">
        <v>7</v>
      </c>
      <c r="G2549" s="2">
        <v>499.45</v>
      </c>
      <c r="H2549">
        <v>0.34</v>
      </c>
      <c r="I2549" t="s">
        <v>71</v>
      </c>
      <c r="J2549">
        <v>9</v>
      </c>
      <c r="K2549">
        <v>1.1000000000000001</v>
      </c>
      <c r="L2549" s="2">
        <v>2307.46</v>
      </c>
      <c r="M2549">
        <v>2028</v>
      </c>
      <c r="N2549">
        <v>12</v>
      </c>
      <c r="O2549" t="s">
        <v>163</v>
      </c>
      <c r="P2549" s="2">
        <v>3496.15</v>
      </c>
      <c r="Q2549" s="2">
        <v>1188.69</v>
      </c>
      <c r="R2549" t="s">
        <v>72</v>
      </c>
      <c r="S2549">
        <v>1</v>
      </c>
      <c r="T2549">
        <v>0</v>
      </c>
      <c r="U2549">
        <f>IF(AND(OR(Dashboard!$D$4="Semua",D2549=Dashboard!$D$4),OR(Dashboard!$H$4="Semua",E2549=Dashboard!$H$4)),1,0)</f>
        <v>1</v>
      </c>
      <c r="V2549">
        <f>IF(U2549=1,IF(COUNTIFS($C$2:C2549,C2549,$U$2:U2549,1)=1,1,0),0)</f>
        <v>0</v>
      </c>
    </row>
    <row r="2550" spans="1:22" x14ac:dyDescent="0.35">
      <c r="A2550">
        <v>12549</v>
      </c>
      <c r="B2550" s="1">
        <v>47110</v>
      </c>
      <c r="C2550">
        <v>1110</v>
      </c>
      <c r="D2550" t="s">
        <v>67</v>
      </c>
      <c r="E2550" t="s">
        <v>78</v>
      </c>
      <c r="F2550">
        <v>2</v>
      </c>
      <c r="G2550" s="2">
        <v>388.54</v>
      </c>
      <c r="H2550">
        <v>0.04</v>
      </c>
      <c r="I2550" t="s">
        <v>64</v>
      </c>
      <c r="J2550">
        <v>9</v>
      </c>
      <c r="K2550">
        <v>2.6</v>
      </c>
      <c r="L2550" s="2">
        <v>746</v>
      </c>
      <c r="M2550">
        <v>2028</v>
      </c>
      <c r="N2550">
        <v>12</v>
      </c>
      <c r="O2550" t="s">
        <v>163</v>
      </c>
      <c r="P2550" s="2">
        <v>777.08</v>
      </c>
      <c r="Q2550" s="2">
        <v>31.08</v>
      </c>
      <c r="R2550" t="s">
        <v>75</v>
      </c>
      <c r="S2550">
        <v>1</v>
      </c>
      <c r="T2550">
        <v>0</v>
      </c>
      <c r="U2550">
        <f>IF(AND(OR(Dashboard!$D$4="Semua",D2550=Dashboard!$D$4),OR(Dashboard!$H$4="Semua",E2550=Dashboard!$H$4)),1,0)</f>
        <v>1</v>
      </c>
      <c r="V2550">
        <f>IF(U2550=1,IF(COUNTIFS($C$2:C2550,C2550,$U$2:U2550,1)=1,1,0),0)</f>
        <v>0</v>
      </c>
    </row>
    <row r="2551" spans="1:22" x14ac:dyDescent="0.35">
      <c r="A2551">
        <v>12550</v>
      </c>
      <c r="B2551" s="1">
        <v>47111</v>
      </c>
      <c r="C2551">
        <v>1250</v>
      </c>
      <c r="D2551" t="s">
        <v>80</v>
      </c>
      <c r="E2551" t="s">
        <v>63</v>
      </c>
      <c r="F2551">
        <v>2</v>
      </c>
      <c r="G2551" s="2">
        <v>540.48</v>
      </c>
      <c r="H2551">
        <v>0.09</v>
      </c>
      <c r="I2551" t="s">
        <v>68</v>
      </c>
      <c r="J2551">
        <v>4</v>
      </c>
      <c r="K2551">
        <v>1.9</v>
      </c>
      <c r="L2551" s="2">
        <v>983.67</v>
      </c>
      <c r="M2551">
        <v>2028</v>
      </c>
      <c r="N2551">
        <v>12</v>
      </c>
      <c r="O2551" t="s">
        <v>163</v>
      </c>
      <c r="P2551" s="2">
        <v>1080.96</v>
      </c>
      <c r="Q2551" s="2">
        <v>97.29</v>
      </c>
      <c r="R2551" t="s">
        <v>69</v>
      </c>
      <c r="S2551">
        <v>1</v>
      </c>
      <c r="T2551">
        <v>0</v>
      </c>
      <c r="U2551">
        <f>IF(AND(OR(Dashboard!$D$4="Semua",D2551=Dashboard!$D$4),OR(Dashboard!$H$4="Semua",E2551=Dashboard!$H$4)),1,0)</f>
        <v>1</v>
      </c>
      <c r="V2551">
        <f>IF(U2551=1,IF(COUNTIFS($C$2:C2551,C2551,$U$2:U2551,1)=1,1,0),0)</f>
        <v>0</v>
      </c>
    </row>
    <row r="2552" spans="1:22" x14ac:dyDescent="0.35">
      <c r="A2552">
        <v>12551</v>
      </c>
      <c r="B2552" s="1">
        <v>47112</v>
      </c>
      <c r="C2552">
        <v>1382</v>
      </c>
      <c r="D2552" t="s">
        <v>73</v>
      </c>
      <c r="E2552" t="s">
        <v>74</v>
      </c>
      <c r="F2552">
        <v>1</v>
      </c>
      <c r="G2552" s="2">
        <v>383.48</v>
      </c>
      <c r="H2552">
        <v>0.31</v>
      </c>
      <c r="I2552" t="s">
        <v>71</v>
      </c>
      <c r="J2552">
        <v>8</v>
      </c>
      <c r="K2552">
        <v>2.4</v>
      </c>
      <c r="L2552" s="2">
        <v>264.60000000000002</v>
      </c>
      <c r="M2552">
        <v>2028</v>
      </c>
      <c r="N2552">
        <v>12</v>
      </c>
      <c r="O2552" t="s">
        <v>163</v>
      </c>
      <c r="P2552" s="2">
        <v>383.48</v>
      </c>
      <c r="Q2552" s="2">
        <v>118.88</v>
      </c>
      <c r="R2552" t="s">
        <v>72</v>
      </c>
      <c r="S2552">
        <v>1</v>
      </c>
      <c r="T2552">
        <v>0</v>
      </c>
      <c r="U2552">
        <f>IF(AND(OR(Dashboard!$D$4="Semua",D2552=Dashboard!$D$4),OR(Dashboard!$H$4="Semua",E2552=Dashboard!$H$4)),1,0)</f>
        <v>1</v>
      </c>
      <c r="V2552">
        <f>IF(U2552=1,IF(COUNTIFS($C$2:C2552,C2552,$U$2:U2552,1)=1,1,0),0)</f>
        <v>1</v>
      </c>
    </row>
    <row r="2553" spans="1:22" x14ac:dyDescent="0.35">
      <c r="A2553">
        <v>12552</v>
      </c>
      <c r="B2553" s="1">
        <v>47113</v>
      </c>
      <c r="C2553">
        <v>1006</v>
      </c>
      <c r="D2553" t="s">
        <v>73</v>
      </c>
      <c r="E2553" t="s">
        <v>74</v>
      </c>
      <c r="F2553">
        <v>2</v>
      </c>
      <c r="G2553" s="2">
        <v>448.38</v>
      </c>
      <c r="H2553">
        <v>0.17</v>
      </c>
      <c r="I2553" t="s">
        <v>71</v>
      </c>
      <c r="J2553">
        <v>11</v>
      </c>
      <c r="K2553">
        <v>3</v>
      </c>
      <c r="L2553" s="2">
        <v>744.31</v>
      </c>
      <c r="M2553">
        <v>2028</v>
      </c>
      <c r="N2553">
        <v>12</v>
      </c>
      <c r="O2553" t="s">
        <v>163</v>
      </c>
      <c r="P2553" s="2">
        <v>896.76</v>
      </c>
      <c r="Q2553" s="2">
        <v>152.44999999999999</v>
      </c>
      <c r="R2553" t="s">
        <v>76</v>
      </c>
      <c r="S2553">
        <v>1</v>
      </c>
      <c r="T2553">
        <v>0</v>
      </c>
      <c r="U2553">
        <f>IF(AND(OR(Dashboard!$D$4="Semua",D2553=Dashboard!$D$4),OR(Dashboard!$H$4="Semua",E2553=Dashboard!$H$4)),1,0)</f>
        <v>1</v>
      </c>
      <c r="V2553">
        <f>IF(U2553=1,IF(COUNTIFS($C$2:C2553,C2553,$U$2:U2553,1)=1,1,0),0)</f>
        <v>0</v>
      </c>
    </row>
    <row r="2554" spans="1:22" x14ac:dyDescent="0.35">
      <c r="A2554">
        <v>12553</v>
      </c>
      <c r="B2554" s="1">
        <v>47114</v>
      </c>
      <c r="C2554">
        <v>1458</v>
      </c>
      <c r="D2554" t="s">
        <v>62</v>
      </c>
      <c r="E2554" t="s">
        <v>63</v>
      </c>
      <c r="F2554">
        <v>2</v>
      </c>
      <c r="G2554" s="2">
        <v>504.32</v>
      </c>
      <c r="H2554">
        <v>0.05</v>
      </c>
      <c r="I2554" t="s">
        <v>71</v>
      </c>
      <c r="J2554">
        <v>11</v>
      </c>
      <c r="K2554">
        <v>3.8</v>
      </c>
      <c r="L2554" s="2">
        <v>958.21</v>
      </c>
      <c r="M2554">
        <v>2028</v>
      </c>
      <c r="N2554">
        <v>12</v>
      </c>
      <c r="O2554" t="s">
        <v>163</v>
      </c>
      <c r="P2554" s="2">
        <v>1008.64</v>
      </c>
      <c r="Q2554" s="2">
        <v>50.43</v>
      </c>
      <c r="R2554" t="s">
        <v>75</v>
      </c>
      <c r="S2554">
        <v>1</v>
      </c>
      <c r="T2554">
        <v>0</v>
      </c>
      <c r="U2554">
        <f>IF(AND(OR(Dashboard!$D$4="Semua",D2554=Dashboard!$D$4),OR(Dashboard!$H$4="Semua",E2554=Dashboard!$H$4)),1,0)</f>
        <v>1</v>
      </c>
      <c r="V2554">
        <f>IF(U2554=1,IF(COUNTIFS($C$2:C2554,C2554,$U$2:U2554,1)=1,1,0),0)</f>
        <v>0</v>
      </c>
    </row>
    <row r="2555" spans="1:22" x14ac:dyDescent="0.35">
      <c r="A2555">
        <v>12554</v>
      </c>
      <c r="B2555" s="1">
        <v>47115</v>
      </c>
      <c r="C2555">
        <v>1083</v>
      </c>
      <c r="D2555" t="s">
        <v>73</v>
      </c>
      <c r="E2555" t="s">
        <v>78</v>
      </c>
      <c r="F2555">
        <v>6</v>
      </c>
      <c r="G2555" s="2">
        <v>47.02</v>
      </c>
      <c r="H2555">
        <v>0.13</v>
      </c>
      <c r="I2555" t="s">
        <v>68</v>
      </c>
      <c r="J2555">
        <v>3</v>
      </c>
      <c r="K2555">
        <v>4.9000000000000004</v>
      </c>
      <c r="L2555" s="2">
        <v>245.44</v>
      </c>
      <c r="M2555">
        <v>2028</v>
      </c>
      <c r="N2555">
        <v>12</v>
      </c>
      <c r="O2555" t="s">
        <v>163</v>
      </c>
      <c r="P2555" s="2">
        <v>282.12</v>
      </c>
      <c r="Q2555" s="2">
        <v>36.68</v>
      </c>
      <c r="R2555" t="s">
        <v>79</v>
      </c>
      <c r="S2555">
        <v>1</v>
      </c>
      <c r="T2555">
        <v>0</v>
      </c>
      <c r="U2555">
        <f>IF(AND(OR(Dashboard!$D$4="Semua",D2555=Dashboard!$D$4),OR(Dashboard!$H$4="Semua",E2555=Dashboard!$H$4)),1,0)</f>
        <v>1</v>
      </c>
      <c r="V2555">
        <f>IF(U2555=1,IF(COUNTIFS($C$2:C2555,C2555,$U$2:U2555,1)=1,1,0),0)</f>
        <v>0</v>
      </c>
    </row>
    <row r="2556" spans="1:22" x14ac:dyDescent="0.35">
      <c r="A2556">
        <v>12555</v>
      </c>
      <c r="B2556" s="1">
        <v>47116</v>
      </c>
      <c r="C2556">
        <v>1207</v>
      </c>
      <c r="D2556" t="s">
        <v>67</v>
      </c>
      <c r="E2556" t="s">
        <v>70</v>
      </c>
      <c r="F2556">
        <v>3</v>
      </c>
      <c r="G2556" s="2">
        <v>468.99</v>
      </c>
      <c r="H2556">
        <v>0.04</v>
      </c>
      <c r="I2556" t="s">
        <v>71</v>
      </c>
      <c r="J2556">
        <v>6</v>
      </c>
      <c r="K2556">
        <v>1.6</v>
      </c>
      <c r="L2556" s="2">
        <v>1350.69</v>
      </c>
      <c r="M2556">
        <v>2028</v>
      </c>
      <c r="N2556">
        <v>12</v>
      </c>
      <c r="O2556" t="s">
        <v>163</v>
      </c>
      <c r="P2556" s="2">
        <v>1406.97</v>
      </c>
      <c r="Q2556" s="2">
        <v>56.28</v>
      </c>
      <c r="R2556" t="s">
        <v>75</v>
      </c>
      <c r="S2556">
        <v>1</v>
      </c>
      <c r="T2556">
        <v>0</v>
      </c>
      <c r="U2556">
        <f>IF(AND(OR(Dashboard!$D$4="Semua",D2556=Dashboard!$D$4),OR(Dashboard!$H$4="Semua",E2556=Dashboard!$H$4)),1,0)</f>
        <v>1</v>
      </c>
      <c r="V2556">
        <f>IF(U2556=1,IF(COUNTIFS($C$2:C2556,C2556,$U$2:U2556,1)=1,1,0),0)</f>
        <v>0</v>
      </c>
    </row>
    <row r="2557" spans="1:22" x14ac:dyDescent="0.35">
      <c r="A2557">
        <v>12556</v>
      </c>
      <c r="B2557" s="1">
        <v>47117</v>
      </c>
      <c r="C2557">
        <v>1899</v>
      </c>
      <c r="D2557" t="s">
        <v>62</v>
      </c>
      <c r="E2557" t="s">
        <v>63</v>
      </c>
      <c r="F2557">
        <v>7</v>
      </c>
      <c r="G2557" s="2">
        <v>374.02</v>
      </c>
      <c r="H2557">
        <v>7.0000000000000007E-2</v>
      </c>
      <c r="I2557" t="s">
        <v>64</v>
      </c>
      <c r="J2557">
        <v>10</v>
      </c>
      <c r="K2557">
        <v>3.7</v>
      </c>
      <c r="L2557" s="2">
        <v>2434.87</v>
      </c>
      <c r="M2557">
        <v>2028</v>
      </c>
      <c r="N2557">
        <v>12</v>
      </c>
      <c r="O2557" t="s">
        <v>163</v>
      </c>
      <c r="P2557" s="2">
        <v>2618.14</v>
      </c>
      <c r="Q2557" s="2">
        <v>183.27</v>
      </c>
      <c r="R2557" t="s">
        <v>69</v>
      </c>
      <c r="S2557">
        <v>1</v>
      </c>
      <c r="T2557">
        <v>0</v>
      </c>
      <c r="U2557">
        <f>IF(AND(OR(Dashboard!$D$4="Semua",D2557=Dashboard!$D$4),OR(Dashboard!$H$4="Semua",E2557=Dashboard!$H$4)),1,0)</f>
        <v>1</v>
      </c>
      <c r="V2557">
        <f>IF(U2557=1,IF(COUNTIFS($C$2:C2557,C2557,$U$2:U2557,1)=1,1,0),0)</f>
        <v>0</v>
      </c>
    </row>
    <row r="2558" spans="1:22" x14ac:dyDescent="0.35">
      <c r="A2558">
        <v>12557</v>
      </c>
      <c r="B2558" s="1">
        <v>47118</v>
      </c>
      <c r="C2558">
        <v>1389</v>
      </c>
      <c r="D2558" t="s">
        <v>67</v>
      </c>
      <c r="E2558" t="s">
        <v>63</v>
      </c>
      <c r="F2558">
        <v>1</v>
      </c>
      <c r="G2558" s="2">
        <v>55.66</v>
      </c>
      <c r="H2558">
        <v>0.02</v>
      </c>
      <c r="I2558" t="s">
        <v>68</v>
      </c>
      <c r="J2558">
        <v>10</v>
      </c>
      <c r="K2558">
        <v>1.9</v>
      </c>
      <c r="L2558" s="2">
        <v>54.55</v>
      </c>
      <c r="M2558">
        <v>2028</v>
      </c>
      <c r="N2558">
        <v>12</v>
      </c>
      <c r="O2558" t="s">
        <v>163</v>
      </c>
      <c r="P2558" s="2">
        <v>55.66</v>
      </c>
      <c r="Q2558" s="2">
        <v>1.1100000000000001</v>
      </c>
      <c r="R2558" t="s">
        <v>75</v>
      </c>
      <c r="S2558">
        <v>1</v>
      </c>
      <c r="T2558">
        <v>0</v>
      </c>
      <c r="U2558">
        <f>IF(AND(OR(Dashboard!$D$4="Semua",D2558=Dashboard!$D$4),OR(Dashboard!$H$4="Semua",E2558=Dashboard!$H$4)),1,0)</f>
        <v>1</v>
      </c>
      <c r="V2558">
        <f>IF(U2558=1,IF(COUNTIFS($C$2:C2558,C2558,$U$2:U2558,1)=1,1,0),0)</f>
        <v>0</v>
      </c>
    </row>
    <row r="2559" spans="1:22" x14ac:dyDescent="0.35">
      <c r="A2559">
        <v>12558</v>
      </c>
      <c r="B2559" s="1">
        <v>47119</v>
      </c>
      <c r="C2559">
        <v>1313</v>
      </c>
      <c r="D2559" t="s">
        <v>67</v>
      </c>
      <c r="E2559" t="s">
        <v>63</v>
      </c>
      <c r="F2559">
        <v>1</v>
      </c>
      <c r="G2559" s="2">
        <v>312.52</v>
      </c>
      <c r="H2559">
        <v>0.15</v>
      </c>
      <c r="I2559" t="s">
        <v>68</v>
      </c>
      <c r="J2559">
        <v>8</v>
      </c>
      <c r="K2559">
        <v>1.9</v>
      </c>
      <c r="L2559" s="2">
        <v>265.64</v>
      </c>
      <c r="M2559">
        <v>2029</v>
      </c>
      <c r="N2559">
        <v>1</v>
      </c>
      <c r="O2559" t="s">
        <v>164</v>
      </c>
      <c r="P2559" s="2">
        <v>312.52</v>
      </c>
      <c r="Q2559" s="2">
        <v>46.88</v>
      </c>
      <c r="R2559" t="s">
        <v>79</v>
      </c>
      <c r="S2559">
        <v>1</v>
      </c>
      <c r="T2559">
        <v>0</v>
      </c>
      <c r="U2559">
        <f>IF(AND(OR(Dashboard!$D$4="Semua",D2559=Dashboard!$D$4),OR(Dashboard!$H$4="Semua",E2559=Dashboard!$H$4)),1,0)</f>
        <v>1</v>
      </c>
      <c r="V2559">
        <f>IF(U2559=1,IF(COUNTIFS($C$2:C2559,C2559,$U$2:U2559,1)=1,1,0),0)</f>
        <v>0</v>
      </c>
    </row>
    <row r="2560" spans="1:22" x14ac:dyDescent="0.35">
      <c r="A2560">
        <v>12559</v>
      </c>
      <c r="B2560" s="1">
        <v>47120</v>
      </c>
      <c r="C2560">
        <v>1021</v>
      </c>
      <c r="D2560" t="s">
        <v>73</v>
      </c>
      <c r="E2560" t="s">
        <v>78</v>
      </c>
      <c r="F2560">
        <v>4</v>
      </c>
      <c r="G2560" s="2">
        <v>63.24</v>
      </c>
      <c r="H2560">
        <v>0.28000000000000003</v>
      </c>
      <c r="I2560" t="s">
        <v>64</v>
      </c>
      <c r="J2560">
        <v>11</v>
      </c>
      <c r="K2560">
        <v>3.5</v>
      </c>
      <c r="L2560" s="2">
        <v>182.13</v>
      </c>
      <c r="M2560">
        <v>2029</v>
      </c>
      <c r="N2560">
        <v>1</v>
      </c>
      <c r="O2560" t="s">
        <v>164</v>
      </c>
      <c r="P2560" s="2">
        <v>252.96</v>
      </c>
      <c r="Q2560" s="2">
        <v>70.83</v>
      </c>
      <c r="R2560" t="s">
        <v>66</v>
      </c>
      <c r="S2560">
        <v>1</v>
      </c>
      <c r="T2560">
        <v>0</v>
      </c>
      <c r="U2560">
        <f>IF(AND(OR(Dashboard!$D$4="Semua",D2560=Dashboard!$D$4),OR(Dashboard!$H$4="Semua",E2560=Dashboard!$H$4)),1,0)</f>
        <v>1</v>
      </c>
      <c r="V2560">
        <f>IF(U2560=1,IF(COUNTIFS($C$2:C2560,C2560,$U$2:U2560,1)=1,1,0),0)</f>
        <v>0</v>
      </c>
    </row>
    <row r="2561" spans="1:22" x14ac:dyDescent="0.35">
      <c r="A2561">
        <v>12560</v>
      </c>
      <c r="B2561" s="1">
        <v>47121</v>
      </c>
      <c r="C2561">
        <v>1409</v>
      </c>
      <c r="D2561" t="s">
        <v>73</v>
      </c>
      <c r="E2561" t="s">
        <v>74</v>
      </c>
      <c r="F2561">
        <v>2</v>
      </c>
      <c r="G2561" s="2">
        <v>445.53</v>
      </c>
      <c r="H2561">
        <v>0.21</v>
      </c>
      <c r="I2561" t="s">
        <v>68</v>
      </c>
      <c r="J2561">
        <v>9</v>
      </c>
      <c r="K2561">
        <v>4.0999999999999996</v>
      </c>
      <c r="L2561" s="2">
        <v>703.94</v>
      </c>
      <c r="M2561">
        <v>2029</v>
      </c>
      <c r="N2561">
        <v>1</v>
      </c>
      <c r="O2561" t="s">
        <v>164</v>
      </c>
      <c r="P2561" s="2">
        <v>891.06</v>
      </c>
      <c r="Q2561" s="2">
        <v>187.12</v>
      </c>
      <c r="R2561" t="s">
        <v>77</v>
      </c>
      <c r="S2561">
        <v>1</v>
      </c>
      <c r="T2561">
        <v>0</v>
      </c>
      <c r="U2561">
        <f>IF(AND(OR(Dashboard!$D$4="Semua",D2561=Dashboard!$D$4),OR(Dashboard!$H$4="Semua",E2561=Dashboard!$H$4)),1,0)</f>
        <v>1</v>
      </c>
      <c r="V2561">
        <f>IF(U2561=1,IF(COUNTIFS($C$2:C2561,C2561,$U$2:U2561,1)=1,1,0),0)</f>
        <v>0</v>
      </c>
    </row>
    <row r="2562" spans="1:22" x14ac:dyDescent="0.35">
      <c r="A2562">
        <v>12561</v>
      </c>
      <c r="B2562" s="1">
        <v>47122</v>
      </c>
      <c r="C2562">
        <v>1894</v>
      </c>
      <c r="D2562" t="s">
        <v>62</v>
      </c>
      <c r="E2562" t="s">
        <v>78</v>
      </c>
      <c r="F2562">
        <v>4</v>
      </c>
      <c r="G2562" s="2">
        <v>334.7</v>
      </c>
      <c r="H2562">
        <v>0.21</v>
      </c>
      <c r="I2562" t="s">
        <v>64</v>
      </c>
      <c r="J2562">
        <v>8</v>
      </c>
      <c r="K2562">
        <v>4.9000000000000004</v>
      </c>
      <c r="L2562" s="2">
        <v>1057.6500000000001</v>
      </c>
      <c r="M2562">
        <v>2029</v>
      </c>
      <c r="N2562">
        <v>1</v>
      </c>
      <c r="O2562" t="s">
        <v>164</v>
      </c>
      <c r="P2562" s="2">
        <v>1338.8</v>
      </c>
      <c r="Q2562" s="2">
        <v>281.14999999999998</v>
      </c>
      <c r="R2562" t="s">
        <v>77</v>
      </c>
      <c r="S2562">
        <v>1</v>
      </c>
      <c r="T2562">
        <v>0</v>
      </c>
      <c r="U2562">
        <f>IF(AND(OR(Dashboard!$D$4="Semua",D2562=Dashboard!$D$4),OR(Dashboard!$H$4="Semua",E2562=Dashboard!$H$4)),1,0)</f>
        <v>1</v>
      </c>
      <c r="V2562">
        <f>IF(U2562=1,IF(COUNTIFS($C$2:C2562,C2562,$U$2:U2562,1)=1,1,0),0)</f>
        <v>0</v>
      </c>
    </row>
    <row r="2563" spans="1:22" x14ac:dyDescent="0.35">
      <c r="A2563">
        <v>12562</v>
      </c>
      <c r="B2563" s="1">
        <v>47123</v>
      </c>
      <c r="C2563">
        <v>1514</v>
      </c>
      <c r="D2563" t="s">
        <v>67</v>
      </c>
      <c r="E2563" t="s">
        <v>63</v>
      </c>
      <c r="F2563">
        <v>6</v>
      </c>
      <c r="G2563" s="2">
        <v>572.84</v>
      </c>
      <c r="H2563">
        <v>7.0000000000000007E-2</v>
      </c>
      <c r="I2563" t="s">
        <v>68</v>
      </c>
      <c r="J2563">
        <v>9</v>
      </c>
      <c r="K2563">
        <v>4.0999999999999996</v>
      </c>
      <c r="L2563" s="2">
        <v>3196.45</v>
      </c>
      <c r="M2563">
        <v>2029</v>
      </c>
      <c r="N2563">
        <v>1</v>
      </c>
      <c r="O2563" t="s">
        <v>164</v>
      </c>
      <c r="P2563" s="2">
        <v>3437.04</v>
      </c>
      <c r="Q2563" s="2">
        <v>240.59</v>
      </c>
      <c r="R2563" t="s">
        <v>69</v>
      </c>
      <c r="S2563">
        <v>1</v>
      </c>
      <c r="T2563">
        <v>0</v>
      </c>
      <c r="U2563">
        <f>IF(AND(OR(Dashboard!$D$4="Semua",D2563=Dashboard!$D$4),OR(Dashboard!$H$4="Semua",E2563=Dashboard!$H$4)),1,0)</f>
        <v>1</v>
      </c>
      <c r="V2563">
        <f>IF(U2563=1,IF(COUNTIFS($C$2:C2563,C2563,$U$2:U2563,1)=1,1,0),0)</f>
        <v>1</v>
      </c>
    </row>
    <row r="2564" spans="1:22" x14ac:dyDescent="0.35">
      <c r="A2564">
        <v>12563</v>
      </c>
      <c r="B2564" s="1">
        <v>47124</v>
      </c>
      <c r="C2564">
        <v>1126</v>
      </c>
      <c r="D2564" t="s">
        <v>67</v>
      </c>
      <c r="E2564" t="s">
        <v>78</v>
      </c>
      <c r="F2564">
        <v>5</v>
      </c>
      <c r="G2564" s="2">
        <v>122.13</v>
      </c>
      <c r="H2564">
        <v>0.12</v>
      </c>
      <c r="I2564" t="s">
        <v>68</v>
      </c>
      <c r="J2564">
        <v>4</v>
      </c>
      <c r="K2564">
        <v>1.6</v>
      </c>
      <c r="L2564" s="2">
        <v>537.37</v>
      </c>
      <c r="M2564">
        <v>2029</v>
      </c>
      <c r="N2564">
        <v>1</v>
      </c>
      <c r="O2564" t="s">
        <v>164</v>
      </c>
      <c r="P2564" s="2">
        <v>610.65</v>
      </c>
      <c r="Q2564" s="2">
        <v>73.28</v>
      </c>
      <c r="R2564" t="s">
        <v>79</v>
      </c>
      <c r="S2564">
        <v>1</v>
      </c>
      <c r="T2564">
        <v>0</v>
      </c>
      <c r="U2564">
        <f>IF(AND(OR(Dashboard!$D$4="Semua",D2564=Dashboard!$D$4),OR(Dashboard!$H$4="Semua",E2564=Dashboard!$H$4)),1,0)</f>
        <v>1</v>
      </c>
      <c r="V2564">
        <f>IF(U2564=1,IF(COUNTIFS($C$2:C2564,C2564,$U$2:U2564,1)=1,1,0),0)</f>
        <v>0</v>
      </c>
    </row>
    <row r="2565" spans="1:22" x14ac:dyDescent="0.35">
      <c r="A2565">
        <v>12564</v>
      </c>
      <c r="B2565" s="1">
        <v>47125</v>
      </c>
      <c r="C2565">
        <v>1808</v>
      </c>
      <c r="D2565" t="s">
        <v>73</v>
      </c>
      <c r="E2565" t="s">
        <v>78</v>
      </c>
      <c r="F2565">
        <v>2</v>
      </c>
      <c r="G2565" s="2">
        <v>369.53</v>
      </c>
      <c r="H2565">
        <v>0.3</v>
      </c>
      <c r="I2565" t="s">
        <v>68</v>
      </c>
      <c r="J2565">
        <v>10</v>
      </c>
      <c r="K2565">
        <v>1.9</v>
      </c>
      <c r="L2565" s="2">
        <v>517.34</v>
      </c>
      <c r="M2565">
        <v>2029</v>
      </c>
      <c r="N2565">
        <v>1</v>
      </c>
      <c r="O2565" t="s">
        <v>164</v>
      </c>
      <c r="P2565" s="2">
        <v>739.06</v>
      </c>
      <c r="Q2565" s="2">
        <v>221.72</v>
      </c>
      <c r="R2565" t="s">
        <v>66</v>
      </c>
      <c r="S2565">
        <v>1</v>
      </c>
      <c r="T2565">
        <v>0</v>
      </c>
      <c r="U2565">
        <f>IF(AND(OR(Dashboard!$D$4="Semua",D2565=Dashboard!$D$4),OR(Dashboard!$H$4="Semua",E2565=Dashboard!$H$4)),1,0)</f>
        <v>1</v>
      </c>
      <c r="V2565">
        <f>IF(U2565=1,IF(COUNTIFS($C$2:C2565,C2565,$U$2:U2565,1)=1,1,0),0)</f>
        <v>1</v>
      </c>
    </row>
    <row r="2566" spans="1:22" x14ac:dyDescent="0.35">
      <c r="A2566">
        <v>12565</v>
      </c>
      <c r="B2566" s="1">
        <v>47126</v>
      </c>
      <c r="C2566">
        <v>1699</v>
      </c>
      <c r="D2566" t="s">
        <v>73</v>
      </c>
      <c r="E2566" t="s">
        <v>63</v>
      </c>
      <c r="F2566">
        <v>5</v>
      </c>
      <c r="G2566" s="2">
        <v>138.78</v>
      </c>
      <c r="H2566">
        <v>0.03</v>
      </c>
      <c r="I2566" t="s">
        <v>68</v>
      </c>
      <c r="J2566">
        <v>1</v>
      </c>
      <c r="K2566">
        <v>4</v>
      </c>
      <c r="L2566" s="2">
        <v>673.08</v>
      </c>
      <c r="M2566">
        <v>2029</v>
      </c>
      <c r="N2566">
        <v>1</v>
      </c>
      <c r="O2566" t="s">
        <v>164</v>
      </c>
      <c r="P2566" s="2">
        <v>693.9</v>
      </c>
      <c r="Q2566" s="2">
        <v>20.82</v>
      </c>
      <c r="R2566" t="s">
        <v>75</v>
      </c>
      <c r="S2566">
        <v>1</v>
      </c>
      <c r="T2566">
        <v>0</v>
      </c>
      <c r="U2566">
        <f>IF(AND(OR(Dashboard!$D$4="Semua",D2566=Dashboard!$D$4),OR(Dashboard!$H$4="Semua",E2566=Dashboard!$H$4)),1,0)</f>
        <v>1</v>
      </c>
      <c r="V2566">
        <f>IF(U2566=1,IF(COUNTIFS($C$2:C2566,C2566,$U$2:U2566,1)=1,1,0),0)</f>
        <v>0</v>
      </c>
    </row>
    <row r="2567" spans="1:22" x14ac:dyDescent="0.35">
      <c r="A2567">
        <v>12566</v>
      </c>
      <c r="B2567" s="1">
        <v>47127</v>
      </c>
      <c r="C2567">
        <v>1873</v>
      </c>
      <c r="D2567" t="s">
        <v>62</v>
      </c>
      <c r="E2567" t="s">
        <v>78</v>
      </c>
      <c r="F2567">
        <v>3</v>
      </c>
      <c r="G2567" s="2">
        <v>374.23</v>
      </c>
      <c r="H2567">
        <v>0.3</v>
      </c>
      <c r="I2567" t="s">
        <v>68</v>
      </c>
      <c r="J2567">
        <v>7</v>
      </c>
      <c r="K2567">
        <v>3.1</v>
      </c>
      <c r="L2567" s="2">
        <v>785.88</v>
      </c>
      <c r="M2567">
        <v>2029</v>
      </c>
      <c r="N2567">
        <v>1</v>
      </c>
      <c r="O2567" t="s">
        <v>164</v>
      </c>
      <c r="P2567" s="2">
        <v>1122.69</v>
      </c>
      <c r="Q2567" s="2">
        <v>336.81</v>
      </c>
      <c r="R2567" t="s">
        <v>66</v>
      </c>
      <c r="S2567">
        <v>1</v>
      </c>
      <c r="T2567">
        <v>0</v>
      </c>
      <c r="U2567">
        <f>IF(AND(OR(Dashboard!$D$4="Semua",D2567=Dashboard!$D$4),OR(Dashboard!$H$4="Semua",E2567=Dashboard!$H$4)),1,0)</f>
        <v>1</v>
      </c>
      <c r="V2567">
        <f>IF(U2567=1,IF(COUNTIFS($C$2:C2567,C2567,$U$2:U2567,1)=1,1,0),0)</f>
        <v>0</v>
      </c>
    </row>
    <row r="2568" spans="1:22" x14ac:dyDescent="0.35">
      <c r="A2568">
        <v>12567</v>
      </c>
      <c r="B2568" s="1">
        <v>47128</v>
      </c>
      <c r="C2568">
        <v>1013</v>
      </c>
      <c r="D2568" t="s">
        <v>67</v>
      </c>
      <c r="E2568" t="s">
        <v>70</v>
      </c>
      <c r="F2568">
        <v>6</v>
      </c>
      <c r="G2568" s="2">
        <v>437.75</v>
      </c>
      <c r="H2568">
        <v>0.17</v>
      </c>
      <c r="I2568" t="s">
        <v>71</v>
      </c>
      <c r="J2568">
        <v>11</v>
      </c>
      <c r="K2568">
        <v>2.2000000000000002</v>
      </c>
      <c r="L2568" s="2">
        <v>2180</v>
      </c>
      <c r="M2568">
        <v>2029</v>
      </c>
      <c r="N2568">
        <v>1</v>
      </c>
      <c r="O2568" t="s">
        <v>164</v>
      </c>
      <c r="P2568" s="2">
        <v>2626.5</v>
      </c>
      <c r="Q2568" s="2">
        <v>446.5</v>
      </c>
      <c r="R2568" t="s">
        <v>76</v>
      </c>
      <c r="S2568">
        <v>1</v>
      </c>
      <c r="T2568">
        <v>0</v>
      </c>
      <c r="U2568">
        <f>IF(AND(OR(Dashboard!$D$4="Semua",D2568=Dashboard!$D$4),OR(Dashboard!$H$4="Semua",E2568=Dashboard!$H$4)),1,0)</f>
        <v>1</v>
      </c>
      <c r="V2568">
        <f>IF(U2568=1,IF(COUNTIFS($C$2:C2568,C2568,$U$2:U2568,1)=1,1,0),0)</f>
        <v>0</v>
      </c>
    </row>
    <row r="2569" spans="1:22" x14ac:dyDescent="0.35">
      <c r="A2569">
        <v>12568</v>
      </c>
      <c r="B2569" s="1">
        <v>47129</v>
      </c>
      <c r="C2569">
        <v>1970</v>
      </c>
      <c r="D2569" t="s">
        <v>67</v>
      </c>
      <c r="E2569" t="s">
        <v>78</v>
      </c>
      <c r="F2569">
        <v>2</v>
      </c>
      <c r="G2569" s="2">
        <v>437.55</v>
      </c>
      <c r="H2569">
        <v>0.28999999999999998</v>
      </c>
      <c r="I2569" t="s">
        <v>68</v>
      </c>
      <c r="J2569">
        <v>10</v>
      </c>
      <c r="K2569">
        <v>2.9</v>
      </c>
      <c r="L2569" s="2">
        <v>621.32000000000005</v>
      </c>
      <c r="M2569">
        <v>2029</v>
      </c>
      <c r="N2569">
        <v>1</v>
      </c>
      <c r="O2569" t="s">
        <v>164</v>
      </c>
      <c r="P2569" s="2">
        <v>875.1</v>
      </c>
      <c r="Q2569" s="2">
        <v>253.78</v>
      </c>
      <c r="R2569" t="s">
        <v>66</v>
      </c>
      <c r="S2569">
        <v>1</v>
      </c>
      <c r="T2569">
        <v>0</v>
      </c>
      <c r="U2569">
        <f>IF(AND(OR(Dashboard!$D$4="Semua",D2569=Dashboard!$D$4),OR(Dashboard!$H$4="Semua",E2569=Dashboard!$H$4)),1,0)</f>
        <v>1</v>
      </c>
      <c r="V2569">
        <f>IF(U2569=1,IF(COUNTIFS($C$2:C2569,C2569,$U$2:U2569,1)=1,1,0),0)</f>
        <v>0</v>
      </c>
    </row>
    <row r="2570" spans="1:22" x14ac:dyDescent="0.35">
      <c r="A2570">
        <v>12569</v>
      </c>
      <c r="B2570" s="1">
        <v>47130</v>
      </c>
      <c r="C2570">
        <v>1977</v>
      </c>
      <c r="D2570" t="s">
        <v>73</v>
      </c>
      <c r="E2570" t="s">
        <v>78</v>
      </c>
      <c r="F2570">
        <v>4</v>
      </c>
      <c r="G2570" s="2">
        <v>491.82</v>
      </c>
      <c r="H2570">
        <v>0.11</v>
      </c>
      <c r="I2570" t="s">
        <v>64</v>
      </c>
      <c r="J2570">
        <v>4</v>
      </c>
      <c r="K2570">
        <v>4.7</v>
      </c>
      <c r="L2570" s="2">
        <v>1750.88</v>
      </c>
      <c r="M2570">
        <v>2029</v>
      </c>
      <c r="N2570">
        <v>1</v>
      </c>
      <c r="O2570" t="s">
        <v>164</v>
      </c>
      <c r="P2570" s="2">
        <v>1967.28</v>
      </c>
      <c r="Q2570" s="2">
        <v>216.4</v>
      </c>
      <c r="R2570" t="s">
        <v>79</v>
      </c>
      <c r="S2570">
        <v>1</v>
      </c>
      <c r="T2570">
        <v>0</v>
      </c>
      <c r="U2570">
        <f>IF(AND(OR(Dashboard!$D$4="Semua",D2570=Dashboard!$D$4),OR(Dashboard!$H$4="Semua",E2570=Dashboard!$H$4)),1,0)</f>
        <v>1</v>
      </c>
      <c r="V2570">
        <f>IF(U2570=1,IF(COUNTIFS($C$2:C2570,C2570,$U$2:U2570,1)=1,1,0),0)</f>
        <v>0</v>
      </c>
    </row>
    <row r="2571" spans="1:22" x14ac:dyDescent="0.35">
      <c r="A2571">
        <v>12570</v>
      </c>
      <c r="B2571" s="1">
        <v>47131</v>
      </c>
      <c r="C2571">
        <v>1011</v>
      </c>
      <c r="D2571" t="s">
        <v>80</v>
      </c>
      <c r="E2571" t="s">
        <v>74</v>
      </c>
      <c r="F2571">
        <v>4</v>
      </c>
      <c r="G2571" s="2">
        <v>514.33000000000004</v>
      </c>
      <c r="H2571">
        <v>0.12</v>
      </c>
      <c r="I2571" t="s">
        <v>71</v>
      </c>
      <c r="J2571">
        <v>1</v>
      </c>
      <c r="K2571">
        <v>4</v>
      </c>
      <c r="L2571" s="2">
        <v>1810.44</v>
      </c>
      <c r="M2571">
        <v>2029</v>
      </c>
      <c r="N2571">
        <v>1</v>
      </c>
      <c r="O2571" t="s">
        <v>164</v>
      </c>
      <c r="P2571" s="2">
        <v>2057.3200000000002</v>
      </c>
      <c r="Q2571" s="2">
        <v>246.88</v>
      </c>
      <c r="R2571" t="s">
        <v>79</v>
      </c>
      <c r="S2571">
        <v>1</v>
      </c>
      <c r="T2571">
        <v>0</v>
      </c>
      <c r="U2571">
        <f>IF(AND(OR(Dashboard!$D$4="Semua",D2571=Dashboard!$D$4),OR(Dashboard!$H$4="Semua",E2571=Dashboard!$H$4)),1,0)</f>
        <v>1</v>
      </c>
      <c r="V2571">
        <f>IF(U2571=1,IF(COUNTIFS($C$2:C2571,C2571,$U$2:U2571,1)=1,1,0),0)</f>
        <v>0</v>
      </c>
    </row>
    <row r="2572" spans="1:22" x14ac:dyDescent="0.35">
      <c r="A2572">
        <v>12571</v>
      </c>
      <c r="B2572" s="1">
        <v>47132</v>
      </c>
      <c r="C2572">
        <v>1086</v>
      </c>
      <c r="D2572" t="s">
        <v>62</v>
      </c>
      <c r="E2572" t="s">
        <v>74</v>
      </c>
      <c r="F2572">
        <v>2</v>
      </c>
      <c r="G2572" s="2">
        <v>60.2</v>
      </c>
      <c r="H2572">
        <v>0.26</v>
      </c>
      <c r="I2572" t="s">
        <v>71</v>
      </c>
      <c r="J2572">
        <v>3</v>
      </c>
      <c r="K2572">
        <v>2.8</v>
      </c>
      <c r="L2572" s="2">
        <v>89.1</v>
      </c>
      <c r="M2572">
        <v>2029</v>
      </c>
      <c r="N2572">
        <v>1</v>
      </c>
      <c r="O2572" t="s">
        <v>164</v>
      </c>
      <c r="P2572" s="2">
        <v>120.4</v>
      </c>
      <c r="Q2572" s="2">
        <v>31.3</v>
      </c>
      <c r="R2572" t="s">
        <v>66</v>
      </c>
      <c r="S2572">
        <v>1</v>
      </c>
      <c r="T2572">
        <v>0</v>
      </c>
      <c r="U2572">
        <f>IF(AND(OR(Dashboard!$D$4="Semua",D2572=Dashboard!$D$4),OR(Dashboard!$H$4="Semua",E2572=Dashboard!$H$4)),1,0)</f>
        <v>1</v>
      </c>
      <c r="V2572">
        <f>IF(U2572=1,IF(COUNTIFS($C$2:C2572,C2572,$U$2:U2572,1)=1,1,0),0)</f>
        <v>0</v>
      </c>
    </row>
    <row r="2573" spans="1:22" x14ac:dyDescent="0.35">
      <c r="A2573">
        <v>12572</v>
      </c>
      <c r="B2573" s="1">
        <v>47133</v>
      </c>
      <c r="C2573">
        <v>1523</v>
      </c>
      <c r="D2573" t="s">
        <v>67</v>
      </c>
      <c r="E2573" t="s">
        <v>63</v>
      </c>
      <c r="F2573">
        <v>7</v>
      </c>
      <c r="G2573" s="2">
        <v>215.81</v>
      </c>
      <c r="H2573">
        <v>0.27</v>
      </c>
      <c r="I2573" t="s">
        <v>68</v>
      </c>
      <c r="J2573">
        <v>7</v>
      </c>
      <c r="K2573">
        <v>4.9000000000000004</v>
      </c>
      <c r="L2573" s="2">
        <v>1102.79</v>
      </c>
      <c r="M2573">
        <v>2029</v>
      </c>
      <c r="N2573">
        <v>1</v>
      </c>
      <c r="O2573" t="s">
        <v>164</v>
      </c>
      <c r="P2573" s="2">
        <v>1510.67</v>
      </c>
      <c r="Q2573" s="2">
        <v>407.88</v>
      </c>
      <c r="R2573" t="s">
        <v>66</v>
      </c>
      <c r="S2573">
        <v>1</v>
      </c>
      <c r="T2573">
        <v>0</v>
      </c>
      <c r="U2573">
        <f>IF(AND(OR(Dashboard!$D$4="Semua",D2573=Dashboard!$D$4),OR(Dashboard!$H$4="Semua",E2573=Dashboard!$H$4)),1,0)</f>
        <v>1</v>
      </c>
      <c r="V2573">
        <f>IF(U2573=1,IF(COUNTIFS($C$2:C2573,C2573,$U$2:U2573,1)=1,1,0),0)</f>
        <v>0</v>
      </c>
    </row>
    <row r="2574" spans="1:22" x14ac:dyDescent="0.35">
      <c r="A2574">
        <v>12573</v>
      </c>
      <c r="B2574" s="1">
        <v>47134</v>
      </c>
      <c r="C2574">
        <v>1908</v>
      </c>
      <c r="D2574" t="s">
        <v>73</v>
      </c>
      <c r="E2574" t="s">
        <v>63</v>
      </c>
      <c r="F2574">
        <v>4</v>
      </c>
      <c r="G2574" s="2">
        <v>416.97</v>
      </c>
      <c r="H2574">
        <v>0.08</v>
      </c>
      <c r="I2574" t="s">
        <v>71</v>
      </c>
      <c r="J2574">
        <v>11</v>
      </c>
      <c r="K2574">
        <v>4.2</v>
      </c>
      <c r="L2574" s="2">
        <v>1534.45</v>
      </c>
      <c r="M2574">
        <v>2029</v>
      </c>
      <c r="N2574">
        <v>1</v>
      </c>
      <c r="O2574" t="s">
        <v>164</v>
      </c>
      <c r="P2574" s="2">
        <v>1667.88</v>
      </c>
      <c r="Q2574" s="2">
        <v>133.43</v>
      </c>
      <c r="R2574" t="s">
        <v>69</v>
      </c>
      <c r="S2574">
        <v>1</v>
      </c>
      <c r="T2574">
        <v>0</v>
      </c>
      <c r="U2574">
        <f>IF(AND(OR(Dashboard!$D$4="Semua",D2574=Dashboard!$D$4),OR(Dashboard!$H$4="Semua",E2574=Dashboard!$H$4)),1,0)</f>
        <v>1</v>
      </c>
      <c r="V2574">
        <f>IF(U2574=1,IF(COUNTIFS($C$2:C2574,C2574,$U$2:U2574,1)=1,1,0),0)</f>
        <v>0</v>
      </c>
    </row>
    <row r="2575" spans="1:22" x14ac:dyDescent="0.35">
      <c r="A2575">
        <v>12574</v>
      </c>
      <c r="B2575" s="1">
        <v>47135</v>
      </c>
      <c r="C2575">
        <v>1536</v>
      </c>
      <c r="D2575" t="s">
        <v>67</v>
      </c>
      <c r="E2575" t="s">
        <v>74</v>
      </c>
      <c r="F2575">
        <v>7</v>
      </c>
      <c r="G2575" s="2">
        <v>306.67</v>
      </c>
      <c r="H2575">
        <v>0.34</v>
      </c>
      <c r="I2575" t="s">
        <v>71</v>
      </c>
      <c r="J2575">
        <v>3</v>
      </c>
      <c r="K2575">
        <v>1</v>
      </c>
      <c r="L2575" s="2">
        <v>1416.82</v>
      </c>
      <c r="M2575">
        <v>2029</v>
      </c>
      <c r="N2575">
        <v>1</v>
      </c>
      <c r="O2575" t="s">
        <v>164</v>
      </c>
      <c r="P2575" s="2">
        <v>2146.69</v>
      </c>
      <c r="Q2575" s="2">
        <v>729.87</v>
      </c>
      <c r="R2575" t="s">
        <v>72</v>
      </c>
      <c r="S2575">
        <v>1</v>
      </c>
      <c r="T2575">
        <v>0</v>
      </c>
      <c r="U2575">
        <f>IF(AND(OR(Dashboard!$D$4="Semua",D2575=Dashboard!$D$4),OR(Dashboard!$H$4="Semua",E2575=Dashboard!$H$4)),1,0)</f>
        <v>1</v>
      </c>
      <c r="V2575">
        <f>IF(U2575=1,IF(COUNTIFS($C$2:C2575,C2575,$U$2:U2575,1)=1,1,0),0)</f>
        <v>0</v>
      </c>
    </row>
    <row r="2576" spans="1:22" x14ac:dyDescent="0.35">
      <c r="A2576">
        <v>12575</v>
      </c>
      <c r="B2576" s="1">
        <v>47136</v>
      </c>
      <c r="C2576">
        <v>1300</v>
      </c>
      <c r="D2576" t="s">
        <v>80</v>
      </c>
      <c r="E2576" t="s">
        <v>70</v>
      </c>
      <c r="F2576">
        <v>2</v>
      </c>
      <c r="G2576" s="2">
        <v>126.55</v>
      </c>
      <c r="H2576">
        <v>0.03</v>
      </c>
      <c r="I2576" t="s">
        <v>68</v>
      </c>
      <c r="J2576">
        <v>1</v>
      </c>
      <c r="K2576">
        <v>1.4</v>
      </c>
      <c r="L2576" s="2">
        <v>245.51</v>
      </c>
      <c r="M2576">
        <v>2029</v>
      </c>
      <c r="N2576">
        <v>1</v>
      </c>
      <c r="O2576" t="s">
        <v>164</v>
      </c>
      <c r="P2576" s="2">
        <v>253.1</v>
      </c>
      <c r="Q2576" s="2">
        <v>7.59</v>
      </c>
      <c r="R2576" t="s">
        <v>75</v>
      </c>
      <c r="S2576">
        <v>1</v>
      </c>
      <c r="T2576">
        <v>0</v>
      </c>
      <c r="U2576">
        <f>IF(AND(OR(Dashboard!$D$4="Semua",D2576=Dashboard!$D$4),OR(Dashboard!$H$4="Semua",E2576=Dashboard!$H$4)),1,0)</f>
        <v>1</v>
      </c>
      <c r="V2576">
        <f>IF(U2576=1,IF(COUNTIFS($C$2:C2576,C2576,$U$2:U2576,1)=1,1,0),0)</f>
        <v>0</v>
      </c>
    </row>
    <row r="2577" spans="1:22" x14ac:dyDescent="0.35">
      <c r="A2577">
        <v>12576</v>
      </c>
      <c r="B2577" s="1">
        <v>47137</v>
      </c>
      <c r="C2577">
        <v>1242</v>
      </c>
      <c r="D2577" t="s">
        <v>67</v>
      </c>
      <c r="E2577" t="s">
        <v>78</v>
      </c>
      <c r="F2577">
        <v>1</v>
      </c>
      <c r="G2577" s="2">
        <v>338.34</v>
      </c>
      <c r="H2577">
        <v>0.02</v>
      </c>
      <c r="I2577" t="s">
        <v>64</v>
      </c>
      <c r="J2577">
        <v>7</v>
      </c>
      <c r="K2577">
        <v>3.2</v>
      </c>
      <c r="L2577" s="2">
        <v>331.57</v>
      </c>
      <c r="M2577">
        <v>2029</v>
      </c>
      <c r="N2577">
        <v>1</v>
      </c>
      <c r="O2577" t="s">
        <v>164</v>
      </c>
      <c r="P2577" s="2">
        <v>338.34</v>
      </c>
      <c r="Q2577" s="2">
        <v>6.77</v>
      </c>
      <c r="R2577" t="s">
        <v>75</v>
      </c>
      <c r="S2577">
        <v>1</v>
      </c>
      <c r="T2577">
        <v>0</v>
      </c>
      <c r="U2577">
        <f>IF(AND(OR(Dashboard!$D$4="Semua",D2577=Dashboard!$D$4),OR(Dashboard!$H$4="Semua",E2577=Dashboard!$H$4)),1,0)</f>
        <v>1</v>
      </c>
      <c r="V2577">
        <f>IF(U2577=1,IF(COUNTIFS($C$2:C2577,C2577,$U$2:U2577,1)=1,1,0),0)</f>
        <v>0</v>
      </c>
    </row>
    <row r="2578" spans="1:22" x14ac:dyDescent="0.35">
      <c r="A2578">
        <v>12577</v>
      </c>
      <c r="B2578" s="1">
        <v>47138</v>
      </c>
      <c r="C2578">
        <v>1121</v>
      </c>
      <c r="D2578" t="s">
        <v>62</v>
      </c>
      <c r="E2578" t="s">
        <v>70</v>
      </c>
      <c r="F2578">
        <v>4</v>
      </c>
      <c r="G2578" s="2">
        <v>253.35</v>
      </c>
      <c r="H2578">
        <v>0.21</v>
      </c>
      <c r="I2578" t="s">
        <v>68</v>
      </c>
      <c r="J2578">
        <v>8</v>
      </c>
      <c r="K2578">
        <v>2.4</v>
      </c>
      <c r="L2578" s="2">
        <v>800.59</v>
      </c>
      <c r="M2578">
        <v>2029</v>
      </c>
      <c r="N2578">
        <v>1</v>
      </c>
      <c r="O2578" t="s">
        <v>164</v>
      </c>
      <c r="P2578" s="2">
        <v>1013.4</v>
      </c>
      <c r="Q2578" s="2">
        <v>212.81</v>
      </c>
      <c r="R2578" t="s">
        <v>77</v>
      </c>
      <c r="S2578">
        <v>1</v>
      </c>
      <c r="T2578">
        <v>0</v>
      </c>
      <c r="U2578">
        <f>IF(AND(OR(Dashboard!$D$4="Semua",D2578=Dashboard!$D$4),OR(Dashboard!$H$4="Semua",E2578=Dashboard!$H$4)),1,0)</f>
        <v>1</v>
      </c>
      <c r="V2578">
        <f>IF(U2578=1,IF(COUNTIFS($C$2:C2578,C2578,$U$2:U2578,1)=1,1,0),0)</f>
        <v>0</v>
      </c>
    </row>
    <row r="2579" spans="1:22" x14ac:dyDescent="0.35">
      <c r="A2579">
        <v>12578</v>
      </c>
      <c r="B2579" s="1">
        <v>47139</v>
      </c>
      <c r="C2579">
        <v>1146</v>
      </c>
      <c r="D2579" t="s">
        <v>67</v>
      </c>
      <c r="E2579" t="s">
        <v>70</v>
      </c>
      <c r="F2579">
        <v>7</v>
      </c>
      <c r="G2579" s="2">
        <v>243.17</v>
      </c>
      <c r="H2579">
        <v>0.25</v>
      </c>
      <c r="I2579" t="s">
        <v>68</v>
      </c>
      <c r="J2579">
        <v>5</v>
      </c>
      <c r="K2579">
        <v>4.3</v>
      </c>
      <c r="L2579" s="2">
        <v>1276.6400000000001</v>
      </c>
      <c r="M2579">
        <v>2029</v>
      </c>
      <c r="N2579">
        <v>1</v>
      </c>
      <c r="O2579" t="s">
        <v>164</v>
      </c>
      <c r="P2579" s="2">
        <v>1702.19</v>
      </c>
      <c r="Q2579" s="2">
        <v>425.55</v>
      </c>
      <c r="R2579" t="s">
        <v>77</v>
      </c>
      <c r="S2579">
        <v>1</v>
      </c>
      <c r="T2579">
        <v>0</v>
      </c>
      <c r="U2579">
        <f>IF(AND(OR(Dashboard!$D$4="Semua",D2579=Dashboard!$D$4),OR(Dashboard!$H$4="Semua",E2579=Dashboard!$H$4)),1,0)</f>
        <v>1</v>
      </c>
      <c r="V2579">
        <f>IF(U2579=1,IF(COUNTIFS($C$2:C2579,C2579,$U$2:U2579,1)=1,1,0),0)</f>
        <v>0</v>
      </c>
    </row>
    <row r="2580" spans="1:22" x14ac:dyDescent="0.35">
      <c r="A2580">
        <v>12579</v>
      </c>
      <c r="B2580" s="1">
        <v>47140</v>
      </c>
      <c r="C2580">
        <v>1566</v>
      </c>
      <c r="D2580" t="s">
        <v>62</v>
      </c>
      <c r="E2580" t="s">
        <v>74</v>
      </c>
      <c r="F2580">
        <v>2</v>
      </c>
      <c r="G2580" s="2">
        <v>488.71</v>
      </c>
      <c r="H2580">
        <v>0.34</v>
      </c>
      <c r="I2580" t="s">
        <v>71</v>
      </c>
      <c r="J2580">
        <v>6</v>
      </c>
      <c r="K2580">
        <v>4.5999999999999996</v>
      </c>
      <c r="L2580" s="2">
        <v>645.1</v>
      </c>
      <c r="M2580">
        <v>2029</v>
      </c>
      <c r="N2580">
        <v>1</v>
      </c>
      <c r="O2580" t="s">
        <v>164</v>
      </c>
      <c r="P2580" s="2">
        <v>977.42</v>
      </c>
      <c r="Q2580" s="2">
        <v>332.32</v>
      </c>
      <c r="R2580" t="s">
        <v>72</v>
      </c>
      <c r="S2580">
        <v>1</v>
      </c>
      <c r="T2580">
        <v>0</v>
      </c>
      <c r="U2580">
        <f>IF(AND(OR(Dashboard!$D$4="Semua",D2580=Dashboard!$D$4),OR(Dashboard!$H$4="Semua",E2580=Dashboard!$H$4)),1,0)</f>
        <v>1</v>
      </c>
      <c r="V2580">
        <f>IF(U2580=1,IF(COUNTIFS($C$2:C2580,C2580,$U$2:U2580,1)=1,1,0),0)</f>
        <v>0</v>
      </c>
    </row>
    <row r="2581" spans="1:22" x14ac:dyDescent="0.35">
      <c r="A2581">
        <v>12580</v>
      </c>
      <c r="B2581" s="1">
        <v>47141</v>
      </c>
      <c r="C2581">
        <v>1749</v>
      </c>
      <c r="D2581" t="s">
        <v>67</v>
      </c>
      <c r="E2581" t="s">
        <v>63</v>
      </c>
      <c r="F2581">
        <v>2</v>
      </c>
      <c r="G2581" s="2">
        <v>253.45</v>
      </c>
      <c r="H2581">
        <v>0.14000000000000001</v>
      </c>
      <c r="I2581" t="s">
        <v>71</v>
      </c>
      <c r="J2581">
        <v>3</v>
      </c>
      <c r="K2581">
        <v>2</v>
      </c>
      <c r="L2581" s="2">
        <v>435.93</v>
      </c>
      <c r="M2581">
        <v>2029</v>
      </c>
      <c r="N2581">
        <v>1</v>
      </c>
      <c r="O2581" t="s">
        <v>164</v>
      </c>
      <c r="P2581" s="2">
        <v>506.9</v>
      </c>
      <c r="Q2581" s="2">
        <v>70.97</v>
      </c>
      <c r="R2581" t="s">
        <v>79</v>
      </c>
      <c r="S2581">
        <v>1</v>
      </c>
      <c r="T2581">
        <v>0</v>
      </c>
      <c r="U2581">
        <f>IF(AND(OR(Dashboard!$D$4="Semua",D2581=Dashboard!$D$4),OR(Dashboard!$H$4="Semua",E2581=Dashboard!$H$4)),1,0)</f>
        <v>1</v>
      </c>
      <c r="V2581">
        <f>IF(U2581=1,IF(COUNTIFS($C$2:C2581,C2581,$U$2:U2581,1)=1,1,0),0)</f>
        <v>0</v>
      </c>
    </row>
    <row r="2582" spans="1:22" x14ac:dyDescent="0.35">
      <c r="A2582">
        <v>12581</v>
      </c>
      <c r="B2582" s="1">
        <v>47142</v>
      </c>
      <c r="C2582">
        <v>1355</v>
      </c>
      <c r="D2582" t="s">
        <v>73</v>
      </c>
      <c r="E2582" t="s">
        <v>78</v>
      </c>
      <c r="F2582">
        <v>7</v>
      </c>
      <c r="G2582" s="2">
        <v>30.48</v>
      </c>
      <c r="H2582">
        <v>0.01</v>
      </c>
      <c r="I2582" t="s">
        <v>68</v>
      </c>
      <c r="J2582">
        <v>5</v>
      </c>
      <c r="K2582">
        <v>4.0999999999999996</v>
      </c>
      <c r="L2582" s="2">
        <v>211.23</v>
      </c>
      <c r="M2582">
        <v>2029</v>
      </c>
      <c r="N2582">
        <v>1</v>
      </c>
      <c r="O2582" t="s">
        <v>164</v>
      </c>
      <c r="P2582" s="2">
        <v>213.36</v>
      </c>
      <c r="Q2582" s="2">
        <v>2.13</v>
      </c>
      <c r="R2582" t="s">
        <v>75</v>
      </c>
      <c r="S2582">
        <v>1</v>
      </c>
      <c r="T2582">
        <v>0</v>
      </c>
      <c r="U2582">
        <f>IF(AND(OR(Dashboard!$D$4="Semua",D2582=Dashboard!$D$4),OR(Dashboard!$H$4="Semua",E2582=Dashboard!$H$4)),1,0)</f>
        <v>1</v>
      </c>
      <c r="V2582">
        <f>IF(U2582=1,IF(COUNTIFS($C$2:C2582,C2582,$U$2:U2582,1)=1,1,0),0)</f>
        <v>0</v>
      </c>
    </row>
    <row r="2583" spans="1:22" x14ac:dyDescent="0.35">
      <c r="A2583">
        <v>12582</v>
      </c>
      <c r="B2583" s="1">
        <v>47143</v>
      </c>
      <c r="C2583">
        <v>1684</v>
      </c>
      <c r="D2583" t="s">
        <v>73</v>
      </c>
      <c r="E2583" t="s">
        <v>63</v>
      </c>
      <c r="F2583">
        <v>4</v>
      </c>
      <c r="G2583" s="2">
        <v>48.97</v>
      </c>
      <c r="H2583">
        <v>0.21</v>
      </c>
      <c r="I2583" t="s">
        <v>64</v>
      </c>
      <c r="J2583">
        <v>3</v>
      </c>
      <c r="K2583">
        <v>3.1</v>
      </c>
      <c r="L2583" s="2">
        <v>154.75</v>
      </c>
      <c r="M2583">
        <v>2029</v>
      </c>
      <c r="N2583">
        <v>1</v>
      </c>
      <c r="O2583" t="s">
        <v>164</v>
      </c>
      <c r="P2583" s="2">
        <v>195.88</v>
      </c>
      <c r="Q2583" s="2">
        <v>41.13</v>
      </c>
      <c r="R2583" t="s">
        <v>77</v>
      </c>
      <c r="S2583">
        <v>1</v>
      </c>
      <c r="T2583">
        <v>0</v>
      </c>
      <c r="U2583">
        <f>IF(AND(OR(Dashboard!$D$4="Semua",D2583=Dashboard!$D$4),OR(Dashboard!$H$4="Semua",E2583=Dashboard!$H$4)),1,0)</f>
        <v>1</v>
      </c>
      <c r="V2583">
        <f>IF(U2583=1,IF(COUNTIFS($C$2:C2583,C2583,$U$2:U2583,1)=1,1,0),0)</f>
        <v>0</v>
      </c>
    </row>
    <row r="2584" spans="1:22" x14ac:dyDescent="0.35">
      <c r="A2584">
        <v>12583</v>
      </c>
      <c r="B2584" s="1">
        <v>47144</v>
      </c>
      <c r="C2584">
        <v>1903</v>
      </c>
      <c r="D2584" t="s">
        <v>73</v>
      </c>
      <c r="E2584" t="s">
        <v>70</v>
      </c>
      <c r="F2584">
        <v>1</v>
      </c>
      <c r="G2584" s="2">
        <v>515.9</v>
      </c>
      <c r="H2584">
        <v>0.1</v>
      </c>
      <c r="I2584" t="s">
        <v>71</v>
      </c>
      <c r="J2584">
        <v>2</v>
      </c>
      <c r="K2584">
        <v>2.6</v>
      </c>
      <c r="L2584" s="2">
        <v>464.31</v>
      </c>
      <c r="M2584">
        <v>2029</v>
      </c>
      <c r="N2584">
        <v>1</v>
      </c>
      <c r="O2584" t="s">
        <v>164</v>
      </c>
      <c r="P2584" s="2">
        <v>515.9</v>
      </c>
      <c r="Q2584" s="2">
        <v>51.59</v>
      </c>
      <c r="R2584" t="s">
        <v>69</v>
      </c>
      <c r="S2584">
        <v>1</v>
      </c>
      <c r="T2584">
        <v>0</v>
      </c>
      <c r="U2584">
        <f>IF(AND(OR(Dashboard!$D$4="Semua",D2584=Dashboard!$D$4),OR(Dashboard!$H$4="Semua",E2584=Dashboard!$H$4)),1,0)</f>
        <v>1</v>
      </c>
      <c r="V2584">
        <f>IF(U2584=1,IF(COUNTIFS($C$2:C2584,C2584,$U$2:U2584,1)=1,1,0),0)</f>
        <v>1</v>
      </c>
    </row>
    <row r="2585" spans="1:22" x14ac:dyDescent="0.35">
      <c r="A2585">
        <v>12584</v>
      </c>
      <c r="B2585" s="1">
        <v>47145</v>
      </c>
      <c r="C2585">
        <v>1732</v>
      </c>
      <c r="D2585" t="s">
        <v>62</v>
      </c>
      <c r="E2585" t="s">
        <v>70</v>
      </c>
      <c r="F2585">
        <v>4</v>
      </c>
      <c r="G2585" s="2">
        <v>576.95000000000005</v>
      </c>
      <c r="H2585">
        <v>0.15</v>
      </c>
      <c r="I2585" t="s">
        <v>71</v>
      </c>
      <c r="J2585">
        <v>7</v>
      </c>
      <c r="K2585">
        <v>4.0999999999999996</v>
      </c>
      <c r="L2585" s="2">
        <v>1961.63</v>
      </c>
      <c r="M2585">
        <v>2029</v>
      </c>
      <c r="N2585">
        <v>1</v>
      </c>
      <c r="O2585" t="s">
        <v>164</v>
      </c>
      <c r="P2585" s="2">
        <v>2307.8000000000002</v>
      </c>
      <c r="Q2585" s="2">
        <v>346.17</v>
      </c>
      <c r="R2585" t="s">
        <v>79</v>
      </c>
      <c r="S2585">
        <v>1</v>
      </c>
      <c r="T2585">
        <v>0</v>
      </c>
      <c r="U2585">
        <f>IF(AND(OR(Dashboard!$D$4="Semua",D2585=Dashboard!$D$4),OR(Dashboard!$H$4="Semua",E2585=Dashboard!$H$4)),1,0)</f>
        <v>1</v>
      </c>
      <c r="V2585">
        <f>IF(U2585=1,IF(COUNTIFS($C$2:C2585,C2585,$U$2:U2585,1)=1,1,0),0)</f>
        <v>0</v>
      </c>
    </row>
    <row r="2586" spans="1:22" x14ac:dyDescent="0.35">
      <c r="A2586">
        <v>12585</v>
      </c>
      <c r="B2586" s="1">
        <v>47146</v>
      </c>
      <c r="C2586">
        <v>1630</v>
      </c>
      <c r="D2586" t="s">
        <v>80</v>
      </c>
      <c r="E2586" t="s">
        <v>63</v>
      </c>
      <c r="F2586">
        <v>2</v>
      </c>
      <c r="G2586" s="2">
        <v>417.72</v>
      </c>
      <c r="H2586">
        <v>0.17</v>
      </c>
      <c r="I2586" t="s">
        <v>68</v>
      </c>
      <c r="J2586">
        <v>10</v>
      </c>
      <c r="K2586">
        <v>3.3</v>
      </c>
      <c r="L2586" s="2">
        <v>693.42</v>
      </c>
      <c r="M2586">
        <v>2029</v>
      </c>
      <c r="N2586">
        <v>1</v>
      </c>
      <c r="O2586" t="s">
        <v>164</v>
      </c>
      <c r="P2586" s="2">
        <v>835.44</v>
      </c>
      <c r="Q2586" s="2">
        <v>142.02000000000001</v>
      </c>
      <c r="R2586" t="s">
        <v>76</v>
      </c>
      <c r="S2586">
        <v>1</v>
      </c>
      <c r="T2586">
        <v>0</v>
      </c>
      <c r="U2586">
        <f>IF(AND(OR(Dashboard!$D$4="Semua",D2586=Dashboard!$D$4),OR(Dashboard!$H$4="Semua",E2586=Dashboard!$H$4)),1,0)</f>
        <v>1</v>
      </c>
      <c r="V2586">
        <f>IF(U2586=1,IF(COUNTIFS($C$2:C2586,C2586,$U$2:U2586,1)=1,1,0),0)</f>
        <v>0</v>
      </c>
    </row>
    <row r="2587" spans="1:22" x14ac:dyDescent="0.35">
      <c r="A2587">
        <v>12586</v>
      </c>
      <c r="B2587" s="1">
        <v>47147</v>
      </c>
      <c r="C2587">
        <v>1308</v>
      </c>
      <c r="D2587" t="s">
        <v>80</v>
      </c>
      <c r="E2587" t="s">
        <v>63</v>
      </c>
      <c r="F2587">
        <v>1</v>
      </c>
      <c r="G2587" s="2">
        <v>228.16</v>
      </c>
      <c r="H2587">
        <v>0.02</v>
      </c>
      <c r="I2587" t="s">
        <v>64</v>
      </c>
      <c r="J2587">
        <v>11</v>
      </c>
      <c r="K2587">
        <v>3.5</v>
      </c>
      <c r="L2587" s="2">
        <v>223.6</v>
      </c>
      <c r="M2587">
        <v>2029</v>
      </c>
      <c r="N2587">
        <v>1</v>
      </c>
      <c r="O2587" t="s">
        <v>164</v>
      </c>
      <c r="P2587" s="2">
        <v>228.16</v>
      </c>
      <c r="Q2587" s="2">
        <v>4.5599999999999996</v>
      </c>
      <c r="R2587" t="s">
        <v>75</v>
      </c>
      <c r="S2587">
        <v>1</v>
      </c>
      <c r="T2587">
        <v>0</v>
      </c>
      <c r="U2587">
        <f>IF(AND(OR(Dashboard!$D$4="Semua",D2587=Dashboard!$D$4),OR(Dashboard!$H$4="Semua",E2587=Dashboard!$H$4)),1,0)</f>
        <v>1</v>
      </c>
      <c r="V2587">
        <f>IF(U2587=1,IF(COUNTIFS($C$2:C2587,C2587,$U$2:U2587,1)=1,1,0),0)</f>
        <v>0</v>
      </c>
    </row>
    <row r="2588" spans="1:22" x14ac:dyDescent="0.35">
      <c r="A2588">
        <v>12587</v>
      </c>
      <c r="B2588" s="1">
        <v>47148</v>
      </c>
      <c r="C2588">
        <v>1694</v>
      </c>
      <c r="D2588" t="s">
        <v>73</v>
      </c>
      <c r="E2588" t="s">
        <v>74</v>
      </c>
      <c r="F2588">
        <v>5</v>
      </c>
      <c r="G2588" s="2">
        <v>564.08000000000004</v>
      </c>
      <c r="H2588">
        <v>0.17</v>
      </c>
      <c r="I2588" t="s">
        <v>68</v>
      </c>
      <c r="J2588">
        <v>7</v>
      </c>
      <c r="K2588">
        <v>1.2</v>
      </c>
      <c r="L2588" s="2">
        <v>2340.9299999999998</v>
      </c>
      <c r="M2588">
        <v>2029</v>
      </c>
      <c r="N2588">
        <v>1</v>
      </c>
      <c r="O2588" t="s">
        <v>164</v>
      </c>
      <c r="P2588" s="2">
        <v>2820.4</v>
      </c>
      <c r="Q2588" s="2">
        <v>479.47</v>
      </c>
      <c r="R2588" t="s">
        <v>76</v>
      </c>
      <c r="S2588">
        <v>1</v>
      </c>
      <c r="T2588">
        <v>0</v>
      </c>
      <c r="U2588">
        <f>IF(AND(OR(Dashboard!$D$4="Semua",D2588=Dashboard!$D$4),OR(Dashboard!$H$4="Semua",E2588=Dashboard!$H$4)),1,0)</f>
        <v>1</v>
      </c>
      <c r="V2588">
        <f>IF(U2588=1,IF(COUNTIFS($C$2:C2588,C2588,$U$2:U2588,1)=1,1,0),0)</f>
        <v>0</v>
      </c>
    </row>
    <row r="2589" spans="1:22" x14ac:dyDescent="0.35">
      <c r="A2589">
        <v>12588</v>
      </c>
      <c r="B2589" s="1">
        <v>47149</v>
      </c>
      <c r="C2589">
        <v>1287</v>
      </c>
      <c r="D2589" t="s">
        <v>73</v>
      </c>
      <c r="E2589" t="s">
        <v>63</v>
      </c>
      <c r="F2589">
        <v>3</v>
      </c>
      <c r="G2589" s="2">
        <v>402.74</v>
      </c>
      <c r="H2589">
        <v>0.15</v>
      </c>
      <c r="I2589" t="s">
        <v>71</v>
      </c>
      <c r="J2589">
        <v>8</v>
      </c>
      <c r="K2589">
        <v>3.3</v>
      </c>
      <c r="L2589" s="2">
        <v>1026.99</v>
      </c>
      <c r="M2589">
        <v>2029</v>
      </c>
      <c r="N2589">
        <v>1</v>
      </c>
      <c r="O2589" t="s">
        <v>164</v>
      </c>
      <c r="P2589" s="2">
        <v>1208.22</v>
      </c>
      <c r="Q2589" s="2">
        <v>181.23</v>
      </c>
      <c r="R2589" t="s">
        <v>79</v>
      </c>
      <c r="S2589">
        <v>1</v>
      </c>
      <c r="T2589">
        <v>0</v>
      </c>
      <c r="U2589">
        <f>IF(AND(OR(Dashboard!$D$4="Semua",D2589=Dashboard!$D$4),OR(Dashboard!$H$4="Semua",E2589=Dashboard!$H$4)),1,0)</f>
        <v>1</v>
      </c>
      <c r="V2589">
        <f>IF(U2589=1,IF(COUNTIFS($C$2:C2589,C2589,$U$2:U2589,1)=1,1,0),0)</f>
        <v>0</v>
      </c>
    </row>
    <row r="2590" spans="1:22" x14ac:dyDescent="0.35">
      <c r="A2590">
        <v>12589</v>
      </c>
      <c r="B2590" s="1">
        <v>47150</v>
      </c>
      <c r="C2590">
        <v>1306</v>
      </c>
      <c r="D2590" t="s">
        <v>80</v>
      </c>
      <c r="E2590" t="s">
        <v>63</v>
      </c>
      <c r="F2590">
        <v>4</v>
      </c>
      <c r="G2590" s="2">
        <v>508.94</v>
      </c>
      <c r="H2590">
        <v>0.25</v>
      </c>
      <c r="I2590" t="s">
        <v>68</v>
      </c>
      <c r="J2590">
        <v>1</v>
      </c>
      <c r="K2590">
        <v>2.2000000000000002</v>
      </c>
      <c r="L2590" s="2">
        <v>1526.82</v>
      </c>
      <c r="M2590">
        <v>2029</v>
      </c>
      <c r="N2590">
        <v>2</v>
      </c>
      <c r="O2590" t="s">
        <v>165</v>
      </c>
      <c r="P2590" s="2">
        <v>2035.76</v>
      </c>
      <c r="Q2590" s="2">
        <v>508.94</v>
      </c>
      <c r="R2590" t="s">
        <v>77</v>
      </c>
      <c r="S2590">
        <v>1</v>
      </c>
      <c r="T2590">
        <v>0</v>
      </c>
      <c r="U2590">
        <f>IF(AND(OR(Dashboard!$D$4="Semua",D2590=Dashboard!$D$4),OR(Dashboard!$H$4="Semua",E2590=Dashboard!$H$4)),1,0)</f>
        <v>1</v>
      </c>
      <c r="V2590">
        <f>IF(U2590=1,IF(COUNTIFS($C$2:C2590,C2590,$U$2:U2590,1)=1,1,0),0)</f>
        <v>1</v>
      </c>
    </row>
    <row r="2591" spans="1:22" x14ac:dyDescent="0.35">
      <c r="A2591">
        <v>12590</v>
      </c>
      <c r="B2591" s="1">
        <v>47151</v>
      </c>
      <c r="C2591">
        <v>1811</v>
      </c>
      <c r="D2591" t="s">
        <v>67</v>
      </c>
      <c r="E2591" t="s">
        <v>74</v>
      </c>
      <c r="F2591">
        <v>6</v>
      </c>
      <c r="G2591" s="2">
        <v>463.02</v>
      </c>
      <c r="H2591">
        <v>0.23</v>
      </c>
      <c r="I2591" t="s">
        <v>71</v>
      </c>
      <c r="J2591">
        <v>2</v>
      </c>
      <c r="K2591">
        <v>3</v>
      </c>
      <c r="L2591" s="2">
        <v>2139.15</v>
      </c>
      <c r="M2591">
        <v>2029</v>
      </c>
      <c r="N2591">
        <v>2</v>
      </c>
      <c r="O2591" t="s">
        <v>165</v>
      </c>
      <c r="P2591" s="2">
        <v>2778.12</v>
      </c>
      <c r="Q2591" s="2">
        <v>638.97</v>
      </c>
      <c r="R2591" t="s">
        <v>77</v>
      </c>
      <c r="S2591">
        <v>1</v>
      </c>
      <c r="T2591">
        <v>0</v>
      </c>
      <c r="U2591">
        <f>IF(AND(OR(Dashboard!$D$4="Semua",D2591=Dashboard!$D$4),OR(Dashboard!$H$4="Semua",E2591=Dashboard!$H$4)),1,0)</f>
        <v>1</v>
      </c>
      <c r="V2591">
        <f>IF(U2591=1,IF(COUNTIFS($C$2:C2591,C2591,$U$2:U2591,1)=1,1,0),0)</f>
        <v>0</v>
      </c>
    </row>
    <row r="2592" spans="1:22" x14ac:dyDescent="0.35">
      <c r="A2592">
        <v>12591</v>
      </c>
      <c r="B2592" s="1">
        <v>47152</v>
      </c>
      <c r="C2592">
        <v>1593</v>
      </c>
      <c r="D2592" t="s">
        <v>73</v>
      </c>
      <c r="E2592" t="s">
        <v>63</v>
      </c>
      <c r="F2592">
        <v>2</v>
      </c>
      <c r="G2592" s="2">
        <v>236.8</v>
      </c>
      <c r="H2592">
        <v>0.06</v>
      </c>
      <c r="I2592" t="s">
        <v>68</v>
      </c>
      <c r="J2592">
        <v>2</v>
      </c>
      <c r="K2592">
        <v>1.9</v>
      </c>
      <c r="L2592" s="2">
        <v>445.18</v>
      </c>
      <c r="M2592">
        <v>2029</v>
      </c>
      <c r="N2592">
        <v>2</v>
      </c>
      <c r="O2592" t="s">
        <v>165</v>
      </c>
      <c r="P2592" s="2">
        <v>473.6</v>
      </c>
      <c r="Q2592" s="2">
        <v>28.42</v>
      </c>
      <c r="R2592" t="s">
        <v>69</v>
      </c>
      <c r="S2592">
        <v>1</v>
      </c>
      <c r="T2592">
        <v>0</v>
      </c>
      <c r="U2592">
        <f>IF(AND(OR(Dashboard!$D$4="Semua",D2592=Dashboard!$D$4),OR(Dashboard!$H$4="Semua",E2592=Dashboard!$H$4)),1,0)</f>
        <v>1</v>
      </c>
      <c r="V2592">
        <f>IF(U2592=1,IF(COUNTIFS($C$2:C2592,C2592,$U$2:U2592,1)=1,1,0),0)</f>
        <v>0</v>
      </c>
    </row>
    <row r="2593" spans="1:22" x14ac:dyDescent="0.35">
      <c r="A2593">
        <v>12592</v>
      </c>
      <c r="B2593" s="1">
        <v>47153</v>
      </c>
      <c r="C2593">
        <v>1965</v>
      </c>
      <c r="D2593" t="s">
        <v>67</v>
      </c>
      <c r="E2593" t="s">
        <v>70</v>
      </c>
      <c r="F2593">
        <v>1</v>
      </c>
      <c r="G2593" s="2">
        <v>295.04000000000002</v>
      </c>
      <c r="H2593">
        <v>7.0000000000000007E-2</v>
      </c>
      <c r="I2593" t="s">
        <v>68</v>
      </c>
      <c r="J2593">
        <v>3</v>
      </c>
      <c r="K2593">
        <v>3.5</v>
      </c>
      <c r="L2593" s="2">
        <v>274.39</v>
      </c>
      <c r="M2593">
        <v>2029</v>
      </c>
      <c r="N2593">
        <v>2</v>
      </c>
      <c r="O2593" t="s">
        <v>165</v>
      </c>
      <c r="P2593" s="2">
        <v>295.04000000000002</v>
      </c>
      <c r="Q2593" s="2">
        <v>20.65</v>
      </c>
      <c r="R2593" t="s">
        <v>69</v>
      </c>
      <c r="S2593">
        <v>1</v>
      </c>
      <c r="T2593">
        <v>0</v>
      </c>
      <c r="U2593">
        <f>IF(AND(OR(Dashboard!$D$4="Semua",D2593=Dashboard!$D$4),OR(Dashboard!$H$4="Semua",E2593=Dashboard!$H$4)),1,0)</f>
        <v>1</v>
      </c>
      <c r="V2593">
        <f>IF(U2593=1,IF(COUNTIFS($C$2:C2593,C2593,$U$2:U2593,1)=1,1,0),0)</f>
        <v>0</v>
      </c>
    </row>
    <row r="2594" spans="1:22" x14ac:dyDescent="0.35">
      <c r="A2594">
        <v>12593</v>
      </c>
      <c r="B2594" s="1">
        <v>47154</v>
      </c>
      <c r="C2594">
        <v>1913</v>
      </c>
      <c r="D2594" t="s">
        <v>73</v>
      </c>
      <c r="E2594" t="s">
        <v>63</v>
      </c>
      <c r="F2594">
        <v>7</v>
      </c>
      <c r="G2594" s="2">
        <v>123.89</v>
      </c>
      <c r="H2594">
        <v>0.09</v>
      </c>
      <c r="I2594" t="s">
        <v>64</v>
      </c>
      <c r="J2594">
        <v>7</v>
      </c>
      <c r="K2594">
        <v>1.6</v>
      </c>
      <c r="L2594" s="2">
        <v>789.18</v>
      </c>
      <c r="M2594">
        <v>2029</v>
      </c>
      <c r="N2594">
        <v>2</v>
      </c>
      <c r="O2594" t="s">
        <v>165</v>
      </c>
      <c r="P2594" s="2">
        <v>867.23</v>
      </c>
      <c r="Q2594" s="2">
        <v>78.05</v>
      </c>
      <c r="R2594" t="s">
        <v>69</v>
      </c>
      <c r="S2594">
        <v>1</v>
      </c>
      <c r="T2594">
        <v>0</v>
      </c>
      <c r="U2594">
        <f>IF(AND(OR(Dashboard!$D$4="Semua",D2594=Dashboard!$D$4),OR(Dashboard!$H$4="Semua",E2594=Dashboard!$H$4)),1,0)</f>
        <v>1</v>
      </c>
      <c r="V2594">
        <f>IF(U2594=1,IF(COUNTIFS($C$2:C2594,C2594,$U$2:U2594,1)=1,1,0),0)</f>
        <v>0</v>
      </c>
    </row>
    <row r="2595" spans="1:22" x14ac:dyDescent="0.35">
      <c r="A2595">
        <v>12594</v>
      </c>
      <c r="B2595" s="1">
        <v>47155</v>
      </c>
      <c r="C2595">
        <v>1722</v>
      </c>
      <c r="D2595" t="s">
        <v>73</v>
      </c>
      <c r="E2595" t="s">
        <v>78</v>
      </c>
      <c r="F2595">
        <v>7</v>
      </c>
      <c r="G2595" s="2">
        <v>185.83</v>
      </c>
      <c r="H2595">
        <v>0.06</v>
      </c>
      <c r="I2595" t="s">
        <v>68</v>
      </c>
      <c r="J2595">
        <v>7</v>
      </c>
      <c r="K2595">
        <v>1.5</v>
      </c>
      <c r="L2595" s="2">
        <v>1222.76</v>
      </c>
      <c r="M2595">
        <v>2029</v>
      </c>
      <c r="N2595">
        <v>2</v>
      </c>
      <c r="O2595" t="s">
        <v>165</v>
      </c>
      <c r="P2595" s="2">
        <v>1300.81</v>
      </c>
      <c r="Q2595" s="2">
        <v>78.05</v>
      </c>
      <c r="R2595" t="s">
        <v>69</v>
      </c>
      <c r="S2595">
        <v>1</v>
      </c>
      <c r="T2595">
        <v>0</v>
      </c>
      <c r="U2595">
        <f>IF(AND(OR(Dashboard!$D$4="Semua",D2595=Dashboard!$D$4),OR(Dashboard!$H$4="Semua",E2595=Dashboard!$H$4)),1,0)</f>
        <v>1</v>
      </c>
      <c r="V2595">
        <f>IF(U2595=1,IF(COUNTIFS($C$2:C2595,C2595,$U$2:U2595,1)=1,1,0),0)</f>
        <v>0</v>
      </c>
    </row>
    <row r="2596" spans="1:22" x14ac:dyDescent="0.35">
      <c r="A2596">
        <v>12595</v>
      </c>
      <c r="B2596" s="1">
        <v>47156</v>
      </c>
      <c r="C2596">
        <v>1661</v>
      </c>
      <c r="D2596" t="s">
        <v>67</v>
      </c>
      <c r="E2596" t="s">
        <v>70</v>
      </c>
      <c r="F2596">
        <v>7</v>
      </c>
      <c r="G2596" s="2">
        <v>470.2</v>
      </c>
      <c r="H2596">
        <v>0.23</v>
      </c>
      <c r="I2596" t="s">
        <v>68</v>
      </c>
      <c r="J2596">
        <v>7</v>
      </c>
      <c r="K2596">
        <v>1.8</v>
      </c>
      <c r="L2596" s="2">
        <v>2534.38</v>
      </c>
      <c r="M2596">
        <v>2029</v>
      </c>
      <c r="N2596">
        <v>2</v>
      </c>
      <c r="O2596" t="s">
        <v>165</v>
      </c>
      <c r="P2596" s="2">
        <v>3291.4</v>
      </c>
      <c r="Q2596" s="2">
        <v>757.02</v>
      </c>
      <c r="R2596" t="s">
        <v>77</v>
      </c>
      <c r="S2596">
        <v>1</v>
      </c>
      <c r="T2596">
        <v>0</v>
      </c>
      <c r="U2596">
        <f>IF(AND(OR(Dashboard!$D$4="Semua",D2596=Dashboard!$D$4),OR(Dashboard!$H$4="Semua",E2596=Dashboard!$H$4)),1,0)</f>
        <v>1</v>
      </c>
      <c r="V2596">
        <f>IF(U2596=1,IF(COUNTIFS($C$2:C2596,C2596,$U$2:U2596,1)=1,1,0),0)</f>
        <v>0</v>
      </c>
    </row>
    <row r="2597" spans="1:22" x14ac:dyDescent="0.35">
      <c r="A2597">
        <v>12596</v>
      </c>
      <c r="B2597" s="1">
        <v>47157</v>
      </c>
      <c r="C2597">
        <v>1548</v>
      </c>
      <c r="D2597" t="s">
        <v>73</v>
      </c>
      <c r="E2597" t="s">
        <v>74</v>
      </c>
      <c r="F2597">
        <v>1</v>
      </c>
      <c r="G2597" s="2">
        <v>537.98</v>
      </c>
      <c r="H2597">
        <v>0.35</v>
      </c>
      <c r="I2597" t="s">
        <v>71</v>
      </c>
      <c r="J2597">
        <v>1</v>
      </c>
      <c r="K2597">
        <v>4.3</v>
      </c>
      <c r="L2597" s="2">
        <v>349.69</v>
      </c>
      <c r="M2597">
        <v>2029</v>
      </c>
      <c r="N2597">
        <v>2</v>
      </c>
      <c r="O2597" t="s">
        <v>165</v>
      </c>
      <c r="P2597" s="2">
        <v>537.98</v>
      </c>
      <c r="Q2597" s="2">
        <v>188.29</v>
      </c>
      <c r="R2597" t="s">
        <v>72</v>
      </c>
      <c r="S2597">
        <v>1</v>
      </c>
      <c r="T2597">
        <v>0</v>
      </c>
      <c r="U2597">
        <f>IF(AND(OR(Dashboard!$D$4="Semua",D2597=Dashboard!$D$4),OR(Dashboard!$H$4="Semua",E2597=Dashboard!$H$4)),1,0)</f>
        <v>1</v>
      </c>
      <c r="V2597">
        <f>IF(U2597=1,IF(COUNTIFS($C$2:C2597,C2597,$U$2:U2597,1)=1,1,0),0)</f>
        <v>1</v>
      </c>
    </row>
    <row r="2598" spans="1:22" x14ac:dyDescent="0.35">
      <c r="A2598">
        <v>12597</v>
      </c>
      <c r="B2598" s="1">
        <v>47158</v>
      </c>
      <c r="C2598">
        <v>1351</v>
      </c>
      <c r="D2598" t="s">
        <v>62</v>
      </c>
      <c r="E2598" t="s">
        <v>70</v>
      </c>
      <c r="F2598">
        <v>5</v>
      </c>
      <c r="G2598" s="2">
        <v>438.81</v>
      </c>
      <c r="H2598">
        <v>0.23</v>
      </c>
      <c r="I2598" t="s">
        <v>71</v>
      </c>
      <c r="J2598">
        <v>2</v>
      </c>
      <c r="K2598">
        <v>1.1000000000000001</v>
      </c>
      <c r="L2598" s="2">
        <v>1689.42</v>
      </c>
      <c r="M2598">
        <v>2029</v>
      </c>
      <c r="N2598">
        <v>2</v>
      </c>
      <c r="O2598" t="s">
        <v>165</v>
      </c>
      <c r="P2598" s="2">
        <v>2194.0500000000002</v>
      </c>
      <c r="Q2598" s="2">
        <v>504.63</v>
      </c>
      <c r="R2598" t="s">
        <v>77</v>
      </c>
      <c r="S2598">
        <v>1</v>
      </c>
      <c r="T2598">
        <v>0</v>
      </c>
      <c r="U2598">
        <f>IF(AND(OR(Dashboard!$D$4="Semua",D2598=Dashboard!$D$4),OR(Dashboard!$H$4="Semua",E2598=Dashboard!$H$4)),1,0)</f>
        <v>1</v>
      </c>
      <c r="V2598">
        <f>IF(U2598=1,IF(COUNTIFS($C$2:C2598,C2598,$U$2:U2598,1)=1,1,0),0)</f>
        <v>1</v>
      </c>
    </row>
    <row r="2599" spans="1:22" x14ac:dyDescent="0.35">
      <c r="A2599">
        <v>12598</v>
      </c>
      <c r="B2599" s="1">
        <v>47159</v>
      </c>
      <c r="C2599">
        <v>1311</v>
      </c>
      <c r="D2599" t="s">
        <v>73</v>
      </c>
      <c r="E2599" t="s">
        <v>74</v>
      </c>
      <c r="F2599">
        <v>4</v>
      </c>
      <c r="G2599" s="2">
        <v>287.13</v>
      </c>
      <c r="H2599">
        <v>0.21</v>
      </c>
      <c r="I2599" t="s">
        <v>68</v>
      </c>
      <c r="J2599">
        <v>8</v>
      </c>
      <c r="K2599">
        <v>3.9</v>
      </c>
      <c r="L2599" s="2">
        <v>907.33</v>
      </c>
      <c r="M2599">
        <v>2029</v>
      </c>
      <c r="N2599">
        <v>2</v>
      </c>
      <c r="O2599" t="s">
        <v>165</v>
      </c>
      <c r="P2599" s="2">
        <v>1148.52</v>
      </c>
      <c r="Q2599" s="2">
        <v>241.19</v>
      </c>
      <c r="R2599" t="s">
        <v>77</v>
      </c>
      <c r="S2599">
        <v>1</v>
      </c>
      <c r="T2599">
        <v>0</v>
      </c>
      <c r="U2599">
        <f>IF(AND(OR(Dashboard!$D$4="Semua",D2599=Dashboard!$D$4),OR(Dashboard!$H$4="Semua",E2599=Dashboard!$H$4)),1,0)</f>
        <v>1</v>
      </c>
      <c r="V2599">
        <f>IF(U2599=1,IF(COUNTIFS($C$2:C2599,C2599,$U$2:U2599,1)=1,1,0),0)</f>
        <v>0</v>
      </c>
    </row>
    <row r="2600" spans="1:22" x14ac:dyDescent="0.35">
      <c r="A2600">
        <v>12599</v>
      </c>
      <c r="B2600" s="1">
        <v>47160</v>
      </c>
      <c r="C2600">
        <v>1872</v>
      </c>
      <c r="D2600" t="s">
        <v>73</v>
      </c>
      <c r="E2600" t="s">
        <v>78</v>
      </c>
      <c r="F2600">
        <v>6</v>
      </c>
      <c r="G2600" s="2">
        <v>65.61</v>
      </c>
      <c r="H2600">
        <v>0.14000000000000001</v>
      </c>
      <c r="I2600" t="s">
        <v>68</v>
      </c>
      <c r="J2600">
        <v>9</v>
      </c>
      <c r="K2600">
        <v>1.2</v>
      </c>
      <c r="L2600" s="2">
        <v>338.55</v>
      </c>
      <c r="M2600">
        <v>2029</v>
      </c>
      <c r="N2600">
        <v>2</v>
      </c>
      <c r="O2600" t="s">
        <v>165</v>
      </c>
      <c r="P2600" s="2">
        <v>393.66</v>
      </c>
      <c r="Q2600" s="2">
        <v>55.11</v>
      </c>
      <c r="R2600" t="s">
        <v>79</v>
      </c>
      <c r="S2600">
        <v>1</v>
      </c>
      <c r="T2600">
        <v>0</v>
      </c>
      <c r="U2600">
        <f>IF(AND(OR(Dashboard!$D$4="Semua",D2600=Dashboard!$D$4),OR(Dashboard!$H$4="Semua",E2600=Dashboard!$H$4)),1,0)</f>
        <v>1</v>
      </c>
      <c r="V2600">
        <f>IF(U2600=1,IF(COUNTIFS($C$2:C2600,C2600,$U$2:U2600,1)=1,1,0),0)</f>
        <v>0</v>
      </c>
    </row>
    <row r="2601" spans="1:22" x14ac:dyDescent="0.35">
      <c r="A2601">
        <v>12600</v>
      </c>
      <c r="B2601" s="1">
        <v>47161</v>
      </c>
      <c r="C2601">
        <v>1058</v>
      </c>
      <c r="D2601" t="s">
        <v>73</v>
      </c>
      <c r="E2601" t="s">
        <v>78</v>
      </c>
      <c r="F2601">
        <v>7</v>
      </c>
      <c r="G2601" s="2">
        <v>48.31</v>
      </c>
      <c r="H2601">
        <v>0.11</v>
      </c>
      <c r="I2601" t="s">
        <v>64</v>
      </c>
      <c r="J2601">
        <v>10</v>
      </c>
      <c r="K2601">
        <v>3.4</v>
      </c>
      <c r="L2601" s="2">
        <v>300.97000000000003</v>
      </c>
      <c r="M2601">
        <v>2029</v>
      </c>
      <c r="N2601">
        <v>2</v>
      </c>
      <c r="O2601" t="s">
        <v>165</v>
      </c>
      <c r="P2601" s="2">
        <v>338.17</v>
      </c>
      <c r="Q2601" s="2">
        <v>37.200000000000003</v>
      </c>
      <c r="R2601" t="s">
        <v>79</v>
      </c>
      <c r="S2601">
        <v>1</v>
      </c>
      <c r="T2601">
        <v>0</v>
      </c>
      <c r="U2601">
        <f>IF(AND(OR(Dashboard!$D$4="Semua",D2601=Dashboard!$D$4),OR(Dashboard!$H$4="Semua",E2601=Dashboard!$H$4)),1,0)</f>
        <v>1</v>
      </c>
      <c r="V2601">
        <f>IF(U2601=1,IF(COUNTIFS($C$2:C2601,C2601,$U$2:U2601,1)=1,1,0),0)</f>
        <v>0</v>
      </c>
    </row>
    <row r="2602" spans="1:22" x14ac:dyDescent="0.35">
      <c r="A2602">
        <v>12601</v>
      </c>
      <c r="B2602" s="1">
        <v>47162</v>
      </c>
      <c r="C2602">
        <v>1642</v>
      </c>
      <c r="D2602" t="s">
        <v>80</v>
      </c>
      <c r="E2602" t="s">
        <v>70</v>
      </c>
      <c r="F2602">
        <v>1</v>
      </c>
      <c r="G2602" s="2">
        <v>233.98</v>
      </c>
      <c r="H2602">
        <v>0.32</v>
      </c>
      <c r="I2602" t="s">
        <v>71</v>
      </c>
      <c r="J2602">
        <v>7</v>
      </c>
      <c r="K2602">
        <v>4.0999999999999996</v>
      </c>
      <c r="L2602" s="2">
        <v>159.11000000000001</v>
      </c>
      <c r="M2602">
        <v>2029</v>
      </c>
      <c r="N2602">
        <v>2</v>
      </c>
      <c r="O2602" t="s">
        <v>165</v>
      </c>
      <c r="P2602" s="2">
        <v>233.98</v>
      </c>
      <c r="Q2602" s="2">
        <v>74.87</v>
      </c>
      <c r="R2602" t="s">
        <v>72</v>
      </c>
      <c r="S2602">
        <v>1</v>
      </c>
      <c r="T2602">
        <v>0</v>
      </c>
      <c r="U2602">
        <f>IF(AND(OR(Dashboard!$D$4="Semua",D2602=Dashboard!$D$4),OR(Dashboard!$H$4="Semua",E2602=Dashboard!$H$4)),1,0)</f>
        <v>1</v>
      </c>
      <c r="V2602">
        <f>IF(U2602=1,IF(COUNTIFS($C$2:C2602,C2602,$U$2:U2602,1)=1,1,0),0)</f>
        <v>0</v>
      </c>
    </row>
    <row r="2603" spans="1:22" x14ac:dyDescent="0.35">
      <c r="A2603">
        <v>12602</v>
      </c>
      <c r="B2603" s="1">
        <v>47163</v>
      </c>
      <c r="C2603">
        <v>1923</v>
      </c>
      <c r="D2603" t="s">
        <v>67</v>
      </c>
      <c r="E2603" t="s">
        <v>63</v>
      </c>
      <c r="F2603">
        <v>7</v>
      </c>
      <c r="G2603" s="2">
        <v>286.33999999999997</v>
      </c>
      <c r="H2603">
        <v>0.34</v>
      </c>
      <c r="I2603" t="s">
        <v>68</v>
      </c>
      <c r="J2603">
        <v>1</v>
      </c>
      <c r="K2603">
        <v>1.9</v>
      </c>
      <c r="L2603" s="2">
        <v>1322.89</v>
      </c>
      <c r="M2603">
        <v>2029</v>
      </c>
      <c r="N2603">
        <v>2</v>
      </c>
      <c r="O2603" t="s">
        <v>165</v>
      </c>
      <c r="P2603" s="2">
        <v>2004.38</v>
      </c>
      <c r="Q2603" s="2">
        <v>681.49</v>
      </c>
      <c r="R2603" t="s">
        <v>72</v>
      </c>
      <c r="S2603">
        <v>1</v>
      </c>
      <c r="T2603">
        <v>0</v>
      </c>
      <c r="U2603">
        <f>IF(AND(OR(Dashboard!$D$4="Semua",D2603=Dashboard!$D$4),OR(Dashboard!$H$4="Semua",E2603=Dashboard!$H$4)),1,0)</f>
        <v>1</v>
      </c>
      <c r="V2603">
        <f>IF(U2603=1,IF(COUNTIFS($C$2:C2603,C2603,$U$2:U2603,1)=1,1,0),0)</f>
        <v>1</v>
      </c>
    </row>
    <row r="2604" spans="1:22" x14ac:dyDescent="0.35">
      <c r="A2604">
        <v>12603</v>
      </c>
      <c r="B2604" s="1">
        <v>47164</v>
      </c>
      <c r="C2604">
        <v>1713</v>
      </c>
      <c r="D2604" t="s">
        <v>67</v>
      </c>
      <c r="E2604" t="s">
        <v>70</v>
      </c>
      <c r="F2604">
        <v>5</v>
      </c>
      <c r="G2604" s="2">
        <v>371.34</v>
      </c>
      <c r="H2604">
        <v>0.17</v>
      </c>
      <c r="I2604" t="s">
        <v>64</v>
      </c>
      <c r="J2604">
        <v>4</v>
      </c>
      <c r="K2604">
        <v>1.8</v>
      </c>
      <c r="L2604" s="2">
        <v>1541.06</v>
      </c>
      <c r="M2604">
        <v>2029</v>
      </c>
      <c r="N2604">
        <v>2</v>
      </c>
      <c r="O2604" t="s">
        <v>165</v>
      </c>
      <c r="P2604" s="2">
        <v>1856.7</v>
      </c>
      <c r="Q2604" s="2">
        <v>315.64</v>
      </c>
      <c r="R2604" t="s">
        <v>76</v>
      </c>
      <c r="S2604">
        <v>1</v>
      </c>
      <c r="T2604">
        <v>0</v>
      </c>
      <c r="U2604">
        <f>IF(AND(OR(Dashboard!$D$4="Semua",D2604=Dashboard!$D$4),OR(Dashboard!$H$4="Semua",E2604=Dashboard!$H$4)),1,0)</f>
        <v>1</v>
      </c>
      <c r="V2604">
        <f>IF(U2604=1,IF(COUNTIFS($C$2:C2604,C2604,$U$2:U2604,1)=1,1,0),0)</f>
        <v>0</v>
      </c>
    </row>
    <row r="2605" spans="1:22" x14ac:dyDescent="0.35">
      <c r="A2605">
        <v>12604</v>
      </c>
      <c r="B2605" s="1">
        <v>47165</v>
      </c>
      <c r="C2605">
        <v>1754</v>
      </c>
      <c r="D2605" t="s">
        <v>73</v>
      </c>
      <c r="E2605" t="s">
        <v>70</v>
      </c>
      <c r="F2605">
        <v>2</v>
      </c>
      <c r="G2605" s="2">
        <v>18.8</v>
      </c>
      <c r="H2605">
        <v>0.1</v>
      </c>
      <c r="I2605" t="s">
        <v>71</v>
      </c>
      <c r="J2605">
        <v>10</v>
      </c>
      <c r="K2605">
        <v>2.2000000000000002</v>
      </c>
      <c r="L2605" s="2">
        <v>33.840000000000003</v>
      </c>
      <c r="M2605">
        <v>2029</v>
      </c>
      <c r="N2605">
        <v>2</v>
      </c>
      <c r="O2605" t="s">
        <v>165</v>
      </c>
      <c r="P2605" s="2">
        <v>37.6</v>
      </c>
      <c r="Q2605" s="2">
        <v>3.76</v>
      </c>
      <c r="R2605" t="s">
        <v>69</v>
      </c>
      <c r="S2605">
        <v>1</v>
      </c>
      <c r="T2605">
        <v>0</v>
      </c>
      <c r="U2605">
        <f>IF(AND(OR(Dashboard!$D$4="Semua",D2605=Dashboard!$D$4),OR(Dashboard!$H$4="Semua",E2605=Dashboard!$H$4)),1,0)</f>
        <v>1</v>
      </c>
      <c r="V2605">
        <f>IF(U2605=1,IF(COUNTIFS($C$2:C2605,C2605,$U$2:U2605,1)=1,1,0),0)</f>
        <v>0</v>
      </c>
    </row>
    <row r="2606" spans="1:22" x14ac:dyDescent="0.35">
      <c r="A2606">
        <v>12605</v>
      </c>
      <c r="B2606" s="1">
        <v>47166</v>
      </c>
      <c r="C2606">
        <v>1034</v>
      </c>
      <c r="D2606" t="s">
        <v>73</v>
      </c>
      <c r="E2606" t="s">
        <v>78</v>
      </c>
      <c r="F2606">
        <v>7</v>
      </c>
      <c r="G2606" s="2">
        <v>593.99</v>
      </c>
      <c r="H2606">
        <v>0.27</v>
      </c>
      <c r="I2606" t="s">
        <v>68</v>
      </c>
      <c r="J2606">
        <v>8</v>
      </c>
      <c r="K2606">
        <v>3.8</v>
      </c>
      <c r="L2606" s="2">
        <v>3035.29</v>
      </c>
      <c r="M2606">
        <v>2029</v>
      </c>
      <c r="N2606">
        <v>2</v>
      </c>
      <c r="O2606" t="s">
        <v>165</v>
      </c>
      <c r="P2606" s="2">
        <v>4157.93</v>
      </c>
      <c r="Q2606" s="2">
        <v>1122.6400000000001</v>
      </c>
      <c r="R2606" t="s">
        <v>66</v>
      </c>
      <c r="S2606">
        <v>1</v>
      </c>
      <c r="T2606">
        <v>0</v>
      </c>
      <c r="U2606">
        <f>IF(AND(OR(Dashboard!$D$4="Semua",D2606=Dashboard!$D$4),OR(Dashboard!$H$4="Semua",E2606=Dashboard!$H$4)),1,0)</f>
        <v>1</v>
      </c>
      <c r="V2606">
        <f>IF(U2606=1,IF(COUNTIFS($C$2:C2606,C2606,$U$2:U2606,1)=1,1,0),0)</f>
        <v>0</v>
      </c>
    </row>
    <row r="2607" spans="1:22" x14ac:dyDescent="0.35">
      <c r="A2607">
        <v>12606</v>
      </c>
      <c r="B2607" s="1">
        <v>47167</v>
      </c>
      <c r="C2607">
        <v>1444</v>
      </c>
      <c r="D2607" t="s">
        <v>67</v>
      </c>
      <c r="E2607" t="s">
        <v>74</v>
      </c>
      <c r="F2607">
        <v>5</v>
      </c>
      <c r="G2607" s="2">
        <v>227.9</v>
      </c>
      <c r="H2607">
        <v>0.05</v>
      </c>
      <c r="I2607" t="s">
        <v>68</v>
      </c>
      <c r="J2607">
        <v>5</v>
      </c>
      <c r="K2607">
        <v>2</v>
      </c>
      <c r="L2607" s="2">
        <v>1082.52</v>
      </c>
      <c r="M2607">
        <v>2029</v>
      </c>
      <c r="N2607">
        <v>2</v>
      </c>
      <c r="O2607" t="s">
        <v>165</v>
      </c>
      <c r="P2607" s="2">
        <v>1139.5</v>
      </c>
      <c r="Q2607" s="2">
        <v>56.98</v>
      </c>
      <c r="R2607" t="s">
        <v>75</v>
      </c>
      <c r="S2607">
        <v>1</v>
      </c>
      <c r="T2607">
        <v>0</v>
      </c>
      <c r="U2607">
        <f>IF(AND(OR(Dashboard!$D$4="Semua",D2607=Dashboard!$D$4),OR(Dashboard!$H$4="Semua",E2607=Dashboard!$H$4)),1,0)</f>
        <v>1</v>
      </c>
      <c r="V2607">
        <f>IF(U2607=1,IF(COUNTIFS($C$2:C2607,C2607,$U$2:U2607,1)=1,1,0),0)</f>
        <v>0</v>
      </c>
    </row>
    <row r="2608" spans="1:22" x14ac:dyDescent="0.35">
      <c r="A2608">
        <v>12607</v>
      </c>
      <c r="B2608" s="1">
        <v>47168</v>
      </c>
      <c r="C2608">
        <v>1092</v>
      </c>
      <c r="D2608" t="s">
        <v>80</v>
      </c>
      <c r="E2608" t="s">
        <v>70</v>
      </c>
      <c r="F2608">
        <v>4</v>
      </c>
      <c r="G2608" s="2">
        <v>511.14</v>
      </c>
      <c r="H2608">
        <v>0.27</v>
      </c>
      <c r="I2608" t="s">
        <v>68</v>
      </c>
      <c r="J2608">
        <v>1</v>
      </c>
      <c r="K2608">
        <v>3</v>
      </c>
      <c r="L2608" s="2">
        <v>1492.53</v>
      </c>
      <c r="M2608">
        <v>2029</v>
      </c>
      <c r="N2608">
        <v>2</v>
      </c>
      <c r="O2608" t="s">
        <v>165</v>
      </c>
      <c r="P2608" s="2">
        <v>2044.56</v>
      </c>
      <c r="Q2608" s="2">
        <v>552.03</v>
      </c>
      <c r="R2608" t="s">
        <v>66</v>
      </c>
      <c r="S2608">
        <v>1</v>
      </c>
      <c r="T2608">
        <v>0</v>
      </c>
      <c r="U2608">
        <f>IF(AND(OR(Dashboard!$D$4="Semua",D2608=Dashboard!$D$4),OR(Dashboard!$H$4="Semua",E2608=Dashboard!$H$4)),1,0)</f>
        <v>1</v>
      </c>
      <c r="V2608">
        <f>IF(U2608=1,IF(COUNTIFS($C$2:C2608,C2608,$U$2:U2608,1)=1,1,0),0)</f>
        <v>0</v>
      </c>
    </row>
    <row r="2609" spans="1:22" x14ac:dyDescent="0.35">
      <c r="A2609">
        <v>12608</v>
      </c>
      <c r="B2609" s="1">
        <v>47169</v>
      </c>
      <c r="C2609">
        <v>1949</v>
      </c>
      <c r="D2609" t="s">
        <v>62</v>
      </c>
      <c r="E2609" t="s">
        <v>63</v>
      </c>
      <c r="F2609">
        <v>7</v>
      </c>
      <c r="G2609" s="2">
        <v>327.96</v>
      </c>
      <c r="H2609">
        <v>0.28999999999999998</v>
      </c>
      <c r="I2609" t="s">
        <v>64</v>
      </c>
      <c r="J2609">
        <v>7</v>
      </c>
      <c r="K2609">
        <v>1.5</v>
      </c>
      <c r="L2609" s="2">
        <v>1629.96</v>
      </c>
      <c r="M2609">
        <v>2029</v>
      </c>
      <c r="N2609">
        <v>2</v>
      </c>
      <c r="O2609" t="s">
        <v>165</v>
      </c>
      <c r="P2609" s="2">
        <v>2295.7199999999998</v>
      </c>
      <c r="Q2609" s="2">
        <v>665.76</v>
      </c>
      <c r="R2609" t="s">
        <v>66</v>
      </c>
      <c r="S2609">
        <v>1</v>
      </c>
      <c r="T2609">
        <v>0</v>
      </c>
      <c r="U2609">
        <f>IF(AND(OR(Dashboard!$D$4="Semua",D2609=Dashboard!$D$4),OR(Dashboard!$H$4="Semua",E2609=Dashboard!$H$4)),1,0)</f>
        <v>1</v>
      </c>
      <c r="V2609">
        <f>IF(U2609=1,IF(COUNTIFS($C$2:C2609,C2609,$U$2:U2609,1)=1,1,0),0)</f>
        <v>0</v>
      </c>
    </row>
    <row r="2610" spans="1:22" x14ac:dyDescent="0.35">
      <c r="A2610">
        <v>12609</v>
      </c>
      <c r="B2610" s="1">
        <v>47170</v>
      </c>
      <c r="C2610">
        <v>1958</v>
      </c>
      <c r="D2610" t="s">
        <v>73</v>
      </c>
      <c r="E2610" t="s">
        <v>78</v>
      </c>
      <c r="F2610">
        <v>5</v>
      </c>
      <c r="G2610" s="2">
        <v>91.31</v>
      </c>
      <c r="H2610">
        <v>0.04</v>
      </c>
      <c r="I2610" t="s">
        <v>68</v>
      </c>
      <c r="J2610">
        <v>6</v>
      </c>
      <c r="K2610">
        <v>2.8</v>
      </c>
      <c r="L2610" s="2">
        <v>438.29</v>
      </c>
      <c r="M2610">
        <v>2029</v>
      </c>
      <c r="N2610">
        <v>2</v>
      </c>
      <c r="O2610" t="s">
        <v>165</v>
      </c>
      <c r="P2610" s="2">
        <v>456.55</v>
      </c>
      <c r="Q2610" s="2">
        <v>18.260000000000002</v>
      </c>
      <c r="R2610" t="s">
        <v>75</v>
      </c>
      <c r="S2610">
        <v>1</v>
      </c>
      <c r="T2610">
        <v>0</v>
      </c>
      <c r="U2610">
        <f>IF(AND(OR(Dashboard!$D$4="Semua",D2610=Dashboard!$D$4),OR(Dashboard!$H$4="Semua",E2610=Dashboard!$H$4)),1,0)</f>
        <v>1</v>
      </c>
      <c r="V2610">
        <f>IF(U2610=1,IF(COUNTIFS($C$2:C2610,C2610,$U$2:U2610,1)=1,1,0),0)</f>
        <v>0</v>
      </c>
    </row>
    <row r="2611" spans="1:22" x14ac:dyDescent="0.35">
      <c r="A2611">
        <v>12610</v>
      </c>
      <c r="B2611" s="1">
        <v>47171</v>
      </c>
      <c r="C2611">
        <v>1206</v>
      </c>
      <c r="D2611" t="s">
        <v>67</v>
      </c>
      <c r="E2611" t="s">
        <v>70</v>
      </c>
      <c r="F2611">
        <v>1</v>
      </c>
      <c r="G2611" s="2">
        <v>481.58</v>
      </c>
      <c r="H2611">
        <v>0.34</v>
      </c>
      <c r="I2611" t="s">
        <v>68</v>
      </c>
      <c r="J2611">
        <v>9</v>
      </c>
      <c r="K2611">
        <v>3.5</v>
      </c>
      <c r="L2611" s="2">
        <v>317.83999999999997</v>
      </c>
      <c r="M2611">
        <v>2029</v>
      </c>
      <c r="N2611">
        <v>2</v>
      </c>
      <c r="O2611" t="s">
        <v>165</v>
      </c>
      <c r="P2611" s="2">
        <v>481.58</v>
      </c>
      <c r="Q2611" s="2">
        <v>163.74</v>
      </c>
      <c r="R2611" t="s">
        <v>72</v>
      </c>
      <c r="S2611">
        <v>1</v>
      </c>
      <c r="T2611">
        <v>0</v>
      </c>
      <c r="U2611">
        <f>IF(AND(OR(Dashboard!$D$4="Semua",D2611=Dashboard!$D$4),OR(Dashboard!$H$4="Semua",E2611=Dashboard!$H$4)),1,0)</f>
        <v>1</v>
      </c>
      <c r="V2611">
        <f>IF(U2611=1,IF(COUNTIFS($C$2:C2611,C2611,$U$2:U2611,1)=1,1,0),0)</f>
        <v>0</v>
      </c>
    </row>
    <row r="2612" spans="1:22" x14ac:dyDescent="0.35">
      <c r="A2612">
        <v>12611</v>
      </c>
      <c r="B2612" s="1">
        <v>47172</v>
      </c>
      <c r="C2612">
        <v>1352</v>
      </c>
      <c r="D2612" t="s">
        <v>62</v>
      </c>
      <c r="E2612" t="s">
        <v>70</v>
      </c>
      <c r="F2612">
        <v>1</v>
      </c>
      <c r="G2612" s="2">
        <v>430.25</v>
      </c>
      <c r="H2612">
        <v>0.34</v>
      </c>
      <c r="I2612" t="s">
        <v>64</v>
      </c>
      <c r="J2612">
        <v>4</v>
      </c>
      <c r="K2612">
        <v>1.3</v>
      </c>
      <c r="L2612" s="2">
        <v>283.95999999999998</v>
      </c>
      <c r="M2612">
        <v>2029</v>
      </c>
      <c r="N2612">
        <v>2</v>
      </c>
      <c r="O2612" t="s">
        <v>165</v>
      </c>
      <c r="P2612" s="2">
        <v>430.25</v>
      </c>
      <c r="Q2612" s="2">
        <v>146.29</v>
      </c>
      <c r="R2612" t="s">
        <v>72</v>
      </c>
      <c r="S2612">
        <v>1</v>
      </c>
      <c r="T2612">
        <v>0</v>
      </c>
      <c r="U2612">
        <f>IF(AND(OR(Dashboard!$D$4="Semua",D2612=Dashboard!$D$4),OR(Dashboard!$H$4="Semua",E2612=Dashboard!$H$4)),1,0)</f>
        <v>1</v>
      </c>
      <c r="V2612">
        <f>IF(U2612=1,IF(COUNTIFS($C$2:C2612,C2612,$U$2:U2612,1)=1,1,0),0)</f>
        <v>0</v>
      </c>
    </row>
    <row r="2613" spans="1:22" x14ac:dyDescent="0.35">
      <c r="A2613">
        <v>12612</v>
      </c>
      <c r="B2613" s="1">
        <v>47173</v>
      </c>
      <c r="C2613">
        <v>1902</v>
      </c>
      <c r="D2613" t="s">
        <v>67</v>
      </c>
      <c r="E2613" t="s">
        <v>63</v>
      </c>
      <c r="F2613">
        <v>3</v>
      </c>
      <c r="G2613" s="2">
        <v>323.55</v>
      </c>
      <c r="H2613">
        <v>0.33</v>
      </c>
      <c r="I2613" t="s">
        <v>68</v>
      </c>
      <c r="J2613">
        <v>4</v>
      </c>
      <c r="K2613">
        <v>4.3</v>
      </c>
      <c r="L2613" s="2">
        <v>650.34</v>
      </c>
      <c r="M2613">
        <v>2029</v>
      </c>
      <c r="N2613">
        <v>2</v>
      </c>
      <c r="O2613" t="s">
        <v>165</v>
      </c>
      <c r="P2613" s="2">
        <v>970.65</v>
      </c>
      <c r="Q2613" s="2">
        <v>320.31</v>
      </c>
      <c r="R2613" t="s">
        <v>72</v>
      </c>
      <c r="S2613">
        <v>1</v>
      </c>
      <c r="T2613">
        <v>0</v>
      </c>
      <c r="U2613">
        <f>IF(AND(OR(Dashboard!$D$4="Semua",D2613=Dashboard!$D$4),OR(Dashboard!$H$4="Semua",E2613=Dashboard!$H$4)),1,0)</f>
        <v>1</v>
      </c>
      <c r="V2613">
        <f>IF(U2613=1,IF(COUNTIFS($C$2:C2613,C2613,$U$2:U2613,1)=1,1,0),0)</f>
        <v>0</v>
      </c>
    </row>
    <row r="2614" spans="1:22" x14ac:dyDescent="0.35">
      <c r="A2614">
        <v>12613</v>
      </c>
      <c r="B2614" s="1">
        <v>47174</v>
      </c>
      <c r="C2614">
        <v>1331</v>
      </c>
      <c r="D2614" t="s">
        <v>80</v>
      </c>
      <c r="E2614" t="s">
        <v>70</v>
      </c>
      <c r="F2614">
        <v>5</v>
      </c>
      <c r="G2614" s="2">
        <v>316.01</v>
      </c>
      <c r="H2614">
        <v>0.17</v>
      </c>
      <c r="I2614" t="s">
        <v>71</v>
      </c>
      <c r="J2614">
        <v>8</v>
      </c>
      <c r="K2614">
        <v>4.7</v>
      </c>
      <c r="L2614" s="2">
        <v>1311.44</v>
      </c>
      <c r="M2614">
        <v>2029</v>
      </c>
      <c r="N2614">
        <v>2</v>
      </c>
      <c r="O2614" t="s">
        <v>165</v>
      </c>
      <c r="P2614" s="2">
        <v>1580.05</v>
      </c>
      <c r="Q2614" s="2">
        <v>268.61</v>
      </c>
      <c r="R2614" t="s">
        <v>76</v>
      </c>
      <c r="S2614">
        <v>1</v>
      </c>
      <c r="T2614">
        <v>0</v>
      </c>
      <c r="U2614">
        <f>IF(AND(OR(Dashboard!$D$4="Semua",D2614=Dashboard!$D$4),OR(Dashboard!$H$4="Semua",E2614=Dashboard!$H$4)),1,0)</f>
        <v>1</v>
      </c>
      <c r="V2614">
        <f>IF(U2614=1,IF(COUNTIFS($C$2:C2614,C2614,$U$2:U2614,1)=1,1,0),0)</f>
        <v>0</v>
      </c>
    </row>
    <row r="2615" spans="1:22" x14ac:dyDescent="0.35">
      <c r="A2615">
        <v>12614</v>
      </c>
      <c r="B2615" s="1">
        <v>47175</v>
      </c>
      <c r="C2615">
        <v>1816</v>
      </c>
      <c r="D2615" t="s">
        <v>73</v>
      </c>
      <c r="E2615" t="s">
        <v>70</v>
      </c>
      <c r="F2615">
        <v>2</v>
      </c>
      <c r="G2615" s="2">
        <v>66.180000000000007</v>
      </c>
      <c r="H2615">
        <v>0.09</v>
      </c>
      <c r="I2615" t="s">
        <v>68</v>
      </c>
      <c r="J2615">
        <v>4</v>
      </c>
      <c r="K2615">
        <v>1.8</v>
      </c>
      <c r="L2615" s="2">
        <v>120.45</v>
      </c>
      <c r="M2615">
        <v>2029</v>
      </c>
      <c r="N2615">
        <v>2</v>
      </c>
      <c r="O2615" t="s">
        <v>165</v>
      </c>
      <c r="P2615" s="2">
        <v>132.36000000000001</v>
      </c>
      <c r="Q2615" s="2">
        <v>11.91</v>
      </c>
      <c r="R2615" t="s">
        <v>69</v>
      </c>
      <c r="S2615">
        <v>1</v>
      </c>
      <c r="T2615">
        <v>0</v>
      </c>
      <c r="U2615">
        <f>IF(AND(OR(Dashboard!$D$4="Semua",D2615=Dashboard!$D$4),OR(Dashboard!$H$4="Semua",E2615=Dashboard!$H$4)),1,0)</f>
        <v>1</v>
      </c>
      <c r="V2615">
        <f>IF(U2615=1,IF(COUNTIFS($C$2:C2615,C2615,$U$2:U2615,1)=1,1,0),0)</f>
        <v>0</v>
      </c>
    </row>
    <row r="2616" spans="1:22" x14ac:dyDescent="0.35">
      <c r="A2616">
        <v>12615</v>
      </c>
      <c r="B2616" s="1">
        <v>47176</v>
      </c>
      <c r="C2616">
        <v>1861</v>
      </c>
      <c r="D2616" t="s">
        <v>62</v>
      </c>
      <c r="E2616" t="s">
        <v>70</v>
      </c>
      <c r="F2616">
        <v>7</v>
      </c>
      <c r="G2616" s="2">
        <v>398.67</v>
      </c>
      <c r="H2616">
        <v>0.2</v>
      </c>
      <c r="I2616" t="s">
        <v>71</v>
      </c>
      <c r="J2616">
        <v>3</v>
      </c>
      <c r="K2616">
        <v>4</v>
      </c>
      <c r="L2616" s="2">
        <v>2232.5500000000002</v>
      </c>
      <c r="M2616">
        <v>2029</v>
      </c>
      <c r="N2616">
        <v>2</v>
      </c>
      <c r="O2616" t="s">
        <v>165</v>
      </c>
      <c r="P2616" s="2">
        <v>2790.69</v>
      </c>
      <c r="Q2616" s="2">
        <v>558.14</v>
      </c>
      <c r="R2616" t="s">
        <v>76</v>
      </c>
      <c r="S2616">
        <v>1</v>
      </c>
      <c r="T2616">
        <v>0</v>
      </c>
      <c r="U2616">
        <f>IF(AND(OR(Dashboard!$D$4="Semua",D2616=Dashboard!$D$4),OR(Dashboard!$H$4="Semua",E2616=Dashboard!$H$4)),1,0)</f>
        <v>1</v>
      </c>
      <c r="V2616">
        <f>IF(U2616=1,IF(COUNTIFS($C$2:C2616,C2616,$U$2:U2616,1)=1,1,0),0)</f>
        <v>1</v>
      </c>
    </row>
    <row r="2617" spans="1:22" x14ac:dyDescent="0.35">
      <c r="A2617">
        <v>12616</v>
      </c>
      <c r="B2617" s="1">
        <v>47177</v>
      </c>
      <c r="C2617">
        <v>1724</v>
      </c>
      <c r="D2617" t="s">
        <v>80</v>
      </c>
      <c r="E2617" t="s">
        <v>70</v>
      </c>
      <c r="F2617">
        <v>6</v>
      </c>
      <c r="G2617" s="2">
        <v>548.08000000000004</v>
      </c>
      <c r="H2617">
        <v>0.15</v>
      </c>
      <c r="I2617" t="s">
        <v>68</v>
      </c>
      <c r="J2617">
        <v>7</v>
      </c>
      <c r="K2617">
        <v>2.2999999999999998</v>
      </c>
      <c r="L2617" s="2">
        <v>2795.21</v>
      </c>
      <c r="M2617">
        <v>2029</v>
      </c>
      <c r="N2617">
        <v>2</v>
      </c>
      <c r="O2617" t="s">
        <v>165</v>
      </c>
      <c r="P2617" s="2">
        <v>3288.48</v>
      </c>
      <c r="Q2617" s="2">
        <v>493.27</v>
      </c>
      <c r="R2617" t="s">
        <v>79</v>
      </c>
      <c r="S2617">
        <v>1</v>
      </c>
      <c r="T2617">
        <v>0</v>
      </c>
      <c r="U2617">
        <f>IF(AND(OR(Dashboard!$D$4="Semua",D2617=Dashboard!$D$4),OR(Dashboard!$H$4="Semua",E2617=Dashboard!$H$4)),1,0)</f>
        <v>1</v>
      </c>
      <c r="V2617">
        <f>IF(U2617=1,IF(COUNTIFS($C$2:C2617,C2617,$U$2:U2617,1)=1,1,0),0)</f>
        <v>0</v>
      </c>
    </row>
    <row r="2618" spans="1:22" x14ac:dyDescent="0.35">
      <c r="A2618">
        <v>12617</v>
      </c>
      <c r="B2618" s="1">
        <v>47178</v>
      </c>
      <c r="C2618">
        <v>1158</v>
      </c>
      <c r="D2618" t="s">
        <v>62</v>
      </c>
      <c r="E2618" t="s">
        <v>63</v>
      </c>
      <c r="F2618">
        <v>6</v>
      </c>
      <c r="G2618" s="2">
        <v>69.55</v>
      </c>
      <c r="H2618">
        <v>7.0000000000000007E-2</v>
      </c>
      <c r="I2618" t="s">
        <v>68</v>
      </c>
      <c r="J2618">
        <v>5</v>
      </c>
      <c r="K2618">
        <v>3.7</v>
      </c>
      <c r="L2618" s="2">
        <v>388.09</v>
      </c>
      <c r="M2618">
        <v>2029</v>
      </c>
      <c r="N2618">
        <v>3</v>
      </c>
      <c r="O2618" t="s">
        <v>166</v>
      </c>
      <c r="P2618" s="2">
        <v>417.3</v>
      </c>
      <c r="Q2618" s="2">
        <v>29.21</v>
      </c>
      <c r="R2618" t="s">
        <v>69</v>
      </c>
      <c r="S2618">
        <v>1</v>
      </c>
      <c r="T2618">
        <v>0</v>
      </c>
      <c r="U2618">
        <f>IF(AND(OR(Dashboard!$D$4="Semua",D2618=Dashboard!$D$4),OR(Dashboard!$H$4="Semua",E2618=Dashboard!$H$4)),1,0)</f>
        <v>1</v>
      </c>
      <c r="V2618">
        <f>IF(U2618=1,IF(COUNTIFS($C$2:C2618,C2618,$U$2:U2618,1)=1,1,0),0)</f>
        <v>0</v>
      </c>
    </row>
    <row r="2619" spans="1:22" x14ac:dyDescent="0.35">
      <c r="A2619">
        <v>12618</v>
      </c>
      <c r="B2619" s="1">
        <v>47179</v>
      </c>
      <c r="C2619">
        <v>1953</v>
      </c>
      <c r="D2619" t="s">
        <v>80</v>
      </c>
      <c r="E2619" t="s">
        <v>70</v>
      </c>
      <c r="F2619">
        <v>4</v>
      </c>
      <c r="G2619" s="2">
        <v>169.15</v>
      </c>
      <c r="H2619">
        <v>0.15</v>
      </c>
      <c r="I2619" t="s">
        <v>71</v>
      </c>
      <c r="J2619">
        <v>9</v>
      </c>
      <c r="K2619">
        <v>2.2000000000000002</v>
      </c>
      <c r="L2619" s="2">
        <v>575.11</v>
      </c>
      <c r="M2619">
        <v>2029</v>
      </c>
      <c r="N2619">
        <v>3</v>
      </c>
      <c r="O2619" t="s">
        <v>166</v>
      </c>
      <c r="P2619" s="2">
        <v>676.6</v>
      </c>
      <c r="Q2619" s="2">
        <v>101.49</v>
      </c>
      <c r="R2619" t="s">
        <v>79</v>
      </c>
      <c r="S2619">
        <v>1</v>
      </c>
      <c r="T2619">
        <v>0</v>
      </c>
      <c r="U2619">
        <f>IF(AND(OR(Dashboard!$D$4="Semua",D2619=Dashboard!$D$4),OR(Dashboard!$H$4="Semua",E2619=Dashboard!$H$4)),1,0)</f>
        <v>1</v>
      </c>
      <c r="V2619">
        <f>IF(U2619=1,IF(COUNTIFS($C$2:C2619,C2619,$U$2:U2619,1)=1,1,0),0)</f>
        <v>0</v>
      </c>
    </row>
    <row r="2620" spans="1:22" x14ac:dyDescent="0.35">
      <c r="A2620">
        <v>12619</v>
      </c>
      <c r="B2620" s="1">
        <v>47180</v>
      </c>
      <c r="C2620">
        <v>1956</v>
      </c>
      <c r="D2620" t="s">
        <v>67</v>
      </c>
      <c r="E2620" t="s">
        <v>70</v>
      </c>
      <c r="F2620">
        <v>3</v>
      </c>
      <c r="G2620" s="2">
        <v>542.85</v>
      </c>
      <c r="H2620">
        <v>0.23</v>
      </c>
      <c r="I2620" t="s">
        <v>71</v>
      </c>
      <c r="J2620">
        <v>5</v>
      </c>
      <c r="K2620">
        <v>4.4000000000000004</v>
      </c>
      <c r="L2620" s="2">
        <v>1253.98</v>
      </c>
      <c r="M2620">
        <v>2029</v>
      </c>
      <c r="N2620">
        <v>3</v>
      </c>
      <c r="O2620" t="s">
        <v>166</v>
      </c>
      <c r="P2620" s="2">
        <v>1628.55</v>
      </c>
      <c r="Q2620" s="2">
        <v>374.57</v>
      </c>
      <c r="R2620" t="s">
        <v>77</v>
      </c>
      <c r="S2620">
        <v>1</v>
      </c>
      <c r="T2620">
        <v>0</v>
      </c>
      <c r="U2620">
        <f>IF(AND(OR(Dashboard!$D$4="Semua",D2620=Dashboard!$D$4),OR(Dashboard!$H$4="Semua",E2620=Dashboard!$H$4)),1,0)</f>
        <v>1</v>
      </c>
      <c r="V2620">
        <f>IF(U2620=1,IF(COUNTIFS($C$2:C2620,C2620,$U$2:U2620,1)=1,1,0),0)</f>
        <v>0</v>
      </c>
    </row>
    <row r="2621" spans="1:22" x14ac:dyDescent="0.35">
      <c r="A2621">
        <v>12620</v>
      </c>
      <c r="B2621" s="1">
        <v>47181</v>
      </c>
      <c r="C2621">
        <v>1023</v>
      </c>
      <c r="D2621" t="s">
        <v>62</v>
      </c>
      <c r="E2621" t="s">
        <v>70</v>
      </c>
      <c r="F2621">
        <v>5</v>
      </c>
      <c r="G2621" s="2">
        <v>181.34</v>
      </c>
      <c r="H2621">
        <v>0.02</v>
      </c>
      <c r="I2621" t="s">
        <v>71</v>
      </c>
      <c r="J2621">
        <v>9</v>
      </c>
      <c r="K2621">
        <v>2.4</v>
      </c>
      <c r="L2621" s="2">
        <v>888.57</v>
      </c>
      <c r="M2621">
        <v>2029</v>
      </c>
      <c r="N2621">
        <v>3</v>
      </c>
      <c r="O2621" t="s">
        <v>166</v>
      </c>
      <c r="P2621" s="2">
        <v>906.7</v>
      </c>
      <c r="Q2621" s="2">
        <v>18.13</v>
      </c>
      <c r="R2621" t="s">
        <v>75</v>
      </c>
      <c r="S2621">
        <v>1</v>
      </c>
      <c r="T2621">
        <v>0</v>
      </c>
      <c r="U2621">
        <f>IF(AND(OR(Dashboard!$D$4="Semua",D2621=Dashboard!$D$4),OR(Dashboard!$H$4="Semua",E2621=Dashboard!$H$4)),1,0)</f>
        <v>1</v>
      </c>
      <c r="V2621">
        <f>IF(U2621=1,IF(COUNTIFS($C$2:C2621,C2621,$U$2:U2621,1)=1,1,0),0)</f>
        <v>1</v>
      </c>
    </row>
    <row r="2622" spans="1:22" x14ac:dyDescent="0.35">
      <c r="A2622">
        <v>12621</v>
      </c>
      <c r="B2622" s="1">
        <v>47182</v>
      </c>
      <c r="C2622">
        <v>1403</v>
      </c>
      <c r="D2622" t="s">
        <v>73</v>
      </c>
      <c r="E2622" t="s">
        <v>78</v>
      </c>
      <c r="F2622">
        <v>2</v>
      </c>
      <c r="G2622" s="2">
        <v>397.56</v>
      </c>
      <c r="H2622">
        <v>0.12</v>
      </c>
      <c r="I2622" t="s">
        <v>71</v>
      </c>
      <c r="J2622">
        <v>6</v>
      </c>
      <c r="K2622">
        <v>4.4000000000000004</v>
      </c>
      <c r="L2622" s="2">
        <v>699.71</v>
      </c>
      <c r="M2622">
        <v>2029</v>
      </c>
      <c r="N2622">
        <v>3</v>
      </c>
      <c r="O2622" t="s">
        <v>166</v>
      </c>
      <c r="P2622" s="2">
        <v>795.12</v>
      </c>
      <c r="Q2622" s="2">
        <v>95.41</v>
      </c>
      <c r="R2622" t="s">
        <v>79</v>
      </c>
      <c r="S2622">
        <v>1</v>
      </c>
      <c r="T2622">
        <v>0</v>
      </c>
      <c r="U2622">
        <f>IF(AND(OR(Dashboard!$D$4="Semua",D2622=Dashboard!$D$4),OR(Dashboard!$H$4="Semua",E2622=Dashboard!$H$4)),1,0)</f>
        <v>1</v>
      </c>
      <c r="V2622">
        <f>IF(U2622=1,IF(COUNTIFS($C$2:C2622,C2622,$U$2:U2622,1)=1,1,0),0)</f>
        <v>0</v>
      </c>
    </row>
    <row r="2623" spans="1:22" x14ac:dyDescent="0.35">
      <c r="A2623">
        <v>12622</v>
      </c>
      <c r="B2623" s="1">
        <v>47183</v>
      </c>
      <c r="C2623">
        <v>1804</v>
      </c>
      <c r="D2623" t="s">
        <v>73</v>
      </c>
      <c r="E2623" t="s">
        <v>63</v>
      </c>
      <c r="F2623">
        <v>3</v>
      </c>
      <c r="G2623" s="2">
        <v>327.87</v>
      </c>
      <c r="H2623">
        <v>0.01</v>
      </c>
      <c r="I2623" t="s">
        <v>71</v>
      </c>
      <c r="J2623">
        <v>6</v>
      </c>
      <c r="K2623">
        <v>4.0999999999999996</v>
      </c>
      <c r="L2623" s="2">
        <v>973.77</v>
      </c>
      <c r="M2623">
        <v>2029</v>
      </c>
      <c r="N2623">
        <v>3</v>
      </c>
      <c r="O2623" t="s">
        <v>166</v>
      </c>
      <c r="P2623" s="2">
        <v>983.61</v>
      </c>
      <c r="Q2623" s="2">
        <v>9.84</v>
      </c>
      <c r="R2623" t="s">
        <v>75</v>
      </c>
      <c r="S2623">
        <v>1</v>
      </c>
      <c r="T2623">
        <v>0</v>
      </c>
      <c r="U2623">
        <f>IF(AND(OR(Dashboard!$D$4="Semua",D2623=Dashboard!$D$4),OR(Dashboard!$H$4="Semua",E2623=Dashboard!$H$4)),1,0)</f>
        <v>1</v>
      </c>
      <c r="V2623">
        <f>IF(U2623=1,IF(COUNTIFS($C$2:C2623,C2623,$U$2:U2623,1)=1,1,0),0)</f>
        <v>0</v>
      </c>
    </row>
    <row r="2624" spans="1:22" x14ac:dyDescent="0.35">
      <c r="A2624">
        <v>12623</v>
      </c>
      <c r="B2624" s="1">
        <v>47184</v>
      </c>
      <c r="C2624">
        <v>1515</v>
      </c>
      <c r="D2624" t="s">
        <v>80</v>
      </c>
      <c r="E2624" t="s">
        <v>78</v>
      </c>
      <c r="F2624">
        <v>1</v>
      </c>
      <c r="G2624" s="2">
        <v>363.85</v>
      </c>
      <c r="H2624">
        <v>0.26</v>
      </c>
      <c r="I2624" t="s">
        <v>71</v>
      </c>
      <c r="J2624">
        <v>11</v>
      </c>
      <c r="K2624">
        <v>1.8</v>
      </c>
      <c r="L2624" s="2">
        <v>269.25</v>
      </c>
      <c r="M2624">
        <v>2029</v>
      </c>
      <c r="N2624">
        <v>3</v>
      </c>
      <c r="O2624" t="s">
        <v>166</v>
      </c>
      <c r="P2624" s="2">
        <v>363.85</v>
      </c>
      <c r="Q2624" s="2">
        <v>94.6</v>
      </c>
      <c r="R2624" t="s">
        <v>66</v>
      </c>
      <c r="S2624">
        <v>1</v>
      </c>
      <c r="T2624">
        <v>0</v>
      </c>
      <c r="U2624">
        <f>IF(AND(OR(Dashboard!$D$4="Semua",D2624=Dashboard!$D$4),OR(Dashboard!$H$4="Semua",E2624=Dashboard!$H$4)),1,0)</f>
        <v>1</v>
      </c>
      <c r="V2624">
        <f>IF(U2624=1,IF(COUNTIFS($C$2:C2624,C2624,$U$2:U2624,1)=1,1,0),0)</f>
        <v>0</v>
      </c>
    </row>
    <row r="2625" spans="1:22" x14ac:dyDescent="0.35">
      <c r="A2625">
        <v>12624</v>
      </c>
      <c r="B2625" s="1">
        <v>47185</v>
      </c>
      <c r="C2625">
        <v>1731</v>
      </c>
      <c r="D2625" t="s">
        <v>80</v>
      </c>
      <c r="E2625" t="s">
        <v>78</v>
      </c>
      <c r="F2625">
        <v>4</v>
      </c>
      <c r="G2625" s="2">
        <v>258.24</v>
      </c>
      <c r="H2625">
        <v>0.22</v>
      </c>
      <c r="I2625" t="s">
        <v>71</v>
      </c>
      <c r="J2625">
        <v>6</v>
      </c>
      <c r="K2625">
        <v>1.6</v>
      </c>
      <c r="L2625" s="2">
        <v>805.71</v>
      </c>
      <c r="M2625">
        <v>2029</v>
      </c>
      <c r="N2625">
        <v>3</v>
      </c>
      <c r="O2625" t="s">
        <v>166</v>
      </c>
      <c r="P2625" s="2">
        <v>1032.96</v>
      </c>
      <c r="Q2625" s="2">
        <v>227.25</v>
      </c>
      <c r="R2625" t="s">
        <v>77</v>
      </c>
      <c r="S2625">
        <v>1</v>
      </c>
      <c r="T2625">
        <v>0</v>
      </c>
      <c r="U2625">
        <f>IF(AND(OR(Dashboard!$D$4="Semua",D2625=Dashboard!$D$4),OR(Dashboard!$H$4="Semua",E2625=Dashboard!$H$4)),1,0)</f>
        <v>1</v>
      </c>
      <c r="V2625">
        <f>IF(U2625=1,IF(COUNTIFS($C$2:C2625,C2625,$U$2:U2625,1)=1,1,0),0)</f>
        <v>0</v>
      </c>
    </row>
    <row r="2626" spans="1:22" x14ac:dyDescent="0.35">
      <c r="A2626">
        <v>12625</v>
      </c>
      <c r="B2626" s="1">
        <v>47186</v>
      </c>
      <c r="C2626">
        <v>1363</v>
      </c>
      <c r="D2626" t="s">
        <v>62</v>
      </c>
      <c r="E2626" t="s">
        <v>63</v>
      </c>
      <c r="F2626">
        <v>7</v>
      </c>
      <c r="G2626" s="2">
        <v>190.5</v>
      </c>
      <c r="H2626">
        <v>0.02</v>
      </c>
      <c r="I2626" t="s">
        <v>71</v>
      </c>
      <c r="J2626">
        <v>7</v>
      </c>
      <c r="K2626">
        <v>4.0999999999999996</v>
      </c>
      <c r="L2626" s="2">
        <v>1306.83</v>
      </c>
      <c r="M2626">
        <v>2029</v>
      </c>
      <c r="N2626">
        <v>3</v>
      </c>
      <c r="O2626" t="s">
        <v>166</v>
      </c>
      <c r="P2626" s="2">
        <v>1333.5</v>
      </c>
      <c r="Q2626" s="2">
        <v>26.67</v>
      </c>
      <c r="R2626" t="s">
        <v>75</v>
      </c>
      <c r="S2626">
        <v>1</v>
      </c>
      <c r="T2626">
        <v>0</v>
      </c>
      <c r="U2626">
        <f>IF(AND(OR(Dashboard!$D$4="Semua",D2626=Dashboard!$D$4),OR(Dashboard!$H$4="Semua",E2626=Dashboard!$H$4)),1,0)</f>
        <v>1</v>
      </c>
      <c r="V2626">
        <f>IF(U2626=1,IF(COUNTIFS($C$2:C2626,C2626,$U$2:U2626,1)=1,1,0),0)</f>
        <v>0</v>
      </c>
    </row>
    <row r="2627" spans="1:22" x14ac:dyDescent="0.35">
      <c r="A2627">
        <v>12626</v>
      </c>
      <c r="B2627" s="1">
        <v>47187</v>
      </c>
      <c r="C2627">
        <v>1381</v>
      </c>
      <c r="D2627" t="s">
        <v>73</v>
      </c>
      <c r="E2627" t="s">
        <v>78</v>
      </c>
      <c r="F2627">
        <v>7</v>
      </c>
      <c r="G2627" s="2">
        <v>43.39</v>
      </c>
      <c r="H2627">
        <v>0.34</v>
      </c>
      <c r="I2627" t="s">
        <v>71</v>
      </c>
      <c r="J2627">
        <v>11</v>
      </c>
      <c r="K2627">
        <v>2.6</v>
      </c>
      <c r="L2627" s="2">
        <v>200.46</v>
      </c>
      <c r="M2627">
        <v>2029</v>
      </c>
      <c r="N2627">
        <v>3</v>
      </c>
      <c r="O2627" t="s">
        <v>166</v>
      </c>
      <c r="P2627" s="2">
        <v>303.73</v>
      </c>
      <c r="Q2627" s="2">
        <v>103.27</v>
      </c>
      <c r="R2627" t="s">
        <v>72</v>
      </c>
      <c r="S2627">
        <v>1</v>
      </c>
      <c r="T2627">
        <v>0</v>
      </c>
      <c r="U2627">
        <f>IF(AND(OR(Dashboard!$D$4="Semua",D2627=Dashboard!$D$4),OR(Dashboard!$H$4="Semua",E2627=Dashboard!$H$4)),1,0)</f>
        <v>1</v>
      </c>
      <c r="V2627">
        <f>IF(U2627=1,IF(COUNTIFS($C$2:C2627,C2627,$U$2:U2627,1)=1,1,0),0)</f>
        <v>0</v>
      </c>
    </row>
    <row r="2628" spans="1:22" x14ac:dyDescent="0.35">
      <c r="A2628">
        <v>12627</v>
      </c>
      <c r="B2628" s="1">
        <v>47188</v>
      </c>
      <c r="C2628">
        <v>1531</v>
      </c>
      <c r="D2628" t="s">
        <v>80</v>
      </c>
      <c r="E2628" t="s">
        <v>78</v>
      </c>
      <c r="F2628">
        <v>7</v>
      </c>
      <c r="G2628" s="2">
        <v>450.4</v>
      </c>
      <c r="H2628">
        <v>0.01</v>
      </c>
      <c r="I2628" t="s">
        <v>71</v>
      </c>
      <c r="J2628">
        <v>4</v>
      </c>
      <c r="K2628">
        <v>4.8</v>
      </c>
      <c r="L2628" s="2">
        <v>3121.27</v>
      </c>
      <c r="M2628">
        <v>2029</v>
      </c>
      <c r="N2628">
        <v>3</v>
      </c>
      <c r="O2628" t="s">
        <v>166</v>
      </c>
      <c r="P2628" s="2">
        <v>3152.8</v>
      </c>
      <c r="Q2628" s="2">
        <v>31.53</v>
      </c>
      <c r="R2628" t="s">
        <v>75</v>
      </c>
      <c r="S2628">
        <v>1</v>
      </c>
      <c r="T2628">
        <v>0</v>
      </c>
      <c r="U2628">
        <f>IF(AND(OR(Dashboard!$D$4="Semua",D2628=Dashboard!$D$4),OR(Dashboard!$H$4="Semua",E2628=Dashboard!$H$4)),1,0)</f>
        <v>1</v>
      </c>
      <c r="V2628">
        <f>IF(U2628=1,IF(COUNTIFS($C$2:C2628,C2628,$U$2:U2628,1)=1,1,0),0)</f>
        <v>0</v>
      </c>
    </row>
    <row r="2629" spans="1:22" x14ac:dyDescent="0.35">
      <c r="A2629">
        <v>12628</v>
      </c>
      <c r="B2629" s="1">
        <v>47189</v>
      </c>
      <c r="C2629">
        <v>1955</v>
      </c>
      <c r="D2629" t="s">
        <v>80</v>
      </c>
      <c r="E2629" t="s">
        <v>78</v>
      </c>
      <c r="F2629">
        <v>5</v>
      </c>
      <c r="G2629" s="2">
        <v>451.46</v>
      </c>
      <c r="H2629">
        <v>0.21</v>
      </c>
      <c r="I2629" t="s">
        <v>68</v>
      </c>
      <c r="J2629">
        <v>4</v>
      </c>
      <c r="K2629">
        <v>4.8</v>
      </c>
      <c r="L2629" s="2">
        <v>1783.27</v>
      </c>
      <c r="M2629">
        <v>2029</v>
      </c>
      <c r="N2629">
        <v>3</v>
      </c>
      <c r="O2629" t="s">
        <v>166</v>
      </c>
      <c r="P2629" s="2">
        <v>2257.3000000000002</v>
      </c>
      <c r="Q2629" s="2">
        <v>474.03</v>
      </c>
      <c r="R2629" t="s">
        <v>77</v>
      </c>
      <c r="S2629">
        <v>1</v>
      </c>
      <c r="T2629">
        <v>0</v>
      </c>
      <c r="U2629">
        <f>IF(AND(OR(Dashboard!$D$4="Semua",D2629=Dashboard!$D$4),OR(Dashboard!$H$4="Semua",E2629=Dashboard!$H$4)),1,0)</f>
        <v>1</v>
      </c>
      <c r="V2629">
        <f>IF(U2629=1,IF(COUNTIFS($C$2:C2629,C2629,$U$2:U2629,1)=1,1,0),0)</f>
        <v>0</v>
      </c>
    </row>
    <row r="2630" spans="1:22" x14ac:dyDescent="0.35">
      <c r="A2630">
        <v>12629</v>
      </c>
      <c r="B2630" s="1">
        <v>47190</v>
      </c>
      <c r="C2630">
        <v>1151</v>
      </c>
      <c r="D2630" t="s">
        <v>73</v>
      </c>
      <c r="E2630" t="s">
        <v>63</v>
      </c>
      <c r="F2630">
        <v>6</v>
      </c>
      <c r="G2630" s="2">
        <v>407.37</v>
      </c>
      <c r="H2630">
        <v>0.27</v>
      </c>
      <c r="I2630" t="s">
        <v>68</v>
      </c>
      <c r="J2630">
        <v>9</v>
      </c>
      <c r="K2630">
        <v>3.8</v>
      </c>
      <c r="L2630" s="2">
        <v>1784.28</v>
      </c>
      <c r="M2630">
        <v>2029</v>
      </c>
      <c r="N2630">
        <v>3</v>
      </c>
      <c r="O2630" t="s">
        <v>166</v>
      </c>
      <c r="P2630" s="2">
        <v>2444.2199999999998</v>
      </c>
      <c r="Q2630" s="2">
        <v>659.94</v>
      </c>
      <c r="R2630" t="s">
        <v>66</v>
      </c>
      <c r="S2630">
        <v>1</v>
      </c>
      <c r="T2630">
        <v>0</v>
      </c>
      <c r="U2630">
        <f>IF(AND(OR(Dashboard!$D$4="Semua",D2630=Dashboard!$D$4),OR(Dashboard!$H$4="Semua",E2630=Dashboard!$H$4)),1,0)</f>
        <v>1</v>
      </c>
      <c r="V2630">
        <f>IF(U2630=1,IF(COUNTIFS($C$2:C2630,C2630,$U$2:U2630,1)=1,1,0),0)</f>
        <v>0</v>
      </c>
    </row>
    <row r="2631" spans="1:22" x14ac:dyDescent="0.35">
      <c r="A2631">
        <v>12630</v>
      </c>
      <c r="B2631" s="1">
        <v>47191</v>
      </c>
      <c r="C2631">
        <v>1561</v>
      </c>
      <c r="D2631" t="s">
        <v>67</v>
      </c>
      <c r="E2631" t="s">
        <v>70</v>
      </c>
      <c r="F2631">
        <v>2</v>
      </c>
      <c r="G2631" s="2">
        <v>391.53</v>
      </c>
      <c r="H2631">
        <v>0.28000000000000003</v>
      </c>
      <c r="I2631" t="s">
        <v>68</v>
      </c>
      <c r="J2631">
        <v>7</v>
      </c>
      <c r="K2631">
        <v>3</v>
      </c>
      <c r="L2631" s="2">
        <v>563.79999999999995</v>
      </c>
      <c r="M2631">
        <v>2029</v>
      </c>
      <c r="N2631">
        <v>3</v>
      </c>
      <c r="O2631" t="s">
        <v>166</v>
      </c>
      <c r="P2631" s="2">
        <v>783.06</v>
      </c>
      <c r="Q2631" s="2">
        <v>219.26</v>
      </c>
      <c r="R2631" t="s">
        <v>66</v>
      </c>
      <c r="S2631">
        <v>1</v>
      </c>
      <c r="T2631">
        <v>0</v>
      </c>
      <c r="U2631">
        <f>IF(AND(OR(Dashboard!$D$4="Semua",D2631=Dashboard!$D$4),OR(Dashboard!$H$4="Semua",E2631=Dashboard!$H$4)),1,0)</f>
        <v>1</v>
      </c>
      <c r="V2631">
        <f>IF(U2631=1,IF(COUNTIFS($C$2:C2631,C2631,$U$2:U2631,1)=1,1,0),0)</f>
        <v>0</v>
      </c>
    </row>
    <row r="2632" spans="1:22" x14ac:dyDescent="0.35">
      <c r="A2632">
        <v>12631</v>
      </c>
      <c r="B2632" s="1">
        <v>47192</v>
      </c>
      <c r="C2632">
        <v>1688</v>
      </c>
      <c r="D2632" t="s">
        <v>73</v>
      </c>
      <c r="E2632" t="s">
        <v>74</v>
      </c>
      <c r="F2632">
        <v>7</v>
      </c>
      <c r="G2632" s="2">
        <v>157.57</v>
      </c>
      <c r="H2632">
        <v>0.01</v>
      </c>
      <c r="I2632" t="s">
        <v>64</v>
      </c>
      <c r="J2632">
        <v>11</v>
      </c>
      <c r="K2632">
        <v>1.8</v>
      </c>
      <c r="L2632" s="2">
        <v>1091.96</v>
      </c>
      <c r="M2632">
        <v>2029</v>
      </c>
      <c r="N2632">
        <v>3</v>
      </c>
      <c r="O2632" t="s">
        <v>166</v>
      </c>
      <c r="P2632" s="2">
        <v>1102.99</v>
      </c>
      <c r="Q2632" s="2">
        <v>11.03</v>
      </c>
      <c r="R2632" t="s">
        <v>75</v>
      </c>
      <c r="S2632">
        <v>1</v>
      </c>
      <c r="T2632">
        <v>0</v>
      </c>
      <c r="U2632">
        <f>IF(AND(OR(Dashboard!$D$4="Semua",D2632=Dashboard!$D$4),OR(Dashboard!$H$4="Semua",E2632=Dashboard!$H$4)),1,0)</f>
        <v>1</v>
      </c>
      <c r="V2632">
        <f>IF(U2632=1,IF(COUNTIFS($C$2:C2632,C2632,$U$2:U2632,1)=1,1,0),0)</f>
        <v>0</v>
      </c>
    </row>
    <row r="2633" spans="1:22" x14ac:dyDescent="0.35">
      <c r="A2633">
        <v>12632</v>
      </c>
      <c r="B2633" s="1">
        <v>47193</v>
      </c>
      <c r="C2633">
        <v>1946</v>
      </c>
      <c r="D2633" t="s">
        <v>73</v>
      </c>
      <c r="E2633" t="s">
        <v>74</v>
      </c>
      <c r="F2633">
        <v>7</v>
      </c>
      <c r="G2633" s="2">
        <v>28.07</v>
      </c>
      <c r="H2633">
        <v>0.32</v>
      </c>
      <c r="I2633" t="s">
        <v>71</v>
      </c>
      <c r="J2633">
        <v>10</v>
      </c>
      <c r="K2633">
        <v>4.5</v>
      </c>
      <c r="L2633" s="2">
        <v>133.61000000000001</v>
      </c>
      <c r="M2633">
        <v>2029</v>
      </c>
      <c r="N2633">
        <v>3</v>
      </c>
      <c r="O2633" t="s">
        <v>166</v>
      </c>
      <c r="P2633" s="2">
        <v>196.49</v>
      </c>
      <c r="Q2633" s="2">
        <v>62.88</v>
      </c>
      <c r="R2633" t="s">
        <v>72</v>
      </c>
      <c r="S2633">
        <v>1</v>
      </c>
      <c r="T2633">
        <v>0</v>
      </c>
      <c r="U2633">
        <f>IF(AND(OR(Dashboard!$D$4="Semua",D2633=Dashboard!$D$4),OR(Dashboard!$H$4="Semua",E2633=Dashboard!$H$4)),1,0)</f>
        <v>1</v>
      </c>
      <c r="V2633">
        <f>IF(U2633=1,IF(COUNTIFS($C$2:C2633,C2633,$U$2:U2633,1)=1,1,0),0)</f>
        <v>0</v>
      </c>
    </row>
    <row r="2634" spans="1:22" x14ac:dyDescent="0.35">
      <c r="A2634">
        <v>12633</v>
      </c>
      <c r="B2634" s="1">
        <v>47194</v>
      </c>
      <c r="C2634">
        <v>1607</v>
      </c>
      <c r="D2634" t="s">
        <v>62</v>
      </c>
      <c r="E2634" t="s">
        <v>63</v>
      </c>
      <c r="F2634">
        <v>1</v>
      </c>
      <c r="G2634" s="2">
        <v>488.1</v>
      </c>
      <c r="H2634">
        <v>0.32</v>
      </c>
      <c r="I2634" t="s">
        <v>71</v>
      </c>
      <c r="J2634">
        <v>6</v>
      </c>
      <c r="K2634">
        <v>1.3</v>
      </c>
      <c r="L2634" s="2">
        <v>331.91</v>
      </c>
      <c r="M2634">
        <v>2029</v>
      </c>
      <c r="N2634">
        <v>3</v>
      </c>
      <c r="O2634" t="s">
        <v>166</v>
      </c>
      <c r="P2634" s="2">
        <v>488.1</v>
      </c>
      <c r="Q2634" s="2">
        <v>156.19</v>
      </c>
      <c r="R2634" t="s">
        <v>72</v>
      </c>
      <c r="S2634">
        <v>1</v>
      </c>
      <c r="T2634">
        <v>0</v>
      </c>
      <c r="U2634">
        <f>IF(AND(OR(Dashboard!$D$4="Semua",D2634=Dashboard!$D$4),OR(Dashboard!$H$4="Semua",E2634=Dashboard!$H$4)),1,0)</f>
        <v>1</v>
      </c>
      <c r="V2634">
        <f>IF(U2634=1,IF(COUNTIFS($C$2:C2634,C2634,$U$2:U2634,1)=1,1,0),0)</f>
        <v>0</v>
      </c>
    </row>
    <row r="2635" spans="1:22" x14ac:dyDescent="0.35">
      <c r="A2635">
        <v>12634</v>
      </c>
      <c r="B2635" s="1">
        <v>47195</v>
      </c>
      <c r="C2635">
        <v>1616</v>
      </c>
      <c r="D2635" t="s">
        <v>67</v>
      </c>
      <c r="E2635" t="s">
        <v>74</v>
      </c>
      <c r="F2635">
        <v>3</v>
      </c>
      <c r="G2635" s="2">
        <v>302.32</v>
      </c>
      <c r="H2635">
        <v>0.2</v>
      </c>
      <c r="I2635" t="s">
        <v>68</v>
      </c>
      <c r="J2635">
        <v>1</v>
      </c>
      <c r="K2635">
        <v>2.5</v>
      </c>
      <c r="L2635" s="2">
        <v>725.57</v>
      </c>
      <c r="M2635">
        <v>2029</v>
      </c>
      <c r="N2635">
        <v>3</v>
      </c>
      <c r="O2635" t="s">
        <v>166</v>
      </c>
      <c r="P2635" s="2">
        <v>906.96</v>
      </c>
      <c r="Q2635" s="2">
        <v>181.39</v>
      </c>
      <c r="R2635" t="s">
        <v>76</v>
      </c>
      <c r="S2635">
        <v>1</v>
      </c>
      <c r="T2635">
        <v>0</v>
      </c>
      <c r="U2635">
        <f>IF(AND(OR(Dashboard!$D$4="Semua",D2635=Dashboard!$D$4),OR(Dashboard!$H$4="Semua",E2635=Dashboard!$H$4)),1,0)</f>
        <v>1</v>
      </c>
      <c r="V2635">
        <f>IF(U2635=1,IF(COUNTIFS($C$2:C2635,C2635,$U$2:U2635,1)=1,1,0),0)</f>
        <v>0</v>
      </c>
    </row>
    <row r="2636" spans="1:22" x14ac:dyDescent="0.35">
      <c r="A2636">
        <v>12635</v>
      </c>
      <c r="B2636" s="1">
        <v>47196</v>
      </c>
      <c r="C2636">
        <v>1419</v>
      </c>
      <c r="D2636" t="s">
        <v>80</v>
      </c>
      <c r="E2636" t="s">
        <v>63</v>
      </c>
      <c r="F2636">
        <v>7</v>
      </c>
      <c r="G2636" s="2">
        <v>194.5</v>
      </c>
      <c r="H2636">
        <v>0.17</v>
      </c>
      <c r="I2636" t="s">
        <v>68</v>
      </c>
      <c r="J2636">
        <v>7</v>
      </c>
      <c r="K2636">
        <v>2.2999999999999998</v>
      </c>
      <c r="L2636" s="2">
        <v>1130.04</v>
      </c>
      <c r="M2636">
        <v>2029</v>
      </c>
      <c r="N2636">
        <v>3</v>
      </c>
      <c r="O2636" t="s">
        <v>166</v>
      </c>
      <c r="P2636" s="2">
        <v>1361.5</v>
      </c>
      <c r="Q2636" s="2">
        <v>231.46</v>
      </c>
      <c r="R2636" t="s">
        <v>76</v>
      </c>
      <c r="S2636">
        <v>1</v>
      </c>
      <c r="T2636">
        <v>0</v>
      </c>
      <c r="U2636">
        <f>IF(AND(OR(Dashboard!$D$4="Semua",D2636=Dashboard!$D$4),OR(Dashboard!$H$4="Semua",E2636=Dashboard!$H$4)),1,0)</f>
        <v>1</v>
      </c>
      <c r="V2636">
        <f>IF(U2636=1,IF(COUNTIFS($C$2:C2636,C2636,$U$2:U2636,1)=1,1,0),0)</f>
        <v>0</v>
      </c>
    </row>
    <row r="2637" spans="1:22" x14ac:dyDescent="0.35">
      <c r="A2637">
        <v>12636</v>
      </c>
      <c r="B2637" s="1">
        <v>47197</v>
      </c>
      <c r="C2637">
        <v>1249</v>
      </c>
      <c r="D2637" t="s">
        <v>62</v>
      </c>
      <c r="E2637" t="s">
        <v>63</v>
      </c>
      <c r="F2637">
        <v>4</v>
      </c>
      <c r="G2637" s="2">
        <v>74.63</v>
      </c>
      <c r="H2637">
        <v>0.02</v>
      </c>
      <c r="I2637" t="s">
        <v>64</v>
      </c>
      <c r="J2637">
        <v>6</v>
      </c>
      <c r="K2637">
        <v>4.8</v>
      </c>
      <c r="L2637" s="2">
        <v>292.55</v>
      </c>
      <c r="M2637">
        <v>2029</v>
      </c>
      <c r="N2637">
        <v>3</v>
      </c>
      <c r="O2637" t="s">
        <v>166</v>
      </c>
      <c r="P2637" s="2">
        <v>298.52</v>
      </c>
      <c r="Q2637" s="2">
        <v>5.97</v>
      </c>
      <c r="R2637" t="s">
        <v>75</v>
      </c>
      <c r="S2637">
        <v>1</v>
      </c>
      <c r="T2637">
        <v>0</v>
      </c>
      <c r="U2637">
        <f>IF(AND(OR(Dashboard!$D$4="Semua",D2637=Dashboard!$D$4),OR(Dashboard!$H$4="Semua",E2637=Dashboard!$H$4)),1,0)</f>
        <v>1</v>
      </c>
      <c r="V2637">
        <f>IF(U2637=1,IF(COUNTIFS($C$2:C2637,C2637,$U$2:U2637,1)=1,1,0),0)</f>
        <v>0</v>
      </c>
    </row>
    <row r="2638" spans="1:22" x14ac:dyDescent="0.35">
      <c r="A2638">
        <v>12637</v>
      </c>
      <c r="B2638" s="1">
        <v>47198</v>
      </c>
      <c r="C2638">
        <v>1116</v>
      </c>
      <c r="D2638" t="s">
        <v>67</v>
      </c>
      <c r="E2638" t="s">
        <v>74</v>
      </c>
      <c r="F2638">
        <v>3</v>
      </c>
      <c r="G2638" s="2">
        <v>51.69</v>
      </c>
      <c r="H2638">
        <v>0.2</v>
      </c>
      <c r="I2638" t="s">
        <v>64</v>
      </c>
      <c r="J2638">
        <v>4</v>
      </c>
      <c r="K2638">
        <v>1.5</v>
      </c>
      <c r="L2638" s="2">
        <v>124.06</v>
      </c>
      <c r="M2638">
        <v>2029</v>
      </c>
      <c r="N2638">
        <v>3</v>
      </c>
      <c r="O2638" t="s">
        <v>166</v>
      </c>
      <c r="P2638" s="2">
        <v>155.07</v>
      </c>
      <c r="Q2638" s="2">
        <v>31.01</v>
      </c>
      <c r="R2638" t="s">
        <v>76</v>
      </c>
      <c r="S2638">
        <v>1</v>
      </c>
      <c r="T2638">
        <v>0</v>
      </c>
      <c r="U2638">
        <f>IF(AND(OR(Dashboard!$D$4="Semua",D2638=Dashboard!$D$4),OR(Dashboard!$H$4="Semua",E2638=Dashboard!$H$4)),1,0)</f>
        <v>1</v>
      </c>
      <c r="V2638">
        <f>IF(U2638=1,IF(COUNTIFS($C$2:C2638,C2638,$U$2:U2638,1)=1,1,0),0)</f>
        <v>0</v>
      </c>
    </row>
    <row r="2639" spans="1:22" x14ac:dyDescent="0.35">
      <c r="A2639">
        <v>12638</v>
      </c>
      <c r="B2639" s="1">
        <v>47199</v>
      </c>
      <c r="C2639">
        <v>1865</v>
      </c>
      <c r="D2639" t="s">
        <v>80</v>
      </c>
      <c r="E2639" t="s">
        <v>78</v>
      </c>
      <c r="F2639">
        <v>6</v>
      </c>
      <c r="G2639" s="2">
        <v>219.09</v>
      </c>
      <c r="H2639">
        <v>0.14000000000000001</v>
      </c>
      <c r="I2639" t="s">
        <v>68</v>
      </c>
      <c r="J2639">
        <v>8</v>
      </c>
      <c r="K2639">
        <v>4.5999999999999996</v>
      </c>
      <c r="L2639" s="2">
        <v>1130.5</v>
      </c>
      <c r="M2639">
        <v>2029</v>
      </c>
      <c r="N2639">
        <v>3</v>
      </c>
      <c r="O2639" t="s">
        <v>166</v>
      </c>
      <c r="P2639" s="2">
        <v>1314.54</v>
      </c>
      <c r="Q2639" s="2">
        <v>184.04</v>
      </c>
      <c r="R2639" t="s">
        <v>79</v>
      </c>
      <c r="S2639">
        <v>1</v>
      </c>
      <c r="T2639">
        <v>0</v>
      </c>
      <c r="U2639">
        <f>IF(AND(OR(Dashboard!$D$4="Semua",D2639=Dashboard!$D$4),OR(Dashboard!$H$4="Semua",E2639=Dashboard!$H$4)),1,0)</f>
        <v>1</v>
      </c>
      <c r="V2639">
        <f>IF(U2639=1,IF(COUNTIFS($C$2:C2639,C2639,$U$2:U2639,1)=1,1,0),0)</f>
        <v>0</v>
      </c>
    </row>
    <row r="2640" spans="1:22" x14ac:dyDescent="0.35">
      <c r="A2640">
        <v>12639</v>
      </c>
      <c r="B2640" s="1">
        <v>47200</v>
      </c>
      <c r="C2640">
        <v>1511</v>
      </c>
      <c r="D2640" t="s">
        <v>67</v>
      </c>
      <c r="E2640" t="s">
        <v>70</v>
      </c>
      <c r="F2640">
        <v>3</v>
      </c>
      <c r="G2640" s="2">
        <v>485.77</v>
      </c>
      <c r="H2640">
        <v>0.27</v>
      </c>
      <c r="I2640" t="s">
        <v>71</v>
      </c>
      <c r="J2640">
        <v>7</v>
      </c>
      <c r="K2640">
        <v>2.8</v>
      </c>
      <c r="L2640" s="2">
        <v>1063.8399999999999</v>
      </c>
      <c r="M2640">
        <v>2029</v>
      </c>
      <c r="N2640">
        <v>3</v>
      </c>
      <c r="O2640" t="s">
        <v>166</v>
      </c>
      <c r="P2640" s="2">
        <v>1457.31</v>
      </c>
      <c r="Q2640" s="2">
        <v>393.47</v>
      </c>
      <c r="R2640" t="s">
        <v>66</v>
      </c>
      <c r="S2640">
        <v>1</v>
      </c>
      <c r="T2640">
        <v>0</v>
      </c>
      <c r="U2640">
        <f>IF(AND(OR(Dashboard!$D$4="Semua",D2640=Dashboard!$D$4),OR(Dashboard!$H$4="Semua",E2640=Dashboard!$H$4)),1,0)</f>
        <v>1</v>
      </c>
      <c r="V2640">
        <f>IF(U2640=1,IF(COUNTIFS($C$2:C2640,C2640,$U$2:U2640,1)=1,1,0),0)</f>
        <v>0</v>
      </c>
    </row>
    <row r="2641" spans="1:22" x14ac:dyDescent="0.35">
      <c r="A2641">
        <v>12640</v>
      </c>
      <c r="B2641" s="1">
        <v>47201</v>
      </c>
      <c r="C2641">
        <v>1739</v>
      </c>
      <c r="D2641" t="s">
        <v>62</v>
      </c>
      <c r="E2641" t="s">
        <v>74</v>
      </c>
      <c r="F2641">
        <v>2</v>
      </c>
      <c r="G2641" s="2">
        <v>552.45000000000005</v>
      </c>
      <c r="H2641">
        <v>0.14000000000000001</v>
      </c>
      <c r="I2641" t="s">
        <v>68</v>
      </c>
      <c r="J2641">
        <v>8</v>
      </c>
      <c r="K2641">
        <v>1.2</v>
      </c>
      <c r="L2641" s="2">
        <v>950.21</v>
      </c>
      <c r="M2641">
        <v>2029</v>
      </c>
      <c r="N2641">
        <v>3</v>
      </c>
      <c r="O2641" t="s">
        <v>166</v>
      </c>
      <c r="P2641" s="2">
        <v>1104.9000000000001</v>
      </c>
      <c r="Q2641" s="2">
        <v>154.69</v>
      </c>
      <c r="R2641" t="s">
        <v>79</v>
      </c>
      <c r="S2641">
        <v>1</v>
      </c>
      <c r="T2641">
        <v>0</v>
      </c>
      <c r="U2641">
        <f>IF(AND(OR(Dashboard!$D$4="Semua",D2641=Dashboard!$D$4),OR(Dashboard!$H$4="Semua",E2641=Dashboard!$H$4)),1,0)</f>
        <v>1</v>
      </c>
      <c r="V2641">
        <f>IF(U2641=1,IF(COUNTIFS($C$2:C2641,C2641,$U$2:U2641,1)=1,1,0),0)</f>
        <v>0</v>
      </c>
    </row>
    <row r="2642" spans="1:22" x14ac:dyDescent="0.35">
      <c r="A2642">
        <v>12641</v>
      </c>
      <c r="B2642" s="1">
        <v>47202</v>
      </c>
      <c r="C2642">
        <v>1577</v>
      </c>
      <c r="D2642" t="s">
        <v>73</v>
      </c>
      <c r="E2642" t="s">
        <v>74</v>
      </c>
      <c r="F2642">
        <v>1</v>
      </c>
      <c r="G2642" s="2">
        <v>539.6</v>
      </c>
      <c r="H2642">
        <v>0.24</v>
      </c>
      <c r="I2642" t="s">
        <v>68</v>
      </c>
      <c r="J2642">
        <v>9</v>
      </c>
      <c r="K2642">
        <v>3.9</v>
      </c>
      <c r="L2642" s="2">
        <v>410.1</v>
      </c>
      <c r="M2642">
        <v>2029</v>
      </c>
      <c r="N2642">
        <v>3</v>
      </c>
      <c r="O2642" t="s">
        <v>166</v>
      </c>
      <c r="P2642" s="2">
        <v>539.6</v>
      </c>
      <c r="Q2642" s="2">
        <v>129.5</v>
      </c>
      <c r="R2642" t="s">
        <v>77</v>
      </c>
      <c r="S2642">
        <v>1</v>
      </c>
      <c r="T2642">
        <v>0</v>
      </c>
      <c r="U2642">
        <f>IF(AND(OR(Dashboard!$D$4="Semua",D2642=Dashboard!$D$4),OR(Dashboard!$H$4="Semua",E2642=Dashboard!$H$4)),1,0)</f>
        <v>1</v>
      </c>
      <c r="V2642">
        <f>IF(U2642=1,IF(COUNTIFS($C$2:C2642,C2642,$U$2:U2642,1)=1,1,0),0)</f>
        <v>0</v>
      </c>
    </row>
    <row r="2643" spans="1:22" x14ac:dyDescent="0.35">
      <c r="A2643">
        <v>12642</v>
      </c>
      <c r="B2643" s="1">
        <v>47203</v>
      </c>
      <c r="C2643">
        <v>1334</v>
      </c>
      <c r="D2643" t="s">
        <v>62</v>
      </c>
      <c r="E2643" t="s">
        <v>74</v>
      </c>
      <c r="F2643">
        <v>5</v>
      </c>
      <c r="G2643" s="2">
        <v>553.20000000000005</v>
      </c>
      <c r="H2643">
        <v>0.04</v>
      </c>
      <c r="I2643" t="s">
        <v>71</v>
      </c>
      <c r="J2643">
        <v>1</v>
      </c>
      <c r="K2643">
        <v>1.4</v>
      </c>
      <c r="L2643" s="2">
        <v>2655.36</v>
      </c>
      <c r="M2643">
        <v>2029</v>
      </c>
      <c r="N2643">
        <v>3</v>
      </c>
      <c r="O2643" t="s">
        <v>166</v>
      </c>
      <c r="P2643" s="2">
        <v>2766</v>
      </c>
      <c r="Q2643" s="2">
        <v>110.64</v>
      </c>
      <c r="R2643" t="s">
        <v>75</v>
      </c>
      <c r="S2643">
        <v>1</v>
      </c>
      <c r="T2643">
        <v>0</v>
      </c>
      <c r="U2643">
        <f>IF(AND(OR(Dashboard!$D$4="Semua",D2643=Dashboard!$D$4),OR(Dashboard!$H$4="Semua",E2643=Dashboard!$H$4)),1,0)</f>
        <v>1</v>
      </c>
      <c r="V2643">
        <f>IF(U2643=1,IF(COUNTIFS($C$2:C2643,C2643,$U$2:U2643,1)=1,1,0),0)</f>
        <v>0</v>
      </c>
    </row>
    <row r="2644" spans="1:22" x14ac:dyDescent="0.35">
      <c r="A2644">
        <v>12643</v>
      </c>
      <c r="B2644" s="1">
        <v>47204</v>
      </c>
      <c r="C2644">
        <v>1417</v>
      </c>
      <c r="D2644" t="s">
        <v>73</v>
      </c>
      <c r="E2644" t="s">
        <v>74</v>
      </c>
      <c r="F2644">
        <v>2</v>
      </c>
      <c r="G2644" s="2">
        <v>546.02</v>
      </c>
      <c r="H2644">
        <v>0.05</v>
      </c>
      <c r="I2644" t="s">
        <v>71</v>
      </c>
      <c r="J2644">
        <v>3</v>
      </c>
      <c r="K2644">
        <v>1.9</v>
      </c>
      <c r="L2644" s="2">
        <v>1037.44</v>
      </c>
      <c r="M2644">
        <v>2029</v>
      </c>
      <c r="N2644">
        <v>3</v>
      </c>
      <c r="O2644" t="s">
        <v>166</v>
      </c>
      <c r="P2644" s="2">
        <v>1092.04</v>
      </c>
      <c r="Q2644" s="2">
        <v>54.6</v>
      </c>
      <c r="R2644" t="s">
        <v>75</v>
      </c>
      <c r="S2644">
        <v>1</v>
      </c>
      <c r="T2644">
        <v>0</v>
      </c>
      <c r="U2644">
        <f>IF(AND(OR(Dashboard!$D$4="Semua",D2644=Dashboard!$D$4),OR(Dashboard!$H$4="Semua",E2644=Dashboard!$H$4)),1,0)</f>
        <v>1</v>
      </c>
      <c r="V2644">
        <f>IF(U2644=1,IF(COUNTIFS($C$2:C2644,C2644,$U$2:U2644,1)=1,1,0),0)</f>
        <v>0</v>
      </c>
    </row>
    <row r="2645" spans="1:22" x14ac:dyDescent="0.35">
      <c r="A2645">
        <v>12644</v>
      </c>
      <c r="B2645" s="1">
        <v>47205</v>
      </c>
      <c r="C2645">
        <v>1931</v>
      </c>
      <c r="D2645" t="s">
        <v>73</v>
      </c>
      <c r="E2645" t="s">
        <v>63</v>
      </c>
      <c r="F2645">
        <v>6</v>
      </c>
      <c r="G2645" s="2">
        <v>323.43</v>
      </c>
      <c r="H2645">
        <v>0.05</v>
      </c>
      <c r="I2645" t="s">
        <v>71</v>
      </c>
      <c r="J2645">
        <v>2</v>
      </c>
      <c r="K2645">
        <v>4.2</v>
      </c>
      <c r="L2645" s="2">
        <v>1843.55</v>
      </c>
      <c r="M2645">
        <v>2029</v>
      </c>
      <c r="N2645">
        <v>3</v>
      </c>
      <c r="O2645" t="s">
        <v>166</v>
      </c>
      <c r="P2645" s="2">
        <v>1940.58</v>
      </c>
      <c r="Q2645" s="2">
        <v>97.03</v>
      </c>
      <c r="R2645" t="s">
        <v>75</v>
      </c>
      <c r="S2645">
        <v>1</v>
      </c>
      <c r="T2645">
        <v>0</v>
      </c>
      <c r="U2645">
        <f>IF(AND(OR(Dashboard!$D$4="Semua",D2645=Dashboard!$D$4),OR(Dashboard!$H$4="Semua",E2645=Dashboard!$H$4)),1,0)</f>
        <v>1</v>
      </c>
      <c r="V2645">
        <f>IF(U2645=1,IF(COUNTIFS($C$2:C2645,C2645,$U$2:U2645,1)=1,1,0),0)</f>
        <v>0</v>
      </c>
    </row>
    <row r="2646" spans="1:22" x14ac:dyDescent="0.35">
      <c r="A2646">
        <v>12645</v>
      </c>
      <c r="B2646" s="1">
        <v>47206</v>
      </c>
      <c r="C2646">
        <v>1773</v>
      </c>
      <c r="D2646" t="s">
        <v>80</v>
      </c>
      <c r="E2646" t="s">
        <v>63</v>
      </c>
      <c r="F2646">
        <v>4</v>
      </c>
      <c r="G2646" s="2">
        <v>143.36000000000001</v>
      </c>
      <c r="H2646">
        <v>0.02</v>
      </c>
      <c r="I2646" t="s">
        <v>68</v>
      </c>
      <c r="J2646">
        <v>3</v>
      </c>
      <c r="K2646">
        <v>1.6</v>
      </c>
      <c r="L2646" s="2">
        <v>561.97</v>
      </c>
      <c r="M2646">
        <v>2029</v>
      </c>
      <c r="N2646">
        <v>3</v>
      </c>
      <c r="O2646" t="s">
        <v>166</v>
      </c>
      <c r="P2646" s="2">
        <v>573.44000000000005</v>
      </c>
      <c r="Q2646" s="2">
        <v>11.47</v>
      </c>
      <c r="R2646" t="s">
        <v>75</v>
      </c>
      <c r="S2646">
        <v>1</v>
      </c>
      <c r="T2646">
        <v>0</v>
      </c>
      <c r="U2646">
        <f>IF(AND(OR(Dashboard!$D$4="Semua",D2646=Dashboard!$D$4),OR(Dashboard!$H$4="Semua",E2646=Dashboard!$H$4)),1,0)</f>
        <v>1</v>
      </c>
      <c r="V2646">
        <f>IF(U2646=1,IF(COUNTIFS($C$2:C2646,C2646,$U$2:U2646,1)=1,1,0),0)</f>
        <v>0</v>
      </c>
    </row>
    <row r="2647" spans="1:22" x14ac:dyDescent="0.35">
      <c r="A2647">
        <v>12646</v>
      </c>
      <c r="B2647" s="1">
        <v>47207</v>
      </c>
      <c r="C2647">
        <v>1294</v>
      </c>
      <c r="D2647" t="s">
        <v>67</v>
      </c>
      <c r="E2647" t="s">
        <v>70</v>
      </c>
      <c r="F2647">
        <v>6</v>
      </c>
      <c r="G2647" s="2">
        <v>481.86</v>
      </c>
      <c r="H2647">
        <v>0.19</v>
      </c>
      <c r="I2647" t="s">
        <v>68</v>
      </c>
      <c r="J2647">
        <v>11</v>
      </c>
      <c r="K2647">
        <v>2.2999999999999998</v>
      </c>
      <c r="L2647" s="2">
        <v>2341.84</v>
      </c>
      <c r="M2647">
        <v>2029</v>
      </c>
      <c r="N2647">
        <v>3</v>
      </c>
      <c r="O2647" t="s">
        <v>166</v>
      </c>
      <c r="P2647" s="2">
        <v>2891.16</v>
      </c>
      <c r="Q2647" s="2">
        <v>549.32000000000005</v>
      </c>
      <c r="R2647" t="s">
        <v>76</v>
      </c>
      <c r="S2647">
        <v>1</v>
      </c>
      <c r="T2647">
        <v>0</v>
      </c>
      <c r="U2647">
        <f>IF(AND(OR(Dashboard!$D$4="Semua",D2647=Dashboard!$D$4),OR(Dashboard!$H$4="Semua",E2647=Dashboard!$H$4)),1,0)</f>
        <v>1</v>
      </c>
      <c r="V2647">
        <f>IF(U2647=1,IF(COUNTIFS($C$2:C2647,C2647,$U$2:U2647,1)=1,1,0),0)</f>
        <v>0</v>
      </c>
    </row>
    <row r="2648" spans="1:22" x14ac:dyDescent="0.35">
      <c r="A2648">
        <v>12647</v>
      </c>
      <c r="B2648" s="1">
        <v>47208</v>
      </c>
      <c r="C2648">
        <v>1937</v>
      </c>
      <c r="D2648" t="s">
        <v>67</v>
      </c>
      <c r="E2648" t="s">
        <v>70</v>
      </c>
      <c r="F2648">
        <v>6</v>
      </c>
      <c r="G2648" s="2">
        <v>140.02000000000001</v>
      </c>
      <c r="H2648">
        <v>0.28000000000000003</v>
      </c>
      <c r="I2648" t="s">
        <v>68</v>
      </c>
      <c r="J2648">
        <v>11</v>
      </c>
      <c r="K2648">
        <v>2.4</v>
      </c>
      <c r="L2648" s="2">
        <v>604.89</v>
      </c>
      <c r="M2648">
        <v>2029</v>
      </c>
      <c r="N2648">
        <v>3</v>
      </c>
      <c r="O2648" t="s">
        <v>166</v>
      </c>
      <c r="P2648" s="2">
        <v>840.12</v>
      </c>
      <c r="Q2648" s="2">
        <v>235.23</v>
      </c>
      <c r="R2648" t="s">
        <v>66</v>
      </c>
      <c r="S2648">
        <v>1</v>
      </c>
      <c r="T2648">
        <v>0</v>
      </c>
      <c r="U2648">
        <f>IF(AND(OR(Dashboard!$D$4="Semua",D2648=Dashboard!$D$4),OR(Dashboard!$H$4="Semua",E2648=Dashboard!$H$4)),1,0)</f>
        <v>1</v>
      </c>
      <c r="V2648">
        <f>IF(U2648=1,IF(COUNTIFS($C$2:C2648,C2648,$U$2:U2648,1)=1,1,0),0)</f>
        <v>1</v>
      </c>
    </row>
    <row r="2649" spans="1:22" x14ac:dyDescent="0.35">
      <c r="A2649">
        <v>12648</v>
      </c>
      <c r="B2649" s="1">
        <v>47209</v>
      </c>
      <c r="C2649">
        <v>1754</v>
      </c>
      <c r="D2649" t="s">
        <v>67</v>
      </c>
      <c r="E2649" t="s">
        <v>74</v>
      </c>
      <c r="F2649">
        <v>3</v>
      </c>
      <c r="G2649" s="2">
        <v>171.32</v>
      </c>
      <c r="H2649">
        <v>0.21</v>
      </c>
      <c r="I2649" t="s">
        <v>68</v>
      </c>
      <c r="J2649">
        <v>2</v>
      </c>
      <c r="K2649">
        <v>3.4</v>
      </c>
      <c r="L2649" s="2">
        <v>406.03</v>
      </c>
      <c r="M2649">
        <v>2029</v>
      </c>
      <c r="N2649">
        <v>4</v>
      </c>
      <c r="O2649" t="s">
        <v>167</v>
      </c>
      <c r="P2649" s="2">
        <v>513.96</v>
      </c>
      <c r="Q2649" s="2">
        <v>107.93</v>
      </c>
      <c r="R2649" t="s">
        <v>77</v>
      </c>
      <c r="S2649">
        <v>1</v>
      </c>
      <c r="T2649">
        <v>0</v>
      </c>
      <c r="U2649">
        <f>IF(AND(OR(Dashboard!$D$4="Semua",D2649=Dashboard!$D$4),OR(Dashboard!$H$4="Semua",E2649=Dashboard!$H$4)),1,0)</f>
        <v>1</v>
      </c>
      <c r="V2649">
        <f>IF(U2649=1,IF(COUNTIFS($C$2:C2649,C2649,$U$2:U2649,1)=1,1,0),0)</f>
        <v>0</v>
      </c>
    </row>
    <row r="2650" spans="1:22" x14ac:dyDescent="0.35">
      <c r="A2650">
        <v>12649</v>
      </c>
      <c r="B2650" s="1">
        <v>47210</v>
      </c>
      <c r="C2650">
        <v>1370</v>
      </c>
      <c r="D2650" t="s">
        <v>80</v>
      </c>
      <c r="E2650" t="s">
        <v>74</v>
      </c>
      <c r="F2650">
        <v>4</v>
      </c>
      <c r="G2650" s="2">
        <v>151.44999999999999</v>
      </c>
      <c r="H2650">
        <v>0.2</v>
      </c>
      <c r="I2650" t="s">
        <v>71</v>
      </c>
      <c r="J2650">
        <v>11</v>
      </c>
      <c r="K2650">
        <v>4.2</v>
      </c>
      <c r="L2650" s="2">
        <v>484.64</v>
      </c>
      <c r="M2650">
        <v>2029</v>
      </c>
      <c r="N2650">
        <v>4</v>
      </c>
      <c r="O2650" t="s">
        <v>167</v>
      </c>
      <c r="P2650" s="2">
        <v>605.79999999999995</v>
      </c>
      <c r="Q2650" s="2">
        <v>121.16</v>
      </c>
      <c r="R2650" t="s">
        <v>76</v>
      </c>
      <c r="S2650">
        <v>1</v>
      </c>
      <c r="T2650">
        <v>0</v>
      </c>
      <c r="U2650">
        <f>IF(AND(OR(Dashboard!$D$4="Semua",D2650=Dashboard!$D$4),OR(Dashboard!$H$4="Semua",E2650=Dashboard!$H$4)),1,0)</f>
        <v>1</v>
      </c>
      <c r="V2650">
        <f>IF(U2650=1,IF(COUNTIFS($C$2:C2650,C2650,$U$2:U2650,1)=1,1,0),0)</f>
        <v>0</v>
      </c>
    </row>
    <row r="2651" spans="1:22" x14ac:dyDescent="0.35">
      <c r="A2651">
        <v>12650</v>
      </c>
      <c r="B2651" s="1">
        <v>47211</v>
      </c>
      <c r="C2651">
        <v>1185</v>
      </c>
      <c r="D2651" t="s">
        <v>73</v>
      </c>
      <c r="E2651" t="s">
        <v>74</v>
      </c>
      <c r="F2651">
        <v>2</v>
      </c>
      <c r="G2651" s="2">
        <v>316.26</v>
      </c>
      <c r="H2651">
        <v>0.24</v>
      </c>
      <c r="I2651" t="s">
        <v>68</v>
      </c>
      <c r="J2651">
        <v>6</v>
      </c>
      <c r="K2651">
        <v>1.9</v>
      </c>
      <c r="L2651" s="2">
        <v>480.72</v>
      </c>
      <c r="M2651">
        <v>2029</v>
      </c>
      <c r="N2651">
        <v>4</v>
      </c>
      <c r="O2651" t="s">
        <v>167</v>
      </c>
      <c r="P2651" s="2">
        <v>632.52</v>
      </c>
      <c r="Q2651" s="2">
        <v>151.80000000000001</v>
      </c>
      <c r="R2651" t="s">
        <v>77</v>
      </c>
      <c r="S2651">
        <v>1</v>
      </c>
      <c r="T2651">
        <v>0</v>
      </c>
      <c r="U2651">
        <f>IF(AND(OR(Dashboard!$D$4="Semua",D2651=Dashboard!$D$4),OR(Dashboard!$H$4="Semua",E2651=Dashboard!$H$4)),1,0)</f>
        <v>1</v>
      </c>
      <c r="V2651">
        <f>IF(U2651=1,IF(COUNTIFS($C$2:C2651,C2651,$U$2:U2651,1)=1,1,0),0)</f>
        <v>0</v>
      </c>
    </row>
    <row r="2652" spans="1:22" x14ac:dyDescent="0.35">
      <c r="A2652">
        <v>12651</v>
      </c>
      <c r="B2652" s="1">
        <v>47212</v>
      </c>
      <c r="C2652">
        <v>1245</v>
      </c>
      <c r="D2652" t="s">
        <v>73</v>
      </c>
      <c r="E2652" t="s">
        <v>70</v>
      </c>
      <c r="F2652">
        <v>6</v>
      </c>
      <c r="G2652" s="2">
        <v>203.27</v>
      </c>
      <c r="H2652">
        <v>0.12</v>
      </c>
      <c r="I2652" t="s">
        <v>68</v>
      </c>
      <c r="J2652">
        <v>9</v>
      </c>
      <c r="K2652">
        <v>1.8</v>
      </c>
      <c r="L2652" s="2">
        <v>1073.27</v>
      </c>
      <c r="M2652">
        <v>2029</v>
      </c>
      <c r="N2652">
        <v>4</v>
      </c>
      <c r="O2652" t="s">
        <v>167</v>
      </c>
      <c r="P2652" s="2">
        <v>1219.6199999999999</v>
      </c>
      <c r="Q2652" s="2">
        <v>146.35</v>
      </c>
      <c r="R2652" t="s">
        <v>79</v>
      </c>
      <c r="S2652">
        <v>1</v>
      </c>
      <c r="T2652">
        <v>0</v>
      </c>
      <c r="U2652">
        <f>IF(AND(OR(Dashboard!$D$4="Semua",D2652=Dashboard!$D$4),OR(Dashboard!$H$4="Semua",E2652=Dashboard!$H$4)),1,0)</f>
        <v>1</v>
      </c>
      <c r="V2652">
        <f>IF(U2652=1,IF(COUNTIFS($C$2:C2652,C2652,$U$2:U2652,1)=1,1,0),0)</f>
        <v>0</v>
      </c>
    </row>
    <row r="2653" spans="1:22" x14ac:dyDescent="0.35">
      <c r="A2653">
        <v>12652</v>
      </c>
      <c r="B2653" s="1">
        <v>47213</v>
      </c>
      <c r="C2653">
        <v>1636</v>
      </c>
      <c r="D2653" t="s">
        <v>73</v>
      </c>
      <c r="E2653" t="s">
        <v>74</v>
      </c>
      <c r="F2653">
        <v>2</v>
      </c>
      <c r="G2653" s="2">
        <v>105.18</v>
      </c>
      <c r="H2653">
        <v>0.13</v>
      </c>
      <c r="I2653" t="s">
        <v>68</v>
      </c>
      <c r="J2653">
        <v>2</v>
      </c>
      <c r="K2653">
        <v>1.9</v>
      </c>
      <c r="L2653" s="2">
        <v>183.01</v>
      </c>
      <c r="M2653">
        <v>2029</v>
      </c>
      <c r="N2653">
        <v>4</v>
      </c>
      <c r="O2653" t="s">
        <v>167</v>
      </c>
      <c r="P2653" s="2">
        <v>210.36</v>
      </c>
      <c r="Q2653" s="2">
        <v>27.35</v>
      </c>
      <c r="R2653" t="s">
        <v>79</v>
      </c>
      <c r="S2653">
        <v>1</v>
      </c>
      <c r="T2653">
        <v>0</v>
      </c>
      <c r="U2653">
        <f>IF(AND(OR(Dashboard!$D$4="Semua",D2653=Dashboard!$D$4),OR(Dashboard!$H$4="Semua",E2653=Dashboard!$H$4)),1,0)</f>
        <v>1</v>
      </c>
      <c r="V2653">
        <f>IF(U2653=1,IF(COUNTIFS($C$2:C2653,C2653,$U$2:U2653,1)=1,1,0),0)</f>
        <v>0</v>
      </c>
    </row>
    <row r="2654" spans="1:22" x14ac:dyDescent="0.35">
      <c r="A2654">
        <v>12653</v>
      </c>
      <c r="B2654" s="1">
        <v>47214</v>
      </c>
      <c r="C2654">
        <v>1267</v>
      </c>
      <c r="D2654" t="s">
        <v>67</v>
      </c>
      <c r="E2654" t="s">
        <v>78</v>
      </c>
      <c r="F2654">
        <v>7</v>
      </c>
      <c r="G2654" s="2">
        <v>280.11</v>
      </c>
      <c r="H2654">
        <v>0.11</v>
      </c>
      <c r="I2654" t="s">
        <v>71</v>
      </c>
      <c r="J2654">
        <v>4</v>
      </c>
      <c r="K2654">
        <v>2.5</v>
      </c>
      <c r="L2654" s="2">
        <v>1745.09</v>
      </c>
      <c r="M2654">
        <v>2029</v>
      </c>
      <c r="N2654">
        <v>4</v>
      </c>
      <c r="O2654" t="s">
        <v>167</v>
      </c>
      <c r="P2654" s="2">
        <v>1960.77</v>
      </c>
      <c r="Q2654" s="2">
        <v>215.68</v>
      </c>
      <c r="R2654" t="s">
        <v>79</v>
      </c>
      <c r="S2654">
        <v>1</v>
      </c>
      <c r="T2654">
        <v>0</v>
      </c>
      <c r="U2654">
        <f>IF(AND(OR(Dashboard!$D$4="Semua",D2654=Dashboard!$D$4),OR(Dashboard!$H$4="Semua",E2654=Dashboard!$H$4)),1,0)</f>
        <v>1</v>
      </c>
      <c r="V2654">
        <f>IF(U2654=1,IF(COUNTIFS($C$2:C2654,C2654,$U$2:U2654,1)=1,1,0),0)</f>
        <v>0</v>
      </c>
    </row>
    <row r="2655" spans="1:22" x14ac:dyDescent="0.35">
      <c r="A2655">
        <v>12654</v>
      </c>
      <c r="B2655" s="1">
        <v>47215</v>
      </c>
      <c r="C2655">
        <v>1642</v>
      </c>
      <c r="D2655" t="s">
        <v>73</v>
      </c>
      <c r="E2655" t="s">
        <v>70</v>
      </c>
      <c r="F2655">
        <v>7</v>
      </c>
      <c r="G2655" s="2">
        <v>526.24</v>
      </c>
      <c r="H2655">
        <v>0.25</v>
      </c>
      <c r="I2655" t="s">
        <v>71</v>
      </c>
      <c r="J2655">
        <v>5</v>
      </c>
      <c r="K2655">
        <v>3.1</v>
      </c>
      <c r="L2655" s="2">
        <v>2762.76</v>
      </c>
      <c r="M2655">
        <v>2029</v>
      </c>
      <c r="N2655">
        <v>4</v>
      </c>
      <c r="O2655" t="s">
        <v>167</v>
      </c>
      <c r="P2655" s="2">
        <v>3683.68</v>
      </c>
      <c r="Q2655" s="2">
        <v>920.92</v>
      </c>
      <c r="R2655" t="s">
        <v>77</v>
      </c>
      <c r="S2655">
        <v>1</v>
      </c>
      <c r="T2655">
        <v>0</v>
      </c>
      <c r="U2655">
        <f>IF(AND(OR(Dashboard!$D$4="Semua",D2655=Dashboard!$D$4),OR(Dashboard!$H$4="Semua",E2655=Dashboard!$H$4)),1,0)</f>
        <v>1</v>
      </c>
      <c r="V2655">
        <f>IF(U2655=1,IF(COUNTIFS($C$2:C2655,C2655,$U$2:U2655,1)=1,1,0),0)</f>
        <v>0</v>
      </c>
    </row>
    <row r="2656" spans="1:22" x14ac:dyDescent="0.35">
      <c r="A2656">
        <v>12655</v>
      </c>
      <c r="B2656" s="1">
        <v>47216</v>
      </c>
      <c r="C2656">
        <v>1236</v>
      </c>
      <c r="D2656" t="s">
        <v>67</v>
      </c>
      <c r="E2656" t="s">
        <v>78</v>
      </c>
      <c r="F2656">
        <v>7</v>
      </c>
      <c r="G2656" s="2">
        <v>348.77</v>
      </c>
      <c r="H2656">
        <v>0.06</v>
      </c>
      <c r="I2656" t="s">
        <v>71</v>
      </c>
      <c r="J2656">
        <v>5</v>
      </c>
      <c r="K2656">
        <v>1.1000000000000001</v>
      </c>
      <c r="L2656" s="2">
        <v>2294.91</v>
      </c>
      <c r="M2656">
        <v>2029</v>
      </c>
      <c r="N2656">
        <v>4</v>
      </c>
      <c r="O2656" t="s">
        <v>167</v>
      </c>
      <c r="P2656" s="2">
        <v>2441.39</v>
      </c>
      <c r="Q2656" s="2">
        <v>146.47999999999999</v>
      </c>
      <c r="R2656" t="s">
        <v>69</v>
      </c>
      <c r="S2656">
        <v>1</v>
      </c>
      <c r="T2656">
        <v>0</v>
      </c>
      <c r="U2656">
        <f>IF(AND(OR(Dashboard!$D$4="Semua",D2656=Dashboard!$D$4),OR(Dashboard!$H$4="Semua",E2656=Dashboard!$H$4)),1,0)</f>
        <v>1</v>
      </c>
      <c r="V2656">
        <f>IF(U2656=1,IF(COUNTIFS($C$2:C2656,C2656,$U$2:U2656,1)=1,1,0),0)</f>
        <v>0</v>
      </c>
    </row>
    <row r="2657" spans="1:22" x14ac:dyDescent="0.35">
      <c r="A2657">
        <v>12656</v>
      </c>
      <c r="B2657" s="1">
        <v>47217</v>
      </c>
      <c r="C2657">
        <v>1529</v>
      </c>
      <c r="D2657" t="s">
        <v>67</v>
      </c>
      <c r="E2657" t="s">
        <v>74</v>
      </c>
      <c r="F2657">
        <v>5</v>
      </c>
      <c r="G2657" s="2">
        <v>528.83000000000004</v>
      </c>
      <c r="H2657">
        <v>0</v>
      </c>
      <c r="I2657" t="s">
        <v>68</v>
      </c>
      <c r="J2657">
        <v>1</v>
      </c>
      <c r="K2657">
        <v>4.0999999999999996</v>
      </c>
      <c r="L2657" s="2">
        <v>2644.15</v>
      </c>
      <c r="M2657">
        <v>2029</v>
      </c>
      <c r="N2657">
        <v>4</v>
      </c>
      <c r="O2657" t="s">
        <v>167</v>
      </c>
      <c r="P2657" s="2">
        <v>2644.15</v>
      </c>
      <c r="Q2657" s="2">
        <v>0</v>
      </c>
      <c r="R2657" t="s">
        <v>75</v>
      </c>
      <c r="S2657">
        <v>1</v>
      </c>
      <c r="T2657">
        <v>0</v>
      </c>
      <c r="U2657">
        <f>IF(AND(OR(Dashboard!$D$4="Semua",D2657=Dashboard!$D$4),OR(Dashboard!$H$4="Semua",E2657=Dashboard!$H$4)),1,0)</f>
        <v>1</v>
      </c>
      <c r="V2657">
        <f>IF(U2657=1,IF(COUNTIFS($C$2:C2657,C2657,$U$2:U2657,1)=1,1,0),0)</f>
        <v>1</v>
      </c>
    </row>
    <row r="2658" spans="1:22" x14ac:dyDescent="0.35">
      <c r="A2658">
        <v>12657</v>
      </c>
      <c r="B2658" s="1">
        <v>47218</v>
      </c>
      <c r="C2658">
        <v>1551</v>
      </c>
      <c r="D2658" t="s">
        <v>73</v>
      </c>
      <c r="E2658" t="s">
        <v>63</v>
      </c>
      <c r="F2658">
        <v>3</v>
      </c>
      <c r="G2658" s="2">
        <v>129.59</v>
      </c>
      <c r="H2658">
        <v>0.21</v>
      </c>
      <c r="I2658" t="s">
        <v>68</v>
      </c>
      <c r="J2658">
        <v>6</v>
      </c>
      <c r="K2658">
        <v>4.7</v>
      </c>
      <c r="L2658" s="2">
        <v>307.13</v>
      </c>
      <c r="M2658">
        <v>2029</v>
      </c>
      <c r="N2658">
        <v>4</v>
      </c>
      <c r="O2658" t="s">
        <v>167</v>
      </c>
      <c r="P2658" s="2">
        <v>388.77</v>
      </c>
      <c r="Q2658" s="2">
        <v>81.64</v>
      </c>
      <c r="R2658" t="s">
        <v>77</v>
      </c>
      <c r="S2658">
        <v>1</v>
      </c>
      <c r="T2658">
        <v>0</v>
      </c>
      <c r="U2658">
        <f>IF(AND(OR(Dashboard!$D$4="Semua",D2658=Dashboard!$D$4),OR(Dashboard!$H$4="Semua",E2658=Dashboard!$H$4)),1,0)</f>
        <v>1</v>
      </c>
      <c r="V2658">
        <f>IF(U2658=1,IF(COUNTIFS($C$2:C2658,C2658,$U$2:U2658,1)=1,1,0),0)</f>
        <v>0</v>
      </c>
    </row>
    <row r="2659" spans="1:22" x14ac:dyDescent="0.35">
      <c r="A2659">
        <v>12658</v>
      </c>
      <c r="B2659" s="1">
        <v>47219</v>
      </c>
      <c r="C2659">
        <v>1020</v>
      </c>
      <c r="D2659" t="s">
        <v>67</v>
      </c>
      <c r="E2659" t="s">
        <v>78</v>
      </c>
      <c r="F2659">
        <v>2</v>
      </c>
      <c r="G2659" s="2">
        <v>112.68</v>
      </c>
      <c r="H2659">
        <v>0.33</v>
      </c>
      <c r="I2659" t="s">
        <v>68</v>
      </c>
      <c r="J2659">
        <v>5</v>
      </c>
      <c r="K2659">
        <v>4.4000000000000004</v>
      </c>
      <c r="L2659" s="2">
        <v>150.99</v>
      </c>
      <c r="M2659">
        <v>2029</v>
      </c>
      <c r="N2659">
        <v>4</v>
      </c>
      <c r="O2659" t="s">
        <v>167</v>
      </c>
      <c r="P2659" s="2">
        <v>225.36</v>
      </c>
      <c r="Q2659" s="2">
        <v>74.37</v>
      </c>
      <c r="R2659" t="s">
        <v>72</v>
      </c>
      <c r="S2659">
        <v>1</v>
      </c>
      <c r="T2659">
        <v>0</v>
      </c>
      <c r="U2659">
        <f>IF(AND(OR(Dashboard!$D$4="Semua",D2659=Dashboard!$D$4),OR(Dashboard!$H$4="Semua",E2659=Dashboard!$H$4)),1,0)</f>
        <v>1</v>
      </c>
      <c r="V2659">
        <f>IF(U2659=1,IF(COUNTIFS($C$2:C2659,C2659,$U$2:U2659,1)=1,1,0),0)</f>
        <v>0</v>
      </c>
    </row>
    <row r="2660" spans="1:22" x14ac:dyDescent="0.35">
      <c r="A2660">
        <v>12659</v>
      </c>
      <c r="B2660" s="1">
        <v>47220</v>
      </c>
      <c r="C2660">
        <v>1910</v>
      </c>
      <c r="D2660" t="s">
        <v>62</v>
      </c>
      <c r="E2660" t="s">
        <v>70</v>
      </c>
      <c r="F2660">
        <v>7</v>
      </c>
      <c r="G2660" s="2">
        <v>351.71</v>
      </c>
      <c r="H2660">
        <v>0.21</v>
      </c>
      <c r="I2660" t="s">
        <v>68</v>
      </c>
      <c r="J2660">
        <v>6</v>
      </c>
      <c r="K2660">
        <v>1.1000000000000001</v>
      </c>
      <c r="L2660" s="2">
        <v>1944.96</v>
      </c>
      <c r="M2660">
        <v>2029</v>
      </c>
      <c r="N2660">
        <v>4</v>
      </c>
      <c r="O2660" t="s">
        <v>167</v>
      </c>
      <c r="P2660" s="2">
        <v>2461.9699999999998</v>
      </c>
      <c r="Q2660" s="2">
        <v>517.01</v>
      </c>
      <c r="R2660" t="s">
        <v>77</v>
      </c>
      <c r="S2660">
        <v>1</v>
      </c>
      <c r="T2660">
        <v>0</v>
      </c>
      <c r="U2660">
        <f>IF(AND(OR(Dashboard!$D$4="Semua",D2660=Dashboard!$D$4),OR(Dashboard!$H$4="Semua",E2660=Dashboard!$H$4)),1,0)</f>
        <v>1</v>
      </c>
      <c r="V2660">
        <f>IF(U2660=1,IF(COUNTIFS($C$2:C2660,C2660,$U$2:U2660,1)=1,1,0),0)</f>
        <v>0</v>
      </c>
    </row>
    <row r="2661" spans="1:22" x14ac:dyDescent="0.35">
      <c r="A2661">
        <v>12660</v>
      </c>
      <c r="B2661" s="1">
        <v>47221</v>
      </c>
      <c r="C2661">
        <v>1736</v>
      </c>
      <c r="D2661" t="s">
        <v>73</v>
      </c>
      <c r="E2661" t="s">
        <v>78</v>
      </c>
      <c r="F2661">
        <v>7</v>
      </c>
      <c r="G2661" s="2">
        <v>286.05</v>
      </c>
      <c r="H2661">
        <v>0.27</v>
      </c>
      <c r="I2661" t="s">
        <v>68</v>
      </c>
      <c r="J2661">
        <v>4</v>
      </c>
      <c r="K2661">
        <v>3.1</v>
      </c>
      <c r="L2661" s="2">
        <v>1461.72</v>
      </c>
      <c r="M2661">
        <v>2029</v>
      </c>
      <c r="N2661">
        <v>4</v>
      </c>
      <c r="O2661" t="s">
        <v>167</v>
      </c>
      <c r="P2661" s="2">
        <v>2002.35</v>
      </c>
      <c r="Q2661" s="2">
        <v>540.63</v>
      </c>
      <c r="R2661" t="s">
        <v>66</v>
      </c>
      <c r="S2661">
        <v>1</v>
      </c>
      <c r="T2661">
        <v>0</v>
      </c>
      <c r="U2661">
        <f>IF(AND(OR(Dashboard!$D$4="Semua",D2661=Dashboard!$D$4),OR(Dashboard!$H$4="Semua",E2661=Dashboard!$H$4)),1,0)</f>
        <v>1</v>
      </c>
      <c r="V2661">
        <f>IF(U2661=1,IF(COUNTIFS($C$2:C2661,C2661,$U$2:U2661,1)=1,1,0),0)</f>
        <v>1</v>
      </c>
    </row>
    <row r="2662" spans="1:22" x14ac:dyDescent="0.35">
      <c r="A2662">
        <v>12661</v>
      </c>
      <c r="B2662" s="1">
        <v>47222</v>
      </c>
      <c r="C2662">
        <v>1866</v>
      </c>
      <c r="D2662" t="s">
        <v>67</v>
      </c>
      <c r="E2662" t="s">
        <v>70</v>
      </c>
      <c r="F2662">
        <v>4</v>
      </c>
      <c r="G2662" s="2">
        <v>401.2</v>
      </c>
      <c r="H2662">
        <v>0.24</v>
      </c>
      <c r="I2662" t="s">
        <v>68</v>
      </c>
      <c r="J2662">
        <v>11</v>
      </c>
      <c r="K2662">
        <v>4.3</v>
      </c>
      <c r="L2662" s="2">
        <v>1219.6500000000001</v>
      </c>
      <c r="M2662">
        <v>2029</v>
      </c>
      <c r="N2662">
        <v>4</v>
      </c>
      <c r="O2662" t="s">
        <v>167</v>
      </c>
      <c r="P2662" s="2">
        <v>1604.8</v>
      </c>
      <c r="Q2662" s="2">
        <v>385.15</v>
      </c>
      <c r="R2662" t="s">
        <v>77</v>
      </c>
      <c r="S2662">
        <v>1</v>
      </c>
      <c r="T2662">
        <v>0</v>
      </c>
      <c r="U2662">
        <f>IF(AND(OR(Dashboard!$D$4="Semua",D2662=Dashboard!$D$4),OR(Dashboard!$H$4="Semua",E2662=Dashboard!$H$4)),1,0)</f>
        <v>1</v>
      </c>
      <c r="V2662">
        <f>IF(U2662=1,IF(COUNTIFS($C$2:C2662,C2662,$U$2:U2662,1)=1,1,0),0)</f>
        <v>0</v>
      </c>
    </row>
    <row r="2663" spans="1:22" x14ac:dyDescent="0.35">
      <c r="A2663">
        <v>12662</v>
      </c>
      <c r="B2663" s="1">
        <v>47223</v>
      </c>
      <c r="C2663">
        <v>1793</v>
      </c>
      <c r="D2663" t="s">
        <v>80</v>
      </c>
      <c r="E2663" t="s">
        <v>74</v>
      </c>
      <c r="F2663">
        <v>6</v>
      </c>
      <c r="G2663" s="2">
        <v>479.86</v>
      </c>
      <c r="H2663">
        <v>0.17</v>
      </c>
      <c r="I2663" t="s">
        <v>71</v>
      </c>
      <c r="J2663">
        <v>6</v>
      </c>
      <c r="K2663">
        <v>2.4</v>
      </c>
      <c r="L2663" s="2">
        <v>2389.6999999999998</v>
      </c>
      <c r="M2663">
        <v>2029</v>
      </c>
      <c r="N2663">
        <v>4</v>
      </c>
      <c r="O2663" t="s">
        <v>167</v>
      </c>
      <c r="P2663" s="2">
        <v>2879.16</v>
      </c>
      <c r="Q2663" s="2">
        <v>489.46</v>
      </c>
      <c r="R2663" t="s">
        <v>76</v>
      </c>
      <c r="S2663">
        <v>1</v>
      </c>
      <c r="T2663">
        <v>0</v>
      </c>
      <c r="U2663">
        <f>IF(AND(OR(Dashboard!$D$4="Semua",D2663=Dashboard!$D$4),OR(Dashboard!$H$4="Semua",E2663=Dashboard!$H$4)),1,0)</f>
        <v>1</v>
      </c>
      <c r="V2663">
        <f>IF(U2663=1,IF(COUNTIFS($C$2:C2663,C2663,$U$2:U2663,1)=1,1,0),0)</f>
        <v>0</v>
      </c>
    </row>
    <row r="2664" spans="1:22" x14ac:dyDescent="0.35">
      <c r="A2664">
        <v>12663</v>
      </c>
      <c r="B2664" s="1">
        <v>47224</v>
      </c>
      <c r="C2664">
        <v>1519</v>
      </c>
      <c r="D2664" t="s">
        <v>67</v>
      </c>
      <c r="E2664" t="s">
        <v>78</v>
      </c>
      <c r="F2664">
        <v>7</v>
      </c>
      <c r="G2664" s="2">
        <v>454.51</v>
      </c>
      <c r="H2664">
        <v>0.25</v>
      </c>
      <c r="I2664" t="s">
        <v>64</v>
      </c>
      <c r="J2664">
        <v>9</v>
      </c>
      <c r="K2664">
        <v>4.5999999999999996</v>
      </c>
      <c r="L2664" s="2">
        <v>2386.1799999999998</v>
      </c>
      <c r="M2664">
        <v>2029</v>
      </c>
      <c r="N2664">
        <v>4</v>
      </c>
      <c r="O2664" t="s">
        <v>167</v>
      </c>
      <c r="P2664" s="2">
        <v>3181.57</v>
      </c>
      <c r="Q2664" s="2">
        <v>795.39</v>
      </c>
      <c r="R2664" t="s">
        <v>77</v>
      </c>
      <c r="S2664">
        <v>1</v>
      </c>
      <c r="T2664">
        <v>0</v>
      </c>
      <c r="U2664">
        <f>IF(AND(OR(Dashboard!$D$4="Semua",D2664=Dashboard!$D$4),OR(Dashboard!$H$4="Semua",E2664=Dashboard!$H$4)),1,0)</f>
        <v>1</v>
      </c>
      <c r="V2664">
        <f>IF(U2664=1,IF(COUNTIFS($C$2:C2664,C2664,$U$2:U2664,1)=1,1,0),0)</f>
        <v>0</v>
      </c>
    </row>
    <row r="2665" spans="1:22" x14ac:dyDescent="0.35">
      <c r="A2665">
        <v>12664</v>
      </c>
      <c r="B2665" s="1">
        <v>47225</v>
      </c>
      <c r="C2665">
        <v>1099</v>
      </c>
      <c r="D2665" t="s">
        <v>80</v>
      </c>
      <c r="E2665" t="s">
        <v>63</v>
      </c>
      <c r="F2665">
        <v>5</v>
      </c>
      <c r="G2665" s="2">
        <v>566.22</v>
      </c>
      <c r="H2665">
        <v>0.28999999999999998</v>
      </c>
      <c r="I2665" t="s">
        <v>68</v>
      </c>
      <c r="J2665">
        <v>1</v>
      </c>
      <c r="K2665">
        <v>4.5</v>
      </c>
      <c r="L2665" s="2">
        <v>2010.08</v>
      </c>
      <c r="M2665">
        <v>2029</v>
      </c>
      <c r="N2665">
        <v>4</v>
      </c>
      <c r="O2665" t="s">
        <v>167</v>
      </c>
      <c r="P2665" s="2">
        <v>2831.1</v>
      </c>
      <c r="Q2665" s="2">
        <v>821.02</v>
      </c>
      <c r="R2665" t="s">
        <v>66</v>
      </c>
      <c r="S2665">
        <v>1</v>
      </c>
      <c r="T2665">
        <v>0</v>
      </c>
      <c r="U2665">
        <f>IF(AND(OR(Dashboard!$D$4="Semua",D2665=Dashboard!$D$4),OR(Dashboard!$H$4="Semua",E2665=Dashboard!$H$4)),1,0)</f>
        <v>1</v>
      </c>
      <c r="V2665">
        <f>IF(U2665=1,IF(COUNTIFS($C$2:C2665,C2665,$U$2:U2665,1)=1,1,0),0)</f>
        <v>0</v>
      </c>
    </row>
    <row r="2666" spans="1:22" x14ac:dyDescent="0.35">
      <c r="A2666">
        <v>12665</v>
      </c>
      <c r="B2666" s="1">
        <v>47226</v>
      </c>
      <c r="C2666">
        <v>1751</v>
      </c>
      <c r="D2666" t="s">
        <v>67</v>
      </c>
      <c r="E2666" t="s">
        <v>78</v>
      </c>
      <c r="F2666">
        <v>4</v>
      </c>
      <c r="G2666" s="2">
        <v>247.98</v>
      </c>
      <c r="H2666">
        <v>0.08</v>
      </c>
      <c r="I2666" t="s">
        <v>64</v>
      </c>
      <c r="J2666">
        <v>6</v>
      </c>
      <c r="K2666">
        <v>1.6</v>
      </c>
      <c r="L2666" s="2">
        <v>912.57</v>
      </c>
      <c r="M2666">
        <v>2029</v>
      </c>
      <c r="N2666">
        <v>4</v>
      </c>
      <c r="O2666" t="s">
        <v>167</v>
      </c>
      <c r="P2666" s="2">
        <v>991.92</v>
      </c>
      <c r="Q2666" s="2">
        <v>79.349999999999994</v>
      </c>
      <c r="R2666" t="s">
        <v>69</v>
      </c>
      <c r="S2666">
        <v>1</v>
      </c>
      <c r="T2666">
        <v>0</v>
      </c>
      <c r="U2666">
        <f>IF(AND(OR(Dashboard!$D$4="Semua",D2666=Dashboard!$D$4),OR(Dashboard!$H$4="Semua",E2666=Dashboard!$H$4)),1,0)</f>
        <v>1</v>
      </c>
      <c r="V2666">
        <f>IF(U2666=1,IF(COUNTIFS($C$2:C2666,C2666,$U$2:U2666,1)=1,1,0),0)</f>
        <v>0</v>
      </c>
    </row>
    <row r="2667" spans="1:22" x14ac:dyDescent="0.35">
      <c r="A2667">
        <v>12666</v>
      </c>
      <c r="B2667" s="1">
        <v>47227</v>
      </c>
      <c r="C2667">
        <v>1477</v>
      </c>
      <c r="D2667" t="s">
        <v>67</v>
      </c>
      <c r="E2667" t="s">
        <v>63</v>
      </c>
      <c r="F2667">
        <v>3</v>
      </c>
      <c r="G2667" s="2">
        <v>135.74</v>
      </c>
      <c r="H2667">
        <v>0.12</v>
      </c>
      <c r="I2667" t="s">
        <v>68</v>
      </c>
      <c r="J2667">
        <v>1</v>
      </c>
      <c r="K2667">
        <v>3</v>
      </c>
      <c r="L2667" s="2">
        <v>358.35</v>
      </c>
      <c r="M2667">
        <v>2029</v>
      </c>
      <c r="N2667">
        <v>4</v>
      </c>
      <c r="O2667" t="s">
        <v>167</v>
      </c>
      <c r="P2667" s="2">
        <v>407.22</v>
      </c>
      <c r="Q2667" s="2">
        <v>48.87</v>
      </c>
      <c r="R2667" t="s">
        <v>79</v>
      </c>
      <c r="S2667">
        <v>1</v>
      </c>
      <c r="T2667">
        <v>0</v>
      </c>
      <c r="U2667">
        <f>IF(AND(OR(Dashboard!$D$4="Semua",D2667=Dashboard!$D$4),OR(Dashboard!$H$4="Semua",E2667=Dashboard!$H$4)),1,0)</f>
        <v>1</v>
      </c>
      <c r="V2667">
        <f>IF(U2667=1,IF(COUNTIFS($C$2:C2667,C2667,$U$2:U2667,1)=1,1,0),0)</f>
        <v>0</v>
      </c>
    </row>
    <row r="2668" spans="1:22" x14ac:dyDescent="0.35">
      <c r="A2668">
        <v>12667</v>
      </c>
      <c r="B2668" s="1">
        <v>47228</v>
      </c>
      <c r="C2668">
        <v>1598</v>
      </c>
      <c r="D2668" t="s">
        <v>73</v>
      </c>
      <c r="E2668" t="s">
        <v>70</v>
      </c>
      <c r="F2668">
        <v>5</v>
      </c>
      <c r="G2668" s="2">
        <v>337.28</v>
      </c>
      <c r="H2668">
        <v>0.08</v>
      </c>
      <c r="I2668" t="s">
        <v>71</v>
      </c>
      <c r="J2668">
        <v>7</v>
      </c>
      <c r="K2668">
        <v>1.1000000000000001</v>
      </c>
      <c r="L2668" s="2">
        <v>1551.49</v>
      </c>
      <c r="M2668">
        <v>2029</v>
      </c>
      <c r="N2668">
        <v>4</v>
      </c>
      <c r="O2668" t="s">
        <v>167</v>
      </c>
      <c r="P2668" s="2">
        <v>1686.4</v>
      </c>
      <c r="Q2668" s="2">
        <v>134.91</v>
      </c>
      <c r="R2668" t="s">
        <v>69</v>
      </c>
      <c r="S2668">
        <v>1</v>
      </c>
      <c r="T2668">
        <v>0</v>
      </c>
      <c r="U2668">
        <f>IF(AND(OR(Dashboard!$D$4="Semua",D2668=Dashboard!$D$4),OR(Dashboard!$H$4="Semua",E2668=Dashboard!$H$4)),1,0)</f>
        <v>1</v>
      </c>
      <c r="V2668">
        <f>IF(U2668=1,IF(COUNTIFS($C$2:C2668,C2668,$U$2:U2668,1)=1,1,0),0)</f>
        <v>0</v>
      </c>
    </row>
    <row r="2669" spans="1:22" x14ac:dyDescent="0.35">
      <c r="A2669">
        <v>12668</v>
      </c>
      <c r="B2669" s="1">
        <v>47229</v>
      </c>
      <c r="C2669">
        <v>1297</v>
      </c>
      <c r="D2669" t="s">
        <v>80</v>
      </c>
      <c r="E2669" t="s">
        <v>74</v>
      </c>
      <c r="F2669">
        <v>5</v>
      </c>
      <c r="G2669" s="2">
        <v>79.78</v>
      </c>
      <c r="H2669">
        <v>0.16</v>
      </c>
      <c r="I2669" t="s">
        <v>71</v>
      </c>
      <c r="J2669">
        <v>4</v>
      </c>
      <c r="K2669">
        <v>2.1</v>
      </c>
      <c r="L2669" s="2">
        <v>335.08</v>
      </c>
      <c r="M2669">
        <v>2029</v>
      </c>
      <c r="N2669">
        <v>4</v>
      </c>
      <c r="O2669" t="s">
        <v>167</v>
      </c>
      <c r="P2669" s="2">
        <v>398.9</v>
      </c>
      <c r="Q2669" s="2">
        <v>63.82</v>
      </c>
      <c r="R2669" t="s">
        <v>76</v>
      </c>
      <c r="S2669">
        <v>1</v>
      </c>
      <c r="T2669">
        <v>0</v>
      </c>
      <c r="U2669">
        <f>IF(AND(OR(Dashboard!$D$4="Semua",D2669=Dashboard!$D$4),OR(Dashboard!$H$4="Semua",E2669=Dashboard!$H$4)),1,0)</f>
        <v>1</v>
      </c>
      <c r="V2669">
        <f>IF(U2669=1,IF(COUNTIFS($C$2:C2669,C2669,$U$2:U2669,1)=1,1,0),0)</f>
        <v>0</v>
      </c>
    </row>
    <row r="2670" spans="1:22" x14ac:dyDescent="0.35">
      <c r="A2670">
        <v>12669</v>
      </c>
      <c r="B2670" s="1">
        <v>47230</v>
      </c>
      <c r="C2670">
        <v>1939</v>
      </c>
      <c r="D2670" t="s">
        <v>80</v>
      </c>
      <c r="E2670" t="s">
        <v>74</v>
      </c>
      <c r="F2670">
        <v>5</v>
      </c>
      <c r="G2670" s="2">
        <v>183.98</v>
      </c>
      <c r="H2670">
        <v>0.31</v>
      </c>
      <c r="I2670" t="s">
        <v>64</v>
      </c>
      <c r="J2670">
        <v>6</v>
      </c>
      <c r="K2670">
        <v>4.2</v>
      </c>
      <c r="L2670" s="2">
        <v>634.73</v>
      </c>
      <c r="M2670">
        <v>2029</v>
      </c>
      <c r="N2670">
        <v>4</v>
      </c>
      <c r="O2670" t="s">
        <v>167</v>
      </c>
      <c r="P2670" s="2">
        <v>919.9</v>
      </c>
      <c r="Q2670" s="2">
        <v>285.17</v>
      </c>
      <c r="R2670" t="s">
        <v>72</v>
      </c>
      <c r="S2670">
        <v>1</v>
      </c>
      <c r="T2670">
        <v>0</v>
      </c>
      <c r="U2670">
        <f>IF(AND(OR(Dashboard!$D$4="Semua",D2670=Dashboard!$D$4),OR(Dashboard!$H$4="Semua",E2670=Dashboard!$H$4)),1,0)</f>
        <v>1</v>
      </c>
      <c r="V2670">
        <f>IF(U2670=1,IF(COUNTIFS($C$2:C2670,C2670,$U$2:U2670,1)=1,1,0),0)</f>
        <v>0</v>
      </c>
    </row>
    <row r="2671" spans="1:22" x14ac:dyDescent="0.35">
      <c r="A2671">
        <v>12670</v>
      </c>
      <c r="B2671" s="1">
        <v>47231</v>
      </c>
      <c r="C2671">
        <v>1525</v>
      </c>
      <c r="D2671" t="s">
        <v>73</v>
      </c>
      <c r="E2671" t="s">
        <v>63</v>
      </c>
      <c r="F2671">
        <v>6</v>
      </c>
      <c r="G2671" s="2">
        <v>136.61000000000001</v>
      </c>
      <c r="H2671">
        <v>0.12</v>
      </c>
      <c r="I2671" t="s">
        <v>68</v>
      </c>
      <c r="J2671">
        <v>7</v>
      </c>
      <c r="K2671">
        <v>4.9000000000000004</v>
      </c>
      <c r="L2671" s="2">
        <v>721.3</v>
      </c>
      <c r="M2671">
        <v>2029</v>
      </c>
      <c r="N2671">
        <v>4</v>
      </c>
      <c r="O2671" t="s">
        <v>167</v>
      </c>
      <c r="P2671" s="2">
        <v>819.66</v>
      </c>
      <c r="Q2671" s="2">
        <v>98.36</v>
      </c>
      <c r="R2671" t="s">
        <v>79</v>
      </c>
      <c r="S2671">
        <v>1</v>
      </c>
      <c r="T2671">
        <v>0</v>
      </c>
      <c r="U2671">
        <f>IF(AND(OR(Dashboard!$D$4="Semua",D2671=Dashboard!$D$4),OR(Dashboard!$H$4="Semua",E2671=Dashboard!$H$4)),1,0)</f>
        <v>1</v>
      </c>
      <c r="V2671">
        <f>IF(U2671=1,IF(COUNTIFS($C$2:C2671,C2671,$U$2:U2671,1)=1,1,0),0)</f>
        <v>0</v>
      </c>
    </row>
    <row r="2672" spans="1:22" x14ac:dyDescent="0.35">
      <c r="A2672">
        <v>12671</v>
      </c>
      <c r="B2672" s="1">
        <v>47232</v>
      </c>
      <c r="C2672">
        <v>1333</v>
      </c>
      <c r="D2672" t="s">
        <v>67</v>
      </c>
      <c r="E2672" t="s">
        <v>70</v>
      </c>
      <c r="F2672">
        <v>7</v>
      </c>
      <c r="G2672" s="2">
        <v>246.99</v>
      </c>
      <c r="H2672">
        <v>0.13</v>
      </c>
      <c r="I2672" t="s">
        <v>68</v>
      </c>
      <c r="J2672">
        <v>11</v>
      </c>
      <c r="K2672">
        <v>4.7</v>
      </c>
      <c r="L2672" s="2">
        <v>1504.17</v>
      </c>
      <c r="M2672">
        <v>2029</v>
      </c>
      <c r="N2672">
        <v>4</v>
      </c>
      <c r="O2672" t="s">
        <v>167</v>
      </c>
      <c r="P2672" s="2">
        <v>1728.93</v>
      </c>
      <c r="Q2672" s="2">
        <v>224.76</v>
      </c>
      <c r="R2672" t="s">
        <v>79</v>
      </c>
      <c r="S2672">
        <v>1</v>
      </c>
      <c r="T2672">
        <v>0</v>
      </c>
      <c r="U2672">
        <f>IF(AND(OR(Dashboard!$D$4="Semua",D2672=Dashboard!$D$4),OR(Dashboard!$H$4="Semua",E2672=Dashboard!$H$4)),1,0)</f>
        <v>1</v>
      </c>
      <c r="V2672">
        <f>IF(U2672=1,IF(COUNTIFS($C$2:C2672,C2672,$U$2:U2672,1)=1,1,0),0)</f>
        <v>0</v>
      </c>
    </row>
    <row r="2673" spans="1:22" x14ac:dyDescent="0.35">
      <c r="A2673">
        <v>12672</v>
      </c>
      <c r="B2673" s="1">
        <v>47233</v>
      </c>
      <c r="C2673">
        <v>1001</v>
      </c>
      <c r="D2673" t="s">
        <v>62</v>
      </c>
      <c r="E2673" t="s">
        <v>74</v>
      </c>
      <c r="F2673">
        <v>1</v>
      </c>
      <c r="G2673" s="2">
        <v>80.06</v>
      </c>
      <c r="H2673">
        <v>0.3</v>
      </c>
      <c r="I2673" t="s">
        <v>68</v>
      </c>
      <c r="J2673">
        <v>5</v>
      </c>
      <c r="K2673">
        <v>1.2</v>
      </c>
      <c r="L2673" s="2">
        <v>56.04</v>
      </c>
      <c r="M2673">
        <v>2029</v>
      </c>
      <c r="N2673">
        <v>4</v>
      </c>
      <c r="O2673" t="s">
        <v>167</v>
      </c>
      <c r="P2673" s="2">
        <v>80.06</v>
      </c>
      <c r="Q2673" s="2">
        <v>24.02</v>
      </c>
      <c r="R2673" t="s">
        <v>66</v>
      </c>
      <c r="S2673">
        <v>1</v>
      </c>
      <c r="T2673">
        <v>0</v>
      </c>
      <c r="U2673">
        <f>IF(AND(OR(Dashboard!$D$4="Semua",D2673=Dashboard!$D$4),OR(Dashboard!$H$4="Semua",E2673=Dashboard!$H$4)),1,0)</f>
        <v>1</v>
      </c>
      <c r="V2673">
        <f>IF(U2673=1,IF(COUNTIFS($C$2:C2673,C2673,$U$2:U2673,1)=1,1,0),0)</f>
        <v>0</v>
      </c>
    </row>
    <row r="2674" spans="1:22" x14ac:dyDescent="0.35">
      <c r="A2674">
        <v>12673</v>
      </c>
      <c r="B2674" s="1">
        <v>47234</v>
      </c>
      <c r="C2674">
        <v>1374</v>
      </c>
      <c r="D2674" t="s">
        <v>67</v>
      </c>
      <c r="E2674" t="s">
        <v>70</v>
      </c>
      <c r="F2674">
        <v>5</v>
      </c>
      <c r="G2674" s="2">
        <v>33.630000000000003</v>
      </c>
      <c r="H2674">
        <v>0.18</v>
      </c>
      <c r="I2674" t="s">
        <v>68</v>
      </c>
      <c r="J2674">
        <v>9</v>
      </c>
      <c r="K2674">
        <v>4.7</v>
      </c>
      <c r="L2674" s="2">
        <v>137.88</v>
      </c>
      <c r="M2674">
        <v>2029</v>
      </c>
      <c r="N2674">
        <v>4</v>
      </c>
      <c r="O2674" t="s">
        <v>167</v>
      </c>
      <c r="P2674" s="2">
        <v>168.15</v>
      </c>
      <c r="Q2674" s="2">
        <v>30.27</v>
      </c>
      <c r="R2674" t="s">
        <v>76</v>
      </c>
      <c r="S2674">
        <v>1</v>
      </c>
      <c r="T2674">
        <v>0</v>
      </c>
      <c r="U2674">
        <f>IF(AND(OR(Dashboard!$D$4="Semua",D2674=Dashboard!$D$4),OR(Dashboard!$H$4="Semua",E2674=Dashboard!$H$4)),1,0)</f>
        <v>1</v>
      </c>
      <c r="V2674">
        <f>IF(U2674=1,IF(COUNTIFS($C$2:C2674,C2674,$U$2:U2674,1)=1,1,0),0)</f>
        <v>0</v>
      </c>
    </row>
    <row r="2675" spans="1:22" x14ac:dyDescent="0.35">
      <c r="A2675">
        <v>12674</v>
      </c>
      <c r="B2675" s="1">
        <v>47235</v>
      </c>
      <c r="C2675">
        <v>1292</v>
      </c>
      <c r="D2675" t="s">
        <v>67</v>
      </c>
      <c r="E2675" t="s">
        <v>63</v>
      </c>
      <c r="F2675">
        <v>4</v>
      </c>
      <c r="G2675" s="2">
        <v>399.22</v>
      </c>
      <c r="H2675">
        <v>0.19</v>
      </c>
      <c r="I2675" t="s">
        <v>64</v>
      </c>
      <c r="J2675">
        <v>8</v>
      </c>
      <c r="K2675">
        <v>4.3</v>
      </c>
      <c r="L2675" s="2">
        <v>1293.47</v>
      </c>
      <c r="M2675">
        <v>2029</v>
      </c>
      <c r="N2675">
        <v>4</v>
      </c>
      <c r="O2675" t="s">
        <v>167</v>
      </c>
      <c r="P2675" s="2">
        <v>1596.88</v>
      </c>
      <c r="Q2675" s="2">
        <v>303.41000000000003</v>
      </c>
      <c r="R2675" t="s">
        <v>76</v>
      </c>
      <c r="S2675">
        <v>1</v>
      </c>
      <c r="T2675">
        <v>0</v>
      </c>
      <c r="U2675">
        <f>IF(AND(OR(Dashboard!$D$4="Semua",D2675=Dashboard!$D$4),OR(Dashboard!$H$4="Semua",E2675=Dashboard!$H$4)),1,0)</f>
        <v>1</v>
      </c>
      <c r="V2675">
        <f>IF(U2675=1,IF(COUNTIFS($C$2:C2675,C2675,$U$2:U2675,1)=1,1,0),0)</f>
        <v>0</v>
      </c>
    </row>
    <row r="2676" spans="1:22" x14ac:dyDescent="0.35">
      <c r="A2676">
        <v>12675</v>
      </c>
      <c r="B2676" s="1">
        <v>47236</v>
      </c>
      <c r="C2676">
        <v>1836</v>
      </c>
      <c r="D2676" t="s">
        <v>62</v>
      </c>
      <c r="E2676" t="s">
        <v>63</v>
      </c>
      <c r="F2676">
        <v>4</v>
      </c>
      <c r="G2676" s="2">
        <v>372</v>
      </c>
      <c r="H2676">
        <v>0.3</v>
      </c>
      <c r="I2676" t="s">
        <v>71</v>
      </c>
      <c r="J2676">
        <v>3</v>
      </c>
      <c r="K2676">
        <v>4.5</v>
      </c>
      <c r="L2676" s="2">
        <v>1041.5999999999999</v>
      </c>
      <c r="M2676">
        <v>2029</v>
      </c>
      <c r="N2676">
        <v>4</v>
      </c>
      <c r="O2676" t="s">
        <v>167</v>
      </c>
      <c r="P2676" s="2">
        <v>1488</v>
      </c>
      <c r="Q2676" s="2">
        <v>446.4</v>
      </c>
      <c r="R2676" t="s">
        <v>66</v>
      </c>
      <c r="S2676">
        <v>1</v>
      </c>
      <c r="T2676">
        <v>0</v>
      </c>
      <c r="U2676">
        <f>IF(AND(OR(Dashboard!$D$4="Semua",D2676=Dashboard!$D$4),OR(Dashboard!$H$4="Semua",E2676=Dashboard!$H$4)),1,0)</f>
        <v>1</v>
      </c>
      <c r="V2676">
        <f>IF(U2676=1,IF(COUNTIFS($C$2:C2676,C2676,$U$2:U2676,1)=1,1,0),0)</f>
        <v>0</v>
      </c>
    </row>
    <row r="2677" spans="1:22" x14ac:dyDescent="0.35">
      <c r="A2677">
        <v>12676</v>
      </c>
      <c r="B2677" s="1">
        <v>47237</v>
      </c>
      <c r="C2677">
        <v>1933</v>
      </c>
      <c r="D2677" t="s">
        <v>80</v>
      </c>
      <c r="E2677" t="s">
        <v>78</v>
      </c>
      <c r="F2677">
        <v>3</v>
      </c>
      <c r="G2677" s="2">
        <v>429.39</v>
      </c>
      <c r="H2677">
        <v>0.17</v>
      </c>
      <c r="I2677" t="s">
        <v>71</v>
      </c>
      <c r="J2677">
        <v>1</v>
      </c>
      <c r="K2677">
        <v>4.7</v>
      </c>
      <c r="L2677" s="2">
        <v>1069.18</v>
      </c>
      <c r="M2677">
        <v>2029</v>
      </c>
      <c r="N2677">
        <v>4</v>
      </c>
      <c r="O2677" t="s">
        <v>167</v>
      </c>
      <c r="P2677" s="2">
        <v>1288.17</v>
      </c>
      <c r="Q2677" s="2">
        <v>218.99</v>
      </c>
      <c r="R2677" t="s">
        <v>76</v>
      </c>
      <c r="S2677">
        <v>1</v>
      </c>
      <c r="T2677">
        <v>0</v>
      </c>
      <c r="U2677">
        <f>IF(AND(OR(Dashboard!$D$4="Semua",D2677=Dashboard!$D$4),OR(Dashboard!$H$4="Semua",E2677=Dashboard!$H$4)),1,0)</f>
        <v>1</v>
      </c>
      <c r="V2677">
        <f>IF(U2677=1,IF(COUNTIFS($C$2:C2677,C2677,$U$2:U2677,1)=1,1,0),0)</f>
        <v>0</v>
      </c>
    </row>
    <row r="2678" spans="1:22" x14ac:dyDescent="0.35">
      <c r="A2678">
        <v>12677</v>
      </c>
      <c r="B2678" s="1">
        <v>47238</v>
      </c>
      <c r="C2678">
        <v>1552</v>
      </c>
      <c r="D2678" t="s">
        <v>67</v>
      </c>
      <c r="E2678" t="s">
        <v>74</v>
      </c>
      <c r="F2678">
        <v>2</v>
      </c>
      <c r="G2678" s="2">
        <v>401.33</v>
      </c>
      <c r="H2678">
        <v>0.24</v>
      </c>
      <c r="I2678" t="s">
        <v>71</v>
      </c>
      <c r="J2678">
        <v>11</v>
      </c>
      <c r="K2678">
        <v>3</v>
      </c>
      <c r="L2678" s="2">
        <v>610.02</v>
      </c>
      <c r="M2678">
        <v>2029</v>
      </c>
      <c r="N2678">
        <v>4</v>
      </c>
      <c r="O2678" t="s">
        <v>167</v>
      </c>
      <c r="P2678" s="2">
        <v>802.66</v>
      </c>
      <c r="Q2678" s="2">
        <v>192.64</v>
      </c>
      <c r="R2678" t="s">
        <v>77</v>
      </c>
      <c r="S2678">
        <v>1</v>
      </c>
      <c r="T2678">
        <v>0</v>
      </c>
      <c r="U2678">
        <f>IF(AND(OR(Dashboard!$D$4="Semua",D2678=Dashboard!$D$4),OR(Dashboard!$H$4="Semua",E2678=Dashboard!$H$4)),1,0)</f>
        <v>1</v>
      </c>
      <c r="V2678">
        <f>IF(U2678=1,IF(COUNTIFS($C$2:C2678,C2678,$U$2:U2678,1)=1,1,0),0)</f>
        <v>0</v>
      </c>
    </row>
    <row r="2679" spans="1:22" x14ac:dyDescent="0.35">
      <c r="A2679">
        <v>12678</v>
      </c>
      <c r="B2679" s="1">
        <v>47239</v>
      </c>
      <c r="C2679">
        <v>1317</v>
      </c>
      <c r="D2679" t="s">
        <v>80</v>
      </c>
      <c r="E2679" t="s">
        <v>74</v>
      </c>
      <c r="F2679">
        <v>2</v>
      </c>
      <c r="G2679" s="2">
        <v>81.86</v>
      </c>
      <c r="H2679">
        <v>0.03</v>
      </c>
      <c r="I2679" t="s">
        <v>64</v>
      </c>
      <c r="J2679">
        <v>10</v>
      </c>
      <c r="K2679">
        <v>1.8</v>
      </c>
      <c r="L2679" s="2">
        <v>158.81</v>
      </c>
      <c r="M2679">
        <v>2029</v>
      </c>
      <c r="N2679">
        <v>5</v>
      </c>
      <c r="O2679" t="s">
        <v>168</v>
      </c>
      <c r="P2679" s="2">
        <v>163.72</v>
      </c>
      <c r="Q2679" s="2">
        <v>4.91</v>
      </c>
      <c r="R2679" t="s">
        <v>75</v>
      </c>
      <c r="S2679">
        <v>1</v>
      </c>
      <c r="T2679">
        <v>0</v>
      </c>
      <c r="U2679">
        <f>IF(AND(OR(Dashboard!$D$4="Semua",D2679=Dashboard!$D$4),OR(Dashboard!$H$4="Semua",E2679=Dashboard!$H$4)),1,0)</f>
        <v>1</v>
      </c>
      <c r="V2679">
        <f>IF(U2679=1,IF(COUNTIFS($C$2:C2679,C2679,$U$2:U2679,1)=1,1,0),0)</f>
        <v>0</v>
      </c>
    </row>
    <row r="2680" spans="1:22" x14ac:dyDescent="0.35">
      <c r="A2680">
        <v>12679</v>
      </c>
      <c r="B2680" s="1">
        <v>47240</v>
      </c>
      <c r="C2680">
        <v>1501</v>
      </c>
      <c r="D2680" t="s">
        <v>62</v>
      </c>
      <c r="E2680" t="s">
        <v>78</v>
      </c>
      <c r="F2680">
        <v>1</v>
      </c>
      <c r="G2680" s="2">
        <v>185.28</v>
      </c>
      <c r="H2680">
        <v>0.06</v>
      </c>
      <c r="I2680" t="s">
        <v>68</v>
      </c>
      <c r="J2680">
        <v>8</v>
      </c>
      <c r="K2680">
        <v>1.1000000000000001</v>
      </c>
      <c r="L2680" s="2">
        <v>174.16</v>
      </c>
      <c r="M2680">
        <v>2029</v>
      </c>
      <c r="N2680">
        <v>5</v>
      </c>
      <c r="O2680" t="s">
        <v>168</v>
      </c>
      <c r="P2680" s="2">
        <v>185.28</v>
      </c>
      <c r="Q2680" s="2">
        <v>11.12</v>
      </c>
      <c r="R2680" t="s">
        <v>69</v>
      </c>
      <c r="S2680">
        <v>1</v>
      </c>
      <c r="T2680">
        <v>0</v>
      </c>
      <c r="U2680">
        <f>IF(AND(OR(Dashboard!$D$4="Semua",D2680=Dashboard!$D$4),OR(Dashboard!$H$4="Semua",E2680=Dashboard!$H$4)),1,0)</f>
        <v>1</v>
      </c>
      <c r="V2680">
        <f>IF(U2680=1,IF(COUNTIFS($C$2:C2680,C2680,$U$2:U2680,1)=1,1,0),0)</f>
        <v>0</v>
      </c>
    </row>
    <row r="2681" spans="1:22" x14ac:dyDescent="0.35">
      <c r="A2681">
        <v>12680</v>
      </c>
      <c r="B2681" s="1">
        <v>47241</v>
      </c>
      <c r="C2681">
        <v>1827</v>
      </c>
      <c r="D2681" t="s">
        <v>67</v>
      </c>
      <c r="E2681" t="s">
        <v>63</v>
      </c>
      <c r="F2681">
        <v>6</v>
      </c>
      <c r="G2681" s="2">
        <v>90.77</v>
      </c>
      <c r="H2681">
        <v>0.14000000000000001</v>
      </c>
      <c r="I2681" t="s">
        <v>68</v>
      </c>
      <c r="J2681">
        <v>4</v>
      </c>
      <c r="K2681">
        <v>1.1000000000000001</v>
      </c>
      <c r="L2681" s="2">
        <v>468.37</v>
      </c>
      <c r="M2681">
        <v>2029</v>
      </c>
      <c r="N2681">
        <v>5</v>
      </c>
      <c r="O2681" t="s">
        <v>168</v>
      </c>
      <c r="P2681" s="2">
        <v>544.62</v>
      </c>
      <c r="Q2681" s="2">
        <v>76.25</v>
      </c>
      <c r="R2681" t="s">
        <v>79</v>
      </c>
      <c r="S2681">
        <v>1</v>
      </c>
      <c r="T2681">
        <v>0</v>
      </c>
      <c r="U2681">
        <f>IF(AND(OR(Dashboard!$D$4="Semua",D2681=Dashboard!$D$4),OR(Dashboard!$H$4="Semua",E2681=Dashboard!$H$4)),1,0)</f>
        <v>1</v>
      </c>
      <c r="V2681">
        <f>IF(U2681=1,IF(COUNTIFS($C$2:C2681,C2681,$U$2:U2681,1)=1,1,0),0)</f>
        <v>0</v>
      </c>
    </row>
    <row r="2682" spans="1:22" x14ac:dyDescent="0.35">
      <c r="A2682">
        <v>12681</v>
      </c>
      <c r="B2682" s="1">
        <v>47242</v>
      </c>
      <c r="C2682">
        <v>1380</v>
      </c>
      <c r="D2682" t="s">
        <v>67</v>
      </c>
      <c r="E2682" t="s">
        <v>63</v>
      </c>
      <c r="F2682">
        <v>7</v>
      </c>
      <c r="G2682" s="2">
        <v>508.14</v>
      </c>
      <c r="H2682">
        <v>0.17</v>
      </c>
      <c r="I2682" t="s">
        <v>64</v>
      </c>
      <c r="J2682">
        <v>7</v>
      </c>
      <c r="K2682">
        <v>3.6</v>
      </c>
      <c r="L2682" s="2">
        <v>2952.29</v>
      </c>
      <c r="M2682">
        <v>2029</v>
      </c>
      <c r="N2682">
        <v>5</v>
      </c>
      <c r="O2682" t="s">
        <v>168</v>
      </c>
      <c r="P2682" s="2">
        <v>3556.98</v>
      </c>
      <c r="Q2682" s="2">
        <v>604.69000000000005</v>
      </c>
      <c r="R2682" t="s">
        <v>76</v>
      </c>
      <c r="S2682">
        <v>1</v>
      </c>
      <c r="T2682">
        <v>0</v>
      </c>
      <c r="U2682">
        <f>IF(AND(OR(Dashboard!$D$4="Semua",D2682=Dashboard!$D$4),OR(Dashboard!$H$4="Semua",E2682=Dashboard!$H$4)),1,0)</f>
        <v>1</v>
      </c>
      <c r="V2682">
        <f>IF(U2682=1,IF(COUNTIFS($C$2:C2682,C2682,$U$2:U2682,1)=1,1,0),0)</f>
        <v>0</v>
      </c>
    </row>
    <row r="2683" spans="1:22" x14ac:dyDescent="0.35">
      <c r="A2683">
        <v>12682</v>
      </c>
      <c r="B2683" s="1">
        <v>47243</v>
      </c>
      <c r="C2683">
        <v>1622</v>
      </c>
      <c r="D2683" t="s">
        <v>67</v>
      </c>
      <c r="E2683" t="s">
        <v>63</v>
      </c>
      <c r="F2683">
        <v>6</v>
      </c>
      <c r="G2683" s="2">
        <v>451.94</v>
      </c>
      <c r="H2683">
        <v>0.34</v>
      </c>
      <c r="I2683" t="s">
        <v>68</v>
      </c>
      <c r="J2683">
        <v>4</v>
      </c>
      <c r="K2683">
        <v>2.2999999999999998</v>
      </c>
      <c r="L2683" s="2">
        <v>1789.68</v>
      </c>
      <c r="M2683">
        <v>2029</v>
      </c>
      <c r="N2683">
        <v>5</v>
      </c>
      <c r="O2683" t="s">
        <v>168</v>
      </c>
      <c r="P2683" s="2">
        <v>2711.64</v>
      </c>
      <c r="Q2683" s="2">
        <v>921.96</v>
      </c>
      <c r="R2683" t="s">
        <v>72</v>
      </c>
      <c r="S2683">
        <v>1</v>
      </c>
      <c r="T2683">
        <v>0</v>
      </c>
      <c r="U2683">
        <f>IF(AND(OR(Dashboard!$D$4="Semua",D2683=Dashboard!$D$4),OR(Dashboard!$H$4="Semua",E2683=Dashboard!$H$4)),1,0)</f>
        <v>1</v>
      </c>
      <c r="V2683">
        <f>IF(U2683=1,IF(COUNTIFS($C$2:C2683,C2683,$U$2:U2683,1)=1,1,0),0)</f>
        <v>0</v>
      </c>
    </row>
    <row r="2684" spans="1:22" x14ac:dyDescent="0.35">
      <c r="A2684">
        <v>12683</v>
      </c>
      <c r="B2684" s="1">
        <v>47244</v>
      </c>
      <c r="C2684">
        <v>1013</v>
      </c>
      <c r="D2684" t="s">
        <v>62</v>
      </c>
      <c r="E2684" t="s">
        <v>63</v>
      </c>
      <c r="F2684">
        <v>7</v>
      </c>
      <c r="G2684" s="2">
        <v>132.88999999999999</v>
      </c>
      <c r="H2684">
        <v>0.34</v>
      </c>
      <c r="I2684" t="s">
        <v>68</v>
      </c>
      <c r="J2684">
        <v>7</v>
      </c>
      <c r="K2684">
        <v>3</v>
      </c>
      <c r="L2684" s="2">
        <v>613.95000000000005</v>
      </c>
      <c r="M2684">
        <v>2029</v>
      </c>
      <c r="N2684">
        <v>5</v>
      </c>
      <c r="O2684" t="s">
        <v>168</v>
      </c>
      <c r="P2684" s="2">
        <v>930.23</v>
      </c>
      <c r="Q2684" s="2">
        <v>316.27999999999997</v>
      </c>
      <c r="R2684" t="s">
        <v>72</v>
      </c>
      <c r="S2684">
        <v>1</v>
      </c>
      <c r="T2684">
        <v>0</v>
      </c>
      <c r="U2684">
        <f>IF(AND(OR(Dashboard!$D$4="Semua",D2684=Dashboard!$D$4),OR(Dashboard!$H$4="Semua",E2684=Dashboard!$H$4)),1,0)</f>
        <v>1</v>
      </c>
      <c r="V2684">
        <f>IF(U2684=1,IF(COUNTIFS($C$2:C2684,C2684,$U$2:U2684,1)=1,1,0),0)</f>
        <v>0</v>
      </c>
    </row>
    <row r="2685" spans="1:22" x14ac:dyDescent="0.35">
      <c r="A2685">
        <v>12684</v>
      </c>
      <c r="B2685" s="1">
        <v>47245</v>
      </c>
      <c r="C2685">
        <v>1503</v>
      </c>
      <c r="D2685" t="s">
        <v>80</v>
      </c>
      <c r="E2685" t="s">
        <v>70</v>
      </c>
      <c r="F2685">
        <v>5</v>
      </c>
      <c r="G2685" s="2">
        <v>214.67</v>
      </c>
      <c r="H2685">
        <v>0.3</v>
      </c>
      <c r="I2685" t="s">
        <v>68</v>
      </c>
      <c r="J2685">
        <v>1</v>
      </c>
      <c r="K2685">
        <v>1.5</v>
      </c>
      <c r="L2685" s="2">
        <v>751.34</v>
      </c>
      <c r="M2685">
        <v>2029</v>
      </c>
      <c r="N2685">
        <v>5</v>
      </c>
      <c r="O2685" t="s">
        <v>168</v>
      </c>
      <c r="P2685" s="2">
        <v>1073.3499999999999</v>
      </c>
      <c r="Q2685" s="2">
        <v>322.01</v>
      </c>
      <c r="R2685" t="s">
        <v>66</v>
      </c>
      <c r="S2685">
        <v>1</v>
      </c>
      <c r="T2685">
        <v>0</v>
      </c>
      <c r="U2685">
        <f>IF(AND(OR(Dashboard!$D$4="Semua",D2685=Dashboard!$D$4),OR(Dashboard!$H$4="Semua",E2685=Dashboard!$H$4)),1,0)</f>
        <v>1</v>
      </c>
      <c r="V2685">
        <f>IF(U2685=1,IF(COUNTIFS($C$2:C2685,C2685,$U$2:U2685,1)=1,1,0),0)</f>
        <v>0</v>
      </c>
    </row>
    <row r="2686" spans="1:22" x14ac:dyDescent="0.35">
      <c r="A2686">
        <v>12685</v>
      </c>
      <c r="B2686" s="1">
        <v>47246</v>
      </c>
      <c r="C2686">
        <v>1230</v>
      </c>
      <c r="D2686" t="s">
        <v>73</v>
      </c>
      <c r="E2686" t="s">
        <v>74</v>
      </c>
      <c r="F2686">
        <v>7</v>
      </c>
      <c r="G2686" s="2">
        <v>580.47</v>
      </c>
      <c r="H2686">
        <v>0.11</v>
      </c>
      <c r="I2686" t="s">
        <v>71</v>
      </c>
      <c r="J2686">
        <v>1</v>
      </c>
      <c r="K2686">
        <v>4.9000000000000004</v>
      </c>
      <c r="L2686" s="2">
        <v>3616.33</v>
      </c>
      <c r="M2686">
        <v>2029</v>
      </c>
      <c r="N2686">
        <v>5</v>
      </c>
      <c r="O2686" t="s">
        <v>168</v>
      </c>
      <c r="P2686" s="2">
        <v>4063.29</v>
      </c>
      <c r="Q2686" s="2">
        <v>446.96</v>
      </c>
      <c r="R2686" t="s">
        <v>79</v>
      </c>
      <c r="S2686">
        <v>1</v>
      </c>
      <c r="T2686">
        <v>1</v>
      </c>
      <c r="U2686">
        <f>IF(AND(OR(Dashboard!$D$4="Semua",D2686=Dashboard!$D$4),OR(Dashboard!$H$4="Semua",E2686=Dashboard!$H$4)),1,0)</f>
        <v>1</v>
      </c>
      <c r="V2686">
        <f>IF(U2686=1,IF(COUNTIFS($C$2:C2686,C2686,$U$2:U2686,1)=1,1,0),0)</f>
        <v>0</v>
      </c>
    </row>
    <row r="2687" spans="1:22" x14ac:dyDescent="0.35">
      <c r="A2687">
        <v>12686</v>
      </c>
      <c r="B2687" s="1">
        <v>47247</v>
      </c>
      <c r="C2687">
        <v>1984</v>
      </c>
      <c r="D2687" t="s">
        <v>62</v>
      </c>
      <c r="E2687" t="s">
        <v>74</v>
      </c>
      <c r="F2687">
        <v>1</v>
      </c>
      <c r="G2687" s="2">
        <v>362.58</v>
      </c>
      <c r="H2687">
        <v>0.34</v>
      </c>
      <c r="I2687" t="s">
        <v>71</v>
      </c>
      <c r="J2687">
        <v>2</v>
      </c>
      <c r="K2687">
        <v>1.5</v>
      </c>
      <c r="L2687" s="2">
        <v>239.3</v>
      </c>
      <c r="M2687">
        <v>2029</v>
      </c>
      <c r="N2687">
        <v>5</v>
      </c>
      <c r="O2687" t="s">
        <v>168</v>
      </c>
      <c r="P2687" s="2">
        <v>362.58</v>
      </c>
      <c r="Q2687" s="2">
        <v>123.28</v>
      </c>
      <c r="R2687" t="s">
        <v>72</v>
      </c>
      <c r="S2687">
        <v>1</v>
      </c>
      <c r="T2687">
        <v>0</v>
      </c>
      <c r="U2687">
        <f>IF(AND(OR(Dashboard!$D$4="Semua",D2687=Dashboard!$D$4),OR(Dashboard!$H$4="Semua",E2687=Dashboard!$H$4)),1,0)</f>
        <v>1</v>
      </c>
      <c r="V2687">
        <f>IF(U2687=1,IF(COUNTIFS($C$2:C2687,C2687,$U$2:U2687,1)=1,1,0),0)</f>
        <v>0</v>
      </c>
    </row>
    <row r="2688" spans="1:22" x14ac:dyDescent="0.35">
      <c r="A2688">
        <v>12687</v>
      </c>
      <c r="B2688" s="1">
        <v>47248</v>
      </c>
      <c r="C2688">
        <v>1083</v>
      </c>
      <c r="D2688" t="s">
        <v>67</v>
      </c>
      <c r="E2688" t="s">
        <v>63</v>
      </c>
      <c r="F2688">
        <v>3</v>
      </c>
      <c r="G2688" s="2">
        <v>483.68</v>
      </c>
      <c r="H2688">
        <v>0.24</v>
      </c>
      <c r="I2688" t="s">
        <v>68</v>
      </c>
      <c r="J2688">
        <v>5</v>
      </c>
      <c r="K2688">
        <v>2.8</v>
      </c>
      <c r="L2688" s="2">
        <v>1102.79</v>
      </c>
      <c r="M2688">
        <v>2029</v>
      </c>
      <c r="N2688">
        <v>5</v>
      </c>
      <c r="O2688" t="s">
        <v>168</v>
      </c>
      <c r="P2688" s="2">
        <v>1451.04</v>
      </c>
      <c r="Q2688" s="2">
        <v>348.25</v>
      </c>
      <c r="R2688" t="s">
        <v>77</v>
      </c>
      <c r="S2688">
        <v>1</v>
      </c>
      <c r="T2688">
        <v>0</v>
      </c>
      <c r="U2688">
        <f>IF(AND(OR(Dashboard!$D$4="Semua",D2688=Dashboard!$D$4),OR(Dashboard!$H$4="Semua",E2688=Dashboard!$H$4)),1,0)</f>
        <v>1</v>
      </c>
      <c r="V2688">
        <f>IF(U2688=1,IF(COUNTIFS($C$2:C2688,C2688,$U$2:U2688,1)=1,1,0),0)</f>
        <v>0</v>
      </c>
    </row>
    <row r="2689" spans="1:22" x14ac:dyDescent="0.35">
      <c r="A2689">
        <v>12688</v>
      </c>
      <c r="B2689" s="1">
        <v>47249</v>
      </c>
      <c r="C2689">
        <v>1129</v>
      </c>
      <c r="D2689" t="s">
        <v>73</v>
      </c>
      <c r="E2689" t="s">
        <v>63</v>
      </c>
      <c r="F2689">
        <v>3</v>
      </c>
      <c r="G2689" s="2">
        <v>169.79</v>
      </c>
      <c r="H2689">
        <v>0.14000000000000001</v>
      </c>
      <c r="I2689" t="s">
        <v>71</v>
      </c>
      <c r="J2689">
        <v>11</v>
      </c>
      <c r="K2689">
        <v>2.8</v>
      </c>
      <c r="L2689" s="2">
        <v>438.06</v>
      </c>
      <c r="M2689">
        <v>2029</v>
      </c>
      <c r="N2689">
        <v>5</v>
      </c>
      <c r="O2689" t="s">
        <v>168</v>
      </c>
      <c r="P2689" s="2">
        <v>509.37</v>
      </c>
      <c r="Q2689" s="2">
        <v>71.31</v>
      </c>
      <c r="R2689" t="s">
        <v>79</v>
      </c>
      <c r="S2689">
        <v>1</v>
      </c>
      <c r="T2689">
        <v>0</v>
      </c>
      <c r="U2689">
        <f>IF(AND(OR(Dashboard!$D$4="Semua",D2689=Dashboard!$D$4),OR(Dashboard!$H$4="Semua",E2689=Dashboard!$H$4)),1,0)</f>
        <v>1</v>
      </c>
      <c r="V2689">
        <f>IF(U2689=1,IF(COUNTIFS($C$2:C2689,C2689,$U$2:U2689,1)=1,1,0),0)</f>
        <v>0</v>
      </c>
    </row>
    <row r="2690" spans="1:22" x14ac:dyDescent="0.35">
      <c r="A2690">
        <v>12689</v>
      </c>
      <c r="B2690" s="1">
        <v>47250</v>
      </c>
      <c r="C2690">
        <v>1742</v>
      </c>
      <c r="D2690" t="s">
        <v>67</v>
      </c>
      <c r="E2690" t="s">
        <v>63</v>
      </c>
      <c r="F2690">
        <v>2</v>
      </c>
      <c r="G2690" s="2">
        <v>137.88</v>
      </c>
      <c r="H2690">
        <v>0.25</v>
      </c>
      <c r="I2690" t="s">
        <v>71</v>
      </c>
      <c r="J2690">
        <v>10</v>
      </c>
      <c r="K2690">
        <v>1</v>
      </c>
      <c r="L2690" s="2">
        <v>206.82</v>
      </c>
      <c r="M2690">
        <v>2029</v>
      </c>
      <c r="N2690">
        <v>5</v>
      </c>
      <c r="O2690" t="s">
        <v>168</v>
      </c>
      <c r="P2690" s="2">
        <v>275.76</v>
      </c>
      <c r="Q2690" s="2">
        <v>68.94</v>
      </c>
      <c r="R2690" t="s">
        <v>77</v>
      </c>
      <c r="S2690">
        <v>1</v>
      </c>
      <c r="T2690">
        <v>0</v>
      </c>
      <c r="U2690">
        <f>IF(AND(OR(Dashboard!$D$4="Semua",D2690=Dashboard!$D$4),OR(Dashboard!$H$4="Semua",E2690=Dashboard!$H$4)),1,0)</f>
        <v>1</v>
      </c>
      <c r="V2690">
        <f>IF(U2690=1,IF(COUNTIFS($C$2:C2690,C2690,$U$2:U2690,1)=1,1,0),0)</f>
        <v>0</v>
      </c>
    </row>
    <row r="2691" spans="1:22" x14ac:dyDescent="0.35">
      <c r="A2691">
        <v>12690</v>
      </c>
      <c r="B2691" s="1">
        <v>47251</v>
      </c>
      <c r="C2691">
        <v>1837</v>
      </c>
      <c r="D2691" t="s">
        <v>67</v>
      </c>
      <c r="E2691" t="s">
        <v>74</v>
      </c>
      <c r="F2691">
        <v>3</v>
      </c>
      <c r="G2691" s="2">
        <v>473.59</v>
      </c>
      <c r="H2691">
        <v>0.01</v>
      </c>
      <c r="I2691" t="s">
        <v>64</v>
      </c>
      <c r="J2691">
        <v>6</v>
      </c>
      <c r="K2691">
        <v>3.7</v>
      </c>
      <c r="L2691" s="2">
        <v>1406.56</v>
      </c>
      <c r="M2691">
        <v>2029</v>
      </c>
      <c r="N2691">
        <v>5</v>
      </c>
      <c r="O2691" t="s">
        <v>168</v>
      </c>
      <c r="P2691" s="2">
        <v>1420.77</v>
      </c>
      <c r="Q2691" s="2">
        <v>14.21</v>
      </c>
      <c r="R2691" t="s">
        <v>75</v>
      </c>
      <c r="S2691">
        <v>1</v>
      </c>
      <c r="T2691">
        <v>0</v>
      </c>
      <c r="U2691">
        <f>IF(AND(OR(Dashboard!$D$4="Semua",D2691=Dashboard!$D$4),OR(Dashboard!$H$4="Semua",E2691=Dashboard!$H$4)),1,0)</f>
        <v>1</v>
      </c>
      <c r="V2691">
        <f>IF(U2691=1,IF(COUNTIFS($C$2:C2691,C2691,$U$2:U2691,1)=1,1,0),0)</f>
        <v>0</v>
      </c>
    </row>
    <row r="2692" spans="1:22" x14ac:dyDescent="0.35">
      <c r="A2692">
        <v>12691</v>
      </c>
      <c r="B2692" s="1">
        <v>47252</v>
      </c>
      <c r="C2692">
        <v>1144</v>
      </c>
      <c r="D2692" t="s">
        <v>62</v>
      </c>
      <c r="E2692" t="s">
        <v>74</v>
      </c>
      <c r="F2692">
        <v>5</v>
      </c>
      <c r="G2692" s="2">
        <v>416.24</v>
      </c>
      <c r="H2692">
        <v>0.05</v>
      </c>
      <c r="I2692" t="s">
        <v>71</v>
      </c>
      <c r="J2692">
        <v>2</v>
      </c>
      <c r="K2692">
        <v>3.2</v>
      </c>
      <c r="L2692" s="2">
        <v>1977.14</v>
      </c>
      <c r="M2692">
        <v>2029</v>
      </c>
      <c r="N2692">
        <v>5</v>
      </c>
      <c r="O2692" t="s">
        <v>168</v>
      </c>
      <c r="P2692" s="2">
        <v>2081.1999999999998</v>
      </c>
      <c r="Q2692" s="2">
        <v>104.06</v>
      </c>
      <c r="R2692" t="s">
        <v>75</v>
      </c>
      <c r="S2692">
        <v>1</v>
      </c>
      <c r="T2692">
        <v>0</v>
      </c>
      <c r="U2692">
        <f>IF(AND(OR(Dashboard!$D$4="Semua",D2692=Dashboard!$D$4),OR(Dashboard!$H$4="Semua",E2692=Dashboard!$H$4)),1,0)</f>
        <v>1</v>
      </c>
      <c r="V2692">
        <f>IF(U2692=1,IF(COUNTIFS($C$2:C2692,C2692,$U$2:U2692,1)=1,1,0),0)</f>
        <v>0</v>
      </c>
    </row>
    <row r="2693" spans="1:22" x14ac:dyDescent="0.35">
      <c r="A2693">
        <v>12692</v>
      </c>
      <c r="B2693" s="1">
        <v>47253</v>
      </c>
      <c r="C2693">
        <v>1890</v>
      </c>
      <c r="D2693" t="s">
        <v>73</v>
      </c>
      <c r="E2693" t="s">
        <v>63</v>
      </c>
      <c r="F2693">
        <v>4</v>
      </c>
      <c r="G2693" s="2">
        <v>413.37</v>
      </c>
      <c r="H2693">
        <v>0.28999999999999998</v>
      </c>
      <c r="I2693" t="s">
        <v>71</v>
      </c>
      <c r="J2693">
        <v>1</v>
      </c>
      <c r="K2693">
        <v>3</v>
      </c>
      <c r="L2693" s="2">
        <v>1173.97</v>
      </c>
      <c r="M2693">
        <v>2029</v>
      </c>
      <c r="N2693">
        <v>5</v>
      </c>
      <c r="O2693" t="s">
        <v>168</v>
      </c>
      <c r="P2693" s="2">
        <v>1653.48</v>
      </c>
      <c r="Q2693" s="2">
        <v>479.51</v>
      </c>
      <c r="R2693" t="s">
        <v>66</v>
      </c>
      <c r="S2693">
        <v>1</v>
      </c>
      <c r="T2693">
        <v>0</v>
      </c>
      <c r="U2693">
        <f>IF(AND(OR(Dashboard!$D$4="Semua",D2693=Dashboard!$D$4),OR(Dashboard!$H$4="Semua",E2693=Dashboard!$H$4)),1,0)</f>
        <v>1</v>
      </c>
      <c r="V2693">
        <f>IF(U2693=1,IF(COUNTIFS($C$2:C2693,C2693,$U$2:U2693,1)=1,1,0),0)</f>
        <v>0</v>
      </c>
    </row>
    <row r="2694" spans="1:22" x14ac:dyDescent="0.35">
      <c r="A2694">
        <v>12693</v>
      </c>
      <c r="B2694" s="1">
        <v>47254</v>
      </c>
      <c r="C2694">
        <v>1856</v>
      </c>
      <c r="D2694" t="s">
        <v>80</v>
      </c>
      <c r="E2694" t="s">
        <v>70</v>
      </c>
      <c r="F2694">
        <v>3</v>
      </c>
      <c r="G2694" s="2">
        <v>338.29</v>
      </c>
      <c r="H2694">
        <v>0.23</v>
      </c>
      <c r="I2694" t="s">
        <v>71</v>
      </c>
      <c r="J2694">
        <v>9</v>
      </c>
      <c r="K2694">
        <v>4.3</v>
      </c>
      <c r="L2694" s="2">
        <v>781.45</v>
      </c>
      <c r="M2694">
        <v>2029</v>
      </c>
      <c r="N2694">
        <v>5</v>
      </c>
      <c r="O2694" t="s">
        <v>168</v>
      </c>
      <c r="P2694" s="2">
        <v>1014.87</v>
      </c>
      <c r="Q2694" s="2">
        <v>233.42</v>
      </c>
      <c r="R2694" t="s">
        <v>77</v>
      </c>
      <c r="S2694">
        <v>1</v>
      </c>
      <c r="T2694">
        <v>0</v>
      </c>
      <c r="U2694">
        <f>IF(AND(OR(Dashboard!$D$4="Semua",D2694=Dashboard!$D$4),OR(Dashboard!$H$4="Semua",E2694=Dashboard!$H$4)),1,0)</f>
        <v>1</v>
      </c>
      <c r="V2694">
        <f>IF(U2694=1,IF(COUNTIFS($C$2:C2694,C2694,$U$2:U2694,1)=1,1,0),0)</f>
        <v>0</v>
      </c>
    </row>
    <row r="2695" spans="1:22" x14ac:dyDescent="0.35">
      <c r="A2695">
        <v>12694</v>
      </c>
      <c r="B2695" s="1">
        <v>47255</v>
      </c>
      <c r="C2695">
        <v>1027</v>
      </c>
      <c r="D2695" t="s">
        <v>67</v>
      </c>
      <c r="E2695" t="s">
        <v>78</v>
      </c>
      <c r="F2695">
        <v>1</v>
      </c>
      <c r="G2695" s="2">
        <v>344.69</v>
      </c>
      <c r="H2695">
        <v>0.13</v>
      </c>
      <c r="I2695" t="s">
        <v>68</v>
      </c>
      <c r="J2695">
        <v>7</v>
      </c>
      <c r="K2695">
        <v>2</v>
      </c>
      <c r="L2695" s="2">
        <v>299.88</v>
      </c>
      <c r="M2695">
        <v>2029</v>
      </c>
      <c r="N2695">
        <v>5</v>
      </c>
      <c r="O2695" t="s">
        <v>168</v>
      </c>
      <c r="P2695" s="2">
        <v>344.69</v>
      </c>
      <c r="Q2695" s="2">
        <v>44.81</v>
      </c>
      <c r="R2695" t="s">
        <v>79</v>
      </c>
      <c r="S2695">
        <v>1</v>
      </c>
      <c r="T2695">
        <v>0</v>
      </c>
      <c r="U2695">
        <f>IF(AND(OR(Dashboard!$D$4="Semua",D2695=Dashboard!$D$4),OR(Dashboard!$H$4="Semua",E2695=Dashboard!$H$4)),1,0)</f>
        <v>1</v>
      </c>
      <c r="V2695">
        <f>IF(U2695=1,IF(COUNTIFS($C$2:C2695,C2695,$U$2:U2695,1)=1,1,0),0)</f>
        <v>0</v>
      </c>
    </row>
    <row r="2696" spans="1:22" x14ac:dyDescent="0.35">
      <c r="A2696">
        <v>12695</v>
      </c>
      <c r="B2696" s="1">
        <v>47256</v>
      </c>
      <c r="C2696">
        <v>1065</v>
      </c>
      <c r="D2696" t="s">
        <v>73</v>
      </c>
      <c r="E2696" t="s">
        <v>78</v>
      </c>
      <c r="F2696">
        <v>5</v>
      </c>
      <c r="G2696" s="2">
        <v>445.38</v>
      </c>
      <c r="H2696">
        <v>0.18</v>
      </c>
      <c r="I2696" t="s">
        <v>68</v>
      </c>
      <c r="J2696">
        <v>8</v>
      </c>
      <c r="K2696">
        <v>4.4000000000000004</v>
      </c>
      <c r="L2696" s="2">
        <v>1826.06</v>
      </c>
      <c r="M2696">
        <v>2029</v>
      </c>
      <c r="N2696">
        <v>5</v>
      </c>
      <c r="O2696" t="s">
        <v>168</v>
      </c>
      <c r="P2696" s="2">
        <v>2226.9</v>
      </c>
      <c r="Q2696" s="2">
        <v>400.84</v>
      </c>
      <c r="R2696" t="s">
        <v>76</v>
      </c>
      <c r="S2696">
        <v>1</v>
      </c>
      <c r="T2696">
        <v>0</v>
      </c>
      <c r="U2696">
        <f>IF(AND(OR(Dashboard!$D$4="Semua",D2696=Dashboard!$D$4),OR(Dashboard!$H$4="Semua",E2696=Dashboard!$H$4)),1,0)</f>
        <v>1</v>
      </c>
      <c r="V2696">
        <f>IF(U2696=1,IF(COUNTIFS($C$2:C2696,C2696,$U$2:U2696,1)=1,1,0),0)</f>
        <v>1</v>
      </c>
    </row>
    <row r="2697" spans="1:22" x14ac:dyDescent="0.35">
      <c r="A2697">
        <v>12696</v>
      </c>
      <c r="B2697" s="1">
        <v>47257</v>
      </c>
      <c r="C2697">
        <v>1162</v>
      </c>
      <c r="D2697" t="s">
        <v>62</v>
      </c>
      <c r="E2697" t="s">
        <v>78</v>
      </c>
      <c r="F2697">
        <v>3</v>
      </c>
      <c r="G2697" s="2">
        <v>172.95</v>
      </c>
      <c r="H2697">
        <v>0.32</v>
      </c>
      <c r="I2697" t="s">
        <v>71</v>
      </c>
      <c r="J2697">
        <v>6</v>
      </c>
      <c r="K2697">
        <v>4.5</v>
      </c>
      <c r="L2697" s="2">
        <v>352.82</v>
      </c>
      <c r="M2697">
        <v>2029</v>
      </c>
      <c r="N2697">
        <v>5</v>
      </c>
      <c r="O2697" t="s">
        <v>168</v>
      </c>
      <c r="P2697" s="2">
        <v>518.85</v>
      </c>
      <c r="Q2697" s="2">
        <v>166.03</v>
      </c>
      <c r="R2697" t="s">
        <v>72</v>
      </c>
      <c r="S2697">
        <v>1</v>
      </c>
      <c r="T2697">
        <v>0</v>
      </c>
      <c r="U2697">
        <f>IF(AND(OR(Dashboard!$D$4="Semua",D2697=Dashboard!$D$4),OR(Dashboard!$H$4="Semua",E2697=Dashboard!$H$4)),1,0)</f>
        <v>1</v>
      </c>
      <c r="V2697">
        <f>IF(U2697=1,IF(COUNTIFS($C$2:C2697,C2697,$U$2:U2697,1)=1,1,0),0)</f>
        <v>0</v>
      </c>
    </row>
    <row r="2698" spans="1:22" x14ac:dyDescent="0.35">
      <c r="A2698">
        <v>12697</v>
      </c>
      <c r="B2698" s="1">
        <v>47258</v>
      </c>
      <c r="C2698">
        <v>1228</v>
      </c>
      <c r="D2698" t="s">
        <v>67</v>
      </c>
      <c r="E2698" t="s">
        <v>74</v>
      </c>
      <c r="F2698">
        <v>6</v>
      </c>
      <c r="G2698" s="2">
        <v>221.37</v>
      </c>
      <c r="H2698">
        <v>0.22</v>
      </c>
      <c r="I2698" t="s">
        <v>68</v>
      </c>
      <c r="J2698">
        <v>9</v>
      </c>
      <c r="K2698">
        <v>4.3</v>
      </c>
      <c r="L2698" s="2">
        <v>1036.01</v>
      </c>
      <c r="M2698">
        <v>2029</v>
      </c>
      <c r="N2698">
        <v>5</v>
      </c>
      <c r="O2698" t="s">
        <v>168</v>
      </c>
      <c r="P2698" s="2">
        <v>1328.22</v>
      </c>
      <c r="Q2698" s="2">
        <v>292.20999999999998</v>
      </c>
      <c r="R2698" t="s">
        <v>77</v>
      </c>
      <c r="S2698">
        <v>1</v>
      </c>
      <c r="T2698">
        <v>0</v>
      </c>
      <c r="U2698">
        <f>IF(AND(OR(Dashboard!$D$4="Semua",D2698=Dashboard!$D$4),OR(Dashboard!$H$4="Semua",E2698=Dashboard!$H$4)),1,0)</f>
        <v>1</v>
      </c>
      <c r="V2698">
        <f>IF(U2698=1,IF(COUNTIFS($C$2:C2698,C2698,$U$2:U2698,1)=1,1,0),0)</f>
        <v>0</v>
      </c>
    </row>
    <row r="2699" spans="1:22" x14ac:dyDescent="0.35">
      <c r="A2699">
        <v>12698</v>
      </c>
      <c r="B2699" s="1">
        <v>47259</v>
      </c>
      <c r="C2699">
        <v>1260</v>
      </c>
      <c r="D2699" t="s">
        <v>73</v>
      </c>
      <c r="E2699" t="s">
        <v>74</v>
      </c>
      <c r="F2699">
        <v>7</v>
      </c>
      <c r="G2699" s="2">
        <v>524.91</v>
      </c>
      <c r="H2699">
        <v>0.14000000000000001</v>
      </c>
      <c r="I2699" t="s">
        <v>68</v>
      </c>
      <c r="J2699">
        <v>8</v>
      </c>
      <c r="K2699">
        <v>2.4</v>
      </c>
      <c r="L2699" s="2">
        <v>3159.96</v>
      </c>
      <c r="M2699">
        <v>2029</v>
      </c>
      <c r="N2699">
        <v>5</v>
      </c>
      <c r="O2699" t="s">
        <v>168</v>
      </c>
      <c r="P2699" s="2">
        <v>3674.37</v>
      </c>
      <c r="Q2699" s="2">
        <v>514.41</v>
      </c>
      <c r="R2699" t="s">
        <v>79</v>
      </c>
      <c r="S2699">
        <v>1</v>
      </c>
      <c r="T2699">
        <v>0</v>
      </c>
      <c r="U2699">
        <f>IF(AND(OR(Dashboard!$D$4="Semua",D2699=Dashboard!$D$4),OR(Dashboard!$H$4="Semua",E2699=Dashboard!$H$4)),1,0)</f>
        <v>1</v>
      </c>
      <c r="V2699">
        <f>IF(U2699=1,IF(COUNTIFS($C$2:C2699,C2699,$U$2:U2699,1)=1,1,0),0)</f>
        <v>0</v>
      </c>
    </row>
    <row r="2700" spans="1:22" x14ac:dyDescent="0.35">
      <c r="A2700">
        <v>12699</v>
      </c>
      <c r="B2700" s="1">
        <v>47260</v>
      </c>
      <c r="C2700">
        <v>1448</v>
      </c>
      <c r="D2700" t="s">
        <v>67</v>
      </c>
      <c r="E2700" t="s">
        <v>78</v>
      </c>
      <c r="F2700">
        <v>3</v>
      </c>
      <c r="G2700" s="2">
        <v>195.69</v>
      </c>
      <c r="H2700">
        <v>0.04</v>
      </c>
      <c r="I2700" t="s">
        <v>71</v>
      </c>
      <c r="J2700">
        <v>4</v>
      </c>
      <c r="K2700">
        <v>1.7</v>
      </c>
      <c r="L2700" s="2">
        <v>563.59</v>
      </c>
      <c r="M2700">
        <v>2029</v>
      </c>
      <c r="N2700">
        <v>5</v>
      </c>
      <c r="O2700" t="s">
        <v>168</v>
      </c>
      <c r="P2700" s="2">
        <v>587.07000000000005</v>
      </c>
      <c r="Q2700" s="2">
        <v>23.48</v>
      </c>
      <c r="R2700" t="s">
        <v>75</v>
      </c>
      <c r="S2700">
        <v>1</v>
      </c>
      <c r="T2700">
        <v>0</v>
      </c>
      <c r="U2700">
        <f>IF(AND(OR(Dashboard!$D$4="Semua",D2700=Dashboard!$D$4),OR(Dashboard!$H$4="Semua",E2700=Dashboard!$H$4)),1,0)</f>
        <v>1</v>
      </c>
      <c r="V2700">
        <f>IF(U2700=1,IF(COUNTIFS($C$2:C2700,C2700,$U$2:U2700,1)=1,1,0),0)</f>
        <v>0</v>
      </c>
    </row>
    <row r="2701" spans="1:22" x14ac:dyDescent="0.35">
      <c r="A2701">
        <v>12700</v>
      </c>
      <c r="B2701" s="1">
        <v>47261</v>
      </c>
      <c r="C2701">
        <v>1423</v>
      </c>
      <c r="D2701" t="s">
        <v>62</v>
      </c>
      <c r="E2701" t="s">
        <v>78</v>
      </c>
      <c r="F2701">
        <v>6</v>
      </c>
      <c r="G2701" s="2">
        <v>334.59</v>
      </c>
      <c r="H2701">
        <v>0.1</v>
      </c>
      <c r="I2701" t="s">
        <v>68</v>
      </c>
      <c r="J2701">
        <v>5</v>
      </c>
      <c r="K2701">
        <v>2.9</v>
      </c>
      <c r="L2701" s="2">
        <v>1806.79</v>
      </c>
      <c r="M2701">
        <v>2029</v>
      </c>
      <c r="N2701">
        <v>5</v>
      </c>
      <c r="O2701" t="s">
        <v>168</v>
      </c>
      <c r="P2701" s="2">
        <v>2007.54</v>
      </c>
      <c r="Q2701" s="2">
        <v>200.75</v>
      </c>
      <c r="R2701" t="s">
        <v>69</v>
      </c>
      <c r="S2701">
        <v>1</v>
      </c>
      <c r="T2701">
        <v>0</v>
      </c>
      <c r="U2701">
        <f>IF(AND(OR(Dashboard!$D$4="Semua",D2701=Dashboard!$D$4),OR(Dashboard!$H$4="Semua",E2701=Dashboard!$H$4)),1,0)</f>
        <v>1</v>
      </c>
      <c r="V2701">
        <f>IF(U2701=1,IF(COUNTIFS($C$2:C2701,C2701,$U$2:U2701,1)=1,1,0),0)</f>
        <v>0</v>
      </c>
    </row>
    <row r="2702" spans="1:22" x14ac:dyDescent="0.35">
      <c r="A2702">
        <v>12701</v>
      </c>
      <c r="B2702" s="1">
        <v>47262</v>
      </c>
      <c r="C2702">
        <v>1459</v>
      </c>
      <c r="D2702" t="s">
        <v>73</v>
      </c>
      <c r="E2702" t="s">
        <v>70</v>
      </c>
      <c r="F2702">
        <v>5</v>
      </c>
      <c r="G2702" s="2">
        <v>426.04</v>
      </c>
      <c r="H2702">
        <v>0.34</v>
      </c>
      <c r="I2702" t="s">
        <v>68</v>
      </c>
      <c r="J2702">
        <v>2</v>
      </c>
      <c r="K2702">
        <v>2</v>
      </c>
      <c r="L2702" s="2">
        <v>1405.93</v>
      </c>
      <c r="M2702">
        <v>2029</v>
      </c>
      <c r="N2702">
        <v>5</v>
      </c>
      <c r="O2702" t="s">
        <v>168</v>
      </c>
      <c r="P2702" s="2">
        <v>2130.1999999999998</v>
      </c>
      <c r="Q2702" s="2">
        <v>724.27</v>
      </c>
      <c r="R2702" t="s">
        <v>72</v>
      </c>
      <c r="S2702">
        <v>1</v>
      </c>
      <c r="T2702">
        <v>0</v>
      </c>
      <c r="U2702">
        <f>IF(AND(OR(Dashboard!$D$4="Semua",D2702=Dashboard!$D$4),OR(Dashboard!$H$4="Semua",E2702=Dashboard!$H$4)),1,0)</f>
        <v>1</v>
      </c>
      <c r="V2702">
        <f>IF(U2702=1,IF(COUNTIFS($C$2:C2702,C2702,$U$2:U2702,1)=1,1,0),0)</f>
        <v>0</v>
      </c>
    </row>
    <row r="2703" spans="1:22" x14ac:dyDescent="0.35">
      <c r="A2703">
        <v>12702</v>
      </c>
      <c r="B2703" s="1">
        <v>47263</v>
      </c>
      <c r="C2703">
        <v>1951</v>
      </c>
      <c r="D2703" t="s">
        <v>73</v>
      </c>
      <c r="E2703" t="s">
        <v>74</v>
      </c>
      <c r="F2703">
        <v>3</v>
      </c>
      <c r="G2703" s="2">
        <v>599.96</v>
      </c>
      <c r="H2703">
        <v>0.15</v>
      </c>
      <c r="I2703" t="s">
        <v>71</v>
      </c>
      <c r="J2703">
        <v>1</v>
      </c>
      <c r="K2703">
        <v>1.2</v>
      </c>
      <c r="L2703" s="2">
        <v>1529.9</v>
      </c>
      <c r="M2703">
        <v>2029</v>
      </c>
      <c r="N2703">
        <v>5</v>
      </c>
      <c r="O2703" t="s">
        <v>168</v>
      </c>
      <c r="P2703" s="2">
        <v>1799.88</v>
      </c>
      <c r="Q2703" s="2">
        <v>269.98</v>
      </c>
      <c r="R2703" t="s">
        <v>79</v>
      </c>
      <c r="S2703">
        <v>1</v>
      </c>
      <c r="T2703">
        <v>0</v>
      </c>
      <c r="U2703">
        <f>IF(AND(OR(Dashboard!$D$4="Semua",D2703=Dashboard!$D$4),OR(Dashboard!$H$4="Semua",E2703=Dashboard!$H$4)),1,0)</f>
        <v>1</v>
      </c>
      <c r="V2703">
        <f>IF(U2703=1,IF(COUNTIFS($C$2:C2703,C2703,$U$2:U2703,1)=1,1,0),0)</f>
        <v>0</v>
      </c>
    </row>
    <row r="2704" spans="1:22" x14ac:dyDescent="0.35">
      <c r="A2704">
        <v>12703</v>
      </c>
      <c r="B2704" s="1">
        <v>47264</v>
      </c>
      <c r="C2704">
        <v>1675</v>
      </c>
      <c r="D2704" t="s">
        <v>73</v>
      </c>
      <c r="E2704" t="s">
        <v>74</v>
      </c>
      <c r="F2704">
        <v>6</v>
      </c>
      <c r="G2704" s="2">
        <v>269.64999999999998</v>
      </c>
      <c r="H2704">
        <v>0.17</v>
      </c>
      <c r="I2704" t="s">
        <v>71</v>
      </c>
      <c r="J2704">
        <v>6</v>
      </c>
      <c r="K2704">
        <v>2.1</v>
      </c>
      <c r="L2704" s="2">
        <v>1342.86</v>
      </c>
      <c r="M2704">
        <v>2029</v>
      </c>
      <c r="N2704">
        <v>5</v>
      </c>
      <c r="O2704" t="s">
        <v>168</v>
      </c>
      <c r="P2704" s="2">
        <v>1617.9</v>
      </c>
      <c r="Q2704" s="2">
        <v>275.04000000000002</v>
      </c>
      <c r="R2704" t="s">
        <v>76</v>
      </c>
      <c r="S2704">
        <v>1</v>
      </c>
      <c r="T2704">
        <v>0</v>
      </c>
      <c r="U2704">
        <f>IF(AND(OR(Dashboard!$D$4="Semua",D2704=Dashboard!$D$4),OR(Dashboard!$H$4="Semua",E2704=Dashboard!$H$4)),1,0)</f>
        <v>1</v>
      </c>
      <c r="V2704">
        <f>IF(U2704=1,IF(COUNTIFS($C$2:C2704,C2704,$U$2:U2704,1)=1,1,0),0)</f>
        <v>0</v>
      </c>
    </row>
    <row r="2705" spans="1:22" x14ac:dyDescent="0.35">
      <c r="A2705">
        <v>12704</v>
      </c>
      <c r="B2705" s="1">
        <v>47265</v>
      </c>
      <c r="C2705">
        <v>1300</v>
      </c>
      <c r="D2705" t="s">
        <v>73</v>
      </c>
      <c r="E2705" t="s">
        <v>78</v>
      </c>
      <c r="F2705">
        <v>4</v>
      </c>
      <c r="G2705" s="2">
        <v>265.43</v>
      </c>
      <c r="H2705">
        <v>0.17</v>
      </c>
      <c r="I2705" t="s">
        <v>64</v>
      </c>
      <c r="J2705">
        <v>3</v>
      </c>
      <c r="K2705">
        <v>2.9</v>
      </c>
      <c r="L2705" s="2">
        <v>881.23</v>
      </c>
      <c r="M2705">
        <v>2029</v>
      </c>
      <c r="N2705">
        <v>5</v>
      </c>
      <c r="O2705" t="s">
        <v>168</v>
      </c>
      <c r="P2705" s="2">
        <v>1061.72</v>
      </c>
      <c r="Q2705" s="2">
        <v>180.49</v>
      </c>
      <c r="R2705" t="s">
        <v>76</v>
      </c>
      <c r="S2705">
        <v>1</v>
      </c>
      <c r="T2705">
        <v>0</v>
      </c>
      <c r="U2705">
        <f>IF(AND(OR(Dashboard!$D$4="Semua",D2705=Dashboard!$D$4),OR(Dashboard!$H$4="Semua",E2705=Dashboard!$H$4)),1,0)</f>
        <v>1</v>
      </c>
      <c r="V2705">
        <f>IF(U2705=1,IF(COUNTIFS($C$2:C2705,C2705,$U$2:U2705,1)=1,1,0),0)</f>
        <v>0</v>
      </c>
    </row>
    <row r="2706" spans="1:22" x14ac:dyDescent="0.35">
      <c r="A2706">
        <v>12705</v>
      </c>
      <c r="B2706" s="1">
        <v>47266</v>
      </c>
      <c r="C2706">
        <v>1918</v>
      </c>
      <c r="D2706" t="s">
        <v>80</v>
      </c>
      <c r="E2706" t="s">
        <v>70</v>
      </c>
      <c r="F2706">
        <v>2</v>
      </c>
      <c r="G2706" s="2">
        <v>507.91</v>
      </c>
      <c r="H2706">
        <v>0.31</v>
      </c>
      <c r="I2706" t="s">
        <v>71</v>
      </c>
      <c r="J2706">
        <v>11</v>
      </c>
      <c r="K2706">
        <v>1.5</v>
      </c>
      <c r="L2706" s="2">
        <v>700.92</v>
      </c>
      <c r="M2706">
        <v>2029</v>
      </c>
      <c r="N2706">
        <v>5</v>
      </c>
      <c r="O2706" t="s">
        <v>168</v>
      </c>
      <c r="P2706" s="2">
        <v>1015.82</v>
      </c>
      <c r="Q2706" s="2">
        <v>314.89999999999998</v>
      </c>
      <c r="R2706" t="s">
        <v>72</v>
      </c>
      <c r="S2706">
        <v>1</v>
      </c>
      <c r="T2706">
        <v>0</v>
      </c>
      <c r="U2706">
        <f>IF(AND(OR(Dashboard!$D$4="Semua",D2706=Dashboard!$D$4),OR(Dashboard!$H$4="Semua",E2706=Dashboard!$H$4)),1,0)</f>
        <v>1</v>
      </c>
      <c r="V2706">
        <f>IF(U2706=1,IF(COUNTIFS($C$2:C2706,C2706,$U$2:U2706,1)=1,1,0),0)</f>
        <v>0</v>
      </c>
    </row>
    <row r="2707" spans="1:22" x14ac:dyDescent="0.35">
      <c r="A2707">
        <v>12706</v>
      </c>
      <c r="B2707" s="1">
        <v>47267</v>
      </c>
      <c r="C2707">
        <v>1302</v>
      </c>
      <c r="D2707" t="s">
        <v>67</v>
      </c>
      <c r="E2707" t="s">
        <v>70</v>
      </c>
      <c r="F2707">
        <v>5</v>
      </c>
      <c r="G2707" s="2">
        <v>486.22</v>
      </c>
      <c r="H2707">
        <v>0.21</v>
      </c>
      <c r="I2707" t="s">
        <v>71</v>
      </c>
      <c r="J2707">
        <v>4</v>
      </c>
      <c r="K2707">
        <v>4.8</v>
      </c>
      <c r="L2707" s="2">
        <v>1920.57</v>
      </c>
      <c r="M2707">
        <v>2029</v>
      </c>
      <c r="N2707">
        <v>5</v>
      </c>
      <c r="O2707" t="s">
        <v>168</v>
      </c>
      <c r="P2707" s="2">
        <v>2431.1</v>
      </c>
      <c r="Q2707" s="2">
        <v>510.53</v>
      </c>
      <c r="R2707" t="s">
        <v>77</v>
      </c>
      <c r="S2707">
        <v>1</v>
      </c>
      <c r="T2707">
        <v>0</v>
      </c>
      <c r="U2707">
        <f>IF(AND(OR(Dashboard!$D$4="Semua",D2707=Dashboard!$D$4),OR(Dashboard!$H$4="Semua",E2707=Dashboard!$H$4)),1,0)</f>
        <v>1</v>
      </c>
      <c r="V2707">
        <f>IF(U2707=1,IF(COUNTIFS($C$2:C2707,C2707,$U$2:U2707,1)=1,1,0),0)</f>
        <v>0</v>
      </c>
    </row>
    <row r="2708" spans="1:22" x14ac:dyDescent="0.35">
      <c r="A2708">
        <v>12707</v>
      </c>
      <c r="B2708" s="1">
        <v>47268</v>
      </c>
      <c r="C2708">
        <v>1286</v>
      </c>
      <c r="D2708" t="s">
        <v>73</v>
      </c>
      <c r="E2708" t="s">
        <v>78</v>
      </c>
      <c r="F2708">
        <v>6</v>
      </c>
      <c r="G2708" s="2">
        <v>442.68</v>
      </c>
      <c r="H2708">
        <v>0.24</v>
      </c>
      <c r="I2708" t="s">
        <v>68</v>
      </c>
      <c r="J2708">
        <v>1</v>
      </c>
      <c r="K2708">
        <v>3.6</v>
      </c>
      <c r="L2708" s="2">
        <v>2018.62</v>
      </c>
      <c r="M2708">
        <v>2029</v>
      </c>
      <c r="N2708">
        <v>5</v>
      </c>
      <c r="O2708" t="s">
        <v>168</v>
      </c>
      <c r="P2708" s="2">
        <v>2656.08</v>
      </c>
      <c r="Q2708" s="2">
        <v>637.46</v>
      </c>
      <c r="R2708" t="s">
        <v>77</v>
      </c>
      <c r="S2708">
        <v>1</v>
      </c>
      <c r="T2708">
        <v>0</v>
      </c>
      <c r="U2708">
        <f>IF(AND(OR(Dashboard!$D$4="Semua",D2708=Dashboard!$D$4),OR(Dashboard!$H$4="Semua",E2708=Dashboard!$H$4)),1,0)</f>
        <v>1</v>
      </c>
      <c r="V2708">
        <f>IF(U2708=1,IF(COUNTIFS($C$2:C2708,C2708,$U$2:U2708,1)=1,1,0),0)</f>
        <v>0</v>
      </c>
    </row>
    <row r="2709" spans="1:22" x14ac:dyDescent="0.35">
      <c r="A2709">
        <v>12708</v>
      </c>
      <c r="B2709" s="1">
        <v>47269</v>
      </c>
      <c r="C2709">
        <v>1394</v>
      </c>
      <c r="D2709" t="s">
        <v>73</v>
      </c>
      <c r="E2709" t="s">
        <v>78</v>
      </c>
      <c r="F2709">
        <v>1</v>
      </c>
      <c r="G2709" s="2">
        <v>285.99</v>
      </c>
      <c r="H2709">
        <v>0.14000000000000001</v>
      </c>
      <c r="I2709" t="s">
        <v>68</v>
      </c>
      <c r="J2709">
        <v>6</v>
      </c>
      <c r="K2709">
        <v>1.5</v>
      </c>
      <c r="L2709" s="2">
        <v>245.95</v>
      </c>
      <c r="M2709">
        <v>2029</v>
      </c>
      <c r="N2709">
        <v>5</v>
      </c>
      <c r="O2709" t="s">
        <v>168</v>
      </c>
      <c r="P2709" s="2">
        <v>285.99</v>
      </c>
      <c r="Q2709" s="2">
        <v>40.04</v>
      </c>
      <c r="R2709" t="s">
        <v>79</v>
      </c>
      <c r="S2709">
        <v>1</v>
      </c>
      <c r="T2709">
        <v>0</v>
      </c>
      <c r="U2709">
        <f>IF(AND(OR(Dashboard!$D$4="Semua",D2709=Dashboard!$D$4),OR(Dashboard!$H$4="Semua",E2709=Dashboard!$H$4)),1,0)</f>
        <v>1</v>
      </c>
      <c r="V2709">
        <f>IF(U2709=1,IF(COUNTIFS($C$2:C2709,C2709,$U$2:U2709,1)=1,1,0),0)</f>
        <v>0</v>
      </c>
    </row>
    <row r="2710" spans="1:22" x14ac:dyDescent="0.35">
      <c r="A2710">
        <v>12709</v>
      </c>
      <c r="B2710" s="1">
        <v>47270</v>
      </c>
      <c r="C2710">
        <v>1009</v>
      </c>
      <c r="D2710" t="s">
        <v>73</v>
      </c>
      <c r="E2710" t="s">
        <v>74</v>
      </c>
      <c r="F2710">
        <v>3</v>
      </c>
      <c r="G2710" s="2">
        <v>204.5</v>
      </c>
      <c r="H2710">
        <v>0.01</v>
      </c>
      <c r="I2710" t="s">
        <v>68</v>
      </c>
      <c r="J2710">
        <v>8</v>
      </c>
      <c r="K2710">
        <v>4.2</v>
      </c>
      <c r="L2710" s="2">
        <v>607.36</v>
      </c>
      <c r="M2710">
        <v>2029</v>
      </c>
      <c r="N2710">
        <v>6</v>
      </c>
      <c r="O2710" t="s">
        <v>169</v>
      </c>
      <c r="P2710" s="2">
        <v>613.5</v>
      </c>
      <c r="Q2710" s="2">
        <v>6.14</v>
      </c>
      <c r="R2710" t="s">
        <v>75</v>
      </c>
      <c r="S2710">
        <v>1</v>
      </c>
      <c r="T2710">
        <v>0</v>
      </c>
      <c r="U2710">
        <f>IF(AND(OR(Dashboard!$D$4="Semua",D2710=Dashboard!$D$4),OR(Dashboard!$H$4="Semua",E2710=Dashboard!$H$4)),1,0)</f>
        <v>1</v>
      </c>
      <c r="V2710">
        <f>IF(U2710=1,IF(COUNTIFS($C$2:C2710,C2710,$U$2:U2710,1)=1,1,0),0)</f>
        <v>0</v>
      </c>
    </row>
    <row r="2711" spans="1:22" x14ac:dyDescent="0.35">
      <c r="A2711">
        <v>12710</v>
      </c>
      <c r="B2711" s="1">
        <v>47271</v>
      </c>
      <c r="C2711">
        <v>1706</v>
      </c>
      <c r="D2711" t="s">
        <v>62</v>
      </c>
      <c r="E2711" t="s">
        <v>78</v>
      </c>
      <c r="F2711">
        <v>6</v>
      </c>
      <c r="G2711" s="2">
        <v>371.11</v>
      </c>
      <c r="H2711">
        <v>0.33</v>
      </c>
      <c r="I2711" t="s">
        <v>71</v>
      </c>
      <c r="J2711">
        <v>10</v>
      </c>
      <c r="K2711">
        <v>4.7</v>
      </c>
      <c r="L2711" s="2">
        <v>1491.86</v>
      </c>
      <c r="M2711">
        <v>2029</v>
      </c>
      <c r="N2711">
        <v>6</v>
      </c>
      <c r="O2711" t="s">
        <v>169</v>
      </c>
      <c r="P2711" s="2">
        <v>2226.66</v>
      </c>
      <c r="Q2711" s="2">
        <v>734.8</v>
      </c>
      <c r="R2711" t="s">
        <v>72</v>
      </c>
      <c r="S2711">
        <v>1</v>
      </c>
      <c r="T2711">
        <v>0</v>
      </c>
      <c r="U2711">
        <f>IF(AND(OR(Dashboard!$D$4="Semua",D2711=Dashboard!$D$4),OR(Dashboard!$H$4="Semua",E2711=Dashboard!$H$4)),1,0)</f>
        <v>1</v>
      </c>
      <c r="V2711">
        <f>IF(U2711=1,IF(COUNTIFS($C$2:C2711,C2711,$U$2:U2711,1)=1,1,0),0)</f>
        <v>0</v>
      </c>
    </row>
    <row r="2712" spans="1:22" x14ac:dyDescent="0.35">
      <c r="A2712">
        <v>12711</v>
      </c>
      <c r="B2712" s="1">
        <v>47272</v>
      </c>
      <c r="C2712">
        <v>1629</v>
      </c>
      <c r="D2712" t="s">
        <v>73</v>
      </c>
      <c r="E2712" t="s">
        <v>63</v>
      </c>
      <c r="F2712">
        <v>7</v>
      </c>
      <c r="G2712" s="2">
        <v>527.59</v>
      </c>
      <c r="H2712">
        <v>0.33</v>
      </c>
      <c r="I2712" t="s">
        <v>71</v>
      </c>
      <c r="J2712">
        <v>4</v>
      </c>
      <c r="K2712">
        <v>2.1</v>
      </c>
      <c r="L2712" s="2">
        <v>2474.4</v>
      </c>
      <c r="M2712">
        <v>2029</v>
      </c>
      <c r="N2712">
        <v>6</v>
      </c>
      <c r="O2712" t="s">
        <v>169</v>
      </c>
      <c r="P2712" s="2">
        <v>3693.13</v>
      </c>
      <c r="Q2712" s="2">
        <v>1218.73</v>
      </c>
      <c r="R2712" t="s">
        <v>72</v>
      </c>
      <c r="S2712">
        <v>1</v>
      </c>
      <c r="T2712">
        <v>0</v>
      </c>
      <c r="U2712">
        <f>IF(AND(OR(Dashboard!$D$4="Semua",D2712=Dashboard!$D$4),OR(Dashboard!$H$4="Semua",E2712=Dashboard!$H$4)),1,0)</f>
        <v>1</v>
      </c>
      <c r="V2712">
        <f>IF(U2712=1,IF(COUNTIFS($C$2:C2712,C2712,$U$2:U2712,1)=1,1,0),0)</f>
        <v>0</v>
      </c>
    </row>
    <row r="2713" spans="1:22" x14ac:dyDescent="0.35">
      <c r="A2713">
        <v>12712</v>
      </c>
      <c r="B2713" s="1">
        <v>47273</v>
      </c>
      <c r="C2713">
        <v>1269</v>
      </c>
      <c r="D2713" t="s">
        <v>62</v>
      </c>
      <c r="E2713" t="s">
        <v>70</v>
      </c>
      <c r="F2713">
        <v>6</v>
      </c>
      <c r="G2713" s="2">
        <v>532.01</v>
      </c>
      <c r="H2713">
        <v>0.33</v>
      </c>
      <c r="I2713" t="s">
        <v>71</v>
      </c>
      <c r="J2713">
        <v>10</v>
      </c>
      <c r="K2713">
        <v>1.6</v>
      </c>
      <c r="L2713" s="2">
        <v>2138.6799999999998</v>
      </c>
      <c r="M2713">
        <v>2029</v>
      </c>
      <c r="N2713">
        <v>6</v>
      </c>
      <c r="O2713" t="s">
        <v>169</v>
      </c>
      <c r="P2713" s="2">
        <v>3192.06</v>
      </c>
      <c r="Q2713" s="2">
        <v>1053.3800000000001</v>
      </c>
      <c r="R2713" t="s">
        <v>72</v>
      </c>
      <c r="S2713">
        <v>1</v>
      </c>
      <c r="T2713">
        <v>0</v>
      </c>
      <c r="U2713">
        <f>IF(AND(OR(Dashboard!$D$4="Semua",D2713=Dashboard!$D$4),OR(Dashboard!$H$4="Semua",E2713=Dashboard!$H$4)),1,0)</f>
        <v>1</v>
      </c>
      <c r="V2713">
        <f>IF(U2713=1,IF(COUNTIFS($C$2:C2713,C2713,$U$2:U2713,1)=1,1,0),0)</f>
        <v>0</v>
      </c>
    </row>
    <row r="2714" spans="1:22" x14ac:dyDescent="0.35">
      <c r="A2714">
        <v>12713</v>
      </c>
      <c r="B2714" s="1">
        <v>47274</v>
      </c>
      <c r="C2714">
        <v>1591</v>
      </c>
      <c r="D2714" t="s">
        <v>67</v>
      </c>
      <c r="E2714" t="s">
        <v>78</v>
      </c>
      <c r="F2714">
        <v>6</v>
      </c>
      <c r="G2714" s="2">
        <v>78.47</v>
      </c>
      <c r="H2714">
        <v>0.33</v>
      </c>
      <c r="I2714" t="s">
        <v>71</v>
      </c>
      <c r="J2714">
        <v>8</v>
      </c>
      <c r="K2714">
        <v>2.2999999999999998</v>
      </c>
      <c r="L2714" s="2">
        <v>315.45</v>
      </c>
      <c r="M2714">
        <v>2029</v>
      </c>
      <c r="N2714">
        <v>6</v>
      </c>
      <c r="O2714" t="s">
        <v>169</v>
      </c>
      <c r="P2714" s="2">
        <v>470.82</v>
      </c>
      <c r="Q2714" s="2">
        <v>155.37</v>
      </c>
      <c r="R2714" t="s">
        <v>72</v>
      </c>
      <c r="S2714">
        <v>1</v>
      </c>
      <c r="T2714">
        <v>0</v>
      </c>
      <c r="U2714">
        <f>IF(AND(OR(Dashboard!$D$4="Semua",D2714=Dashboard!$D$4),OR(Dashboard!$H$4="Semua",E2714=Dashboard!$H$4)),1,0)</f>
        <v>1</v>
      </c>
      <c r="V2714">
        <f>IF(U2714=1,IF(COUNTIFS($C$2:C2714,C2714,$U$2:U2714,1)=1,1,0),0)</f>
        <v>0</v>
      </c>
    </row>
    <row r="2715" spans="1:22" x14ac:dyDescent="0.35">
      <c r="A2715">
        <v>12714</v>
      </c>
      <c r="B2715" s="1">
        <v>47275</v>
      </c>
      <c r="C2715">
        <v>1969</v>
      </c>
      <c r="D2715" t="s">
        <v>73</v>
      </c>
      <c r="E2715" t="s">
        <v>63</v>
      </c>
      <c r="F2715">
        <v>7</v>
      </c>
      <c r="G2715" s="2">
        <v>265.58</v>
      </c>
      <c r="H2715">
        <v>0.28999999999999998</v>
      </c>
      <c r="I2715" t="s">
        <v>68</v>
      </c>
      <c r="J2715">
        <v>11</v>
      </c>
      <c r="K2715">
        <v>4.3</v>
      </c>
      <c r="L2715" s="2">
        <v>1319.93</v>
      </c>
      <c r="M2715">
        <v>2029</v>
      </c>
      <c r="N2715">
        <v>6</v>
      </c>
      <c r="O2715" t="s">
        <v>169</v>
      </c>
      <c r="P2715" s="2">
        <v>1859.06</v>
      </c>
      <c r="Q2715" s="2">
        <v>539.13</v>
      </c>
      <c r="R2715" t="s">
        <v>66</v>
      </c>
      <c r="S2715">
        <v>1</v>
      </c>
      <c r="T2715">
        <v>0</v>
      </c>
      <c r="U2715">
        <f>IF(AND(OR(Dashboard!$D$4="Semua",D2715=Dashboard!$D$4),OR(Dashboard!$H$4="Semua",E2715=Dashboard!$H$4)),1,0)</f>
        <v>1</v>
      </c>
      <c r="V2715">
        <f>IF(U2715=1,IF(COUNTIFS($C$2:C2715,C2715,$U$2:U2715,1)=1,1,0),0)</f>
        <v>0</v>
      </c>
    </row>
    <row r="2716" spans="1:22" x14ac:dyDescent="0.35">
      <c r="A2716">
        <v>12715</v>
      </c>
      <c r="B2716" s="1">
        <v>47276</v>
      </c>
      <c r="C2716">
        <v>1604</v>
      </c>
      <c r="D2716" t="s">
        <v>62</v>
      </c>
      <c r="E2716" t="s">
        <v>70</v>
      </c>
      <c r="F2716">
        <v>2</v>
      </c>
      <c r="G2716" s="2">
        <v>286.86</v>
      </c>
      <c r="H2716">
        <v>0.24</v>
      </c>
      <c r="I2716" t="s">
        <v>71</v>
      </c>
      <c r="J2716">
        <v>10</v>
      </c>
      <c r="K2716">
        <v>1.7</v>
      </c>
      <c r="L2716" s="2">
        <v>436.03</v>
      </c>
      <c r="M2716">
        <v>2029</v>
      </c>
      <c r="N2716">
        <v>6</v>
      </c>
      <c r="O2716" t="s">
        <v>169</v>
      </c>
      <c r="P2716" s="2">
        <v>573.72</v>
      </c>
      <c r="Q2716" s="2">
        <v>137.69</v>
      </c>
      <c r="R2716" t="s">
        <v>77</v>
      </c>
      <c r="S2716">
        <v>1</v>
      </c>
      <c r="T2716">
        <v>0</v>
      </c>
      <c r="U2716">
        <f>IF(AND(OR(Dashboard!$D$4="Semua",D2716=Dashboard!$D$4),OR(Dashboard!$H$4="Semua",E2716=Dashboard!$H$4)),1,0)</f>
        <v>1</v>
      </c>
      <c r="V2716">
        <f>IF(U2716=1,IF(COUNTIFS($C$2:C2716,C2716,$U$2:U2716,1)=1,1,0),0)</f>
        <v>0</v>
      </c>
    </row>
    <row r="2717" spans="1:22" x14ac:dyDescent="0.35">
      <c r="A2717">
        <v>12716</v>
      </c>
      <c r="B2717" s="1">
        <v>47277</v>
      </c>
      <c r="C2717">
        <v>1777</v>
      </c>
      <c r="D2717" t="s">
        <v>67</v>
      </c>
      <c r="E2717" t="s">
        <v>63</v>
      </c>
      <c r="F2717">
        <v>7</v>
      </c>
      <c r="G2717" s="2">
        <v>586.9</v>
      </c>
      <c r="H2717">
        <v>0.3</v>
      </c>
      <c r="I2717" t="s">
        <v>68</v>
      </c>
      <c r="J2717">
        <v>3</v>
      </c>
      <c r="K2717">
        <v>4.0999999999999996</v>
      </c>
      <c r="L2717" s="2">
        <v>2875.81</v>
      </c>
      <c r="M2717">
        <v>2029</v>
      </c>
      <c r="N2717">
        <v>6</v>
      </c>
      <c r="O2717" t="s">
        <v>169</v>
      </c>
      <c r="P2717" s="2">
        <v>4108.3</v>
      </c>
      <c r="Q2717" s="2">
        <v>1232.49</v>
      </c>
      <c r="R2717" t="s">
        <v>66</v>
      </c>
      <c r="S2717">
        <v>1</v>
      </c>
      <c r="T2717">
        <v>0</v>
      </c>
      <c r="U2717">
        <f>IF(AND(OR(Dashboard!$D$4="Semua",D2717=Dashboard!$D$4),OR(Dashboard!$H$4="Semua",E2717=Dashboard!$H$4)),1,0)</f>
        <v>1</v>
      </c>
      <c r="V2717">
        <f>IF(U2717=1,IF(COUNTIFS($C$2:C2717,C2717,$U$2:U2717,1)=1,1,0),0)</f>
        <v>0</v>
      </c>
    </row>
    <row r="2718" spans="1:22" x14ac:dyDescent="0.35">
      <c r="A2718">
        <v>12717</v>
      </c>
      <c r="B2718" s="1">
        <v>47278</v>
      </c>
      <c r="C2718">
        <v>1843</v>
      </c>
      <c r="D2718" t="s">
        <v>80</v>
      </c>
      <c r="E2718" t="s">
        <v>63</v>
      </c>
      <c r="F2718">
        <v>7</v>
      </c>
      <c r="G2718" s="2">
        <v>411.63</v>
      </c>
      <c r="H2718">
        <v>0.21</v>
      </c>
      <c r="I2718" t="s">
        <v>68</v>
      </c>
      <c r="J2718">
        <v>11</v>
      </c>
      <c r="K2718">
        <v>3.9</v>
      </c>
      <c r="L2718" s="2">
        <v>2276.31</v>
      </c>
      <c r="M2718">
        <v>2029</v>
      </c>
      <c r="N2718">
        <v>6</v>
      </c>
      <c r="O2718" t="s">
        <v>169</v>
      </c>
      <c r="P2718" s="2">
        <v>2881.41</v>
      </c>
      <c r="Q2718" s="2">
        <v>605.1</v>
      </c>
      <c r="R2718" t="s">
        <v>77</v>
      </c>
      <c r="S2718">
        <v>1</v>
      </c>
      <c r="T2718">
        <v>0</v>
      </c>
      <c r="U2718">
        <f>IF(AND(OR(Dashboard!$D$4="Semua",D2718=Dashboard!$D$4),OR(Dashboard!$H$4="Semua",E2718=Dashboard!$H$4)),1,0)</f>
        <v>1</v>
      </c>
      <c r="V2718">
        <f>IF(U2718=1,IF(COUNTIFS($C$2:C2718,C2718,$U$2:U2718,1)=1,1,0),0)</f>
        <v>0</v>
      </c>
    </row>
    <row r="2719" spans="1:22" x14ac:dyDescent="0.35">
      <c r="A2719">
        <v>12718</v>
      </c>
      <c r="B2719" s="1">
        <v>47279</v>
      </c>
      <c r="C2719">
        <v>1861</v>
      </c>
      <c r="D2719" t="s">
        <v>62</v>
      </c>
      <c r="E2719" t="s">
        <v>78</v>
      </c>
      <c r="F2719">
        <v>1</v>
      </c>
      <c r="G2719" s="2">
        <v>253.24</v>
      </c>
      <c r="H2719">
        <v>0.05</v>
      </c>
      <c r="I2719" t="s">
        <v>71</v>
      </c>
      <c r="J2719">
        <v>7</v>
      </c>
      <c r="K2719">
        <v>3.6</v>
      </c>
      <c r="L2719" s="2">
        <v>240.58</v>
      </c>
      <c r="M2719">
        <v>2029</v>
      </c>
      <c r="N2719">
        <v>6</v>
      </c>
      <c r="O2719" t="s">
        <v>169</v>
      </c>
      <c r="P2719" s="2">
        <v>253.24</v>
      </c>
      <c r="Q2719" s="2">
        <v>12.66</v>
      </c>
      <c r="R2719" t="s">
        <v>75</v>
      </c>
      <c r="S2719">
        <v>1</v>
      </c>
      <c r="T2719">
        <v>0</v>
      </c>
      <c r="U2719">
        <f>IF(AND(OR(Dashboard!$D$4="Semua",D2719=Dashboard!$D$4),OR(Dashboard!$H$4="Semua",E2719=Dashboard!$H$4)),1,0)</f>
        <v>1</v>
      </c>
      <c r="V2719">
        <f>IF(U2719=1,IF(COUNTIFS($C$2:C2719,C2719,$U$2:U2719,1)=1,1,0),0)</f>
        <v>0</v>
      </c>
    </row>
    <row r="2720" spans="1:22" x14ac:dyDescent="0.35">
      <c r="A2720">
        <v>12719</v>
      </c>
      <c r="B2720" s="1">
        <v>47280</v>
      </c>
      <c r="C2720">
        <v>1360</v>
      </c>
      <c r="D2720" t="s">
        <v>73</v>
      </c>
      <c r="E2720" t="s">
        <v>70</v>
      </c>
      <c r="F2720">
        <v>7</v>
      </c>
      <c r="G2720" s="2">
        <v>30.24</v>
      </c>
      <c r="H2720">
        <v>0.14000000000000001</v>
      </c>
      <c r="I2720" t="s">
        <v>64</v>
      </c>
      <c r="J2720">
        <v>3</v>
      </c>
      <c r="K2720">
        <v>2.7</v>
      </c>
      <c r="L2720" s="2">
        <v>182.04</v>
      </c>
      <c r="M2720">
        <v>2029</v>
      </c>
      <c r="N2720">
        <v>6</v>
      </c>
      <c r="O2720" t="s">
        <v>169</v>
      </c>
      <c r="P2720" s="2">
        <v>211.68</v>
      </c>
      <c r="Q2720" s="2">
        <v>29.64</v>
      </c>
      <c r="R2720" t="s">
        <v>79</v>
      </c>
      <c r="S2720">
        <v>1</v>
      </c>
      <c r="T2720">
        <v>0</v>
      </c>
      <c r="U2720">
        <f>IF(AND(OR(Dashboard!$D$4="Semua",D2720=Dashboard!$D$4),OR(Dashboard!$H$4="Semua",E2720=Dashboard!$H$4)),1,0)</f>
        <v>1</v>
      </c>
      <c r="V2720">
        <f>IF(U2720=1,IF(COUNTIFS($C$2:C2720,C2720,$U$2:U2720,1)=1,1,0),0)</f>
        <v>0</v>
      </c>
    </row>
    <row r="2721" spans="1:22" x14ac:dyDescent="0.35">
      <c r="A2721">
        <v>12720</v>
      </c>
      <c r="B2721" s="1">
        <v>47281</v>
      </c>
      <c r="C2721">
        <v>1256</v>
      </c>
      <c r="D2721" t="s">
        <v>73</v>
      </c>
      <c r="E2721" t="s">
        <v>63</v>
      </c>
      <c r="F2721">
        <v>1</v>
      </c>
      <c r="G2721" s="2">
        <v>345.75</v>
      </c>
      <c r="H2721">
        <v>0.34</v>
      </c>
      <c r="I2721" t="s">
        <v>64</v>
      </c>
      <c r="J2721">
        <v>6</v>
      </c>
      <c r="K2721">
        <v>2.5</v>
      </c>
      <c r="L2721" s="2">
        <v>228.19</v>
      </c>
      <c r="M2721">
        <v>2029</v>
      </c>
      <c r="N2721">
        <v>6</v>
      </c>
      <c r="O2721" t="s">
        <v>169</v>
      </c>
      <c r="P2721" s="2">
        <v>345.75</v>
      </c>
      <c r="Q2721" s="2">
        <v>117.56</v>
      </c>
      <c r="R2721" t="s">
        <v>72</v>
      </c>
      <c r="S2721">
        <v>1</v>
      </c>
      <c r="T2721">
        <v>0</v>
      </c>
      <c r="U2721">
        <f>IF(AND(OR(Dashboard!$D$4="Semua",D2721=Dashboard!$D$4),OR(Dashboard!$H$4="Semua",E2721=Dashboard!$H$4)),1,0)</f>
        <v>1</v>
      </c>
      <c r="V2721">
        <f>IF(U2721=1,IF(COUNTIFS($C$2:C2721,C2721,$U$2:U2721,1)=1,1,0),0)</f>
        <v>0</v>
      </c>
    </row>
    <row r="2722" spans="1:22" x14ac:dyDescent="0.35">
      <c r="A2722">
        <v>12721</v>
      </c>
      <c r="B2722" s="1">
        <v>47282</v>
      </c>
      <c r="C2722">
        <v>1132</v>
      </c>
      <c r="D2722" t="s">
        <v>80</v>
      </c>
      <c r="E2722" t="s">
        <v>74</v>
      </c>
      <c r="F2722">
        <v>4</v>
      </c>
      <c r="G2722" s="2">
        <v>71.2</v>
      </c>
      <c r="H2722">
        <v>0.12</v>
      </c>
      <c r="I2722" t="s">
        <v>64</v>
      </c>
      <c r="J2722">
        <v>4</v>
      </c>
      <c r="K2722">
        <v>1.3</v>
      </c>
      <c r="L2722" s="2">
        <v>250.62</v>
      </c>
      <c r="M2722">
        <v>2029</v>
      </c>
      <c r="N2722">
        <v>6</v>
      </c>
      <c r="O2722" t="s">
        <v>169</v>
      </c>
      <c r="P2722" s="2">
        <v>284.8</v>
      </c>
      <c r="Q2722" s="2">
        <v>34.18</v>
      </c>
      <c r="R2722" t="s">
        <v>79</v>
      </c>
      <c r="S2722">
        <v>1</v>
      </c>
      <c r="T2722">
        <v>0</v>
      </c>
      <c r="U2722">
        <f>IF(AND(OR(Dashboard!$D$4="Semua",D2722=Dashboard!$D$4),OR(Dashboard!$H$4="Semua",E2722=Dashboard!$H$4)),1,0)</f>
        <v>1</v>
      </c>
      <c r="V2722">
        <f>IF(U2722=1,IF(COUNTIFS($C$2:C2722,C2722,$U$2:U2722,1)=1,1,0),0)</f>
        <v>0</v>
      </c>
    </row>
    <row r="2723" spans="1:22" x14ac:dyDescent="0.35">
      <c r="A2723">
        <v>12722</v>
      </c>
      <c r="B2723" s="1">
        <v>47283</v>
      </c>
      <c r="C2723">
        <v>1275</v>
      </c>
      <c r="D2723" t="s">
        <v>73</v>
      </c>
      <c r="E2723" t="s">
        <v>70</v>
      </c>
      <c r="F2723">
        <v>7</v>
      </c>
      <c r="G2723" s="2">
        <v>503.15</v>
      </c>
      <c r="H2723">
        <v>0.3</v>
      </c>
      <c r="I2723" t="s">
        <v>68</v>
      </c>
      <c r="J2723">
        <v>6</v>
      </c>
      <c r="K2723">
        <v>2.4</v>
      </c>
      <c r="L2723" s="2">
        <v>2465.4299999999998</v>
      </c>
      <c r="M2723">
        <v>2029</v>
      </c>
      <c r="N2723">
        <v>6</v>
      </c>
      <c r="O2723" t="s">
        <v>169</v>
      </c>
      <c r="P2723" s="2">
        <v>3522.05</v>
      </c>
      <c r="Q2723" s="2">
        <v>1056.6199999999999</v>
      </c>
      <c r="R2723" t="s">
        <v>66</v>
      </c>
      <c r="S2723">
        <v>1</v>
      </c>
      <c r="T2723">
        <v>0</v>
      </c>
      <c r="U2723">
        <f>IF(AND(OR(Dashboard!$D$4="Semua",D2723=Dashboard!$D$4),OR(Dashboard!$H$4="Semua",E2723=Dashboard!$H$4)),1,0)</f>
        <v>1</v>
      </c>
      <c r="V2723">
        <f>IF(U2723=1,IF(COUNTIFS($C$2:C2723,C2723,$U$2:U2723,1)=1,1,0),0)</f>
        <v>1</v>
      </c>
    </row>
    <row r="2724" spans="1:22" x14ac:dyDescent="0.35">
      <c r="A2724">
        <v>12723</v>
      </c>
      <c r="B2724" s="1">
        <v>47284</v>
      </c>
      <c r="C2724">
        <v>1775</v>
      </c>
      <c r="D2724" t="s">
        <v>73</v>
      </c>
      <c r="E2724" t="s">
        <v>74</v>
      </c>
      <c r="F2724">
        <v>2</v>
      </c>
      <c r="G2724" s="2">
        <v>455.22</v>
      </c>
      <c r="H2724">
        <v>0.03</v>
      </c>
      <c r="I2724" t="s">
        <v>68</v>
      </c>
      <c r="J2724">
        <v>7</v>
      </c>
      <c r="K2724">
        <v>3.4</v>
      </c>
      <c r="L2724" s="2">
        <v>883.13</v>
      </c>
      <c r="M2724">
        <v>2029</v>
      </c>
      <c r="N2724">
        <v>6</v>
      </c>
      <c r="O2724" t="s">
        <v>169</v>
      </c>
      <c r="P2724" s="2">
        <v>910.44</v>
      </c>
      <c r="Q2724" s="2">
        <v>27.31</v>
      </c>
      <c r="R2724" t="s">
        <v>75</v>
      </c>
      <c r="S2724">
        <v>1</v>
      </c>
      <c r="T2724">
        <v>0</v>
      </c>
      <c r="U2724">
        <f>IF(AND(OR(Dashboard!$D$4="Semua",D2724=Dashboard!$D$4),OR(Dashboard!$H$4="Semua",E2724=Dashboard!$H$4)),1,0)</f>
        <v>1</v>
      </c>
      <c r="V2724">
        <f>IF(U2724=1,IF(COUNTIFS($C$2:C2724,C2724,$U$2:U2724,1)=1,1,0),0)</f>
        <v>0</v>
      </c>
    </row>
    <row r="2725" spans="1:22" x14ac:dyDescent="0.35">
      <c r="A2725">
        <v>12724</v>
      </c>
      <c r="B2725" s="1">
        <v>47285</v>
      </c>
      <c r="C2725">
        <v>1682</v>
      </c>
      <c r="D2725" t="s">
        <v>73</v>
      </c>
      <c r="E2725" t="s">
        <v>78</v>
      </c>
      <c r="F2725">
        <v>7</v>
      </c>
      <c r="G2725" s="2">
        <v>284.39999999999998</v>
      </c>
      <c r="H2725">
        <v>0.12</v>
      </c>
      <c r="I2725" t="s">
        <v>68</v>
      </c>
      <c r="J2725">
        <v>8</v>
      </c>
      <c r="K2725">
        <v>4.5999999999999996</v>
      </c>
      <c r="L2725" s="2">
        <v>1751.9</v>
      </c>
      <c r="M2725">
        <v>2029</v>
      </c>
      <c r="N2725">
        <v>6</v>
      </c>
      <c r="O2725" t="s">
        <v>169</v>
      </c>
      <c r="P2725" s="2">
        <v>1990.8</v>
      </c>
      <c r="Q2725" s="2">
        <v>238.9</v>
      </c>
      <c r="R2725" t="s">
        <v>79</v>
      </c>
      <c r="S2725">
        <v>1</v>
      </c>
      <c r="T2725">
        <v>0</v>
      </c>
      <c r="U2725">
        <f>IF(AND(OR(Dashboard!$D$4="Semua",D2725=Dashboard!$D$4),OR(Dashboard!$H$4="Semua",E2725=Dashboard!$H$4)),1,0)</f>
        <v>1</v>
      </c>
      <c r="V2725">
        <f>IF(U2725=1,IF(COUNTIFS($C$2:C2725,C2725,$U$2:U2725,1)=1,1,0),0)</f>
        <v>0</v>
      </c>
    </row>
    <row r="2726" spans="1:22" x14ac:dyDescent="0.35">
      <c r="A2726">
        <v>12725</v>
      </c>
      <c r="B2726" s="1">
        <v>47286</v>
      </c>
      <c r="C2726">
        <v>1971</v>
      </c>
      <c r="D2726" t="s">
        <v>73</v>
      </c>
      <c r="E2726" t="s">
        <v>74</v>
      </c>
      <c r="F2726">
        <v>6</v>
      </c>
      <c r="G2726" s="2">
        <v>266.08999999999997</v>
      </c>
      <c r="H2726">
        <v>0.12</v>
      </c>
      <c r="I2726" t="s">
        <v>68</v>
      </c>
      <c r="J2726">
        <v>6</v>
      </c>
      <c r="K2726">
        <v>4.3</v>
      </c>
      <c r="L2726" s="2">
        <v>1404.96</v>
      </c>
      <c r="M2726">
        <v>2029</v>
      </c>
      <c r="N2726">
        <v>6</v>
      </c>
      <c r="O2726" t="s">
        <v>169</v>
      </c>
      <c r="P2726" s="2">
        <v>1596.54</v>
      </c>
      <c r="Q2726" s="2">
        <v>191.58</v>
      </c>
      <c r="R2726" t="s">
        <v>79</v>
      </c>
      <c r="S2726">
        <v>1</v>
      </c>
      <c r="T2726">
        <v>0</v>
      </c>
      <c r="U2726">
        <f>IF(AND(OR(Dashboard!$D$4="Semua",D2726=Dashboard!$D$4),OR(Dashboard!$H$4="Semua",E2726=Dashboard!$H$4)),1,0)</f>
        <v>1</v>
      </c>
      <c r="V2726">
        <f>IF(U2726=1,IF(COUNTIFS($C$2:C2726,C2726,$U$2:U2726,1)=1,1,0),0)</f>
        <v>0</v>
      </c>
    </row>
    <row r="2727" spans="1:22" x14ac:dyDescent="0.35">
      <c r="A2727">
        <v>12726</v>
      </c>
      <c r="B2727" s="1">
        <v>47287</v>
      </c>
      <c r="C2727">
        <v>1512</v>
      </c>
      <c r="D2727" t="s">
        <v>80</v>
      </c>
      <c r="E2727" t="s">
        <v>70</v>
      </c>
      <c r="F2727">
        <v>5</v>
      </c>
      <c r="G2727" s="2">
        <v>539.94000000000005</v>
      </c>
      <c r="H2727">
        <v>0.02</v>
      </c>
      <c r="I2727" t="s">
        <v>68</v>
      </c>
      <c r="J2727">
        <v>4</v>
      </c>
      <c r="K2727">
        <v>1.1000000000000001</v>
      </c>
      <c r="L2727" s="2">
        <v>2645.71</v>
      </c>
      <c r="M2727">
        <v>2029</v>
      </c>
      <c r="N2727">
        <v>6</v>
      </c>
      <c r="O2727" t="s">
        <v>169</v>
      </c>
      <c r="P2727" s="2">
        <v>2699.7</v>
      </c>
      <c r="Q2727" s="2">
        <v>53.99</v>
      </c>
      <c r="R2727" t="s">
        <v>75</v>
      </c>
      <c r="S2727">
        <v>1</v>
      </c>
      <c r="T2727">
        <v>0</v>
      </c>
      <c r="U2727">
        <f>IF(AND(OR(Dashboard!$D$4="Semua",D2727=Dashboard!$D$4),OR(Dashboard!$H$4="Semua",E2727=Dashboard!$H$4)),1,0)</f>
        <v>1</v>
      </c>
      <c r="V2727">
        <f>IF(U2727=1,IF(COUNTIFS($C$2:C2727,C2727,$U$2:U2727,1)=1,1,0),0)</f>
        <v>0</v>
      </c>
    </row>
    <row r="2728" spans="1:22" x14ac:dyDescent="0.35">
      <c r="A2728">
        <v>12727</v>
      </c>
      <c r="B2728" s="1">
        <v>47288</v>
      </c>
      <c r="C2728">
        <v>1312</v>
      </c>
      <c r="D2728" t="s">
        <v>73</v>
      </c>
      <c r="E2728" t="s">
        <v>63</v>
      </c>
      <c r="F2728">
        <v>2</v>
      </c>
      <c r="G2728" s="2">
        <v>183.75</v>
      </c>
      <c r="H2728">
        <v>0.04</v>
      </c>
      <c r="I2728" t="s">
        <v>71</v>
      </c>
      <c r="J2728">
        <v>9</v>
      </c>
      <c r="K2728">
        <v>1.6</v>
      </c>
      <c r="L2728" s="2">
        <v>352.8</v>
      </c>
      <c r="M2728">
        <v>2029</v>
      </c>
      <c r="N2728">
        <v>6</v>
      </c>
      <c r="O2728" t="s">
        <v>169</v>
      </c>
      <c r="P2728" s="2">
        <v>367.5</v>
      </c>
      <c r="Q2728" s="2">
        <v>14.7</v>
      </c>
      <c r="R2728" t="s">
        <v>75</v>
      </c>
      <c r="S2728">
        <v>1</v>
      </c>
      <c r="T2728">
        <v>0</v>
      </c>
      <c r="U2728">
        <f>IF(AND(OR(Dashboard!$D$4="Semua",D2728=Dashboard!$D$4),OR(Dashboard!$H$4="Semua",E2728=Dashboard!$H$4)),1,0)</f>
        <v>1</v>
      </c>
      <c r="V2728">
        <f>IF(U2728=1,IF(COUNTIFS($C$2:C2728,C2728,$U$2:U2728,1)=1,1,0),0)</f>
        <v>0</v>
      </c>
    </row>
    <row r="2729" spans="1:22" x14ac:dyDescent="0.35">
      <c r="A2729">
        <v>12728</v>
      </c>
      <c r="B2729" s="1">
        <v>47289</v>
      </c>
      <c r="C2729">
        <v>1575</v>
      </c>
      <c r="D2729" t="s">
        <v>67</v>
      </c>
      <c r="E2729" t="s">
        <v>63</v>
      </c>
      <c r="F2729">
        <v>7</v>
      </c>
      <c r="G2729" s="2">
        <v>160.68</v>
      </c>
      <c r="H2729">
        <v>7.0000000000000007E-2</v>
      </c>
      <c r="I2729" t="s">
        <v>71</v>
      </c>
      <c r="J2729">
        <v>7</v>
      </c>
      <c r="K2729">
        <v>4.4000000000000004</v>
      </c>
      <c r="L2729" s="2">
        <v>1046.03</v>
      </c>
      <c r="M2729">
        <v>2029</v>
      </c>
      <c r="N2729">
        <v>6</v>
      </c>
      <c r="O2729" t="s">
        <v>169</v>
      </c>
      <c r="P2729" s="2">
        <v>1124.76</v>
      </c>
      <c r="Q2729" s="2">
        <v>78.73</v>
      </c>
      <c r="R2729" t="s">
        <v>69</v>
      </c>
      <c r="S2729">
        <v>1</v>
      </c>
      <c r="T2729">
        <v>0</v>
      </c>
      <c r="U2729">
        <f>IF(AND(OR(Dashboard!$D$4="Semua",D2729=Dashboard!$D$4),OR(Dashboard!$H$4="Semua",E2729=Dashboard!$H$4)),1,0)</f>
        <v>1</v>
      </c>
      <c r="V2729">
        <f>IF(U2729=1,IF(COUNTIFS($C$2:C2729,C2729,$U$2:U2729,1)=1,1,0),0)</f>
        <v>0</v>
      </c>
    </row>
    <row r="2730" spans="1:22" x14ac:dyDescent="0.35">
      <c r="A2730">
        <v>12729</v>
      </c>
      <c r="B2730" s="1">
        <v>47290</v>
      </c>
      <c r="C2730">
        <v>1885</v>
      </c>
      <c r="D2730" t="s">
        <v>67</v>
      </c>
      <c r="E2730" t="s">
        <v>70</v>
      </c>
      <c r="F2730">
        <v>2</v>
      </c>
      <c r="G2730" s="2">
        <v>564.42999999999995</v>
      </c>
      <c r="H2730">
        <v>0.28999999999999998</v>
      </c>
      <c r="I2730" t="s">
        <v>64</v>
      </c>
      <c r="J2730">
        <v>9</v>
      </c>
      <c r="K2730">
        <v>4.8</v>
      </c>
      <c r="L2730" s="2">
        <v>801.49</v>
      </c>
      <c r="M2730">
        <v>2029</v>
      </c>
      <c r="N2730">
        <v>6</v>
      </c>
      <c r="O2730" t="s">
        <v>169</v>
      </c>
      <c r="P2730" s="2">
        <v>1128.8599999999999</v>
      </c>
      <c r="Q2730" s="2">
        <v>327.37</v>
      </c>
      <c r="R2730" t="s">
        <v>66</v>
      </c>
      <c r="S2730">
        <v>1</v>
      </c>
      <c r="T2730">
        <v>0</v>
      </c>
      <c r="U2730">
        <f>IF(AND(OR(Dashboard!$D$4="Semua",D2730=Dashboard!$D$4),OR(Dashboard!$H$4="Semua",E2730=Dashboard!$H$4)),1,0)</f>
        <v>1</v>
      </c>
      <c r="V2730">
        <f>IF(U2730=1,IF(COUNTIFS($C$2:C2730,C2730,$U$2:U2730,1)=1,1,0),0)</f>
        <v>0</v>
      </c>
    </row>
    <row r="2731" spans="1:22" x14ac:dyDescent="0.35">
      <c r="A2731">
        <v>12730</v>
      </c>
      <c r="B2731" s="1">
        <v>47291</v>
      </c>
      <c r="C2731">
        <v>1979</v>
      </c>
      <c r="D2731" t="s">
        <v>67</v>
      </c>
      <c r="E2731" t="s">
        <v>63</v>
      </c>
      <c r="F2731">
        <v>1</v>
      </c>
      <c r="G2731" s="2">
        <v>488.41</v>
      </c>
      <c r="H2731">
        <v>0.02</v>
      </c>
      <c r="I2731" t="s">
        <v>64</v>
      </c>
      <c r="J2731">
        <v>3</v>
      </c>
      <c r="K2731">
        <v>1.2</v>
      </c>
      <c r="L2731" s="2">
        <v>478.64</v>
      </c>
      <c r="M2731">
        <v>2029</v>
      </c>
      <c r="N2731">
        <v>6</v>
      </c>
      <c r="O2731" t="s">
        <v>169</v>
      </c>
      <c r="P2731" s="2">
        <v>488.41</v>
      </c>
      <c r="Q2731" s="2">
        <v>9.77</v>
      </c>
      <c r="R2731" t="s">
        <v>75</v>
      </c>
      <c r="S2731">
        <v>1</v>
      </c>
      <c r="T2731">
        <v>0</v>
      </c>
      <c r="U2731">
        <f>IF(AND(OR(Dashboard!$D$4="Semua",D2731=Dashboard!$D$4),OR(Dashboard!$H$4="Semua",E2731=Dashboard!$H$4)),1,0)</f>
        <v>1</v>
      </c>
      <c r="V2731">
        <f>IF(U2731=1,IF(COUNTIFS($C$2:C2731,C2731,$U$2:U2731,1)=1,1,0),0)</f>
        <v>1</v>
      </c>
    </row>
    <row r="2732" spans="1:22" x14ac:dyDescent="0.35">
      <c r="A2732">
        <v>12731</v>
      </c>
      <c r="B2732" s="1">
        <v>47292</v>
      </c>
      <c r="C2732">
        <v>1283</v>
      </c>
      <c r="D2732" t="s">
        <v>73</v>
      </c>
      <c r="E2732" t="s">
        <v>74</v>
      </c>
      <c r="F2732">
        <v>4</v>
      </c>
      <c r="G2732" s="2">
        <v>495.07</v>
      </c>
      <c r="H2732">
        <v>0.1</v>
      </c>
      <c r="I2732" t="s">
        <v>68</v>
      </c>
      <c r="J2732">
        <v>5</v>
      </c>
      <c r="K2732">
        <v>3.8</v>
      </c>
      <c r="L2732" s="2">
        <v>1782.25</v>
      </c>
      <c r="M2732">
        <v>2029</v>
      </c>
      <c r="N2732">
        <v>6</v>
      </c>
      <c r="O2732" t="s">
        <v>169</v>
      </c>
      <c r="P2732" s="2">
        <v>1980.28</v>
      </c>
      <c r="Q2732" s="2">
        <v>198.03</v>
      </c>
      <c r="R2732" t="s">
        <v>69</v>
      </c>
      <c r="S2732">
        <v>1</v>
      </c>
      <c r="T2732">
        <v>0</v>
      </c>
      <c r="U2732">
        <f>IF(AND(OR(Dashboard!$D$4="Semua",D2732=Dashboard!$D$4),OR(Dashboard!$H$4="Semua",E2732=Dashboard!$H$4)),1,0)</f>
        <v>1</v>
      </c>
      <c r="V2732">
        <f>IF(U2732=1,IF(COUNTIFS($C$2:C2732,C2732,$U$2:U2732,1)=1,1,0),0)</f>
        <v>0</v>
      </c>
    </row>
    <row r="2733" spans="1:22" x14ac:dyDescent="0.35">
      <c r="A2733">
        <v>12732</v>
      </c>
      <c r="B2733" s="1">
        <v>47293</v>
      </c>
      <c r="C2733">
        <v>1120</v>
      </c>
      <c r="D2733" t="s">
        <v>80</v>
      </c>
      <c r="E2733" t="s">
        <v>63</v>
      </c>
      <c r="F2733">
        <v>4</v>
      </c>
      <c r="G2733" s="2">
        <v>129.19</v>
      </c>
      <c r="H2733">
        <v>0</v>
      </c>
      <c r="I2733" t="s">
        <v>64</v>
      </c>
      <c r="J2733">
        <v>1</v>
      </c>
      <c r="K2733">
        <v>2.5</v>
      </c>
      <c r="L2733" s="2">
        <v>516.76</v>
      </c>
      <c r="M2733">
        <v>2029</v>
      </c>
      <c r="N2733">
        <v>6</v>
      </c>
      <c r="O2733" t="s">
        <v>169</v>
      </c>
      <c r="P2733" s="2">
        <v>516.76</v>
      </c>
      <c r="Q2733" s="2">
        <v>0</v>
      </c>
      <c r="R2733" t="s">
        <v>75</v>
      </c>
      <c r="S2733">
        <v>1</v>
      </c>
      <c r="T2733">
        <v>0</v>
      </c>
      <c r="U2733">
        <f>IF(AND(OR(Dashboard!$D$4="Semua",D2733=Dashboard!$D$4),OR(Dashboard!$H$4="Semua",E2733=Dashboard!$H$4)),1,0)</f>
        <v>1</v>
      </c>
      <c r="V2733">
        <f>IF(U2733=1,IF(COUNTIFS($C$2:C2733,C2733,$U$2:U2733,1)=1,1,0),0)</f>
        <v>0</v>
      </c>
    </row>
    <row r="2734" spans="1:22" x14ac:dyDescent="0.35">
      <c r="A2734">
        <v>12733</v>
      </c>
      <c r="B2734" s="1">
        <v>47294</v>
      </c>
      <c r="C2734">
        <v>1106</v>
      </c>
      <c r="D2734" t="s">
        <v>73</v>
      </c>
      <c r="E2734" t="s">
        <v>63</v>
      </c>
      <c r="F2734">
        <v>2</v>
      </c>
      <c r="G2734" s="2">
        <v>98.83</v>
      </c>
      <c r="H2734">
        <v>0.24</v>
      </c>
      <c r="I2734" t="s">
        <v>71</v>
      </c>
      <c r="J2734">
        <v>11</v>
      </c>
      <c r="K2734">
        <v>2.5</v>
      </c>
      <c r="L2734" s="2">
        <v>150.22</v>
      </c>
      <c r="M2734">
        <v>2029</v>
      </c>
      <c r="N2734">
        <v>6</v>
      </c>
      <c r="O2734" t="s">
        <v>169</v>
      </c>
      <c r="P2734" s="2">
        <v>197.66</v>
      </c>
      <c r="Q2734" s="2">
        <v>47.44</v>
      </c>
      <c r="R2734" t="s">
        <v>77</v>
      </c>
      <c r="S2734">
        <v>1</v>
      </c>
      <c r="T2734">
        <v>0</v>
      </c>
      <c r="U2734">
        <f>IF(AND(OR(Dashboard!$D$4="Semua",D2734=Dashboard!$D$4),OR(Dashboard!$H$4="Semua",E2734=Dashboard!$H$4)),1,0)</f>
        <v>1</v>
      </c>
      <c r="V2734">
        <f>IF(U2734=1,IF(COUNTIFS($C$2:C2734,C2734,$U$2:U2734,1)=1,1,0),0)</f>
        <v>0</v>
      </c>
    </row>
    <row r="2735" spans="1:22" x14ac:dyDescent="0.35">
      <c r="A2735">
        <v>12734</v>
      </c>
      <c r="B2735" s="1">
        <v>47295</v>
      </c>
      <c r="C2735">
        <v>1932</v>
      </c>
      <c r="D2735" t="s">
        <v>80</v>
      </c>
      <c r="E2735" t="s">
        <v>74</v>
      </c>
      <c r="F2735">
        <v>2</v>
      </c>
      <c r="G2735" s="2">
        <v>30.23</v>
      </c>
      <c r="H2735">
        <v>0.22</v>
      </c>
      <c r="I2735" t="s">
        <v>71</v>
      </c>
      <c r="J2735">
        <v>8</v>
      </c>
      <c r="K2735">
        <v>3.6</v>
      </c>
      <c r="L2735" s="2">
        <v>47.16</v>
      </c>
      <c r="M2735">
        <v>2029</v>
      </c>
      <c r="N2735">
        <v>6</v>
      </c>
      <c r="O2735" t="s">
        <v>169</v>
      </c>
      <c r="P2735" s="2">
        <v>60.46</v>
      </c>
      <c r="Q2735" s="2">
        <v>13.3</v>
      </c>
      <c r="R2735" t="s">
        <v>77</v>
      </c>
      <c r="S2735">
        <v>1</v>
      </c>
      <c r="T2735">
        <v>0</v>
      </c>
      <c r="U2735">
        <f>IF(AND(OR(Dashboard!$D$4="Semua",D2735=Dashboard!$D$4),OR(Dashboard!$H$4="Semua",E2735=Dashboard!$H$4)),1,0)</f>
        <v>1</v>
      </c>
      <c r="V2735">
        <f>IF(U2735=1,IF(COUNTIFS($C$2:C2735,C2735,$U$2:U2735,1)=1,1,0),0)</f>
        <v>1</v>
      </c>
    </row>
    <row r="2736" spans="1:22" x14ac:dyDescent="0.35">
      <c r="A2736">
        <v>12735</v>
      </c>
      <c r="B2736" s="1">
        <v>47296</v>
      </c>
      <c r="C2736">
        <v>1686</v>
      </c>
      <c r="D2736" t="s">
        <v>62</v>
      </c>
      <c r="E2736" t="s">
        <v>74</v>
      </c>
      <c r="F2736">
        <v>7</v>
      </c>
      <c r="G2736" s="2">
        <v>153.66999999999999</v>
      </c>
      <c r="H2736">
        <v>0.23</v>
      </c>
      <c r="I2736" t="s">
        <v>71</v>
      </c>
      <c r="J2736">
        <v>1</v>
      </c>
      <c r="K2736">
        <v>4.2</v>
      </c>
      <c r="L2736" s="2">
        <v>828.28</v>
      </c>
      <c r="M2736">
        <v>2029</v>
      </c>
      <c r="N2736">
        <v>6</v>
      </c>
      <c r="O2736" t="s">
        <v>169</v>
      </c>
      <c r="P2736" s="2">
        <v>1075.69</v>
      </c>
      <c r="Q2736" s="2">
        <v>247.41</v>
      </c>
      <c r="R2736" t="s">
        <v>77</v>
      </c>
      <c r="S2736">
        <v>1</v>
      </c>
      <c r="T2736">
        <v>0</v>
      </c>
      <c r="U2736">
        <f>IF(AND(OR(Dashboard!$D$4="Semua",D2736=Dashboard!$D$4),OR(Dashboard!$H$4="Semua",E2736=Dashboard!$H$4)),1,0)</f>
        <v>1</v>
      </c>
      <c r="V2736">
        <f>IF(U2736=1,IF(COUNTIFS($C$2:C2736,C2736,$U$2:U2736,1)=1,1,0),0)</f>
        <v>0</v>
      </c>
    </row>
    <row r="2737" spans="1:22" x14ac:dyDescent="0.35">
      <c r="A2737">
        <v>12736</v>
      </c>
      <c r="B2737" s="1">
        <v>47297</v>
      </c>
      <c r="C2737">
        <v>1996</v>
      </c>
      <c r="D2737" t="s">
        <v>67</v>
      </c>
      <c r="E2737" t="s">
        <v>74</v>
      </c>
      <c r="F2737">
        <v>3</v>
      </c>
      <c r="G2737" s="2">
        <v>467.9</v>
      </c>
      <c r="H2737">
        <v>0.13</v>
      </c>
      <c r="I2737" t="s">
        <v>68</v>
      </c>
      <c r="J2737">
        <v>1</v>
      </c>
      <c r="K2737">
        <v>2.1</v>
      </c>
      <c r="L2737" s="2">
        <v>1221.22</v>
      </c>
      <c r="M2737">
        <v>2029</v>
      </c>
      <c r="N2737">
        <v>6</v>
      </c>
      <c r="O2737" t="s">
        <v>169</v>
      </c>
      <c r="P2737" s="2">
        <v>1403.7</v>
      </c>
      <c r="Q2737" s="2">
        <v>182.48</v>
      </c>
      <c r="R2737" t="s">
        <v>79</v>
      </c>
      <c r="S2737">
        <v>1</v>
      </c>
      <c r="T2737">
        <v>0</v>
      </c>
      <c r="U2737">
        <f>IF(AND(OR(Dashboard!$D$4="Semua",D2737=Dashboard!$D$4),OR(Dashboard!$H$4="Semua",E2737=Dashboard!$H$4)),1,0)</f>
        <v>1</v>
      </c>
      <c r="V2737">
        <f>IF(U2737=1,IF(COUNTIFS($C$2:C2737,C2737,$U$2:U2737,1)=1,1,0),0)</f>
        <v>0</v>
      </c>
    </row>
    <row r="2738" spans="1:22" x14ac:dyDescent="0.35">
      <c r="A2738">
        <v>12737</v>
      </c>
      <c r="B2738" s="1">
        <v>47298</v>
      </c>
      <c r="C2738">
        <v>1203</v>
      </c>
      <c r="D2738" t="s">
        <v>67</v>
      </c>
      <c r="E2738" t="s">
        <v>78</v>
      </c>
      <c r="F2738">
        <v>6</v>
      </c>
      <c r="G2738" s="2">
        <v>155.41999999999999</v>
      </c>
      <c r="H2738">
        <v>7.0000000000000007E-2</v>
      </c>
      <c r="I2738" t="s">
        <v>64</v>
      </c>
      <c r="J2738">
        <v>7</v>
      </c>
      <c r="K2738">
        <v>3.8</v>
      </c>
      <c r="L2738" s="2">
        <v>867.24</v>
      </c>
      <c r="M2738">
        <v>2029</v>
      </c>
      <c r="N2738">
        <v>6</v>
      </c>
      <c r="O2738" t="s">
        <v>169</v>
      </c>
      <c r="P2738" s="2">
        <v>932.52</v>
      </c>
      <c r="Q2738" s="2">
        <v>65.28</v>
      </c>
      <c r="R2738" t="s">
        <v>69</v>
      </c>
      <c r="S2738">
        <v>1</v>
      </c>
      <c r="T2738">
        <v>0</v>
      </c>
      <c r="U2738">
        <f>IF(AND(OR(Dashboard!$D$4="Semua",D2738=Dashboard!$D$4),OR(Dashboard!$H$4="Semua",E2738=Dashboard!$H$4)),1,0)</f>
        <v>1</v>
      </c>
      <c r="V2738">
        <f>IF(U2738=1,IF(COUNTIFS($C$2:C2738,C2738,$U$2:U2738,1)=1,1,0),0)</f>
        <v>0</v>
      </c>
    </row>
    <row r="2739" spans="1:22" x14ac:dyDescent="0.35">
      <c r="A2739">
        <v>12738</v>
      </c>
      <c r="B2739" s="1">
        <v>47299</v>
      </c>
      <c r="C2739">
        <v>1164</v>
      </c>
      <c r="D2739" t="s">
        <v>67</v>
      </c>
      <c r="E2739" t="s">
        <v>74</v>
      </c>
      <c r="F2739">
        <v>1</v>
      </c>
      <c r="G2739" s="2">
        <v>441.53</v>
      </c>
      <c r="H2739">
        <v>0.25</v>
      </c>
      <c r="I2739" t="s">
        <v>71</v>
      </c>
      <c r="J2739">
        <v>11</v>
      </c>
      <c r="K2739">
        <v>3.5</v>
      </c>
      <c r="L2739" s="2">
        <v>331.15</v>
      </c>
      <c r="M2739">
        <v>2029</v>
      </c>
      <c r="N2739">
        <v>6</v>
      </c>
      <c r="O2739" t="s">
        <v>169</v>
      </c>
      <c r="P2739" s="2">
        <v>441.53</v>
      </c>
      <c r="Q2739" s="2">
        <v>110.38</v>
      </c>
      <c r="R2739" t="s">
        <v>77</v>
      </c>
      <c r="S2739">
        <v>1</v>
      </c>
      <c r="T2739">
        <v>0</v>
      </c>
      <c r="U2739">
        <f>IF(AND(OR(Dashboard!$D$4="Semua",D2739=Dashboard!$D$4),OR(Dashboard!$H$4="Semua",E2739=Dashboard!$H$4)),1,0)</f>
        <v>1</v>
      </c>
      <c r="V2739">
        <f>IF(U2739=1,IF(COUNTIFS($C$2:C2739,C2739,$U$2:U2739,1)=1,1,0),0)</f>
        <v>0</v>
      </c>
    </row>
    <row r="2740" spans="1:22" x14ac:dyDescent="0.35">
      <c r="A2740">
        <v>12739</v>
      </c>
      <c r="B2740" s="1">
        <v>47300</v>
      </c>
      <c r="C2740">
        <v>1304</v>
      </c>
      <c r="D2740" t="s">
        <v>67</v>
      </c>
      <c r="E2740" t="s">
        <v>74</v>
      </c>
      <c r="F2740">
        <v>6</v>
      </c>
      <c r="G2740" s="2">
        <v>162.37</v>
      </c>
      <c r="H2740">
        <v>0.28000000000000003</v>
      </c>
      <c r="I2740" t="s">
        <v>64</v>
      </c>
      <c r="J2740">
        <v>8</v>
      </c>
      <c r="K2740">
        <v>3.1</v>
      </c>
      <c r="L2740" s="2">
        <v>701.44</v>
      </c>
      <c r="M2740">
        <v>2029</v>
      </c>
      <c r="N2740">
        <v>7</v>
      </c>
      <c r="O2740" t="s">
        <v>170</v>
      </c>
      <c r="P2740" s="2">
        <v>974.22</v>
      </c>
      <c r="Q2740" s="2">
        <v>272.77999999999997</v>
      </c>
      <c r="R2740" t="s">
        <v>66</v>
      </c>
      <c r="S2740">
        <v>1</v>
      </c>
      <c r="T2740">
        <v>0</v>
      </c>
      <c r="U2740">
        <f>IF(AND(OR(Dashboard!$D$4="Semua",D2740=Dashboard!$D$4),OR(Dashboard!$H$4="Semua",E2740=Dashboard!$H$4)),1,0)</f>
        <v>1</v>
      </c>
      <c r="V2740">
        <f>IF(U2740=1,IF(COUNTIFS($C$2:C2740,C2740,$U$2:U2740,1)=1,1,0),0)</f>
        <v>0</v>
      </c>
    </row>
    <row r="2741" spans="1:22" x14ac:dyDescent="0.35">
      <c r="A2741">
        <v>12740</v>
      </c>
      <c r="B2741" s="1">
        <v>47301</v>
      </c>
      <c r="C2741">
        <v>1496</v>
      </c>
      <c r="D2741" t="s">
        <v>62</v>
      </c>
      <c r="E2741" t="s">
        <v>78</v>
      </c>
      <c r="F2741">
        <v>5</v>
      </c>
      <c r="G2741" s="2">
        <v>246.25</v>
      </c>
      <c r="H2741">
        <v>0.05</v>
      </c>
      <c r="I2741" t="s">
        <v>64</v>
      </c>
      <c r="J2741">
        <v>3</v>
      </c>
      <c r="K2741">
        <v>3.4</v>
      </c>
      <c r="L2741" s="2">
        <v>1169.69</v>
      </c>
      <c r="M2741">
        <v>2029</v>
      </c>
      <c r="N2741">
        <v>7</v>
      </c>
      <c r="O2741" t="s">
        <v>170</v>
      </c>
      <c r="P2741" s="2">
        <v>1231.25</v>
      </c>
      <c r="Q2741" s="2">
        <v>61.56</v>
      </c>
      <c r="R2741" t="s">
        <v>75</v>
      </c>
      <c r="S2741">
        <v>1</v>
      </c>
      <c r="T2741">
        <v>0</v>
      </c>
      <c r="U2741">
        <f>IF(AND(OR(Dashboard!$D$4="Semua",D2741=Dashboard!$D$4),OR(Dashboard!$H$4="Semua",E2741=Dashboard!$H$4)),1,0)</f>
        <v>1</v>
      </c>
      <c r="V2741">
        <f>IF(U2741=1,IF(COUNTIFS($C$2:C2741,C2741,$U$2:U2741,1)=1,1,0),0)</f>
        <v>0</v>
      </c>
    </row>
    <row r="2742" spans="1:22" x14ac:dyDescent="0.35">
      <c r="A2742">
        <v>12741</v>
      </c>
      <c r="B2742" s="1">
        <v>47302</v>
      </c>
      <c r="C2742">
        <v>1631</v>
      </c>
      <c r="D2742" t="s">
        <v>62</v>
      </c>
      <c r="E2742" t="s">
        <v>63</v>
      </c>
      <c r="F2742">
        <v>5</v>
      </c>
      <c r="G2742" s="2">
        <v>590.15</v>
      </c>
      <c r="H2742">
        <v>0.17</v>
      </c>
      <c r="I2742" t="s">
        <v>71</v>
      </c>
      <c r="J2742">
        <v>2</v>
      </c>
      <c r="K2742">
        <v>1.1000000000000001</v>
      </c>
      <c r="L2742" s="2">
        <v>2449.12</v>
      </c>
      <c r="M2742">
        <v>2029</v>
      </c>
      <c r="N2742">
        <v>7</v>
      </c>
      <c r="O2742" t="s">
        <v>170</v>
      </c>
      <c r="P2742" s="2">
        <v>2950.75</v>
      </c>
      <c r="Q2742" s="2">
        <v>501.63</v>
      </c>
      <c r="R2742" t="s">
        <v>76</v>
      </c>
      <c r="S2742">
        <v>1</v>
      </c>
      <c r="T2742">
        <v>0</v>
      </c>
      <c r="U2742">
        <f>IF(AND(OR(Dashboard!$D$4="Semua",D2742=Dashboard!$D$4),OR(Dashboard!$H$4="Semua",E2742=Dashboard!$H$4)),1,0)</f>
        <v>1</v>
      </c>
      <c r="V2742">
        <f>IF(U2742=1,IF(COUNTIFS($C$2:C2742,C2742,$U$2:U2742,1)=1,1,0),0)</f>
        <v>0</v>
      </c>
    </row>
    <row r="2743" spans="1:22" x14ac:dyDescent="0.35">
      <c r="A2743">
        <v>12742</v>
      </c>
      <c r="B2743" s="1">
        <v>47303</v>
      </c>
      <c r="C2743">
        <v>1555</v>
      </c>
      <c r="D2743" t="s">
        <v>73</v>
      </c>
      <c r="E2743" t="s">
        <v>74</v>
      </c>
      <c r="F2743">
        <v>4</v>
      </c>
      <c r="G2743" s="2">
        <v>158.21</v>
      </c>
      <c r="H2743">
        <v>0.09</v>
      </c>
      <c r="I2743" t="s">
        <v>68</v>
      </c>
      <c r="J2743">
        <v>7</v>
      </c>
      <c r="K2743">
        <v>1</v>
      </c>
      <c r="L2743" s="2">
        <v>575.88</v>
      </c>
      <c r="M2743">
        <v>2029</v>
      </c>
      <c r="N2743">
        <v>7</v>
      </c>
      <c r="O2743" t="s">
        <v>170</v>
      </c>
      <c r="P2743" s="2">
        <v>632.84</v>
      </c>
      <c r="Q2743" s="2">
        <v>56.96</v>
      </c>
      <c r="R2743" t="s">
        <v>69</v>
      </c>
      <c r="S2743">
        <v>1</v>
      </c>
      <c r="T2743">
        <v>0</v>
      </c>
      <c r="U2743">
        <f>IF(AND(OR(Dashboard!$D$4="Semua",D2743=Dashboard!$D$4),OR(Dashboard!$H$4="Semua",E2743=Dashboard!$H$4)),1,0)</f>
        <v>1</v>
      </c>
      <c r="V2743">
        <f>IF(U2743=1,IF(COUNTIFS($C$2:C2743,C2743,$U$2:U2743,1)=1,1,0),0)</f>
        <v>0</v>
      </c>
    </row>
    <row r="2744" spans="1:22" x14ac:dyDescent="0.35">
      <c r="A2744">
        <v>12743</v>
      </c>
      <c r="B2744" s="1">
        <v>47304</v>
      </c>
      <c r="C2744">
        <v>1823</v>
      </c>
      <c r="D2744" t="s">
        <v>67</v>
      </c>
      <c r="E2744" t="s">
        <v>70</v>
      </c>
      <c r="F2744">
        <v>1</v>
      </c>
      <c r="G2744" s="2">
        <v>235.18</v>
      </c>
      <c r="H2744">
        <v>0.06</v>
      </c>
      <c r="I2744" t="s">
        <v>68</v>
      </c>
      <c r="J2744">
        <v>10</v>
      </c>
      <c r="K2744">
        <v>3.2</v>
      </c>
      <c r="L2744" s="2">
        <v>221.07</v>
      </c>
      <c r="M2744">
        <v>2029</v>
      </c>
      <c r="N2744">
        <v>7</v>
      </c>
      <c r="O2744" t="s">
        <v>170</v>
      </c>
      <c r="P2744" s="2">
        <v>235.18</v>
      </c>
      <c r="Q2744" s="2">
        <v>14.11</v>
      </c>
      <c r="R2744" t="s">
        <v>69</v>
      </c>
      <c r="S2744">
        <v>1</v>
      </c>
      <c r="T2744">
        <v>0</v>
      </c>
      <c r="U2744">
        <f>IF(AND(OR(Dashboard!$D$4="Semua",D2744=Dashboard!$D$4),OR(Dashboard!$H$4="Semua",E2744=Dashboard!$H$4)),1,0)</f>
        <v>1</v>
      </c>
      <c r="V2744">
        <f>IF(U2744=1,IF(COUNTIFS($C$2:C2744,C2744,$U$2:U2744,1)=1,1,0),0)</f>
        <v>0</v>
      </c>
    </row>
    <row r="2745" spans="1:22" x14ac:dyDescent="0.35">
      <c r="A2745">
        <v>12744</v>
      </c>
      <c r="B2745" s="1">
        <v>47305</v>
      </c>
      <c r="C2745">
        <v>1155</v>
      </c>
      <c r="D2745" t="s">
        <v>62</v>
      </c>
      <c r="E2745" t="s">
        <v>74</v>
      </c>
      <c r="F2745">
        <v>6</v>
      </c>
      <c r="G2745" s="2">
        <v>191.14</v>
      </c>
      <c r="H2745">
        <v>0.26</v>
      </c>
      <c r="I2745" t="s">
        <v>68</v>
      </c>
      <c r="J2745">
        <v>5</v>
      </c>
      <c r="K2745">
        <v>3.1</v>
      </c>
      <c r="L2745" s="2">
        <v>848.66</v>
      </c>
      <c r="M2745">
        <v>2029</v>
      </c>
      <c r="N2745">
        <v>7</v>
      </c>
      <c r="O2745" t="s">
        <v>170</v>
      </c>
      <c r="P2745" s="2">
        <v>1146.8399999999999</v>
      </c>
      <c r="Q2745" s="2">
        <v>298.18</v>
      </c>
      <c r="R2745" t="s">
        <v>66</v>
      </c>
      <c r="S2745">
        <v>1</v>
      </c>
      <c r="T2745">
        <v>0</v>
      </c>
      <c r="U2745">
        <f>IF(AND(OR(Dashboard!$D$4="Semua",D2745=Dashboard!$D$4),OR(Dashboard!$H$4="Semua",E2745=Dashboard!$H$4)),1,0)</f>
        <v>1</v>
      </c>
      <c r="V2745">
        <f>IF(U2745=1,IF(COUNTIFS($C$2:C2745,C2745,$U$2:U2745,1)=1,1,0),0)</f>
        <v>0</v>
      </c>
    </row>
    <row r="2746" spans="1:22" x14ac:dyDescent="0.35">
      <c r="A2746">
        <v>12745</v>
      </c>
      <c r="B2746" s="1">
        <v>47306</v>
      </c>
      <c r="C2746">
        <v>1366</v>
      </c>
      <c r="D2746" t="s">
        <v>62</v>
      </c>
      <c r="E2746" t="s">
        <v>74</v>
      </c>
      <c r="F2746">
        <v>4</v>
      </c>
      <c r="G2746" s="2">
        <v>79.13</v>
      </c>
      <c r="H2746">
        <v>0.19</v>
      </c>
      <c r="I2746" t="s">
        <v>68</v>
      </c>
      <c r="J2746">
        <v>1</v>
      </c>
      <c r="K2746">
        <v>1.3</v>
      </c>
      <c r="L2746" s="2">
        <v>256.38</v>
      </c>
      <c r="M2746">
        <v>2029</v>
      </c>
      <c r="N2746">
        <v>7</v>
      </c>
      <c r="O2746" t="s">
        <v>170</v>
      </c>
      <c r="P2746" s="2">
        <v>316.52</v>
      </c>
      <c r="Q2746" s="2">
        <v>60.14</v>
      </c>
      <c r="R2746" t="s">
        <v>76</v>
      </c>
      <c r="S2746">
        <v>1</v>
      </c>
      <c r="T2746">
        <v>0</v>
      </c>
      <c r="U2746">
        <f>IF(AND(OR(Dashboard!$D$4="Semua",D2746=Dashboard!$D$4),OR(Dashboard!$H$4="Semua",E2746=Dashboard!$H$4)),1,0)</f>
        <v>1</v>
      </c>
      <c r="V2746">
        <f>IF(U2746=1,IF(COUNTIFS($C$2:C2746,C2746,$U$2:U2746,1)=1,1,0),0)</f>
        <v>0</v>
      </c>
    </row>
    <row r="2747" spans="1:22" x14ac:dyDescent="0.35">
      <c r="A2747">
        <v>12746</v>
      </c>
      <c r="B2747" s="1">
        <v>47307</v>
      </c>
      <c r="C2747">
        <v>1718</v>
      </c>
      <c r="D2747" t="s">
        <v>67</v>
      </c>
      <c r="E2747" t="s">
        <v>78</v>
      </c>
      <c r="F2747">
        <v>5</v>
      </c>
      <c r="G2747" s="2">
        <v>301.58999999999997</v>
      </c>
      <c r="H2747">
        <v>0.08</v>
      </c>
      <c r="I2747" t="s">
        <v>64</v>
      </c>
      <c r="J2747">
        <v>2</v>
      </c>
      <c r="K2747">
        <v>3</v>
      </c>
      <c r="L2747" s="2">
        <v>1387.31</v>
      </c>
      <c r="M2747">
        <v>2029</v>
      </c>
      <c r="N2747">
        <v>7</v>
      </c>
      <c r="O2747" t="s">
        <v>170</v>
      </c>
      <c r="P2747" s="2">
        <v>1507.95</v>
      </c>
      <c r="Q2747" s="2">
        <v>120.64</v>
      </c>
      <c r="R2747" t="s">
        <v>69</v>
      </c>
      <c r="S2747">
        <v>1</v>
      </c>
      <c r="T2747">
        <v>0</v>
      </c>
      <c r="U2747">
        <f>IF(AND(OR(Dashboard!$D$4="Semua",D2747=Dashboard!$D$4),OR(Dashboard!$H$4="Semua",E2747=Dashboard!$H$4)),1,0)</f>
        <v>1</v>
      </c>
      <c r="V2747">
        <f>IF(U2747=1,IF(COUNTIFS($C$2:C2747,C2747,$U$2:U2747,1)=1,1,0),0)</f>
        <v>0</v>
      </c>
    </row>
    <row r="2748" spans="1:22" x14ac:dyDescent="0.35">
      <c r="A2748">
        <v>12747</v>
      </c>
      <c r="B2748" s="1">
        <v>47308</v>
      </c>
      <c r="C2748">
        <v>1901</v>
      </c>
      <c r="D2748" t="s">
        <v>67</v>
      </c>
      <c r="E2748" t="s">
        <v>70</v>
      </c>
      <c r="F2748">
        <v>2</v>
      </c>
      <c r="G2748" s="2">
        <v>236.53</v>
      </c>
      <c r="H2748">
        <v>0.11</v>
      </c>
      <c r="I2748" t="s">
        <v>68</v>
      </c>
      <c r="J2748">
        <v>3</v>
      </c>
      <c r="K2748">
        <v>4</v>
      </c>
      <c r="L2748" s="2">
        <v>421.02</v>
      </c>
      <c r="M2748">
        <v>2029</v>
      </c>
      <c r="N2748">
        <v>7</v>
      </c>
      <c r="O2748" t="s">
        <v>170</v>
      </c>
      <c r="P2748" s="2">
        <v>473.06</v>
      </c>
      <c r="Q2748" s="2">
        <v>52.04</v>
      </c>
      <c r="R2748" t="s">
        <v>79</v>
      </c>
      <c r="S2748">
        <v>1</v>
      </c>
      <c r="T2748">
        <v>0</v>
      </c>
      <c r="U2748">
        <f>IF(AND(OR(Dashboard!$D$4="Semua",D2748=Dashboard!$D$4),OR(Dashboard!$H$4="Semua",E2748=Dashboard!$H$4)),1,0)</f>
        <v>1</v>
      </c>
      <c r="V2748">
        <f>IF(U2748=1,IF(COUNTIFS($C$2:C2748,C2748,$U$2:U2748,1)=1,1,0),0)</f>
        <v>0</v>
      </c>
    </row>
    <row r="2749" spans="1:22" x14ac:dyDescent="0.35">
      <c r="A2749">
        <v>12748</v>
      </c>
      <c r="B2749" s="1">
        <v>47309</v>
      </c>
      <c r="C2749">
        <v>1619</v>
      </c>
      <c r="D2749" t="s">
        <v>73</v>
      </c>
      <c r="E2749" t="s">
        <v>63</v>
      </c>
      <c r="F2749">
        <v>1</v>
      </c>
      <c r="G2749" s="2">
        <v>421.51</v>
      </c>
      <c r="H2749">
        <v>0.34</v>
      </c>
      <c r="I2749" t="s">
        <v>64</v>
      </c>
      <c r="J2749">
        <v>6</v>
      </c>
      <c r="K2749">
        <v>3.2</v>
      </c>
      <c r="L2749" s="2">
        <v>278.2</v>
      </c>
      <c r="M2749">
        <v>2029</v>
      </c>
      <c r="N2749">
        <v>7</v>
      </c>
      <c r="O2749" t="s">
        <v>170</v>
      </c>
      <c r="P2749" s="2">
        <v>421.51</v>
      </c>
      <c r="Q2749" s="2">
        <v>143.31</v>
      </c>
      <c r="R2749" t="s">
        <v>72</v>
      </c>
      <c r="S2749">
        <v>1</v>
      </c>
      <c r="T2749">
        <v>0</v>
      </c>
      <c r="U2749">
        <f>IF(AND(OR(Dashboard!$D$4="Semua",D2749=Dashboard!$D$4),OR(Dashboard!$H$4="Semua",E2749=Dashboard!$H$4)),1,0)</f>
        <v>1</v>
      </c>
      <c r="V2749">
        <f>IF(U2749=1,IF(COUNTIFS($C$2:C2749,C2749,$U$2:U2749,1)=1,1,0),0)</f>
        <v>0</v>
      </c>
    </row>
    <row r="2750" spans="1:22" x14ac:dyDescent="0.35">
      <c r="A2750">
        <v>12749</v>
      </c>
      <c r="B2750" s="1">
        <v>47310</v>
      </c>
      <c r="C2750">
        <v>1250</v>
      </c>
      <c r="D2750" t="s">
        <v>62</v>
      </c>
      <c r="E2750" t="s">
        <v>63</v>
      </c>
      <c r="F2750">
        <v>1</v>
      </c>
      <c r="G2750" s="2">
        <v>493.29</v>
      </c>
      <c r="H2750">
        <v>0.3</v>
      </c>
      <c r="I2750" t="s">
        <v>71</v>
      </c>
      <c r="J2750">
        <v>1</v>
      </c>
      <c r="K2750">
        <v>3.1</v>
      </c>
      <c r="L2750" s="2">
        <v>345.3</v>
      </c>
      <c r="M2750">
        <v>2029</v>
      </c>
      <c r="N2750">
        <v>7</v>
      </c>
      <c r="O2750" t="s">
        <v>170</v>
      </c>
      <c r="P2750" s="2">
        <v>493.29</v>
      </c>
      <c r="Q2750" s="2">
        <v>147.99</v>
      </c>
      <c r="R2750" t="s">
        <v>66</v>
      </c>
      <c r="S2750">
        <v>1</v>
      </c>
      <c r="T2750">
        <v>0</v>
      </c>
      <c r="U2750">
        <f>IF(AND(OR(Dashboard!$D$4="Semua",D2750=Dashboard!$D$4),OR(Dashboard!$H$4="Semua",E2750=Dashboard!$H$4)),1,0)</f>
        <v>1</v>
      </c>
      <c r="V2750">
        <f>IF(U2750=1,IF(COUNTIFS($C$2:C2750,C2750,$U$2:U2750,1)=1,1,0),0)</f>
        <v>0</v>
      </c>
    </row>
    <row r="2751" spans="1:22" x14ac:dyDescent="0.35">
      <c r="A2751">
        <v>12750</v>
      </c>
      <c r="B2751" s="1">
        <v>47311</v>
      </c>
      <c r="C2751">
        <v>1956</v>
      </c>
      <c r="D2751" t="s">
        <v>73</v>
      </c>
      <c r="E2751" t="s">
        <v>70</v>
      </c>
      <c r="F2751">
        <v>6</v>
      </c>
      <c r="G2751" s="2">
        <v>333.39</v>
      </c>
      <c r="H2751">
        <v>0.31</v>
      </c>
      <c r="I2751" t="s">
        <v>68</v>
      </c>
      <c r="J2751">
        <v>8</v>
      </c>
      <c r="K2751">
        <v>3.9</v>
      </c>
      <c r="L2751" s="2">
        <v>1380.23</v>
      </c>
      <c r="M2751">
        <v>2029</v>
      </c>
      <c r="N2751">
        <v>7</v>
      </c>
      <c r="O2751" t="s">
        <v>170</v>
      </c>
      <c r="P2751" s="2">
        <v>2000.34</v>
      </c>
      <c r="Q2751" s="2">
        <v>620.11</v>
      </c>
      <c r="R2751" t="s">
        <v>72</v>
      </c>
      <c r="S2751">
        <v>1</v>
      </c>
      <c r="T2751">
        <v>0</v>
      </c>
      <c r="U2751">
        <f>IF(AND(OR(Dashboard!$D$4="Semua",D2751=Dashboard!$D$4),OR(Dashboard!$H$4="Semua",E2751=Dashboard!$H$4)),1,0)</f>
        <v>1</v>
      </c>
      <c r="V2751">
        <f>IF(U2751=1,IF(COUNTIFS($C$2:C2751,C2751,$U$2:U2751,1)=1,1,0),0)</f>
        <v>0</v>
      </c>
    </row>
    <row r="2752" spans="1:22" x14ac:dyDescent="0.35">
      <c r="A2752">
        <v>12751</v>
      </c>
      <c r="B2752" s="1">
        <v>47312</v>
      </c>
      <c r="C2752">
        <v>1915</v>
      </c>
      <c r="D2752" t="s">
        <v>67</v>
      </c>
      <c r="E2752" t="s">
        <v>74</v>
      </c>
      <c r="F2752">
        <v>7</v>
      </c>
      <c r="G2752" s="2">
        <v>33.83</v>
      </c>
      <c r="H2752">
        <v>0.16</v>
      </c>
      <c r="I2752" t="s">
        <v>71</v>
      </c>
      <c r="J2752">
        <v>2</v>
      </c>
      <c r="K2752">
        <v>1.7</v>
      </c>
      <c r="L2752" s="2">
        <v>198.92</v>
      </c>
      <c r="M2752">
        <v>2029</v>
      </c>
      <c r="N2752">
        <v>7</v>
      </c>
      <c r="O2752" t="s">
        <v>170</v>
      </c>
      <c r="P2752" s="2">
        <v>236.81</v>
      </c>
      <c r="Q2752" s="2">
        <v>37.89</v>
      </c>
      <c r="R2752" t="s">
        <v>76</v>
      </c>
      <c r="S2752">
        <v>1</v>
      </c>
      <c r="T2752">
        <v>0</v>
      </c>
      <c r="U2752">
        <f>IF(AND(OR(Dashboard!$D$4="Semua",D2752=Dashboard!$D$4),OR(Dashboard!$H$4="Semua",E2752=Dashboard!$H$4)),1,0)</f>
        <v>1</v>
      </c>
      <c r="V2752">
        <f>IF(U2752=1,IF(COUNTIFS($C$2:C2752,C2752,$U$2:U2752,1)=1,1,0),0)</f>
        <v>0</v>
      </c>
    </row>
    <row r="2753" spans="1:22" x14ac:dyDescent="0.35">
      <c r="A2753">
        <v>12752</v>
      </c>
      <c r="B2753" s="1">
        <v>47313</v>
      </c>
      <c r="C2753">
        <v>1881</v>
      </c>
      <c r="D2753" t="s">
        <v>73</v>
      </c>
      <c r="E2753" t="s">
        <v>78</v>
      </c>
      <c r="F2753">
        <v>3</v>
      </c>
      <c r="G2753" s="2">
        <v>377.07</v>
      </c>
      <c r="H2753">
        <v>0.22</v>
      </c>
      <c r="I2753" t="s">
        <v>71</v>
      </c>
      <c r="J2753">
        <v>5</v>
      </c>
      <c r="K2753">
        <v>2.8</v>
      </c>
      <c r="L2753" s="2">
        <v>882.34</v>
      </c>
      <c r="M2753">
        <v>2029</v>
      </c>
      <c r="N2753">
        <v>7</v>
      </c>
      <c r="O2753" t="s">
        <v>170</v>
      </c>
      <c r="P2753" s="2">
        <v>1131.21</v>
      </c>
      <c r="Q2753" s="2">
        <v>248.87</v>
      </c>
      <c r="R2753" t="s">
        <v>77</v>
      </c>
      <c r="S2753">
        <v>1</v>
      </c>
      <c r="T2753">
        <v>0</v>
      </c>
      <c r="U2753">
        <f>IF(AND(OR(Dashboard!$D$4="Semua",D2753=Dashboard!$D$4),OR(Dashboard!$H$4="Semua",E2753=Dashboard!$H$4)),1,0)</f>
        <v>1</v>
      </c>
      <c r="V2753">
        <f>IF(U2753=1,IF(COUNTIFS($C$2:C2753,C2753,$U$2:U2753,1)=1,1,0),0)</f>
        <v>0</v>
      </c>
    </row>
    <row r="2754" spans="1:22" x14ac:dyDescent="0.35">
      <c r="A2754">
        <v>12753</v>
      </c>
      <c r="B2754" s="1">
        <v>47314</v>
      </c>
      <c r="C2754">
        <v>1333</v>
      </c>
      <c r="D2754" t="s">
        <v>73</v>
      </c>
      <c r="E2754" t="s">
        <v>70</v>
      </c>
      <c r="F2754">
        <v>6</v>
      </c>
      <c r="G2754" s="2">
        <v>47.4</v>
      </c>
      <c r="H2754">
        <v>0.13</v>
      </c>
      <c r="I2754" t="s">
        <v>71</v>
      </c>
      <c r="J2754">
        <v>8</v>
      </c>
      <c r="K2754">
        <v>1.6</v>
      </c>
      <c r="L2754" s="2">
        <v>247.43</v>
      </c>
      <c r="M2754">
        <v>2029</v>
      </c>
      <c r="N2754">
        <v>7</v>
      </c>
      <c r="O2754" t="s">
        <v>170</v>
      </c>
      <c r="P2754" s="2">
        <v>284.39999999999998</v>
      </c>
      <c r="Q2754" s="2">
        <v>36.97</v>
      </c>
      <c r="R2754" t="s">
        <v>79</v>
      </c>
      <c r="S2754">
        <v>1</v>
      </c>
      <c r="T2754">
        <v>0</v>
      </c>
      <c r="U2754">
        <f>IF(AND(OR(Dashboard!$D$4="Semua",D2754=Dashboard!$D$4),OR(Dashboard!$H$4="Semua",E2754=Dashboard!$H$4)),1,0)</f>
        <v>1</v>
      </c>
      <c r="V2754">
        <f>IF(U2754=1,IF(COUNTIFS($C$2:C2754,C2754,$U$2:U2754,1)=1,1,0),0)</f>
        <v>0</v>
      </c>
    </row>
    <row r="2755" spans="1:22" x14ac:dyDescent="0.35">
      <c r="A2755">
        <v>12754</v>
      </c>
      <c r="B2755" s="1">
        <v>47315</v>
      </c>
      <c r="C2755">
        <v>1641</v>
      </c>
      <c r="D2755" t="s">
        <v>67</v>
      </c>
      <c r="E2755" t="s">
        <v>70</v>
      </c>
      <c r="F2755">
        <v>2</v>
      </c>
      <c r="G2755" s="2">
        <v>375.57</v>
      </c>
      <c r="H2755">
        <v>0.03</v>
      </c>
      <c r="I2755" t="s">
        <v>71</v>
      </c>
      <c r="J2755">
        <v>5</v>
      </c>
      <c r="K2755">
        <v>3.1</v>
      </c>
      <c r="L2755" s="2">
        <v>728.61</v>
      </c>
      <c r="M2755">
        <v>2029</v>
      </c>
      <c r="N2755">
        <v>7</v>
      </c>
      <c r="O2755" t="s">
        <v>170</v>
      </c>
      <c r="P2755" s="2">
        <v>751.14</v>
      </c>
      <c r="Q2755" s="2">
        <v>22.53</v>
      </c>
      <c r="R2755" t="s">
        <v>75</v>
      </c>
      <c r="S2755">
        <v>1</v>
      </c>
      <c r="T2755">
        <v>0</v>
      </c>
      <c r="U2755">
        <f>IF(AND(OR(Dashboard!$D$4="Semua",D2755=Dashboard!$D$4),OR(Dashboard!$H$4="Semua",E2755=Dashboard!$H$4)),1,0)</f>
        <v>1</v>
      </c>
      <c r="V2755">
        <f>IF(U2755=1,IF(COUNTIFS($C$2:C2755,C2755,$U$2:U2755,1)=1,1,0),0)</f>
        <v>0</v>
      </c>
    </row>
    <row r="2756" spans="1:22" x14ac:dyDescent="0.35">
      <c r="A2756">
        <v>12755</v>
      </c>
      <c r="B2756" s="1">
        <v>47316</v>
      </c>
      <c r="C2756">
        <v>1968</v>
      </c>
      <c r="D2756" t="s">
        <v>62</v>
      </c>
      <c r="E2756" t="s">
        <v>63</v>
      </c>
      <c r="F2756">
        <v>7</v>
      </c>
      <c r="G2756" s="2">
        <v>415.74</v>
      </c>
      <c r="H2756">
        <v>0.14000000000000001</v>
      </c>
      <c r="I2756" t="s">
        <v>68</v>
      </c>
      <c r="J2756">
        <v>8</v>
      </c>
      <c r="K2756">
        <v>3.4</v>
      </c>
      <c r="L2756" s="2">
        <v>2502.75</v>
      </c>
      <c r="M2756">
        <v>2029</v>
      </c>
      <c r="N2756">
        <v>7</v>
      </c>
      <c r="O2756" t="s">
        <v>170</v>
      </c>
      <c r="P2756" s="2">
        <v>2910.18</v>
      </c>
      <c r="Q2756" s="2">
        <v>407.43</v>
      </c>
      <c r="R2756" t="s">
        <v>79</v>
      </c>
      <c r="S2756">
        <v>1</v>
      </c>
      <c r="T2756">
        <v>0</v>
      </c>
      <c r="U2756">
        <f>IF(AND(OR(Dashboard!$D$4="Semua",D2756=Dashboard!$D$4),OR(Dashboard!$H$4="Semua",E2756=Dashboard!$H$4)),1,0)</f>
        <v>1</v>
      </c>
      <c r="V2756">
        <f>IF(U2756=1,IF(COUNTIFS($C$2:C2756,C2756,$U$2:U2756,1)=1,1,0),0)</f>
        <v>0</v>
      </c>
    </row>
    <row r="2757" spans="1:22" x14ac:dyDescent="0.35">
      <c r="A2757">
        <v>12756</v>
      </c>
      <c r="B2757" s="1">
        <v>47317</v>
      </c>
      <c r="C2757">
        <v>1510</v>
      </c>
      <c r="D2757" t="s">
        <v>73</v>
      </c>
      <c r="E2757" t="s">
        <v>78</v>
      </c>
      <c r="F2757">
        <v>7</v>
      </c>
      <c r="G2757" s="2">
        <v>130.69</v>
      </c>
      <c r="H2757">
        <v>0.21</v>
      </c>
      <c r="I2757" t="s">
        <v>71</v>
      </c>
      <c r="J2757">
        <v>6</v>
      </c>
      <c r="K2757">
        <v>1.5</v>
      </c>
      <c r="L2757" s="2">
        <v>722.72</v>
      </c>
      <c r="M2757">
        <v>2029</v>
      </c>
      <c r="N2757">
        <v>7</v>
      </c>
      <c r="O2757" t="s">
        <v>170</v>
      </c>
      <c r="P2757" s="2">
        <v>914.83</v>
      </c>
      <c r="Q2757" s="2">
        <v>192.11</v>
      </c>
      <c r="R2757" t="s">
        <v>77</v>
      </c>
      <c r="S2757">
        <v>1</v>
      </c>
      <c r="T2757">
        <v>0</v>
      </c>
      <c r="U2757">
        <f>IF(AND(OR(Dashboard!$D$4="Semua",D2757=Dashboard!$D$4),OR(Dashboard!$H$4="Semua",E2757=Dashboard!$H$4)),1,0)</f>
        <v>1</v>
      </c>
      <c r="V2757">
        <f>IF(U2757=1,IF(COUNTIFS($C$2:C2757,C2757,$U$2:U2757,1)=1,1,0),0)</f>
        <v>0</v>
      </c>
    </row>
    <row r="2758" spans="1:22" x14ac:dyDescent="0.35">
      <c r="A2758">
        <v>12757</v>
      </c>
      <c r="B2758" s="1">
        <v>47318</v>
      </c>
      <c r="C2758">
        <v>1292</v>
      </c>
      <c r="D2758" t="s">
        <v>67</v>
      </c>
      <c r="E2758" t="s">
        <v>70</v>
      </c>
      <c r="F2758">
        <v>7</v>
      </c>
      <c r="G2758" s="2">
        <v>494.32</v>
      </c>
      <c r="H2758">
        <v>0.1</v>
      </c>
      <c r="I2758" t="s">
        <v>71</v>
      </c>
      <c r="J2758">
        <v>7</v>
      </c>
      <c r="K2758">
        <v>1.3</v>
      </c>
      <c r="L2758" s="2">
        <v>3114.22</v>
      </c>
      <c r="M2758">
        <v>2029</v>
      </c>
      <c r="N2758">
        <v>7</v>
      </c>
      <c r="O2758" t="s">
        <v>170</v>
      </c>
      <c r="P2758" s="2">
        <v>3460.24</v>
      </c>
      <c r="Q2758" s="2">
        <v>346.02</v>
      </c>
      <c r="R2758" t="s">
        <v>69</v>
      </c>
      <c r="S2758">
        <v>1</v>
      </c>
      <c r="T2758">
        <v>0</v>
      </c>
      <c r="U2758">
        <f>IF(AND(OR(Dashboard!$D$4="Semua",D2758=Dashboard!$D$4),OR(Dashboard!$H$4="Semua",E2758=Dashboard!$H$4)),1,0)</f>
        <v>1</v>
      </c>
      <c r="V2758">
        <f>IF(U2758=1,IF(COUNTIFS($C$2:C2758,C2758,$U$2:U2758,1)=1,1,0),0)</f>
        <v>0</v>
      </c>
    </row>
    <row r="2759" spans="1:22" x14ac:dyDescent="0.35">
      <c r="A2759">
        <v>12758</v>
      </c>
      <c r="B2759" s="1">
        <v>47319</v>
      </c>
      <c r="C2759">
        <v>1019</v>
      </c>
      <c r="D2759" t="s">
        <v>73</v>
      </c>
      <c r="E2759" t="s">
        <v>78</v>
      </c>
      <c r="F2759">
        <v>2</v>
      </c>
      <c r="G2759" s="2">
        <v>547.98</v>
      </c>
      <c r="H2759">
        <v>0.3</v>
      </c>
      <c r="I2759" t="s">
        <v>71</v>
      </c>
      <c r="J2759">
        <v>8</v>
      </c>
      <c r="K2759">
        <v>1.7</v>
      </c>
      <c r="L2759" s="2">
        <v>767.17</v>
      </c>
      <c r="M2759">
        <v>2029</v>
      </c>
      <c r="N2759">
        <v>7</v>
      </c>
      <c r="O2759" t="s">
        <v>170</v>
      </c>
      <c r="P2759" s="2">
        <v>1095.96</v>
      </c>
      <c r="Q2759" s="2">
        <v>328.79</v>
      </c>
      <c r="R2759" t="s">
        <v>66</v>
      </c>
      <c r="S2759">
        <v>1</v>
      </c>
      <c r="T2759">
        <v>0</v>
      </c>
      <c r="U2759">
        <f>IF(AND(OR(Dashboard!$D$4="Semua",D2759=Dashboard!$D$4),OR(Dashboard!$H$4="Semua",E2759=Dashboard!$H$4)),1,0)</f>
        <v>1</v>
      </c>
      <c r="V2759">
        <f>IF(U2759=1,IF(COUNTIFS($C$2:C2759,C2759,$U$2:U2759,1)=1,1,0),0)</f>
        <v>0</v>
      </c>
    </row>
    <row r="2760" spans="1:22" x14ac:dyDescent="0.35">
      <c r="A2760">
        <v>12759</v>
      </c>
      <c r="B2760" s="1">
        <v>47320</v>
      </c>
      <c r="C2760">
        <v>1281</v>
      </c>
      <c r="D2760" t="s">
        <v>73</v>
      </c>
      <c r="E2760" t="s">
        <v>74</v>
      </c>
      <c r="F2760">
        <v>4</v>
      </c>
      <c r="G2760" s="2">
        <v>490.66</v>
      </c>
      <c r="H2760">
        <v>0.05</v>
      </c>
      <c r="I2760" t="s">
        <v>64</v>
      </c>
      <c r="J2760">
        <v>3</v>
      </c>
      <c r="K2760">
        <v>3.3</v>
      </c>
      <c r="L2760" s="2">
        <v>1864.51</v>
      </c>
      <c r="M2760">
        <v>2029</v>
      </c>
      <c r="N2760">
        <v>7</v>
      </c>
      <c r="O2760" t="s">
        <v>170</v>
      </c>
      <c r="P2760" s="2">
        <v>1962.64</v>
      </c>
      <c r="Q2760" s="2">
        <v>98.13</v>
      </c>
      <c r="R2760" t="s">
        <v>75</v>
      </c>
      <c r="S2760">
        <v>1</v>
      </c>
      <c r="T2760">
        <v>0</v>
      </c>
      <c r="U2760">
        <f>IF(AND(OR(Dashboard!$D$4="Semua",D2760=Dashboard!$D$4),OR(Dashboard!$H$4="Semua",E2760=Dashboard!$H$4)),1,0)</f>
        <v>1</v>
      </c>
      <c r="V2760">
        <f>IF(U2760=1,IF(COUNTIFS($C$2:C2760,C2760,$U$2:U2760,1)=1,1,0),0)</f>
        <v>0</v>
      </c>
    </row>
    <row r="2761" spans="1:22" x14ac:dyDescent="0.35">
      <c r="A2761">
        <v>12760</v>
      </c>
      <c r="B2761" s="1">
        <v>47321</v>
      </c>
      <c r="C2761">
        <v>1796</v>
      </c>
      <c r="D2761" t="s">
        <v>67</v>
      </c>
      <c r="E2761" t="s">
        <v>63</v>
      </c>
      <c r="F2761">
        <v>1</v>
      </c>
      <c r="G2761" s="2">
        <v>193.49</v>
      </c>
      <c r="H2761">
        <v>0.13</v>
      </c>
      <c r="I2761" t="s">
        <v>68</v>
      </c>
      <c r="J2761">
        <v>5</v>
      </c>
      <c r="K2761">
        <v>1.8</v>
      </c>
      <c r="L2761" s="2">
        <v>168.34</v>
      </c>
      <c r="M2761">
        <v>2029</v>
      </c>
      <c r="N2761">
        <v>7</v>
      </c>
      <c r="O2761" t="s">
        <v>170</v>
      </c>
      <c r="P2761" s="2">
        <v>193.49</v>
      </c>
      <c r="Q2761" s="2">
        <v>25.15</v>
      </c>
      <c r="R2761" t="s">
        <v>79</v>
      </c>
      <c r="S2761">
        <v>1</v>
      </c>
      <c r="T2761">
        <v>0</v>
      </c>
      <c r="U2761">
        <f>IF(AND(OR(Dashboard!$D$4="Semua",D2761=Dashboard!$D$4),OR(Dashboard!$H$4="Semua",E2761=Dashboard!$H$4)),1,0)</f>
        <v>1</v>
      </c>
      <c r="V2761">
        <f>IF(U2761=1,IF(COUNTIFS($C$2:C2761,C2761,$U$2:U2761,1)=1,1,0),0)</f>
        <v>0</v>
      </c>
    </row>
    <row r="2762" spans="1:22" x14ac:dyDescent="0.35">
      <c r="A2762">
        <v>12761</v>
      </c>
      <c r="B2762" s="1">
        <v>47322</v>
      </c>
      <c r="C2762">
        <v>1000</v>
      </c>
      <c r="D2762" t="s">
        <v>67</v>
      </c>
      <c r="E2762" t="s">
        <v>74</v>
      </c>
      <c r="F2762">
        <v>4</v>
      </c>
      <c r="G2762" s="2">
        <v>358.19</v>
      </c>
      <c r="H2762">
        <v>0.04</v>
      </c>
      <c r="I2762" t="s">
        <v>68</v>
      </c>
      <c r="J2762">
        <v>10</v>
      </c>
      <c r="K2762">
        <v>2.1</v>
      </c>
      <c r="L2762" s="2">
        <v>1375.45</v>
      </c>
      <c r="M2762">
        <v>2029</v>
      </c>
      <c r="N2762">
        <v>7</v>
      </c>
      <c r="O2762" t="s">
        <v>170</v>
      </c>
      <c r="P2762" s="2">
        <v>1432.76</v>
      </c>
      <c r="Q2762" s="2">
        <v>57.31</v>
      </c>
      <c r="R2762" t="s">
        <v>75</v>
      </c>
      <c r="S2762">
        <v>1</v>
      </c>
      <c r="T2762">
        <v>0</v>
      </c>
      <c r="U2762">
        <f>IF(AND(OR(Dashboard!$D$4="Semua",D2762=Dashboard!$D$4),OR(Dashboard!$H$4="Semua",E2762=Dashboard!$H$4)),1,0)</f>
        <v>1</v>
      </c>
      <c r="V2762">
        <f>IF(U2762=1,IF(COUNTIFS($C$2:C2762,C2762,$U$2:U2762,1)=1,1,0),0)</f>
        <v>0</v>
      </c>
    </row>
    <row r="2763" spans="1:22" x14ac:dyDescent="0.35">
      <c r="A2763">
        <v>12762</v>
      </c>
      <c r="B2763" s="1">
        <v>47323</v>
      </c>
      <c r="C2763">
        <v>1118</v>
      </c>
      <c r="D2763" t="s">
        <v>73</v>
      </c>
      <c r="E2763" t="s">
        <v>78</v>
      </c>
      <c r="F2763">
        <v>2</v>
      </c>
      <c r="G2763" s="2">
        <v>550.16999999999996</v>
      </c>
      <c r="H2763">
        <v>0.14000000000000001</v>
      </c>
      <c r="I2763" t="s">
        <v>71</v>
      </c>
      <c r="J2763">
        <v>7</v>
      </c>
      <c r="K2763">
        <v>3.8</v>
      </c>
      <c r="L2763" s="2">
        <v>946.29</v>
      </c>
      <c r="M2763">
        <v>2029</v>
      </c>
      <c r="N2763">
        <v>7</v>
      </c>
      <c r="O2763" t="s">
        <v>170</v>
      </c>
      <c r="P2763" s="2">
        <v>1100.3399999999999</v>
      </c>
      <c r="Q2763" s="2">
        <v>154.05000000000001</v>
      </c>
      <c r="R2763" t="s">
        <v>79</v>
      </c>
      <c r="S2763">
        <v>1</v>
      </c>
      <c r="T2763">
        <v>0</v>
      </c>
      <c r="U2763">
        <f>IF(AND(OR(Dashboard!$D$4="Semua",D2763=Dashboard!$D$4),OR(Dashboard!$H$4="Semua",E2763=Dashboard!$H$4)),1,0)</f>
        <v>1</v>
      </c>
      <c r="V2763">
        <f>IF(U2763=1,IF(COUNTIFS($C$2:C2763,C2763,$U$2:U2763,1)=1,1,0),0)</f>
        <v>0</v>
      </c>
    </row>
    <row r="2764" spans="1:22" x14ac:dyDescent="0.35">
      <c r="A2764">
        <v>12763</v>
      </c>
      <c r="B2764" s="1">
        <v>47324</v>
      </c>
      <c r="C2764">
        <v>1034</v>
      </c>
      <c r="D2764" t="s">
        <v>73</v>
      </c>
      <c r="E2764" t="s">
        <v>74</v>
      </c>
      <c r="F2764">
        <v>3</v>
      </c>
      <c r="G2764" s="2">
        <v>202.59</v>
      </c>
      <c r="H2764">
        <v>0.01</v>
      </c>
      <c r="I2764" t="s">
        <v>64</v>
      </c>
      <c r="J2764">
        <v>9</v>
      </c>
      <c r="K2764">
        <v>2</v>
      </c>
      <c r="L2764" s="2">
        <v>601.69000000000005</v>
      </c>
      <c r="M2764">
        <v>2029</v>
      </c>
      <c r="N2764">
        <v>7</v>
      </c>
      <c r="O2764" t="s">
        <v>170</v>
      </c>
      <c r="P2764" s="2">
        <v>607.77</v>
      </c>
      <c r="Q2764" s="2">
        <v>6.08</v>
      </c>
      <c r="R2764" t="s">
        <v>75</v>
      </c>
      <c r="S2764">
        <v>1</v>
      </c>
      <c r="T2764">
        <v>0</v>
      </c>
      <c r="U2764">
        <f>IF(AND(OR(Dashboard!$D$4="Semua",D2764=Dashboard!$D$4),OR(Dashboard!$H$4="Semua",E2764=Dashboard!$H$4)),1,0)</f>
        <v>1</v>
      </c>
      <c r="V2764">
        <f>IF(U2764=1,IF(COUNTIFS($C$2:C2764,C2764,$U$2:U2764,1)=1,1,0),0)</f>
        <v>0</v>
      </c>
    </row>
    <row r="2765" spans="1:22" x14ac:dyDescent="0.35">
      <c r="A2765">
        <v>12764</v>
      </c>
      <c r="B2765" s="1">
        <v>47325</v>
      </c>
      <c r="C2765">
        <v>1197</v>
      </c>
      <c r="D2765" t="s">
        <v>73</v>
      </c>
      <c r="E2765" t="s">
        <v>63</v>
      </c>
      <c r="F2765">
        <v>1</v>
      </c>
      <c r="G2765" s="2">
        <v>494.72</v>
      </c>
      <c r="H2765">
        <v>0.1</v>
      </c>
      <c r="I2765" t="s">
        <v>68</v>
      </c>
      <c r="J2765">
        <v>6</v>
      </c>
      <c r="K2765">
        <v>2.6</v>
      </c>
      <c r="L2765" s="2">
        <v>445.25</v>
      </c>
      <c r="M2765">
        <v>2029</v>
      </c>
      <c r="N2765">
        <v>7</v>
      </c>
      <c r="O2765" t="s">
        <v>170</v>
      </c>
      <c r="P2765" s="2">
        <v>494.72</v>
      </c>
      <c r="Q2765" s="2">
        <v>49.47</v>
      </c>
      <c r="R2765" t="s">
        <v>69</v>
      </c>
      <c r="S2765">
        <v>1</v>
      </c>
      <c r="T2765">
        <v>0</v>
      </c>
      <c r="U2765">
        <f>IF(AND(OR(Dashboard!$D$4="Semua",D2765=Dashboard!$D$4),OR(Dashboard!$H$4="Semua",E2765=Dashboard!$H$4)),1,0)</f>
        <v>1</v>
      </c>
      <c r="V2765">
        <f>IF(U2765=1,IF(COUNTIFS($C$2:C2765,C2765,$U$2:U2765,1)=1,1,0),0)</f>
        <v>0</v>
      </c>
    </row>
    <row r="2766" spans="1:22" x14ac:dyDescent="0.35">
      <c r="A2766">
        <v>12765</v>
      </c>
      <c r="B2766" s="1">
        <v>47326</v>
      </c>
      <c r="C2766">
        <v>1484</v>
      </c>
      <c r="D2766" t="s">
        <v>73</v>
      </c>
      <c r="E2766" t="s">
        <v>78</v>
      </c>
      <c r="F2766">
        <v>2</v>
      </c>
      <c r="G2766" s="2">
        <v>20.54</v>
      </c>
      <c r="H2766">
        <v>0.14000000000000001</v>
      </c>
      <c r="I2766" t="s">
        <v>68</v>
      </c>
      <c r="J2766">
        <v>10</v>
      </c>
      <c r="K2766">
        <v>4.7</v>
      </c>
      <c r="L2766" s="2">
        <v>35.33</v>
      </c>
      <c r="M2766">
        <v>2029</v>
      </c>
      <c r="N2766">
        <v>7</v>
      </c>
      <c r="O2766" t="s">
        <v>170</v>
      </c>
      <c r="P2766" s="2">
        <v>41.08</v>
      </c>
      <c r="Q2766" s="2">
        <v>5.75</v>
      </c>
      <c r="R2766" t="s">
        <v>79</v>
      </c>
      <c r="S2766">
        <v>1</v>
      </c>
      <c r="T2766">
        <v>0</v>
      </c>
      <c r="U2766">
        <f>IF(AND(OR(Dashboard!$D$4="Semua",D2766=Dashboard!$D$4),OR(Dashboard!$H$4="Semua",E2766=Dashboard!$H$4)),1,0)</f>
        <v>1</v>
      </c>
      <c r="V2766">
        <f>IF(U2766=1,IF(COUNTIFS($C$2:C2766,C2766,$U$2:U2766,1)=1,1,0),0)</f>
        <v>0</v>
      </c>
    </row>
    <row r="2767" spans="1:22" x14ac:dyDescent="0.35">
      <c r="A2767">
        <v>12766</v>
      </c>
      <c r="B2767" s="1">
        <v>47327</v>
      </c>
      <c r="C2767">
        <v>1756</v>
      </c>
      <c r="D2767" t="s">
        <v>62</v>
      </c>
      <c r="E2767" t="s">
        <v>70</v>
      </c>
      <c r="F2767">
        <v>3</v>
      </c>
      <c r="G2767" s="2">
        <v>17.13</v>
      </c>
      <c r="H2767">
        <v>0.17</v>
      </c>
      <c r="I2767" t="s">
        <v>68</v>
      </c>
      <c r="J2767">
        <v>1</v>
      </c>
      <c r="K2767">
        <v>4.3</v>
      </c>
      <c r="L2767" s="2">
        <v>42.65</v>
      </c>
      <c r="M2767">
        <v>2029</v>
      </c>
      <c r="N2767">
        <v>7</v>
      </c>
      <c r="O2767" t="s">
        <v>170</v>
      </c>
      <c r="P2767" s="2">
        <v>51.39</v>
      </c>
      <c r="Q2767" s="2">
        <v>8.74</v>
      </c>
      <c r="R2767" t="s">
        <v>76</v>
      </c>
      <c r="S2767">
        <v>1</v>
      </c>
      <c r="T2767">
        <v>0</v>
      </c>
      <c r="U2767">
        <f>IF(AND(OR(Dashboard!$D$4="Semua",D2767=Dashboard!$D$4),OR(Dashboard!$H$4="Semua",E2767=Dashboard!$H$4)),1,0)</f>
        <v>1</v>
      </c>
      <c r="V2767">
        <f>IF(U2767=1,IF(COUNTIFS($C$2:C2767,C2767,$U$2:U2767,1)=1,1,0),0)</f>
        <v>1</v>
      </c>
    </row>
    <row r="2768" spans="1:22" x14ac:dyDescent="0.35">
      <c r="A2768">
        <v>12767</v>
      </c>
      <c r="B2768" s="1">
        <v>47328</v>
      </c>
      <c r="C2768">
        <v>1058</v>
      </c>
      <c r="D2768" t="s">
        <v>62</v>
      </c>
      <c r="E2768" t="s">
        <v>74</v>
      </c>
      <c r="F2768">
        <v>6</v>
      </c>
      <c r="G2768" s="2">
        <v>459.43</v>
      </c>
      <c r="H2768">
        <v>0.19</v>
      </c>
      <c r="I2768" t="s">
        <v>68</v>
      </c>
      <c r="J2768">
        <v>11</v>
      </c>
      <c r="K2768">
        <v>2</v>
      </c>
      <c r="L2768" s="2">
        <v>2232.83</v>
      </c>
      <c r="M2768">
        <v>2029</v>
      </c>
      <c r="N2768">
        <v>7</v>
      </c>
      <c r="O2768" t="s">
        <v>170</v>
      </c>
      <c r="P2768" s="2">
        <v>2756.58</v>
      </c>
      <c r="Q2768" s="2">
        <v>523.75</v>
      </c>
      <c r="R2768" t="s">
        <v>76</v>
      </c>
      <c r="S2768">
        <v>1</v>
      </c>
      <c r="T2768">
        <v>0</v>
      </c>
      <c r="U2768">
        <f>IF(AND(OR(Dashboard!$D$4="Semua",D2768=Dashboard!$D$4),OR(Dashboard!$H$4="Semua",E2768=Dashboard!$H$4)),1,0)</f>
        <v>1</v>
      </c>
      <c r="V2768">
        <f>IF(U2768=1,IF(COUNTIFS($C$2:C2768,C2768,$U$2:U2768,1)=1,1,0),0)</f>
        <v>0</v>
      </c>
    </row>
    <row r="2769" spans="1:22" x14ac:dyDescent="0.35">
      <c r="A2769">
        <v>12768</v>
      </c>
      <c r="B2769" s="1">
        <v>47329</v>
      </c>
      <c r="C2769">
        <v>1836</v>
      </c>
      <c r="D2769" t="s">
        <v>73</v>
      </c>
      <c r="E2769" t="s">
        <v>63</v>
      </c>
      <c r="F2769">
        <v>5</v>
      </c>
      <c r="G2769" s="2">
        <v>460.45</v>
      </c>
      <c r="H2769">
        <v>0.1</v>
      </c>
      <c r="I2769" t="s">
        <v>68</v>
      </c>
      <c r="J2769">
        <v>8</v>
      </c>
      <c r="K2769">
        <v>3.4</v>
      </c>
      <c r="L2769" s="2">
        <v>2072.02</v>
      </c>
      <c r="M2769">
        <v>2029</v>
      </c>
      <c r="N2769">
        <v>7</v>
      </c>
      <c r="O2769" t="s">
        <v>170</v>
      </c>
      <c r="P2769" s="2">
        <v>2302.25</v>
      </c>
      <c r="Q2769" s="2">
        <v>230.23</v>
      </c>
      <c r="R2769" t="s">
        <v>69</v>
      </c>
      <c r="S2769">
        <v>1</v>
      </c>
      <c r="T2769">
        <v>0</v>
      </c>
      <c r="U2769">
        <f>IF(AND(OR(Dashboard!$D$4="Semua",D2769=Dashboard!$D$4),OR(Dashboard!$H$4="Semua",E2769=Dashboard!$H$4)),1,0)</f>
        <v>1</v>
      </c>
      <c r="V2769">
        <f>IF(U2769=1,IF(COUNTIFS($C$2:C2769,C2769,$U$2:U2769,1)=1,1,0),0)</f>
        <v>0</v>
      </c>
    </row>
    <row r="2770" spans="1:22" x14ac:dyDescent="0.35">
      <c r="A2770">
        <v>12769</v>
      </c>
      <c r="B2770" s="1">
        <v>47330</v>
      </c>
      <c r="C2770">
        <v>1160</v>
      </c>
      <c r="D2770" t="s">
        <v>67</v>
      </c>
      <c r="E2770" t="s">
        <v>70</v>
      </c>
      <c r="F2770">
        <v>7</v>
      </c>
      <c r="G2770" s="2">
        <v>476.55</v>
      </c>
      <c r="H2770">
        <v>0.18</v>
      </c>
      <c r="I2770" t="s">
        <v>68</v>
      </c>
      <c r="J2770">
        <v>6</v>
      </c>
      <c r="K2770">
        <v>3.7</v>
      </c>
      <c r="L2770" s="2">
        <v>2735.4</v>
      </c>
      <c r="M2770">
        <v>2029</v>
      </c>
      <c r="N2770">
        <v>7</v>
      </c>
      <c r="O2770" t="s">
        <v>170</v>
      </c>
      <c r="P2770" s="2">
        <v>3335.85</v>
      </c>
      <c r="Q2770" s="2">
        <v>600.45000000000005</v>
      </c>
      <c r="R2770" t="s">
        <v>76</v>
      </c>
      <c r="S2770">
        <v>1</v>
      </c>
      <c r="T2770">
        <v>0</v>
      </c>
      <c r="U2770">
        <f>IF(AND(OR(Dashboard!$D$4="Semua",D2770=Dashboard!$D$4),OR(Dashboard!$H$4="Semua",E2770=Dashboard!$H$4)),1,0)</f>
        <v>1</v>
      </c>
      <c r="V2770">
        <f>IF(U2770=1,IF(COUNTIFS($C$2:C2770,C2770,$U$2:U2770,1)=1,1,0),0)</f>
        <v>0</v>
      </c>
    </row>
    <row r="2771" spans="1:22" x14ac:dyDescent="0.35">
      <c r="A2771">
        <v>12770</v>
      </c>
      <c r="B2771" s="1">
        <v>47331</v>
      </c>
      <c r="C2771">
        <v>1690</v>
      </c>
      <c r="D2771" t="s">
        <v>62</v>
      </c>
      <c r="E2771" t="s">
        <v>63</v>
      </c>
      <c r="F2771">
        <v>2</v>
      </c>
      <c r="G2771" s="2">
        <v>559.07000000000005</v>
      </c>
      <c r="H2771">
        <v>0.18</v>
      </c>
      <c r="I2771" t="s">
        <v>71</v>
      </c>
      <c r="J2771">
        <v>1</v>
      </c>
      <c r="K2771">
        <v>4.5999999999999996</v>
      </c>
      <c r="L2771" s="2">
        <v>916.87</v>
      </c>
      <c r="M2771">
        <v>2029</v>
      </c>
      <c r="N2771">
        <v>8</v>
      </c>
      <c r="O2771" t="s">
        <v>171</v>
      </c>
      <c r="P2771" s="2">
        <v>1118.1400000000001</v>
      </c>
      <c r="Q2771" s="2">
        <v>201.27</v>
      </c>
      <c r="R2771" t="s">
        <v>76</v>
      </c>
      <c r="S2771">
        <v>1</v>
      </c>
      <c r="T2771">
        <v>0</v>
      </c>
      <c r="U2771">
        <f>IF(AND(OR(Dashboard!$D$4="Semua",D2771=Dashboard!$D$4),OR(Dashboard!$H$4="Semua",E2771=Dashboard!$H$4)),1,0)</f>
        <v>1</v>
      </c>
      <c r="V2771">
        <f>IF(U2771=1,IF(COUNTIFS($C$2:C2771,C2771,$U$2:U2771,1)=1,1,0),0)</f>
        <v>0</v>
      </c>
    </row>
    <row r="2772" spans="1:22" x14ac:dyDescent="0.35">
      <c r="A2772">
        <v>12771</v>
      </c>
      <c r="B2772" s="1">
        <v>47332</v>
      </c>
      <c r="C2772">
        <v>1205</v>
      </c>
      <c r="D2772" t="s">
        <v>73</v>
      </c>
      <c r="E2772" t="s">
        <v>78</v>
      </c>
      <c r="F2772">
        <v>5</v>
      </c>
      <c r="G2772" s="2">
        <v>83.98</v>
      </c>
      <c r="H2772">
        <v>0.11</v>
      </c>
      <c r="I2772" t="s">
        <v>68</v>
      </c>
      <c r="J2772">
        <v>4</v>
      </c>
      <c r="K2772">
        <v>3.2</v>
      </c>
      <c r="L2772" s="2">
        <v>373.71</v>
      </c>
      <c r="M2772">
        <v>2029</v>
      </c>
      <c r="N2772">
        <v>8</v>
      </c>
      <c r="O2772" t="s">
        <v>171</v>
      </c>
      <c r="P2772" s="2">
        <v>419.9</v>
      </c>
      <c r="Q2772" s="2">
        <v>46.19</v>
      </c>
      <c r="R2772" t="s">
        <v>79</v>
      </c>
      <c r="S2772">
        <v>1</v>
      </c>
      <c r="T2772">
        <v>0</v>
      </c>
      <c r="U2772">
        <f>IF(AND(OR(Dashboard!$D$4="Semua",D2772=Dashboard!$D$4),OR(Dashboard!$H$4="Semua",E2772=Dashboard!$H$4)),1,0)</f>
        <v>1</v>
      </c>
      <c r="V2772">
        <f>IF(U2772=1,IF(COUNTIFS($C$2:C2772,C2772,$U$2:U2772,1)=1,1,0),0)</f>
        <v>0</v>
      </c>
    </row>
    <row r="2773" spans="1:22" x14ac:dyDescent="0.35">
      <c r="A2773">
        <v>12772</v>
      </c>
      <c r="B2773" s="1">
        <v>47333</v>
      </c>
      <c r="C2773">
        <v>1011</v>
      </c>
      <c r="D2773" t="s">
        <v>80</v>
      </c>
      <c r="E2773" t="s">
        <v>78</v>
      </c>
      <c r="F2773">
        <v>4</v>
      </c>
      <c r="G2773" s="2">
        <v>150.71</v>
      </c>
      <c r="H2773">
        <v>0.28999999999999998</v>
      </c>
      <c r="I2773" t="s">
        <v>68</v>
      </c>
      <c r="J2773">
        <v>6</v>
      </c>
      <c r="K2773">
        <v>3.2</v>
      </c>
      <c r="L2773" s="2">
        <v>428.02</v>
      </c>
      <c r="M2773">
        <v>2029</v>
      </c>
      <c r="N2773">
        <v>8</v>
      </c>
      <c r="O2773" t="s">
        <v>171</v>
      </c>
      <c r="P2773" s="2">
        <v>602.84</v>
      </c>
      <c r="Q2773" s="2">
        <v>174.82</v>
      </c>
      <c r="R2773" t="s">
        <v>66</v>
      </c>
      <c r="S2773">
        <v>1</v>
      </c>
      <c r="T2773">
        <v>0</v>
      </c>
      <c r="U2773">
        <f>IF(AND(OR(Dashboard!$D$4="Semua",D2773=Dashboard!$D$4),OR(Dashboard!$H$4="Semua",E2773=Dashboard!$H$4)),1,0)</f>
        <v>1</v>
      </c>
      <c r="V2773">
        <f>IF(U2773=1,IF(COUNTIFS($C$2:C2773,C2773,$U$2:U2773,1)=1,1,0),0)</f>
        <v>0</v>
      </c>
    </row>
    <row r="2774" spans="1:22" x14ac:dyDescent="0.35">
      <c r="A2774">
        <v>12773</v>
      </c>
      <c r="B2774" s="1">
        <v>47334</v>
      </c>
      <c r="C2774">
        <v>1489</v>
      </c>
      <c r="D2774" t="s">
        <v>62</v>
      </c>
      <c r="E2774" t="s">
        <v>74</v>
      </c>
      <c r="F2774">
        <v>5</v>
      </c>
      <c r="G2774" s="2">
        <v>543.67999999999995</v>
      </c>
      <c r="H2774">
        <v>0.19</v>
      </c>
      <c r="I2774" t="s">
        <v>68</v>
      </c>
      <c r="J2774">
        <v>10</v>
      </c>
      <c r="K2774">
        <v>4.5999999999999996</v>
      </c>
      <c r="L2774" s="2">
        <v>2201.9</v>
      </c>
      <c r="M2774">
        <v>2029</v>
      </c>
      <c r="N2774">
        <v>8</v>
      </c>
      <c r="O2774" t="s">
        <v>171</v>
      </c>
      <c r="P2774" s="2">
        <v>2718.4</v>
      </c>
      <c r="Q2774" s="2">
        <v>516.5</v>
      </c>
      <c r="R2774" t="s">
        <v>76</v>
      </c>
      <c r="S2774">
        <v>1</v>
      </c>
      <c r="T2774">
        <v>0</v>
      </c>
      <c r="U2774">
        <f>IF(AND(OR(Dashboard!$D$4="Semua",D2774=Dashboard!$D$4),OR(Dashboard!$H$4="Semua",E2774=Dashboard!$H$4)),1,0)</f>
        <v>1</v>
      </c>
      <c r="V2774">
        <f>IF(U2774=1,IF(COUNTIFS($C$2:C2774,C2774,$U$2:U2774,1)=1,1,0),0)</f>
        <v>0</v>
      </c>
    </row>
    <row r="2775" spans="1:22" x14ac:dyDescent="0.35">
      <c r="A2775">
        <v>12774</v>
      </c>
      <c r="B2775" s="1">
        <v>47335</v>
      </c>
      <c r="C2775">
        <v>1275</v>
      </c>
      <c r="D2775" t="s">
        <v>73</v>
      </c>
      <c r="E2775" t="s">
        <v>63</v>
      </c>
      <c r="F2775">
        <v>2</v>
      </c>
      <c r="G2775" s="2">
        <v>118.68</v>
      </c>
      <c r="H2775">
        <v>0.12</v>
      </c>
      <c r="I2775" t="s">
        <v>64</v>
      </c>
      <c r="J2775">
        <v>1</v>
      </c>
      <c r="K2775">
        <v>1.2</v>
      </c>
      <c r="L2775" s="2">
        <v>208.88</v>
      </c>
      <c r="M2775">
        <v>2029</v>
      </c>
      <c r="N2775">
        <v>8</v>
      </c>
      <c r="O2775" t="s">
        <v>171</v>
      </c>
      <c r="P2775" s="2">
        <v>237.36</v>
      </c>
      <c r="Q2775" s="2">
        <v>28.48</v>
      </c>
      <c r="R2775" t="s">
        <v>79</v>
      </c>
      <c r="S2775">
        <v>1</v>
      </c>
      <c r="T2775">
        <v>0</v>
      </c>
      <c r="U2775">
        <f>IF(AND(OR(Dashboard!$D$4="Semua",D2775=Dashboard!$D$4),OR(Dashboard!$H$4="Semua",E2775=Dashboard!$H$4)),1,0)</f>
        <v>1</v>
      </c>
      <c r="V2775">
        <f>IF(U2775=1,IF(COUNTIFS($C$2:C2775,C2775,$U$2:U2775,1)=1,1,0),0)</f>
        <v>0</v>
      </c>
    </row>
    <row r="2776" spans="1:22" x14ac:dyDescent="0.35">
      <c r="A2776">
        <v>12775</v>
      </c>
      <c r="B2776" s="1">
        <v>47336</v>
      </c>
      <c r="C2776">
        <v>1692</v>
      </c>
      <c r="D2776" t="s">
        <v>73</v>
      </c>
      <c r="E2776" t="s">
        <v>63</v>
      </c>
      <c r="F2776">
        <v>5</v>
      </c>
      <c r="G2776" s="2">
        <v>414.1</v>
      </c>
      <c r="H2776">
        <v>0.33</v>
      </c>
      <c r="I2776" t="s">
        <v>71</v>
      </c>
      <c r="J2776">
        <v>10</v>
      </c>
      <c r="K2776">
        <v>3.5</v>
      </c>
      <c r="L2776" s="2">
        <v>1387.24</v>
      </c>
      <c r="M2776">
        <v>2029</v>
      </c>
      <c r="N2776">
        <v>8</v>
      </c>
      <c r="O2776" t="s">
        <v>171</v>
      </c>
      <c r="P2776" s="2">
        <v>2070.5</v>
      </c>
      <c r="Q2776" s="2">
        <v>683.26</v>
      </c>
      <c r="R2776" t="s">
        <v>72</v>
      </c>
      <c r="S2776">
        <v>1</v>
      </c>
      <c r="T2776">
        <v>0</v>
      </c>
      <c r="U2776">
        <f>IF(AND(OR(Dashboard!$D$4="Semua",D2776=Dashboard!$D$4),OR(Dashboard!$H$4="Semua",E2776=Dashboard!$H$4)),1,0)</f>
        <v>1</v>
      </c>
      <c r="V2776">
        <f>IF(U2776=1,IF(COUNTIFS($C$2:C2776,C2776,$U$2:U2776,1)=1,1,0),0)</f>
        <v>0</v>
      </c>
    </row>
    <row r="2777" spans="1:22" x14ac:dyDescent="0.35">
      <c r="A2777">
        <v>12776</v>
      </c>
      <c r="B2777" s="1">
        <v>47337</v>
      </c>
      <c r="C2777">
        <v>1241</v>
      </c>
      <c r="D2777" t="s">
        <v>62</v>
      </c>
      <c r="E2777" t="s">
        <v>63</v>
      </c>
      <c r="F2777">
        <v>7</v>
      </c>
      <c r="G2777" s="2">
        <v>325.32</v>
      </c>
      <c r="H2777">
        <v>0.3</v>
      </c>
      <c r="I2777" t="s">
        <v>64</v>
      </c>
      <c r="J2777">
        <v>5</v>
      </c>
      <c r="K2777">
        <v>2.7</v>
      </c>
      <c r="L2777" s="2">
        <v>1594.07</v>
      </c>
      <c r="M2777">
        <v>2029</v>
      </c>
      <c r="N2777">
        <v>8</v>
      </c>
      <c r="O2777" t="s">
        <v>171</v>
      </c>
      <c r="P2777" s="2">
        <v>2277.2399999999998</v>
      </c>
      <c r="Q2777" s="2">
        <v>683.17</v>
      </c>
      <c r="R2777" t="s">
        <v>66</v>
      </c>
      <c r="S2777">
        <v>1</v>
      </c>
      <c r="T2777">
        <v>0</v>
      </c>
      <c r="U2777">
        <f>IF(AND(OR(Dashboard!$D$4="Semua",D2777=Dashboard!$D$4),OR(Dashboard!$H$4="Semua",E2777=Dashboard!$H$4)),1,0)</f>
        <v>1</v>
      </c>
      <c r="V2777">
        <f>IF(U2777=1,IF(COUNTIFS($C$2:C2777,C2777,$U$2:U2777,1)=1,1,0),0)</f>
        <v>0</v>
      </c>
    </row>
    <row r="2778" spans="1:22" x14ac:dyDescent="0.35">
      <c r="A2778">
        <v>12777</v>
      </c>
      <c r="B2778" s="1">
        <v>47338</v>
      </c>
      <c r="C2778">
        <v>1215</v>
      </c>
      <c r="D2778" t="s">
        <v>67</v>
      </c>
      <c r="E2778" t="s">
        <v>78</v>
      </c>
      <c r="F2778">
        <v>1</v>
      </c>
      <c r="G2778" s="2">
        <v>63.67</v>
      </c>
      <c r="H2778">
        <v>0.34</v>
      </c>
      <c r="I2778" t="s">
        <v>71</v>
      </c>
      <c r="J2778">
        <v>3</v>
      </c>
      <c r="K2778">
        <v>4.5999999999999996</v>
      </c>
      <c r="L2778" s="2">
        <v>42.02</v>
      </c>
      <c r="M2778">
        <v>2029</v>
      </c>
      <c r="N2778">
        <v>8</v>
      </c>
      <c r="O2778" t="s">
        <v>171</v>
      </c>
      <c r="P2778" s="2">
        <v>63.67</v>
      </c>
      <c r="Q2778" s="2">
        <v>21.65</v>
      </c>
      <c r="R2778" t="s">
        <v>72</v>
      </c>
      <c r="S2778">
        <v>1</v>
      </c>
      <c r="T2778">
        <v>0</v>
      </c>
      <c r="U2778">
        <f>IF(AND(OR(Dashboard!$D$4="Semua",D2778=Dashboard!$D$4),OR(Dashboard!$H$4="Semua",E2778=Dashboard!$H$4)),1,0)</f>
        <v>1</v>
      </c>
      <c r="V2778">
        <f>IF(U2778=1,IF(COUNTIFS($C$2:C2778,C2778,$U$2:U2778,1)=1,1,0),0)</f>
        <v>0</v>
      </c>
    </row>
    <row r="2779" spans="1:22" x14ac:dyDescent="0.35">
      <c r="A2779">
        <v>12778</v>
      </c>
      <c r="B2779" s="1">
        <v>47339</v>
      </c>
      <c r="C2779">
        <v>1250</v>
      </c>
      <c r="D2779" t="s">
        <v>73</v>
      </c>
      <c r="E2779" t="s">
        <v>74</v>
      </c>
      <c r="F2779">
        <v>2</v>
      </c>
      <c r="G2779" s="2">
        <v>181.88</v>
      </c>
      <c r="H2779">
        <v>0.24</v>
      </c>
      <c r="I2779" t="s">
        <v>68</v>
      </c>
      <c r="J2779">
        <v>7</v>
      </c>
      <c r="K2779">
        <v>4.8</v>
      </c>
      <c r="L2779" s="2">
        <v>276.45999999999998</v>
      </c>
      <c r="M2779">
        <v>2029</v>
      </c>
      <c r="N2779">
        <v>8</v>
      </c>
      <c r="O2779" t="s">
        <v>171</v>
      </c>
      <c r="P2779" s="2">
        <v>363.76</v>
      </c>
      <c r="Q2779" s="2">
        <v>87.3</v>
      </c>
      <c r="R2779" t="s">
        <v>77</v>
      </c>
      <c r="S2779">
        <v>1</v>
      </c>
      <c r="T2779">
        <v>0</v>
      </c>
      <c r="U2779">
        <f>IF(AND(OR(Dashboard!$D$4="Semua",D2779=Dashboard!$D$4),OR(Dashboard!$H$4="Semua",E2779=Dashboard!$H$4)),1,0)</f>
        <v>1</v>
      </c>
      <c r="V2779">
        <f>IF(U2779=1,IF(COUNTIFS($C$2:C2779,C2779,$U$2:U2779,1)=1,1,0),0)</f>
        <v>0</v>
      </c>
    </row>
    <row r="2780" spans="1:22" x14ac:dyDescent="0.35">
      <c r="A2780">
        <v>12779</v>
      </c>
      <c r="B2780" s="1">
        <v>47340</v>
      </c>
      <c r="C2780">
        <v>1810</v>
      </c>
      <c r="D2780" t="s">
        <v>73</v>
      </c>
      <c r="E2780" t="s">
        <v>63</v>
      </c>
      <c r="F2780">
        <v>3</v>
      </c>
      <c r="G2780" s="2">
        <v>319.42</v>
      </c>
      <c r="H2780">
        <v>0.13</v>
      </c>
      <c r="I2780" t="s">
        <v>68</v>
      </c>
      <c r="J2780">
        <v>8</v>
      </c>
      <c r="K2780">
        <v>1.7</v>
      </c>
      <c r="L2780" s="2">
        <v>833.69</v>
      </c>
      <c r="M2780">
        <v>2029</v>
      </c>
      <c r="N2780">
        <v>8</v>
      </c>
      <c r="O2780" t="s">
        <v>171</v>
      </c>
      <c r="P2780" s="2">
        <v>958.26</v>
      </c>
      <c r="Q2780" s="2">
        <v>124.57</v>
      </c>
      <c r="R2780" t="s">
        <v>79</v>
      </c>
      <c r="S2780">
        <v>1</v>
      </c>
      <c r="T2780">
        <v>0</v>
      </c>
      <c r="U2780">
        <f>IF(AND(OR(Dashboard!$D$4="Semua",D2780=Dashboard!$D$4),OR(Dashboard!$H$4="Semua",E2780=Dashboard!$H$4)),1,0)</f>
        <v>1</v>
      </c>
      <c r="V2780">
        <f>IF(U2780=1,IF(COUNTIFS($C$2:C2780,C2780,$U$2:U2780,1)=1,1,0),0)</f>
        <v>0</v>
      </c>
    </row>
    <row r="2781" spans="1:22" x14ac:dyDescent="0.35">
      <c r="A2781">
        <v>12780</v>
      </c>
      <c r="B2781" s="1">
        <v>47341</v>
      </c>
      <c r="C2781">
        <v>1125</v>
      </c>
      <c r="D2781" t="s">
        <v>67</v>
      </c>
      <c r="E2781" t="s">
        <v>63</v>
      </c>
      <c r="F2781">
        <v>5</v>
      </c>
      <c r="G2781" s="2">
        <v>513.62</v>
      </c>
      <c r="H2781">
        <v>0.1</v>
      </c>
      <c r="I2781" t="s">
        <v>71</v>
      </c>
      <c r="J2781">
        <v>3</v>
      </c>
      <c r="K2781">
        <v>2.1</v>
      </c>
      <c r="L2781" s="2">
        <v>2311.29</v>
      </c>
      <c r="M2781">
        <v>2029</v>
      </c>
      <c r="N2781">
        <v>8</v>
      </c>
      <c r="O2781" t="s">
        <v>171</v>
      </c>
      <c r="P2781" s="2">
        <v>2568.1</v>
      </c>
      <c r="Q2781" s="2">
        <v>256.81</v>
      </c>
      <c r="R2781" t="s">
        <v>69</v>
      </c>
      <c r="S2781">
        <v>1</v>
      </c>
      <c r="T2781">
        <v>0</v>
      </c>
      <c r="U2781">
        <f>IF(AND(OR(Dashboard!$D$4="Semua",D2781=Dashboard!$D$4),OR(Dashboard!$H$4="Semua",E2781=Dashboard!$H$4)),1,0)</f>
        <v>1</v>
      </c>
      <c r="V2781">
        <f>IF(U2781=1,IF(COUNTIFS($C$2:C2781,C2781,$U$2:U2781,1)=1,1,0),0)</f>
        <v>0</v>
      </c>
    </row>
    <row r="2782" spans="1:22" x14ac:dyDescent="0.35">
      <c r="A2782">
        <v>12781</v>
      </c>
      <c r="B2782" s="1">
        <v>47342</v>
      </c>
      <c r="C2782">
        <v>1993</v>
      </c>
      <c r="D2782" t="s">
        <v>80</v>
      </c>
      <c r="E2782" t="s">
        <v>70</v>
      </c>
      <c r="F2782">
        <v>1</v>
      </c>
      <c r="G2782" s="2">
        <v>428.91</v>
      </c>
      <c r="H2782">
        <v>0.23</v>
      </c>
      <c r="I2782" t="s">
        <v>71</v>
      </c>
      <c r="J2782">
        <v>10</v>
      </c>
      <c r="K2782">
        <v>2.1</v>
      </c>
      <c r="L2782" s="2">
        <v>330.26</v>
      </c>
      <c r="M2782">
        <v>2029</v>
      </c>
      <c r="N2782">
        <v>8</v>
      </c>
      <c r="O2782" t="s">
        <v>171</v>
      </c>
      <c r="P2782" s="2">
        <v>428.91</v>
      </c>
      <c r="Q2782" s="2">
        <v>98.65</v>
      </c>
      <c r="R2782" t="s">
        <v>77</v>
      </c>
      <c r="S2782">
        <v>1</v>
      </c>
      <c r="T2782">
        <v>0</v>
      </c>
      <c r="U2782">
        <f>IF(AND(OR(Dashboard!$D$4="Semua",D2782=Dashboard!$D$4),OR(Dashboard!$H$4="Semua",E2782=Dashboard!$H$4)),1,0)</f>
        <v>1</v>
      </c>
      <c r="V2782">
        <f>IF(U2782=1,IF(COUNTIFS($C$2:C2782,C2782,$U$2:U2782,1)=1,1,0),0)</f>
        <v>0</v>
      </c>
    </row>
    <row r="2783" spans="1:22" x14ac:dyDescent="0.35">
      <c r="A2783">
        <v>12782</v>
      </c>
      <c r="B2783" s="1">
        <v>47343</v>
      </c>
      <c r="C2783">
        <v>1216</v>
      </c>
      <c r="D2783" t="s">
        <v>80</v>
      </c>
      <c r="E2783" t="s">
        <v>63</v>
      </c>
      <c r="F2783">
        <v>7</v>
      </c>
      <c r="G2783" s="2">
        <v>378.8</v>
      </c>
      <c r="H2783">
        <v>0.34</v>
      </c>
      <c r="I2783" t="s">
        <v>71</v>
      </c>
      <c r="J2783">
        <v>3</v>
      </c>
      <c r="K2783">
        <v>1.4</v>
      </c>
      <c r="L2783" s="2">
        <v>1750.06</v>
      </c>
      <c r="M2783">
        <v>2029</v>
      </c>
      <c r="N2783">
        <v>8</v>
      </c>
      <c r="O2783" t="s">
        <v>171</v>
      </c>
      <c r="P2783" s="2">
        <v>2651.6</v>
      </c>
      <c r="Q2783" s="2">
        <v>901.54</v>
      </c>
      <c r="R2783" t="s">
        <v>72</v>
      </c>
      <c r="S2783">
        <v>1</v>
      </c>
      <c r="T2783">
        <v>0</v>
      </c>
      <c r="U2783">
        <f>IF(AND(OR(Dashboard!$D$4="Semua",D2783=Dashboard!$D$4),OR(Dashboard!$H$4="Semua",E2783=Dashboard!$H$4)),1,0)</f>
        <v>1</v>
      </c>
      <c r="V2783">
        <f>IF(U2783=1,IF(COUNTIFS($C$2:C2783,C2783,$U$2:U2783,1)=1,1,0),0)</f>
        <v>0</v>
      </c>
    </row>
    <row r="2784" spans="1:22" x14ac:dyDescent="0.35">
      <c r="A2784">
        <v>12783</v>
      </c>
      <c r="B2784" s="1">
        <v>47344</v>
      </c>
      <c r="C2784">
        <v>1305</v>
      </c>
      <c r="D2784" t="s">
        <v>62</v>
      </c>
      <c r="E2784" t="s">
        <v>74</v>
      </c>
      <c r="F2784">
        <v>4</v>
      </c>
      <c r="G2784" s="2">
        <v>305.18</v>
      </c>
      <c r="H2784">
        <v>0.22</v>
      </c>
      <c r="I2784" t="s">
        <v>71</v>
      </c>
      <c r="J2784">
        <v>11</v>
      </c>
      <c r="K2784">
        <v>2.9</v>
      </c>
      <c r="L2784" s="2">
        <v>952.16</v>
      </c>
      <c r="M2784">
        <v>2029</v>
      </c>
      <c r="N2784">
        <v>8</v>
      </c>
      <c r="O2784" t="s">
        <v>171</v>
      </c>
      <c r="P2784" s="2">
        <v>1220.72</v>
      </c>
      <c r="Q2784" s="2">
        <v>268.56</v>
      </c>
      <c r="R2784" t="s">
        <v>77</v>
      </c>
      <c r="S2784">
        <v>1</v>
      </c>
      <c r="T2784">
        <v>0</v>
      </c>
      <c r="U2784">
        <f>IF(AND(OR(Dashboard!$D$4="Semua",D2784=Dashboard!$D$4),OR(Dashboard!$H$4="Semua",E2784=Dashboard!$H$4)),1,0)</f>
        <v>1</v>
      </c>
      <c r="V2784">
        <f>IF(U2784=1,IF(COUNTIFS($C$2:C2784,C2784,$U$2:U2784,1)=1,1,0),0)</f>
        <v>0</v>
      </c>
    </row>
    <row r="2785" spans="1:22" x14ac:dyDescent="0.35">
      <c r="A2785">
        <v>12784</v>
      </c>
      <c r="B2785" s="1">
        <v>47345</v>
      </c>
      <c r="C2785">
        <v>1796</v>
      </c>
      <c r="D2785" t="s">
        <v>73</v>
      </c>
      <c r="E2785" t="s">
        <v>70</v>
      </c>
      <c r="F2785">
        <v>4</v>
      </c>
      <c r="G2785" s="2">
        <v>189.73</v>
      </c>
      <c r="H2785">
        <v>0.31</v>
      </c>
      <c r="I2785" t="s">
        <v>71</v>
      </c>
      <c r="J2785">
        <v>3</v>
      </c>
      <c r="K2785">
        <v>3.1</v>
      </c>
      <c r="L2785" s="2">
        <v>523.65</v>
      </c>
      <c r="M2785">
        <v>2029</v>
      </c>
      <c r="N2785">
        <v>8</v>
      </c>
      <c r="O2785" t="s">
        <v>171</v>
      </c>
      <c r="P2785" s="2">
        <v>758.92</v>
      </c>
      <c r="Q2785" s="2">
        <v>235.27</v>
      </c>
      <c r="R2785" t="s">
        <v>72</v>
      </c>
      <c r="S2785">
        <v>1</v>
      </c>
      <c r="T2785">
        <v>0</v>
      </c>
      <c r="U2785">
        <f>IF(AND(OR(Dashboard!$D$4="Semua",D2785=Dashboard!$D$4),OR(Dashboard!$H$4="Semua",E2785=Dashboard!$H$4)),1,0)</f>
        <v>1</v>
      </c>
      <c r="V2785">
        <f>IF(U2785=1,IF(COUNTIFS($C$2:C2785,C2785,$U$2:U2785,1)=1,1,0),0)</f>
        <v>0</v>
      </c>
    </row>
    <row r="2786" spans="1:22" x14ac:dyDescent="0.35">
      <c r="A2786">
        <v>12785</v>
      </c>
      <c r="B2786" s="1">
        <v>47346</v>
      </c>
      <c r="C2786">
        <v>1184</v>
      </c>
      <c r="D2786" t="s">
        <v>67</v>
      </c>
      <c r="E2786" t="s">
        <v>70</v>
      </c>
      <c r="F2786">
        <v>7</v>
      </c>
      <c r="G2786" s="2">
        <v>84.76</v>
      </c>
      <c r="H2786">
        <v>0.12</v>
      </c>
      <c r="I2786" t="s">
        <v>68</v>
      </c>
      <c r="J2786">
        <v>11</v>
      </c>
      <c r="K2786">
        <v>3.3</v>
      </c>
      <c r="L2786" s="2">
        <v>522.12</v>
      </c>
      <c r="M2786">
        <v>2029</v>
      </c>
      <c r="N2786">
        <v>8</v>
      </c>
      <c r="O2786" t="s">
        <v>171</v>
      </c>
      <c r="P2786" s="2">
        <v>593.32000000000005</v>
      </c>
      <c r="Q2786" s="2">
        <v>71.2</v>
      </c>
      <c r="R2786" t="s">
        <v>79</v>
      </c>
      <c r="S2786">
        <v>1</v>
      </c>
      <c r="T2786">
        <v>0</v>
      </c>
      <c r="U2786">
        <f>IF(AND(OR(Dashboard!$D$4="Semua",D2786=Dashboard!$D$4),OR(Dashboard!$H$4="Semua",E2786=Dashboard!$H$4)),1,0)</f>
        <v>1</v>
      </c>
      <c r="V2786">
        <f>IF(U2786=1,IF(COUNTIFS($C$2:C2786,C2786,$U$2:U2786,1)=1,1,0),0)</f>
        <v>1</v>
      </c>
    </row>
    <row r="2787" spans="1:22" x14ac:dyDescent="0.35">
      <c r="A2787">
        <v>12786</v>
      </c>
      <c r="B2787" s="1">
        <v>47347</v>
      </c>
      <c r="C2787">
        <v>1038</v>
      </c>
      <c r="D2787" t="s">
        <v>67</v>
      </c>
      <c r="E2787" t="s">
        <v>70</v>
      </c>
      <c r="F2787">
        <v>5</v>
      </c>
      <c r="G2787" s="2">
        <v>254.31</v>
      </c>
      <c r="H2787">
        <v>0.14000000000000001</v>
      </c>
      <c r="I2787" t="s">
        <v>64</v>
      </c>
      <c r="J2787">
        <v>6</v>
      </c>
      <c r="K2787">
        <v>3.7</v>
      </c>
      <c r="L2787" s="2">
        <v>1093.53</v>
      </c>
      <c r="M2787">
        <v>2029</v>
      </c>
      <c r="N2787">
        <v>8</v>
      </c>
      <c r="O2787" t="s">
        <v>171</v>
      </c>
      <c r="P2787" s="2">
        <v>1271.55</v>
      </c>
      <c r="Q2787" s="2">
        <v>178.02</v>
      </c>
      <c r="R2787" t="s">
        <v>79</v>
      </c>
      <c r="S2787">
        <v>1</v>
      </c>
      <c r="T2787">
        <v>0</v>
      </c>
      <c r="U2787">
        <f>IF(AND(OR(Dashboard!$D$4="Semua",D2787=Dashboard!$D$4),OR(Dashboard!$H$4="Semua",E2787=Dashboard!$H$4)),1,0)</f>
        <v>1</v>
      </c>
      <c r="V2787">
        <f>IF(U2787=1,IF(COUNTIFS($C$2:C2787,C2787,$U$2:U2787,1)=1,1,0),0)</f>
        <v>0</v>
      </c>
    </row>
    <row r="2788" spans="1:22" x14ac:dyDescent="0.35">
      <c r="A2788">
        <v>12787</v>
      </c>
      <c r="B2788" s="1">
        <v>47348</v>
      </c>
      <c r="C2788">
        <v>1222</v>
      </c>
      <c r="D2788" t="s">
        <v>67</v>
      </c>
      <c r="E2788" t="s">
        <v>78</v>
      </c>
      <c r="F2788">
        <v>4</v>
      </c>
      <c r="G2788" s="2">
        <v>31.68</v>
      </c>
      <c r="H2788">
        <v>0.32</v>
      </c>
      <c r="I2788" t="s">
        <v>71</v>
      </c>
      <c r="J2788">
        <v>6</v>
      </c>
      <c r="K2788">
        <v>1.3</v>
      </c>
      <c r="L2788" s="2">
        <v>86.17</v>
      </c>
      <c r="M2788">
        <v>2029</v>
      </c>
      <c r="N2788">
        <v>8</v>
      </c>
      <c r="O2788" t="s">
        <v>171</v>
      </c>
      <c r="P2788" s="2">
        <v>126.72</v>
      </c>
      <c r="Q2788" s="2">
        <v>40.549999999999997</v>
      </c>
      <c r="R2788" t="s">
        <v>72</v>
      </c>
      <c r="S2788">
        <v>1</v>
      </c>
      <c r="T2788">
        <v>0</v>
      </c>
      <c r="U2788">
        <f>IF(AND(OR(Dashboard!$D$4="Semua",D2788=Dashboard!$D$4),OR(Dashboard!$H$4="Semua",E2788=Dashboard!$H$4)),1,0)</f>
        <v>1</v>
      </c>
      <c r="V2788">
        <f>IF(U2788=1,IF(COUNTIFS($C$2:C2788,C2788,$U$2:U2788,1)=1,1,0),0)</f>
        <v>0</v>
      </c>
    </row>
    <row r="2789" spans="1:22" x14ac:dyDescent="0.35">
      <c r="A2789">
        <v>12788</v>
      </c>
      <c r="B2789" s="1">
        <v>47349</v>
      </c>
      <c r="C2789">
        <v>1183</v>
      </c>
      <c r="D2789" t="s">
        <v>73</v>
      </c>
      <c r="E2789" t="s">
        <v>70</v>
      </c>
      <c r="F2789">
        <v>3</v>
      </c>
      <c r="G2789" s="2">
        <v>138.47</v>
      </c>
      <c r="H2789">
        <v>0.26</v>
      </c>
      <c r="I2789" t="s">
        <v>68</v>
      </c>
      <c r="J2789">
        <v>3</v>
      </c>
      <c r="K2789">
        <v>3.5</v>
      </c>
      <c r="L2789" s="2">
        <v>307.39999999999998</v>
      </c>
      <c r="M2789">
        <v>2029</v>
      </c>
      <c r="N2789">
        <v>8</v>
      </c>
      <c r="O2789" t="s">
        <v>171</v>
      </c>
      <c r="P2789" s="2">
        <v>415.41</v>
      </c>
      <c r="Q2789" s="2">
        <v>108.01</v>
      </c>
      <c r="R2789" t="s">
        <v>66</v>
      </c>
      <c r="S2789">
        <v>1</v>
      </c>
      <c r="T2789">
        <v>0</v>
      </c>
      <c r="U2789">
        <f>IF(AND(OR(Dashboard!$D$4="Semua",D2789=Dashboard!$D$4),OR(Dashboard!$H$4="Semua",E2789=Dashboard!$H$4)),1,0)</f>
        <v>1</v>
      </c>
      <c r="V2789">
        <f>IF(U2789=1,IF(COUNTIFS($C$2:C2789,C2789,$U$2:U2789,1)=1,1,0),0)</f>
        <v>0</v>
      </c>
    </row>
    <row r="2790" spans="1:22" x14ac:dyDescent="0.35">
      <c r="A2790">
        <v>12789</v>
      </c>
      <c r="B2790" s="1">
        <v>47350</v>
      </c>
      <c r="C2790">
        <v>1494</v>
      </c>
      <c r="D2790" t="s">
        <v>62</v>
      </c>
      <c r="E2790" t="s">
        <v>63</v>
      </c>
      <c r="F2790">
        <v>2</v>
      </c>
      <c r="G2790" s="2">
        <v>268</v>
      </c>
      <c r="H2790">
        <v>0.34</v>
      </c>
      <c r="I2790" t="s">
        <v>71</v>
      </c>
      <c r="J2790">
        <v>6</v>
      </c>
      <c r="K2790">
        <v>4.7</v>
      </c>
      <c r="L2790" s="2">
        <v>353.76</v>
      </c>
      <c r="M2790">
        <v>2029</v>
      </c>
      <c r="N2790">
        <v>8</v>
      </c>
      <c r="O2790" t="s">
        <v>171</v>
      </c>
      <c r="P2790" s="2">
        <v>536</v>
      </c>
      <c r="Q2790" s="2">
        <v>182.24</v>
      </c>
      <c r="R2790" t="s">
        <v>72</v>
      </c>
      <c r="S2790">
        <v>1</v>
      </c>
      <c r="T2790">
        <v>0</v>
      </c>
      <c r="U2790">
        <f>IF(AND(OR(Dashboard!$D$4="Semua",D2790=Dashboard!$D$4),OR(Dashboard!$H$4="Semua",E2790=Dashboard!$H$4)),1,0)</f>
        <v>1</v>
      </c>
      <c r="V2790">
        <f>IF(U2790=1,IF(COUNTIFS($C$2:C2790,C2790,$U$2:U2790,1)=1,1,0),0)</f>
        <v>0</v>
      </c>
    </row>
    <row r="2791" spans="1:22" x14ac:dyDescent="0.35">
      <c r="A2791">
        <v>12790</v>
      </c>
      <c r="B2791" s="1">
        <v>47351</v>
      </c>
      <c r="C2791">
        <v>1426</v>
      </c>
      <c r="D2791" t="s">
        <v>62</v>
      </c>
      <c r="E2791" t="s">
        <v>78</v>
      </c>
      <c r="F2791">
        <v>1</v>
      </c>
      <c r="G2791" s="2">
        <v>259.88</v>
      </c>
      <c r="H2791">
        <v>0.27</v>
      </c>
      <c r="I2791" t="s">
        <v>71</v>
      </c>
      <c r="J2791">
        <v>9</v>
      </c>
      <c r="K2791">
        <v>2.8</v>
      </c>
      <c r="L2791" s="2">
        <v>189.71</v>
      </c>
      <c r="M2791">
        <v>2029</v>
      </c>
      <c r="N2791">
        <v>8</v>
      </c>
      <c r="O2791" t="s">
        <v>171</v>
      </c>
      <c r="P2791" s="2">
        <v>259.88</v>
      </c>
      <c r="Q2791" s="2">
        <v>70.17</v>
      </c>
      <c r="R2791" t="s">
        <v>66</v>
      </c>
      <c r="S2791">
        <v>1</v>
      </c>
      <c r="T2791">
        <v>0</v>
      </c>
      <c r="U2791">
        <f>IF(AND(OR(Dashboard!$D$4="Semua",D2791=Dashboard!$D$4),OR(Dashboard!$H$4="Semua",E2791=Dashboard!$H$4)),1,0)</f>
        <v>1</v>
      </c>
      <c r="V2791">
        <f>IF(U2791=1,IF(COUNTIFS($C$2:C2791,C2791,$U$2:U2791,1)=1,1,0),0)</f>
        <v>0</v>
      </c>
    </row>
    <row r="2792" spans="1:22" x14ac:dyDescent="0.35">
      <c r="A2792">
        <v>12791</v>
      </c>
      <c r="B2792" s="1">
        <v>47352</v>
      </c>
      <c r="C2792">
        <v>1177</v>
      </c>
      <c r="D2792" t="s">
        <v>67</v>
      </c>
      <c r="E2792" t="s">
        <v>78</v>
      </c>
      <c r="F2792">
        <v>6</v>
      </c>
      <c r="G2792" s="2">
        <v>40.909999999999997</v>
      </c>
      <c r="H2792">
        <v>0.16</v>
      </c>
      <c r="I2792" t="s">
        <v>68</v>
      </c>
      <c r="J2792">
        <v>11</v>
      </c>
      <c r="K2792">
        <v>1.4</v>
      </c>
      <c r="L2792" s="2">
        <v>206.19</v>
      </c>
      <c r="M2792">
        <v>2029</v>
      </c>
      <c r="N2792">
        <v>8</v>
      </c>
      <c r="O2792" t="s">
        <v>171</v>
      </c>
      <c r="P2792" s="2">
        <v>245.46</v>
      </c>
      <c r="Q2792" s="2">
        <v>39.270000000000003</v>
      </c>
      <c r="R2792" t="s">
        <v>76</v>
      </c>
      <c r="S2792">
        <v>1</v>
      </c>
      <c r="T2792">
        <v>0</v>
      </c>
      <c r="U2792">
        <f>IF(AND(OR(Dashboard!$D$4="Semua",D2792=Dashboard!$D$4),OR(Dashboard!$H$4="Semua",E2792=Dashboard!$H$4)),1,0)</f>
        <v>1</v>
      </c>
      <c r="V2792">
        <f>IF(U2792=1,IF(COUNTIFS($C$2:C2792,C2792,$U$2:U2792,1)=1,1,0),0)</f>
        <v>0</v>
      </c>
    </row>
    <row r="2793" spans="1:22" x14ac:dyDescent="0.35">
      <c r="A2793">
        <v>12792</v>
      </c>
      <c r="B2793" s="1">
        <v>47353</v>
      </c>
      <c r="C2793">
        <v>1918</v>
      </c>
      <c r="D2793" t="s">
        <v>67</v>
      </c>
      <c r="E2793" t="s">
        <v>78</v>
      </c>
      <c r="F2793">
        <v>5</v>
      </c>
      <c r="G2793" s="2">
        <v>359.6</v>
      </c>
      <c r="H2793">
        <v>0.19</v>
      </c>
      <c r="I2793" t="s">
        <v>68</v>
      </c>
      <c r="J2793">
        <v>8</v>
      </c>
      <c r="K2793">
        <v>1.3</v>
      </c>
      <c r="L2793" s="2">
        <v>1456.38</v>
      </c>
      <c r="M2793">
        <v>2029</v>
      </c>
      <c r="N2793">
        <v>8</v>
      </c>
      <c r="O2793" t="s">
        <v>171</v>
      </c>
      <c r="P2793" s="2">
        <v>1798</v>
      </c>
      <c r="Q2793" s="2">
        <v>341.62</v>
      </c>
      <c r="R2793" t="s">
        <v>76</v>
      </c>
      <c r="S2793">
        <v>1</v>
      </c>
      <c r="T2793">
        <v>0</v>
      </c>
      <c r="U2793">
        <f>IF(AND(OR(Dashboard!$D$4="Semua",D2793=Dashboard!$D$4),OR(Dashboard!$H$4="Semua",E2793=Dashboard!$H$4)),1,0)</f>
        <v>1</v>
      </c>
      <c r="V2793">
        <f>IF(U2793=1,IF(COUNTIFS($C$2:C2793,C2793,$U$2:U2793,1)=1,1,0),0)</f>
        <v>0</v>
      </c>
    </row>
    <row r="2794" spans="1:22" x14ac:dyDescent="0.35">
      <c r="A2794">
        <v>12793</v>
      </c>
      <c r="B2794" s="1">
        <v>47354</v>
      </c>
      <c r="C2794">
        <v>1427</v>
      </c>
      <c r="D2794" t="s">
        <v>73</v>
      </c>
      <c r="E2794" t="s">
        <v>78</v>
      </c>
      <c r="F2794">
        <v>4</v>
      </c>
      <c r="G2794" s="2">
        <v>336.57</v>
      </c>
      <c r="H2794">
        <v>0.32</v>
      </c>
      <c r="I2794" t="s">
        <v>68</v>
      </c>
      <c r="J2794">
        <v>11</v>
      </c>
      <c r="K2794">
        <v>2.1</v>
      </c>
      <c r="L2794" s="2">
        <v>915.47</v>
      </c>
      <c r="M2794">
        <v>2029</v>
      </c>
      <c r="N2794">
        <v>8</v>
      </c>
      <c r="O2794" t="s">
        <v>171</v>
      </c>
      <c r="P2794" s="2">
        <v>1346.28</v>
      </c>
      <c r="Q2794" s="2">
        <v>430.81</v>
      </c>
      <c r="R2794" t="s">
        <v>72</v>
      </c>
      <c r="S2794">
        <v>1</v>
      </c>
      <c r="T2794">
        <v>0</v>
      </c>
      <c r="U2794">
        <f>IF(AND(OR(Dashboard!$D$4="Semua",D2794=Dashboard!$D$4),OR(Dashboard!$H$4="Semua",E2794=Dashboard!$H$4)),1,0)</f>
        <v>1</v>
      </c>
      <c r="V2794">
        <f>IF(U2794=1,IF(COUNTIFS($C$2:C2794,C2794,$U$2:U2794,1)=1,1,0),0)</f>
        <v>0</v>
      </c>
    </row>
    <row r="2795" spans="1:22" x14ac:dyDescent="0.35">
      <c r="A2795">
        <v>12794</v>
      </c>
      <c r="B2795" s="1">
        <v>47355</v>
      </c>
      <c r="C2795">
        <v>1293</v>
      </c>
      <c r="D2795" t="s">
        <v>67</v>
      </c>
      <c r="E2795" t="s">
        <v>78</v>
      </c>
      <c r="F2795">
        <v>2</v>
      </c>
      <c r="G2795" s="2">
        <v>60.69</v>
      </c>
      <c r="H2795">
        <v>0.19</v>
      </c>
      <c r="I2795" t="s">
        <v>68</v>
      </c>
      <c r="J2795">
        <v>7</v>
      </c>
      <c r="K2795">
        <v>4</v>
      </c>
      <c r="L2795" s="2">
        <v>98.32</v>
      </c>
      <c r="M2795">
        <v>2029</v>
      </c>
      <c r="N2795">
        <v>8</v>
      </c>
      <c r="O2795" t="s">
        <v>171</v>
      </c>
      <c r="P2795" s="2">
        <v>121.38</v>
      </c>
      <c r="Q2795" s="2">
        <v>23.06</v>
      </c>
      <c r="R2795" t="s">
        <v>76</v>
      </c>
      <c r="S2795">
        <v>1</v>
      </c>
      <c r="T2795">
        <v>0</v>
      </c>
      <c r="U2795">
        <f>IF(AND(OR(Dashboard!$D$4="Semua",D2795=Dashboard!$D$4),OR(Dashboard!$H$4="Semua",E2795=Dashboard!$H$4)),1,0)</f>
        <v>1</v>
      </c>
      <c r="V2795">
        <f>IF(U2795=1,IF(COUNTIFS($C$2:C2795,C2795,$U$2:U2795,1)=1,1,0),0)</f>
        <v>0</v>
      </c>
    </row>
    <row r="2796" spans="1:22" x14ac:dyDescent="0.35">
      <c r="A2796">
        <v>12795</v>
      </c>
      <c r="B2796" s="1">
        <v>47356</v>
      </c>
      <c r="C2796">
        <v>1851</v>
      </c>
      <c r="D2796" t="s">
        <v>80</v>
      </c>
      <c r="E2796" t="s">
        <v>78</v>
      </c>
      <c r="F2796">
        <v>6</v>
      </c>
      <c r="G2796" s="2">
        <v>566.75</v>
      </c>
      <c r="H2796">
        <v>0.09</v>
      </c>
      <c r="I2796" t="s">
        <v>68</v>
      </c>
      <c r="J2796">
        <v>7</v>
      </c>
      <c r="K2796">
        <v>2</v>
      </c>
      <c r="L2796" s="2">
        <v>3094.46</v>
      </c>
      <c r="M2796">
        <v>2029</v>
      </c>
      <c r="N2796">
        <v>8</v>
      </c>
      <c r="O2796" t="s">
        <v>171</v>
      </c>
      <c r="P2796" s="2">
        <v>3400.5</v>
      </c>
      <c r="Q2796" s="2">
        <v>306.04000000000002</v>
      </c>
      <c r="R2796" t="s">
        <v>69</v>
      </c>
      <c r="S2796">
        <v>1</v>
      </c>
      <c r="T2796">
        <v>0</v>
      </c>
      <c r="U2796">
        <f>IF(AND(OR(Dashboard!$D$4="Semua",D2796=Dashboard!$D$4),OR(Dashboard!$H$4="Semua",E2796=Dashboard!$H$4)),1,0)</f>
        <v>1</v>
      </c>
      <c r="V2796">
        <f>IF(U2796=1,IF(COUNTIFS($C$2:C2796,C2796,$U$2:U2796,1)=1,1,0),0)</f>
        <v>0</v>
      </c>
    </row>
    <row r="2797" spans="1:22" x14ac:dyDescent="0.35">
      <c r="A2797">
        <v>12796</v>
      </c>
      <c r="B2797" s="1">
        <v>47357</v>
      </c>
      <c r="C2797">
        <v>1150</v>
      </c>
      <c r="D2797" t="s">
        <v>67</v>
      </c>
      <c r="E2797" t="s">
        <v>78</v>
      </c>
      <c r="F2797">
        <v>3</v>
      </c>
      <c r="G2797" s="2">
        <v>73.14</v>
      </c>
      <c r="H2797">
        <v>0.15</v>
      </c>
      <c r="I2797" t="s">
        <v>68</v>
      </c>
      <c r="J2797">
        <v>8</v>
      </c>
      <c r="K2797">
        <v>4.3</v>
      </c>
      <c r="L2797" s="2">
        <v>186.51</v>
      </c>
      <c r="M2797">
        <v>2029</v>
      </c>
      <c r="N2797">
        <v>8</v>
      </c>
      <c r="O2797" t="s">
        <v>171</v>
      </c>
      <c r="P2797" s="2">
        <v>219.42</v>
      </c>
      <c r="Q2797" s="2">
        <v>32.909999999999997</v>
      </c>
      <c r="R2797" t="s">
        <v>79</v>
      </c>
      <c r="S2797">
        <v>1</v>
      </c>
      <c r="T2797">
        <v>0</v>
      </c>
      <c r="U2797">
        <f>IF(AND(OR(Dashboard!$D$4="Semua",D2797=Dashboard!$D$4),OR(Dashboard!$H$4="Semua",E2797=Dashboard!$H$4)),1,0)</f>
        <v>1</v>
      </c>
      <c r="V2797">
        <f>IF(U2797=1,IF(COUNTIFS($C$2:C2797,C2797,$U$2:U2797,1)=1,1,0),0)</f>
        <v>0</v>
      </c>
    </row>
    <row r="2798" spans="1:22" x14ac:dyDescent="0.35">
      <c r="A2798">
        <v>12797</v>
      </c>
      <c r="B2798" s="1">
        <v>47358</v>
      </c>
      <c r="C2798">
        <v>1383</v>
      </c>
      <c r="D2798" t="s">
        <v>62</v>
      </c>
      <c r="E2798" t="s">
        <v>70</v>
      </c>
      <c r="F2798">
        <v>4</v>
      </c>
      <c r="G2798" s="2">
        <v>515.08000000000004</v>
      </c>
      <c r="H2798">
        <v>0.18</v>
      </c>
      <c r="I2798" t="s">
        <v>68</v>
      </c>
      <c r="J2798">
        <v>7</v>
      </c>
      <c r="K2798">
        <v>4.3</v>
      </c>
      <c r="L2798" s="2">
        <v>1689.46</v>
      </c>
      <c r="M2798">
        <v>2029</v>
      </c>
      <c r="N2798">
        <v>8</v>
      </c>
      <c r="O2798" t="s">
        <v>171</v>
      </c>
      <c r="P2798" s="2">
        <v>2060.3200000000002</v>
      </c>
      <c r="Q2798" s="2">
        <v>370.86</v>
      </c>
      <c r="R2798" t="s">
        <v>76</v>
      </c>
      <c r="S2798">
        <v>1</v>
      </c>
      <c r="T2798">
        <v>0</v>
      </c>
      <c r="U2798">
        <f>IF(AND(OR(Dashboard!$D$4="Semua",D2798=Dashboard!$D$4),OR(Dashboard!$H$4="Semua",E2798=Dashboard!$H$4)),1,0)</f>
        <v>1</v>
      </c>
      <c r="V2798">
        <f>IF(U2798=1,IF(COUNTIFS($C$2:C2798,C2798,$U$2:U2798,1)=1,1,0),0)</f>
        <v>0</v>
      </c>
    </row>
    <row r="2799" spans="1:22" x14ac:dyDescent="0.35">
      <c r="A2799">
        <v>12798</v>
      </c>
      <c r="B2799" s="1">
        <v>47359</v>
      </c>
      <c r="C2799">
        <v>1637</v>
      </c>
      <c r="D2799" t="s">
        <v>67</v>
      </c>
      <c r="E2799" t="s">
        <v>74</v>
      </c>
      <c r="F2799">
        <v>4</v>
      </c>
      <c r="G2799" s="2">
        <v>15.18</v>
      </c>
      <c r="H2799">
        <v>0.03</v>
      </c>
      <c r="I2799" t="s">
        <v>68</v>
      </c>
      <c r="J2799">
        <v>3</v>
      </c>
      <c r="K2799">
        <v>2.8</v>
      </c>
      <c r="L2799" s="2">
        <v>58.9</v>
      </c>
      <c r="M2799">
        <v>2029</v>
      </c>
      <c r="N2799">
        <v>8</v>
      </c>
      <c r="O2799" t="s">
        <v>171</v>
      </c>
      <c r="P2799" s="2">
        <v>60.72</v>
      </c>
      <c r="Q2799" s="2">
        <v>1.82</v>
      </c>
      <c r="R2799" t="s">
        <v>75</v>
      </c>
      <c r="S2799">
        <v>1</v>
      </c>
      <c r="T2799">
        <v>0</v>
      </c>
      <c r="U2799">
        <f>IF(AND(OR(Dashboard!$D$4="Semua",D2799=Dashboard!$D$4),OR(Dashboard!$H$4="Semua",E2799=Dashboard!$H$4)),1,0)</f>
        <v>1</v>
      </c>
      <c r="V2799">
        <f>IF(U2799=1,IF(COUNTIFS($C$2:C2799,C2799,$U$2:U2799,1)=1,1,0),0)</f>
        <v>0</v>
      </c>
    </row>
    <row r="2800" spans="1:22" x14ac:dyDescent="0.35">
      <c r="A2800">
        <v>12799</v>
      </c>
      <c r="B2800" s="1">
        <v>47360</v>
      </c>
      <c r="C2800">
        <v>1812</v>
      </c>
      <c r="D2800" t="s">
        <v>67</v>
      </c>
      <c r="E2800" t="s">
        <v>63</v>
      </c>
      <c r="F2800">
        <v>1</v>
      </c>
      <c r="G2800" s="2">
        <v>531.13</v>
      </c>
      <c r="H2800">
        <v>0.26</v>
      </c>
      <c r="I2800" t="s">
        <v>64</v>
      </c>
      <c r="J2800">
        <v>8</v>
      </c>
      <c r="K2800">
        <v>2.2000000000000002</v>
      </c>
      <c r="L2800" s="2">
        <v>393.04</v>
      </c>
      <c r="M2800">
        <v>2029</v>
      </c>
      <c r="N2800">
        <v>8</v>
      </c>
      <c r="O2800" t="s">
        <v>171</v>
      </c>
      <c r="P2800" s="2">
        <v>531.13</v>
      </c>
      <c r="Q2800" s="2">
        <v>138.09</v>
      </c>
      <c r="R2800" t="s">
        <v>66</v>
      </c>
      <c r="S2800">
        <v>1</v>
      </c>
      <c r="T2800">
        <v>0</v>
      </c>
      <c r="U2800">
        <f>IF(AND(OR(Dashboard!$D$4="Semua",D2800=Dashboard!$D$4),OR(Dashboard!$H$4="Semua",E2800=Dashboard!$H$4)),1,0)</f>
        <v>1</v>
      </c>
      <c r="V2800">
        <f>IF(U2800=1,IF(COUNTIFS($C$2:C2800,C2800,$U$2:U2800,1)=1,1,0),0)</f>
        <v>0</v>
      </c>
    </row>
    <row r="2801" spans="1:22" x14ac:dyDescent="0.35">
      <c r="A2801">
        <v>12800</v>
      </c>
      <c r="B2801" s="1">
        <v>47361</v>
      </c>
      <c r="C2801">
        <v>1307</v>
      </c>
      <c r="D2801" t="s">
        <v>80</v>
      </c>
      <c r="E2801" t="s">
        <v>63</v>
      </c>
      <c r="F2801">
        <v>3</v>
      </c>
      <c r="G2801" s="2">
        <v>26.54</v>
      </c>
      <c r="H2801">
        <v>0.04</v>
      </c>
      <c r="I2801" t="s">
        <v>68</v>
      </c>
      <c r="J2801">
        <v>8</v>
      </c>
      <c r="K2801">
        <v>3.4</v>
      </c>
      <c r="L2801" s="2">
        <v>76.44</v>
      </c>
      <c r="M2801">
        <v>2029</v>
      </c>
      <c r="N2801">
        <v>8</v>
      </c>
      <c r="O2801" t="s">
        <v>171</v>
      </c>
      <c r="P2801" s="2">
        <v>79.62</v>
      </c>
      <c r="Q2801" s="2">
        <v>3.18</v>
      </c>
      <c r="R2801" t="s">
        <v>75</v>
      </c>
      <c r="S2801">
        <v>1</v>
      </c>
      <c r="T2801">
        <v>0</v>
      </c>
      <c r="U2801">
        <f>IF(AND(OR(Dashboard!$D$4="Semua",D2801=Dashboard!$D$4),OR(Dashboard!$H$4="Semua",E2801=Dashboard!$H$4)),1,0)</f>
        <v>1</v>
      </c>
      <c r="V2801">
        <f>IF(U2801=1,IF(COUNTIFS($C$2:C2801,C2801,$U$2:U2801,1)=1,1,0),0)</f>
        <v>0</v>
      </c>
    </row>
    <row r="2802" spans="1:22" x14ac:dyDescent="0.35">
      <c r="A2802">
        <v>12801</v>
      </c>
      <c r="B2802" s="1">
        <v>47362</v>
      </c>
      <c r="C2802">
        <v>1335</v>
      </c>
      <c r="D2802" t="s">
        <v>73</v>
      </c>
      <c r="E2802" t="s">
        <v>70</v>
      </c>
      <c r="F2802">
        <v>3</v>
      </c>
      <c r="G2802" s="2">
        <v>458.32</v>
      </c>
      <c r="H2802">
        <v>0.14000000000000001</v>
      </c>
      <c r="I2802" t="s">
        <v>68</v>
      </c>
      <c r="J2802">
        <v>1</v>
      </c>
      <c r="K2802">
        <v>4.2</v>
      </c>
      <c r="L2802" s="2">
        <v>1182.47</v>
      </c>
      <c r="M2802">
        <v>2029</v>
      </c>
      <c r="N2802">
        <v>9</v>
      </c>
      <c r="O2802" t="s">
        <v>172</v>
      </c>
      <c r="P2802" s="2">
        <v>1374.96</v>
      </c>
      <c r="Q2802" s="2">
        <v>192.49</v>
      </c>
      <c r="R2802" t="s">
        <v>79</v>
      </c>
      <c r="S2802">
        <v>1</v>
      </c>
      <c r="T2802">
        <v>0</v>
      </c>
      <c r="U2802">
        <f>IF(AND(OR(Dashboard!$D$4="Semua",D2802=Dashboard!$D$4),OR(Dashboard!$H$4="Semua",E2802=Dashboard!$H$4)),1,0)</f>
        <v>1</v>
      </c>
      <c r="V2802">
        <f>IF(U2802=1,IF(COUNTIFS($C$2:C2802,C2802,$U$2:U2802,1)=1,1,0),0)</f>
        <v>0</v>
      </c>
    </row>
    <row r="2803" spans="1:22" x14ac:dyDescent="0.35">
      <c r="A2803">
        <v>12802</v>
      </c>
      <c r="B2803" s="1">
        <v>47363</v>
      </c>
      <c r="C2803">
        <v>1945</v>
      </c>
      <c r="D2803" t="s">
        <v>67</v>
      </c>
      <c r="E2803" t="s">
        <v>70</v>
      </c>
      <c r="F2803">
        <v>5</v>
      </c>
      <c r="G2803" s="2">
        <v>226.59</v>
      </c>
      <c r="H2803">
        <v>0.28000000000000003</v>
      </c>
      <c r="I2803" t="s">
        <v>68</v>
      </c>
      <c r="J2803">
        <v>10</v>
      </c>
      <c r="K2803">
        <v>1.3</v>
      </c>
      <c r="L2803" s="2">
        <v>815.72</v>
      </c>
      <c r="M2803">
        <v>2029</v>
      </c>
      <c r="N2803">
        <v>9</v>
      </c>
      <c r="O2803" t="s">
        <v>172</v>
      </c>
      <c r="P2803" s="2">
        <v>1132.95</v>
      </c>
      <c r="Q2803" s="2">
        <v>317.23</v>
      </c>
      <c r="R2803" t="s">
        <v>66</v>
      </c>
      <c r="S2803">
        <v>1</v>
      </c>
      <c r="T2803">
        <v>0</v>
      </c>
      <c r="U2803">
        <f>IF(AND(OR(Dashboard!$D$4="Semua",D2803=Dashboard!$D$4),OR(Dashboard!$H$4="Semua",E2803=Dashboard!$H$4)),1,0)</f>
        <v>1</v>
      </c>
      <c r="V2803">
        <f>IF(U2803=1,IF(COUNTIFS($C$2:C2803,C2803,$U$2:U2803,1)=1,1,0),0)</f>
        <v>0</v>
      </c>
    </row>
    <row r="2804" spans="1:22" x14ac:dyDescent="0.35">
      <c r="A2804">
        <v>12803</v>
      </c>
      <c r="B2804" s="1">
        <v>47364</v>
      </c>
      <c r="C2804">
        <v>1745</v>
      </c>
      <c r="D2804" t="s">
        <v>73</v>
      </c>
      <c r="E2804" t="s">
        <v>78</v>
      </c>
      <c r="F2804">
        <v>6</v>
      </c>
      <c r="G2804" s="2">
        <v>446.86</v>
      </c>
      <c r="H2804">
        <v>0.16</v>
      </c>
      <c r="I2804" t="s">
        <v>71</v>
      </c>
      <c r="J2804">
        <v>5</v>
      </c>
      <c r="K2804">
        <v>4.8</v>
      </c>
      <c r="L2804" s="2">
        <v>2252.17</v>
      </c>
      <c r="M2804">
        <v>2029</v>
      </c>
      <c r="N2804">
        <v>9</v>
      </c>
      <c r="O2804" t="s">
        <v>172</v>
      </c>
      <c r="P2804" s="2">
        <v>2681.16</v>
      </c>
      <c r="Q2804" s="2">
        <v>428.99</v>
      </c>
      <c r="R2804" t="s">
        <v>76</v>
      </c>
      <c r="S2804">
        <v>1</v>
      </c>
      <c r="T2804">
        <v>0</v>
      </c>
      <c r="U2804">
        <f>IF(AND(OR(Dashboard!$D$4="Semua",D2804=Dashboard!$D$4),OR(Dashboard!$H$4="Semua",E2804=Dashboard!$H$4)),1,0)</f>
        <v>1</v>
      </c>
      <c r="V2804">
        <f>IF(U2804=1,IF(COUNTIFS($C$2:C2804,C2804,$U$2:U2804,1)=1,1,0),0)</f>
        <v>0</v>
      </c>
    </row>
    <row r="2805" spans="1:22" x14ac:dyDescent="0.35">
      <c r="A2805">
        <v>12804</v>
      </c>
      <c r="B2805" s="1">
        <v>47365</v>
      </c>
      <c r="C2805">
        <v>1891</v>
      </c>
      <c r="D2805" t="s">
        <v>67</v>
      </c>
      <c r="E2805" t="s">
        <v>74</v>
      </c>
      <c r="F2805">
        <v>1</v>
      </c>
      <c r="G2805" s="2">
        <v>250.02</v>
      </c>
      <c r="H2805">
        <v>0.28999999999999998</v>
      </c>
      <c r="I2805" t="s">
        <v>68</v>
      </c>
      <c r="J2805">
        <v>5</v>
      </c>
      <c r="K2805">
        <v>3.6</v>
      </c>
      <c r="L2805" s="2">
        <v>177.51</v>
      </c>
      <c r="M2805">
        <v>2029</v>
      </c>
      <c r="N2805">
        <v>9</v>
      </c>
      <c r="O2805" t="s">
        <v>172</v>
      </c>
      <c r="P2805" s="2">
        <v>250.02</v>
      </c>
      <c r="Q2805" s="2">
        <v>72.510000000000005</v>
      </c>
      <c r="R2805" t="s">
        <v>66</v>
      </c>
      <c r="S2805">
        <v>1</v>
      </c>
      <c r="T2805">
        <v>0</v>
      </c>
      <c r="U2805">
        <f>IF(AND(OR(Dashboard!$D$4="Semua",D2805=Dashboard!$D$4),OR(Dashboard!$H$4="Semua",E2805=Dashboard!$H$4)),1,0)</f>
        <v>1</v>
      </c>
      <c r="V2805">
        <f>IF(U2805=1,IF(COUNTIFS($C$2:C2805,C2805,$U$2:U2805,1)=1,1,0),0)</f>
        <v>0</v>
      </c>
    </row>
    <row r="2806" spans="1:22" x14ac:dyDescent="0.35">
      <c r="A2806">
        <v>12805</v>
      </c>
      <c r="B2806" s="1">
        <v>47366</v>
      </c>
      <c r="C2806">
        <v>1374</v>
      </c>
      <c r="D2806" t="s">
        <v>80</v>
      </c>
      <c r="E2806" t="s">
        <v>78</v>
      </c>
      <c r="F2806">
        <v>5</v>
      </c>
      <c r="G2806" s="2">
        <v>56.48</v>
      </c>
      <c r="H2806">
        <v>0.12</v>
      </c>
      <c r="I2806" t="s">
        <v>68</v>
      </c>
      <c r="J2806">
        <v>1</v>
      </c>
      <c r="K2806">
        <v>2.6</v>
      </c>
      <c r="L2806" s="2">
        <v>248.51</v>
      </c>
      <c r="M2806">
        <v>2029</v>
      </c>
      <c r="N2806">
        <v>9</v>
      </c>
      <c r="O2806" t="s">
        <v>172</v>
      </c>
      <c r="P2806" s="2">
        <v>282.39999999999998</v>
      </c>
      <c r="Q2806" s="2">
        <v>33.89</v>
      </c>
      <c r="R2806" t="s">
        <v>79</v>
      </c>
      <c r="S2806">
        <v>1</v>
      </c>
      <c r="T2806">
        <v>0</v>
      </c>
      <c r="U2806">
        <f>IF(AND(OR(Dashboard!$D$4="Semua",D2806=Dashboard!$D$4),OR(Dashboard!$H$4="Semua",E2806=Dashboard!$H$4)),1,0)</f>
        <v>1</v>
      </c>
      <c r="V2806">
        <f>IF(U2806=1,IF(COUNTIFS($C$2:C2806,C2806,$U$2:U2806,1)=1,1,0),0)</f>
        <v>0</v>
      </c>
    </row>
    <row r="2807" spans="1:22" x14ac:dyDescent="0.35">
      <c r="A2807">
        <v>12806</v>
      </c>
      <c r="B2807" s="1">
        <v>47367</v>
      </c>
      <c r="C2807">
        <v>1007</v>
      </c>
      <c r="D2807" t="s">
        <v>67</v>
      </c>
      <c r="E2807" t="s">
        <v>70</v>
      </c>
      <c r="F2807">
        <v>1</v>
      </c>
      <c r="G2807" s="2">
        <v>463.99</v>
      </c>
      <c r="H2807">
        <v>0.34</v>
      </c>
      <c r="I2807" t="s">
        <v>68</v>
      </c>
      <c r="J2807">
        <v>6</v>
      </c>
      <c r="K2807">
        <v>3</v>
      </c>
      <c r="L2807" s="2">
        <v>306.23</v>
      </c>
      <c r="M2807">
        <v>2029</v>
      </c>
      <c r="N2807">
        <v>9</v>
      </c>
      <c r="O2807" t="s">
        <v>172</v>
      </c>
      <c r="P2807" s="2">
        <v>463.99</v>
      </c>
      <c r="Q2807" s="2">
        <v>157.76</v>
      </c>
      <c r="R2807" t="s">
        <v>72</v>
      </c>
      <c r="S2807">
        <v>1</v>
      </c>
      <c r="T2807">
        <v>0</v>
      </c>
      <c r="U2807">
        <f>IF(AND(OR(Dashboard!$D$4="Semua",D2807=Dashboard!$D$4),OR(Dashboard!$H$4="Semua",E2807=Dashboard!$H$4)),1,0)</f>
        <v>1</v>
      </c>
      <c r="V2807">
        <f>IF(U2807=1,IF(COUNTIFS($C$2:C2807,C2807,$U$2:U2807,1)=1,1,0),0)</f>
        <v>0</v>
      </c>
    </row>
    <row r="2808" spans="1:22" x14ac:dyDescent="0.35">
      <c r="A2808">
        <v>12807</v>
      </c>
      <c r="B2808" s="1">
        <v>47368</v>
      </c>
      <c r="C2808">
        <v>1340</v>
      </c>
      <c r="D2808" t="s">
        <v>80</v>
      </c>
      <c r="E2808" t="s">
        <v>78</v>
      </c>
      <c r="F2808">
        <v>3</v>
      </c>
      <c r="G2808" s="2">
        <v>56.68</v>
      </c>
      <c r="H2808">
        <v>7.0000000000000007E-2</v>
      </c>
      <c r="I2808" t="s">
        <v>64</v>
      </c>
      <c r="J2808">
        <v>6</v>
      </c>
      <c r="K2808">
        <v>2.5</v>
      </c>
      <c r="L2808" s="2">
        <v>158.13999999999999</v>
      </c>
      <c r="M2808">
        <v>2029</v>
      </c>
      <c r="N2808">
        <v>9</v>
      </c>
      <c r="O2808" t="s">
        <v>172</v>
      </c>
      <c r="P2808" s="2">
        <v>170.04</v>
      </c>
      <c r="Q2808" s="2">
        <v>11.9</v>
      </c>
      <c r="R2808" t="s">
        <v>69</v>
      </c>
      <c r="S2808">
        <v>1</v>
      </c>
      <c r="T2808">
        <v>0</v>
      </c>
      <c r="U2808">
        <f>IF(AND(OR(Dashboard!$D$4="Semua",D2808=Dashboard!$D$4),OR(Dashboard!$H$4="Semua",E2808=Dashboard!$H$4)),1,0)</f>
        <v>1</v>
      </c>
      <c r="V2808">
        <f>IF(U2808=1,IF(COUNTIFS($C$2:C2808,C2808,$U$2:U2808,1)=1,1,0),0)</f>
        <v>0</v>
      </c>
    </row>
    <row r="2809" spans="1:22" x14ac:dyDescent="0.35">
      <c r="A2809">
        <v>12808</v>
      </c>
      <c r="B2809" s="1">
        <v>47369</v>
      </c>
      <c r="C2809">
        <v>1128</v>
      </c>
      <c r="D2809" t="s">
        <v>67</v>
      </c>
      <c r="E2809" t="s">
        <v>63</v>
      </c>
      <c r="F2809">
        <v>1</v>
      </c>
      <c r="G2809" s="2">
        <v>554.44000000000005</v>
      </c>
      <c r="H2809">
        <v>0.01</v>
      </c>
      <c r="I2809" t="s">
        <v>71</v>
      </c>
      <c r="J2809">
        <v>4</v>
      </c>
      <c r="K2809">
        <v>2.7</v>
      </c>
      <c r="L2809" s="2">
        <v>548.9</v>
      </c>
      <c r="M2809">
        <v>2029</v>
      </c>
      <c r="N2809">
        <v>9</v>
      </c>
      <c r="O2809" t="s">
        <v>172</v>
      </c>
      <c r="P2809" s="2">
        <v>554.44000000000005</v>
      </c>
      <c r="Q2809" s="2">
        <v>5.54</v>
      </c>
      <c r="R2809" t="s">
        <v>75</v>
      </c>
      <c r="S2809">
        <v>1</v>
      </c>
      <c r="T2809">
        <v>0</v>
      </c>
      <c r="U2809">
        <f>IF(AND(OR(Dashboard!$D$4="Semua",D2809=Dashboard!$D$4),OR(Dashboard!$H$4="Semua",E2809=Dashboard!$H$4)),1,0)</f>
        <v>1</v>
      </c>
      <c r="V2809">
        <f>IF(U2809=1,IF(COUNTIFS($C$2:C2809,C2809,$U$2:U2809,1)=1,1,0),0)</f>
        <v>0</v>
      </c>
    </row>
    <row r="2810" spans="1:22" x14ac:dyDescent="0.35">
      <c r="A2810">
        <v>12809</v>
      </c>
      <c r="B2810" s="1">
        <v>47370</v>
      </c>
      <c r="C2810">
        <v>1775</v>
      </c>
      <c r="D2810" t="s">
        <v>73</v>
      </c>
      <c r="E2810" t="s">
        <v>63</v>
      </c>
      <c r="F2810">
        <v>1</v>
      </c>
      <c r="G2810" s="2">
        <v>44.82</v>
      </c>
      <c r="H2810">
        <v>0.31</v>
      </c>
      <c r="I2810" t="s">
        <v>68</v>
      </c>
      <c r="J2810">
        <v>6</v>
      </c>
      <c r="K2810">
        <v>3.4</v>
      </c>
      <c r="L2810" s="2">
        <v>30.93</v>
      </c>
      <c r="M2810">
        <v>2029</v>
      </c>
      <c r="N2810">
        <v>9</v>
      </c>
      <c r="O2810" t="s">
        <v>172</v>
      </c>
      <c r="P2810" s="2">
        <v>44.82</v>
      </c>
      <c r="Q2810" s="2">
        <v>13.89</v>
      </c>
      <c r="R2810" t="s">
        <v>72</v>
      </c>
      <c r="S2810">
        <v>1</v>
      </c>
      <c r="T2810">
        <v>0</v>
      </c>
      <c r="U2810">
        <f>IF(AND(OR(Dashboard!$D$4="Semua",D2810=Dashboard!$D$4),OR(Dashboard!$H$4="Semua",E2810=Dashboard!$H$4)),1,0)</f>
        <v>1</v>
      </c>
      <c r="V2810">
        <f>IF(U2810=1,IF(COUNTIFS($C$2:C2810,C2810,$U$2:U2810,1)=1,1,0),0)</f>
        <v>0</v>
      </c>
    </row>
    <row r="2811" spans="1:22" x14ac:dyDescent="0.35">
      <c r="A2811">
        <v>12810</v>
      </c>
      <c r="B2811" s="1">
        <v>47371</v>
      </c>
      <c r="C2811">
        <v>1668</v>
      </c>
      <c r="D2811" t="s">
        <v>80</v>
      </c>
      <c r="E2811" t="s">
        <v>78</v>
      </c>
      <c r="F2811">
        <v>1</v>
      </c>
      <c r="G2811" s="2">
        <v>295.41000000000003</v>
      </c>
      <c r="H2811">
        <v>0.26</v>
      </c>
      <c r="I2811" t="s">
        <v>68</v>
      </c>
      <c r="J2811">
        <v>6</v>
      </c>
      <c r="K2811">
        <v>1.2</v>
      </c>
      <c r="L2811" s="2">
        <v>218.6</v>
      </c>
      <c r="M2811">
        <v>2029</v>
      </c>
      <c r="N2811">
        <v>9</v>
      </c>
      <c r="O2811" t="s">
        <v>172</v>
      </c>
      <c r="P2811" s="2">
        <v>295.41000000000003</v>
      </c>
      <c r="Q2811" s="2">
        <v>76.81</v>
      </c>
      <c r="R2811" t="s">
        <v>66</v>
      </c>
      <c r="S2811">
        <v>1</v>
      </c>
      <c r="T2811">
        <v>0</v>
      </c>
      <c r="U2811">
        <f>IF(AND(OR(Dashboard!$D$4="Semua",D2811=Dashboard!$D$4),OR(Dashboard!$H$4="Semua",E2811=Dashboard!$H$4)),1,0)</f>
        <v>1</v>
      </c>
      <c r="V2811">
        <f>IF(U2811=1,IF(COUNTIFS($C$2:C2811,C2811,$U$2:U2811,1)=1,1,0),0)</f>
        <v>0</v>
      </c>
    </row>
    <row r="2812" spans="1:22" x14ac:dyDescent="0.35">
      <c r="A2812">
        <v>12811</v>
      </c>
      <c r="B2812" s="1">
        <v>47372</v>
      </c>
      <c r="C2812">
        <v>1351</v>
      </c>
      <c r="D2812" t="s">
        <v>73</v>
      </c>
      <c r="E2812" t="s">
        <v>74</v>
      </c>
      <c r="F2812">
        <v>2</v>
      </c>
      <c r="G2812" s="2">
        <v>437.98</v>
      </c>
      <c r="H2812">
        <v>0.08</v>
      </c>
      <c r="I2812" t="s">
        <v>68</v>
      </c>
      <c r="J2812">
        <v>1</v>
      </c>
      <c r="K2812">
        <v>1.7</v>
      </c>
      <c r="L2812" s="2">
        <v>805.88</v>
      </c>
      <c r="M2812">
        <v>2029</v>
      </c>
      <c r="N2812">
        <v>9</v>
      </c>
      <c r="O2812" t="s">
        <v>172</v>
      </c>
      <c r="P2812" s="2">
        <v>875.96</v>
      </c>
      <c r="Q2812" s="2">
        <v>70.08</v>
      </c>
      <c r="R2812" t="s">
        <v>69</v>
      </c>
      <c r="S2812">
        <v>1</v>
      </c>
      <c r="T2812">
        <v>0</v>
      </c>
      <c r="U2812">
        <f>IF(AND(OR(Dashboard!$D$4="Semua",D2812=Dashboard!$D$4),OR(Dashboard!$H$4="Semua",E2812=Dashboard!$H$4)),1,0)</f>
        <v>1</v>
      </c>
      <c r="V2812">
        <f>IF(U2812=1,IF(COUNTIFS($C$2:C2812,C2812,$U$2:U2812,1)=1,1,0),0)</f>
        <v>0</v>
      </c>
    </row>
    <row r="2813" spans="1:22" x14ac:dyDescent="0.35">
      <c r="A2813">
        <v>12812</v>
      </c>
      <c r="B2813" s="1">
        <v>47373</v>
      </c>
      <c r="C2813">
        <v>1357</v>
      </c>
      <c r="D2813" t="s">
        <v>73</v>
      </c>
      <c r="E2813" t="s">
        <v>78</v>
      </c>
      <c r="F2813">
        <v>2</v>
      </c>
      <c r="G2813" s="2">
        <v>245.05</v>
      </c>
      <c r="H2813">
        <v>0.34</v>
      </c>
      <c r="I2813" t="s">
        <v>68</v>
      </c>
      <c r="J2813">
        <v>5</v>
      </c>
      <c r="K2813">
        <v>1.9</v>
      </c>
      <c r="L2813" s="2">
        <v>323.47000000000003</v>
      </c>
      <c r="M2813">
        <v>2029</v>
      </c>
      <c r="N2813">
        <v>9</v>
      </c>
      <c r="O2813" t="s">
        <v>172</v>
      </c>
      <c r="P2813" s="2">
        <v>490.1</v>
      </c>
      <c r="Q2813" s="2">
        <v>166.63</v>
      </c>
      <c r="R2813" t="s">
        <v>72</v>
      </c>
      <c r="S2813">
        <v>1</v>
      </c>
      <c r="T2813">
        <v>0</v>
      </c>
      <c r="U2813">
        <f>IF(AND(OR(Dashboard!$D$4="Semua",D2813=Dashboard!$D$4),OR(Dashboard!$H$4="Semua",E2813=Dashboard!$H$4)),1,0)</f>
        <v>1</v>
      </c>
      <c r="V2813">
        <f>IF(U2813=1,IF(COUNTIFS($C$2:C2813,C2813,$U$2:U2813,1)=1,1,0),0)</f>
        <v>0</v>
      </c>
    </row>
    <row r="2814" spans="1:22" x14ac:dyDescent="0.35">
      <c r="A2814">
        <v>12813</v>
      </c>
      <c r="B2814" s="1">
        <v>47374</v>
      </c>
      <c r="C2814">
        <v>1516</v>
      </c>
      <c r="D2814" t="s">
        <v>67</v>
      </c>
      <c r="E2814" t="s">
        <v>78</v>
      </c>
      <c r="F2814">
        <v>6</v>
      </c>
      <c r="G2814" s="2">
        <v>142.08000000000001</v>
      </c>
      <c r="H2814">
        <v>0.18</v>
      </c>
      <c r="I2814" t="s">
        <v>71</v>
      </c>
      <c r="J2814">
        <v>2</v>
      </c>
      <c r="K2814">
        <v>2.6</v>
      </c>
      <c r="L2814" s="2">
        <v>699.03</v>
      </c>
      <c r="M2814">
        <v>2029</v>
      </c>
      <c r="N2814">
        <v>9</v>
      </c>
      <c r="O2814" t="s">
        <v>172</v>
      </c>
      <c r="P2814" s="2">
        <v>852.48</v>
      </c>
      <c r="Q2814" s="2">
        <v>153.44999999999999</v>
      </c>
      <c r="R2814" t="s">
        <v>76</v>
      </c>
      <c r="S2814">
        <v>1</v>
      </c>
      <c r="T2814">
        <v>0</v>
      </c>
      <c r="U2814">
        <f>IF(AND(OR(Dashboard!$D$4="Semua",D2814=Dashboard!$D$4),OR(Dashboard!$H$4="Semua",E2814=Dashboard!$H$4)),1,0)</f>
        <v>1</v>
      </c>
      <c r="V2814">
        <f>IF(U2814=1,IF(COUNTIFS($C$2:C2814,C2814,$U$2:U2814,1)=1,1,0),0)</f>
        <v>0</v>
      </c>
    </row>
    <row r="2815" spans="1:22" x14ac:dyDescent="0.35">
      <c r="A2815">
        <v>12814</v>
      </c>
      <c r="B2815" s="1">
        <v>47375</v>
      </c>
      <c r="C2815">
        <v>1494</v>
      </c>
      <c r="D2815" t="s">
        <v>73</v>
      </c>
      <c r="E2815" t="s">
        <v>74</v>
      </c>
      <c r="F2815">
        <v>6</v>
      </c>
      <c r="G2815" s="2">
        <v>459.07</v>
      </c>
      <c r="H2815">
        <v>0.33</v>
      </c>
      <c r="I2815" t="s">
        <v>71</v>
      </c>
      <c r="J2815">
        <v>7</v>
      </c>
      <c r="K2815">
        <v>2.5</v>
      </c>
      <c r="L2815" s="2">
        <v>1845.46</v>
      </c>
      <c r="M2815">
        <v>2029</v>
      </c>
      <c r="N2815">
        <v>9</v>
      </c>
      <c r="O2815" t="s">
        <v>172</v>
      </c>
      <c r="P2815" s="2">
        <v>2754.42</v>
      </c>
      <c r="Q2815" s="2">
        <v>908.96</v>
      </c>
      <c r="R2815" t="s">
        <v>72</v>
      </c>
      <c r="S2815">
        <v>1</v>
      </c>
      <c r="T2815">
        <v>0</v>
      </c>
      <c r="U2815">
        <f>IF(AND(OR(Dashboard!$D$4="Semua",D2815=Dashboard!$D$4),OR(Dashboard!$H$4="Semua",E2815=Dashboard!$H$4)),1,0)</f>
        <v>1</v>
      </c>
      <c r="V2815">
        <f>IF(U2815=1,IF(COUNTIFS($C$2:C2815,C2815,$U$2:U2815,1)=1,1,0),0)</f>
        <v>0</v>
      </c>
    </row>
    <row r="2816" spans="1:22" x14ac:dyDescent="0.35">
      <c r="A2816">
        <v>12815</v>
      </c>
      <c r="B2816" s="1">
        <v>47376</v>
      </c>
      <c r="C2816">
        <v>1085</v>
      </c>
      <c r="D2816" t="s">
        <v>73</v>
      </c>
      <c r="E2816" t="s">
        <v>74</v>
      </c>
      <c r="F2816">
        <v>7</v>
      </c>
      <c r="G2816" s="2">
        <v>473.81</v>
      </c>
      <c r="H2816">
        <v>0.18</v>
      </c>
      <c r="I2816" t="s">
        <v>71</v>
      </c>
      <c r="J2816">
        <v>9</v>
      </c>
      <c r="K2816">
        <v>3.9</v>
      </c>
      <c r="L2816" s="2">
        <v>2719.67</v>
      </c>
      <c r="M2816">
        <v>2029</v>
      </c>
      <c r="N2816">
        <v>9</v>
      </c>
      <c r="O2816" t="s">
        <v>172</v>
      </c>
      <c r="P2816" s="2">
        <v>3316.67</v>
      </c>
      <c r="Q2816" s="2">
        <v>597</v>
      </c>
      <c r="R2816" t="s">
        <v>76</v>
      </c>
      <c r="S2816">
        <v>1</v>
      </c>
      <c r="T2816">
        <v>0</v>
      </c>
      <c r="U2816">
        <f>IF(AND(OR(Dashboard!$D$4="Semua",D2816=Dashboard!$D$4),OR(Dashboard!$H$4="Semua",E2816=Dashboard!$H$4)),1,0)</f>
        <v>1</v>
      </c>
      <c r="V2816">
        <f>IF(U2816=1,IF(COUNTIFS($C$2:C2816,C2816,$U$2:U2816,1)=1,1,0),0)</f>
        <v>0</v>
      </c>
    </row>
    <row r="2817" spans="1:22" x14ac:dyDescent="0.35">
      <c r="A2817">
        <v>12816</v>
      </c>
      <c r="B2817" s="1">
        <v>47377</v>
      </c>
      <c r="C2817">
        <v>1174</v>
      </c>
      <c r="D2817" t="s">
        <v>67</v>
      </c>
      <c r="E2817" t="s">
        <v>74</v>
      </c>
      <c r="F2817">
        <v>3</v>
      </c>
      <c r="G2817" s="2">
        <v>554.78</v>
      </c>
      <c r="H2817">
        <v>0.17</v>
      </c>
      <c r="I2817" t="s">
        <v>68</v>
      </c>
      <c r="J2817">
        <v>9</v>
      </c>
      <c r="K2817">
        <v>2</v>
      </c>
      <c r="L2817" s="2">
        <v>1381.4</v>
      </c>
      <c r="M2817">
        <v>2029</v>
      </c>
      <c r="N2817">
        <v>9</v>
      </c>
      <c r="O2817" t="s">
        <v>172</v>
      </c>
      <c r="P2817" s="2">
        <v>1664.34</v>
      </c>
      <c r="Q2817" s="2">
        <v>282.94</v>
      </c>
      <c r="R2817" t="s">
        <v>76</v>
      </c>
      <c r="S2817">
        <v>1</v>
      </c>
      <c r="T2817">
        <v>0</v>
      </c>
      <c r="U2817">
        <f>IF(AND(OR(Dashboard!$D$4="Semua",D2817=Dashboard!$D$4),OR(Dashboard!$H$4="Semua",E2817=Dashboard!$H$4)),1,0)</f>
        <v>1</v>
      </c>
      <c r="V2817">
        <f>IF(U2817=1,IF(COUNTIFS($C$2:C2817,C2817,$U$2:U2817,1)=1,1,0),0)</f>
        <v>0</v>
      </c>
    </row>
    <row r="2818" spans="1:22" x14ac:dyDescent="0.35">
      <c r="A2818">
        <v>12817</v>
      </c>
      <c r="B2818" s="1">
        <v>47378</v>
      </c>
      <c r="C2818">
        <v>1801</v>
      </c>
      <c r="D2818" t="s">
        <v>67</v>
      </c>
      <c r="E2818" t="s">
        <v>63</v>
      </c>
      <c r="F2818">
        <v>1</v>
      </c>
      <c r="G2818" s="2">
        <v>235.06</v>
      </c>
      <c r="H2818">
        <v>0.16</v>
      </c>
      <c r="I2818" t="s">
        <v>71</v>
      </c>
      <c r="J2818">
        <v>11</v>
      </c>
      <c r="K2818">
        <v>1.2</v>
      </c>
      <c r="L2818" s="2">
        <v>197.45</v>
      </c>
      <c r="M2818">
        <v>2029</v>
      </c>
      <c r="N2818">
        <v>9</v>
      </c>
      <c r="O2818" t="s">
        <v>172</v>
      </c>
      <c r="P2818" s="2">
        <v>235.06</v>
      </c>
      <c r="Q2818" s="2">
        <v>37.61</v>
      </c>
      <c r="R2818" t="s">
        <v>76</v>
      </c>
      <c r="S2818">
        <v>1</v>
      </c>
      <c r="T2818">
        <v>0</v>
      </c>
      <c r="U2818">
        <f>IF(AND(OR(Dashboard!$D$4="Semua",D2818=Dashboard!$D$4),OR(Dashboard!$H$4="Semua",E2818=Dashboard!$H$4)),1,0)</f>
        <v>1</v>
      </c>
      <c r="V2818">
        <f>IF(U2818=1,IF(COUNTIFS($C$2:C2818,C2818,$U$2:U2818,1)=1,1,0),0)</f>
        <v>0</v>
      </c>
    </row>
    <row r="2819" spans="1:22" x14ac:dyDescent="0.35">
      <c r="A2819">
        <v>12818</v>
      </c>
      <c r="B2819" s="1">
        <v>47379</v>
      </c>
      <c r="C2819">
        <v>1192</v>
      </c>
      <c r="D2819" t="s">
        <v>67</v>
      </c>
      <c r="E2819" t="s">
        <v>78</v>
      </c>
      <c r="F2819">
        <v>3</v>
      </c>
      <c r="G2819" s="2">
        <v>311.16000000000003</v>
      </c>
      <c r="H2819">
        <v>0.12</v>
      </c>
      <c r="I2819" t="s">
        <v>68</v>
      </c>
      <c r="J2819">
        <v>9</v>
      </c>
      <c r="K2819">
        <v>1.2</v>
      </c>
      <c r="L2819" s="2">
        <v>821.46</v>
      </c>
      <c r="M2819">
        <v>2029</v>
      </c>
      <c r="N2819">
        <v>9</v>
      </c>
      <c r="O2819" t="s">
        <v>172</v>
      </c>
      <c r="P2819" s="2">
        <v>933.48</v>
      </c>
      <c r="Q2819" s="2">
        <v>112.02</v>
      </c>
      <c r="R2819" t="s">
        <v>79</v>
      </c>
      <c r="S2819">
        <v>1</v>
      </c>
      <c r="T2819">
        <v>0</v>
      </c>
      <c r="U2819">
        <f>IF(AND(OR(Dashboard!$D$4="Semua",D2819=Dashboard!$D$4),OR(Dashboard!$H$4="Semua",E2819=Dashboard!$H$4)),1,0)</f>
        <v>1</v>
      </c>
      <c r="V2819">
        <f>IF(U2819=1,IF(COUNTIFS($C$2:C2819,C2819,$U$2:U2819,1)=1,1,0),0)</f>
        <v>1</v>
      </c>
    </row>
    <row r="2820" spans="1:22" x14ac:dyDescent="0.35">
      <c r="A2820">
        <v>12819</v>
      </c>
      <c r="B2820" s="1">
        <v>47380</v>
      </c>
      <c r="C2820">
        <v>1310</v>
      </c>
      <c r="D2820" t="s">
        <v>62</v>
      </c>
      <c r="E2820" t="s">
        <v>70</v>
      </c>
      <c r="F2820">
        <v>2</v>
      </c>
      <c r="G2820" s="2">
        <v>227.43</v>
      </c>
      <c r="H2820">
        <v>0.19</v>
      </c>
      <c r="I2820" t="s">
        <v>68</v>
      </c>
      <c r="J2820">
        <v>11</v>
      </c>
      <c r="K2820">
        <v>1</v>
      </c>
      <c r="L2820" s="2">
        <v>368.44</v>
      </c>
      <c r="M2820">
        <v>2029</v>
      </c>
      <c r="N2820">
        <v>9</v>
      </c>
      <c r="O2820" t="s">
        <v>172</v>
      </c>
      <c r="P2820" s="2">
        <v>454.86</v>
      </c>
      <c r="Q2820" s="2">
        <v>86.42</v>
      </c>
      <c r="R2820" t="s">
        <v>76</v>
      </c>
      <c r="S2820">
        <v>1</v>
      </c>
      <c r="T2820">
        <v>0</v>
      </c>
      <c r="U2820">
        <f>IF(AND(OR(Dashboard!$D$4="Semua",D2820=Dashboard!$D$4),OR(Dashboard!$H$4="Semua",E2820=Dashboard!$H$4)),1,0)</f>
        <v>1</v>
      </c>
      <c r="V2820">
        <f>IF(U2820=1,IF(COUNTIFS($C$2:C2820,C2820,$U$2:U2820,1)=1,1,0),0)</f>
        <v>0</v>
      </c>
    </row>
    <row r="2821" spans="1:22" x14ac:dyDescent="0.35">
      <c r="A2821">
        <v>12820</v>
      </c>
      <c r="B2821" s="1">
        <v>47381</v>
      </c>
      <c r="C2821">
        <v>1118</v>
      </c>
      <c r="D2821" t="s">
        <v>67</v>
      </c>
      <c r="E2821" t="s">
        <v>74</v>
      </c>
      <c r="F2821">
        <v>1</v>
      </c>
      <c r="G2821" s="2">
        <v>165.39</v>
      </c>
      <c r="H2821">
        <v>0.16</v>
      </c>
      <c r="I2821" t="s">
        <v>71</v>
      </c>
      <c r="J2821">
        <v>7</v>
      </c>
      <c r="K2821">
        <v>1.2</v>
      </c>
      <c r="L2821" s="2">
        <v>138.93</v>
      </c>
      <c r="M2821">
        <v>2029</v>
      </c>
      <c r="N2821">
        <v>9</v>
      </c>
      <c r="O2821" t="s">
        <v>172</v>
      </c>
      <c r="P2821" s="2">
        <v>165.39</v>
      </c>
      <c r="Q2821" s="2">
        <v>26.46</v>
      </c>
      <c r="R2821" t="s">
        <v>76</v>
      </c>
      <c r="S2821">
        <v>1</v>
      </c>
      <c r="T2821">
        <v>0</v>
      </c>
      <c r="U2821">
        <f>IF(AND(OR(Dashboard!$D$4="Semua",D2821=Dashboard!$D$4),OR(Dashboard!$H$4="Semua",E2821=Dashboard!$H$4)),1,0)</f>
        <v>1</v>
      </c>
      <c r="V2821">
        <f>IF(U2821=1,IF(COUNTIFS($C$2:C2821,C2821,$U$2:U2821,1)=1,1,0),0)</f>
        <v>0</v>
      </c>
    </row>
    <row r="2822" spans="1:22" x14ac:dyDescent="0.35">
      <c r="A2822">
        <v>12821</v>
      </c>
      <c r="B2822" s="1">
        <v>47382</v>
      </c>
      <c r="C2822">
        <v>1217</v>
      </c>
      <c r="D2822" t="s">
        <v>62</v>
      </c>
      <c r="E2822" t="s">
        <v>74</v>
      </c>
      <c r="F2822">
        <v>5</v>
      </c>
      <c r="G2822" s="2">
        <v>454.35</v>
      </c>
      <c r="H2822">
        <v>0.01</v>
      </c>
      <c r="I2822" t="s">
        <v>68</v>
      </c>
      <c r="J2822">
        <v>7</v>
      </c>
      <c r="K2822">
        <v>4.4000000000000004</v>
      </c>
      <c r="L2822" s="2">
        <v>2249.0300000000002</v>
      </c>
      <c r="M2822">
        <v>2029</v>
      </c>
      <c r="N2822">
        <v>9</v>
      </c>
      <c r="O2822" t="s">
        <v>172</v>
      </c>
      <c r="P2822" s="2">
        <v>2271.75</v>
      </c>
      <c r="Q2822" s="2">
        <v>22.72</v>
      </c>
      <c r="R2822" t="s">
        <v>75</v>
      </c>
      <c r="S2822">
        <v>1</v>
      </c>
      <c r="T2822">
        <v>0</v>
      </c>
      <c r="U2822">
        <f>IF(AND(OR(Dashboard!$D$4="Semua",D2822=Dashboard!$D$4),OR(Dashboard!$H$4="Semua",E2822=Dashboard!$H$4)),1,0)</f>
        <v>1</v>
      </c>
      <c r="V2822">
        <f>IF(U2822=1,IF(COUNTIFS($C$2:C2822,C2822,$U$2:U2822,1)=1,1,0),0)</f>
        <v>0</v>
      </c>
    </row>
    <row r="2823" spans="1:22" x14ac:dyDescent="0.35">
      <c r="A2823">
        <v>12822</v>
      </c>
      <c r="B2823" s="1">
        <v>47383</v>
      </c>
      <c r="C2823">
        <v>1426</v>
      </c>
      <c r="D2823" t="s">
        <v>73</v>
      </c>
      <c r="E2823" t="s">
        <v>78</v>
      </c>
      <c r="F2823">
        <v>2</v>
      </c>
      <c r="G2823" s="2">
        <v>213.7</v>
      </c>
      <c r="H2823">
        <v>0.09</v>
      </c>
      <c r="I2823" t="s">
        <v>71</v>
      </c>
      <c r="J2823">
        <v>1</v>
      </c>
      <c r="K2823">
        <v>3.8</v>
      </c>
      <c r="L2823" s="2">
        <v>388.93</v>
      </c>
      <c r="M2823">
        <v>2029</v>
      </c>
      <c r="N2823">
        <v>9</v>
      </c>
      <c r="O2823" t="s">
        <v>172</v>
      </c>
      <c r="P2823" s="2">
        <v>427.4</v>
      </c>
      <c r="Q2823" s="2">
        <v>38.47</v>
      </c>
      <c r="R2823" t="s">
        <v>69</v>
      </c>
      <c r="S2823">
        <v>1</v>
      </c>
      <c r="T2823">
        <v>0</v>
      </c>
      <c r="U2823">
        <f>IF(AND(OR(Dashboard!$D$4="Semua",D2823=Dashboard!$D$4),OR(Dashboard!$H$4="Semua",E2823=Dashboard!$H$4)),1,0)</f>
        <v>1</v>
      </c>
      <c r="V2823">
        <f>IF(U2823=1,IF(COUNTIFS($C$2:C2823,C2823,$U$2:U2823,1)=1,1,0),0)</f>
        <v>0</v>
      </c>
    </row>
    <row r="2824" spans="1:22" x14ac:dyDescent="0.35">
      <c r="A2824">
        <v>12823</v>
      </c>
      <c r="B2824" s="1">
        <v>47384</v>
      </c>
      <c r="C2824">
        <v>1969</v>
      </c>
      <c r="D2824" t="s">
        <v>67</v>
      </c>
      <c r="E2824" t="s">
        <v>70</v>
      </c>
      <c r="F2824">
        <v>2</v>
      </c>
      <c r="G2824" s="2">
        <v>265.47000000000003</v>
      </c>
      <c r="H2824">
        <v>7.0000000000000007E-2</v>
      </c>
      <c r="I2824" t="s">
        <v>64</v>
      </c>
      <c r="J2824">
        <v>11</v>
      </c>
      <c r="K2824">
        <v>5</v>
      </c>
      <c r="L2824" s="2">
        <v>493.77</v>
      </c>
      <c r="M2824">
        <v>2029</v>
      </c>
      <c r="N2824">
        <v>9</v>
      </c>
      <c r="O2824" t="s">
        <v>172</v>
      </c>
      <c r="P2824" s="2">
        <v>530.94000000000005</v>
      </c>
      <c r="Q2824" s="2">
        <v>37.17</v>
      </c>
      <c r="R2824" t="s">
        <v>69</v>
      </c>
      <c r="S2824">
        <v>1</v>
      </c>
      <c r="T2824">
        <v>0</v>
      </c>
      <c r="U2824">
        <f>IF(AND(OR(Dashboard!$D$4="Semua",D2824=Dashboard!$D$4),OR(Dashboard!$H$4="Semua",E2824=Dashboard!$H$4)),1,0)</f>
        <v>1</v>
      </c>
      <c r="V2824">
        <f>IF(U2824=1,IF(COUNTIFS($C$2:C2824,C2824,$U$2:U2824,1)=1,1,0),0)</f>
        <v>0</v>
      </c>
    </row>
    <row r="2825" spans="1:22" x14ac:dyDescent="0.35">
      <c r="A2825">
        <v>12824</v>
      </c>
      <c r="B2825" s="1">
        <v>47385</v>
      </c>
      <c r="C2825">
        <v>1413</v>
      </c>
      <c r="D2825" t="s">
        <v>62</v>
      </c>
      <c r="E2825" t="s">
        <v>78</v>
      </c>
      <c r="F2825">
        <v>2</v>
      </c>
      <c r="G2825" s="2">
        <v>251.15</v>
      </c>
      <c r="H2825">
        <v>0.3</v>
      </c>
      <c r="I2825" t="s">
        <v>68</v>
      </c>
      <c r="J2825">
        <v>11</v>
      </c>
      <c r="K2825">
        <v>1.1000000000000001</v>
      </c>
      <c r="L2825" s="2">
        <v>351.61</v>
      </c>
      <c r="M2825">
        <v>2029</v>
      </c>
      <c r="N2825">
        <v>9</v>
      </c>
      <c r="O2825" t="s">
        <v>172</v>
      </c>
      <c r="P2825" s="2">
        <v>502.3</v>
      </c>
      <c r="Q2825" s="2">
        <v>150.69</v>
      </c>
      <c r="R2825" t="s">
        <v>66</v>
      </c>
      <c r="S2825">
        <v>1</v>
      </c>
      <c r="T2825">
        <v>0</v>
      </c>
      <c r="U2825">
        <f>IF(AND(OR(Dashboard!$D$4="Semua",D2825=Dashboard!$D$4),OR(Dashboard!$H$4="Semua",E2825=Dashboard!$H$4)),1,0)</f>
        <v>1</v>
      </c>
      <c r="V2825">
        <f>IF(U2825=1,IF(COUNTIFS($C$2:C2825,C2825,$U$2:U2825,1)=1,1,0),0)</f>
        <v>0</v>
      </c>
    </row>
    <row r="2826" spans="1:22" x14ac:dyDescent="0.35">
      <c r="A2826">
        <v>12825</v>
      </c>
      <c r="B2826" s="1">
        <v>47386</v>
      </c>
      <c r="C2826">
        <v>1113</v>
      </c>
      <c r="D2826" t="s">
        <v>67</v>
      </c>
      <c r="E2826" t="s">
        <v>78</v>
      </c>
      <c r="F2826">
        <v>7</v>
      </c>
      <c r="G2826" s="2">
        <v>431.91</v>
      </c>
      <c r="H2826">
        <v>0.21</v>
      </c>
      <c r="I2826" t="s">
        <v>64</v>
      </c>
      <c r="J2826">
        <v>6</v>
      </c>
      <c r="K2826">
        <v>4.4000000000000004</v>
      </c>
      <c r="L2826" s="2">
        <v>2388.46</v>
      </c>
      <c r="M2826">
        <v>2029</v>
      </c>
      <c r="N2826">
        <v>9</v>
      </c>
      <c r="O2826" t="s">
        <v>172</v>
      </c>
      <c r="P2826" s="2">
        <v>3023.37</v>
      </c>
      <c r="Q2826" s="2">
        <v>634.91</v>
      </c>
      <c r="R2826" t="s">
        <v>77</v>
      </c>
      <c r="S2826">
        <v>1</v>
      </c>
      <c r="T2826">
        <v>0</v>
      </c>
      <c r="U2826">
        <f>IF(AND(OR(Dashboard!$D$4="Semua",D2826=Dashboard!$D$4),OR(Dashboard!$H$4="Semua",E2826=Dashboard!$H$4)),1,0)</f>
        <v>1</v>
      </c>
      <c r="V2826">
        <f>IF(U2826=1,IF(COUNTIFS($C$2:C2826,C2826,$U$2:U2826,1)=1,1,0),0)</f>
        <v>0</v>
      </c>
    </row>
    <row r="2827" spans="1:22" x14ac:dyDescent="0.35">
      <c r="A2827">
        <v>12826</v>
      </c>
      <c r="B2827" s="1">
        <v>47387</v>
      </c>
      <c r="C2827">
        <v>1977</v>
      </c>
      <c r="D2827" t="s">
        <v>80</v>
      </c>
      <c r="E2827" t="s">
        <v>74</v>
      </c>
      <c r="F2827">
        <v>1</v>
      </c>
      <c r="G2827" s="2">
        <v>551.91</v>
      </c>
      <c r="H2827">
        <v>0.27</v>
      </c>
      <c r="I2827" t="s">
        <v>68</v>
      </c>
      <c r="J2827">
        <v>5</v>
      </c>
      <c r="K2827">
        <v>3.8</v>
      </c>
      <c r="L2827" s="2">
        <v>402.89</v>
      </c>
      <c r="M2827">
        <v>2029</v>
      </c>
      <c r="N2827">
        <v>9</v>
      </c>
      <c r="O2827" t="s">
        <v>172</v>
      </c>
      <c r="P2827" s="2">
        <v>551.91</v>
      </c>
      <c r="Q2827" s="2">
        <v>149.02000000000001</v>
      </c>
      <c r="R2827" t="s">
        <v>66</v>
      </c>
      <c r="S2827">
        <v>1</v>
      </c>
      <c r="T2827">
        <v>0</v>
      </c>
      <c r="U2827">
        <f>IF(AND(OR(Dashboard!$D$4="Semua",D2827=Dashboard!$D$4),OR(Dashboard!$H$4="Semua",E2827=Dashboard!$H$4)),1,0)</f>
        <v>1</v>
      </c>
      <c r="V2827">
        <f>IF(U2827=1,IF(COUNTIFS($C$2:C2827,C2827,$U$2:U2827,1)=1,1,0),0)</f>
        <v>0</v>
      </c>
    </row>
    <row r="2828" spans="1:22" x14ac:dyDescent="0.35">
      <c r="A2828">
        <v>12827</v>
      </c>
      <c r="B2828" s="1">
        <v>47388</v>
      </c>
      <c r="C2828">
        <v>1144</v>
      </c>
      <c r="D2828" t="s">
        <v>67</v>
      </c>
      <c r="E2828" t="s">
        <v>74</v>
      </c>
      <c r="F2828">
        <v>6</v>
      </c>
      <c r="G2828" s="2">
        <v>405.05</v>
      </c>
      <c r="H2828">
        <v>0.33</v>
      </c>
      <c r="I2828" t="s">
        <v>68</v>
      </c>
      <c r="J2828">
        <v>8</v>
      </c>
      <c r="K2828">
        <v>3.6</v>
      </c>
      <c r="L2828" s="2">
        <v>1628.3</v>
      </c>
      <c r="M2828">
        <v>2029</v>
      </c>
      <c r="N2828">
        <v>9</v>
      </c>
      <c r="O2828" t="s">
        <v>172</v>
      </c>
      <c r="P2828" s="2">
        <v>2430.3000000000002</v>
      </c>
      <c r="Q2828" s="2">
        <v>802</v>
      </c>
      <c r="R2828" t="s">
        <v>72</v>
      </c>
      <c r="S2828">
        <v>1</v>
      </c>
      <c r="T2828">
        <v>0</v>
      </c>
      <c r="U2828">
        <f>IF(AND(OR(Dashboard!$D$4="Semua",D2828=Dashboard!$D$4),OR(Dashboard!$H$4="Semua",E2828=Dashboard!$H$4)),1,0)</f>
        <v>1</v>
      </c>
      <c r="V2828">
        <f>IF(U2828=1,IF(COUNTIFS($C$2:C2828,C2828,$U$2:U2828,1)=1,1,0),0)</f>
        <v>0</v>
      </c>
    </row>
    <row r="2829" spans="1:22" x14ac:dyDescent="0.35">
      <c r="A2829">
        <v>12828</v>
      </c>
      <c r="B2829" s="1">
        <v>47389</v>
      </c>
      <c r="C2829">
        <v>1537</v>
      </c>
      <c r="D2829" t="s">
        <v>73</v>
      </c>
      <c r="E2829" t="s">
        <v>63</v>
      </c>
      <c r="F2829">
        <v>4</v>
      </c>
      <c r="G2829" s="2">
        <v>290.88</v>
      </c>
      <c r="H2829">
        <v>0.23</v>
      </c>
      <c r="I2829" t="s">
        <v>71</v>
      </c>
      <c r="J2829">
        <v>8</v>
      </c>
      <c r="K2829">
        <v>2.4</v>
      </c>
      <c r="L2829" s="2">
        <v>895.91</v>
      </c>
      <c r="M2829">
        <v>2029</v>
      </c>
      <c r="N2829">
        <v>9</v>
      </c>
      <c r="O2829" t="s">
        <v>172</v>
      </c>
      <c r="P2829" s="2">
        <v>1163.52</v>
      </c>
      <c r="Q2829" s="2">
        <v>267.61</v>
      </c>
      <c r="R2829" t="s">
        <v>77</v>
      </c>
      <c r="S2829">
        <v>1</v>
      </c>
      <c r="T2829">
        <v>0</v>
      </c>
      <c r="U2829">
        <f>IF(AND(OR(Dashboard!$D$4="Semua",D2829=Dashboard!$D$4),OR(Dashboard!$H$4="Semua",E2829=Dashboard!$H$4)),1,0)</f>
        <v>1</v>
      </c>
      <c r="V2829">
        <f>IF(U2829=1,IF(COUNTIFS($C$2:C2829,C2829,$U$2:U2829,1)=1,1,0),0)</f>
        <v>0</v>
      </c>
    </row>
    <row r="2830" spans="1:22" x14ac:dyDescent="0.35">
      <c r="A2830">
        <v>12829</v>
      </c>
      <c r="B2830" s="1">
        <v>47390</v>
      </c>
      <c r="C2830">
        <v>1647</v>
      </c>
      <c r="D2830" t="s">
        <v>67</v>
      </c>
      <c r="E2830" t="s">
        <v>70</v>
      </c>
      <c r="F2830">
        <v>5</v>
      </c>
      <c r="G2830" s="2">
        <v>470.83</v>
      </c>
      <c r="H2830">
        <v>0.34</v>
      </c>
      <c r="I2830" t="s">
        <v>71</v>
      </c>
      <c r="J2830">
        <v>11</v>
      </c>
      <c r="K2830">
        <v>2.5</v>
      </c>
      <c r="L2830" s="2">
        <v>1553.74</v>
      </c>
      <c r="M2830">
        <v>2029</v>
      </c>
      <c r="N2830">
        <v>9</v>
      </c>
      <c r="O2830" t="s">
        <v>172</v>
      </c>
      <c r="P2830" s="2">
        <v>2354.15</v>
      </c>
      <c r="Q2830" s="2">
        <v>800.41</v>
      </c>
      <c r="R2830" t="s">
        <v>72</v>
      </c>
      <c r="S2830">
        <v>1</v>
      </c>
      <c r="T2830">
        <v>0</v>
      </c>
      <c r="U2830">
        <f>IF(AND(OR(Dashboard!$D$4="Semua",D2830=Dashboard!$D$4),OR(Dashboard!$H$4="Semua",E2830=Dashboard!$H$4)),1,0)</f>
        <v>1</v>
      </c>
      <c r="V2830">
        <f>IF(U2830=1,IF(COUNTIFS($C$2:C2830,C2830,$U$2:U2830,1)=1,1,0),0)</f>
        <v>0</v>
      </c>
    </row>
    <row r="2831" spans="1:22" x14ac:dyDescent="0.35">
      <c r="A2831">
        <v>12830</v>
      </c>
      <c r="B2831" s="1">
        <v>47391</v>
      </c>
      <c r="C2831">
        <v>1302</v>
      </c>
      <c r="D2831" t="s">
        <v>67</v>
      </c>
      <c r="E2831" t="s">
        <v>70</v>
      </c>
      <c r="F2831">
        <v>5</v>
      </c>
      <c r="G2831" s="2">
        <v>389.97</v>
      </c>
      <c r="H2831">
        <v>0.11</v>
      </c>
      <c r="I2831" t="s">
        <v>68</v>
      </c>
      <c r="J2831">
        <v>4</v>
      </c>
      <c r="K2831">
        <v>4.4000000000000004</v>
      </c>
      <c r="L2831" s="2">
        <v>1735.37</v>
      </c>
      <c r="M2831">
        <v>2029</v>
      </c>
      <c r="N2831">
        <v>9</v>
      </c>
      <c r="O2831" t="s">
        <v>172</v>
      </c>
      <c r="P2831" s="2">
        <v>1949.85</v>
      </c>
      <c r="Q2831" s="2">
        <v>214.48</v>
      </c>
      <c r="R2831" t="s">
        <v>79</v>
      </c>
      <c r="S2831">
        <v>1</v>
      </c>
      <c r="T2831">
        <v>0</v>
      </c>
      <c r="U2831">
        <f>IF(AND(OR(Dashboard!$D$4="Semua",D2831=Dashboard!$D$4),OR(Dashboard!$H$4="Semua",E2831=Dashboard!$H$4)),1,0)</f>
        <v>1</v>
      </c>
      <c r="V2831">
        <f>IF(U2831=1,IF(COUNTIFS($C$2:C2831,C2831,$U$2:U2831,1)=1,1,0),0)</f>
        <v>0</v>
      </c>
    </row>
    <row r="2832" spans="1:22" x14ac:dyDescent="0.35">
      <c r="A2832">
        <v>12831</v>
      </c>
      <c r="B2832" s="1">
        <v>47392</v>
      </c>
      <c r="C2832">
        <v>1743</v>
      </c>
      <c r="D2832" t="s">
        <v>62</v>
      </c>
      <c r="E2832" t="s">
        <v>74</v>
      </c>
      <c r="F2832">
        <v>3</v>
      </c>
      <c r="G2832" s="2">
        <v>50.46</v>
      </c>
      <c r="H2832">
        <v>7.0000000000000007E-2</v>
      </c>
      <c r="I2832" t="s">
        <v>71</v>
      </c>
      <c r="J2832">
        <v>1</v>
      </c>
      <c r="K2832">
        <v>3.9</v>
      </c>
      <c r="L2832" s="2">
        <v>140.78</v>
      </c>
      <c r="M2832">
        <v>2029</v>
      </c>
      <c r="N2832">
        <v>10</v>
      </c>
      <c r="O2832" t="s">
        <v>173</v>
      </c>
      <c r="P2832" s="2">
        <v>151.38</v>
      </c>
      <c r="Q2832" s="2">
        <v>10.6</v>
      </c>
      <c r="R2832" t="s">
        <v>69</v>
      </c>
      <c r="S2832">
        <v>1</v>
      </c>
      <c r="T2832">
        <v>0</v>
      </c>
      <c r="U2832">
        <f>IF(AND(OR(Dashboard!$D$4="Semua",D2832=Dashboard!$D$4),OR(Dashboard!$H$4="Semua",E2832=Dashboard!$H$4)),1,0)</f>
        <v>1</v>
      </c>
      <c r="V2832">
        <f>IF(U2832=1,IF(COUNTIFS($C$2:C2832,C2832,$U$2:U2832,1)=1,1,0),0)</f>
        <v>0</v>
      </c>
    </row>
    <row r="2833" spans="1:22" x14ac:dyDescent="0.35">
      <c r="A2833">
        <v>12832</v>
      </c>
      <c r="B2833" s="1">
        <v>47393</v>
      </c>
      <c r="C2833">
        <v>1880</v>
      </c>
      <c r="D2833" t="s">
        <v>73</v>
      </c>
      <c r="E2833" t="s">
        <v>74</v>
      </c>
      <c r="F2833">
        <v>1</v>
      </c>
      <c r="G2833" s="2">
        <v>70.959999999999994</v>
      </c>
      <c r="H2833">
        <v>0.14000000000000001</v>
      </c>
      <c r="I2833" t="s">
        <v>64</v>
      </c>
      <c r="J2833">
        <v>6</v>
      </c>
      <c r="K2833">
        <v>3.7</v>
      </c>
      <c r="L2833" s="2">
        <v>61.03</v>
      </c>
      <c r="M2833">
        <v>2029</v>
      </c>
      <c r="N2833">
        <v>10</v>
      </c>
      <c r="O2833" t="s">
        <v>173</v>
      </c>
      <c r="P2833" s="2">
        <v>70.959999999999994</v>
      </c>
      <c r="Q2833" s="2">
        <v>9.93</v>
      </c>
      <c r="R2833" t="s">
        <v>79</v>
      </c>
      <c r="S2833">
        <v>1</v>
      </c>
      <c r="T2833">
        <v>0</v>
      </c>
      <c r="U2833">
        <f>IF(AND(OR(Dashboard!$D$4="Semua",D2833=Dashboard!$D$4),OR(Dashboard!$H$4="Semua",E2833=Dashboard!$H$4)),1,0)</f>
        <v>1</v>
      </c>
      <c r="V2833">
        <f>IF(U2833=1,IF(COUNTIFS($C$2:C2833,C2833,$U$2:U2833,1)=1,1,0),0)</f>
        <v>0</v>
      </c>
    </row>
    <row r="2834" spans="1:22" x14ac:dyDescent="0.35">
      <c r="A2834">
        <v>12833</v>
      </c>
      <c r="B2834" s="1">
        <v>47394</v>
      </c>
      <c r="C2834">
        <v>1587</v>
      </c>
      <c r="D2834" t="s">
        <v>62</v>
      </c>
      <c r="E2834" t="s">
        <v>74</v>
      </c>
      <c r="F2834">
        <v>6</v>
      </c>
      <c r="G2834" s="2">
        <v>37.18</v>
      </c>
      <c r="H2834">
        <v>0.16</v>
      </c>
      <c r="I2834" t="s">
        <v>68</v>
      </c>
      <c r="J2834">
        <v>10</v>
      </c>
      <c r="K2834">
        <v>1.1000000000000001</v>
      </c>
      <c r="L2834" s="2">
        <v>187.39</v>
      </c>
      <c r="M2834">
        <v>2029</v>
      </c>
      <c r="N2834">
        <v>10</v>
      </c>
      <c r="O2834" t="s">
        <v>173</v>
      </c>
      <c r="P2834" s="2">
        <v>223.08</v>
      </c>
      <c r="Q2834" s="2">
        <v>35.69</v>
      </c>
      <c r="R2834" t="s">
        <v>76</v>
      </c>
      <c r="S2834">
        <v>1</v>
      </c>
      <c r="T2834">
        <v>0</v>
      </c>
      <c r="U2834">
        <f>IF(AND(OR(Dashboard!$D$4="Semua",D2834=Dashboard!$D$4),OR(Dashboard!$H$4="Semua",E2834=Dashboard!$H$4)),1,0)</f>
        <v>1</v>
      </c>
      <c r="V2834">
        <f>IF(U2834=1,IF(COUNTIFS($C$2:C2834,C2834,$U$2:U2834,1)=1,1,0),0)</f>
        <v>0</v>
      </c>
    </row>
    <row r="2835" spans="1:22" x14ac:dyDescent="0.35">
      <c r="A2835">
        <v>12834</v>
      </c>
      <c r="B2835" s="1">
        <v>47395</v>
      </c>
      <c r="C2835">
        <v>1986</v>
      </c>
      <c r="D2835" t="s">
        <v>62</v>
      </c>
      <c r="E2835" t="s">
        <v>70</v>
      </c>
      <c r="F2835">
        <v>2</v>
      </c>
      <c r="G2835" s="2">
        <v>282.24</v>
      </c>
      <c r="H2835">
        <v>0.31</v>
      </c>
      <c r="I2835" t="s">
        <v>64</v>
      </c>
      <c r="J2835">
        <v>1</v>
      </c>
      <c r="K2835">
        <v>1.7</v>
      </c>
      <c r="L2835" s="2">
        <v>389.49</v>
      </c>
      <c r="M2835">
        <v>2029</v>
      </c>
      <c r="N2835">
        <v>10</v>
      </c>
      <c r="O2835" t="s">
        <v>173</v>
      </c>
      <c r="P2835" s="2">
        <v>564.48</v>
      </c>
      <c r="Q2835" s="2">
        <v>174.99</v>
      </c>
      <c r="R2835" t="s">
        <v>72</v>
      </c>
      <c r="S2835">
        <v>1</v>
      </c>
      <c r="T2835">
        <v>0</v>
      </c>
      <c r="U2835">
        <f>IF(AND(OR(Dashboard!$D$4="Semua",D2835=Dashboard!$D$4),OR(Dashboard!$H$4="Semua",E2835=Dashboard!$H$4)),1,0)</f>
        <v>1</v>
      </c>
      <c r="V2835">
        <f>IF(U2835=1,IF(COUNTIFS($C$2:C2835,C2835,$U$2:U2835,1)=1,1,0),0)</f>
        <v>0</v>
      </c>
    </row>
    <row r="2836" spans="1:22" x14ac:dyDescent="0.35">
      <c r="A2836">
        <v>12835</v>
      </c>
      <c r="B2836" s="1">
        <v>47396</v>
      </c>
      <c r="C2836">
        <v>1839</v>
      </c>
      <c r="D2836" t="s">
        <v>73</v>
      </c>
      <c r="E2836" t="s">
        <v>63</v>
      </c>
      <c r="F2836">
        <v>4</v>
      </c>
      <c r="G2836" s="2">
        <v>498.12</v>
      </c>
      <c r="H2836">
        <v>0.2</v>
      </c>
      <c r="I2836" t="s">
        <v>71</v>
      </c>
      <c r="J2836">
        <v>5</v>
      </c>
      <c r="K2836">
        <v>4.9000000000000004</v>
      </c>
      <c r="L2836" s="2">
        <v>1593.98</v>
      </c>
      <c r="M2836">
        <v>2029</v>
      </c>
      <c r="N2836">
        <v>10</v>
      </c>
      <c r="O2836" t="s">
        <v>173</v>
      </c>
      <c r="P2836" s="2">
        <v>1992.48</v>
      </c>
      <c r="Q2836" s="2">
        <v>398.5</v>
      </c>
      <c r="R2836" t="s">
        <v>76</v>
      </c>
      <c r="S2836">
        <v>1</v>
      </c>
      <c r="T2836">
        <v>0</v>
      </c>
      <c r="U2836">
        <f>IF(AND(OR(Dashboard!$D$4="Semua",D2836=Dashboard!$D$4),OR(Dashboard!$H$4="Semua",E2836=Dashboard!$H$4)),1,0)</f>
        <v>1</v>
      </c>
      <c r="V2836">
        <f>IF(U2836=1,IF(COUNTIFS($C$2:C2836,C2836,$U$2:U2836,1)=1,1,0),0)</f>
        <v>0</v>
      </c>
    </row>
    <row r="2837" spans="1:22" x14ac:dyDescent="0.35">
      <c r="A2837">
        <v>12836</v>
      </c>
      <c r="B2837" s="1">
        <v>47397</v>
      </c>
      <c r="C2837">
        <v>1344</v>
      </c>
      <c r="D2837" t="s">
        <v>73</v>
      </c>
      <c r="E2837" t="s">
        <v>70</v>
      </c>
      <c r="F2837">
        <v>1</v>
      </c>
      <c r="G2837" s="2">
        <v>198.15</v>
      </c>
      <c r="H2837">
        <v>0.1</v>
      </c>
      <c r="I2837" t="s">
        <v>64</v>
      </c>
      <c r="J2837">
        <v>5</v>
      </c>
      <c r="K2837">
        <v>2.8</v>
      </c>
      <c r="L2837" s="2">
        <v>178.34</v>
      </c>
      <c r="M2837">
        <v>2029</v>
      </c>
      <c r="N2837">
        <v>10</v>
      </c>
      <c r="O2837" t="s">
        <v>173</v>
      </c>
      <c r="P2837" s="2">
        <v>198.15</v>
      </c>
      <c r="Q2837" s="2">
        <v>19.809999999999999</v>
      </c>
      <c r="R2837" t="s">
        <v>69</v>
      </c>
      <c r="S2837">
        <v>1</v>
      </c>
      <c r="T2837">
        <v>0</v>
      </c>
      <c r="U2837">
        <f>IF(AND(OR(Dashboard!$D$4="Semua",D2837=Dashboard!$D$4),OR(Dashboard!$H$4="Semua",E2837=Dashboard!$H$4)),1,0)</f>
        <v>1</v>
      </c>
      <c r="V2837">
        <f>IF(U2837=1,IF(COUNTIFS($C$2:C2837,C2837,$U$2:U2837,1)=1,1,0),0)</f>
        <v>0</v>
      </c>
    </row>
    <row r="2838" spans="1:22" x14ac:dyDescent="0.35">
      <c r="A2838">
        <v>12837</v>
      </c>
      <c r="B2838" s="1">
        <v>47398</v>
      </c>
      <c r="C2838">
        <v>1813</v>
      </c>
      <c r="D2838" t="s">
        <v>62</v>
      </c>
      <c r="E2838" t="s">
        <v>74</v>
      </c>
      <c r="F2838">
        <v>1</v>
      </c>
      <c r="G2838" s="2">
        <v>239.73</v>
      </c>
      <c r="H2838">
        <v>0.26</v>
      </c>
      <c r="I2838" t="s">
        <v>68</v>
      </c>
      <c r="J2838">
        <v>3</v>
      </c>
      <c r="K2838">
        <v>4.0999999999999996</v>
      </c>
      <c r="L2838" s="2">
        <v>177.4</v>
      </c>
      <c r="M2838">
        <v>2029</v>
      </c>
      <c r="N2838">
        <v>10</v>
      </c>
      <c r="O2838" t="s">
        <v>173</v>
      </c>
      <c r="P2838" s="2">
        <v>239.73</v>
      </c>
      <c r="Q2838" s="2">
        <v>62.33</v>
      </c>
      <c r="R2838" t="s">
        <v>66</v>
      </c>
      <c r="S2838">
        <v>1</v>
      </c>
      <c r="T2838">
        <v>0</v>
      </c>
      <c r="U2838">
        <f>IF(AND(OR(Dashboard!$D$4="Semua",D2838=Dashboard!$D$4),OR(Dashboard!$H$4="Semua",E2838=Dashboard!$H$4)),1,0)</f>
        <v>1</v>
      </c>
      <c r="V2838">
        <f>IF(U2838=1,IF(COUNTIFS($C$2:C2838,C2838,$U$2:U2838,1)=1,1,0),0)</f>
        <v>0</v>
      </c>
    </row>
    <row r="2839" spans="1:22" x14ac:dyDescent="0.35">
      <c r="A2839">
        <v>12838</v>
      </c>
      <c r="B2839" s="1">
        <v>47399</v>
      </c>
      <c r="C2839">
        <v>1963</v>
      </c>
      <c r="D2839" t="s">
        <v>62</v>
      </c>
      <c r="E2839" t="s">
        <v>74</v>
      </c>
      <c r="F2839">
        <v>7</v>
      </c>
      <c r="G2839" s="2">
        <v>547.04</v>
      </c>
      <c r="H2839">
        <v>0.18</v>
      </c>
      <c r="I2839" t="s">
        <v>71</v>
      </c>
      <c r="J2839">
        <v>5</v>
      </c>
      <c r="K2839">
        <v>2.6</v>
      </c>
      <c r="L2839" s="2">
        <v>3140.01</v>
      </c>
      <c r="M2839">
        <v>2029</v>
      </c>
      <c r="N2839">
        <v>10</v>
      </c>
      <c r="O2839" t="s">
        <v>173</v>
      </c>
      <c r="P2839" s="2">
        <v>3829.28</v>
      </c>
      <c r="Q2839" s="2">
        <v>689.27</v>
      </c>
      <c r="R2839" t="s">
        <v>76</v>
      </c>
      <c r="S2839">
        <v>1</v>
      </c>
      <c r="T2839">
        <v>0</v>
      </c>
      <c r="U2839">
        <f>IF(AND(OR(Dashboard!$D$4="Semua",D2839=Dashboard!$D$4),OR(Dashboard!$H$4="Semua",E2839=Dashboard!$H$4)),1,0)</f>
        <v>1</v>
      </c>
      <c r="V2839">
        <f>IF(U2839=1,IF(COUNTIFS($C$2:C2839,C2839,$U$2:U2839,1)=1,1,0),0)</f>
        <v>0</v>
      </c>
    </row>
    <row r="2840" spans="1:22" x14ac:dyDescent="0.35">
      <c r="A2840">
        <v>12839</v>
      </c>
      <c r="B2840" s="1">
        <v>47400</v>
      </c>
      <c r="C2840">
        <v>1800</v>
      </c>
      <c r="D2840" t="s">
        <v>67</v>
      </c>
      <c r="E2840" t="s">
        <v>63</v>
      </c>
      <c r="F2840">
        <v>6</v>
      </c>
      <c r="G2840" s="2">
        <v>504.59</v>
      </c>
      <c r="H2840">
        <v>0.06</v>
      </c>
      <c r="I2840" t="s">
        <v>68</v>
      </c>
      <c r="J2840">
        <v>6</v>
      </c>
      <c r="K2840">
        <v>4.0999999999999996</v>
      </c>
      <c r="L2840" s="2">
        <v>2845.89</v>
      </c>
      <c r="M2840">
        <v>2029</v>
      </c>
      <c r="N2840">
        <v>10</v>
      </c>
      <c r="O2840" t="s">
        <v>173</v>
      </c>
      <c r="P2840" s="2">
        <v>3027.54</v>
      </c>
      <c r="Q2840" s="2">
        <v>181.65</v>
      </c>
      <c r="R2840" t="s">
        <v>69</v>
      </c>
      <c r="S2840">
        <v>1</v>
      </c>
      <c r="T2840">
        <v>0</v>
      </c>
      <c r="U2840">
        <f>IF(AND(OR(Dashboard!$D$4="Semua",D2840=Dashboard!$D$4),OR(Dashboard!$H$4="Semua",E2840=Dashboard!$H$4)),1,0)</f>
        <v>1</v>
      </c>
      <c r="V2840">
        <f>IF(U2840=1,IF(COUNTIFS($C$2:C2840,C2840,$U$2:U2840,1)=1,1,0),0)</f>
        <v>0</v>
      </c>
    </row>
    <row r="2841" spans="1:22" x14ac:dyDescent="0.35">
      <c r="A2841">
        <v>12840</v>
      </c>
      <c r="B2841" s="1">
        <v>47401</v>
      </c>
      <c r="C2841">
        <v>1000</v>
      </c>
      <c r="D2841" t="s">
        <v>73</v>
      </c>
      <c r="E2841" t="s">
        <v>78</v>
      </c>
      <c r="F2841">
        <v>4</v>
      </c>
      <c r="G2841" s="2">
        <v>404.05</v>
      </c>
      <c r="H2841">
        <v>0.2</v>
      </c>
      <c r="I2841" t="s">
        <v>64</v>
      </c>
      <c r="J2841">
        <v>5</v>
      </c>
      <c r="K2841">
        <v>1.5</v>
      </c>
      <c r="L2841" s="2">
        <v>1292.96</v>
      </c>
      <c r="M2841">
        <v>2029</v>
      </c>
      <c r="N2841">
        <v>10</v>
      </c>
      <c r="O2841" t="s">
        <v>173</v>
      </c>
      <c r="P2841" s="2">
        <v>1616.2</v>
      </c>
      <c r="Q2841" s="2">
        <v>323.24</v>
      </c>
      <c r="R2841" t="s">
        <v>76</v>
      </c>
      <c r="S2841">
        <v>1</v>
      </c>
      <c r="T2841">
        <v>0</v>
      </c>
      <c r="U2841">
        <f>IF(AND(OR(Dashboard!$D$4="Semua",D2841=Dashboard!$D$4),OR(Dashboard!$H$4="Semua",E2841=Dashboard!$H$4)),1,0)</f>
        <v>1</v>
      </c>
      <c r="V2841">
        <f>IF(U2841=1,IF(COUNTIFS($C$2:C2841,C2841,$U$2:U2841,1)=1,1,0),0)</f>
        <v>0</v>
      </c>
    </row>
    <row r="2842" spans="1:22" x14ac:dyDescent="0.35">
      <c r="A2842">
        <v>12841</v>
      </c>
      <c r="B2842" s="1">
        <v>47402</v>
      </c>
      <c r="C2842">
        <v>1146</v>
      </c>
      <c r="D2842" t="s">
        <v>67</v>
      </c>
      <c r="E2842" t="s">
        <v>78</v>
      </c>
      <c r="F2842">
        <v>2</v>
      </c>
      <c r="G2842" s="2">
        <v>171.08</v>
      </c>
      <c r="H2842">
        <v>0.32</v>
      </c>
      <c r="I2842" t="s">
        <v>71</v>
      </c>
      <c r="J2842">
        <v>1</v>
      </c>
      <c r="K2842">
        <v>1.2</v>
      </c>
      <c r="L2842" s="2">
        <v>232.67</v>
      </c>
      <c r="M2842">
        <v>2029</v>
      </c>
      <c r="N2842">
        <v>10</v>
      </c>
      <c r="O2842" t="s">
        <v>173</v>
      </c>
      <c r="P2842" s="2">
        <v>342.16</v>
      </c>
      <c r="Q2842" s="2">
        <v>109.49</v>
      </c>
      <c r="R2842" t="s">
        <v>72</v>
      </c>
      <c r="S2842">
        <v>1</v>
      </c>
      <c r="T2842">
        <v>0</v>
      </c>
      <c r="U2842">
        <f>IF(AND(OR(Dashboard!$D$4="Semua",D2842=Dashboard!$D$4),OR(Dashboard!$H$4="Semua",E2842=Dashboard!$H$4)),1,0)</f>
        <v>1</v>
      </c>
      <c r="V2842">
        <f>IF(U2842=1,IF(COUNTIFS($C$2:C2842,C2842,$U$2:U2842,1)=1,1,0),0)</f>
        <v>0</v>
      </c>
    </row>
    <row r="2843" spans="1:22" x14ac:dyDescent="0.35">
      <c r="A2843">
        <v>12842</v>
      </c>
      <c r="B2843" s="1">
        <v>47403</v>
      </c>
      <c r="C2843">
        <v>1286</v>
      </c>
      <c r="D2843" t="s">
        <v>80</v>
      </c>
      <c r="E2843" t="s">
        <v>70</v>
      </c>
      <c r="F2843">
        <v>1</v>
      </c>
      <c r="G2843" s="2">
        <v>83.47</v>
      </c>
      <c r="H2843">
        <v>0.28999999999999998</v>
      </c>
      <c r="I2843" t="s">
        <v>68</v>
      </c>
      <c r="J2843">
        <v>7</v>
      </c>
      <c r="K2843">
        <v>2.9</v>
      </c>
      <c r="L2843" s="2">
        <v>59.26</v>
      </c>
      <c r="M2843">
        <v>2029</v>
      </c>
      <c r="N2843">
        <v>10</v>
      </c>
      <c r="O2843" t="s">
        <v>173</v>
      </c>
      <c r="P2843" s="2">
        <v>83.47</v>
      </c>
      <c r="Q2843" s="2">
        <v>24.21</v>
      </c>
      <c r="R2843" t="s">
        <v>66</v>
      </c>
      <c r="S2843">
        <v>1</v>
      </c>
      <c r="T2843">
        <v>0</v>
      </c>
      <c r="U2843">
        <f>IF(AND(OR(Dashboard!$D$4="Semua",D2843=Dashboard!$D$4),OR(Dashboard!$H$4="Semua",E2843=Dashboard!$H$4)),1,0)</f>
        <v>1</v>
      </c>
      <c r="V2843">
        <f>IF(U2843=1,IF(COUNTIFS($C$2:C2843,C2843,$U$2:U2843,1)=1,1,0),0)</f>
        <v>0</v>
      </c>
    </row>
    <row r="2844" spans="1:22" x14ac:dyDescent="0.35">
      <c r="A2844">
        <v>12843</v>
      </c>
      <c r="B2844" s="1">
        <v>47404</v>
      </c>
      <c r="C2844">
        <v>1975</v>
      </c>
      <c r="D2844" t="s">
        <v>73</v>
      </c>
      <c r="E2844" t="s">
        <v>78</v>
      </c>
      <c r="F2844">
        <v>5</v>
      </c>
      <c r="G2844" s="2">
        <v>24.39</v>
      </c>
      <c r="H2844">
        <v>0.21</v>
      </c>
      <c r="I2844" t="s">
        <v>68</v>
      </c>
      <c r="J2844">
        <v>3</v>
      </c>
      <c r="K2844">
        <v>3.4</v>
      </c>
      <c r="L2844" s="2">
        <v>96.34</v>
      </c>
      <c r="M2844">
        <v>2029</v>
      </c>
      <c r="N2844">
        <v>10</v>
      </c>
      <c r="O2844" t="s">
        <v>173</v>
      </c>
      <c r="P2844" s="2">
        <v>121.95</v>
      </c>
      <c r="Q2844" s="2">
        <v>25.61</v>
      </c>
      <c r="R2844" t="s">
        <v>77</v>
      </c>
      <c r="S2844">
        <v>1</v>
      </c>
      <c r="T2844">
        <v>0</v>
      </c>
      <c r="U2844">
        <f>IF(AND(OR(Dashboard!$D$4="Semua",D2844=Dashboard!$D$4),OR(Dashboard!$H$4="Semua",E2844=Dashboard!$H$4)),1,0)</f>
        <v>1</v>
      </c>
      <c r="V2844">
        <f>IF(U2844=1,IF(COUNTIFS($C$2:C2844,C2844,$U$2:U2844,1)=1,1,0),0)</f>
        <v>0</v>
      </c>
    </row>
    <row r="2845" spans="1:22" x14ac:dyDescent="0.35">
      <c r="A2845">
        <v>12844</v>
      </c>
      <c r="B2845" s="1">
        <v>47405</v>
      </c>
      <c r="C2845">
        <v>1653</v>
      </c>
      <c r="D2845" t="s">
        <v>80</v>
      </c>
      <c r="E2845" t="s">
        <v>78</v>
      </c>
      <c r="F2845">
        <v>5</v>
      </c>
      <c r="G2845" s="2">
        <v>77.599999999999994</v>
      </c>
      <c r="H2845">
        <v>0.13</v>
      </c>
      <c r="I2845" t="s">
        <v>64</v>
      </c>
      <c r="J2845">
        <v>7</v>
      </c>
      <c r="K2845">
        <v>2.2999999999999998</v>
      </c>
      <c r="L2845" s="2">
        <v>337.56</v>
      </c>
      <c r="M2845">
        <v>2029</v>
      </c>
      <c r="N2845">
        <v>10</v>
      </c>
      <c r="O2845" t="s">
        <v>173</v>
      </c>
      <c r="P2845" s="2">
        <v>388</v>
      </c>
      <c r="Q2845" s="2">
        <v>50.44</v>
      </c>
      <c r="R2845" t="s">
        <v>79</v>
      </c>
      <c r="S2845">
        <v>1</v>
      </c>
      <c r="T2845">
        <v>0</v>
      </c>
      <c r="U2845">
        <f>IF(AND(OR(Dashboard!$D$4="Semua",D2845=Dashboard!$D$4),OR(Dashboard!$H$4="Semua",E2845=Dashboard!$H$4)),1,0)</f>
        <v>1</v>
      </c>
      <c r="V2845">
        <f>IF(U2845=1,IF(COUNTIFS($C$2:C2845,C2845,$U$2:U2845,1)=1,1,0),0)</f>
        <v>0</v>
      </c>
    </row>
    <row r="2846" spans="1:22" x14ac:dyDescent="0.35">
      <c r="A2846">
        <v>12845</v>
      </c>
      <c r="B2846" s="1">
        <v>47406</v>
      </c>
      <c r="C2846">
        <v>1052</v>
      </c>
      <c r="D2846" t="s">
        <v>73</v>
      </c>
      <c r="E2846" t="s">
        <v>70</v>
      </c>
      <c r="F2846">
        <v>4</v>
      </c>
      <c r="G2846" s="2">
        <v>186.17</v>
      </c>
      <c r="H2846">
        <v>0.03</v>
      </c>
      <c r="I2846" t="s">
        <v>71</v>
      </c>
      <c r="J2846">
        <v>5</v>
      </c>
      <c r="K2846">
        <v>3.9</v>
      </c>
      <c r="L2846" s="2">
        <v>722.34</v>
      </c>
      <c r="M2846">
        <v>2029</v>
      </c>
      <c r="N2846">
        <v>10</v>
      </c>
      <c r="O2846" t="s">
        <v>173</v>
      </c>
      <c r="P2846" s="2">
        <v>744.68</v>
      </c>
      <c r="Q2846" s="2">
        <v>22.34</v>
      </c>
      <c r="R2846" t="s">
        <v>75</v>
      </c>
      <c r="S2846">
        <v>1</v>
      </c>
      <c r="T2846">
        <v>0</v>
      </c>
      <c r="U2846">
        <f>IF(AND(OR(Dashboard!$D$4="Semua",D2846=Dashboard!$D$4),OR(Dashboard!$H$4="Semua",E2846=Dashboard!$H$4)),1,0)</f>
        <v>1</v>
      </c>
      <c r="V2846">
        <f>IF(U2846=1,IF(COUNTIFS($C$2:C2846,C2846,$U$2:U2846,1)=1,1,0),0)</f>
        <v>0</v>
      </c>
    </row>
    <row r="2847" spans="1:22" x14ac:dyDescent="0.35">
      <c r="A2847">
        <v>12846</v>
      </c>
      <c r="B2847" s="1">
        <v>47407</v>
      </c>
      <c r="C2847">
        <v>1303</v>
      </c>
      <c r="D2847" t="s">
        <v>73</v>
      </c>
      <c r="E2847" t="s">
        <v>74</v>
      </c>
      <c r="F2847">
        <v>2</v>
      </c>
      <c r="G2847" s="2">
        <v>337.8</v>
      </c>
      <c r="H2847">
        <v>0.16</v>
      </c>
      <c r="I2847" t="s">
        <v>68</v>
      </c>
      <c r="J2847">
        <v>3</v>
      </c>
      <c r="K2847">
        <v>3</v>
      </c>
      <c r="L2847" s="2">
        <v>567.5</v>
      </c>
      <c r="M2847">
        <v>2029</v>
      </c>
      <c r="N2847">
        <v>10</v>
      </c>
      <c r="O2847" t="s">
        <v>173</v>
      </c>
      <c r="P2847" s="2">
        <v>675.6</v>
      </c>
      <c r="Q2847" s="2">
        <v>108.1</v>
      </c>
      <c r="R2847" t="s">
        <v>76</v>
      </c>
      <c r="S2847">
        <v>1</v>
      </c>
      <c r="T2847">
        <v>0</v>
      </c>
      <c r="U2847">
        <f>IF(AND(OR(Dashboard!$D$4="Semua",D2847=Dashboard!$D$4),OR(Dashboard!$H$4="Semua",E2847=Dashboard!$H$4)),1,0)</f>
        <v>1</v>
      </c>
      <c r="V2847">
        <f>IF(U2847=1,IF(COUNTIFS($C$2:C2847,C2847,$U$2:U2847,1)=1,1,0),0)</f>
        <v>0</v>
      </c>
    </row>
    <row r="2848" spans="1:22" x14ac:dyDescent="0.35">
      <c r="A2848">
        <v>12847</v>
      </c>
      <c r="B2848" s="1">
        <v>47408</v>
      </c>
      <c r="C2848">
        <v>1068</v>
      </c>
      <c r="D2848" t="s">
        <v>67</v>
      </c>
      <c r="E2848" t="s">
        <v>78</v>
      </c>
      <c r="F2848">
        <v>4</v>
      </c>
      <c r="G2848" s="2">
        <v>52.44</v>
      </c>
      <c r="H2848">
        <v>0.26</v>
      </c>
      <c r="I2848" t="s">
        <v>68</v>
      </c>
      <c r="J2848">
        <v>11</v>
      </c>
      <c r="K2848">
        <v>4.7</v>
      </c>
      <c r="L2848" s="2">
        <v>155.22</v>
      </c>
      <c r="M2848">
        <v>2029</v>
      </c>
      <c r="N2848">
        <v>10</v>
      </c>
      <c r="O2848" t="s">
        <v>173</v>
      </c>
      <c r="P2848" s="2">
        <v>209.76</v>
      </c>
      <c r="Q2848" s="2">
        <v>54.54</v>
      </c>
      <c r="R2848" t="s">
        <v>66</v>
      </c>
      <c r="S2848">
        <v>1</v>
      </c>
      <c r="T2848">
        <v>0</v>
      </c>
      <c r="U2848">
        <f>IF(AND(OR(Dashboard!$D$4="Semua",D2848=Dashboard!$D$4),OR(Dashboard!$H$4="Semua",E2848=Dashboard!$H$4)),1,0)</f>
        <v>1</v>
      </c>
      <c r="V2848">
        <f>IF(U2848=1,IF(COUNTIFS($C$2:C2848,C2848,$U$2:U2848,1)=1,1,0),0)</f>
        <v>0</v>
      </c>
    </row>
    <row r="2849" spans="1:22" x14ac:dyDescent="0.35">
      <c r="A2849">
        <v>12848</v>
      </c>
      <c r="B2849" s="1">
        <v>47409</v>
      </c>
      <c r="C2849">
        <v>1360</v>
      </c>
      <c r="D2849" t="s">
        <v>67</v>
      </c>
      <c r="E2849" t="s">
        <v>74</v>
      </c>
      <c r="F2849">
        <v>1</v>
      </c>
      <c r="G2849" s="2">
        <v>94.69</v>
      </c>
      <c r="H2849">
        <v>0.13</v>
      </c>
      <c r="I2849" t="s">
        <v>64</v>
      </c>
      <c r="J2849">
        <v>6</v>
      </c>
      <c r="K2849">
        <v>1.3</v>
      </c>
      <c r="L2849" s="2">
        <v>82.38</v>
      </c>
      <c r="M2849">
        <v>2029</v>
      </c>
      <c r="N2849">
        <v>10</v>
      </c>
      <c r="O2849" t="s">
        <v>173</v>
      </c>
      <c r="P2849" s="2">
        <v>94.69</v>
      </c>
      <c r="Q2849" s="2">
        <v>12.31</v>
      </c>
      <c r="R2849" t="s">
        <v>79</v>
      </c>
      <c r="S2849">
        <v>1</v>
      </c>
      <c r="T2849">
        <v>0</v>
      </c>
      <c r="U2849">
        <f>IF(AND(OR(Dashboard!$D$4="Semua",D2849=Dashboard!$D$4),OR(Dashboard!$H$4="Semua",E2849=Dashboard!$H$4)),1,0)</f>
        <v>1</v>
      </c>
      <c r="V2849">
        <f>IF(U2849=1,IF(COUNTIFS($C$2:C2849,C2849,$U$2:U2849,1)=1,1,0),0)</f>
        <v>0</v>
      </c>
    </row>
    <row r="2850" spans="1:22" x14ac:dyDescent="0.35">
      <c r="A2850">
        <v>12849</v>
      </c>
      <c r="B2850" s="1">
        <v>47410</v>
      </c>
      <c r="C2850">
        <v>1601</v>
      </c>
      <c r="D2850" t="s">
        <v>73</v>
      </c>
      <c r="E2850" t="s">
        <v>70</v>
      </c>
      <c r="F2850">
        <v>7</v>
      </c>
      <c r="G2850" s="2">
        <v>120.93</v>
      </c>
      <c r="H2850">
        <v>0.08</v>
      </c>
      <c r="I2850" t="s">
        <v>68</v>
      </c>
      <c r="J2850">
        <v>1</v>
      </c>
      <c r="K2850">
        <v>1.3</v>
      </c>
      <c r="L2850" s="2">
        <v>778.79</v>
      </c>
      <c r="M2850">
        <v>2029</v>
      </c>
      <c r="N2850">
        <v>10</v>
      </c>
      <c r="O2850" t="s">
        <v>173</v>
      </c>
      <c r="P2850" s="2">
        <v>846.51</v>
      </c>
      <c r="Q2850" s="2">
        <v>67.72</v>
      </c>
      <c r="R2850" t="s">
        <v>69</v>
      </c>
      <c r="S2850">
        <v>1</v>
      </c>
      <c r="T2850">
        <v>0</v>
      </c>
      <c r="U2850">
        <f>IF(AND(OR(Dashboard!$D$4="Semua",D2850=Dashboard!$D$4),OR(Dashboard!$H$4="Semua",E2850=Dashboard!$H$4)),1,0)</f>
        <v>1</v>
      </c>
      <c r="V2850">
        <f>IF(U2850=1,IF(COUNTIFS($C$2:C2850,C2850,$U$2:U2850,1)=1,1,0),0)</f>
        <v>0</v>
      </c>
    </row>
    <row r="2851" spans="1:22" x14ac:dyDescent="0.35">
      <c r="A2851">
        <v>12850</v>
      </c>
      <c r="B2851" s="1">
        <v>47411</v>
      </c>
      <c r="C2851">
        <v>1957</v>
      </c>
      <c r="D2851" t="s">
        <v>67</v>
      </c>
      <c r="E2851" t="s">
        <v>74</v>
      </c>
      <c r="F2851">
        <v>7</v>
      </c>
      <c r="G2851" s="2">
        <v>384.71</v>
      </c>
      <c r="H2851">
        <v>0.33</v>
      </c>
      <c r="I2851" t="s">
        <v>68</v>
      </c>
      <c r="J2851">
        <v>6</v>
      </c>
      <c r="K2851">
        <v>4.5999999999999996</v>
      </c>
      <c r="L2851" s="2">
        <v>1804.29</v>
      </c>
      <c r="M2851">
        <v>2029</v>
      </c>
      <c r="N2851">
        <v>10</v>
      </c>
      <c r="O2851" t="s">
        <v>173</v>
      </c>
      <c r="P2851" s="2">
        <v>2692.97</v>
      </c>
      <c r="Q2851" s="2">
        <v>888.68</v>
      </c>
      <c r="R2851" t="s">
        <v>72</v>
      </c>
      <c r="S2851">
        <v>1</v>
      </c>
      <c r="T2851">
        <v>0</v>
      </c>
      <c r="U2851">
        <f>IF(AND(OR(Dashboard!$D$4="Semua",D2851=Dashboard!$D$4),OR(Dashboard!$H$4="Semua",E2851=Dashboard!$H$4)),1,0)</f>
        <v>1</v>
      </c>
      <c r="V2851">
        <f>IF(U2851=1,IF(COUNTIFS($C$2:C2851,C2851,$U$2:U2851,1)=1,1,0),0)</f>
        <v>0</v>
      </c>
    </row>
    <row r="2852" spans="1:22" x14ac:dyDescent="0.35">
      <c r="A2852">
        <v>12851</v>
      </c>
      <c r="B2852" s="1">
        <v>47412</v>
      </c>
      <c r="C2852">
        <v>1219</v>
      </c>
      <c r="D2852" t="s">
        <v>73</v>
      </c>
      <c r="E2852" t="s">
        <v>74</v>
      </c>
      <c r="F2852">
        <v>5</v>
      </c>
      <c r="G2852" s="2">
        <v>375.24</v>
      </c>
      <c r="H2852">
        <v>0.28999999999999998</v>
      </c>
      <c r="I2852" t="s">
        <v>64</v>
      </c>
      <c r="J2852">
        <v>4</v>
      </c>
      <c r="K2852">
        <v>3.7</v>
      </c>
      <c r="L2852" s="2">
        <v>1332.1</v>
      </c>
      <c r="M2852">
        <v>2029</v>
      </c>
      <c r="N2852">
        <v>10</v>
      </c>
      <c r="O2852" t="s">
        <v>173</v>
      </c>
      <c r="P2852" s="2">
        <v>1876.2</v>
      </c>
      <c r="Q2852" s="2">
        <v>544.1</v>
      </c>
      <c r="R2852" t="s">
        <v>66</v>
      </c>
      <c r="S2852">
        <v>1</v>
      </c>
      <c r="T2852">
        <v>0</v>
      </c>
      <c r="U2852">
        <f>IF(AND(OR(Dashboard!$D$4="Semua",D2852=Dashboard!$D$4),OR(Dashboard!$H$4="Semua",E2852=Dashboard!$H$4)),1,0)</f>
        <v>1</v>
      </c>
      <c r="V2852">
        <f>IF(U2852=1,IF(COUNTIFS($C$2:C2852,C2852,$U$2:U2852,1)=1,1,0),0)</f>
        <v>0</v>
      </c>
    </row>
    <row r="2853" spans="1:22" x14ac:dyDescent="0.35">
      <c r="A2853">
        <v>12852</v>
      </c>
      <c r="B2853" s="1">
        <v>47413</v>
      </c>
      <c r="C2853">
        <v>1961</v>
      </c>
      <c r="D2853" t="s">
        <v>73</v>
      </c>
      <c r="E2853" t="s">
        <v>70</v>
      </c>
      <c r="F2853">
        <v>7</v>
      </c>
      <c r="G2853" s="2">
        <v>337.2</v>
      </c>
      <c r="H2853">
        <v>0.22</v>
      </c>
      <c r="I2853" t="s">
        <v>68</v>
      </c>
      <c r="J2853">
        <v>4</v>
      </c>
      <c r="K2853">
        <v>3.7</v>
      </c>
      <c r="L2853" s="2">
        <v>1841.11</v>
      </c>
      <c r="M2853">
        <v>2029</v>
      </c>
      <c r="N2853">
        <v>10</v>
      </c>
      <c r="O2853" t="s">
        <v>173</v>
      </c>
      <c r="P2853" s="2">
        <v>2360.4</v>
      </c>
      <c r="Q2853" s="2">
        <v>519.29</v>
      </c>
      <c r="R2853" t="s">
        <v>77</v>
      </c>
      <c r="S2853">
        <v>1</v>
      </c>
      <c r="T2853">
        <v>0</v>
      </c>
      <c r="U2853">
        <f>IF(AND(OR(Dashboard!$D$4="Semua",D2853=Dashboard!$D$4),OR(Dashboard!$H$4="Semua",E2853=Dashboard!$H$4)),1,0)</f>
        <v>1</v>
      </c>
      <c r="V2853">
        <f>IF(U2853=1,IF(COUNTIFS($C$2:C2853,C2853,$U$2:U2853,1)=1,1,0),0)</f>
        <v>0</v>
      </c>
    </row>
    <row r="2854" spans="1:22" x14ac:dyDescent="0.35">
      <c r="A2854">
        <v>12853</v>
      </c>
      <c r="B2854" s="1">
        <v>47414</v>
      </c>
      <c r="C2854">
        <v>1703</v>
      </c>
      <c r="D2854" t="s">
        <v>73</v>
      </c>
      <c r="E2854" t="s">
        <v>74</v>
      </c>
      <c r="F2854">
        <v>3</v>
      </c>
      <c r="G2854" s="2">
        <v>161.54</v>
      </c>
      <c r="H2854">
        <v>0.05</v>
      </c>
      <c r="I2854" t="s">
        <v>68</v>
      </c>
      <c r="J2854">
        <v>5</v>
      </c>
      <c r="K2854">
        <v>1.1000000000000001</v>
      </c>
      <c r="L2854" s="2">
        <v>460.39</v>
      </c>
      <c r="M2854">
        <v>2029</v>
      </c>
      <c r="N2854">
        <v>10</v>
      </c>
      <c r="O2854" t="s">
        <v>173</v>
      </c>
      <c r="P2854" s="2">
        <v>484.62</v>
      </c>
      <c r="Q2854" s="2">
        <v>24.23</v>
      </c>
      <c r="R2854" t="s">
        <v>75</v>
      </c>
      <c r="S2854">
        <v>1</v>
      </c>
      <c r="T2854">
        <v>0</v>
      </c>
      <c r="U2854">
        <f>IF(AND(OR(Dashboard!$D$4="Semua",D2854=Dashboard!$D$4),OR(Dashboard!$H$4="Semua",E2854=Dashboard!$H$4)),1,0)</f>
        <v>1</v>
      </c>
      <c r="V2854">
        <f>IF(U2854=1,IF(COUNTIFS($C$2:C2854,C2854,$U$2:U2854,1)=1,1,0),0)</f>
        <v>0</v>
      </c>
    </row>
    <row r="2855" spans="1:22" x14ac:dyDescent="0.35">
      <c r="A2855">
        <v>12854</v>
      </c>
      <c r="B2855" s="1">
        <v>47415</v>
      </c>
      <c r="C2855">
        <v>1965</v>
      </c>
      <c r="D2855" t="s">
        <v>62</v>
      </c>
      <c r="E2855" t="s">
        <v>78</v>
      </c>
      <c r="F2855">
        <v>4</v>
      </c>
      <c r="G2855" s="2">
        <v>232.11</v>
      </c>
      <c r="H2855">
        <v>0.05</v>
      </c>
      <c r="I2855" t="s">
        <v>68</v>
      </c>
      <c r="J2855">
        <v>9</v>
      </c>
      <c r="K2855">
        <v>4.8</v>
      </c>
      <c r="L2855" s="2">
        <v>882.02</v>
      </c>
      <c r="M2855">
        <v>2029</v>
      </c>
      <c r="N2855">
        <v>10</v>
      </c>
      <c r="O2855" t="s">
        <v>173</v>
      </c>
      <c r="P2855" s="2">
        <v>928.44</v>
      </c>
      <c r="Q2855" s="2">
        <v>46.42</v>
      </c>
      <c r="R2855" t="s">
        <v>75</v>
      </c>
      <c r="S2855">
        <v>1</v>
      </c>
      <c r="T2855">
        <v>0</v>
      </c>
      <c r="U2855">
        <f>IF(AND(OR(Dashboard!$D$4="Semua",D2855=Dashboard!$D$4),OR(Dashboard!$H$4="Semua",E2855=Dashboard!$H$4)),1,0)</f>
        <v>1</v>
      </c>
      <c r="V2855">
        <f>IF(U2855=1,IF(COUNTIFS($C$2:C2855,C2855,$U$2:U2855,1)=1,1,0),0)</f>
        <v>0</v>
      </c>
    </row>
    <row r="2856" spans="1:22" x14ac:dyDescent="0.35">
      <c r="A2856">
        <v>12855</v>
      </c>
      <c r="B2856" s="1">
        <v>47416</v>
      </c>
      <c r="C2856">
        <v>1574</v>
      </c>
      <c r="D2856" t="s">
        <v>67</v>
      </c>
      <c r="E2856" t="s">
        <v>78</v>
      </c>
      <c r="F2856">
        <v>7</v>
      </c>
      <c r="G2856" s="2">
        <v>71.56</v>
      </c>
      <c r="H2856">
        <v>0.04</v>
      </c>
      <c r="I2856" t="s">
        <v>64</v>
      </c>
      <c r="J2856">
        <v>1</v>
      </c>
      <c r="K2856">
        <v>4.0999999999999996</v>
      </c>
      <c r="L2856" s="2">
        <v>480.88</v>
      </c>
      <c r="M2856">
        <v>2029</v>
      </c>
      <c r="N2856">
        <v>10</v>
      </c>
      <c r="O2856" t="s">
        <v>173</v>
      </c>
      <c r="P2856" s="2">
        <v>500.92</v>
      </c>
      <c r="Q2856" s="2">
        <v>20.04</v>
      </c>
      <c r="R2856" t="s">
        <v>75</v>
      </c>
      <c r="S2856">
        <v>1</v>
      </c>
      <c r="T2856">
        <v>0</v>
      </c>
      <c r="U2856">
        <f>IF(AND(OR(Dashboard!$D$4="Semua",D2856=Dashboard!$D$4),OR(Dashboard!$H$4="Semua",E2856=Dashboard!$H$4)),1,0)</f>
        <v>1</v>
      </c>
      <c r="V2856">
        <f>IF(U2856=1,IF(COUNTIFS($C$2:C2856,C2856,$U$2:U2856,1)=1,1,0),0)</f>
        <v>0</v>
      </c>
    </row>
    <row r="2857" spans="1:22" x14ac:dyDescent="0.35">
      <c r="A2857">
        <v>12856</v>
      </c>
      <c r="B2857" s="1">
        <v>47417</v>
      </c>
      <c r="C2857">
        <v>1584</v>
      </c>
      <c r="D2857" t="s">
        <v>67</v>
      </c>
      <c r="E2857" t="s">
        <v>78</v>
      </c>
      <c r="F2857">
        <v>3</v>
      </c>
      <c r="G2857" s="2">
        <v>147.47999999999999</v>
      </c>
      <c r="H2857">
        <v>0.22</v>
      </c>
      <c r="I2857" t="s">
        <v>68</v>
      </c>
      <c r="J2857">
        <v>3</v>
      </c>
      <c r="K2857">
        <v>4.0999999999999996</v>
      </c>
      <c r="L2857" s="2">
        <v>345.1</v>
      </c>
      <c r="M2857">
        <v>2029</v>
      </c>
      <c r="N2857">
        <v>10</v>
      </c>
      <c r="O2857" t="s">
        <v>173</v>
      </c>
      <c r="P2857" s="2">
        <v>442.44</v>
      </c>
      <c r="Q2857" s="2">
        <v>97.34</v>
      </c>
      <c r="R2857" t="s">
        <v>77</v>
      </c>
      <c r="S2857">
        <v>1</v>
      </c>
      <c r="T2857">
        <v>0</v>
      </c>
      <c r="U2857">
        <f>IF(AND(OR(Dashboard!$D$4="Semua",D2857=Dashboard!$D$4),OR(Dashboard!$H$4="Semua",E2857=Dashboard!$H$4)),1,0)</f>
        <v>1</v>
      </c>
      <c r="V2857">
        <f>IF(U2857=1,IF(COUNTIFS($C$2:C2857,C2857,$U$2:U2857,1)=1,1,0),0)</f>
        <v>0</v>
      </c>
    </row>
    <row r="2858" spans="1:22" x14ac:dyDescent="0.35">
      <c r="A2858">
        <v>12857</v>
      </c>
      <c r="B2858" s="1">
        <v>47418</v>
      </c>
      <c r="C2858">
        <v>1160</v>
      </c>
      <c r="D2858" t="s">
        <v>67</v>
      </c>
      <c r="E2858" t="s">
        <v>78</v>
      </c>
      <c r="F2858">
        <v>3</v>
      </c>
      <c r="G2858" s="2">
        <v>540.16</v>
      </c>
      <c r="H2858">
        <v>0.04</v>
      </c>
      <c r="I2858" t="s">
        <v>71</v>
      </c>
      <c r="J2858">
        <v>11</v>
      </c>
      <c r="K2858">
        <v>4.5999999999999996</v>
      </c>
      <c r="L2858" s="2">
        <v>1555.66</v>
      </c>
      <c r="M2858">
        <v>2029</v>
      </c>
      <c r="N2858">
        <v>10</v>
      </c>
      <c r="O2858" t="s">
        <v>173</v>
      </c>
      <c r="P2858" s="2">
        <v>1620.48</v>
      </c>
      <c r="Q2858" s="2">
        <v>64.819999999999993</v>
      </c>
      <c r="R2858" t="s">
        <v>75</v>
      </c>
      <c r="S2858">
        <v>1</v>
      </c>
      <c r="T2858">
        <v>0</v>
      </c>
      <c r="U2858">
        <f>IF(AND(OR(Dashboard!$D$4="Semua",D2858=Dashboard!$D$4),OR(Dashboard!$H$4="Semua",E2858=Dashboard!$H$4)),1,0)</f>
        <v>1</v>
      </c>
      <c r="V2858">
        <f>IF(U2858=1,IF(COUNTIFS($C$2:C2858,C2858,$U$2:U2858,1)=1,1,0),0)</f>
        <v>0</v>
      </c>
    </row>
    <row r="2859" spans="1:22" x14ac:dyDescent="0.35">
      <c r="A2859">
        <v>12858</v>
      </c>
      <c r="B2859" s="1">
        <v>47419</v>
      </c>
      <c r="C2859">
        <v>1680</v>
      </c>
      <c r="D2859" t="s">
        <v>62</v>
      </c>
      <c r="E2859" t="s">
        <v>74</v>
      </c>
      <c r="F2859">
        <v>6</v>
      </c>
      <c r="G2859" s="2">
        <v>588.12</v>
      </c>
      <c r="H2859">
        <v>0.28999999999999998</v>
      </c>
      <c r="I2859" t="s">
        <v>64</v>
      </c>
      <c r="J2859">
        <v>4</v>
      </c>
      <c r="K2859">
        <v>3.3</v>
      </c>
      <c r="L2859" s="2">
        <v>2505.39</v>
      </c>
      <c r="M2859">
        <v>2029</v>
      </c>
      <c r="N2859">
        <v>10</v>
      </c>
      <c r="O2859" t="s">
        <v>173</v>
      </c>
      <c r="P2859" s="2">
        <v>3528.72</v>
      </c>
      <c r="Q2859" s="2">
        <v>1023.33</v>
      </c>
      <c r="R2859" t="s">
        <v>66</v>
      </c>
      <c r="S2859">
        <v>1</v>
      </c>
      <c r="T2859">
        <v>0</v>
      </c>
      <c r="U2859">
        <f>IF(AND(OR(Dashboard!$D$4="Semua",D2859=Dashboard!$D$4),OR(Dashboard!$H$4="Semua",E2859=Dashboard!$H$4)),1,0)</f>
        <v>1</v>
      </c>
      <c r="V2859">
        <f>IF(U2859=1,IF(COUNTIFS($C$2:C2859,C2859,$U$2:U2859,1)=1,1,0),0)</f>
        <v>0</v>
      </c>
    </row>
    <row r="2860" spans="1:22" x14ac:dyDescent="0.35">
      <c r="A2860">
        <v>12859</v>
      </c>
      <c r="B2860" s="1">
        <v>47420</v>
      </c>
      <c r="C2860">
        <v>1088</v>
      </c>
      <c r="D2860" t="s">
        <v>73</v>
      </c>
      <c r="E2860" t="s">
        <v>78</v>
      </c>
      <c r="F2860">
        <v>5</v>
      </c>
      <c r="G2860" s="2">
        <v>393.88</v>
      </c>
      <c r="H2860">
        <v>0.35</v>
      </c>
      <c r="I2860" t="s">
        <v>68</v>
      </c>
      <c r="J2860">
        <v>2</v>
      </c>
      <c r="K2860">
        <v>2.6</v>
      </c>
      <c r="L2860" s="2">
        <v>1280.1099999999999</v>
      </c>
      <c r="M2860">
        <v>2029</v>
      </c>
      <c r="N2860">
        <v>10</v>
      </c>
      <c r="O2860" t="s">
        <v>173</v>
      </c>
      <c r="P2860" s="2">
        <v>1969.4</v>
      </c>
      <c r="Q2860" s="2">
        <v>689.29</v>
      </c>
      <c r="R2860" t="s">
        <v>72</v>
      </c>
      <c r="S2860">
        <v>1</v>
      </c>
      <c r="T2860">
        <v>0</v>
      </c>
      <c r="U2860">
        <f>IF(AND(OR(Dashboard!$D$4="Semua",D2860=Dashboard!$D$4),OR(Dashboard!$H$4="Semua",E2860=Dashboard!$H$4)),1,0)</f>
        <v>1</v>
      </c>
      <c r="V2860">
        <f>IF(U2860=1,IF(COUNTIFS($C$2:C2860,C2860,$U$2:U2860,1)=1,1,0),0)</f>
        <v>0</v>
      </c>
    </row>
    <row r="2861" spans="1:22" x14ac:dyDescent="0.35">
      <c r="A2861">
        <v>12860</v>
      </c>
      <c r="B2861" s="1">
        <v>47421</v>
      </c>
      <c r="C2861">
        <v>1687</v>
      </c>
      <c r="D2861" t="s">
        <v>80</v>
      </c>
      <c r="E2861" t="s">
        <v>74</v>
      </c>
      <c r="F2861">
        <v>4</v>
      </c>
      <c r="G2861" s="2">
        <v>551.34</v>
      </c>
      <c r="H2861">
        <v>0.13</v>
      </c>
      <c r="I2861" t="s">
        <v>64</v>
      </c>
      <c r="J2861">
        <v>9</v>
      </c>
      <c r="K2861">
        <v>2.9</v>
      </c>
      <c r="L2861" s="2">
        <v>1918.66</v>
      </c>
      <c r="M2861">
        <v>2029</v>
      </c>
      <c r="N2861">
        <v>10</v>
      </c>
      <c r="O2861" t="s">
        <v>173</v>
      </c>
      <c r="P2861" s="2">
        <v>2205.36</v>
      </c>
      <c r="Q2861" s="2">
        <v>286.7</v>
      </c>
      <c r="R2861" t="s">
        <v>79</v>
      </c>
      <c r="S2861">
        <v>1</v>
      </c>
      <c r="T2861">
        <v>0</v>
      </c>
      <c r="U2861">
        <f>IF(AND(OR(Dashboard!$D$4="Semua",D2861=Dashboard!$D$4),OR(Dashboard!$H$4="Semua",E2861=Dashboard!$H$4)),1,0)</f>
        <v>1</v>
      </c>
      <c r="V2861">
        <f>IF(U2861=1,IF(COUNTIFS($C$2:C2861,C2861,$U$2:U2861,1)=1,1,0),0)</f>
        <v>0</v>
      </c>
    </row>
    <row r="2862" spans="1:22" x14ac:dyDescent="0.35">
      <c r="A2862">
        <v>12861</v>
      </c>
      <c r="B2862" s="1">
        <v>47422</v>
      </c>
      <c r="C2862">
        <v>1780</v>
      </c>
      <c r="D2862" t="s">
        <v>80</v>
      </c>
      <c r="E2862" t="s">
        <v>63</v>
      </c>
      <c r="F2862">
        <v>3</v>
      </c>
      <c r="G2862" s="2">
        <v>391</v>
      </c>
      <c r="H2862">
        <v>0.16</v>
      </c>
      <c r="I2862" t="s">
        <v>68</v>
      </c>
      <c r="J2862">
        <v>11</v>
      </c>
      <c r="K2862">
        <v>4.0999999999999996</v>
      </c>
      <c r="L2862" s="2">
        <v>985.32</v>
      </c>
      <c r="M2862">
        <v>2029</v>
      </c>
      <c r="N2862">
        <v>10</v>
      </c>
      <c r="O2862" t="s">
        <v>173</v>
      </c>
      <c r="P2862" s="2">
        <v>1173</v>
      </c>
      <c r="Q2862" s="2">
        <v>187.68</v>
      </c>
      <c r="R2862" t="s">
        <v>76</v>
      </c>
      <c r="S2862">
        <v>1</v>
      </c>
      <c r="T2862">
        <v>0</v>
      </c>
      <c r="U2862">
        <f>IF(AND(OR(Dashboard!$D$4="Semua",D2862=Dashboard!$D$4),OR(Dashboard!$H$4="Semua",E2862=Dashboard!$H$4)),1,0)</f>
        <v>1</v>
      </c>
      <c r="V2862">
        <f>IF(U2862=1,IF(COUNTIFS($C$2:C2862,C2862,$U$2:U2862,1)=1,1,0),0)</f>
        <v>0</v>
      </c>
    </row>
    <row r="2863" spans="1:22" x14ac:dyDescent="0.35">
      <c r="A2863">
        <v>12862</v>
      </c>
      <c r="B2863" s="1">
        <v>47423</v>
      </c>
      <c r="C2863">
        <v>1584</v>
      </c>
      <c r="D2863" t="s">
        <v>67</v>
      </c>
      <c r="E2863" t="s">
        <v>74</v>
      </c>
      <c r="F2863">
        <v>1</v>
      </c>
      <c r="G2863" s="2">
        <v>34.42</v>
      </c>
      <c r="H2863">
        <v>0.25</v>
      </c>
      <c r="I2863" t="s">
        <v>71</v>
      </c>
      <c r="J2863">
        <v>7</v>
      </c>
      <c r="K2863">
        <v>4.0999999999999996</v>
      </c>
      <c r="L2863" s="2">
        <v>25.82</v>
      </c>
      <c r="M2863">
        <v>2029</v>
      </c>
      <c r="N2863">
        <v>11</v>
      </c>
      <c r="O2863" t="s">
        <v>174</v>
      </c>
      <c r="P2863" s="2">
        <v>34.42</v>
      </c>
      <c r="Q2863" s="2">
        <v>8.6</v>
      </c>
      <c r="R2863" t="s">
        <v>77</v>
      </c>
      <c r="S2863">
        <v>1</v>
      </c>
      <c r="T2863">
        <v>0</v>
      </c>
      <c r="U2863">
        <f>IF(AND(OR(Dashboard!$D$4="Semua",D2863=Dashboard!$D$4),OR(Dashboard!$H$4="Semua",E2863=Dashboard!$H$4)),1,0)</f>
        <v>1</v>
      </c>
      <c r="V2863">
        <f>IF(U2863=1,IF(COUNTIFS($C$2:C2863,C2863,$U$2:U2863,1)=1,1,0),0)</f>
        <v>0</v>
      </c>
    </row>
    <row r="2864" spans="1:22" x14ac:dyDescent="0.35">
      <c r="A2864">
        <v>12863</v>
      </c>
      <c r="B2864" s="1">
        <v>47424</v>
      </c>
      <c r="C2864">
        <v>1756</v>
      </c>
      <c r="D2864" t="s">
        <v>73</v>
      </c>
      <c r="E2864" t="s">
        <v>78</v>
      </c>
      <c r="F2864">
        <v>7</v>
      </c>
      <c r="G2864" s="2">
        <v>598.11</v>
      </c>
      <c r="H2864">
        <v>0.33</v>
      </c>
      <c r="I2864" t="s">
        <v>68</v>
      </c>
      <c r="J2864">
        <v>1</v>
      </c>
      <c r="K2864">
        <v>3.4</v>
      </c>
      <c r="L2864" s="2">
        <v>2805.14</v>
      </c>
      <c r="M2864">
        <v>2029</v>
      </c>
      <c r="N2864">
        <v>11</v>
      </c>
      <c r="O2864" t="s">
        <v>174</v>
      </c>
      <c r="P2864" s="2">
        <v>4186.7700000000004</v>
      </c>
      <c r="Q2864" s="2">
        <v>1381.63</v>
      </c>
      <c r="R2864" t="s">
        <v>72</v>
      </c>
      <c r="S2864">
        <v>1</v>
      </c>
      <c r="T2864">
        <v>0</v>
      </c>
      <c r="U2864">
        <f>IF(AND(OR(Dashboard!$D$4="Semua",D2864=Dashboard!$D$4),OR(Dashboard!$H$4="Semua",E2864=Dashboard!$H$4)),1,0)</f>
        <v>1</v>
      </c>
      <c r="V2864">
        <f>IF(U2864=1,IF(COUNTIFS($C$2:C2864,C2864,$U$2:U2864,1)=1,1,0),0)</f>
        <v>0</v>
      </c>
    </row>
    <row r="2865" spans="1:22" x14ac:dyDescent="0.35">
      <c r="A2865">
        <v>12864</v>
      </c>
      <c r="B2865" s="1">
        <v>47425</v>
      </c>
      <c r="C2865">
        <v>1588</v>
      </c>
      <c r="D2865" t="s">
        <v>80</v>
      </c>
      <c r="E2865" t="s">
        <v>63</v>
      </c>
      <c r="F2865">
        <v>6</v>
      </c>
      <c r="G2865" s="2">
        <v>72.89</v>
      </c>
      <c r="H2865">
        <v>0.31</v>
      </c>
      <c r="I2865" t="s">
        <v>71</v>
      </c>
      <c r="J2865">
        <v>9</v>
      </c>
      <c r="K2865">
        <v>1.9</v>
      </c>
      <c r="L2865" s="2">
        <v>301.76</v>
      </c>
      <c r="M2865">
        <v>2029</v>
      </c>
      <c r="N2865">
        <v>11</v>
      </c>
      <c r="O2865" t="s">
        <v>174</v>
      </c>
      <c r="P2865" s="2">
        <v>437.34</v>
      </c>
      <c r="Q2865" s="2">
        <v>135.58000000000001</v>
      </c>
      <c r="R2865" t="s">
        <v>72</v>
      </c>
      <c r="S2865">
        <v>1</v>
      </c>
      <c r="T2865">
        <v>0</v>
      </c>
      <c r="U2865">
        <f>IF(AND(OR(Dashboard!$D$4="Semua",D2865=Dashboard!$D$4),OR(Dashboard!$H$4="Semua",E2865=Dashboard!$H$4)),1,0)</f>
        <v>1</v>
      </c>
      <c r="V2865">
        <f>IF(U2865=1,IF(COUNTIFS($C$2:C2865,C2865,$U$2:U2865,1)=1,1,0),0)</f>
        <v>0</v>
      </c>
    </row>
    <row r="2866" spans="1:22" x14ac:dyDescent="0.35">
      <c r="A2866">
        <v>12865</v>
      </c>
      <c r="B2866" s="1">
        <v>47426</v>
      </c>
      <c r="C2866">
        <v>1158</v>
      </c>
      <c r="D2866" t="s">
        <v>73</v>
      </c>
      <c r="E2866" t="s">
        <v>70</v>
      </c>
      <c r="F2866">
        <v>2</v>
      </c>
      <c r="G2866" s="2">
        <v>414.35</v>
      </c>
      <c r="H2866">
        <v>0.02</v>
      </c>
      <c r="I2866" t="s">
        <v>68</v>
      </c>
      <c r="J2866">
        <v>6</v>
      </c>
      <c r="K2866">
        <v>4.3</v>
      </c>
      <c r="L2866" s="2">
        <v>812.13</v>
      </c>
      <c r="M2866">
        <v>2029</v>
      </c>
      <c r="N2866">
        <v>11</v>
      </c>
      <c r="O2866" t="s">
        <v>174</v>
      </c>
      <c r="P2866" s="2">
        <v>828.7</v>
      </c>
      <c r="Q2866" s="2">
        <v>16.57</v>
      </c>
      <c r="R2866" t="s">
        <v>75</v>
      </c>
      <c r="S2866">
        <v>1</v>
      </c>
      <c r="T2866">
        <v>0</v>
      </c>
      <c r="U2866">
        <f>IF(AND(OR(Dashboard!$D$4="Semua",D2866=Dashboard!$D$4),OR(Dashboard!$H$4="Semua",E2866=Dashboard!$H$4)),1,0)</f>
        <v>1</v>
      </c>
      <c r="V2866">
        <f>IF(U2866=1,IF(COUNTIFS($C$2:C2866,C2866,$U$2:U2866,1)=1,1,0),0)</f>
        <v>0</v>
      </c>
    </row>
    <row r="2867" spans="1:22" x14ac:dyDescent="0.35">
      <c r="A2867">
        <v>12866</v>
      </c>
      <c r="B2867" s="1">
        <v>47427</v>
      </c>
      <c r="C2867">
        <v>1488</v>
      </c>
      <c r="D2867" t="s">
        <v>67</v>
      </c>
      <c r="E2867" t="s">
        <v>74</v>
      </c>
      <c r="F2867">
        <v>7</v>
      </c>
      <c r="G2867" s="2">
        <v>162.91</v>
      </c>
      <c r="H2867">
        <v>0.06</v>
      </c>
      <c r="I2867" t="s">
        <v>68</v>
      </c>
      <c r="J2867">
        <v>2</v>
      </c>
      <c r="K2867">
        <v>3.6</v>
      </c>
      <c r="L2867" s="2">
        <v>1071.95</v>
      </c>
      <c r="M2867">
        <v>2029</v>
      </c>
      <c r="N2867">
        <v>11</v>
      </c>
      <c r="O2867" t="s">
        <v>174</v>
      </c>
      <c r="P2867" s="2">
        <v>1140.3699999999999</v>
      </c>
      <c r="Q2867" s="2">
        <v>68.42</v>
      </c>
      <c r="R2867" t="s">
        <v>69</v>
      </c>
      <c r="S2867">
        <v>1</v>
      </c>
      <c r="T2867">
        <v>0</v>
      </c>
      <c r="U2867">
        <f>IF(AND(OR(Dashboard!$D$4="Semua",D2867=Dashboard!$D$4),OR(Dashboard!$H$4="Semua",E2867=Dashboard!$H$4)),1,0)</f>
        <v>1</v>
      </c>
      <c r="V2867">
        <f>IF(U2867=1,IF(COUNTIFS($C$2:C2867,C2867,$U$2:U2867,1)=1,1,0),0)</f>
        <v>0</v>
      </c>
    </row>
    <row r="2868" spans="1:22" x14ac:dyDescent="0.35">
      <c r="A2868">
        <v>12867</v>
      </c>
      <c r="B2868" s="1">
        <v>47428</v>
      </c>
      <c r="C2868">
        <v>1970</v>
      </c>
      <c r="D2868" t="s">
        <v>80</v>
      </c>
      <c r="E2868" t="s">
        <v>78</v>
      </c>
      <c r="F2868">
        <v>7</v>
      </c>
      <c r="G2868" s="2">
        <v>244.31</v>
      </c>
      <c r="H2868">
        <v>0.26</v>
      </c>
      <c r="I2868" t="s">
        <v>64</v>
      </c>
      <c r="J2868">
        <v>1</v>
      </c>
      <c r="K2868">
        <v>1.9</v>
      </c>
      <c r="L2868" s="2">
        <v>1265.53</v>
      </c>
      <c r="M2868">
        <v>2029</v>
      </c>
      <c r="N2868">
        <v>11</v>
      </c>
      <c r="O2868" t="s">
        <v>174</v>
      </c>
      <c r="P2868" s="2">
        <v>1710.17</v>
      </c>
      <c r="Q2868" s="2">
        <v>444.64</v>
      </c>
      <c r="R2868" t="s">
        <v>66</v>
      </c>
      <c r="S2868">
        <v>1</v>
      </c>
      <c r="T2868">
        <v>0</v>
      </c>
      <c r="U2868">
        <f>IF(AND(OR(Dashboard!$D$4="Semua",D2868=Dashboard!$D$4),OR(Dashboard!$H$4="Semua",E2868=Dashboard!$H$4)),1,0)</f>
        <v>1</v>
      </c>
      <c r="V2868">
        <f>IF(U2868=1,IF(COUNTIFS($C$2:C2868,C2868,$U$2:U2868,1)=1,1,0),0)</f>
        <v>0</v>
      </c>
    </row>
    <row r="2869" spans="1:22" x14ac:dyDescent="0.35">
      <c r="A2869">
        <v>12868</v>
      </c>
      <c r="B2869" s="1">
        <v>47429</v>
      </c>
      <c r="C2869">
        <v>1323</v>
      </c>
      <c r="D2869" t="s">
        <v>73</v>
      </c>
      <c r="E2869" t="s">
        <v>78</v>
      </c>
      <c r="F2869">
        <v>7</v>
      </c>
      <c r="G2869" s="2">
        <v>392.87</v>
      </c>
      <c r="H2869">
        <v>0.24</v>
      </c>
      <c r="I2869" t="s">
        <v>68</v>
      </c>
      <c r="J2869">
        <v>6</v>
      </c>
      <c r="K2869">
        <v>2.9</v>
      </c>
      <c r="L2869" s="2">
        <v>2090.0700000000002</v>
      </c>
      <c r="M2869">
        <v>2029</v>
      </c>
      <c r="N2869">
        <v>11</v>
      </c>
      <c r="O2869" t="s">
        <v>174</v>
      </c>
      <c r="P2869" s="2">
        <v>2750.09</v>
      </c>
      <c r="Q2869" s="2">
        <v>660.02</v>
      </c>
      <c r="R2869" t="s">
        <v>77</v>
      </c>
      <c r="S2869">
        <v>1</v>
      </c>
      <c r="T2869">
        <v>0</v>
      </c>
      <c r="U2869">
        <f>IF(AND(OR(Dashboard!$D$4="Semua",D2869=Dashboard!$D$4),OR(Dashboard!$H$4="Semua",E2869=Dashboard!$H$4)),1,0)</f>
        <v>1</v>
      </c>
      <c r="V2869">
        <f>IF(U2869=1,IF(COUNTIFS($C$2:C2869,C2869,$U$2:U2869,1)=1,1,0),0)</f>
        <v>0</v>
      </c>
    </row>
    <row r="2870" spans="1:22" x14ac:dyDescent="0.35">
      <c r="A2870">
        <v>12869</v>
      </c>
      <c r="B2870" s="1">
        <v>47430</v>
      </c>
      <c r="C2870">
        <v>1609</v>
      </c>
      <c r="D2870" t="s">
        <v>80</v>
      </c>
      <c r="E2870" t="s">
        <v>78</v>
      </c>
      <c r="F2870">
        <v>6</v>
      </c>
      <c r="G2870" s="2">
        <v>270.35000000000002</v>
      </c>
      <c r="H2870">
        <v>0.05</v>
      </c>
      <c r="I2870" t="s">
        <v>64</v>
      </c>
      <c r="J2870">
        <v>7</v>
      </c>
      <c r="K2870">
        <v>5</v>
      </c>
      <c r="L2870" s="2">
        <v>1541</v>
      </c>
      <c r="M2870">
        <v>2029</v>
      </c>
      <c r="N2870">
        <v>11</v>
      </c>
      <c r="O2870" t="s">
        <v>174</v>
      </c>
      <c r="P2870" s="2">
        <v>1622.1</v>
      </c>
      <c r="Q2870" s="2">
        <v>81.099999999999994</v>
      </c>
      <c r="R2870" t="s">
        <v>75</v>
      </c>
      <c r="S2870">
        <v>1</v>
      </c>
      <c r="T2870">
        <v>0</v>
      </c>
      <c r="U2870">
        <f>IF(AND(OR(Dashboard!$D$4="Semua",D2870=Dashboard!$D$4),OR(Dashboard!$H$4="Semua",E2870=Dashboard!$H$4)),1,0)</f>
        <v>1</v>
      </c>
      <c r="V2870">
        <f>IF(U2870=1,IF(COUNTIFS($C$2:C2870,C2870,$U$2:U2870,1)=1,1,0),0)</f>
        <v>0</v>
      </c>
    </row>
    <row r="2871" spans="1:22" x14ac:dyDescent="0.35">
      <c r="A2871">
        <v>12870</v>
      </c>
      <c r="B2871" s="1">
        <v>47431</v>
      </c>
      <c r="C2871">
        <v>1380</v>
      </c>
      <c r="D2871" t="s">
        <v>73</v>
      </c>
      <c r="E2871" t="s">
        <v>70</v>
      </c>
      <c r="F2871">
        <v>2</v>
      </c>
      <c r="G2871" s="2">
        <v>161.57</v>
      </c>
      <c r="H2871">
        <v>0.18</v>
      </c>
      <c r="I2871" t="s">
        <v>68</v>
      </c>
      <c r="J2871">
        <v>10</v>
      </c>
      <c r="K2871">
        <v>2.2999999999999998</v>
      </c>
      <c r="L2871" s="2">
        <v>264.97000000000003</v>
      </c>
      <c r="M2871">
        <v>2029</v>
      </c>
      <c r="N2871">
        <v>11</v>
      </c>
      <c r="O2871" t="s">
        <v>174</v>
      </c>
      <c r="P2871" s="2">
        <v>323.14</v>
      </c>
      <c r="Q2871" s="2">
        <v>58.17</v>
      </c>
      <c r="R2871" t="s">
        <v>76</v>
      </c>
      <c r="S2871">
        <v>1</v>
      </c>
      <c r="T2871">
        <v>0</v>
      </c>
      <c r="U2871">
        <f>IF(AND(OR(Dashboard!$D$4="Semua",D2871=Dashboard!$D$4),OR(Dashboard!$H$4="Semua",E2871=Dashboard!$H$4)),1,0)</f>
        <v>1</v>
      </c>
      <c r="V2871">
        <f>IF(U2871=1,IF(COUNTIFS($C$2:C2871,C2871,$U$2:U2871,1)=1,1,0),0)</f>
        <v>0</v>
      </c>
    </row>
    <row r="2872" spans="1:22" x14ac:dyDescent="0.35">
      <c r="A2872">
        <v>12871</v>
      </c>
      <c r="B2872" s="1">
        <v>47432</v>
      </c>
      <c r="C2872">
        <v>1101</v>
      </c>
      <c r="D2872" t="s">
        <v>80</v>
      </c>
      <c r="E2872" t="s">
        <v>63</v>
      </c>
      <c r="F2872">
        <v>5</v>
      </c>
      <c r="G2872" s="2">
        <v>210.65</v>
      </c>
      <c r="H2872">
        <v>0.27</v>
      </c>
      <c r="I2872" t="s">
        <v>68</v>
      </c>
      <c r="J2872">
        <v>6</v>
      </c>
      <c r="K2872">
        <v>1.5</v>
      </c>
      <c r="L2872" s="2">
        <v>768.87</v>
      </c>
      <c r="M2872">
        <v>2029</v>
      </c>
      <c r="N2872">
        <v>11</v>
      </c>
      <c r="O2872" t="s">
        <v>174</v>
      </c>
      <c r="P2872" s="2">
        <v>1053.25</v>
      </c>
      <c r="Q2872" s="2">
        <v>284.38</v>
      </c>
      <c r="R2872" t="s">
        <v>66</v>
      </c>
      <c r="S2872">
        <v>1</v>
      </c>
      <c r="T2872">
        <v>0</v>
      </c>
      <c r="U2872">
        <f>IF(AND(OR(Dashboard!$D$4="Semua",D2872=Dashboard!$D$4),OR(Dashboard!$H$4="Semua",E2872=Dashboard!$H$4)),1,0)</f>
        <v>1</v>
      </c>
      <c r="V2872">
        <f>IF(U2872=1,IF(COUNTIFS($C$2:C2872,C2872,$U$2:U2872,1)=1,1,0),0)</f>
        <v>0</v>
      </c>
    </row>
    <row r="2873" spans="1:22" x14ac:dyDescent="0.35">
      <c r="A2873">
        <v>12872</v>
      </c>
      <c r="B2873" s="1">
        <v>47433</v>
      </c>
      <c r="C2873">
        <v>1493</v>
      </c>
      <c r="D2873" t="s">
        <v>67</v>
      </c>
      <c r="E2873" t="s">
        <v>63</v>
      </c>
      <c r="F2873">
        <v>4</v>
      </c>
      <c r="G2873" s="2">
        <v>214.81</v>
      </c>
      <c r="H2873">
        <v>0.08</v>
      </c>
      <c r="I2873" t="s">
        <v>64</v>
      </c>
      <c r="J2873">
        <v>7</v>
      </c>
      <c r="K2873">
        <v>1.1000000000000001</v>
      </c>
      <c r="L2873" s="2">
        <v>790.5</v>
      </c>
      <c r="M2873">
        <v>2029</v>
      </c>
      <c r="N2873">
        <v>11</v>
      </c>
      <c r="O2873" t="s">
        <v>174</v>
      </c>
      <c r="P2873" s="2">
        <v>859.24</v>
      </c>
      <c r="Q2873" s="2">
        <v>68.739999999999995</v>
      </c>
      <c r="R2873" t="s">
        <v>69</v>
      </c>
      <c r="S2873">
        <v>1</v>
      </c>
      <c r="T2873">
        <v>0</v>
      </c>
      <c r="U2873">
        <f>IF(AND(OR(Dashboard!$D$4="Semua",D2873=Dashboard!$D$4),OR(Dashboard!$H$4="Semua",E2873=Dashboard!$H$4)),1,0)</f>
        <v>1</v>
      </c>
      <c r="V2873">
        <f>IF(U2873=1,IF(COUNTIFS($C$2:C2873,C2873,$U$2:U2873,1)=1,1,0),0)</f>
        <v>0</v>
      </c>
    </row>
    <row r="2874" spans="1:22" x14ac:dyDescent="0.35">
      <c r="A2874">
        <v>12873</v>
      </c>
      <c r="B2874" s="1">
        <v>47434</v>
      </c>
      <c r="C2874">
        <v>1643</v>
      </c>
      <c r="D2874" t="s">
        <v>73</v>
      </c>
      <c r="E2874" t="s">
        <v>78</v>
      </c>
      <c r="F2874">
        <v>4</v>
      </c>
      <c r="G2874" s="2">
        <v>576.20000000000005</v>
      </c>
      <c r="H2874">
        <v>0.3</v>
      </c>
      <c r="I2874" t="s">
        <v>68</v>
      </c>
      <c r="J2874">
        <v>6</v>
      </c>
      <c r="K2874">
        <v>1.7</v>
      </c>
      <c r="L2874" s="2">
        <v>1613.36</v>
      </c>
      <c r="M2874">
        <v>2029</v>
      </c>
      <c r="N2874">
        <v>11</v>
      </c>
      <c r="O2874" t="s">
        <v>174</v>
      </c>
      <c r="P2874" s="2">
        <v>2304.8000000000002</v>
      </c>
      <c r="Q2874" s="2">
        <v>691.44</v>
      </c>
      <c r="R2874" t="s">
        <v>66</v>
      </c>
      <c r="S2874">
        <v>1</v>
      </c>
      <c r="T2874">
        <v>0</v>
      </c>
      <c r="U2874">
        <f>IF(AND(OR(Dashboard!$D$4="Semua",D2874=Dashboard!$D$4),OR(Dashboard!$H$4="Semua",E2874=Dashboard!$H$4)),1,0)</f>
        <v>1</v>
      </c>
      <c r="V2874">
        <f>IF(U2874=1,IF(COUNTIFS($C$2:C2874,C2874,$U$2:U2874,1)=1,1,0),0)</f>
        <v>0</v>
      </c>
    </row>
    <row r="2875" spans="1:22" x14ac:dyDescent="0.35">
      <c r="A2875">
        <v>12874</v>
      </c>
      <c r="B2875" s="1">
        <v>47435</v>
      </c>
      <c r="C2875">
        <v>1613</v>
      </c>
      <c r="D2875" t="s">
        <v>73</v>
      </c>
      <c r="E2875" t="s">
        <v>74</v>
      </c>
      <c r="F2875">
        <v>2</v>
      </c>
      <c r="G2875" s="2">
        <v>482.19</v>
      </c>
      <c r="H2875">
        <v>0.02</v>
      </c>
      <c r="I2875" t="s">
        <v>64</v>
      </c>
      <c r="J2875">
        <v>8</v>
      </c>
      <c r="K2875">
        <v>1.7</v>
      </c>
      <c r="L2875" s="2">
        <v>945.09</v>
      </c>
      <c r="M2875">
        <v>2029</v>
      </c>
      <c r="N2875">
        <v>11</v>
      </c>
      <c r="O2875" t="s">
        <v>174</v>
      </c>
      <c r="P2875" s="2">
        <v>964.38</v>
      </c>
      <c r="Q2875" s="2">
        <v>19.29</v>
      </c>
      <c r="R2875" t="s">
        <v>75</v>
      </c>
      <c r="S2875">
        <v>1</v>
      </c>
      <c r="T2875">
        <v>0</v>
      </c>
      <c r="U2875">
        <f>IF(AND(OR(Dashboard!$D$4="Semua",D2875=Dashboard!$D$4),OR(Dashboard!$H$4="Semua",E2875=Dashboard!$H$4)),1,0)</f>
        <v>1</v>
      </c>
      <c r="V2875">
        <f>IF(U2875=1,IF(COUNTIFS($C$2:C2875,C2875,$U$2:U2875,1)=1,1,0),0)</f>
        <v>1</v>
      </c>
    </row>
    <row r="2876" spans="1:22" x14ac:dyDescent="0.35">
      <c r="A2876">
        <v>12875</v>
      </c>
      <c r="B2876" s="1">
        <v>47436</v>
      </c>
      <c r="C2876">
        <v>1018</v>
      </c>
      <c r="D2876" t="s">
        <v>62</v>
      </c>
      <c r="E2876" t="s">
        <v>78</v>
      </c>
      <c r="F2876">
        <v>7</v>
      </c>
      <c r="G2876" s="2">
        <v>283.25</v>
      </c>
      <c r="H2876">
        <v>0.27</v>
      </c>
      <c r="I2876" t="s">
        <v>71</v>
      </c>
      <c r="J2876">
        <v>2</v>
      </c>
      <c r="K2876">
        <v>4.4000000000000004</v>
      </c>
      <c r="L2876" s="2">
        <v>1447.41</v>
      </c>
      <c r="M2876">
        <v>2029</v>
      </c>
      <c r="N2876">
        <v>11</v>
      </c>
      <c r="O2876" t="s">
        <v>174</v>
      </c>
      <c r="P2876" s="2">
        <v>1982.75</v>
      </c>
      <c r="Q2876" s="2">
        <v>535.34</v>
      </c>
      <c r="R2876" t="s">
        <v>66</v>
      </c>
      <c r="S2876">
        <v>1</v>
      </c>
      <c r="T2876">
        <v>0</v>
      </c>
      <c r="U2876">
        <f>IF(AND(OR(Dashboard!$D$4="Semua",D2876=Dashboard!$D$4),OR(Dashboard!$H$4="Semua",E2876=Dashboard!$H$4)),1,0)</f>
        <v>1</v>
      </c>
      <c r="V2876">
        <f>IF(U2876=1,IF(COUNTIFS($C$2:C2876,C2876,$U$2:U2876,1)=1,1,0),0)</f>
        <v>0</v>
      </c>
    </row>
    <row r="2877" spans="1:22" x14ac:dyDescent="0.35">
      <c r="A2877">
        <v>12876</v>
      </c>
      <c r="B2877" s="1">
        <v>47437</v>
      </c>
      <c r="C2877">
        <v>1453</v>
      </c>
      <c r="D2877" t="s">
        <v>73</v>
      </c>
      <c r="E2877" t="s">
        <v>78</v>
      </c>
      <c r="F2877">
        <v>1</v>
      </c>
      <c r="G2877" s="2">
        <v>131.9</v>
      </c>
      <c r="H2877">
        <v>0.22</v>
      </c>
      <c r="I2877" t="s">
        <v>68</v>
      </c>
      <c r="J2877">
        <v>9</v>
      </c>
      <c r="K2877">
        <v>1.6</v>
      </c>
      <c r="L2877" s="2">
        <v>102.88</v>
      </c>
      <c r="M2877">
        <v>2029</v>
      </c>
      <c r="N2877">
        <v>11</v>
      </c>
      <c r="O2877" t="s">
        <v>174</v>
      </c>
      <c r="P2877" s="2">
        <v>131.9</v>
      </c>
      <c r="Q2877" s="2">
        <v>29.02</v>
      </c>
      <c r="R2877" t="s">
        <v>77</v>
      </c>
      <c r="S2877">
        <v>1</v>
      </c>
      <c r="T2877">
        <v>0</v>
      </c>
      <c r="U2877">
        <f>IF(AND(OR(Dashboard!$D$4="Semua",D2877=Dashboard!$D$4),OR(Dashboard!$H$4="Semua",E2877=Dashboard!$H$4)),1,0)</f>
        <v>1</v>
      </c>
      <c r="V2877">
        <f>IF(U2877=1,IF(COUNTIFS($C$2:C2877,C2877,$U$2:U2877,1)=1,1,0),0)</f>
        <v>0</v>
      </c>
    </row>
    <row r="2878" spans="1:22" x14ac:dyDescent="0.35">
      <c r="A2878">
        <v>12877</v>
      </c>
      <c r="B2878" s="1">
        <v>47438</v>
      </c>
      <c r="C2878">
        <v>1481</v>
      </c>
      <c r="D2878" t="s">
        <v>73</v>
      </c>
      <c r="E2878" t="s">
        <v>74</v>
      </c>
      <c r="F2878">
        <v>2</v>
      </c>
      <c r="G2878" s="2">
        <v>489.44</v>
      </c>
      <c r="H2878">
        <v>0.11</v>
      </c>
      <c r="I2878" t="s">
        <v>71</v>
      </c>
      <c r="J2878">
        <v>9</v>
      </c>
      <c r="K2878">
        <v>4.5</v>
      </c>
      <c r="L2878" s="2">
        <v>871.2</v>
      </c>
      <c r="M2878">
        <v>2029</v>
      </c>
      <c r="N2878">
        <v>11</v>
      </c>
      <c r="O2878" t="s">
        <v>174</v>
      </c>
      <c r="P2878" s="2">
        <v>978.88</v>
      </c>
      <c r="Q2878" s="2">
        <v>107.68</v>
      </c>
      <c r="R2878" t="s">
        <v>79</v>
      </c>
      <c r="S2878">
        <v>1</v>
      </c>
      <c r="T2878">
        <v>0</v>
      </c>
      <c r="U2878">
        <f>IF(AND(OR(Dashboard!$D$4="Semua",D2878=Dashboard!$D$4),OR(Dashboard!$H$4="Semua",E2878=Dashboard!$H$4)),1,0)</f>
        <v>1</v>
      </c>
      <c r="V2878">
        <f>IF(U2878=1,IF(COUNTIFS($C$2:C2878,C2878,$U$2:U2878,1)=1,1,0),0)</f>
        <v>0</v>
      </c>
    </row>
    <row r="2879" spans="1:22" x14ac:dyDescent="0.35">
      <c r="A2879">
        <v>12878</v>
      </c>
      <c r="B2879" s="1">
        <v>47439</v>
      </c>
      <c r="C2879">
        <v>1593</v>
      </c>
      <c r="D2879" t="s">
        <v>73</v>
      </c>
      <c r="E2879" t="s">
        <v>78</v>
      </c>
      <c r="F2879">
        <v>2</v>
      </c>
      <c r="G2879" s="2">
        <v>106.95</v>
      </c>
      <c r="H2879">
        <v>0.25</v>
      </c>
      <c r="I2879" t="s">
        <v>68</v>
      </c>
      <c r="J2879">
        <v>11</v>
      </c>
      <c r="K2879">
        <v>1.3</v>
      </c>
      <c r="L2879" s="2">
        <v>160.43</v>
      </c>
      <c r="M2879">
        <v>2029</v>
      </c>
      <c r="N2879">
        <v>11</v>
      </c>
      <c r="O2879" t="s">
        <v>174</v>
      </c>
      <c r="P2879" s="2">
        <v>213.9</v>
      </c>
      <c r="Q2879" s="2">
        <v>53.47</v>
      </c>
      <c r="R2879" t="s">
        <v>77</v>
      </c>
      <c r="S2879">
        <v>1</v>
      </c>
      <c r="T2879">
        <v>0</v>
      </c>
      <c r="U2879">
        <f>IF(AND(OR(Dashboard!$D$4="Semua",D2879=Dashboard!$D$4),OR(Dashboard!$H$4="Semua",E2879=Dashboard!$H$4)),1,0)</f>
        <v>1</v>
      </c>
      <c r="V2879">
        <f>IF(U2879=1,IF(COUNTIFS($C$2:C2879,C2879,$U$2:U2879,1)=1,1,0),0)</f>
        <v>0</v>
      </c>
    </row>
    <row r="2880" spans="1:22" x14ac:dyDescent="0.35">
      <c r="A2880">
        <v>12879</v>
      </c>
      <c r="B2880" s="1">
        <v>47440</v>
      </c>
      <c r="C2880">
        <v>1396</v>
      </c>
      <c r="D2880" t="s">
        <v>67</v>
      </c>
      <c r="E2880" t="s">
        <v>70</v>
      </c>
      <c r="F2880">
        <v>4</v>
      </c>
      <c r="G2880" s="2">
        <v>138.12</v>
      </c>
      <c r="H2880">
        <v>0.27</v>
      </c>
      <c r="I2880" t="s">
        <v>68</v>
      </c>
      <c r="J2880">
        <v>9</v>
      </c>
      <c r="K2880">
        <v>4.5999999999999996</v>
      </c>
      <c r="L2880" s="2">
        <v>403.31</v>
      </c>
      <c r="M2880">
        <v>2029</v>
      </c>
      <c r="N2880">
        <v>11</v>
      </c>
      <c r="O2880" t="s">
        <v>174</v>
      </c>
      <c r="P2880" s="2">
        <v>552.48</v>
      </c>
      <c r="Q2880" s="2">
        <v>149.16999999999999</v>
      </c>
      <c r="R2880" t="s">
        <v>66</v>
      </c>
      <c r="S2880">
        <v>1</v>
      </c>
      <c r="T2880">
        <v>0</v>
      </c>
      <c r="U2880">
        <f>IF(AND(OR(Dashboard!$D$4="Semua",D2880=Dashboard!$D$4),OR(Dashboard!$H$4="Semua",E2880=Dashboard!$H$4)),1,0)</f>
        <v>1</v>
      </c>
      <c r="V2880">
        <f>IF(U2880=1,IF(COUNTIFS($C$2:C2880,C2880,$U$2:U2880,1)=1,1,0),0)</f>
        <v>0</v>
      </c>
    </row>
    <row r="2881" spans="1:22" x14ac:dyDescent="0.35">
      <c r="A2881">
        <v>12880</v>
      </c>
      <c r="B2881" s="1">
        <v>47441</v>
      </c>
      <c r="C2881">
        <v>1278</v>
      </c>
      <c r="D2881" t="s">
        <v>67</v>
      </c>
      <c r="E2881" t="s">
        <v>78</v>
      </c>
      <c r="F2881">
        <v>3</v>
      </c>
      <c r="G2881" s="2">
        <v>229.12</v>
      </c>
      <c r="H2881">
        <v>0.33</v>
      </c>
      <c r="I2881" t="s">
        <v>71</v>
      </c>
      <c r="J2881">
        <v>7</v>
      </c>
      <c r="K2881">
        <v>2</v>
      </c>
      <c r="L2881" s="2">
        <v>460.53</v>
      </c>
      <c r="M2881">
        <v>2029</v>
      </c>
      <c r="N2881">
        <v>11</v>
      </c>
      <c r="O2881" t="s">
        <v>174</v>
      </c>
      <c r="P2881" s="2">
        <v>687.36</v>
      </c>
      <c r="Q2881" s="2">
        <v>226.83</v>
      </c>
      <c r="R2881" t="s">
        <v>72</v>
      </c>
      <c r="S2881">
        <v>1</v>
      </c>
      <c r="T2881">
        <v>0</v>
      </c>
      <c r="U2881">
        <f>IF(AND(OR(Dashboard!$D$4="Semua",D2881=Dashboard!$D$4),OR(Dashboard!$H$4="Semua",E2881=Dashboard!$H$4)),1,0)</f>
        <v>1</v>
      </c>
      <c r="V2881">
        <f>IF(U2881=1,IF(COUNTIFS($C$2:C2881,C2881,$U$2:U2881,1)=1,1,0),0)</f>
        <v>0</v>
      </c>
    </row>
    <row r="2882" spans="1:22" x14ac:dyDescent="0.35">
      <c r="A2882">
        <v>12881</v>
      </c>
      <c r="B2882" s="1">
        <v>47442</v>
      </c>
      <c r="C2882">
        <v>1850</v>
      </c>
      <c r="D2882" t="s">
        <v>73</v>
      </c>
      <c r="E2882" t="s">
        <v>70</v>
      </c>
      <c r="F2882">
        <v>1</v>
      </c>
      <c r="G2882" s="2">
        <v>530</v>
      </c>
      <c r="H2882">
        <v>0.13</v>
      </c>
      <c r="I2882" t="s">
        <v>68</v>
      </c>
      <c r="J2882">
        <v>9</v>
      </c>
      <c r="K2882">
        <v>3.4</v>
      </c>
      <c r="L2882" s="2">
        <v>461.1</v>
      </c>
      <c r="M2882">
        <v>2029</v>
      </c>
      <c r="N2882">
        <v>11</v>
      </c>
      <c r="O2882" t="s">
        <v>174</v>
      </c>
      <c r="P2882" s="2">
        <v>530</v>
      </c>
      <c r="Q2882" s="2">
        <v>68.900000000000006</v>
      </c>
      <c r="R2882" t="s">
        <v>79</v>
      </c>
      <c r="S2882">
        <v>1</v>
      </c>
      <c r="T2882">
        <v>0</v>
      </c>
      <c r="U2882">
        <f>IF(AND(OR(Dashboard!$D$4="Semua",D2882=Dashboard!$D$4),OR(Dashboard!$H$4="Semua",E2882=Dashboard!$H$4)),1,0)</f>
        <v>1</v>
      </c>
      <c r="V2882">
        <f>IF(U2882=1,IF(COUNTIFS($C$2:C2882,C2882,$U$2:U2882,1)=1,1,0),0)</f>
        <v>0</v>
      </c>
    </row>
    <row r="2883" spans="1:22" x14ac:dyDescent="0.35">
      <c r="A2883">
        <v>12882</v>
      </c>
      <c r="B2883" s="1">
        <v>47443</v>
      </c>
      <c r="C2883">
        <v>1364</v>
      </c>
      <c r="D2883" t="s">
        <v>73</v>
      </c>
      <c r="E2883" t="s">
        <v>78</v>
      </c>
      <c r="F2883">
        <v>4</v>
      </c>
      <c r="G2883" s="2">
        <v>92.1</v>
      </c>
      <c r="H2883">
        <v>0.24</v>
      </c>
      <c r="I2883" t="s">
        <v>68</v>
      </c>
      <c r="J2883">
        <v>1</v>
      </c>
      <c r="K2883">
        <v>1.6</v>
      </c>
      <c r="L2883" s="2">
        <v>279.98</v>
      </c>
      <c r="M2883">
        <v>2029</v>
      </c>
      <c r="N2883">
        <v>11</v>
      </c>
      <c r="O2883" t="s">
        <v>174</v>
      </c>
      <c r="P2883" s="2">
        <v>368.4</v>
      </c>
      <c r="Q2883" s="2">
        <v>88.42</v>
      </c>
      <c r="R2883" t="s">
        <v>77</v>
      </c>
      <c r="S2883">
        <v>1</v>
      </c>
      <c r="T2883">
        <v>0</v>
      </c>
      <c r="U2883">
        <f>IF(AND(OR(Dashboard!$D$4="Semua",D2883=Dashboard!$D$4),OR(Dashboard!$H$4="Semua",E2883=Dashboard!$H$4)),1,0)</f>
        <v>1</v>
      </c>
      <c r="V2883">
        <f>IF(U2883=1,IF(COUNTIFS($C$2:C2883,C2883,$U$2:U2883,1)=1,1,0),0)</f>
        <v>0</v>
      </c>
    </row>
    <row r="2884" spans="1:22" x14ac:dyDescent="0.35">
      <c r="A2884">
        <v>12883</v>
      </c>
      <c r="B2884" s="1">
        <v>47444</v>
      </c>
      <c r="C2884">
        <v>1330</v>
      </c>
      <c r="D2884" t="s">
        <v>73</v>
      </c>
      <c r="E2884" t="s">
        <v>63</v>
      </c>
      <c r="F2884">
        <v>6</v>
      </c>
      <c r="G2884" s="2">
        <v>86.51</v>
      </c>
      <c r="H2884">
        <v>0.21</v>
      </c>
      <c r="I2884" t="s">
        <v>64</v>
      </c>
      <c r="J2884">
        <v>3</v>
      </c>
      <c r="K2884">
        <v>2.6</v>
      </c>
      <c r="L2884" s="2">
        <v>410.06</v>
      </c>
      <c r="M2884">
        <v>2029</v>
      </c>
      <c r="N2884">
        <v>11</v>
      </c>
      <c r="O2884" t="s">
        <v>174</v>
      </c>
      <c r="P2884" s="2">
        <v>519.05999999999995</v>
      </c>
      <c r="Q2884" s="2">
        <v>109</v>
      </c>
      <c r="R2884" t="s">
        <v>77</v>
      </c>
      <c r="S2884">
        <v>1</v>
      </c>
      <c r="T2884">
        <v>0</v>
      </c>
      <c r="U2884">
        <f>IF(AND(OR(Dashboard!$D$4="Semua",D2884=Dashboard!$D$4),OR(Dashboard!$H$4="Semua",E2884=Dashboard!$H$4)),1,0)</f>
        <v>1</v>
      </c>
      <c r="V2884">
        <f>IF(U2884=1,IF(COUNTIFS($C$2:C2884,C2884,$U$2:U2884,1)=1,1,0),0)</f>
        <v>0</v>
      </c>
    </row>
    <row r="2885" spans="1:22" x14ac:dyDescent="0.35">
      <c r="A2885">
        <v>12884</v>
      </c>
      <c r="B2885" s="1">
        <v>47445</v>
      </c>
      <c r="C2885">
        <v>1640</v>
      </c>
      <c r="D2885" t="s">
        <v>73</v>
      </c>
      <c r="E2885" t="s">
        <v>74</v>
      </c>
      <c r="F2885">
        <v>2</v>
      </c>
      <c r="G2885" s="2">
        <v>303.98</v>
      </c>
      <c r="H2885">
        <v>0.18</v>
      </c>
      <c r="I2885" t="s">
        <v>64</v>
      </c>
      <c r="J2885">
        <v>2</v>
      </c>
      <c r="K2885">
        <v>1.3</v>
      </c>
      <c r="L2885" s="2">
        <v>498.53</v>
      </c>
      <c r="M2885">
        <v>2029</v>
      </c>
      <c r="N2885">
        <v>11</v>
      </c>
      <c r="O2885" t="s">
        <v>174</v>
      </c>
      <c r="P2885" s="2">
        <v>607.96</v>
      </c>
      <c r="Q2885" s="2">
        <v>109.43</v>
      </c>
      <c r="R2885" t="s">
        <v>76</v>
      </c>
      <c r="S2885">
        <v>1</v>
      </c>
      <c r="T2885">
        <v>0</v>
      </c>
      <c r="U2885">
        <f>IF(AND(OR(Dashboard!$D$4="Semua",D2885=Dashboard!$D$4),OR(Dashboard!$H$4="Semua",E2885=Dashboard!$H$4)),1,0)</f>
        <v>1</v>
      </c>
      <c r="V2885">
        <f>IF(U2885=1,IF(COUNTIFS($C$2:C2885,C2885,$U$2:U2885,1)=1,1,0),0)</f>
        <v>0</v>
      </c>
    </row>
    <row r="2886" spans="1:22" x14ac:dyDescent="0.35">
      <c r="A2886">
        <v>12885</v>
      </c>
      <c r="B2886" s="1">
        <v>47446</v>
      </c>
      <c r="C2886">
        <v>1343</v>
      </c>
      <c r="D2886" t="s">
        <v>67</v>
      </c>
      <c r="E2886" t="s">
        <v>63</v>
      </c>
      <c r="F2886">
        <v>3</v>
      </c>
      <c r="G2886" s="2">
        <v>176.7</v>
      </c>
      <c r="H2886">
        <v>0.31</v>
      </c>
      <c r="I2886" t="s">
        <v>71</v>
      </c>
      <c r="J2886">
        <v>11</v>
      </c>
      <c r="K2886">
        <v>3.3</v>
      </c>
      <c r="L2886" s="2">
        <v>365.77</v>
      </c>
      <c r="M2886">
        <v>2029</v>
      </c>
      <c r="N2886">
        <v>11</v>
      </c>
      <c r="O2886" t="s">
        <v>174</v>
      </c>
      <c r="P2886" s="2">
        <v>530.1</v>
      </c>
      <c r="Q2886" s="2">
        <v>164.33</v>
      </c>
      <c r="R2886" t="s">
        <v>72</v>
      </c>
      <c r="S2886">
        <v>1</v>
      </c>
      <c r="T2886">
        <v>0</v>
      </c>
      <c r="U2886">
        <f>IF(AND(OR(Dashboard!$D$4="Semua",D2886=Dashboard!$D$4),OR(Dashboard!$H$4="Semua",E2886=Dashboard!$H$4)),1,0)</f>
        <v>1</v>
      </c>
      <c r="V2886">
        <f>IF(U2886=1,IF(COUNTIFS($C$2:C2886,C2886,$U$2:U2886,1)=1,1,0),0)</f>
        <v>0</v>
      </c>
    </row>
    <row r="2887" spans="1:22" x14ac:dyDescent="0.35">
      <c r="A2887">
        <v>12886</v>
      </c>
      <c r="B2887" s="1">
        <v>47447</v>
      </c>
      <c r="C2887">
        <v>1821</v>
      </c>
      <c r="D2887" t="s">
        <v>80</v>
      </c>
      <c r="E2887" t="s">
        <v>78</v>
      </c>
      <c r="F2887">
        <v>1</v>
      </c>
      <c r="G2887" s="2">
        <v>347.71</v>
      </c>
      <c r="H2887">
        <v>0</v>
      </c>
      <c r="I2887" t="s">
        <v>71</v>
      </c>
      <c r="J2887">
        <v>1</v>
      </c>
      <c r="K2887">
        <v>2.4</v>
      </c>
      <c r="L2887" s="2">
        <v>347.71</v>
      </c>
      <c r="M2887">
        <v>2029</v>
      </c>
      <c r="N2887">
        <v>11</v>
      </c>
      <c r="O2887" t="s">
        <v>174</v>
      </c>
      <c r="P2887" s="2">
        <v>347.71</v>
      </c>
      <c r="Q2887" s="2">
        <v>0</v>
      </c>
      <c r="R2887" t="s">
        <v>75</v>
      </c>
      <c r="S2887">
        <v>1</v>
      </c>
      <c r="T2887">
        <v>0</v>
      </c>
      <c r="U2887">
        <f>IF(AND(OR(Dashboard!$D$4="Semua",D2887=Dashboard!$D$4),OR(Dashboard!$H$4="Semua",E2887=Dashboard!$H$4)),1,0)</f>
        <v>1</v>
      </c>
      <c r="V2887">
        <f>IF(U2887=1,IF(COUNTIFS($C$2:C2887,C2887,$U$2:U2887,1)=1,1,0),0)</f>
        <v>0</v>
      </c>
    </row>
    <row r="2888" spans="1:22" x14ac:dyDescent="0.35">
      <c r="A2888">
        <v>12887</v>
      </c>
      <c r="B2888" s="1">
        <v>47448</v>
      </c>
      <c r="C2888">
        <v>1454</v>
      </c>
      <c r="D2888" t="s">
        <v>73</v>
      </c>
      <c r="E2888" t="s">
        <v>78</v>
      </c>
      <c r="F2888">
        <v>5</v>
      </c>
      <c r="G2888" s="2">
        <v>279.20999999999998</v>
      </c>
      <c r="H2888">
        <v>0.1</v>
      </c>
      <c r="I2888" t="s">
        <v>71</v>
      </c>
      <c r="J2888">
        <v>5</v>
      </c>
      <c r="K2888">
        <v>4.4000000000000004</v>
      </c>
      <c r="L2888" s="2">
        <v>1256.44</v>
      </c>
      <c r="M2888">
        <v>2029</v>
      </c>
      <c r="N2888">
        <v>11</v>
      </c>
      <c r="O2888" t="s">
        <v>174</v>
      </c>
      <c r="P2888" s="2">
        <v>1396.05</v>
      </c>
      <c r="Q2888" s="2">
        <v>139.61000000000001</v>
      </c>
      <c r="R2888" t="s">
        <v>69</v>
      </c>
      <c r="S2888">
        <v>1</v>
      </c>
      <c r="T2888">
        <v>0</v>
      </c>
      <c r="U2888">
        <f>IF(AND(OR(Dashboard!$D$4="Semua",D2888=Dashboard!$D$4),OR(Dashboard!$H$4="Semua",E2888=Dashboard!$H$4)),1,0)</f>
        <v>1</v>
      </c>
      <c r="V2888">
        <f>IF(U2888=1,IF(COUNTIFS($C$2:C2888,C2888,$U$2:U2888,1)=1,1,0),0)</f>
        <v>0</v>
      </c>
    </row>
    <row r="2889" spans="1:22" x14ac:dyDescent="0.35">
      <c r="A2889">
        <v>12888</v>
      </c>
      <c r="B2889" s="1">
        <v>47449</v>
      </c>
      <c r="C2889">
        <v>1600</v>
      </c>
      <c r="D2889" t="s">
        <v>67</v>
      </c>
      <c r="E2889" t="s">
        <v>70</v>
      </c>
      <c r="F2889">
        <v>1</v>
      </c>
      <c r="G2889" s="2">
        <v>269.45</v>
      </c>
      <c r="H2889">
        <v>0.19</v>
      </c>
      <c r="I2889" t="s">
        <v>71</v>
      </c>
      <c r="J2889">
        <v>1</v>
      </c>
      <c r="K2889">
        <v>1.7</v>
      </c>
      <c r="L2889" s="2">
        <v>218.25</v>
      </c>
      <c r="M2889">
        <v>2029</v>
      </c>
      <c r="N2889">
        <v>11</v>
      </c>
      <c r="O2889" t="s">
        <v>174</v>
      </c>
      <c r="P2889" s="2">
        <v>269.45</v>
      </c>
      <c r="Q2889" s="2">
        <v>51.2</v>
      </c>
      <c r="R2889" t="s">
        <v>76</v>
      </c>
      <c r="S2889">
        <v>1</v>
      </c>
      <c r="T2889">
        <v>0</v>
      </c>
      <c r="U2889">
        <f>IF(AND(OR(Dashboard!$D$4="Semua",D2889=Dashboard!$D$4),OR(Dashboard!$H$4="Semua",E2889=Dashboard!$H$4)),1,0)</f>
        <v>1</v>
      </c>
      <c r="V2889">
        <f>IF(U2889=1,IF(COUNTIFS($C$2:C2889,C2889,$U$2:U2889,1)=1,1,0),0)</f>
        <v>0</v>
      </c>
    </row>
    <row r="2890" spans="1:22" x14ac:dyDescent="0.35">
      <c r="A2890">
        <v>12889</v>
      </c>
      <c r="B2890" s="1">
        <v>47450</v>
      </c>
      <c r="C2890">
        <v>1724</v>
      </c>
      <c r="D2890" t="s">
        <v>67</v>
      </c>
      <c r="E2890" t="s">
        <v>78</v>
      </c>
      <c r="F2890">
        <v>1</v>
      </c>
      <c r="G2890" s="2">
        <v>80.5</v>
      </c>
      <c r="H2890">
        <v>0.06</v>
      </c>
      <c r="I2890" t="s">
        <v>68</v>
      </c>
      <c r="J2890">
        <v>3</v>
      </c>
      <c r="K2890">
        <v>2.1</v>
      </c>
      <c r="L2890" s="2">
        <v>75.67</v>
      </c>
      <c r="M2890">
        <v>2029</v>
      </c>
      <c r="N2890">
        <v>11</v>
      </c>
      <c r="O2890" t="s">
        <v>174</v>
      </c>
      <c r="P2890" s="2">
        <v>80.5</v>
      </c>
      <c r="Q2890" s="2">
        <v>4.83</v>
      </c>
      <c r="R2890" t="s">
        <v>69</v>
      </c>
      <c r="S2890">
        <v>1</v>
      </c>
      <c r="T2890">
        <v>0</v>
      </c>
      <c r="U2890">
        <f>IF(AND(OR(Dashboard!$D$4="Semua",D2890=Dashboard!$D$4),OR(Dashboard!$H$4="Semua",E2890=Dashboard!$H$4)),1,0)</f>
        <v>1</v>
      </c>
      <c r="V2890">
        <f>IF(U2890=1,IF(COUNTIFS($C$2:C2890,C2890,$U$2:U2890,1)=1,1,0),0)</f>
        <v>0</v>
      </c>
    </row>
    <row r="2891" spans="1:22" x14ac:dyDescent="0.35">
      <c r="A2891">
        <v>12890</v>
      </c>
      <c r="B2891" s="1">
        <v>47451</v>
      </c>
      <c r="C2891">
        <v>1654</v>
      </c>
      <c r="D2891" t="s">
        <v>62</v>
      </c>
      <c r="E2891" t="s">
        <v>78</v>
      </c>
      <c r="F2891">
        <v>7</v>
      </c>
      <c r="G2891" s="2">
        <v>97.51</v>
      </c>
      <c r="H2891">
        <v>0.32</v>
      </c>
      <c r="I2891" t="s">
        <v>64</v>
      </c>
      <c r="J2891">
        <v>6</v>
      </c>
      <c r="K2891">
        <v>1.7</v>
      </c>
      <c r="L2891" s="2">
        <v>464.15</v>
      </c>
      <c r="M2891">
        <v>2029</v>
      </c>
      <c r="N2891">
        <v>11</v>
      </c>
      <c r="O2891" t="s">
        <v>174</v>
      </c>
      <c r="P2891" s="2">
        <v>682.57</v>
      </c>
      <c r="Q2891" s="2">
        <v>218.42</v>
      </c>
      <c r="R2891" t="s">
        <v>72</v>
      </c>
      <c r="S2891">
        <v>1</v>
      </c>
      <c r="T2891">
        <v>0</v>
      </c>
      <c r="U2891">
        <f>IF(AND(OR(Dashboard!$D$4="Semua",D2891=Dashboard!$D$4),OR(Dashboard!$H$4="Semua",E2891=Dashboard!$H$4)),1,0)</f>
        <v>1</v>
      </c>
      <c r="V2891">
        <f>IF(U2891=1,IF(COUNTIFS($C$2:C2891,C2891,$U$2:U2891,1)=1,1,0),0)</f>
        <v>0</v>
      </c>
    </row>
    <row r="2892" spans="1:22" x14ac:dyDescent="0.35">
      <c r="A2892">
        <v>12891</v>
      </c>
      <c r="B2892" s="1">
        <v>47452</v>
      </c>
      <c r="C2892">
        <v>1064</v>
      </c>
      <c r="D2892" t="s">
        <v>62</v>
      </c>
      <c r="E2892" t="s">
        <v>78</v>
      </c>
      <c r="F2892">
        <v>2</v>
      </c>
      <c r="G2892" s="2">
        <v>495.33</v>
      </c>
      <c r="H2892">
        <v>0.23</v>
      </c>
      <c r="I2892" t="s">
        <v>68</v>
      </c>
      <c r="J2892">
        <v>6</v>
      </c>
      <c r="K2892">
        <v>3.3</v>
      </c>
      <c r="L2892" s="2">
        <v>762.81</v>
      </c>
      <c r="M2892">
        <v>2029</v>
      </c>
      <c r="N2892">
        <v>11</v>
      </c>
      <c r="O2892" t="s">
        <v>174</v>
      </c>
      <c r="P2892" s="2">
        <v>990.66</v>
      </c>
      <c r="Q2892" s="2">
        <v>227.85</v>
      </c>
      <c r="R2892" t="s">
        <v>77</v>
      </c>
      <c r="S2892">
        <v>1</v>
      </c>
      <c r="T2892">
        <v>0</v>
      </c>
      <c r="U2892">
        <f>IF(AND(OR(Dashboard!$D$4="Semua",D2892=Dashboard!$D$4),OR(Dashboard!$H$4="Semua",E2892=Dashboard!$H$4)),1,0)</f>
        <v>1</v>
      </c>
      <c r="V2892">
        <f>IF(U2892=1,IF(COUNTIFS($C$2:C2892,C2892,$U$2:U2892,1)=1,1,0),0)</f>
        <v>0</v>
      </c>
    </row>
    <row r="2893" spans="1:22" x14ac:dyDescent="0.35">
      <c r="A2893">
        <v>12892</v>
      </c>
      <c r="B2893" s="1">
        <v>47453</v>
      </c>
      <c r="C2893">
        <v>1075</v>
      </c>
      <c r="D2893" t="s">
        <v>80</v>
      </c>
      <c r="E2893" t="s">
        <v>63</v>
      </c>
      <c r="F2893">
        <v>2</v>
      </c>
      <c r="G2893" s="2">
        <v>533.24</v>
      </c>
      <c r="H2893">
        <v>0.17</v>
      </c>
      <c r="I2893" t="s">
        <v>71</v>
      </c>
      <c r="J2893">
        <v>3</v>
      </c>
      <c r="K2893">
        <v>1.4</v>
      </c>
      <c r="L2893" s="2">
        <v>885.18</v>
      </c>
      <c r="M2893">
        <v>2029</v>
      </c>
      <c r="N2893">
        <v>12</v>
      </c>
      <c r="O2893" t="s">
        <v>175</v>
      </c>
      <c r="P2893" s="2">
        <v>1066.48</v>
      </c>
      <c r="Q2893" s="2">
        <v>181.3</v>
      </c>
      <c r="R2893" t="s">
        <v>76</v>
      </c>
      <c r="S2893">
        <v>1</v>
      </c>
      <c r="T2893">
        <v>0</v>
      </c>
      <c r="U2893">
        <f>IF(AND(OR(Dashboard!$D$4="Semua",D2893=Dashboard!$D$4),OR(Dashboard!$H$4="Semua",E2893=Dashboard!$H$4)),1,0)</f>
        <v>1</v>
      </c>
      <c r="V2893">
        <f>IF(U2893=1,IF(COUNTIFS($C$2:C2893,C2893,$U$2:U2893,1)=1,1,0),0)</f>
        <v>0</v>
      </c>
    </row>
    <row r="2894" spans="1:22" x14ac:dyDescent="0.35">
      <c r="A2894">
        <v>12893</v>
      </c>
      <c r="B2894" s="1">
        <v>47454</v>
      </c>
      <c r="C2894">
        <v>1710</v>
      </c>
      <c r="D2894" t="s">
        <v>73</v>
      </c>
      <c r="E2894" t="s">
        <v>70</v>
      </c>
      <c r="F2894">
        <v>5</v>
      </c>
      <c r="G2894" s="2">
        <v>152.29</v>
      </c>
      <c r="H2894">
        <v>0.28999999999999998</v>
      </c>
      <c r="I2894" t="s">
        <v>64</v>
      </c>
      <c r="J2894">
        <v>4</v>
      </c>
      <c r="K2894">
        <v>1.8</v>
      </c>
      <c r="L2894" s="2">
        <v>540.63</v>
      </c>
      <c r="M2894">
        <v>2029</v>
      </c>
      <c r="N2894">
        <v>12</v>
      </c>
      <c r="O2894" t="s">
        <v>175</v>
      </c>
      <c r="P2894" s="2">
        <v>761.45</v>
      </c>
      <c r="Q2894" s="2">
        <v>220.82</v>
      </c>
      <c r="R2894" t="s">
        <v>66</v>
      </c>
      <c r="S2894">
        <v>1</v>
      </c>
      <c r="T2894">
        <v>0</v>
      </c>
      <c r="U2894">
        <f>IF(AND(OR(Dashboard!$D$4="Semua",D2894=Dashboard!$D$4),OR(Dashboard!$H$4="Semua",E2894=Dashboard!$H$4)),1,0)</f>
        <v>1</v>
      </c>
      <c r="V2894">
        <f>IF(U2894=1,IF(COUNTIFS($C$2:C2894,C2894,$U$2:U2894,1)=1,1,0),0)</f>
        <v>0</v>
      </c>
    </row>
    <row r="2895" spans="1:22" x14ac:dyDescent="0.35">
      <c r="A2895">
        <v>12894</v>
      </c>
      <c r="B2895" s="1">
        <v>47455</v>
      </c>
      <c r="C2895">
        <v>1142</v>
      </c>
      <c r="D2895" t="s">
        <v>73</v>
      </c>
      <c r="E2895" t="s">
        <v>63</v>
      </c>
      <c r="F2895">
        <v>5</v>
      </c>
      <c r="G2895" s="2">
        <v>81.37</v>
      </c>
      <c r="H2895">
        <v>0.16</v>
      </c>
      <c r="I2895" t="s">
        <v>71</v>
      </c>
      <c r="J2895">
        <v>7</v>
      </c>
      <c r="K2895">
        <v>3.7</v>
      </c>
      <c r="L2895" s="2">
        <v>341.75</v>
      </c>
      <c r="M2895">
        <v>2029</v>
      </c>
      <c r="N2895">
        <v>12</v>
      </c>
      <c r="O2895" t="s">
        <v>175</v>
      </c>
      <c r="P2895" s="2">
        <v>406.85</v>
      </c>
      <c r="Q2895" s="2">
        <v>65.099999999999994</v>
      </c>
      <c r="R2895" t="s">
        <v>76</v>
      </c>
      <c r="S2895">
        <v>1</v>
      </c>
      <c r="T2895">
        <v>0</v>
      </c>
      <c r="U2895">
        <f>IF(AND(OR(Dashboard!$D$4="Semua",D2895=Dashboard!$D$4),OR(Dashboard!$H$4="Semua",E2895=Dashboard!$H$4)),1,0)</f>
        <v>1</v>
      </c>
      <c r="V2895">
        <f>IF(U2895=1,IF(COUNTIFS($C$2:C2895,C2895,$U$2:U2895,1)=1,1,0),0)</f>
        <v>0</v>
      </c>
    </row>
    <row r="2896" spans="1:22" x14ac:dyDescent="0.35">
      <c r="A2896">
        <v>12895</v>
      </c>
      <c r="B2896" s="1">
        <v>47456</v>
      </c>
      <c r="C2896">
        <v>1916</v>
      </c>
      <c r="D2896" t="s">
        <v>73</v>
      </c>
      <c r="E2896" t="s">
        <v>70</v>
      </c>
      <c r="F2896">
        <v>5</v>
      </c>
      <c r="G2896" s="2">
        <v>46.25</v>
      </c>
      <c r="H2896">
        <v>0.2</v>
      </c>
      <c r="I2896" t="s">
        <v>64</v>
      </c>
      <c r="J2896">
        <v>6</v>
      </c>
      <c r="K2896">
        <v>1.3</v>
      </c>
      <c r="L2896" s="2">
        <v>185</v>
      </c>
      <c r="M2896">
        <v>2029</v>
      </c>
      <c r="N2896">
        <v>12</v>
      </c>
      <c r="O2896" t="s">
        <v>175</v>
      </c>
      <c r="P2896" s="2">
        <v>231.25</v>
      </c>
      <c r="Q2896" s="2">
        <v>46.25</v>
      </c>
      <c r="R2896" t="s">
        <v>76</v>
      </c>
      <c r="S2896">
        <v>1</v>
      </c>
      <c r="T2896">
        <v>0</v>
      </c>
      <c r="U2896">
        <f>IF(AND(OR(Dashboard!$D$4="Semua",D2896=Dashboard!$D$4),OR(Dashboard!$H$4="Semua",E2896=Dashboard!$H$4)),1,0)</f>
        <v>1</v>
      </c>
      <c r="V2896">
        <f>IF(U2896=1,IF(COUNTIFS($C$2:C2896,C2896,$U$2:U2896,1)=1,1,0),0)</f>
        <v>1</v>
      </c>
    </row>
    <row r="2897" spans="1:22" x14ac:dyDescent="0.35">
      <c r="A2897">
        <v>12896</v>
      </c>
      <c r="B2897" s="1">
        <v>47457</v>
      </c>
      <c r="C2897">
        <v>1914</v>
      </c>
      <c r="D2897" t="s">
        <v>73</v>
      </c>
      <c r="E2897" t="s">
        <v>63</v>
      </c>
      <c r="F2897">
        <v>4</v>
      </c>
      <c r="G2897" s="2">
        <v>370.85</v>
      </c>
      <c r="H2897">
        <v>0</v>
      </c>
      <c r="I2897" t="s">
        <v>68</v>
      </c>
      <c r="J2897">
        <v>11</v>
      </c>
      <c r="K2897">
        <v>4</v>
      </c>
      <c r="L2897" s="2">
        <v>1483.4</v>
      </c>
      <c r="M2897">
        <v>2029</v>
      </c>
      <c r="N2897">
        <v>12</v>
      </c>
      <c r="O2897" t="s">
        <v>175</v>
      </c>
      <c r="P2897" s="2">
        <v>1483.4</v>
      </c>
      <c r="Q2897" s="2">
        <v>0</v>
      </c>
      <c r="R2897" t="s">
        <v>75</v>
      </c>
      <c r="S2897">
        <v>1</v>
      </c>
      <c r="T2897">
        <v>0</v>
      </c>
      <c r="U2897">
        <f>IF(AND(OR(Dashboard!$D$4="Semua",D2897=Dashboard!$D$4),OR(Dashboard!$H$4="Semua",E2897=Dashboard!$H$4)),1,0)</f>
        <v>1</v>
      </c>
      <c r="V2897">
        <f>IF(U2897=1,IF(COUNTIFS($C$2:C2897,C2897,$U$2:U2897,1)=1,1,0),0)</f>
        <v>0</v>
      </c>
    </row>
    <row r="2898" spans="1:22" x14ac:dyDescent="0.35">
      <c r="A2898">
        <v>12897</v>
      </c>
      <c r="B2898" s="1">
        <v>47458</v>
      </c>
      <c r="C2898">
        <v>1827</v>
      </c>
      <c r="D2898" t="s">
        <v>67</v>
      </c>
      <c r="E2898" t="s">
        <v>78</v>
      </c>
      <c r="F2898">
        <v>4</v>
      </c>
      <c r="G2898" s="2">
        <v>433.48</v>
      </c>
      <c r="H2898">
        <v>0.13</v>
      </c>
      <c r="I2898" t="s">
        <v>68</v>
      </c>
      <c r="J2898">
        <v>2</v>
      </c>
      <c r="K2898">
        <v>1.4</v>
      </c>
      <c r="L2898" s="2">
        <v>1508.51</v>
      </c>
      <c r="M2898">
        <v>2029</v>
      </c>
      <c r="N2898">
        <v>12</v>
      </c>
      <c r="O2898" t="s">
        <v>175</v>
      </c>
      <c r="P2898" s="2">
        <v>1733.92</v>
      </c>
      <c r="Q2898" s="2">
        <v>225.41</v>
      </c>
      <c r="R2898" t="s">
        <v>79</v>
      </c>
      <c r="S2898">
        <v>1</v>
      </c>
      <c r="T2898">
        <v>0</v>
      </c>
      <c r="U2898">
        <f>IF(AND(OR(Dashboard!$D$4="Semua",D2898=Dashboard!$D$4),OR(Dashboard!$H$4="Semua",E2898=Dashboard!$H$4)),1,0)</f>
        <v>1</v>
      </c>
      <c r="V2898">
        <f>IF(U2898=1,IF(COUNTIFS($C$2:C2898,C2898,$U$2:U2898,1)=1,1,0),0)</f>
        <v>0</v>
      </c>
    </row>
    <row r="2899" spans="1:22" x14ac:dyDescent="0.35">
      <c r="A2899">
        <v>12898</v>
      </c>
      <c r="B2899" s="1">
        <v>47459</v>
      </c>
      <c r="C2899">
        <v>1604</v>
      </c>
      <c r="D2899" t="s">
        <v>80</v>
      </c>
      <c r="E2899" t="s">
        <v>63</v>
      </c>
      <c r="F2899">
        <v>2</v>
      </c>
      <c r="G2899" s="2">
        <v>233.09</v>
      </c>
      <c r="H2899">
        <v>0.05</v>
      </c>
      <c r="I2899" t="s">
        <v>64</v>
      </c>
      <c r="J2899">
        <v>9</v>
      </c>
      <c r="K2899">
        <v>3.3</v>
      </c>
      <c r="L2899" s="2">
        <v>442.87</v>
      </c>
      <c r="M2899">
        <v>2029</v>
      </c>
      <c r="N2899">
        <v>12</v>
      </c>
      <c r="O2899" t="s">
        <v>175</v>
      </c>
      <c r="P2899" s="2">
        <v>466.18</v>
      </c>
      <c r="Q2899" s="2">
        <v>23.31</v>
      </c>
      <c r="R2899" t="s">
        <v>75</v>
      </c>
      <c r="S2899">
        <v>1</v>
      </c>
      <c r="T2899">
        <v>0</v>
      </c>
      <c r="U2899">
        <f>IF(AND(OR(Dashboard!$D$4="Semua",D2899=Dashboard!$D$4),OR(Dashboard!$H$4="Semua",E2899=Dashboard!$H$4)),1,0)</f>
        <v>1</v>
      </c>
      <c r="V2899">
        <f>IF(U2899=1,IF(COUNTIFS($C$2:C2899,C2899,$U$2:U2899,1)=1,1,0),0)</f>
        <v>0</v>
      </c>
    </row>
    <row r="2900" spans="1:22" x14ac:dyDescent="0.35">
      <c r="A2900">
        <v>12899</v>
      </c>
      <c r="B2900" s="1">
        <v>47460</v>
      </c>
      <c r="C2900">
        <v>1472</v>
      </c>
      <c r="D2900" t="s">
        <v>62</v>
      </c>
      <c r="E2900" t="s">
        <v>63</v>
      </c>
      <c r="F2900">
        <v>2</v>
      </c>
      <c r="G2900" s="2">
        <v>412.61</v>
      </c>
      <c r="H2900">
        <v>0.24</v>
      </c>
      <c r="I2900" t="s">
        <v>68</v>
      </c>
      <c r="J2900">
        <v>6</v>
      </c>
      <c r="K2900">
        <v>5</v>
      </c>
      <c r="L2900" s="2">
        <v>627.16999999999996</v>
      </c>
      <c r="M2900">
        <v>2029</v>
      </c>
      <c r="N2900">
        <v>12</v>
      </c>
      <c r="O2900" t="s">
        <v>175</v>
      </c>
      <c r="P2900" s="2">
        <v>825.22</v>
      </c>
      <c r="Q2900" s="2">
        <v>198.05</v>
      </c>
      <c r="R2900" t="s">
        <v>77</v>
      </c>
      <c r="S2900">
        <v>1</v>
      </c>
      <c r="T2900">
        <v>0</v>
      </c>
      <c r="U2900">
        <f>IF(AND(OR(Dashboard!$D$4="Semua",D2900=Dashboard!$D$4),OR(Dashboard!$H$4="Semua",E2900=Dashboard!$H$4)),1,0)</f>
        <v>1</v>
      </c>
      <c r="V2900">
        <f>IF(U2900=1,IF(COUNTIFS($C$2:C2900,C2900,$U$2:U2900,1)=1,1,0),0)</f>
        <v>0</v>
      </c>
    </row>
    <row r="2901" spans="1:22" x14ac:dyDescent="0.35">
      <c r="A2901">
        <v>12900</v>
      </c>
      <c r="B2901" s="1">
        <v>47461</v>
      </c>
      <c r="C2901">
        <v>1416</v>
      </c>
      <c r="D2901" t="s">
        <v>80</v>
      </c>
      <c r="E2901" t="s">
        <v>70</v>
      </c>
      <c r="F2901">
        <v>5</v>
      </c>
      <c r="G2901" s="2">
        <v>432.08</v>
      </c>
      <c r="H2901">
        <v>0.17</v>
      </c>
      <c r="I2901" t="s">
        <v>71</v>
      </c>
      <c r="J2901">
        <v>2</v>
      </c>
      <c r="K2901">
        <v>1.7</v>
      </c>
      <c r="L2901" s="2">
        <v>1793.13</v>
      </c>
      <c r="M2901">
        <v>2029</v>
      </c>
      <c r="N2901">
        <v>12</v>
      </c>
      <c r="O2901" t="s">
        <v>175</v>
      </c>
      <c r="P2901" s="2">
        <v>2160.4</v>
      </c>
      <c r="Q2901" s="2">
        <v>367.27</v>
      </c>
      <c r="R2901" t="s">
        <v>76</v>
      </c>
      <c r="S2901">
        <v>1</v>
      </c>
      <c r="T2901">
        <v>0</v>
      </c>
      <c r="U2901">
        <f>IF(AND(OR(Dashboard!$D$4="Semua",D2901=Dashboard!$D$4),OR(Dashboard!$H$4="Semua",E2901=Dashboard!$H$4)),1,0)</f>
        <v>1</v>
      </c>
      <c r="V2901">
        <f>IF(U2901=1,IF(COUNTIFS($C$2:C2901,C2901,$U$2:U2901,1)=1,1,0),0)</f>
        <v>0</v>
      </c>
    </row>
    <row r="2902" spans="1:22" x14ac:dyDescent="0.35">
      <c r="A2902">
        <v>12901</v>
      </c>
      <c r="B2902" s="1">
        <v>47462</v>
      </c>
      <c r="C2902">
        <v>1304</v>
      </c>
      <c r="D2902" t="s">
        <v>67</v>
      </c>
      <c r="E2902" t="s">
        <v>70</v>
      </c>
      <c r="F2902">
        <v>4</v>
      </c>
      <c r="G2902" s="2">
        <v>562.17999999999995</v>
      </c>
      <c r="H2902">
        <v>0.11</v>
      </c>
      <c r="I2902" t="s">
        <v>68</v>
      </c>
      <c r="J2902">
        <v>7</v>
      </c>
      <c r="K2902">
        <v>2</v>
      </c>
      <c r="L2902" s="2">
        <v>2001.36</v>
      </c>
      <c r="M2902">
        <v>2029</v>
      </c>
      <c r="N2902">
        <v>12</v>
      </c>
      <c r="O2902" t="s">
        <v>175</v>
      </c>
      <c r="P2902" s="2">
        <v>2248.7199999999998</v>
      </c>
      <c r="Q2902" s="2">
        <v>247.36</v>
      </c>
      <c r="R2902" t="s">
        <v>79</v>
      </c>
      <c r="S2902">
        <v>1</v>
      </c>
      <c r="T2902">
        <v>0</v>
      </c>
      <c r="U2902">
        <f>IF(AND(OR(Dashboard!$D$4="Semua",D2902=Dashboard!$D$4),OR(Dashboard!$H$4="Semua",E2902=Dashboard!$H$4)),1,0)</f>
        <v>1</v>
      </c>
      <c r="V2902">
        <f>IF(U2902=1,IF(COUNTIFS($C$2:C2902,C2902,$U$2:U2902,1)=1,1,0),0)</f>
        <v>0</v>
      </c>
    </row>
    <row r="2903" spans="1:22" x14ac:dyDescent="0.35">
      <c r="A2903">
        <v>12902</v>
      </c>
      <c r="B2903" s="1">
        <v>47463</v>
      </c>
      <c r="C2903">
        <v>1735</v>
      </c>
      <c r="D2903" t="s">
        <v>80</v>
      </c>
      <c r="E2903" t="s">
        <v>63</v>
      </c>
      <c r="F2903">
        <v>3</v>
      </c>
      <c r="G2903" s="2">
        <v>52.95</v>
      </c>
      <c r="H2903">
        <v>0.16</v>
      </c>
      <c r="I2903" t="s">
        <v>71</v>
      </c>
      <c r="J2903">
        <v>11</v>
      </c>
      <c r="K2903">
        <v>4.5999999999999996</v>
      </c>
      <c r="L2903" s="2">
        <v>133.43</v>
      </c>
      <c r="M2903">
        <v>2029</v>
      </c>
      <c r="N2903">
        <v>12</v>
      </c>
      <c r="O2903" t="s">
        <v>175</v>
      </c>
      <c r="P2903" s="2">
        <v>158.85</v>
      </c>
      <c r="Q2903" s="2">
        <v>25.42</v>
      </c>
      <c r="R2903" t="s">
        <v>76</v>
      </c>
      <c r="S2903">
        <v>1</v>
      </c>
      <c r="T2903">
        <v>0</v>
      </c>
      <c r="U2903">
        <f>IF(AND(OR(Dashboard!$D$4="Semua",D2903=Dashboard!$D$4),OR(Dashboard!$H$4="Semua",E2903=Dashboard!$H$4)),1,0)</f>
        <v>1</v>
      </c>
      <c r="V2903">
        <f>IF(U2903=1,IF(COUNTIFS($C$2:C2903,C2903,$U$2:U2903,1)=1,1,0),0)</f>
        <v>0</v>
      </c>
    </row>
    <row r="2904" spans="1:22" x14ac:dyDescent="0.35">
      <c r="A2904">
        <v>12903</v>
      </c>
      <c r="B2904" s="1">
        <v>47464</v>
      </c>
      <c r="C2904">
        <v>1496</v>
      </c>
      <c r="D2904" t="s">
        <v>73</v>
      </c>
      <c r="E2904" t="s">
        <v>70</v>
      </c>
      <c r="F2904">
        <v>4</v>
      </c>
      <c r="G2904" s="2">
        <v>127.49</v>
      </c>
      <c r="H2904">
        <v>7.0000000000000007E-2</v>
      </c>
      <c r="I2904" t="s">
        <v>71</v>
      </c>
      <c r="J2904">
        <v>11</v>
      </c>
      <c r="K2904">
        <v>3.5</v>
      </c>
      <c r="L2904" s="2">
        <v>474.26</v>
      </c>
      <c r="M2904">
        <v>2029</v>
      </c>
      <c r="N2904">
        <v>12</v>
      </c>
      <c r="O2904" t="s">
        <v>175</v>
      </c>
      <c r="P2904" s="2">
        <v>509.96</v>
      </c>
      <c r="Q2904" s="2">
        <v>35.700000000000003</v>
      </c>
      <c r="R2904" t="s">
        <v>69</v>
      </c>
      <c r="S2904">
        <v>1</v>
      </c>
      <c r="T2904">
        <v>0</v>
      </c>
      <c r="U2904">
        <f>IF(AND(OR(Dashboard!$D$4="Semua",D2904=Dashboard!$D$4),OR(Dashboard!$H$4="Semua",E2904=Dashboard!$H$4)),1,0)</f>
        <v>1</v>
      </c>
      <c r="V2904">
        <f>IF(U2904=1,IF(COUNTIFS($C$2:C2904,C2904,$U$2:U2904,1)=1,1,0),0)</f>
        <v>0</v>
      </c>
    </row>
    <row r="2905" spans="1:22" x14ac:dyDescent="0.35">
      <c r="A2905">
        <v>12904</v>
      </c>
      <c r="B2905" s="1">
        <v>47465</v>
      </c>
      <c r="C2905">
        <v>1290</v>
      </c>
      <c r="D2905" t="s">
        <v>73</v>
      </c>
      <c r="E2905" t="s">
        <v>70</v>
      </c>
      <c r="F2905">
        <v>2</v>
      </c>
      <c r="G2905" s="2">
        <v>55.09</v>
      </c>
      <c r="H2905">
        <v>0.32</v>
      </c>
      <c r="I2905" t="s">
        <v>68</v>
      </c>
      <c r="J2905">
        <v>10</v>
      </c>
      <c r="K2905">
        <v>3</v>
      </c>
      <c r="L2905" s="2">
        <v>74.92</v>
      </c>
      <c r="M2905">
        <v>2029</v>
      </c>
      <c r="N2905">
        <v>12</v>
      </c>
      <c r="O2905" t="s">
        <v>175</v>
      </c>
      <c r="P2905" s="2">
        <v>110.18</v>
      </c>
      <c r="Q2905" s="2">
        <v>35.26</v>
      </c>
      <c r="R2905" t="s">
        <v>72</v>
      </c>
      <c r="S2905">
        <v>1</v>
      </c>
      <c r="T2905">
        <v>0</v>
      </c>
      <c r="U2905">
        <f>IF(AND(OR(Dashboard!$D$4="Semua",D2905=Dashboard!$D$4),OR(Dashboard!$H$4="Semua",E2905=Dashboard!$H$4)),1,0)</f>
        <v>1</v>
      </c>
      <c r="V2905">
        <f>IF(U2905=1,IF(COUNTIFS($C$2:C2905,C2905,$U$2:U2905,1)=1,1,0),0)</f>
        <v>0</v>
      </c>
    </row>
    <row r="2906" spans="1:22" x14ac:dyDescent="0.35">
      <c r="A2906">
        <v>12905</v>
      </c>
      <c r="B2906" s="1">
        <v>47466</v>
      </c>
      <c r="C2906">
        <v>1939</v>
      </c>
      <c r="D2906" t="s">
        <v>80</v>
      </c>
      <c r="E2906" t="s">
        <v>70</v>
      </c>
      <c r="F2906">
        <v>4</v>
      </c>
      <c r="G2906" s="2">
        <v>522.78</v>
      </c>
      <c r="H2906">
        <v>0.02</v>
      </c>
      <c r="I2906" t="s">
        <v>71</v>
      </c>
      <c r="J2906">
        <v>10</v>
      </c>
      <c r="K2906">
        <v>3.3</v>
      </c>
      <c r="L2906" s="2">
        <v>2049.3000000000002</v>
      </c>
      <c r="M2906">
        <v>2029</v>
      </c>
      <c r="N2906">
        <v>12</v>
      </c>
      <c r="O2906" t="s">
        <v>175</v>
      </c>
      <c r="P2906" s="2">
        <v>2091.12</v>
      </c>
      <c r="Q2906" s="2">
        <v>41.82</v>
      </c>
      <c r="R2906" t="s">
        <v>75</v>
      </c>
      <c r="S2906">
        <v>1</v>
      </c>
      <c r="T2906">
        <v>0</v>
      </c>
      <c r="U2906">
        <f>IF(AND(OR(Dashboard!$D$4="Semua",D2906=Dashboard!$D$4),OR(Dashboard!$H$4="Semua",E2906=Dashboard!$H$4)),1,0)</f>
        <v>1</v>
      </c>
      <c r="V2906">
        <f>IF(U2906=1,IF(COUNTIFS($C$2:C2906,C2906,$U$2:U2906,1)=1,1,0),0)</f>
        <v>0</v>
      </c>
    </row>
    <row r="2907" spans="1:22" x14ac:dyDescent="0.35">
      <c r="A2907">
        <v>12906</v>
      </c>
      <c r="B2907" s="1">
        <v>47467</v>
      </c>
      <c r="C2907">
        <v>1101</v>
      </c>
      <c r="D2907" t="s">
        <v>73</v>
      </c>
      <c r="E2907" t="s">
        <v>74</v>
      </c>
      <c r="F2907">
        <v>2</v>
      </c>
      <c r="G2907" s="2">
        <v>478.66</v>
      </c>
      <c r="H2907">
        <v>0.3</v>
      </c>
      <c r="I2907" t="s">
        <v>71</v>
      </c>
      <c r="J2907">
        <v>4</v>
      </c>
      <c r="K2907">
        <v>2.2000000000000002</v>
      </c>
      <c r="L2907" s="2">
        <v>670.12</v>
      </c>
      <c r="M2907">
        <v>2029</v>
      </c>
      <c r="N2907">
        <v>12</v>
      </c>
      <c r="O2907" t="s">
        <v>175</v>
      </c>
      <c r="P2907" s="2">
        <v>957.32</v>
      </c>
      <c r="Q2907" s="2">
        <v>287.2</v>
      </c>
      <c r="R2907" t="s">
        <v>66</v>
      </c>
      <c r="S2907">
        <v>1</v>
      </c>
      <c r="T2907">
        <v>0</v>
      </c>
      <c r="U2907">
        <f>IF(AND(OR(Dashboard!$D$4="Semua",D2907=Dashboard!$D$4),OR(Dashboard!$H$4="Semua",E2907=Dashboard!$H$4)),1,0)</f>
        <v>1</v>
      </c>
      <c r="V2907">
        <f>IF(U2907=1,IF(COUNTIFS($C$2:C2907,C2907,$U$2:U2907,1)=1,1,0),0)</f>
        <v>0</v>
      </c>
    </row>
    <row r="2908" spans="1:22" x14ac:dyDescent="0.35">
      <c r="A2908">
        <v>12907</v>
      </c>
      <c r="B2908" s="1">
        <v>47468</v>
      </c>
      <c r="C2908">
        <v>1985</v>
      </c>
      <c r="D2908" t="s">
        <v>67</v>
      </c>
      <c r="E2908" t="s">
        <v>70</v>
      </c>
      <c r="F2908">
        <v>5</v>
      </c>
      <c r="G2908" s="2">
        <v>351.17</v>
      </c>
      <c r="H2908">
        <v>0.18</v>
      </c>
      <c r="I2908" t="s">
        <v>68</v>
      </c>
      <c r="J2908">
        <v>1</v>
      </c>
      <c r="K2908">
        <v>4.4000000000000004</v>
      </c>
      <c r="L2908" s="2">
        <v>1439.8</v>
      </c>
      <c r="M2908">
        <v>2029</v>
      </c>
      <c r="N2908">
        <v>12</v>
      </c>
      <c r="O2908" t="s">
        <v>175</v>
      </c>
      <c r="P2908" s="2">
        <v>1755.85</v>
      </c>
      <c r="Q2908" s="2">
        <v>316.05</v>
      </c>
      <c r="R2908" t="s">
        <v>76</v>
      </c>
      <c r="S2908">
        <v>1</v>
      </c>
      <c r="T2908">
        <v>0</v>
      </c>
      <c r="U2908">
        <f>IF(AND(OR(Dashboard!$D$4="Semua",D2908=Dashboard!$D$4),OR(Dashboard!$H$4="Semua",E2908=Dashboard!$H$4)),1,0)</f>
        <v>1</v>
      </c>
      <c r="V2908">
        <f>IF(U2908=1,IF(COUNTIFS($C$2:C2908,C2908,$U$2:U2908,1)=1,1,0),0)</f>
        <v>0</v>
      </c>
    </row>
    <row r="2909" spans="1:22" x14ac:dyDescent="0.35">
      <c r="A2909">
        <v>12908</v>
      </c>
      <c r="B2909" s="1">
        <v>47469</v>
      </c>
      <c r="C2909">
        <v>1266</v>
      </c>
      <c r="D2909" t="s">
        <v>73</v>
      </c>
      <c r="E2909" t="s">
        <v>74</v>
      </c>
      <c r="F2909">
        <v>7</v>
      </c>
      <c r="G2909" s="2">
        <v>63.94</v>
      </c>
      <c r="H2909">
        <v>0.22</v>
      </c>
      <c r="I2909" t="s">
        <v>71</v>
      </c>
      <c r="J2909">
        <v>10</v>
      </c>
      <c r="K2909">
        <v>4</v>
      </c>
      <c r="L2909" s="2">
        <v>349.11</v>
      </c>
      <c r="M2909">
        <v>2029</v>
      </c>
      <c r="N2909">
        <v>12</v>
      </c>
      <c r="O2909" t="s">
        <v>175</v>
      </c>
      <c r="P2909" s="2">
        <v>447.58</v>
      </c>
      <c r="Q2909" s="2">
        <v>98.47</v>
      </c>
      <c r="R2909" t="s">
        <v>77</v>
      </c>
      <c r="S2909">
        <v>1</v>
      </c>
      <c r="T2909">
        <v>0</v>
      </c>
      <c r="U2909">
        <f>IF(AND(OR(Dashboard!$D$4="Semua",D2909=Dashboard!$D$4),OR(Dashboard!$H$4="Semua",E2909=Dashboard!$H$4)),1,0)</f>
        <v>1</v>
      </c>
      <c r="V2909">
        <f>IF(U2909=1,IF(COUNTIFS($C$2:C2909,C2909,$U$2:U2909,1)=1,1,0),0)</f>
        <v>0</v>
      </c>
    </row>
    <row r="2910" spans="1:22" x14ac:dyDescent="0.35">
      <c r="A2910">
        <v>12909</v>
      </c>
      <c r="B2910" s="1">
        <v>47470</v>
      </c>
      <c r="C2910">
        <v>1866</v>
      </c>
      <c r="D2910" t="s">
        <v>80</v>
      </c>
      <c r="E2910" t="s">
        <v>74</v>
      </c>
      <c r="F2910">
        <v>5</v>
      </c>
      <c r="G2910" s="2">
        <v>174.89</v>
      </c>
      <c r="H2910">
        <v>0.11</v>
      </c>
      <c r="I2910" t="s">
        <v>71</v>
      </c>
      <c r="J2910">
        <v>9</v>
      </c>
      <c r="K2910">
        <v>3.6</v>
      </c>
      <c r="L2910" s="2">
        <v>778.26</v>
      </c>
      <c r="M2910">
        <v>2029</v>
      </c>
      <c r="N2910">
        <v>12</v>
      </c>
      <c r="O2910" t="s">
        <v>175</v>
      </c>
      <c r="P2910" s="2">
        <v>874.45</v>
      </c>
      <c r="Q2910" s="2">
        <v>96.19</v>
      </c>
      <c r="R2910" t="s">
        <v>79</v>
      </c>
      <c r="S2910">
        <v>1</v>
      </c>
      <c r="T2910">
        <v>0</v>
      </c>
      <c r="U2910">
        <f>IF(AND(OR(Dashboard!$D$4="Semua",D2910=Dashboard!$D$4),OR(Dashboard!$H$4="Semua",E2910=Dashboard!$H$4)),1,0)</f>
        <v>1</v>
      </c>
      <c r="V2910">
        <f>IF(U2910=1,IF(COUNTIFS($C$2:C2910,C2910,$U$2:U2910,1)=1,1,0),0)</f>
        <v>0</v>
      </c>
    </row>
    <row r="2911" spans="1:22" x14ac:dyDescent="0.35">
      <c r="A2911">
        <v>12910</v>
      </c>
      <c r="B2911" s="1">
        <v>47471</v>
      </c>
      <c r="C2911">
        <v>1967</v>
      </c>
      <c r="D2911" t="s">
        <v>80</v>
      </c>
      <c r="E2911" t="s">
        <v>70</v>
      </c>
      <c r="F2911">
        <v>5</v>
      </c>
      <c r="G2911" s="2">
        <v>189.17</v>
      </c>
      <c r="H2911">
        <v>0.34</v>
      </c>
      <c r="I2911" t="s">
        <v>68</v>
      </c>
      <c r="J2911">
        <v>11</v>
      </c>
      <c r="K2911">
        <v>4.7</v>
      </c>
      <c r="L2911" s="2">
        <v>624.26</v>
      </c>
      <c r="M2911">
        <v>2029</v>
      </c>
      <c r="N2911">
        <v>12</v>
      </c>
      <c r="O2911" t="s">
        <v>175</v>
      </c>
      <c r="P2911" s="2">
        <v>945.85</v>
      </c>
      <c r="Q2911" s="2">
        <v>321.58999999999997</v>
      </c>
      <c r="R2911" t="s">
        <v>72</v>
      </c>
      <c r="S2911">
        <v>1</v>
      </c>
      <c r="T2911">
        <v>0</v>
      </c>
      <c r="U2911">
        <f>IF(AND(OR(Dashboard!$D$4="Semua",D2911=Dashboard!$D$4),OR(Dashboard!$H$4="Semua",E2911=Dashboard!$H$4)),1,0)</f>
        <v>1</v>
      </c>
      <c r="V2911">
        <f>IF(U2911=1,IF(COUNTIFS($C$2:C2911,C2911,$U$2:U2911,1)=1,1,0),0)</f>
        <v>0</v>
      </c>
    </row>
    <row r="2912" spans="1:22" x14ac:dyDescent="0.35">
      <c r="A2912">
        <v>12911</v>
      </c>
      <c r="B2912" s="1">
        <v>47472</v>
      </c>
      <c r="C2912">
        <v>1621</v>
      </c>
      <c r="D2912" t="s">
        <v>73</v>
      </c>
      <c r="E2912" t="s">
        <v>63</v>
      </c>
      <c r="F2912">
        <v>3</v>
      </c>
      <c r="G2912" s="2">
        <v>343.03</v>
      </c>
      <c r="H2912">
        <v>0.1</v>
      </c>
      <c r="I2912" t="s">
        <v>71</v>
      </c>
      <c r="J2912">
        <v>10</v>
      </c>
      <c r="K2912">
        <v>3.3</v>
      </c>
      <c r="L2912" s="2">
        <v>926.18</v>
      </c>
      <c r="M2912">
        <v>2029</v>
      </c>
      <c r="N2912">
        <v>12</v>
      </c>
      <c r="O2912" t="s">
        <v>175</v>
      </c>
      <c r="P2912" s="2">
        <v>1029.0899999999999</v>
      </c>
      <c r="Q2912" s="2">
        <v>102.91</v>
      </c>
      <c r="R2912" t="s">
        <v>69</v>
      </c>
      <c r="S2912">
        <v>1</v>
      </c>
      <c r="T2912">
        <v>0</v>
      </c>
      <c r="U2912">
        <f>IF(AND(OR(Dashboard!$D$4="Semua",D2912=Dashboard!$D$4),OR(Dashboard!$H$4="Semua",E2912=Dashboard!$H$4)),1,0)</f>
        <v>1</v>
      </c>
      <c r="V2912">
        <f>IF(U2912=1,IF(COUNTIFS($C$2:C2912,C2912,$U$2:U2912,1)=1,1,0),0)</f>
        <v>0</v>
      </c>
    </row>
    <row r="2913" spans="1:22" x14ac:dyDescent="0.35">
      <c r="A2913">
        <v>12912</v>
      </c>
      <c r="B2913" s="1">
        <v>47473</v>
      </c>
      <c r="C2913">
        <v>1973</v>
      </c>
      <c r="D2913" t="s">
        <v>80</v>
      </c>
      <c r="E2913" t="s">
        <v>70</v>
      </c>
      <c r="F2913">
        <v>7</v>
      </c>
      <c r="G2913" s="2">
        <v>165.96</v>
      </c>
      <c r="H2913">
        <v>0.21</v>
      </c>
      <c r="I2913" t="s">
        <v>68</v>
      </c>
      <c r="J2913">
        <v>8</v>
      </c>
      <c r="K2913">
        <v>3</v>
      </c>
      <c r="L2913" s="2">
        <v>917.76</v>
      </c>
      <c r="M2913">
        <v>2029</v>
      </c>
      <c r="N2913">
        <v>12</v>
      </c>
      <c r="O2913" t="s">
        <v>175</v>
      </c>
      <c r="P2913" s="2">
        <v>1161.72</v>
      </c>
      <c r="Q2913" s="2">
        <v>243.96</v>
      </c>
      <c r="R2913" t="s">
        <v>77</v>
      </c>
      <c r="S2913">
        <v>1</v>
      </c>
      <c r="T2913">
        <v>0</v>
      </c>
      <c r="U2913">
        <f>IF(AND(OR(Dashboard!$D$4="Semua",D2913=Dashboard!$D$4),OR(Dashboard!$H$4="Semua",E2913=Dashboard!$H$4)),1,0)</f>
        <v>1</v>
      </c>
      <c r="V2913">
        <f>IF(U2913=1,IF(COUNTIFS($C$2:C2913,C2913,$U$2:U2913,1)=1,1,0),0)</f>
        <v>0</v>
      </c>
    </row>
    <row r="2914" spans="1:22" x14ac:dyDescent="0.35">
      <c r="A2914">
        <v>12913</v>
      </c>
      <c r="B2914" s="1">
        <v>47474</v>
      </c>
      <c r="C2914">
        <v>1841</v>
      </c>
      <c r="D2914" t="s">
        <v>73</v>
      </c>
      <c r="E2914" t="s">
        <v>78</v>
      </c>
      <c r="F2914">
        <v>3</v>
      </c>
      <c r="G2914" s="2">
        <v>57.68</v>
      </c>
      <c r="H2914">
        <v>0.35</v>
      </c>
      <c r="I2914" t="s">
        <v>68</v>
      </c>
      <c r="J2914">
        <v>5</v>
      </c>
      <c r="K2914">
        <v>4.9000000000000004</v>
      </c>
      <c r="L2914" s="2">
        <v>112.48</v>
      </c>
      <c r="M2914">
        <v>2029</v>
      </c>
      <c r="N2914">
        <v>12</v>
      </c>
      <c r="O2914" t="s">
        <v>175</v>
      </c>
      <c r="P2914" s="2">
        <v>173.04</v>
      </c>
      <c r="Q2914" s="2">
        <v>60.56</v>
      </c>
      <c r="R2914" t="s">
        <v>72</v>
      </c>
      <c r="S2914">
        <v>1</v>
      </c>
      <c r="T2914">
        <v>0</v>
      </c>
      <c r="U2914">
        <f>IF(AND(OR(Dashboard!$D$4="Semua",D2914=Dashboard!$D$4),OR(Dashboard!$H$4="Semua",E2914=Dashboard!$H$4)),1,0)</f>
        <v>1</v>
      </c>
      <c r="V2914">
        <f>IF(U2914=1,IF(COUNTIFS($C$2:C2914,C2914,$U$2:U2914,1)=1,1,0),0)</f>
        <v>0</v>
      </c>
    </row>
    <row r="2915" spans="1:22" x14ac:dyDescent="0.35">
      <c r="A2915">
        <v>12914</v>
      </c>
      <c r="B2915" s="1">
        <v>47475</v>
      </c>
      <c r="C2915">
        <v>1961</v>
      </c>
      <c r="D2915" t="s">
        <v>67</v>
      </c>
      <c r="E2915" t="s">
        <v>63</v>
      </c>
      <c r="F2915">
        <v>2</v>
      </c>
      <c r="G2915" s="2">
        <v>442.5</v>
      </c>
      <c r="H2915">
        <v>0.31</v>
      </c>
      <c r="I2915" t="s">
        <v>71</v>
      </c>
      <c r="J2915">
        <v>3</v>
      </c>
      <c r="K2915">
        <v>1.8</v>
      </c>
      <c r="L2915" s="2">
        <v>610.65</v>
      </c>
      <c r="M2915">
        <v>2029</v>
      </c>
      <c r="N2915">
        <v>12</v>
      </c>
      <c r="O2915" t="s">
        <v>175</v>
      </c>
      <c r="P2915" s="2">
        <v>885</v>
      </c>
      <c r="Q2915" s="2">
        <v>274.35000000000002</v>
      </c>
      <c r="R2915" t="s">
        <v>72</v>
      </c>
      <c r="S2915">
        <v>1</v>
      </c>
      <c r="T2915">
        <v>0</v>
      </c>
      <c r="U2915">
        <f>IF(AND(OR(Dashboard!$D$4="Semua",D2915=Dashboard!$D$4),OR(Dashboard!$H$4="Semua",E2915=Dashboard!$H$4)),1,0)</f>
        <v>1</v>
      </c>
      <c r="V2915">
        <f>IF(U2915=1,IF(COUNTIFS($C$2:C2915,C2915,$U$2:U2915,1)=1,1,0),0)</f>
        <v>0</v>
      </c>
    </row>
    <row r="2916" spans="1:22" x14ac:dyDescent="0.35">
      <c r="A2916">
        <v>12915</v>
      </c>
      <c r="B2916" s="1">
        <v>47476</v>
      </c>
      <c r="C2916">
        <v>1941</v>
      </c>
      <c r="D2916" t="s">
        <v>80</v>
      </c>
      <c r="E2916" t="s">
        <v>74</v>
      </c>
      <c r="F2916">
        <v>1</v>
      </c>
      <c r="G2916" s="2">
        <v>189.96</v>
      </c>
      <c r="H2916">
        <v>0.19</v>
      </c>
      <c r="I2916" t="s">
        <v>71</v>
      </c>
      <c r="J2916">
        <v>4</v>
      </c>
      <c r="K2916">
        <v>1.6</v>
      </c>
      <c r="L2916" s="2">
        <v>153.87</v>
      </c>
      <c r="M2916">
        <v>2029</v>
      </c>
      <c r="N2916">
        <v>12</v>
      </c>
      <c r="O2916" t="s">
        <v>175</v>
      </c>
      <c r="P2916" s="2">
        <v>189.96</v>
      </c>
      <c r="Q2916" s="2">
        <v>36.090000000000003</v>
      </c>
      <c r="R2916" t="s">
        <v>76</v>
      </c>
      <c r="S2916">
        <v>1</v>
      </c>
      <c r="T2916">
        <v>0</v>
      </c>
      <c r="U2916">
        <f>IF(AND(OR(Dashboard!$D$4="Semua",D2916=Dashboard!$D$4),OR(Dashboard!$H$4="Semua",E2916=Dashboard!$H$4)),1,0)</f>
        <v>1</v>
      </c>
      <c r="V2916">
        <f>IF(U2916=1,IF(COUNTIFS($C$2:C2916,C2916,$U$2:U2916,1)=1,1,0),0)</f>
        <v>1</v>
      </c>
    </row>
    <row r="2917" spans="1:22" x14ac:dyDescent="0.35">
      <c r="A2917">
        <v>12916</v>
      </c>
      <c r="B2917" s="1">
        <v>47477</v>
      </c>
      <c r="C2917">
        <v>1776</v>
      </c>
      <c r="D2917" t="s">
        <v>80</v>
      </c>
      <c r="E2917" t="s">
        <v>74</v>
      </c>
      <c r="F2917">
        <v>6</v>
      </c>
      <c r="G2917" s="2">
        <v>279.64</v>
      </c>
      <c r="H2917">
        <v>0.35</v>
      </c>
      <c r="I2917" t="s">
        <v>64</v>
      </c>
      <c r="J2917">
        <v>3</v>
      </c>
      <c r="K2917">
        <v>1.6</v>
      </c>
      <c r="L2917" s="2">
        <v>1090.5999999999999</v>
      </c>
      <c r="M2917">
        <v>2029</v>
      </c>
      <c r="N2917">
        <v>12</v>
      </c>
      <c r="O2917" t="s">
        <v>175</v>
      </c>
      <c r="P2917" s="2">
        <v>1677.84</v>
      </c>
      <c r="Q2917" s="2">
        <v>587.24</v>
      </c>
      <c r="R2917" t="s">
        <v>72</v>
      </c>
      <c r="S2917">
        <v>1</v>
      </c>
      <c r="T2917">
        <v>0</v>
      </c>
      <c r="U2917">
        <f>IF(AND(OR(Dashboard!$D$4="Semua",D2917=Dashboard!$D$4),OR(Dashboard!$H$4="Semua",E2917=Dashboard!$H$4)),1,0)</f>
        <v>1</v>
      </c>
      <c r="V2917">
        <f>IF(U2917=1,IF(COUNTIFS($C$2:C2917,C2917,$U$2:U2917,1)=1,1,0),0)</f>
        <v>0</v>
      </c>
    </row>
    <row r="2918" spans="1:22" x14ac:dyDescent="0.35">
      <c r="A2918">
        <v>12917</v>
      </c>
      <c r="B2918" s="1">
        <v>47478</v>
      </c>
      <c r="C2918">
        <v>1002</v>
      </c>
      <c r="D2918" t="s">
        <v>62</v>
      </c>
      <c r="E2918" t="s">
        <v>63</v>
      </c>
      <c r="F2918">
        <v>3</v>
      </c>
      <c r="G2918" s="2">
        <v>89.68</v>
      </c>
      <c r="H2918">
        <v>0.25</v>
      </c>
      <c r="I2918" t="s">
        <v>68</v>
      </c>
      <c r="J2918">
        <v>10</v>
      </c>
      <c r="K2918">
        <v>5</v>
      </c>
      <c r="L2918" s="2">
        <v>201.78</v>
      </c>
      <c r="M2918">
        <v>2029</v>
      </c>
      <c r="N2918">
        <v>12</v>
      </c>
      <c r="O2918" t="s">
        <v>175</v>
      </c>
      <c r="P2918" s="2">
        <v>269.04000000000002</v>
      </c>
      <c r="Q2918" s="2">
        <v>67.260000000000005</v>
      </c>
      <c r="R2918" t="s">
        <v>77</v>
      </c>
      <c r="S2918">
        <v>1</v>
      </c>
      <c r="T2918">
        <v>0</v>
      </c>
      <c r="U2918">
        <f>IF(AND(OR(Dashboard!$D$4="Semua",D2918=Dashboard!$D$4),OR(Dashboard!$H$4="Semua",E2918=Dashboard!$H$4)),1,0)</f>
        <v>1</v>
      </c>
      <c r="V2918">
        <f>IF(U2918=1,IF(COUNTIFS($C$2:C2918,C2918,$U$2:U2918,1)=1,1,0),0)</f>
        <v>0</v>
      </c>
    </row>
    <row r="2919" spans="1:22" x14ac:dyDescent="0.35">
      <c r="A2919">
        <v>12918</v>
      </c>
      <c r="B2919" s="1">
        <v>47479</v>
      </c>
      <c r="C2919">
        <v>1084</v>
      </c>
      <c r="D2919" t="s">
        <v>73</v>
      </c>
      <c r="E2919" t="s">
        <v>63</v>
      </c>
      <c r="F2919">
        <v>2</v>
      </c>
      <c r="G2919" s="2">
        <v>484.49</v>
      </c>
      <c r="H2919">
        <v>7.0000000000000007E-2</v>
      </c>
      <c r="I2919" t="s">
        <v>68</v>
      </c>
      <c r="J2919">
        <v>8</v>
      </c>
      <c r="K2919">
        <v>3.6</v>
      </c>
      <c r="L2919" s="2">
        <v>901.15</v>
      </c>
      <c r="M2919">
        <v>2029</v>
      </c>
      <c r="N2919">
        <v>12</v>
      </c>
      <c r="O2919" t="s">
        <v>175</v>
      </c>
      <c r="P2919" s="2">
        <v>968.98</v>
      </c>
      <c r="Q2919" s="2">
        <v>67.83</v>
      </c>
      <c r="R2919" t="s">
        <v>69</v>
      </c>
      <c r="S2919">
        <v>1</v>
      </c>
      <c r="T2919">
        <v>0</v>
      </c>
      <c r="U2919">
        <f>IF(AND(OR(Dashboard!$D$4="Semua",D2919=Dashboard!$D$4),OR(Dashboard!$H$4="Semua",E2919=Dashboard!$H$4)),1,0)</f>
        <v>1</v>
      </c>
      <c r="V2919">
        <f>IF(U2919=1,IF(COUNTIFS($C$2:C2919,C2919,$U$2:U2919,1)=1,1,0),0)</f>
        <v>0</v>
      </c>
    </row>
    <row r="2920" spans="1:22" x14ac:dyDescent="0.35">
      <c r="A2920">
        <v>12919</v>
      </c>
      <c r="B2920" s="1">
        <v>47480</v>
      </c>
      <c r="C2920">
        <v>1793</v>
      </c>
      <c r="D2920" t="s">
        <v>80</v>
      </c>
      <c r="E2920" t="s">
        <v>70</v>
      </c>
      <c r="F2920">
        <v>7</v>
      </c>
      <c r="G2920" s="2">
        <v>345.84</v>
      </c>
      <c r="H2920">
        <v>0.14000000000000001</v>
      </c>
      <c r="I2920" t="s">
        <v>68</v>
      </c>
      <c r="J2920">
        <v>5</v>
      </c>
      <c r="K2920">
        <v>2.2000000000000002</v>
      </c>
      <c r="L2920" s="2">
        <v>2081.96</v>
      </c>
      <c r="M2920">
        <v>2029</v>
      </c>
      <c r="N2920">
        <v>12</v>
      </c>
      <c r="O2920" t="s">
        <v>175</v>
      </c>
      <c r="P2920" s="2">
        <v>2420.88</v>
      </c>
      <c r="Q2920" s="2">
        <v>338.92</v>
      </c>
      <c r="R2920" t="s">
        <v>79</v>
      </c>
      <c r="S2920">
        <v>1</v>
      </c>
      <c r="T2920">
        <v>0</v>
      </c>
      <c r="U2920">
        <f>IF(AND(OR(Dashboard!$D$4="Semua",D2920=Dashboard!$D$4),OR(Dashboard!$H$4="Semua",E2920=Dashboard!$H$4)),1,0)</f>
        <v>1</v>
      </c>
      <c r="V2920">
        <f>IF(U2920=1,IF(COUNTIFS($C$2:C2920,C2920,$U$2:U2920,1)=1,1,0),0)</f>
        <v>0</v>
      </c>
    </row>
    <row r="2921" spans="1:22" x14ac:dyDescent="0.35">
      <c r="A2921">
        <v>12920</v>
      </c>
      <c r="B2921" s="1">
        <v>47481</v>
      </c>
      <c r="C2921">
        <v>1327</v>
      </c>
      <c r="D2921" t="s">
        <v>67</v>
      </c>
      <c r="E2921" t="s">
        <v>74</v>
      </c>
      <c r="F2921">
        <v>4</v>
      </c>
      <c r="G2921" s="2">
        <v>542.42999999999995</v>
      </c>
      <c r="H2921">
        <v>0.12</v>
      </c>
      <c r="I2921" t="s">
        <v>71</v>
      </c>
      <c r="J2921">
        <v>11</v>
      </c>
      <c r="K2921">
        <v>2</v>
      </c>
      <c r="L2921" s="2">
        <v>1909.35</v>
      </c>
      <c r="M2921">
        <v>2029</v>
      </c>
      <c r="N2921">
        <v>12</v>
      </c>
      <c r="O2921" t="s">
        <v>175</v>
      </c>
      <c r="P2921" s="2">
        <v>2169.7199999999998</v>
      </c>
      <c r="Q2921" s="2">
        <v>260.37</v>
      </c>
      <c r="R2921" t="s">
        <v>79</v>
      </c>
      <c r="S2921">
        <v>1</v>
      </c>
      <c r="T2921">
        <v>0</v>
      </c>
      <c r="U2921">
        <f>IF(AND(OR(Dashboard!$D$4="Semua",D2921=Dashboard!$D$4),OR(Dashboard!$H$4="Semua",E2921=Dashboard!$H$4)),1,0)</f>
        <v>1</v>
      </c>
      <c r="V2921">
        <f>IF(U2921=1,IF(COUNTIFS($C$2:C2921,C2921,$U$2:U2921,1)=1,1,0),0)</f>
        <v>0</v>
      </c>
    </row>
    <row r="2922" spans="1:22" x14ac:dyDescent="0.35">
      <c r="A2922">
        <v>12921</v>
      </c>
      <c r="B2922" s="1">
        <v>47482</v>
      </c>
      <c r="C2922">
        <v>1815</v>
      </c>
      <c r="D2922" t="s">
        <v>62</v>
      </c>
      <c r="E2922" t="s">
        <v>78</v>
      </c>
      <c r="F2922">
        <v>7</v>
      </c>
      <c r="G2922" s="2">
        <v>304.85000000000002</v>
      </c>
      <c r="H2922">
        <v>0.12</v>
      </c>
      <c r="I2922" t="s">
        <v>68</v>
      </c>
      <c r="J2922">
        <v>8</v>
      </c>
      <c r="K2922">
        <v>1.2</v>
      </c>
      <c r="L2922" s="2">
        <v>1877.88</v>
      </c>
      <c r="M2922">
        <v>2029</v>
      </c>
      <c r="N2922">
        <v>12</v>
      </c>
      <c r="O2922" t="s">
        <v>175</v>
      </c>
      <c r="P2922" s="2">
        <v>2133.9499999999998</v>
      </c>
      <c r="Q2922" s="2">
        <v>256.07</v>
      </c>
      <c r="R2922" t="s">
        <v>79</v>
      </c>
      <c r="S2922">
        <v>1</v>
      </c>
      <c r="T2922">
        <v>0</v>
      </c>
      <c r="U2922">
        <f>IF(AND(OR(Dashboard!$D$4="Semua",D2922=Dashboard!$D$4),OR(Dashboard!$H$4="Semua",E2922=Dashboard!$H$4)),1,0)</f>
        <v>1</v>
      </c>
      <c r="V2922">
        <f>IF(U2922=1,IF(COUNTIFS($C$2:C2922,C2922,$U$2:U2922,1)=1,1,0),0)</f>
        <v>0</v>
      </c>
    </row>
    <row r="2923" spans="1:22" x14ac:dyDescent="0.35">
      <c r="A2923">
        <v>12922</v>
      </c>
      <c r="B2923" s="1">
        <v>47483</v>
      </c>
      <c r="C2923">
        <v>1449</v>
      </c>
      <c r="D2923" t="s">
        <v>73</v>
      </c>
      <c r="E2923" t="s">
        <v>70</v>
      </c>
      <c r="F2923">
        <v>5</v>
      </c>
      <c r="G2923" s="2">
        <v>565.73</v>
      </c>
      <c r="H2923">
        <v>0.27</v>
      </c>
      <c r="I2923" t="s">
        <v>71</v>
      </c>
      <c r="J2923">
        <v>1</v>
      </c>
      <c r="K2923">
        <v>1.5</v>
      </c>
      <c r="L2923" s="2">
        <v>2064.91</v>
      </c>
      <c r="M2923">
        <v>2029</v>
      </c>
      <c r="N2923">
        <v>12</v>
      </c>
      <c r="O2923" t="s">
        <v>175</v>
      </c>
      <c r="P2923" s="2">
        <v>2828.65</v>
      </c>
      <c r="Q2923" s="2">
        <v>763.74</v>
      </c>
      <c r="R2923" t="s">
        <v>66</v>
      </c>
      <c r="S2923">
        <v>1</v>
      </c>
      <c r="T2923">
        <v>0</v>
      </c>
      <c r="U2923">
        <f>IF(AND(OR(Dashboard!$D$4="Semua",D2923=Dashboard!$D$4),OR(Dashboard!$H$4="Semua",E2923=Dashboard!$H$4)),1,0)</f>
        <v>1</v>
      </c>
      <c r="V2923">
        <f>IF(U2923=1,IF(COUNTIFS($C$2:C2923,C2923,$U$2:U2923,1)=1,1,0),0)</f>
        <v>0</v>
      </c>
    </row>
    <row r="2924" spans="1:22" x14ac:dyDescent="0.35">
      <c r="A2924">
        <v>12923</v>
      </c>
      <c r="B2924" s="1">
        <v>47484</v>
      </c>
      <c r="C2924">
        <v>1453</v>
      </c>
      <c r="D2924" t="s">
        <v>80</v>
      </c>
      <c r="E2924" t="s">
        <v>63</v>
      </c>
      <c r="F2924">
        <v>5</v>
      </c>
      <c r="G2924" s="2">
        <v>536.74</v>
      </c>
      <c r="H2924">
        <v>0.2</v>
      </c>
      <c r="I2924" t="s">
        <v>68</v>
      </c>
      <c r="J2924">
        <v>9</v>
      </c>
      <c r="K2924">
        <v>4.5999999999999996</v>
      </c>
      <c r="L2924" s="2">
        <v>2146.96</v>
      </c>
      <c r="M2924">
        <v>2030</v>
      </c>
      <c r="N2924">
        <v>1</v>
      </c>
      <c r="O2924" t="s">
        <v>176</v>
      </c>
      <c r="P2924" s="2">
        <v>2683.7</v>
      </c>
      <c r="Q2924" s="2">
        <v>536.74</v>
      </c>
      <c r="R2924" t="s">
        <v>76</v>
      </c>
      <c r="S2924">
        <v>1</v>
      </c>
      <c r="T2924">
        <v>0</v>
      </c>
      <c r="U2924">
        <f>IF(AND(OR(Dashboard!$D$4="Semua",D2924=Dashboard!$D$4),OR(Dashboard!$H$4="Semua",E2924=Dashboard!$H$4)),1,0)</f>
        <v>1</v>
      </c>
      <c r="V2924">
        <f>IF(U2924=1,IF(COUNTIFS($C$2:C2924,C2924,$U$2:U2924,1)=1,1,0),0)</f>
        <v>0</v>
      </c>
    </row>
    <row r="2925" spans="1:22" x14ac:dyDescent="0.35">
      <c r="A2925">
        <v>12924</v>
      </c>
      <c r="B2925" s="1">
        <v>47485</v>
      </c>
      <c r="C2925">
        <v>1923</v>
      </c>
      <c r="D2925" t="s">
        <v>67</v>
      </c>
      <c r="E2925" t="s">
        <v>74</v>
      </c>
      <c r="F2925">
        <v>5</v>
      </c>
      <c r="G2925" s="2">
        <v>352.23</v>
      </c>
      <c r="H2925">
        <v>0.01</v>
      </c>
      <c r="I2925" t="s">
        <v>64</v>
      </c>
      <c r="J2925">
        <v>11</v>
      </c>
      <c r="K2925">
        <v>4</v>
      </c>
      <c r="L2925" s="2">
        <v>1743.54</v>
      </c>
      <c r="M2925">
        <v>2030</v>
      </c>
      <c r="N2925">
        <v>1</v>
      </c>
      <c r="O2925" t="s">
        <v>176</v>
      </c>
      <c r="P2925" s="2">
        <v>1761.15</v>
      </c>
      <c r="Q2925" s="2">
        <v>17.61</v>
      </c>
      <c r="R2925" t="s">
        <v>75</v>
      </c>
      <c r="S2925">
        <v>1</v>
      </c>
      <c r="T2925">
        <v>0</v>
      </c>
      <c r="U2925">
        <f>IF(AND(OR(Dashboard!$D$4="Semua",D2925=Dashboard!$D$4),OR(Dashboard!$H$4="Semua",E2925=Dashboard!$H$4)),1,0)</f>
        <v>1</v>
      </c>
      <c r="V2925">
        <f>IF(U2925=1,IF(COUNTIFS($C$2:C2925,C2925,$U$2:U2925,1)=1,1,0),0)</f>
        <v>0</v>
      </c>
    </row>
    <row r="2926" spans="1:22" x14ac:dyDescent="0.35">
      <c r="A2926">
        <v>12925</v>
      </c>
      <c r="B2926" s="1">
        <v>47486</v>
      </c>
      <c r="C2926">
        <v>1628</v>
      </c>
      <c r="D2926" t="s">
        <v>73</v>
      </c>
      <c r="E2926" t="s">
        <v>63</v>
      </c>
      <c r="F2926">
        <v>2</v>
      </c>
      <c r="G2926" s="2">
        <v>561.33000000000004</v>
      </c>
      <c r="H2926">
        <v>0.31</v>
      </c>
      <c r="I2926" t="s">
        <v>71</v>
      </c>
      <c r="J2926">
        <v>10</v>
      </c>
      <c r="K2926">
        <v>4.8</v>
      </c>
      <c r="L2926" s="2">
        <v>774.64</v>
      </c>
      <c r="M2926">
        <v>2030</v>
      </c>
      <c r="N2926">
        <v>1</v>
      </c>
      <c r="O2926" t="s">
        <v>176</v>
      </c>
      <c r="P2926" s="2">
        <v>1122.6600000000001</v>
      </c>
      <c r="Q2926" s="2">
        <v>348.02</v>
      </c>
      <c r="R2926" t="s">
        <v>72</v>
      </c>
      <c r="S2926">
        <v>1</v>
      </c>
      <c r="T2926">
        <v>0</v>
      </c>
      <c r="U2926">
        <f>IF(AND(OR(Dashboard!$D$4="Semua",D2926=Dashboard!$D$4),OR(Dashboard!$H$4="Semua",E2926=Dashboard!$H$4)),1,0)</f>
        <v>1</v>
      </c>
      <c r="V2926">
        <f>IF(U2926=1,IF(COUNTIFS($C$2:C2926,C2926,$U$2:U2926,1)=1,1,0),0)</f>
        <v>0</v>
      </c>
    </row>
    <row r="2927" spans="1:22" x14ac:dyDescent="0.35">
      <c r="A2927">
        <v>12926</v>
      </c>
      <c r="B2927" s="1">
        <v>47487</v>
      </c>
      <c r="C2927">
        <v>1220</v>
      </c>
      <c r="D2927" t="s">
        <v>67</v>
      </c>
      <c r="E2927" t="s">
        <v>63</v>
      </c>
      <c r="F2927">
        <v>5</v>
      </c>
      <c r="G2927" s="2">
        <v>204.01</v>
      </c>
      <c r="H2927">
        <v>0.1</v>
      </c>
      <c r="I2927" t="s">
        <v>64</v>
      </c>
      <c r="J2927">
        <v>3</v>
      </c>
      <c r="K2927">
        <v>2.7</v>
      </c>
      <c r="L2927" s="2">
        <v>918.04</v>
      </c>
      <c r="M2927">
        <v>2030</v>
      </c>
      <c r="N2927">
        <v>1</v>
      </c>
      <c r="O2927" t="s">
        <v>176</v>
      </c>
      <c r="P2927" s="2">
        <v>1020.05</v>
      </c>
      <c r="Q2927" s="2">
        <v>102.01</v>
      </c>
      <c r="R2927" t="s">
        <v>69</v>
      </c>
      <c r="S2927">
        <v>1</v>
      </c>
      <c r="T2927">
        <v>0</v>
      </c>
      <c r="U2927">
        <f>IF(AND(OR(Dashboard!$D$4="Semua",D2927=Dashboard!$D$4),OR(Dashboard!$H$4="Semua",E2927=Dashboard!$H$4)),1,0)</f>
        <v>1</v>
      </c>
      <c r="V2927">
        <f>IF(U2927=1,IF(COUNTIFS($C$2:C2927,C2927,$U$2:U2927,1)=1,1,0),0)</f>
        <v>1</v>
      </c>
    </row>
    <row r="2928" spans="1:22" x14ac:dyDescent="0.35">
      <c r="A2928">
        <v>12927</v>
      </c>
      <c r="B2928" s="1">
        <v>47488</v>
      </c>
      <c r="C2928">
        <v>1153</v>
      </c>
      <c r="D2928" t="s">
        <v>73</v>
      </c>
      <c r="E2928" t="s">
        <v>63</v>
      </c>
      <c r="F2928">
        <v>3</v>
      </c>
      <c r="G2928" s="2">
        <v>228.9</v>
      </c>
      <c r="H2928">
        <v>0.35</v>
      </c>
      <c r="I2928" t="s">
        <v>68</v>
      </c>
      <c r="J2928">
        <v>1</v>
      </c>
      <c r="K2928">
        <v>3.4</v>
      </c>
      <c r="L2928" s="2">
        <v>446.36</v>
      </c>
      <c r="M2928">
        <v>2030</v>
      </c>
      <c r="N2928">
        <v>1</v>
      </c>
      <c r="O2928" t="s">
        <v>176</v>
      </c>
      <c r="P2928" s="2">
        <v>686.7</v>
      </c>
      <c r="Q2928" s="2">
        <v>240.34</v>
      </c>
      <c r="R2928" t="s">
        <v>72</v>
      </c>
      <c r="S2928">
        <v>1</v>
      </c>
      <c r="T2928">
        <v>0</v>
      </c>
      <c r="U2928">
        <f>IF(AND(OR(Dashboard!$D$4="Semua",D2928=Dashboard!$D$4),OR(Dashboard!$H$4="Semua",E2928=Dashboard!$H$4)),1,0)</f>
        <v>1</v>
      </c>
      <c r="V2928">
        <f>IF(U2928=1,IF(COUNTIFS($C$2:C2928,C2928,$U$2:U2928,1)=1,1,0),0)</f>
        <v>0</v>
      </c>
    </row>
    <row r="2929" spans="1:22" x14ac:dyDescent="0.35">
      <c r="A2929">
        <v>12928</v>
      </c>
      <c r="B2929" s="1">
        <v>47489</v>
      </c>
      <c r="C2929">
        <v>1664</v>
      </c>
      <c r="D2929" t="s">
        <v>67</v>
      </c>
      <c r="E2929" t="s">
        <v>70</v>
      </c>
      <c r="F2929">
        <v>4</v>
      </c>
      <c r="G2929" s="2">
        <v>41.6</v>
      </c>
      <c r="H2929">
        <v>0.33</v>
      </c>
      <c r="I2929" t="s">
        <v>71</v>
      </c>
      <c r="J2929">
        <v>3</v>
      </c>
      <c r="K2929">
        <v>2.9</v>
      </c>
      <c r="L2929" s="2">
        <v>111.49</v>
      </c>
      <c r="M2929">
        <v>2030</v>
      </c>
      <c r="N2929">
        <v>1</v>
      </c>
      <c r="O2929" t="s">
        <v>176</v>
      </c>
      <c r="P2929" s="2">
        <v>166.4</v>
      </c>
      <c r="Q2929" s="2">
        <v>54.91</v>
      </c>
      <c r="R2929" t="s">
        <v>72</v>
      </c>
      <c r="S2929">
        <v>1</v>
      </c>
      <c r="T2929">
        <v>0</v>
      </c>
      <c r="U2929">
        <f>IF(AND(OR(Dashboard!$D$4="Semua",D2929=Dashboard!$D$4),OR(Dashboard!$H$4="Semua",E2929=Dashboard!$H$4)),1,0)</f>
        <v>1</v>
      </c>
      <c r="V2929">
        <f>IF(U2929=1,IF(COUNTIFS($C$2:C2929,C2929,$U$2:U2929,1)=1,1,0),0)</f>
        <v>0</v>
      </c>
    </row>
    <row r="2930" spans="1:22" x14ac:dyDescent="0.35">
      <c r="A2930">
        <v>12929</v>
      </c>
      <c r="B2930" s="1">
        <v>47490</v>
      </c>
      <c r="C2930">
        <v>1011</v>
      </c>
      <c r="D2930" t="s">
        <v>62</v>
      </c>
      <c r="E2930" t="s">
        <v>78</v>
      </c>
      <c r="F2930">
        <v>5</v>
      </c>
      <c r="G2930" s="2">
        <v>359.68</v>
      </c>
      <c r="H2930">
        <v>0.33</v>
      </c>
      <c r="I2930" t="s">
        <v>71</v>
      </c>
      <c r="J2930">
        <v>2</v>
      </c>
      <c r="K2930">
        <v>4.5</v>
      </c>
      <c r="L2930" s="2">
        <v>1204.93</v>
      </c>
      <c r="M2930">
        <v>2030</v>
      </c>
      <c r="N2930">
        <v>1</v>
      </c>
      <c r="O2930" t="s">
        <v>176</v>
      </c>
      <c r="P2930" s="2">
        <v>1798.4</v>
      </c>
      <c r="Q2930" s="2">
        <v>593.47</v>
      </c>
      <c r="R2930" t="s">
        <v>72</v>
      </c>
      <c r="S2930">
        <v>1</v>
      </c>
      <c r="T2930">
        <v>0</v>
      </c>
      <c r="U2930">
        <f>IF(AND(OR(Dashboard!$D$4="Semua",D2930=Dashboard!$D$4),OR(Dashboard!$H$4="Semua",E2930=Dashboard!$H$4)),1,0)</f>
        <v>1</v>
      </c>
      <c r="V2930">
        <f>IF(U2930=1,IF(COUNTIFS($C$2:C2930,C2930,$U$2:U2930,1)=1,1,0),0)</f>
        <v>0</v>
      </c>
    </row>
    <row r="2931" spans="1:22" x14ac:dyDescent="0.35">
      <c r="A2931">
        <v>12930</v>
      </c>
      <c r="B2931" s="1">
        <v>47491</v>
      </c>
      <c r="C2931">
        <v>1132</v>
      </c>
      <c r="D2931" t="s">
        <v>67</v>
      </c>
      <c r="E2931" t="s">
        <v>78</v>
      </c>
      <c r="F2931">
        <v>2</v>
      </c>
      <c r="G2931" s="2">
        <v>437.33</v>
      </c>
      <c r="H2931">
        <v>0.28000000000000003</v>
      </c>
      <c r="I2931" t="s">
        <v>71</v>
      </c>
      <c r="J2931">
        <v>7</v>
      </c>
      <c r="K2931">
        <v>5</v>
      </c>
      <c r="L2931" s="2">
        <v>629.76</v>
      </c>
      <c r="M2931">
        <v>2030</v>
      </c>
      <c r="N2931">
        <v>1</v>
      </c>
      <c r="O2931" t="s">
        <v>176</v>
      </c>
      <c r="P2931" s="2">
        <v>874.66</v>
      </c>
      <c r="Q2931" s="2">
        <v>244.9</v>
      </c>
      <c r="R2931" t="s">
        <v>66</v>
      </c>
      <c r="S2931">
        <v>1</v>
      </c>
      <c r="T2931">
        <v>0</v>
      </c>
      <c r="U2931">
        <f>IF(AND(OR(Dashboard!$D$4="Semua",D2931=Dashboard!$D$4),OR(Dashboard!$H$4="Semua",E2931=Dashboard!$H$4)),1,0)</f>
        <v>1</v>
      </c>
      <c r="V2931">
        <f>IF(U2931=1,IF(COUNTIFS($C$2:C2931,C2931,$U$2:U2931,1)=1,1,0),0)</f>
        <v>0</v>
      </c>
    </row>
    <row r="2932" spans="1:22" x14ac:dyDescent="0.35">
      <c r="A2932">
        <v>12931</v>
      </c>
      <c r="B2932" s="1">
        <v>47492</v>
      </c>
      <c r="C2932">
        <v>1993</v>
      </c>
      <c r="D2932" t="s">
        <v>67</v>
      </c>
      <c r="E2932" t="s">
        <v>74</v>
      </c>
      <c r="F2932">
        <v>4</v>
      </c>
      <c r="G2932" s="2">
        <v>467.51</v>
      </c>
      <c r="H2932">
        <v>0.08</v>
      </c>
      <c r="I2932" t="s">
        <v>68</v>
      </c>
      <c r="J2932">
        <v>10</v>
      </c>
      <c r="K2932">
        <v>4.7</v>
      </c>
      <c r="L2932" s="2">
        <v>1720.44</v>
      </c>
      <c r="M2932">
        <v>2030</v>
      </c>
      <c r="N2932">
        <v>1</v>
      </c>
      <c r="O2932" t="s">
        <v>176</v>
      </c>
      <c r="P2932" s="2">
        <v>1870.04</v>
      </c>
      <c r="Q2932" s="2">
        <v>149.6</v>
      </c>
      <c r="R2932" t="s">
        <v>69</v>
      </c>
      <c r="S2932">
        <v>1</v>
      </c>
      <c r="T2932">
        <v>0</v>
      </c>
      <c r="U2932">
        <f>IF(AND(OR(Dashboard!$D$4="Semua",D2932=Dashboard!$D$4),OR(Dashboard!$H$4="Semua",E2932=Dashboard!$H$4)),1,0)</f>
        <v>1</v>
      </c>
      <c r="V2932">
        <f>IF(U2932=1,IF(COUNTIFS($C$2:C2932,C2932,$U$2:U2932,1)=1,1,0),0)</f>
        <v>0</v>
      </c>
    </row>
    <row r="2933" spans="1:22" x14ac:dyDescent="0.35">
      <c r="A2933">
        <v>12932</v>
      </c>
      <c r="B2933" s="1">
        <v>47493</v>
      </c>
      <c r="C2933">
        <v>1303</v>
      </c>
      <c r="D2933" t="s">
        <v>67</v>
      </c>
      <c r="E2933" t="s">
        <v>63</v>
      </c>
      <c r="F2933">
        <v>5</v>
      </c>
      <c r="G2933" s="2">
        <v>102.64</v>
      </c>
      <c r="H2933">
        <v>0.19</v>
      </c>
      <c r="I2933" t="s">
        <v>64</v>
      </c>
      <c r="J2933">
        <v>4</v>
      </c>
      <c r="K2933">
        <v>3.4</v>
      </c>
      <c r="L2933" s="2">
        <v>415.69</v>
      </c>
      <c r="M2933">
        <v>2030</v>
      </c>
      <c r="N2933">
        <v>1</v>
      </c>
      <c r="O2933" t="s">
        <v>176</v>
      </c>
      <c r="P2933" s="2">
        <v>513.20000000000005</v>
      </c>
      <c r="Q2933" s="2">
        <v>97.51</v>
      </c>
      <c r="R2933" t="s">
        <v>76</v>
      </c>
      <c r="S2933">
        <v>1</v>
      </c>
      <c r="T2933">
        <v>0</v>
      </c>
      <c r="U2933">
        <f>IF(AND(OR(Dashboard!$D$4="Semua",D2933=Dashboard!$D$4),OR(Dashboard!$H$4="Semua",E2933=Dashboard!$H$4)),1,0)</f>
        <v>1</v>
      </c>
      <c r="V2933">
        <f>IF(U2933=1,IF(COUNTIFS($C$2:C2933,C2933,$U$2:U2933,1)=1,1,0),0)</f>
        <v>0</v>
      </c>
    </row>
    <row r="2934" spans="1:22" x14ac:dyDescent="0.35">
      <c r="A2934">
        <v>12933</v>
      </c>
      <c r="B2934" s="1">
        <v>47494</v>
      </c>
      <c r="C2934">
        <v>1292</v>
      </c>
      <c r="D2934" t="s">
        <v>73</v>
      </c>
      <c r="E2934" t="s">
        <v>78</v>
      </c>
      <c r="F2934">
        <v>1</v>
      </c>
      <c r="G2934" s="2">
        <v>274.83</v>
      </c>
      <c r="H2934">
        <v>0.08</v>
      </c>
      <c r="I2934" t="s">
        <v>68</v>
      </c>
      <c r="J2934">
        <v>7</v>
      </c>
      <c r="K2934">
        <v>1.2</v>
      </c>
      <c r="L2934" s="2">
        <v>252.84</v>
      </c>
      <c r="M2934">
        <v>2030</v>
      </c>
      <c r="N2934">
        <v>1</v>
      </c>
      <c r="O2934" t="s">
        <v>176</v>
      </c>
      <c r="P2934" s="2">
        <v>274.83</v>
      </c>
      <c r="Q2934" s="2">
        <v>21.99</v>
      </c>
      <c r="R2934" t="s">
        <v>69</v>
      </c>
      <c r="S2934">
        <v>1</v>
      </c>
      <c r="T2934">
        <v>0</v>
      </c>
      <c r="U2934">
        <f>IF(AND(OR(Dashboard!$D$4="Semua",D2934=Dashboard!$D$4),OR(Dashboard!$H$4="Semua",E2934=Dashboard!$H$4)),1,0)</f>
        <v>1</v>
      </c>
      <c r="V2934">
        <f>IF(U2934=1,IF(COUNTIFS($C$2:C2934,C2934,$U$2:U2934,1)=1,1,0),0)</f>
        <v>0</v>
      </c>
    </row>
    <row r="2935" spans="1:22" x14ac:dyDescent="0.35">
      <c r="A2935">
        <v>12934</v>
      </c>
      <c r="B2935" s="1">
        <v>47495</v>
      </c>
      <c r="C2935">
        <v>1974</v>
      </c>
      <c r="D2935" t="s">
        <v>73</v>
      </c>
      <c r="E2935" t="s">
        <v>63</v>
      </c>
      <c r="F2935">
        <v>5</v>
      </c>
      <c r="G2935" s="2">
        <v>118.46</v>
      </c>
      <c r="H2935">
        <v>0.09</v>
      </c>
      <c r="I2935" t="s">
        <v>68</v>
      </c>
      <c r="J2935">
        <v>3</v>
      </c>
      <c r="K2935">
        <v>3.5</v>
      </c>
      <c r="L2935" s="2">
        <v>538.99</v>
      </c>
      <c r="M2935">
        <v>2030</v>
      </c>
      <c r="N2935">
        <v>1</v>
      </c>
      <c r="O2935" t="s">
        <v>176</v>
      </c>
      <c r="P2935" s="2">
        <v>592.29999999999995</v>
      </c>
      <c r="Q2935" s="2">
        <v>53.31</v>
      </c>
      <c r="R2935" t="s">
        <v>69</v>
      </c>
      <c r="S2935">
        <v>1</v>
      </c>
      <c r="T2935">
        <v>0</v>
      </c>
      <c r="U2935">
        <f>IF(AND(OR(Dashboard!$D$4="Semua",D2935=Dashboard!$D$4),OR(Dashboard!$H$4="Semua",E2935=Dashboard!$H$4)),1,0)</f>
        <v>1</v>
      </c>
      <c r="V2935">
        <f>IF(U2935=1,IF(COUNTIFS($C$2:C2935,C2935,$U$2:U2935,1)=1,1,0),0)</f>
        <v>0</v>
      </c>
    </row>
    <row r="2936" spans="1:22" x14ac:dyDescent="0.35">
      <c r="A2936">
        <v>12935</v>
      </c>
      <c r="B2936" s="1">
        <v>47496</v>
      </c>
      <c r="C2936">
        <v>1299</v>
      </c>
      <c r="D2936" t="s">
        <v>67</v>
      </c>
      <c r="E2936" t="s">
        <v>74</v>
      </c>
      <c r="F2936">
        <v>6</v>
      </c>
      <c r="G2936" s="2">
        <v>402.34</v>
      </c>
      <c r="H2936">
        <v>0.21</v>
      </c>
      <c r="I2936" t="s">
        <v>71</v>
      </c>
      <c r="J2936">
        <v>6</v>
      </c>
      <c r="K2936">
        <v>1.4</v>
      </c>
      <c r="L2936" s="2">
        <v>1907.09</v>
      </c>
      <c r="M2936">
        <v>2030</v>
      </c>
      <c r="N2936">
        <v>1</v>
      </c>
      <c r="O2936" t="s">
        <v>176</v>
      </c>
      <c r="P2936" s="2">
        <v>2414.04</v>
      </c>
      <c r="Q2936" s="2">
        <v>506.95</v>
      </c>
      <c r="R2936" t="s">
        <v>77</v>
      </c>
      <c r="S2936">
        <v>1</v>
      </c>
      <c r="T2936">
        <v>0</v>
      </c>
      <c r="U2936">
        <f>IF(AND(OR(Dashboard!$D$4="Semua",D2936=Dashboard!$D$4),OR(Dashboard!$H$4="Semua",E2936=Dashboard!$H$4)),1,0)</f>
        <v>1</v>
      </c>
      <c r="V2936">
        <f>IF(U2936=1,IF(COUNTIFS($C$2:C2936,C2936,$U$2:U2936,1)=1,1,0),0)</f>
        <v>0</v>
      </c>
    </row>
    <row r="2937" spans="1:22" x14ac:dyDescent="0.35">
      <c r="A2937">
        <v>12936</v>
      </c>
      <c r="B2937" s="1">
        <v>47497</v>
      </c>
      <c r="C2937">
        <v>1739</v>
      </c>
      <c r="D2937" t="s">
        <v>73</v>
      </c>
      <c r="E2937" t="s">
        <v>63</v>
      </c>
      <c r="F2937">
        <v>7</v>
      </c>
      <c r="G2937" s="2">
        <v>107.4</v>
      </c>
      <c r="H2937">
        <v>0.01</v>
      </c>
      <c r="I2937" t="s">
        <v>71</v>
      </c>
      <c r="J2937">
        <v>7</v>
      </c>
      <c r="K2937">
        <v>1.6</v>
      </c>
      <c r="L2937" s="2">
        <v>744.28</v>
      </c>
      <c r="M2937">
        <v>2030</v>
      </c>
      <c r="N2937">
        <v>1</v>
      </c>
      <c r="O2937" t="s">
        <v>176</v>
      </c>
      <c r="P2937" s="2">
        <v>751.8</v>
      </c>
      <c r="Q2937" s="2">
        <v>7.52</v>
      </c>
      <c r="R2937" t="s">
        <v>75</v>
      </c>
      <c r="S2937">
        <v>1</v>
      </c>
      <c r="T2937">
        <v>0</v>
      </c>
      <c r="U2937">
        <f>IF(AND(OR(Dashboard!$D$4="Semua",D2937=Dashboard!$D$4),OR(Dashboard!$H$4="Semua",E2937=Dashboard!$H$4)),1,0)</f>
        <v>1</v>
      </c>
      <c r="V2937">
        <f>IF(U2937=1,IF(COUNTIFS($C$2:C2937,C2937,$U$2:U2937,1)=1,1,0),0)</f>
        <v>0</v>
      </c>
    </row>
    <row r="2938" spans="1:22" x14ac:dyDescent="0.35">
      <c r="A2938">
        <v>12937</v>
      </c>
      <c r="B2938" s="1">
        <v>47498</v>
      </c>
      <c r="C2938">
        <v>1782</v>
      </c>
      <c r="D2938" t="s">
        <v>73</v>
      </c>
      <c r="E2938" t="s">
        <v>78</v>
      </c>
      <c r="F2938">
        <v>3</v>
      </c>
      <c r="G2938" s="2">
        <v>543.94000000000005</v>
      </c>
      <c r="H2938">
        <v>0.34</v>
      </c>
      <c r="I2938" t="s">
        <v>71</v>
      </c>
      <c r="J2938">
        <v>7</v>
      </c>
      <c r="K2938">
        <v>1.8</v>
      </c>
      <c r="L2938" s="2">
        <v>1077</v>
      </c>
      <c r="M2938">
        <v>2030</v>
      </c>
      <c r="N2938">
        <v>1</v>
      </c>
      <c r="O2938" t="s">
        <v>176</v>
      </c>
      <c r="P2938" s="2">
        <v>1631.82</v>
      </c>
      <c r="Q2938" s="2">
        <v>554.82000000000005</v>
      </c>
      <c r="R2938" t="s">
        <v>72</v>
      </c>
      <c r="S2938">
        <v>1</v>
      </c>
      <c r="T2938">
        <v>0</v>
      </c>
      <c r="U2938">
        <f>IF(AND(OR(Dashboard!$D$4="Semua",D2938=Dashboard!$D$4),OR(Dashboard!$H$4="Semua",E2938=Dashboard!$H$4)),1,0)</f>
        <v>1</v>
      </c>
      <c r="V2938">
        <f>IF(U2938=1,IF(COUNTIFS($C$2:C2938,C2938,$U$2:U2938,1)=1,1,0),0)</f>
        <v>0</v>
      </c>
    </row>
    <row r="2939" spans="1:22" x14ac:dyDescent="0.35">
      <c r="A2939">
        <v>12938</v>
      </c>
      <c r="B2939" s="1">
        <v>47499</v>
      </c>
      <c r="C2939">
        <v>1042</v>
      </c>
      <c r="D2939" t="s">
        <v>67</v>
      </c>
      <c r="E2939" t="s">
        <v>63</v>
      </c>
      <c r="F2939">
        <v>4</v>
      </c>
      <c r="G2939" s="2">
        <v>149.91999999999999</v>
      </c>
      <c r="H2939">
        <v>0.32</v>
      </c>
      <c r="I2939" t="s">
        <v>68</v>
      </c>
      <c r="J2939">
        <v>5</v>
      </c>
      <c r="K2939">
        <v>2.5</v>
      </c>
      <c r="L2939" s="2">
        <v>407.78</v>
      </c>
      <c r="M2939">
        <v>2030</v>
      </c>
      <c r="N2939">
        <v>1</v>
      </c>
      <c r="O2939" t="s">
        <v>176</v>
      </c>
      <c r="P2939" s="2">
        <v>599.67999999999995</v>
      </c>
      <c r="Q2939" s="2">
        <v>191.9</v>
      </c>
      <c r="R2939" t="s">
        <v>72</v>
      </c>
      <c r="S2939">
        <v>1</v>
      </c>
      <c r="T2939">
        <v>0</v>
      </c>
      <c r="U2939">
        <f>IF(AND(OR(Dashboard!$D$4="Semua",D2939=Dashboard!$D$4),OR(Dashboard!$H$4="Semua",E2939=Dashboard!$H$4)),1,0)</f>
        <v>1</v>
      </c>
      <c r="V2939">
        <f>IF(U2939=1,IF(COUNTIFS($C$2:C2939,C2939,$U$2:U2939,1)=1,1,0),0)</f>
        <v>0</v>
      </c>
    </row>
    <row r="2940" spans="1:22" x14ac:dyDescent="0.35">
      <c r="A2940">
        <v>12939</v>
      </c>
      <c r="B2940" s="1">
        <v>47500</v>
      </c>
      <c r="C2940">
        <v>1943</v>
      </c>
      <c r="D2940" t="s">
        <v>73</v>
      </c>
      <c r="E2940" t="s">
        <v>78</v>
      </c>
      <c r="F2940">
        <v>3</v>
      </c>
      <c r="G2940" s="2">
        <v>185.47</v>
      </c>
      <c r="H2940">
        <v>0.13</v>
      </c>
      <c r="I2940" t="s">
        <v>68</v>
      </c>
      <c r="J2940">
        <v>6</v>
      </c>
      <c r="K2940">
        <v>3.4</v>
      </c>
      <c r="L2940" s="2">
        <v>484.08</v>
      </c>
      <c r="M2940">
        <v>2030</v>
      </c>
      <c r="N2940">
        <v>1</v>
      </c>
      <c r="O2940" t="s">
        <v>176</v>
      </c>
      <c r="P2940" s="2">
        <v>556.41</v>
      </c>
      <c r="Q2940" s="2">
        <v>72.33</v>
      </c>
      <c r="R2940" t="s">
        <v>79</v>
      </c>
      <c r="S2940">
        <v>1</v>
      </c>
      <c r="T2940">
        <v>0</v>
      </c>
      <c r="U2940">
        <f>IF(AND(OR(Dashboard!$D$4="Semua",D2940=Dashboard!$D$4),OR(Dashboard!$H$4="Semua",E2940=Dashboard!$H$4)),1,0)</f>
        <v>1</v>
      </c>
      <c r="V2940">
        <f>IF(U2940=1,IF(COUNTIFS($C$2:C2940,C2940,$U$2:U2940,1)=1,1,0),0)</f>
        <v>0</v>
      </c>
    </row>
    <row r="2941" spans="1:22" x14ac:dyDescent="0.35">
      <c r="A2941">
        <v>12940</v>
      </c>
      <c r="B2941" s="1">
        <v>47501</v>
      </c>
      <c r="C2941">
        <v>1342</v>
      </c>
      <c r="D2941" t="s">
        <v>73</v>
      </c>
      <c r="E2941" t="s">
        <v>74</v>
      </c>
      <c r="F2941">
        <v>1</v>
      </c>
      <c r="G2941" s="2">
        <v>512.78</v>
      </c>
      <c r="H2941">
        <v>0.18</v>
      </c>
      <c r="I2941" t="s">
        <v>71</v>
      </c>
      <c r="J2941">
        <v>3</v>
      </c>
      <c r="K2941">
        <v>2.2999999999999998</v>
      </c>
      <c r="L2941" s="2">
        <v>420.48</v>
      </c>
      <c r="M2941">
        <v>2030</v>
      </c>
      <c r="N2941">
        <v>1</v>
      </c>
      <c r="O2941" t="s">
        <v>176</v>
      </c>
      <c r="P2941" s="2">
        <v>512.78</v>
      </c>
      <c r="Q2941" s="2">
        <v>92.3</v>
      </c>
      <c r="R2941" t="s">
        <v>76</v>
      </c>
      <c r="S2941">
        <v>1</v>
      </c>
      <c r="T2941">
        <v>0</v>
      </c>
      <c r="U2941">
        <f>IF(AND(OR(Dashboard!$D$4="Semua",D2941=Dashboard!$D$4),OR(Dashboard!$H$4="Semua",E2941=Dashboard!$H$4)),1,0)</f>
        <v>1</v>
      </c>
      <c r="V2941">
        <f>IF(U2941=1,IF(COUNTIFS($C$2:C2941,C2941,$U$2:U2941,1)=1,1,0),0)</f>
        <v>1</v>
      </c>
    </row>
    <row r="2942" spans="1:22" x14ac:dyDescent="0.35">
      <c r="A2942">
        <v>12941</v>
      </c>
      <c r="B2942" s="1">
        <v>47502</v>
      </c>
      <c r="C2942">
        <v>1325</v>
      </c>
      <c r="D2942" t="s">
        <v>67</v>
      </c>
      <c r="E2942" t="s">
        <v>63</v>
      </c>
      <c r="F2942">
        <v>1</v>
      </c>
      <c r="G2942" s="2">
        <v>283.2</v>
      </c>
      <c r="H2942">
        <v>0.16</v>
      </c>
      <c r="I2942" t="s">
        <v>68</v>
      </c>
      <c r="J2942">
        <v>4</v>
      </c>
      <c r="K2942">
        <v>2.8</v>
      </c>
      <c r="L2942" s="2">
        <v>237.89</v>
      </c>
      <c r="M2942">
        <v>2030</v>
      </c>
      <c r="N2942">
        <v>1</v>
      </c>
      <c r="O2942" t="s">
        <v>176</v>
      </c>
      <c r="P2942" s="2">
        <v>283.2</v>
      </c>
      <c r="Q2942" s="2">
        <v>45.31</v>
      </c>
      <c r="R2942" t="s">
        <v>76</v>
      </c>
      <c r="S2942">
        <v>1</v>
      </c>
      <c r="T2942">
        <v>0</v>
      </c>
      <c r="U2942">
        <f>IF(AND(OR(Dashboard!$D$4="Semua",D2942=Dashboard!$D$4),OR(Dashboard!$H$4="Semua",E2942=Dashboard!$H$4)),1,0)</f>
        <v>1</v>
      </c>
      <c r="V2942">
        <f>IF(U2942=1,IF(COUNTIFS($C$2:C2942,C2942,$U$2:U2942,1)=1,1,0),0)</f>
        <v>0</v>
      </c>
    </row>
    <row r="2943" spans="1:22" x14ac:dyDescent="0.35">
      <c r="A2943">
        <v>12942</v>
      </c>
      <c r="B2943" s="1">
        <v>47503</v>
      </c>
      <c r="C2943">
        <v>1813</v>
      </c>
      <c r="D2943" t="s">
        <v>73</v>
      </c>
      <c r="E2943" t="s">
        <v>78</v>
      </c>
      <c r="F2943">
        <v>6</v>
      </c>
      <c r="G2943" s="2">
        <v>29.04</v>
      </c>
      <c r="H2943">
        <v>0.31</v>
      </c>
      <c r="I2943" t="s">
        <v>64</v>
      </c>
      <c r="J2943">
        <v>11</v>
      </c>
      <c r="K2943">
        <v>1.2</v>
      </c>
      <c r="L2943" s="2">
        <v>120.23</v>
      </c>
      <c r="M2943">
        <v>2030</v>
      </c>
      <c r="N2943">
        <v>1</v>
      </c>
      <c r="O2943" t="s">
        <v>176</v>
      </c>
      <c r="P2943" s="2">
        <v>174.24</v>
      </c>
      <c r="Q2943" s="2">
        <v>54.01</v>
      </c>
      <c r="R2943" t="s">
        <v>72</v>
      </c>
      <c r="S2943">
        <v>1</v>
      </c>
      <c r="T2943">
        <v>0</v>
      </c>
      <c r="U2943">
        <f>IF(AND(OR(Dashboard!$D$4="Semua",D2943=Dashboard!$D$4),OR(Dashboard!$H$4="Semua",E2943=Dashboard!$H$4)),1,0)</f>
        <v>1</v>
      </c>
      <c r="V2943">
        <f>IF(U2943=1,IF(COUNTIFS($C$2:C2943,C2943,$U$2:U2943,1)=1,1,0),0)</f>
        <v>0</v>
      </c>
    </row>
    <row r="2944" spans="1:22" x14ac:dyDescent="0.35">
      <c r="A2944">
        <v>12943</v>
      </c>
      <c r="B2944" s="1">
        <v>47504</v>
      </c>
      <c r="C2944">
        <v>1497</v>
      </c>
      <c r="D2944" t="s">
        <v>62</v>
      </c>
      <c r="E2944" t="s">
        <v>74</v>
      </c>
      <c r="F2944">
        <v>3</v>
      </c>
      <c r="G2944" s="2">
        <v>304.33</v>
      </c>
      <c r="H2944">
        <v>0.24</v>
      </c>
      <c r="I2944" t="s">
        <v>64</v>
      </c>
      <c r="J2944">
        <v>6</v>
      </c>
      <c r="K2944">
        <v>3.5</v>
      </c>
      <c r="L2944" s="2">
        <v>693.87</v>
      </c>
      <c r="M2944">
        <v>2030</v>
      </c>
      <c r="N2944">
        <v>1</v>
      </c>
      <c r="O2944" t="s">
        <v>176</v>
      </c>
      <c r="P2944" s="2">
        <v>912.99</v>
      </c>
      <c r="Q2944" s="2">
        <v>219.12</v>
      </c>
      <c r="R2944" t="s">
        <v>77</v>
      </c>
      <c r="S2944">
        <v>1</v>
      </c>
      <c r="T2944">
        <v>0</v>
      </c>
      <c r="U2944">
        <f>IF(AND(OR(Dashboard!$D$4="Semua",D2944=Dashboard!$D$4),OR(Dashboard!$H$4="Semua",E2944=Dashboard!$H$4)),1,0)</f>
        <v>1</v>
      </c>
      <c r="V2944">
        <f>IF(U2944=1,IF(COUNTIFS($C$2:C2944,C2944,$U$2:U2944,1)=1,1,0),0)</f>
        <v>0</v>
      </c>
    </row>
    <row r="2945" spans="1:22" x14ac:dyDescent="0.35">
      <c r="A2945">
        <v>12944</v>
      </c>
      <c r="B2945" s="1">
        <v>47505</v>
      </c>
      <c r="C2945">
        <v>1363</v>
      </c>
      <c r="D2945" t="s">
        <v>62</v>
      </c>
      <c r="E2945" t="s">
        <v>63</v>
      </c>
      <c r="F2945">
        <v>4</v>
      </c>
      <c r="G2945" s="2">
        <v>64.459999999999994</v>
      </c>
      <c r="H2945">
        <v>0.1</v>
      </c>
      <c r="I2945" t="s">
        <v>71</v>
      </c>
      <c r="J2945">
        <v>3</v>
      </c>
      <c r="K2945">
        <v>3.6</v>
      </c>
      <c r="L2945" s="2">
        <v>232.06</v>
      </c>
      <c r="M2945">
        <v>2030</v>
      </c>
      <c r="N2945">
        <v>1</v>
      </c>
      <c r="O2945" t="s">
        <v>176</v>
      </c>
      <c r="P2945" s="2">
        <v>257.83999999999997</v>
      </c>
      <c r="Q2945" s="2">
        <v>25.78</v>
      </c>
      <c r="R2945" t="s">
        <v>69</v>
      </c>
      <c r="S2945">
        <v>1</v>
      </c>
      <c r="T2945">
        <v>0</v>
      </c>
      <c r="U2945">
        <f>IF(AND(OR(Dashboard!$D$4="Semua",D2945=Dashboard!$D$4),OR(Dashboard!$H$4="Semua",E2945=Dashboard!$H$4)),1,0)</f>
        <v>1</v>
      </c>
      <c r="V2945">
        <f>IF(U2945=1,IF(COUNTIFS($C$2:C2945,C2945,$U$2:U2945,1)=1,1,0),0)</f>
        <v>0</v>
      </c>
    </row>
    <row r="2946" spans="1:22" x14ac:dyDescent="0.35">
      <c r="A2946">
        <v>12945</v>
      </c>
      <c r="B2946" s="1">
        <v>47506</v>
      </c>
      <c r="C2946">
        <v>1890</v>
      </c>
      <c r="D2946" t="s">
        <v>80</v>
      </c>
      <c r="E2946" t="s">
        <v>74</v>
      </c>
      <c r="F2946">
        <v>1</v>
      </c>
      <c r="G2946" s="2">
        <v>591.42999999999995</v>
      </c>
      <c r="H2946">
        <v>0.16</v>
      </c>
      <c r="I2946" t="s">
        <v>68</v>
      </c>
      <c r="J2946">
        <v>7</v>
      </c>
      <c r="K2946">
        <v>1.4</v>
      </c>
      <c r="L2946" s="2">
        <v>496.8</v>
      </c>
      <c r="M2946">
        <v>2030</v>
      </c>
      <c r="N2946">
        <v>1</v>
      </c>
      <c r="O2946" t="s">
        <v>176</v>
      </c>
      <c r="P2946" s="2">
        <v>591.42999999999995</v>
      </c>
      <c r="Q2946" s="2">
        <v>94.63</v>
      </c>
      <c r="R2946" t="s">
        <v>76</v>
      </c>
      <c r="S2946">
        <v>1</v>
      </c>
      <c r="T2946">
        <v>0</v>
      </c>
      <c r="U2946">
        <f>IF(AND(OR(Dashboard!$D$4="Semua",D2946=Dashboard!$D$4),OR(Dashboard!$H$4="Semua",E2946=Dashboard!$H$4)),1,0)</f>
        <v>1</v>
      </c>
      <c r="V2946">
        <f>IF(U2946=1,IF(COUNTIFS($C$2:C2946,C2946,$U$2:U2946,1)=1,1,0),0)</f>
        <v>0</v>
      </c>
    </row>
    <row r="2947" spans="1:22" x14ac:dyDescent="0.35">
      <c r="A2947">
        <v>12946</v>
      </c>
      <c r="B2947" s="1">
        <v>47507</v>
      </c>
      <c r="C2947">
        <v>1426</v>
      </c>
      <c r="D2947" t="s">
        <v>73</v>
      </c>
      <c r="E2947" t="s">
        <v>78</v>
      </c>
      <c r="F2947">
        <v>1</v>
      </c>
      <c r="G2947" s="2">
        <v>359.05</v>
      </c>
      <c r="H2947">
        <v>0.15</v>
      </c>
      <c r="I2947" t="s">
        <v>64</v>
      </c>
      <c r="J2947">
        <v>3</v>
      </c>
      <c r="K2947">
        <v>4.0999999999999996</v>
      </c>
      <c r="L2947" s="2">
        <v>305.19</v>
      </c>
      <c r="M2947">
        <v>2030</v>
      </c>
      <c r="N2947">
        <v>1</v>
      </c>
      <c r="O2947" t="s">
        <v>176</v>
      </c>
      <c r="P2947" s="2">
        <v>359.05</v>
      </c>
      <c r="Q2947" s="2">
        <v>53.86</v>
      </c>
      <c r="R2947" t="s">
        <v>79</v>
      </c>
      <c r="S2947">
        <v>1</v>
      </c>
      <c r="T2947">
        <v>0</v>
      </c>
      <c r="U2947">
        <f>IF(AND(OR(Dashboard!$D$4="Semua",D2947=Dashboard!$D$4),OR(Dashboard!$H$4="Semua",E2947=Dashboard!$H$4)),1,0)</f>
        <v>1</v>
      </c>
      <c r="V2947">
        <f>IF(U2947=1,IF(COUNTIFS($C$2:C2947,C2947,$U$2:U2947,1)=1,1,0),0)</f>
        <v>0</v>
      </c>
    </row>
    <row r="2948" spans="1:22" x14ac:dyDescent="0.35">
      <c r="A2948">
        <v>12947</v>
      </c>
      <c r="B2948" s="1">
        <v>47508</v>
      </c>
      <c r="C2948">
        <v>1020</v>
      </c>
      <c r="D2948" t="s">
        <v>80</v>
      </c>
      <c r="E2948" t="s">
        <v>63</v>
      </c>
      <c r="F2948">
        <v>5</v>
      </c>
      <c r="G2948" s="2">
        <v>165.07</v>
      </c>
      <c r="H2948">
        <v>0.34</v>
      </c>
      <c r="I2948" t="s">
        <v>68</v>
      </c>
      <c r="J2948">
        <v>9</v>
      </c>
      <c r="K2948">
        <v>3.6</v>
      </c>
      <c r="L2948" s="2">
        <v>544.73</v>
      </c>
      <c r="M2948">
        <v>2030</v>
      </c>
      <c r="N2948">
        <v>1</v>
      </c>
      <c r="O2948" t="s">
        <v>176</v>
      </c>
      <c r="P2948" s="2">
        <v>825.35</v>
      </c>
      <c r="Q2948" s="2">
        <v>280.62</v>
      </c>
      <c r="R2948" t="s">
        <v>72</v>
      </c>
      <c r="S2948">
        <v>1</v>
      </c>
      <c r="T2948">
        <v>0</v>
      </c>
      <c r="U2948">
        <f>IF(AND(OR(Dashboard!$D$4="Semua",D2948=Dashboard!$D$4),OR(Dashboard!$H$4="Semua",E2948=Dashboard!$H$4)),1,0)</f>
        <v>1</v>
      </c>
      <c r="V2948">
        <f>IF(U2948=1,IF(COUNTIFS($C$2:C2948,C2948,$U$2:U2948,1)=1,1,0),0)</f>
        <v>0</v>
      </c>
    </row>
    <row r="2949" spans="1:22" x14ac:dyDescent="0.35">
      <c r="A2949">
        <v>12948</v>
      </c>
      <c r="B2949" s="1">
        <v>47509</v>
      </c>
      <c r="C2949">
        <v>1406</v>
      </c>
      <c r="D2949" t="s">
        <v>80</v>
      </c>
      <c r="E2949" t="s">
        <v>63</v>
      </c>
      <c r="F2949">
        <v>6</v>
      </c>
      <c r="G2949" s="2">
        <v>344.77</v>
      </c>
      <c r="H2949">
        <v>0.06</v>
      </c>
      <c r="I2949" t="s">
        <v>68</v>
      </c>
      <c r="J2949">
        <v>4</v>
      </c>
      <c r="K2949">
        <v>3</v>
      </c>
      <c r="L2949" s="2">
        <v>1944.5</v>
      </c>
      <c r="M2949">
        <v>2030</v>
      </c>
      <c r="N2949">
        <v>1</v>
      </c>
      <c r="O2949" t="s">
        <v>176</v>
      </c>
      <c r="P2949" s="2">
        <v>2068.62</v>
      </c>
      <c r="Q2949" s="2">
        <v>124.12</v>
      </c>
      <c r="R2949" t="s">
        <v>69</v>
      </c>
      <c r="S2949">
        <v>1</v>
      </c>
      <c r="T2949">
        <v>0</v>
      </c>
      <c r="U2949">
        <f>IF(AND(OR(Dashboard!$D$4="Semua",D2949=Dashboard!$D$4),OR(Dashboard!$H$4="Semua",E2949=Dashboard!$H$4)),1,0)</f>
        <v>1</v>
      </c>
      <c r="V2949">
        <f>IF(U2949=1,IF(COUNTIFS($C$2:C2949,C2949,$U$2:U2949,1)=1,1,0),0)</f>
        <v>0</v>
      </c>
    </row>
    <row r="2950" spans="1:22" x14ac:dyDescent="0.35">
      <c r="A2950">
        <v>12949</v>
      </c>
      <c r="B2950" s="1">
        <v>47510</v>
      </c>
      <c r="C2950">
        <v>1618</v>
      </c>
      <c r="D2950" t="s">
        <v>80</v>
      </c>
      <c r="E2950" t="s">
        <v>63</v>
      </c>
      <c r="F2950">
        <v>7</v>
      </c>
      <c r="G2950" s="2">
        <v>59.97</v>
      </c>
      <c r="H2950">
        <v>0.03</v>
      </c>
      <c r="I2950" t="s">
        <v>68</v>
      </c>
      <c r="J2950">
        <v>2</v>
      </c>
      <c r="K2950">
        <v>3.2</v>
      </c>
      <c r="L2950" s="2">
        <v>407.2</v>
      </c>
      <c r="M2950">
        <v>2030</v>
      </c>
      <c r="N2950">
        <v>1</v>
      </c>
      <c r="O2950" t="s">
        <v>176</v>
      </c>
      <c r="P2950" s="2">
        <v>419.79</v>
      </c>
      <c r="Q2950" s="2">
        <v>12.59</v>
      </c>
      <c r="R2950" t="s">
        <v>75</v>
      </c>
      <c r="S2950">
        <v>1</v>
      </c>
      <c r="T2950">
        <v>0</v>
      </c>
      <c r="U2950">
        <f>IF(AND(OR(Dashboard!$D$4="Semua",D2950=Dashboard!$D$4),OR(Dashboard!$H$4="Semua",E2950=Dashboard!$H$4)),1,0)</f>
        <v>1</v>
      </c>
      <c r="V2950">
        <f>IF(U2950=1,IF(COUNTIFS($C$2:C2950,C2950,$U$2:U2950,1)=1,1,0),0)</f>
        <v>1</v>
      </c>
    </row>
    <row r="2951" spans="1:22" x14ac:dyDescent="0.35">
      <c r="A2951">
        <v>12950</v>
      </c>
      <c r="B2951" s="1">
        <v>47511</v>
      </c>
      <c r="C2951">
        <v>1335</v>
      </c>
      <c r="D2951" t="s">
        <v>73</v>
      </c>
      <c r="E2951" t="s">
        <v>74</v>
      </c>
      <c r="F2951">
        <v>2</v>
      </c>
      <c r="G2951" s="2">
        <v>482.94</v>
      </c>
      <c r="H2951">
        <v>0.31</v>
      </c>
      <c r="I2951" t="s">
        <v>68</v>
      </c>
      <c r="J2951">
        <v>6</v>
      </c>
      <c r="K2951">
        <v>3</v>
      </c>
      <c r="L2951" s="2">
        <v>666.46</v>
      </c>
      <c r="M2951">
        <v>2030</v>
      </c>
      <c r="N2951">
        <v>1</v>
      </c>
      <c r="O2951" t="s">
        <v>176</v>
      </c>
      <c r="P2951" s="2">
        <v>965.88</v>
      </c>
      <c r="Q2951" s="2">
        <v>299.42</v>
      </c>
      <c r="R2951" t="s">
        <v>72</v>
      </c>
      <c r="S2951">
        <v>1</v>
      </c>
      <c r="T2951">
        <v>0</v>
      </c>
      <c r="U2951">
        <f>IF(AND(OR(Dashboard!$D$4="Semua",D2951=Dashboard!$D$4),OR(Dashboard!$H$4="Semua",E2951=Dashboard!$H$4)),1,0)</f>
        <v>1</v>
      </c>
      <c r="V2951">
        <f>IF(U2951=1,IF(COUNTIFS($C$2:C2951,C2951,$U$2:U2951,1)=1,1,0),0)</f>
        <v>0</v>
      </c>
    </row>
    <row r="2952" spans="1:22" x14ac:dyDescent="0.35">
      <c r="A2952">
        <v>12951</v>
      </c>
      <c r="B2952" s="1">
        <v>47512</v>
      </c>
      <c r="C2952">
        <v>1814</v>
      </c>
      <c r="D2952" t="s">
        <v>67</v>
      </c>
      <c r="E2952" t="s">
        <v>74</v>
      </c>
      <c r="F2952">
        <v>7</v>
      </c>
      <c r="G2952" s="2">
        <v>556.32000000000005</v>
      </c>
      <c r="H2952">
        <v>0.31</v>
      </c>
      <c r="I2952" t="s">
        <v>64</v>
      </c>
      <c r="J2952">
        <v>9</v>
      </c>
      <c r="K2952">
        <v>1.2</v>
      </c>
      <c r="L2952" s="2">
        <v>2687.03</v>
      </c>
      <c r="M2952">
        <v>2030</v>
      </c>
      <c r="N2952">
        <v>1</v>
      </c>
      <c r="O2952" t="s">
        <v>176</v>
      </c>
      <c r="P2952" s="2">
        <v>3894.24</v>
      </c>
      <c r="Q2952" s="2">
        <v>1207.21</v>
      </c>
      <c r="R2952" t="s">
        <v>72</v>
      </c>
      <c r="S2952">
        <v>1</v>
      </c>
      <c r="T2952">
        <v>0</v>
      </c>
      <c r="U2952">
        <f>IF(AND(OR(Dashboard!$D$4="Semua",D2952=Dashboard!$D$4),OR(Dashboard!$H$4="Semua",E2952=Dashboard!$H$4)),1,0)</f>
        <v>1</v>
      </c>
      <c r="V2952">
        <f>IF(U2952=1,IF(COUNTIFS($C$2:C2952,C2952,$U$2:U2952,1)=1,1,0),0)</f>
        <v>0</v>
      </c>
    </row>
    <row r="2953" spans="1:22" x14ac:dyDescent="0.35">
      <c r="A2953">
        <v>12952</v>
      </c>
      <c r="B2953" s="1">
        <v>47513</v>
      </c>
      <c r="C2953">
        <v>1116</v>
      </c>
      <c r="D2953" t="s">
        <v>80</v>
      </c>
      <c r="E2953" t="s">
        <v>78</v>
      </c>
      <c r="F2953">
        <v>7</v>
      </c>
      <c r="G2953" s="2">
        <v>526.54999999999995</v>
      </c>
      <c r="H2953">
        <v>0.31</v>
      </c>
      <c r="I2953" t="s">
        <v>71</v>
      </c>
      <c r="J2953">
        <v>10</v>
      </c>
      <c r="K2953">
        <v>3.9</v>
      </c>
      <c r="L2953" s="2">
        <v>2543.2399999999998</v>
      </c>
      <c r="M2953">
        <v>2030</v>
      </c>
      <c r="N2953">
        <v>1</v>
      </c>
      <c r="O2953" t="s">
        <v>176</v>
      </c>
      <c r="P2953" s="2">
        <v>3685.85</v>
      </c>
      <c r="Q2953" s="2">
        <v>1142.6099999999999</v>
      </c>
      <c r="R2953" t="s">
        <v>72</v>
      </c>
      <c r="S2953">
        <v>1</v>
      </c>
      <c r="T2953">
        <v>0</v>
      </c>
      <c r="U2953">
        <f>IF(AND(OR(Dashboard!$D$4="Semua",D2953=Dashboard!$D$4),OR(Dashboard!$H$4="Semua",E2953=Dashboard!$H$4)),1,0)</f>
        <v>1</v>
      </c>
      <c r="V2953">
        <f>IF(U2953=1,IF(COUNTIFS($C$2:C2953,C2953,$U$2:U2953,1)=1,1,0),0)</f>
        <v>0</v>
      </c>
    </row>
    <row r="2954" spans="1:22" x14ac:dyDescent="0.35">
      <c r="A2954">
        <v>12953</v>
      </c>
      <c r="B2954" s="1">
        <v>47514</v>
      </c>
      <c r="C2954">
        <v>1123</v>
      </c>
      <c r="D2954" t="s">
        <v>67</v>
      </c>
      <c r="E2954" t="s">
        <v>70</v>
      </c>
      <c r="F2954">
        <v>1</v>
      </c>
      <c r="G2954" s="2">
        <v>214.93</v>
      </c>
      <c r="H2954">
        <v>0.18</v>
      </c>
      <c r="I2954" t="s">
        <v>64</v>
      </c>
      <c r="J2954">
        <v>10</v>
      </c>
      <c r="K2954">
        <v>3</v>
      </c>
      <c r="L2954" s="2">
        <v>176.24</v>
      </c>
      <c r="M2954">
        <v>2030</v>
      </c>
      <c r="N2954">
        <v>1</v>
      </c>
      <c r="O2954" t="s">
        <v>176</v>
      </c>
      <c r="P2954" s="2">
        <v>214.93</v>
      </c>
      <c r="Q2954" s="2">
        <v>38.69</v>
      </c>
      <c r="R2954" t="s">
        <v>76</v>
      </c>
      <c r="S2954">
        <v>1</v>
      </c>
      <c r="T2954">
        <v>0</v>
      </c>
      <c r="U2954">
        <f>IF(AND(OR(Dashboard!$D$4="Semua",D2954=Dashboard!$D$4),OR(Dashboard!$H$4="Semua",E2954=Dashboard!$H$4)),1,0)</f>
        <v>1</v>
      </c>
      <c r="V2954">
        <f>IF(U2954=1,IF(COUNTIFS($C$2:C2954,C2954,$U$2:U2954,1)=1,1,0),0)</f>
        <v>0</v>
      </c>
    </row>
    <row r="2955" spans="1:22" x14ac:dyDescent="0.35">
      <c r="A2955">
        <v>12954</v>
      </c>
      <c r="B2955" s="1">
        <v>47515</v>
      </c>
      <c r="C2955">
        <v>1398</v>
      </c>
      <c r="D2955" t="s">
        <v>67</v>
      </c>
      <c r="E2955" t="s">
        <v>63</v>
      </c>
      <c r="F2955">
        <v>4</v>
      </c>
      <c r="G2955" s="2">
        <v>205.57</v>
      </c>
      <c r="H2955">
        <v>0.23</v>
      </c>
      <c r="I2955" t="s">
        <v>68</v>
      </c>
      <c r="J2955">
        <v>2</v>
      </c>
      <c r="K2955">
        <v>1.7</v>
      </c>
      <c r="L2955" s="2">
        <v>633.16</v>
      </c>
      <c r="M2955">
        <v>2030</v>
      </c>
      <c r="N2955">
        <v>2</v>
      </c>
      <c r="O2955" t="s">
        <v>177</v>
      </c>
      <c r="P2955" s="2">
        <v>822.28</v>
      </c>
      <c r="Q2955" s="2">
        <v>189.12</v>
      </c>
      <c r="R2955" t="s">
        <v>77</v>
      </c>
      <c r="S2955">
        <v>1</v>
      </c>
      <c r="T2955">
        <v>0</v>
      </c>
      <c r="U2955">
        <f>IF(AND(OR(Dashboard!$D$4="Semua",D2955=Dashboard!$D$4),OR(Dashboard!$H$4="Semua",E2955=Dashboard!$H$4)),1,0)</f>
        <v>1</v>
      </c>
      <c r="V2955">
        <f>IF(U2955=1,IF(COUNTIFS($C$2:C2955,C2955,$U$2:U2955,1)=1,1,0),0)</f>
        <v>0</v>
      </c>
    </row>
    <row r="2956" spans="1:22" x14ac:dyDescent="0.35">
      <c r="A2956">
        <v>12955</v>
      </c>
      <c r="B2956" s="1">
        <v>47516</v>
      </c>
      <c r="C2956">
        <v>1792</v>
      </c>
      <c r="D2956" t="s">
        <v>67</v>
      </c>
      <c r="E2956" t="s">
        <v>63</v>
      </c>
      <c r="F2956">
        <v>4</v>
      </c>
      <c r="G2956" s="2">
        <v>35.53</v>
      </c>
      <c r="H2956">
        <v>0.2</v>
      </c>
      <c r="I2956" t="s">
        <v>71</v>
      </c>
      <c r="J2956">
        <v>4</v>
      </c>
      <c r="K2956">
        <v>3.7</v>
      </c>
      <c r="L2956" s="2">
        <v>113.7</v>
      </c>
      <c r="M2956">
        <v>2030</v>
      </c>
      <c r="N2956">
        <v>2</v>
      </c>
      <c r="O2956" t="s">
        <v>177</v>
      </c>
      <c r="P2956" s="2">
        <v>142.12</v>
      </c>
      <c r="Q2956" s="2">
        <v>28.42</v>
      </c>
      <c r="R2956" t="s">
        <v>76</v>
      </c>
      <c r="S2956">
        <v>1</v>
      </c>
      <c r="T2956">
        <v>0</v>
      </c>
      <c r="U2956">
        <f>IF(AND(OR(Dashboard!$D$4="Semua",D2956=Dashboard!$D$4),OR(Dashboard!$H$4="Semua",E2956=Dashboard!$H$4)),1,0)</f>
        <v>1</v>
      </c>
      <c r="V2956">
        <f>IF(U2956=1,IF(COUNTIFS($C$2:C2956,C2956,$U$2:U2956,1)=1,1,0),0)</f>
        <v>0</v>
      </c>
    </row>
    <row r="2957" spans="1:22" x14ac:dyDescent="0.35">
      <c r="A2957">
        <v>12956</v>
      </c>
      <c r="B2957" s="1">
        <v>47517</v>
      </c>
      <c r="C2957">
        <v>1803</v>
      </c>
      <c r="D2957" t="s">
        <v>67</v>
      </c>
      <c r="E2957" t="s">
        <v>78</v>
      </c>
      <c r="F2957">
        <v>5</v>
      </c>
      <c r="G2957" s="2">
        <v>396.07</v>
      </c>
      <c r="H2957">
        <v>0.02</v>
      </c>
      <c r="I2957" t="s">
        <v>64</v>
      </c>
      <c r="J2957">
        <v>5</v>
      </c>
      <c r="K2957">
        <v>3.8</v>
      </c>
      <c r="L2957" s="2">
        <v>1940.74</v>
      </c>
      <c r="M2957">
        <v>2030</v>
      </c>
      <c r="N2957">
        <v>2</v>
      </c>
      <c r="O2957" t="s">
        <v>177</v>
      </c>
      <c r="P2957" s="2">
        <v>1980.35</v>
      </c>
      <c r="Q2957" s="2">
        <v>39.61</v>
      </c>
      <c r="R2957" t="s">
        <v>75</v>
      </c>
      <c r="S2957">
        <v>1</v>
      </c>
      <c r="T2957">
        <v>0</v>
      </c>
      <c r="U2957">
        <f>IF(AND(OR(Dashboard!$D$4="Semua",D2957=Dashboard!$D$4),OR(Dashboard!$H$4="Semua",E2957=Dashboard!$H$4)),1,0)</f>
        <v>1</v>
      </c>
      <c r="V2957">
        <f>IF(U2957=1,IF(COUNTIFS($C$2:C2957,C2957,$U$2:U2957,1)=1,1,0),0)</f>
        <v>0</v>
      </c>
    </row>
    <row r="2958" spans="1:22" x14ac:dyDescent="0.35">
      <c r="A2958">
        <v>12957</v>
      </c>
      <c r="B2958" s="1">
        <v>47518</v>
      </c>
      <c r="C2958">
        <v>1714</v>
      </c>
      <c r="D2958" t="s">
        <v>73</v>
      </c>
      <c r="E2958" t="s">
        <v>63</v>
      </c>
      <c r="F2958">
        <v>4</v>
      </c>
      <c r="G2958" s="2">
        <v>327.92</v>
      </c>
      <c r="H2958">
        <v>0.21</v>
      </c>
      <c r="I2958" t="s">
        <v>64</v>
      </c>
      <c r="J2958">
        <v>9</v>
      </c>
      <c r="K2958">
        <v>1.9</v>
      </c>
      <c r="L2958" s="2">
        <v>1036.23</v>
      </c>
      <c r="M2958">
        <v>2030</v>
      </c>
      <c r="N2958">
        <v>2</v>
      </c>
      <c r="O2958" t="s">
        <v>177</v>
      </c>
      <c r="P2958" s="2">
        <v>1311.68</v>
      </c>
      <c r="Q2958" s="2">
        <v>275.45</v>
      </c>
      <c r="R2958" t="s">
        <v>77</v>
      </c>
      <c r="S2958">
        <v>1</v>
      </c>
      <c r="T2958">
        <v>0</v>
      </c>
      <c r="U2958">
        <f>IF(AND(OR(Dashboard!$D$4="Semua",D2958=Dashboard!$D$4),OR(Dashboard!$H$4="Semua",E2958=Dashboard!$H$4)),1,0)</f>
        <v>1</v>
      </c>
      <c r="V2958">
        <f>IF(U2958=1,IF(COUNTIFS($C$2:C2958,C2958,$U$2:U2958,1)=1,1,0),0)</f>
        <v>0</v>
      </c>
    </row>
    <row r="2959" spans="1:22" x14ac:dyDescent="0.35">
      <c r="A2959">
        <v>12958</v>
      </c>
      <c r="B2959" s="1">
        <v>47519</v>
      </c>
      <c r="C2959">
        <v>1050</v>
      </c>
      <c r="D2959" t="s">
        <v>67</v>
      </c>
      <c r="E2959" t="s">
        <v>74</v>
      </c>
      <c r="F2959">
        <v>5</v>
      </c>
      <c r="G2959" s="2">
        <v>283.72000000000003</v>
      </c>
      <c r="H2959">
        <v>0</v>
      </c>
      <c r="I2959" t="s">
        <v>71</v>
      </c>
      <c r="J2959">
        <v>7</v>
      </c>
      <c r="K2959">
        <v>4.2</v>
      </c>
      <c r="L2959" s="2">
        <v>1418.6</v>
      </c>
      <c r="M2959">
        <v>2030</v>
      </c>
      <c r="N2959">
        <v>2</v>
      </c>
      <c r="O2959" t="s">
        <v>177</v>
      </c>
      <c r="P2959" s="2">
        <v>1418.6</v>
      </c>
      <c r="Q2959" s="2">
        <v>0</v>
      </c>
      <c r="R2959" t="s">
        <v>75</v>
      </c>
      <c r="S2959">
        <v>1</v>
      </c>
      <c r="T2959">
        <v>0</v>
      </c>
      <c r="U2959">
        <f>IF(AND(OR(Dashboard!$D$4="Semua",D2959=Dashboard!$D$4),OR(Dashboard!$H$4="Semua",E2959=Dashboard!$H$4)),1,0)</f>
        <v>1</v>
      </c>
      <c r="V2959">
        <f>IF(U2959=1,IF(COUNTIFS($C$2:C2959,C2959,$U$2:U2959,1)=1,1,0),0)</f>
        <v>0</v>
      </c>
    </row>
    <row r="2960" spans="1:22" x14ac:dyDescent="0.35">
      <c r="A2960">
        <v>12959</v>
      </c>
      <c r="B2960" s="1">
        <v>47520</v>
      </c>
      <c r="C2960">
        <v>1782</v>
      </c>
      <c r="D2960" t="s">
        <v>73</v>
      </c>
      <c r="E2960" t="s">
        <v>74</v>
      </c>
      <c r="F2960">
        <v>1</v>
      </c>
      <c r="G2960" s="2">
        <v>545.96</v>
      </c>
      <c r="H2960">
        <v>0.11</v>
      </c>
      <c r="I2960" t="s">
        <v>68</v>
      </c>
      <c r="J2960">
        <v>5</v>
      </c>
      <c r="K2960">
        <v>2.8</v>
      </c>
      <c r="L2960" s="2">
        <v>485.9</v>
      </c>
      <c r="M2960">
        <v>2030</v>
      </c>
      <c r="N2960">
        <v>2</v>
      </c>
      <c r="O2960" t="s">
        <v>177</v>
      </c>
      <c r="P2960" s="2">
        <v>545.96</v>
      </c>
      <c r="Q2960" s="2">
        <v>60.06</v>
      </c>
      <c r="R2960" t="s">
        <v>79</v>
      </c>
      <c r="S2960">
        <v>1</v>
      </c>
      <c r="T2960">
        <v>0</v>
      </c>
      <c r="U2960">
        <f>IF(AND(OR(Dashboard!$D$4="Semua",D2960=Dashboard!$D$4),OR(Dashboard!$H$4="Semua",E2960=Dashboard!$H$4)),1,0)</f>
        <v>1</v>
      </c>
      <c r="V2960">
        <f>IF(U2960=1,IF(COUNTIFS($C$2:C2960,C2960,$U$2:U2960,1)=1,1,0),0)</f>
        <v>0</v>
      </c>
    </row>
    <row r="2961" spans="1:22" x14ac:dyDescent="0.35">
      <c r="A2961">
        <v>12960</v>
      </c>
      <c r="B2961" s="1">
        <v>47521</v>
      </c>
      <c r="C2961">
        <v>1323</v>
      </c>
      <c r="D2961" t="s">
        <v>67</v>
      </c>
      <c r="E2961" t="s">
        <v>63</v>
      </c>
      <c r="F2961">
        <v>1</v>
      </c>
      <c r="G2961" s="2">
        <v>113.21</v>
      </c>
      <c r="H2961">
        <v>0.33</v>
      </c>
      <c r="I2961" t="s">
        <v>71</v>
      </c>
      <c r="J2961">
        <v>6</v>
      </c>
      <c r="K2961">
        <v>1.7</v>
      </c>
      <c r="L2961" s="2">
        <v>75.849999999999994</v>
      </c>
      <c r="M2961">
        <v>2030</v>
      </c>
      <c r="N2961">
        <v>2</v>
      </c>
      <c r="O2961" t="s">
        <v>177</v>
      </c>
      <c r="P2961" s="2">
        <v>113.21</v>
      </c>
      <c r="Q2961" s="2">
        <v>37.36</v>
      </c>
      <c r="R2961" t="s">
        <v>72</v>
      </c>
      <c r="S2961">
        <v>1</v>
      </c>
      <c r="T2961">
        <v>0</v>
      </c>
      <c r="U2961">
        <f>IF(AND(OR(Dashboard!$D$4="Semua",D2961=Dashboard!$D$4),OR(Dashboard!$H$4="Semua",E2961=Dashboard!$H$4)),1,0)</f>
        <v>1</v>
      </c>
      <c r="V2961">
        <f>IF(U2961=1,IF(COUNTIFS($C$2:C2961,C2961,$U$2:U2961,1)=1,1,0),0)</f>
        <v>0</v>
      </c>
    </row>
    <row r="2962" spans="1:22" x14ac:dyDescent="0.35">
      <c r="A2962">
        <v>12961</v>
      </c>
      <c r="B2962" s="1">
        <v>47522</v>
      </c>
      <c r="C2962">
        <v>1788</v>
      </c>
      <c r="D2962" t="s">
        <v>73</v>
      </c>
      <c r="E2962" t="s">
        <v>63</v>
      </c>
      <c r="F2962">
        <v>7</v>
      </c>
      <c r="G2962" s="2">
        <v>20.65</v>
      </c>
      <c r="H2962">
        <v>0.11</v>
      </c>
      <c r="I2962" t="s">
        <v>68</v>
      </c>
      <c r="J2962">
        <v>9</v>
      </c>
      <c r="K2962">
        <v>3.6</v>
      </c>
      <c r="L2962" s="2">
        <v>128.65</v>
      </c>
      <c r="M2962">
        <v>2030</v>
      </c>
      <c r="N2962">
        <v>2</v>
      </c>
      <c r="O2962" t="s">
        <v>177</v>
      </c>
      <c r="P2962" s="2">
        <v>144.55000000000001</v>
      </c>
      <c r="Q2962" s="2">
        <v>15.9</v>
      </c>
      <c r="R2962" t="s">
        <v>79</v>
      </c>
      <c r="S2962">
        <v>1</v>
      </c>
      <c r="T2962">
        <v>0</v>
      </c>
      <c r="U2962">
        <f>IF(AND(OR(Dashboard!$D$4="Semua",D2962=Dashboard!$D$4),OR(Dashboard!$H$4="Semua",E2962=Dashboard!$H$4)),1,0)</f>
        <v>1</v>
      </c>
      <c r="V2962">
        <f>IF(U2962=1,IF(COUNTIFS($C$2:C2962,C2962,$U$2:U2962,1)=1,1,0),0)</f>
        <v>0</v>
      </c>
    </row>
    <row r="2963" spans="1:22" x14ac:dyDescent="0.35">
      <c r="A2963">
        <v>12962</v>
      </c>
      <c r="B2963" s="1">
        <v>47523</v>
      </c>
      <c r="C2963">
        <v>1140</v>
      </c>
      <c r="D2963" t="s">
        <v>67</v>
      </c>
      <c r="E2963" t="s">
        <v>74</v>
      </c>
      <c r="F2963">
        <v>1</v>
      </c>
      <c r="G2963" s="2">
        <v>57.89</v>
      </c>
      <c r="H2963">
        <v>0.33</v>
      </c>
      <c r="I2963" t="s">
        <v>71</v>
      </c>
      <c r="J2963">
        <v>4</v>
      </c>
      <c r="K2963">
        <v>3.4</v>
      </c>
      <c r="L2963" s="2">
        <v>38.79</v>
      </c>
      <c r="M2963">
        <v>2030</v>
      </c>
      <c r="N2963">
        <v>2</v>
      </c>
      <c r="O2963" t="s">
        <v>177</v>
      </c>
      <c r="P2963" s="2">
        <v>57.89</v>
      </c>
      <c r="Q2963" s="2">
        <v>19.100000000000001</v>
      </c>
      <c r="R2963" t="s">
        <v>72</v>
      </c>
      <c r="S2963">
        <v>1</v>
      </c>
      <c r="T2963">
        <v>0</v>
      </c>
      <c r="U2963">
        <f>IF(AND(OR(Dashboard!$D$4="Semua",D2963=Dashboard!$D$4),OR(Dashboard!$H$4="Semua",E2963=Dashboard!$H$4)),1,0)</f>
        <v>1</v>
      </c>
      <c r="V2963">
        <f>IF(U2963=1,IF(COUNTIFS($C$2:C2963,C2963,$U$2:U2963,1)=1,1,0),0)</f>
        <v>0</v>
      </c>
    </row>
    <row r="2964" spans="1:22" x14ac:dyDescent="0.35">
      <c r="A2964">
        <v>12963</v>
      </c>
      <c r="B2964" s="1">
        <v>47524</v>
      </c>
      <c r="C2964">
        <v>1469</v>
      </c>
      <c r="D2964" t="s">
        <v>73</v>
      </c>
      <c r="E2964" t="s">
        <v>63</v>
      </c>
      <c r="F2964">
        <v>1</v>
      </c>
      <c r="G2964" s="2">
        <v>145.66999999999999</v>
      </c>
      <c r="H2964">
        <v>0.09</v>
      </c>
      <c r="I2964" t="s">
        <v>71</v>
      </c>
      <c r="J2964">
        <v>2</v>
      </c>
      <c r="K2964">
        <v>1.7</v>
      </c>
      <c r="L2964" s="2">
        <v>132.56</v>
      </c>
      <c r="M2964">
        <v>2030</v>
      </c>
      <c r="N2964">
        <v>2</v>
      </c>
      <c r="O2964" t="s">
        <v>177</v>
      </c>
      <c r="P2964" s="2">
        <v>145.66999999999999</v>
      </c>
      <c r="Q2964" s="2">
        <v>13.11</v>
      </c>
      <c r="R2964" t="s">
        <v>69</v>
      </c>
      <c r="S2964">
        <v>1</v>
      </c>
      <c r="T2964">
        <v>0</v>
      </c>
      <c r="U2964">
        <f>IF(AND(OR(Dashboard!$D$4="Semua",D2964=Dashboard!$D$4),OR(Dashboard!$H$4="Semua",E2964=Dashboard!$H$4)),1,0)</f>
        <v>1</v>
      </c>
      <c r="V2964">
        <f>IF(U2964=1,IF(COUNTIFS($C$2:C2964,C2964,$U$2:U2964,1)=1,1,0),0)</f>
        <v>0</v>
      </c>
    </row>
    <row r="2965" spans="1:22" x14ac:dyDescent="0.35">
      <c r="A2965">
        <v>12964</v>
      </c>
      <c r="B2965" s="1">
        <v>47525</v>
      </c>
      <c r="C2965">
        <v>1786</v>
      </c>
      <c r="D2965" t="s">
        <v>80</v>
      </c>
      <c r="E2965" t="s">
        <v>74</v>
      </c>
      <c r="F2965">
        <v>2</v>
      </c>
      <c r="G2965" s="2">
        <v>34.47</v>
      </c>
      <c r="H2965">
        <v>0.11</v>
      </c>
      <c r="I2965" t="s">
        <v>71</v>
      </c>
      <c r="J2965">
        <v>5</v>
      </c>
      <c r="K2965">
        <v>4.5</v>
      </c>
      <c r="L2965" s="2">
        <v>61.36</v>
      </c>
      <c r="M2965">
        <v>2030</v>
      </c>
      <c r="N2965">
        <v>2</v>
      </c>
      <c r="O2965" t="s">
        <v>177</v>
      </c>
      <c r="P2965" s="2">
        <v>68.94</v>
      </c>
      <c r="Q2965" s="2">
        <v>7.58</v>
      </c>
      <c r="R2965" t="s">
        <v>79</v>
      </c>
      <c r="S2965">
        <v>1</v>
      </c>
      <c r="T2965">
        <v>0</v>
      </c>
      <c r="U2965">
        <f>IF(AND(OR(Dashboard!$D$4="Semua",D2965=Dashboard!$D$4),OR(Dashboard!$H$4="Semua",E2965=Dashboard!$H$4)),1,0)</f>
        <v>1</v>
      </c>
      <c r="V2965">
        <f>IF(U2965=1,IF(COUNTIFS($C$2:C2965,C2965,$U$2:U2965,1)=1,1,0),0)</f>
        <v>0</v>
      </c>
    </row>
    <row r="2966" spans="1:22" x14ac:dyDescent="0.35">
      <c r="A2966">
        <v>12965</v>
      </c>
      <c r="B2966" s="1">
        <v>47526</v>
      </c>
      <c r="C2966">
        <v>1801</v>
      </c>
      <c r="D2966" t="s">
        <v>80</v>
      </c>
      <c r="E2966" t="s">
        <v>70</v>
      </c>
      <c r="F2966">
        <v>6</v>
      </c>
      <c r="G2966" s="2">
        <v>309.16000000000003</v>
      </c>
      <c r="H2966">
        <v>0.22</v>
      </c>
      <c r="I2966" t="s">
        <v>71</v>
      </c>
      <c r="J2966">
        <v>7</v>
      </c>
      <c r="K2966">
        <v>4.4000000000000004</v>
      </c>
      <c r="L2966" s="2">
        <v>1446.87</v>
      </c>
      <c r="M2966">
        <v>2030</v>
      </c>
      <c r="N2966">
        <v>2</v>
      </c>
      <c r="O2966" t="s">
        <v>177</v>
      </c>
      <c r="P2966" s="2">
        <v>1854.96</v>
      </c>
      <c r="Q2966" s="2">
        <v>408.09</v>
      </c>
      <c r="R2966" t="s">
        <v>77</v>
      </c>
      <c r="S2966">
        <v>1</v>
      </c>
      <c r="T2966">
        <v>0</v>
      </c>
      <c r="U2966">
        <f>IF(AND(OR(Dashboard!$D$4="Semua",D2966=Dashboard!$D$4),OR(Dashboard!$H$4="Semua",E2966=Dashboard!$H$4)),1,0)</f>
        <v>1</v>
      </c>
      <c r="V2966">
        <f>IF(U2966=1,IF(COUNTIFS($C$2:C2966,C2966,$U$2:U2966,1)=1,1,0),0)</f>
        <v>0</v>
      </c>
    </row>
    <row r="2967" spans="1:22" x14ac:dyDescent="0.35">
      <c r="A2967">
        <v>12966</v>
      </c>
      <c r="B2967" s="1">
        <v>47527</v>
      </c>
      <c r="C2967">
        <v>1333</v>
      </c>
      <c r="D2967" t="s">
        <v>73</v>
      </c>
      <c r="E2967" t="s">
        <v>70</v>
      </c>
      <c r="F2967">
        <v>7</v>
      </c>
      <c r="G2967" s="2">
        <v>198.74</v>
      </c>
      <c r="H2967">
        <v>0.27</v>
      </c>
      <c r="I2967" t="s">
        <v>71</v>
      </c>
      <c r="J2967">
        <v>4</v>
      </c>
      <c r="K2967">
        <v>4.3</v>
      </c>
      <c r="L2967" s="2">
        <v>1015.56</v>
      </c>
      <c r="M2967">
        <v>2030</v>
      </c>
      <c r="N2967">
        <v>2</v>
      </c>
      <c r="O2967" t="s">
        <v>177</v>
      </c>
      <c r="P2967" s="2">
        <v>1391.18</v>
      </c>
      <c r="Q2967" s="2">
        <v>375.62</v>
      </c>
      <c r="R2967" t="s">
        <v>66</v>
      </c>
      <c r="S2967">
        <v>1</v>
      </c>
      <c r="T2967">
        <v>0</v>
      </c>
      <c r="U2967">
        <f>IF(AND(OR(Dashboard!$D$4="Semua",D2967=Dashboard!$D$4),OR(Dashboard!$H$4="Semua",E2967=Dashboard!$H$4)),1,0)</f>
        <v>1</v>
      </c>
      <c r="V2967">
        <f>IF(U2967=1,IF(COUNTIFS($C$2:C2967,C2967,$U$2:U2967,1)=1,1,0),0)</f>
        <v>0</v>
      </c>
    </row>
    <row r="2968" spans="1:22" x14ac:dyDescent="0.35">
      <c r="A2968">
        <v>12967</v>
      </c>
      <c r="B2968" s="1">
        <v>47528</v>
      </c>
      <c r="C2968">
        <v>1892</v>
      </c>
      <c r="D2968" t="s">
        <v>73</v>
      </c>
      <c r="E2968" t="s">
        <v>63</v>
      </c>
      <c r="F2968">
        <v>7</v>
      </c>
      <c r="G2968" s="2">
        <v>120.58</v>
      </c>
      <c r="H2968">
        <v>0.18</v>
      </c>
      <c r="I2968" t="s">
        <v>68</v>
      </c>
      <c r="J2968">
        <v>1</v>
      </c>
      <c r="K2968">
        <v>2.6</v>
      </c>
      <c r="L2968" s="2">
        <v>692.13</v>
      </c>
      <c r="M2968">
        <v>2030</v>
      </c>
      <c r="N2968">
        <v>2</v>
      </c>
      <c r="O2968" t="s">
        <v>177</v>
      </c>
      <c r="P2968" s="2">
        <v>844.06</v>
      </c>
      <c r="Q2968" s="2">
        <v>151.93</v>
      </c>
      <c r="R2968" t="s">
        <v>76</v>
      </c>
      <c r="S2968">
        <v>1</v>
      </c>
      <c r="T2968">
        <v>0</v>
      </c>
      <c r="U2968">
        <f>IF(AND(OR(Dashboard!$D$4="Semua",D2968=Dashboard!$D$4),OR(Dashboard!$H$4="Semua",E2968=Dashboard!$H$4)),1,0)</f>
        <v>1</v>
      </c>
      <c r="V2968">
        <f>IF(U2968=1,IF(COUNTIFS($C$2:C2968,C2968,$U$2:U2968,1)=1,1,0),0)</f>
        <v>0</v>
      </c>
    </row>
    <row r="2969" spans="1:22" x14ac:dyDescent="0.35">
      <c r="A2969">
        <v>12968</v>
      </c>
      <c r="B2969" s="1">
        <v>47529</v>
      </c>
      <c r="C2969">
        <v>1963</v>
      </c>
      <c r="D2969" t="s">
        <v>73</v>
      </c>
      <c r="E2969" t="s">
        <v>63</v>
      </c>
      <c r="F2969">
        <v>6</v>
      </c>
      <c r="G2969" s="2">
        <v>453.8</v>
      </c>
      <c r="H2969">
        <v>0.31</v>
      </c>
      <c r="I2969" t="s">
        <v>71</v>
      </c>
      <c r="J2969">
        <v>8</v>
      </c>
      <c r="K2969">
        <v>4.3</v>
      </c>
      <c r="L2969" s="2">
        <v>1878.73</v>
      </c>
      <c r="M2969">
        <v>2030</v>
      </c>
      <c r="N2969">
        <v>2</v>
      </c>
      <c r="O2969" t="s">
        <v>177</v>
      </c>
      <c r="P2969" s="2">
        <v>2722.8</v>
      </c>
      <c r="Q2969" s="2">
        <v>844.07</v>
      </c>
      <c r="R2969" t="s">
        <v>72</v>
      </c>
      <c r="S2969">
        <v>1</v>
      </c>
      <c r="T2969">
        <v>0</v>
      </c>
      <c r="U2969">
        <f>IF(AND(OR(Dashboard!$D$4="Semua",D2969=Dashboard!$D$4),OR(Dashboard!$H$4="Semua",E2969=Dashboard!$H$4)),1,0)</f>
        <v>1</v>
      </c>
      <c r="V2969">
        <f>IF(U2969=1,IF(COUNTIFS($C$2:C2969,C2969,$U$2:U2969,1)=1,1,0),0)</f>
        <v>0</v>
      </c>
    </row>
    <row r="2970" spans="1:22" x14ac:dyDescent="0.35">
      <c r="A2970">
        <v>12969</v>
      </c>
      <c r="B2970" s="1">
        <v>47530</v>
      </c>
      <c r="C2970">
        <v>1372</v>
      </c>
      <c r="D2970" t="s">
        <v>62</v>
      </c>
      <c r="E2970" t="s">
        <v>63</v>
      </c>
      <c r="F2970">
        <v>2</v>
      </c>
      <c r="G2970" s="2">
        <v>134.6</v>
      </c>
      <c r="H2970">
        <v>0.01</v>
      </c>
      <c r="I2970" t="s">
        <v>71</v>
      </c>
      <c r="J2970">
        <v>5</v>
      </c>
      <c r="K2970">
        <v>4.4000000000000004</v>
      </c>
      <c r="L2970" s="2">
        <v>266.51</v>
      </c>
      <c r="M2970">
        <v>2030</v>
      </c>
      <c r="N2970">
        <v>2</v>
      </c>
      <c r="O2970" t="s">
        <v>177</v>
      </c>
      <c r="P2970" s="2">
        <v>269.2</v>
      </c>
      <c r="Q2970" s="2">
        <v>2.69</v>
      </c>
      <c r="R2970" t="s">
        <v>75</v>
      </c>
      <c r="S2970">
        <v>1</v>
      </c>
      <c r="T2970">
        <v>0</v>
      </c>
      <c r="U2970">
        <f>IF(AND(OR(Dashboard!$D$4="Semua",D2970=Dashboard!$D$4),OR(Dashboard!$H$4="Semua",E2970=Dashboard!$H$4)),1,0)</f>
        <v>1</v>
      </c>
      <c r="V2970">
        <f>IF(U2970=1,IF(COUNTIFS($C$2:C2970,C2970,$U$2:U2970,1)=1,1,0),0)</f>
        <v>0</v>
      </c>
    </row>
    <row r="2971" spans="1:22" x14ac:dyDescent="0.35">
      <c r="A2971">
        <v>12970</v>
      </c>
      <c r="B2971" s="1">
        <v>47531</v>
      </c>
      <c r="C2971">
        <v>1563</v>
      </c>
      <c r="D2971" t="s">
        <v>67</v>
      </c>
      <c r="E2971" t="s">
        <v>74</v>
      </c>
      <c r="F2971">
        <v>1</v>
      </c>
      <c r="G2971" s="2">
        <v>417.25</v>
      </c>
      <c r="H2971">
        <v>0.32</v>
      </c>
      <c r="I2971" t="s">
        <v>68</v>
      </c>
      <c r="J2971">
        <v>10</v>
      </c>
      <c r="K2971">
        <v>5</v>
      </c>
      <c r="L2971" s="2">
        <v>283.73</v>
      </c>
      <c r="M2971">
        <v>2030</v>
      </c>
      <c r="N2971">
        <v>2</v>
      </c>
      <c r="O2971" t="s">
        <v>177</v>
      </c>
      <c r="P2971" s="2">
        <v>417.25</v>
      </c>
      <c r="Q2971" s="2">
        <v>133.52000000000001</v>
      </c>
      <c r="R2971" t="s">
        <v>72</v>
      </c>
      <c r="S2971">
        <v>1</v>
      </c>
      <c r="T2971">
        <v>0</v>
      </c>
      <c r="U2971">
        <f>IF(AND(OR(Dashboard!$D$4="Semua",D2971=Dashboard!$D$4),OR(Dashboard!$H$4="Semua",E2971=Dashboard!$H$4)),1,0)</f>
        <v>1</v>
      </c>
      <c r="V2971">
        <f>IF(U2971=1,IF(COUNTIFS($C$2:C2971,C2971,$U$2:U2971,1)=1,1,0),0)</f>
        <v>0</v>
      </c>
    </row>
    <row r="2972" spans="1:22" x14ac:dyDescent="0.35">
      <c r="A2972">
        <v>12971</v>
      </c>
      <c r="B2972" s="1">
        <v>47532</v>
      </c>
      <c r="C2972">
        <v>1493</v>
      </c>
      <c r="D2972" t="s">
        <v>67</v>
      </c>
      <c r="E2972" t="s">
        <v>70</v>
      </c>
      <c r="F2972">
        <v>4</v>
      </c>
      <c r="G2972" s="2">
        <v>219.32</v>
      </c>
      <c r="H2972">
        <v>7.0000000000000007E-2</v>
      </c>
      <c r="I2972" t="s">
        <v>68</v>
      </c>
      <c r="J2972">
        <v>2</v>
      </c>
      <c r="K2972">
        <v>4.8</v>
      </c>
      <c r="L2972" s="2">
        <v>815.87</v>
      </c>
      <c r="M2972">
        <v>2030</v>
      </c>
      <c r="N2972">
        <v>2</v>
      </c>
      <c r="O2972" t="s">
        <v>177</v>
      </c>
      <c r="P2972" s="2">
        <v>877.28</v>
      </c>
      <c r="Q2972" s="2">
        <v>61.41</v>
      </c>
      <c r="R2972" t="s">
        <v>69</v>
      </c>
      <c r="S2972">
        <v>1</v>
      </c>
      <c r="T2972">
        <v>0</v>
      </c>
      <c r="U2972">
        <f>IF(AND(OR(Dashboard!$D$4="Semua",D2972=Dashboard!$D$4),OR(Dashboard!$H$4="Semua",E2972=Dashboard!$H$4)),1,0)</f>
        <v>1</v>
      </c>
      <c r="V2972">
        <f>IF(U2972=1,IF(COUNTIFS($C$2:C2972,C2972,$U$2:U2972,1)=1,1,0),0)</f>
        <v>0</v>
      </c>
    </row>
    <row r="2973" spans="1:22" x14ac:dyDescent="0.35">
      <c r="A2973">
        <v>12972</v>
      </c>
      <c r="B2973" s="1">
        <v>47533</v>
      </c>
      <c r="C2973">
        <v>1538</v>
      </c>
      <c r="D2973" t="s">
        <v>73</v>
      </c>
      <c r="E2973" t="s">
        <v>70</v>
      </c>
      <c r="F2973">
        <v>5</v>
      </c>
      <c r="G2973" s="2">
        <v>314.42</v>
      </c>
      <c r="H2973">
        <v>0.31</v>
      </c>
      <c r="I2973" t="s">
        <v>68</v>
      </c>
      <c r="J2973">
        <v>3</v>
      </c>
      <c r="K2973">
        <v>2.5</v>
      </c>
      <c r="L2973" s="2">
        <v>1084.75</v>
      </c>
      <c r="M2973">
        <v>2030</v>
      </c>
      <c r="N2973">
        <v>2</v>
      </c>
      <c r="O2973" t="s">
        <v>177</v>
      </c>
      <c r="P2973" s="2">
        <v>1572.1</v>
      </c>
      <c r="Q2973" s="2">
        <v>487.35</v>
      </c>
      <c r="R2973" t="s">
        <v>72</v>
      </c>
      <c r="S2973">
        <v>1</v>
      </c>
      <c r="T2973">
        <v>0</v>
      </c>
      <c r="U2973">
        <f>IF(AND(OR(Dashboard!$D$4="Semua",D2973=Dashboard!$D$4),OR(Dashboard!$H$4="Semua",E2973=Dashboard!$H$4)),1,0)</f>
        <v>1</v>
      </c>
      <c r="V2973">
        <f>IF(U2973=1,IF(COUNTIFS($C$2:C2973,C2973,$U$2:U2973,1)=1,1,0),0)</f>
        <v>0</v>
      </c>
    </row>
    <row r="2974" spans="1:22" x14ac:dyDescent="0.35">
      <c r="A2974">
        <v>12973</v>
      </c>
      <c r="B2974" s="1">
        <v>47534</v>
      </c>
      <c r="C2974">
        <v>1668</v>
      </c>
      <c r="D2974" t="s">
        <v>67</v>
      </c>
      <c r="E2974" t="s">
        <v>78</v>
      </c>
      <c r="F2974">
        <v>7</v>
      </c>
      <c r="G2974" s="2">
        <v>561.30999999999995</v>
      </c>
      <c r="H2974">
        <v>0.14000000000000001</v>
      </c>
      <c r="I2974" t="s">
        <v>68</v>
      </c>
      <c r="J2974">
        <v>10</v>
      </c>
      <c r="K2974">
        <v>1.8</v>
      </c>
      <c r="L2974" s="2">
        <v>3379.09</v>
      </c>
      <c r="M2974">
        <v>2030</v>
      </c>
      <c r="N2974">
        <v>2</v>
      </c>
      <c r="O2974" t="s">
        <v>177</v>
      </c>
      <c r="P2974" s="2">
        <v>3929.17</v>
      </c>
      <c r="Q2974" s="2">
        <v>550.08000000000004</v>
      </c>
      <c r="R2974" t="s">
        <v>79</v>
      </c>
      <c r="S2974">
        <v>1</v>
      </c>
      <c r="T2974">
        <v>1</v>
      </c>
      <c r="U2974">
        <f>IF(AND(OR(Dashboard!$D$4="Semua",D2974=Dashboard!$D$4),OR(Dashboard!$H$4="Semua",E2974=Dashboard!$H$4)),1,0)</f>
        <v>1</v>
      </c>
      <c r="V2974">
        <f>IF(U2974=1,IF(COUNTIFS($C$2:C2974,C2974,$U$2:U2974,1)=1,1,0),0)</f>
        <v>0</v>
      </c>
    </row>
    <row r="2975" spans="1:22" x14ac:dyDescent="0.35">
      <c r="A2975">
        <v>12974</v>
      </c>
      <c r="B2975" s="1">
        <v>47535</v>
      </c>
      <c r="C2975">
        <v>1750</v>
      </c>
      <c r="D2975" t="s">
        <v>62</v>
      </c>
      <c r="E2975" t="s">
        <v>78</v>
      </c>
      <c r="F2975">
        <v>6</v>
      </c>
      <c r="G2975" s="2">
        <v>36.85</v>
      </c>
      <c r="H2975">
        <v>0.28999999999999998</v>
      </c>
      <c r="I2975" t="s">
        <v>64</v>
      </c>
      <c r="J2975">
        <v>10</v>
      </c>
      <c r="K2975">
        <v>2.2000000000000002</v>
      </c>
      <c r="L2975" s="2">
        <v>156.97999999999999</v>
      </c>
      <c r="M2975">
        <v>2030</v>
      </c>
      <c r="N2975">
        <v>2</v>
      </c>
      <c r="O2975" t="s">
        <v>177</v>
      </c>
      <c r="P2975" s="2">
        <v>221.1</v>
      </c>
      <c r="Q2975" s="2">
        <v>64.12</v>
      </c>
      <c r="R2975" t="s">
        <v>66</v>
      </c>
      <c r="S2975">
        <v>1</v>
      </c>
      <c r="T2975">
        <v>0</v>
      </c>
      <c r="U2975">
        <f>IF(AND(OR(Dashboard!$D$4="Semua",D2975=Dashboard!$D$4),OR(Dashboard!$H$4="Semua",E2975=Dashboard!$H$4)),1,0)</f>
        <v>1</v>
      </c>
      <c r="V2975">
        <f>IF(U2975=1,IF(COUNTIFS($C$2:C2975,C2975,$U$2:U2975,1)=1,1,0),0)</f>
        <v>0</v>
      </c>
    </row>
    <row r="2976" spans="1:22" x14ac:dyDescent="0.35">
      <c r="A2976">
        <v>12975</v>
      </c>
      <c r="B2976" s="1">
        <v>47536</v>
      </c>
      <c r="C2976">
        <v>1155</v>
      </c>
      <c r="D2976" t="s">
        <v>80</v>
      </c>
      <c r="E2976" t="s">
        <v>63</v>
      </c>
      <c r="F2976">
        <v>3</v>
      </c>
      <c r="G2976" s="2">
        <v>307.64999999999998</v>
      </c>
      <c r="H2976">
        <v>0.24</v>
      </c>
      <c r="I2976" t="s">
        <v>68</v>
      </c>
      <c r="J2976">
        <v>5</v>
      </c>
      <c r="K2976">
        <v>3</v>
      </c>
      <c r="L2976" s="2">
        <v>701.44</v>
      </c>
      <c r="M2976">
        <v>2030</v>
      </c>
      <c r="N2976">
        <v>2</v>
      </c>
      <c r="O2976" t="s">
        <v>177</v>
      </c>
      <c r="P2976" s="2">
        <v>922.95</v>
      </c>
      <c r="Q2976" s="2">
        <v>221.51</v>
      </c>
      <c r="R2976" t="s">
        <v>77</v>
      </c>
      <c r="S2976">
        <v>1</v>
      </c>
      <c r="T2976">
        <v>0</v>
      </c>
      <c r="U2976">
        <f>IF(AND(OR(Dashboard!$D$4="Semua",D2976=Dashboard!$D$4),OR(Dashboard!$H$4="Semua",E2976=Dashboard!$H$4)),1,0)</f>
        <v>1</v>
      </c>
      <c r="V2976">
        <f>IF(U2976=1,IF(COUNTIFS($C$2:C2976,C2976,$U$2:U2976,1)=1,1,0),0)</f>
        <v>0</v>
      </c>
    </row>
    <row r="2977" spans="1:22" x14ac:dyDescent="0.35">
      <c r="A2977">
        <v>12976</v>
      </c>
      <c r="B2977" s="1">
        <v>47537</v>
      </c>
      <c r="C2977">
        <v>1290</v>
      </c>
      <c r="D2977" t="s">
        <v>67</v>
      </c>
      <c r="E2977" t="s">
        <v>74</v>
      </c>
      <c r="F2977">
        <v>5</v>
      </c>
      <c r="G2977" s="2">
        <v>514.84</v>
      </c>
      <c r="H2977">
        <v>0.06</v>
      </c>
      <c r="I2977" t="s">
        <v>71</v>
      </c>
      <c r="J2977">
        <v>11</v>
      </c>
      <c r="K2977">
        <v>4.2</v>
      </c>
      <c r="L2977" s="2">
        <v>2419.75</v>
      </c>
      <c r="M2977">
        <v>2030</v>
      </c>
      <c r="N2977">
        <v>2</v>
      </c>
      <c r="O2977" t="s">
        <v>177</v>
      </c>
      <c r="P2977" s="2">
        <v>2574.1999999999998</v>
      </c>
      <c r="Q2977" s="2">
        <v>154.44999999999999</v>
      </c>
      <c r="R2977" t="s">
        <v>69</v>
      </c>
      <c r="S2977">
        <v>1</v>
      </c>
      <c r="T2977">
        <v>0</v>
      </c>
      <c r="U2977">
        <f>IF(AND(OR(Dashboard!$D$4="Semua",D2977=Dashboard!$D$4),OR(Dashboard!$H$4="Semua",E2977=Dashboard!$H$4)),1,0)</f>
        <v>1</v>
      </c>
      <c r="V2977">
        <f>IF(U2977=1,IF(COUNTIFS($C$2:C2977,C2977,$U$2:U2977,1)=1,1,0),0)</f>
        <v>0</v>
      </c>
    </row>
    <row r="2978" spans="1:22" x14ac:dyDescent="0.35">
      <c r="A2978">
        <v>12977</v>
      </c>
      <c r="B2978" s="1">
        <v>47538</v>
      </c>
      <c r="C2978">
        <v>1647</v>
      </c>
      <c r="D2978" t="s">
        <v>73</v>
      </c>
      <c r="E2978" t="s">
        <v>63</v>
      </c>
      <c r="F2978">
        <v>3</v>
      </c>
      <c r="G2978" s="2">
        <v>358.96</v>
      </c>
      <c r="H2978">
        <v>0.32</v>
      </c>
      <c r="I2978" t="s">
        <v>71</v>
      </c>
      <c r="J2978">
        <v>4</v>
      </c>
      <c r="K2978">
        <v>3.9</v>
      </c>
      <c r="L2978" s="2">
        <v>732.28</v>
      </c>
      <c r="M2978">
        <v>2030</v>
      </c>
      <c r="N2978">
        <v>2</v>
      </c>
      <c r="O2978" t="s">
        <v>177</v>
      </c>
      <c r="P2978" s="2">
        <v>1076.8800000000001</v>
      </c>
      <c r="Q2978" s="2">
        <v>344.6</v>
      </c>
      <c r="R2978" t="s">
        <v>72</v>
      </c>
      <c r="S2978">
        <v>1</v>
      </c>
      <c r="T2978">
        <v>0</v>
      </c>
      <c r="U2978">
        <f>IF(AND(OR(Dashboard!$D$4="Semua",D2978=Dashboard!$D$4),OR(Dashboard!$H$4="Semua",E2978=Dashboard!$H$4)),1,0)</f>
        <v>1</v>
      </c>
      <c r="V2978">
        <f>IF(U2978=1,IF(COUNTIFS($C$2:C2978,C2978,$U$2:U2978,1)=1,1,0),0)</f>
        <v>0</v>
      </c>
    </row>
    <row r="2979" spans="1:22" x14ac:dyDescent="0.35">
      <c r="A2979">
        <v>12978</v>
      </c>
      <c r="B2979" s="1">
        <v>47539</v>
      </c>
      <c r="C2979">
        <v>1143</v>
      </c>
      <c r="D2979" t="s">
        <v>73</v>
      </c>
      <c r="E2979" t="s">
        <v>70</v>
      </c>
      <c r="F2979">
        <v>3</v>
      </c>
      <c r="G2979" s="2">
        <v>176.97</v>
      </c>
      <c r="H2979">
        <v>0.09</v>
      </c>
      <c r="I2979" t="s">
        <v>68</v>
      </c>
      <c r="J2979">
        <v>9</v>
      </c>
      <c r="K2979">
        <v>4.2</v>
      </c>
      <c r="L2979" s="2">
        <v>483.13</v>
      </c>
      <c r="M2979">
        <v>2030</v>
      </c>
      <c r="N2979">
        <v>2</v>
      </c>
      <c r="O2979" t="s">
        <v>177</v>
      </c>
      <c r="P2979" s="2">
        <v>530.91</v>
      </c>
      <c r="Q2979" s="2">
        <v>47.78</v>
      </c>
      <c r="R2979" t="s">
        <v>69</v>
      </c>
      <c r="S2979">
        <v>1</v>
      </c>
      <c r="T2979">
        <v>0</v>
      </c>
      <c r="U2979">
        <f>IF(AND(OR(Dashboard!$D$4="Semua",D2979=Dashboard!$D$4),OR(Dashboard!$H$4="Semua",E2979=Dashboard!$H$4)),1,0)</f>
        <v>1</v>
      </c>
      <c r="V2979">
        <f>IF(U2979=1,IF(COUNTIFS($C$2:C2979,C2979,$U$2:U2979,1)=1,1,0),0)</f>
        <v>0</v>
      </c>
    </row>
    <row r="2980" spans="1:22" x14ac:dyDescent="0.35">
      <c r="A2980">
        <v>12979</v>
      </c>
      <c r="B2980" s="1">
        <v>47540</v>
      </c>
      <c r="C2980">
        <v>1105</v>
      </c>
      <c r="D2980" t="s">
        <v>73</v>
      </c>
      <c r="E2980" t="s">
        <v>63</v>
      </c>
      <c r="F2980">
        <v>7</v>
      </c>
      <c r="G2980" s="2">
        <v>247.64</v>
      </c>
      <c r="H2980">
        <v>0.09</v>
      </c>
      <c r="I2980" t="s">
        <v>64</v>
      </c>
      <c r="J2980">
        <v>9</v>
      </c>
      <c r="K2980">
        <v>2.5</v>
      </c>
      <c r="L2980" s="2">
        <v>1577.47</v>
      </c>
      <c r="M2980">
        <v>2030</v>
      </c>
      <c r="N2980">
        <v>2</v>
      </c>
      <c r="O2980" t="s">
        <v>177</v>
      </c>
      <c r="P2980" s="2">
        <v>1733.48</v>
      </c>
      <c r="Q2980" s="2">
        <v>156.01</v>
      </c>
      <c r="R2980" t="s">
        <v>69</v>
      </c>
      <c r="S2980">
        <v>1</v>
      </c>
      <c r="T2980">
        <v>0</v>
      </c>
      <c r="U2980">
        <f>IF(AND(OR(Dashboard!$D$4="Semua",D2980=Dashboard!$D$4),OR(Dashboard!$H$4="Semua",E2980=Dashboard!$H$4)),1,0)</f>
        <v>1</v>
      </c>
      <c r="V2980">
        <f>IF(U2980=1,IF(COUNTIFS($C$2:C2980,C2980,$U$2:U2980,1)=1,1,0),0)</f>
        <v>0</v>
      </c>
    </row>
    <row r="2981" spans="1:22" x14ac:dyDescent="0.35">
      <c r="A2981">
        <v>12980</v>
      </c>
      <c r="B2981" s="1">
        <v>47541</v>
      </c>
      <c r="C2981">
        <v>1419</v>
      </c>
      <c r="D2981" t="s">
        <v>73</v>
      </c>
      <c r="E2981" t="s">
        <v>63</v>
      </c>
      <c r="F2981">
        <v>1</v>
      </c>
      <c r="G2981" s="2">
        <v>412.96</v>
      </c>
      <c r="H2981">
        <v>0.28000000000000003</v>
      </c>
      <c r="I2981" t="s">
        <v>68</v>
      </c>
      <c r="J2981">
        <v>8</v>
      </c>
      <c r="K2981">
        <v>2</v>
      </c>
      <c r="L2981" s="2">
        <v>297.33</v>
      </c>
      <c r="M2981">
        <v>2030</v>
      </c>
      <c r="N2981">
        <v>2</v>
      </c>
      <c r="O2981" t="s">
        <v>177</v>
      </c>
      <c r="P2981" s="2">
        <v>412.96</v>
      </c>
      <c r="Q2981" s="2">
        <v>115.63</v>
      </c>
      <c r="R2981" t="s">
        <v>66</v>
      </c>
      <c r="S2981">
        <v>1</v>
      </c>
      <c r="T2981">
        <v>0</v>
      </c>
      <c r="U2981">
        <f>IF(AND(OR(Dashboard!$D$4="Semua",D2981=Dashboard!$D$4),OR(Dashboard!$H$4="Semua",E2981=Dashboard!$H$4)),1,0)</f>
        <v>1</v>
      </c>
      <c r="V2981">
        <f>IF(U2981=1,IF(COUNTIFS($C$2:C2981,C2981,$U$2:U2981,1)=1,1,0),0)</f>
        <v>0</v>
      </c>
    </row>
    <row r="2982" spans="1:22" x14ac:dyDescent="0.35">
      <c r="A2982">
        <v>12981</v>
      </c>
      <c r="B2982" s="1">
        <v>47542</v>
      </c>
      <c r="C2982">
        <v>1669</v>
      </c>
      <c r="D2982" t="s">
        <v>73</v>
      </c>
      <c r="E2982" t="s">
        <v>70</v>
      </c>
      <c r="F2982">
        <v>3</v>
      </c>
      <c r="G2982" s="2">
        <v>536.12</v>
      </c>
      <c r="H2982">
        <v>0.04</v>
      </c>
      <c r="I2982" t="s">
        <v>64</v>
      </c>
      <c r="J2982">
        <v>2</v>
      </c>
      <c r="K2982">
        <v>1.1000000000000001</v>
      </c>
      <c r="L2982" s="2">
        <v>1544.03</v>
      </c>
      <c r="M2982">
        <v>2030</v>
      </c>
      <c r="N2982">
        <v>2</v>
      </c>
      <c r="O2982" t="s">
        <v>177</v>
      </c>
      <c r="P2982" s="2">
        <v>1608.36</v>
      </c>
      <c r="Q2982" s="2">
        <v>64.33</v>
      </c>
      <c r="R2982" t="s">
        <v>75</v>
      </c>
      <c r="S2982">
        <v>1</v>
      </c>
      <c r="T2982">
        <v>0</v>
      </c>
      <c r="U2982">
        <f>IF(AND(OR(Dashboard!$D$4="Semua",D2982=Dashboard!$D$4),OR(Dashboard!$H$4="Semua",E2982=Dashboard!$H$4)),1,0)</f>
        <v>1</v>
      </c>
      <c r="V2982">
        <f>IF(U2982=1,IF(COUNTIFS($C$2:C2982,C2982,$U$2:U2982,1)=1,1,0),0)</f>
        <v>0</v>
      </c>
    </row>
    <row r="2983" spans="1:22" x14ac:dyDescent="0.35">
      <c r="A2983">
        <v>12982</v>
      </c>
      <c r="B2983" s="1">
        <v>47543</v>
      </c>
      <c r="C2983">
        <v>1657</v>
      </c>
      <c r="D2983" t="s">
        <v>73</v>
      </c>
      <c r="E2983" t="s">
        <v>70</v>
      </c>
      <c r="F2983">
        <v>1</v>
      </c>
      <c r="G2983" s="2">
        <v>39.020000000000003</v>
      </c>
      <c r="H2983">
        <v>0.08</v>
      </c>
      <c r="I2983" t="s">
        <v>68</v>
      </c>
      <c r="J2983">
        <v>5</v>
      </c>
      <c r="K2983">
        <v>3.5</v>
      </c>
      <c r="L2983" s="2">
        <v>35.9</v>
      </c>
      <c r="M2983">
        <v>2030</v>
      </c>
      <c r="N2983">
        <v>3</v>
      </c>
      <c r="O2983" t="s">
        <v>178</v>
      </c>
      <c r="P2983" s="2">
        <v>39.020000000000003</v>
      </c>
      <c r="Q2983" s="2">
        <v>3.12</v>
      </c>
      <c r="R2983" t="s">
        <v>69</v>
      </c>
      <c r="S2983">
        <v>1</v>
      </c>
      <c r="T2983">
        <v>0</v>
      </c>
      <c r="U2983">
        <f>IF(AND(OR(Dashboard!$D$4="Semua",D2983=Dashboard!$D$4),OR(Dashboard!$H$4="Semua",E2983=Dashboard!$H$4)),1,0)</f>
        <v>1</v>
      </c>
      <c r="V2983">
        <f>IF(U2983=1,IF(COUNTIFS($C$2:C2983,C2983,$U$2:U2983,1)=1,1,0),0)</f>
        <v>0</v>
      </c>
    </row>
    <row r="2984" spans="1:22" x14ac:dyDescent="0.35">
      <c r="A2984">
        <v>12983</v>
      </c>
      <c r="B2984" s="1">
        <v>47544</v>
      </c>
      <c r="C2984">
        <v>1001</v>
      </c>
      <c r="D2984" t="s">
        <v>67</v>
      </c>
      <c r="E2984" t="s">
        <v>70</v>
      </c>
      <c r="F2984">
        <v>2</v>
      </c>
      <c r="G2984" s="2">
        <v>56.85</v>
      </c>
      <c r="H2984">
        <v>0.18</v>
      </c>
      <c r="I2984" t="s">
        <v>68</v>
      </c>
      <c r="J2984">
        <v>8</v>
      </c>
      <c r="K2984">
        <v>4.2</v>
      </c>
      <c r="L2984" s="2">
        <v>93.23</v>
      </c>
      <c r="M2984">
        <v>2030</v>
      </c>
      <c r="N2984">
        <v>3</v>
      </c>
      <c r="O2984" t="s">
        <v>178</v>
      </c>
      <c r="P2984" s="2">
        <v>113.7</v>
      </c>
      <c r="Q2984" s="2">
        <v>20.47</v>
      </c>
      <c r="R2984" t="s">
        <v>76</v>
      </c>
      <c r="S2984">
        <v>1</v>
      </c>
      <c r="T2984">
        <v>0</v>
      </c>
      <c r="U2984">
        <f>IF(AND(OR(Dashboard!$D$4="Semua",D2984=Dashboard!$D$4),OR(Dashboard!$H$4="Semua",E2984=Dashboard!$H$4)),1,0)</f>
        <v>1</v>
      </c>
      <c r="V2984">
        <f>IF(U2984=1,IF(COUNTIFS($C$2:C2984,C2984,$U$2:U2984,1)=1,1,0),0)</f>
        <v>0</v>
      </c>
    </row>
    <row r="2985" spans="1:22" x14ac:dyDescent="0.35">
      <c r="A2985">
        <v>12984</v>
      </c>
      <c r="B2985" s="1">
        <v>47545</v>
      </c>
      <c r="C2985">
        <v>1944</v>
      </c>
      <c r="D2985" t="s">
        <v>62</v>
      </c>
      <c r="E2985" t="s">
        <v>70</v>
      </c>
      <c r="F2985">
        <v>4</v>
      </c>
      <c r="G2985" s="2">
        <v>205.16</v>
      </c>
      <c r="H2985">
        <v>0.28999999999999998</v>
      </c>
      <c r="I2985" t="s">
        <v>68</v>
      </c>
      <c r="J2985">
        <v>8</v>
      </c>
      <c r="K2985">
        <v>4.5999999999999996</v>
      </c>
      <c r="L2985" s="2">
        <v>582.65</v>
      </c>
      <c r="M2985">
        <v>2030</v>
      </c>
      <c r="N2985">
        <v>3</v>
      </c>
      <c r="O2985" t="s">
        <v>178</v>
      </c>
      <c r="P2985" s="2">
        <v>820.64</v>
      </c>
      <c r="Q2985" s="2">
        <v>237.99</v>
      </c>
      <c r="R2985" t="s">
        <v>66</v>
      </c>
      <c r="S2985">
        <v>1</v>
      </c>
      <c r="T2985">
        <v>0</v>
      </c>
      <c r="U2985">
        <f>IF(AND(OR(Dashboard!$D$4="Semua",D2985=Dashboard!$D$4),OR(Dashboard!$H$4="Semua",E2985=Dashboard!$H$4)),1,0)</f>
        <v>1</v>
      </c>
      <c r="V2985">
        <f>IF(U2985=1,IF(COUNTIFS($C$2:C2985,C2985,$U$2:U2985,1)=1,1,0),0)</f>
        <v>0</v>
      </c>
    </row>
    <row r="2986" spans="1:22" x14ac:dyDescent="0.35">
      <c r="A2986">
        <v>12985</v>
      </c>
      <c r="B2986" s="1">
        <v>47546</v>
      </c>
      <c r="C2986">
        <v>1588</v>
      </c>
      <c r="D2986" t="s">
        <v>67</v>
      </c>
      <c r="E2986" t="s">
        <v>78</v>
      </c>
      <c r="F2986">
        <v>3</v>
      </c>
      <c r="G2986" s="2">
        <v>151.18</v>
      </c>
      <c r="H2986">
        <v>0.05</v>
      </c>
      <c r="I2986" t="s">
        <v>68</v>
      </c>
      <c r="J2986">
        <v>7</v>
      </c>
      <c r="K2986">
        <v>2.9</v>
      </c>
      <c r="L2986" s="2">
        <v>430.86</v>
      </c>
      <c r="M2986">
        <v>2030</v>
      </c>
      <c r="N2986">
        <v>3</v>
      </c>
      <c r="O2986" t="s">
        <v>178</v>
      </c>
      <c r="P2986" s="2">
        <v>453.54</v>
      </c>
      <c r="Q2986" s="2">
        <v>22.68</v>
      </c>
      <c r="R2986" t="s">
        <v>75</v>
      </c>
      <c r="S2986">
        <v>1</v>
      </c>
      <c r="T2986">
        <v>0</v>
      </c>
      <c r="U2986">
        <f>IF(AND(OR(Dashboard!$D$4="Semua",D2986=Dashboard!$D$4),OR(Dashboard!$H$4="Semua",E2986=Dashboard!$H$4)),1,0)</f>
        <v>1</v>
      </c>
      <c r="V2986">
        <f>IF(U2986=1,IF(COUNTIFS($C$2:C2986,C2986,$U$2:U2986,1)=1,1,0),0)</f>
        <v>0</v>
      </c>
    </row>
    <row r="2987" spans="1:22" x14ac:dyDescent="0.35">
      <c r="A2987">
        <v>12986</v>
      </c>
      <c r="B2987" s="1">
        <v>47547</v>
      </c>
      <c r="C2987">
        <v>1643</v>
      </c>
      <c r="D2987" t="s">
        <v>80</v>
      </c>
      <c r="E2987" t="s">
        <v>74</v>
      </c>
      <c r="F2987">
        <v>7</v>
      </c>
      <c r="G2987" s="2">
        <v>169.98</v>
      </c>
      <c r="H2987">
        <v>0.19</v>
      </c>
      <c r="I2987" t="s">
        <v>64</v>
      </c>
      <c r="J2987">
        <v>4</v>
      </c>
      <c r="K2987">
        <v>4.7</v>
      </c>
      <c r="L2987" s="2">
        <v>963.79</v>
      </c>
      <c r="M2987">
        <v>2030</v>
      </c>
      <c r="N2987">
        <v>3</v>
      </c>
      <c r="O2987" t="s">
        <v>178</v>
      </c>
      <c r="P2987" s="2">
        <v>1189.8599999999999</v>
      </c>
      <c r="Q2987" s="2">
        <v>226.07</v>
      </c>
      <c r="R2987" t="s">
        <v>76</v>
      </c>
      <c r="S2987">
        <v>1</v>
      </c>
      <c r="T2987">
        <v>0</v>
      </c>
      <c r="U2987">
        <f>IF(AND(OR(Dashboard!$D$4="Semua",D2987=Dashboard!$D$4),OR(Dashboard!$H$4="Semua",E2987=Dashboard!$H$4)),1,0)</f>
        <v>1</v>
      </c>
      <c r="V2987">
        <f>IF(U2987=1,IF(COUNTIFS($C$2:C2987,C2987,$U$2:U2987,1)=1,1,0),0)</f>
        <v>0</v>
      </c>
    </row>
    <row r="2988" spans="1:22" x14ac:dyDescent="0.35">
      <c r="A2988">
        <v>12987</v>
      </c>
      <c r="B2988" s="1">
        <v>47548</v>
      </c>
      <c r="C2988">
        <v>1089</v>
      </c>
      <c r="D2988" t="s">
        <v>80</v>
      </c>
      <c r="E2988" t="s">
        <v>74</v>
      </c>
      <c r="F2988">
        <v>4</v>
      </c>
      <c r="G2988" s="2">
        <v>144.44</v>
      </c>
      <c r="H2988">
        <v>0.25</v>
      </c>
      <c r="I2988" t="s">
        <v>68</v>
      </c>
      <c r="J2988">
        <v>3</v>
      </c>
      <c r="K2988">
        <v>1.8</v>
      </c>
      <c r="L2988" s="2">
        <v>433.32</v>
      </c>
      <c r="M2988">
        <v>2030</v>
      </c>
      <c r="N2988">
        <v>3</v>
      </c>
      <c r="O2988" t="s">
        <v>178</v>
      </c>
      <c r="P2988" s="2">
        <v>577.76</v>
      </c>
      <c r="Q2988" s="2">
        <v>144.44</v>
      </c>
      <c r="R2988" t="s">
        <v>77</v>
      </c>
      <c r="S2988">
        <v>1</v>
      </c>
      <c r="T2988">
        <v>0</v>
      </c>
      <c r="U2988">
        <f>IF(AND(OR(Dashboard!$D$4="Semua",D2988=Dashboard!$D$4),OR(Dashboard!$H$4="Semua",E2988=Dashboard!$H$4)),1,0)</f>
        <v>1</v>
      </c>
      <c r="V2988">
        <f>IF(U2988=1,IF(COUNTIFS($C$2:C2988,C2988,$U$2:U2988,1)=1,1,0),0)</f>
        <v>0</v>
      </c>
    </row>
    <row r="2989" spans="1:22" x14ac:dyDescent="0.35">
      <c r="A2989">
        <v>12988</v>
      </c>
      <c r="B2989" s="1">
        <v>47549</v>
      </c>
      <c r="C2989">
        <v>1344</v>
      </c>
      <c r="D2989" t="s">
        <v>73</v>
      </c>
      <c r="E2989" t="s">
        <v>70</v>
      </c>
      <c r="F2989">
        <v>1</v>
      </c>
      <c r="G2989" s="2">
        <v>129.56</v>
      </c>
      <c r="H2989">
        <v>0.3</v>
      </c>
      <c r="I2989" t="s">
        <v>71</v>
      </c>
      <c r="J2989">
        <v>8</v>
      </c>
      <c r="K2989">
        <v>3.1</v>
      </c>
      <c r="L2989" s="2">
        <v>90.69</v>
      </c>
      <c r="M2989">
        <v>2030</v>
      </c>
      <c r="N2989">
        <v>3</v>
      </c>
      <c r="O2989" t="s">
        <v>178</v>
      </c>
      <c r="P2989" s="2">
        <v>129.56</v>
      </c>
      <c r="Q2989" s="2">
        <v>38.869999999999997</v>
      </c>
      <c r="R2989" t="s">
        <v>66</v>
      </c>
      <c r="S2989">
        <v>1</v>
      </c>
      <c r="T2989">
        <v>0</v>
      </c>
      <c r="U2989">
        <f>IF(AND(OR(Dashboard!$D$4="Semua",D2989=Dashboard!$D$4),OR(Dashboard!$H$4="Semua",E2989=Dashboard!$H$4)),1,0)</f>
        <v>1</v>
      </c>
      <c r="V2989">
        <f>IF(U2989=1,IF(COUNTIFS($C$2:C2989,C2989,$U$2:U2989,1)=1,1,0),0)</f>
        <v>0</v>
      </c>
    </row>
    <row r="2990" spans="1:22" x14ac:dyDescent="0.35">
      <c r="A2990">
        <v>12989</v>
      </c>
      <c r="B2990" s="1">
        <v>47550</v>
      </c>
      <c r="C2990">
        <v>1349</v>
      </c>
      <c r="D2990" t="s">
        <v>80</v>
      </c>
      <c r="E2990" t="s">
        <v>74</v>
      </c>
      <c r="F2990">
        <v>3</v>
      </c>
      <c r="G2990" s="2">
        <v>91.42</v>
      </c>
      <c r="H2990">
        <v>0.33</v>
      </c>
      <c r="I2990" t="s">
        <v>68</v>
      </c>
      <c r="J2990">
        <v>8</v>
      </c>
      <c r="K2990">
        <v>1.9</v>
      </c>
      <c r="L2990" s="2">
        <v>183.75</v>
      </c>
      <c r="M2990">
        <v>2030</v>
      </c>
      <c r="N2990">
        <v>3</v>
      </c>
      <c r="O2990" t="s">
        <v>178</v>
      </c>
      <c r="P2990" s="2">
        <v>274.26</v>
      </c>
      <c r="Q2990" s="2">
        <v>90.51</v>
      </c>
      <c r="R2990" t="s">
        <v>72</v>
      </c>
      <c r="S2990">
        <v>1</v>
      </c>
      <c r="T2990">
        <v>0</v>
      </c>
      <c r="U2990">
        <f>IF(AND(OR(Dashboard!$D$4="Semua",D2990=Dashboard!$D$4),OR(Dashboard!$H$4="Semua",E2990=Dashboard!$H$4)),1,0)</f>
        <v>1</v>
      </c>
      <c r="V2990">
        <f>IF(U2990=1,IF(COUNTIFS($C$2:C2990,C2990,$U$2:U2990,1)=1,1,0),0)</f>
        <v>0</v>
      </c>
    </row>
    <row r="2991" spans="1:22" x14ac:dyDescent="0.35">
      <c r="A2991">
        <v>12990</v>
      </c>
      <c r="B2991" s="1">
        <v>47551</v>
      </c>
      <c r="C2991">
        <v>1458</v>
      </c>
      <c r="D2991" t="s">
        <v>73</v>
      </c>
      <c r="E2991" t="s">
        <v>74</v>
      </c>
      <c r="F2991">
        <v>5</v>
      </c>
      <c r="G2991" s="2">
        <v>561.36</v>
      </c>
      <c r="H2991">
        <v>0.27</v>
      </c>
      <c r="I2991" t="s">
        <v>64</v>
      </c>
      <c r="J2991">
        <v>10</v>
      </c>
      <c r="K2991">
        <v>1.8</v>
      </c>
      <c r="L2991" s="2">
        <v>2048.96</v>
      </c>
      <c r="M2991">
        <v>2030</v>
      </c>
      <c r="N2991">
        <v>3</v>
      </c>
      <c r="O2991" t="s">
        <v>178</v>
      </c>
      <c r="P2991" s="2">
        <v>2806.8</v>
      </c>
      <c r="Q2991" s="2">
        <v>757.84</v>
      </c>
      <c r="R2991" t="s">
        <v>66</v>
      </c>
      <c r="S2991">
        <v>1</v>
      </c>
      <c r="T2991">
        <v>0</v>
      </c>
      <c r="U2991">
        <f>IF(AND(OR(Dashboard!$D$4="Semua",D2991=Dashboard!$D$4),OR(Dashboard!$H$4="Semua",E2991=Dashboard!$H$4)),1,0)</f>
        <v>1</v>
      </c>
      <c r="V2991">
        <f>IF(U2991=1,IF(COUNTIFS($C$2:C2991,C2991,$U$2:U2991,1)=1,1,0),0)</f>
        <v>0</v>
      </c>
    </row>
    <row r="2992" spans="1:22" x14ac:dyDescent="0.35">
      <c r="A2992">
        <v>12991</v>
      </c>
      <c r="B2992" s="1">
        <v>47552</v>
      </c>
      <c r="C2992">
        <v>1262</v>
      </c>
      <c r="D2992" t="s">
        <v>67</v>
      </c>
      <c r="E2992" t="s">
        <v>74</v>
      </c>
      <c r="F2992">
        <v>7</v>
      </c>
      <c r="G2992" s="2">
        <v>99.35</v>
      </c>
      <c r="H2992">
        <v>0.23</v>
      </c>
      <c r="I2992" t="s">
        <v>71</v>
      </c>
      <c r="J2992">
        <v>5</v>
      </c>
      <c r="K2992">
        <v>4.8</v>
      </c>
      <c r="L2992" s="2">
        <v>535.5</v>
      </c>
      <c r="M2992">
        <v>2030</v>
      </c>
      <c r="N2992">
        <v>3</v>
      </c>
      <c r="O2992" t="s">
        <v>178</v>
      </c>
      <c r="P2992" s="2">
        <v>695.45</v>
      </c>
      <c r="Q2992" s="2">
        <v>159.94999999999999</v>
      </c>
      <c r="R2992" t="s">
        <v>77</v>
      </c>
      <c r="S2992">
        <v>1</v>
      </c>
      <c r="T2992">
        <v>0</v>
      </c>
      <c r="U2992">
        <f>IF(AND(OR(Dashboard!$D$4="Semua",D2992=Dashboard!$D$4),OR(Dashboard!$H$4="Semua",E2992=Dashboard!$H$4)),1,0)</f>
        <v>1</v>
      </c>
      <c r="V2992">
        <f>IF(U2992=1,IF(COUNTIFS($C$2:C2992,C2992,$U$2:U2992,1)=1,1,0),0)</f>
        <v>0</v>
      </c>
    </row>
    <row r="2993" spans="1:22" x14ac:dyDescent="0.35">
      <c r="A2993">
        <v>12992</v>
      </c>
      <c r="B2993" s="1">
        <v>47553</v>
      </c>
      <c r="C2993">
        <v>1350</v>
      </c>
      <c r="D2993" t="s">
        <v>73</v>
      </c>
      <c r="E2993" t="s">
        <v>74</v>
      </c>
      <c r="F2993">
        <v>2</v>
      </c>
      <c r="G2993" s="2">
        <v>134.58000000000001</v>
      </c>
      <c r="H2993">
        <v>0.15</v>
      </c>
      <c r="I2993" t="s">
        <v>71</v>
      </c>
      <c r="J2993">
        <v>3</v>
      </c>
      <c r="K2993">
        <v>4.3</v>
      </c>
      <c r="L2993" s="2">
        <v>228.79</v>
      </c>
      <c r="M2993">
        <v>2030</v>
      </c>
      <c r="N2993">
        <v>3</v>
      </c>
      <c r="O2993" t="s">
        <v>178</v>
      </c>
      <c r="P2993" s="2">
        <v>269.16000000000003</v>
      </c>
      <c r="Q2993" s="2">
        <v>40.369999999999997</v>
      </c>
      <c r="R2993" t="s">
        <v>79</v>
      </c>
      <c r="S2993">
        <v>1</v>
      </c>
      <c r="T2993">
        <v>0</v>
      </c>
      <c r="U2993">
        <f>IF(AND(OR(Dashboard!$D$4="Semua",D2993=Dashboard!$D$4),OR(Dashboard!$H$4="Semua",E2993=Dashboard!$H$4)),1,0)</f>
        <v>1</v>
      </c>
      <c r="V2993">
        <f>IF(U2993=1,IF(COUNTIFS($C$2:C2993,C2993,$U$2:U2993,1)=1,1,0),0)</f>
        <v>1</v>
      </c>
    </row>
    <row r="2994" spans="1:22" x14ac:dyDescent="0.35">
      <c r="A2994">
        <v>12993</v>
      </c>
      <c r="B2994" s="1">
        <v>47554</v>
      </c>
      <c r="C2994">
        <v>1107</v>
      </c>
      <c r="D2994" t="s">
        <v>62</v>
      </c>
      <c r="E2994" t="s">
        <v>70</v>
      </c>
      <c r="F2994">
        <v>6</v>
      </c>
      <c r="G2994" s="2">
        <v>159.07</v>
      </c>
      <c r="H2994">
        <v>0.04</v>
      </c>
      <c r="I2994" t="s">
        <v>68</v>
      </c>
      <c r="J2994">
        <v>5</v>
      </c>
      <c r="K2994">
        <v>1</v>
      </c>
      <c r="L2994" s="2">
        <v>916.24</v>
      </c>
      <c r="M2994">
        <v>2030</v>
      </c>
      <c r="N2994">
        <v>3</v>
      </c>
      <c r="O2994" t="s">
        <v>178</v>
      </c>
      <c r="P2994" s="2">
        <v>954.42</v>
      </c>
      <c r="Q2994" s="2">
        <v>38.18</v>
      </c>
      <c r="R2994" t="s">
        <v>75</v>
      </c>
      <c r="S2994">
        <v>1</v>
      </c>
      <c r="T2994">
        <v>0</v>
      </c>
      <c r="U2994">
        <f>IF(AND(OR(Dashboard!$D$4="Semua",D2994=Dashboard!$D$4),OR(Dashboard!$H$4="Semua",E2994=Dashboard!$H$4)),1,0)</f>
        <v>1</v>
      </c>
      <c r="V2994">
        <f>IF(U2994=1,IF(COUNTIFS($C$2:C2994,C2994,$U$2:U2994,1)=1,1,0),0)</f>
        <v>0</v>
      </c>
    </row>
    <row r="2995" spans="1:22" x14ac:dyDescent="0.35">
      <c r="A2995">
        <v>12994</v>
      </c>
      <c r="B2995" s="1">
        <v>47555</v>
      </c>
      <c r="C2995">
        <v>1585</v>
      </c>
      <c r="D2995" t="s">
        <v>73</v>
      </c>
      <c r="E2995" t="s">
        <v>63</v>
      </c>
      <c r="F2995">
        <v>2</v>
      </c>
      <c r="G2995" s="2">
        <v>560.80999999999995</v>
      </c>
      <c r="H2995">
        <v>0.25</v>
      </c>
      <c r="I2995" t="s">
        <v>71</v>
      </c>
      <c r="J2995">
        <v>4</v>
      </c>
      <c r="K2995">
        <v>2.1</v>
      </c>
      <c r="L2995" s="2">
        <v>841.21</v>
      </c>
      <c r="M2995">
        <v>2030</v>
      </c>
      <c r="N2995">
        <v>3</v>
      </c>
      <c r="O2995" t="s">
        <v>178</v>
      </c>
      <c r="P2995" s="2">
        <v>1121.6199999999999</v>
      </c>
      <c r="Q2995" s="2">
        <v>280.41000000000003</v>
      </c>
      <c r="R2995" t="s">
        <v>77</v>
      </c>
      <c r="S2995">
        <v>1</v>
      </c>
      <c r="T2995">
        <v>0</v>
      </c>
      <c r="U2995">
        <f>IF(AND(OR(Dashboard!$D$4="Semua",D2995=Dashboard!$D$4),OR(Dashboard!$H$4="Semua",E2995=Dashboard!$H$4)),1,0)</f>
        <v>1</v>
      </c>
      <c r="V2995">
        <f>IF(U2995=1,IF(COUNTIFS($C$2:C2995,C2995,$U$2:U2995,1)=1,1,0),0)</f>
        <v>0</v>
      </c>
    </row>
    <row r="2996" spans="1:22" x14ac:dyDescent="0.35">
      <c r="A2996">
        <v>12995</v>
      </c>
      <c r="B2996" s="1">
        <v>47556</v>
      </c>
      <c r="C2996">
        <v>1038</v>
      </c>
      <c r="D2996" t="s">
        <v>73</v>
      </c>
      <c r="E2996" t="s">
        <v>63</v>
      </c>
      <c r="F2996">
        <v>3</v>
      </c>
      <c r="G2996" s="2">
        <v>457.09</v>
      </c>
      <c r="H2996">
        <v>0.35</v>
      </c>
      <c r="I2996" t="s">
        <v>68</v>
      </c>
      <c r="J2996">
        <v>8</v>
      </c>
      <c r="K2996">
        <v>1.8</v>
      </c>
      <c r="L2996" s="2">
        <v>891.33</v>
      </c>
      <c r="M2996">
        <v>2030</v>
      </c>
      <c r="N2996">
        <v>3</v>
      </c>
      <c r="O2996" t="s">
        <v>178</v>
      </c>
      <c r="P2996" s="2">
        <v>1371.27</v>
      </c>
      <c r="Q2996" s="2">
        <v>479.94</v>
      </c>
      <c r="R2996" t="s">
        <v>72</v>
      </c>
      <c r="S2996">
        <v>1</v>
      </c>
      <c r="T2996">
        <v>0</v>
      </c>
      <c r="U2996">
        <f>IF(AND(OR(Dashboard!$D$4="Semua",D2996=Dashboard!$D$4),OR(Dashboard!$H$4="Semua",E2996=Dashboard!$H$4)),1,0)</f>
        <v>1</v>
      </c>
      <c r="V2996">
        <f>IF(U2996=1,IF(COUNTIFS($C$2:C2996,C2996,$U$2:U2996,1)=1,1,0),0)</f>
        <v>0</v>
      </c>
    </row>
    <row r="2997" spans="1:22" x14ac:dyDescent="0.35">
      <c r="A2997">
        <v>12996</v>
      </c>
      <c r="B2997" s="1">
        <v>47557</v>
      </c>
      <c r="C2997">
        <v>1908</v>
      </c>
      <c r="D2997" t="s">
        <v>62</v>
      </c>
      <c r="E2997" t="s">
        <v>63</v>
      </c>
      <c r="F2997">
        <v>7</v>
      </c>
      <c r="G2997" s="2">
        <v>476.97</v>
      </c>
      <c r="H2997">
        <v>0.26</v>
      </c>
      <c r="I2997" t="s">
        <v>68</v>
      </c>
      <c r="J2997">
        <v>2</v>
      </c>
      <c r="K2997">
        <v>1.6</v>
      </c>
      <c r="L2997" s="2">
        <v>2470.6999999999998</v>
      </c>
      <c r="M2997">
        <v>2030</v>
      </c>
      <c r="N2997">
        <v>3</v>
      </c>
      <c r="O2997" t="s">
        <v>178</v>
      </c>
      <c r="P2997" s="2">
        <v>3338.79</v>
      </c>
      <c r="Q2997" s="2">
        <v>868.09</v>
      </c>
      <c r="R2997" t="s">
        <v>66</v>
      </c>
      <c r="S2997">
        <v>1</v>
      </c>
      <c r="T2997">
        <v>0</v>
      </c>
      <c r="U2997">
        <f>IF(AND(OR(Dashboard!$D$4="Semua",D2997=Dashboard!$D$4),OR(Dashboard!$H$4="Semua",E2997=Dashboard!$H$4)),1,0)</f>
        <v>1</v>
      </c>
      <c r="V2997">
        <f>IF(U2997=1,IF(COUNTIFS($C$2:C2997,C2997,$U$2:U2997,1)=1,1,0),0)</f>
        <v>0</v>
      </c>
    </row>
    <row r="2998" spans="1:22" x14ac:dyDescent="0.35">
      <c r="A2998">
        <v>12997</v>
      </c>
      <c r="B2998" s="1">
        <v>47558</v>
      </c>
      <c r="C2998">
        <v>1158</v>
      </c>
      <c r="D2998" t="s">
        <v>73</v>
      </c>
      <c r="E2998" t="s">
        <v>78</v>
      </c>
      <c r="F2998">
        <v>2</v>
      </c>
      <c r="G2998" s="2">
        <v>76.28</v>
      </c>
      <c r="H2998">
        <v>0.01</v>
      </c>
      <c r="I2998" t="s">
        <v>71</v>
      </c>
      <c r="J2998">
        <v>11</v>
      </c>
      <c r="K2998">
        <v>3.8</v>
      </c>
      <c r="L2998" s="2">
        <v>151.03</v>
      </c>
      <c r="M2998">
        <v>2030</v>
      </c>
      <c r="N2998">
        <v>3</v>
      </c>
      <c r="O2998" t="s">
        <v>178</v>
      </c>
      <c r="P2998" s="2">
        <v>152.56</v>
      </c>
      <c r="Q2998" s="2">
        <v>1.53</v>
      </c>
      <c r="R2998" t="s">
        <v>75</v>
      </c>
      <c r="S2998">
        <v>1</v>
      </c>
      <c r="T2998">
        <v>0</v>
      </c>
      <c r="U2998">
        <f>IF(AND(OR(Dashboard!$D$4="Semua",D2998=Dashboard!$D$4),OR(Dashboard!$H$4="Semua",E2998=Dashboard!$H$4)),1,0)</f>
        <v>1</v>
      </c>
      <c r="V2998">
        <f>IF(U2998=1,IF(COUNTIFS($C$2:C2998,C2998,$U$2:U2998,1)=1,1,0),0)</f>
        <v>0</v>
      </c>
    </row>
    <row r="2999" spans="1:22" x14ac:dyDescent="0.35">
      <c r="A2999">
        <v>12998</v>
      </c>
      <c r="B2999" s="1">
        <v>47559</v>
      </c>
      <c r="C2999">
        <v>1582</v>
      </c>
      <c r="D2999" t="s">
        <v>80</v>
      </c>
      <c r="E2999" t="s">
        <v>74</v>
      </c>
      <c r="F2999">
        <v>6</v>
      </c>
      <c r="G2999" s="2">
        <v>504.24</v>
      </c>
      <c r="H2999">
        <v>0.17</v>
      </c>
      <c r="I2999" t="s">
        <v>64</v>
      </c>
      <c r="J2999">
        <v>8</v>
      </c>
      <c r="K2999">
        <v>3.3</v>
      </c>
      <c r="L2999" s="2">
        <v>2511.12</v>
      </c>
      <c r="M2999">
        <v>2030</v>
      </c>
      <c r="N2999">
        <v>3</v>
      </c>
      <c r="O2999" t="s">
        <v>178</v>
      </c>
      <c r="P2999" s="2">
        <v>3025.44</v>
      </c>
      <c r="Q2999" s="2">
        <v>514.32000000000005</v>
      </c>
      <c r="R2999" t="s">
        <v>76</v>
      </c>
      <c r="S2999">
        <v>1</v>
      </c>
      <c r="T2999">
        <v>0</v>
      </c>
      <c r="U2999">
        <f>IF(AND(OR(Dashboard!$D$4="Semua",D2999=Dashboard!$D$4),OR(Dashboard!$H$4="Semua",E2999=Dashboard!$H$4)),1,0)</f>
        <v>1</v>
      </c>
      <c r="V2999">
        <f>IF(U2999=1,IF(COUNTIFS($C$2:C2999,C2999,$U$2:U2999,1)=1,1,0),0)</f>
        <v>1</v>
      </c>
    </row>
    <row r="3000" spans="1:22" x14ac:dyDescent="0.35">
      <c r="A3000">
        <v>12999</v>
      </c>
      <c r="B3000" s="1">
        <v>47560</v>
      </c>
      <c r="C3000">
        <v>1958</v>
      </c>
      <c r="D3000" t="s">
        <v>80</v>
      </c>
      <c r="E3000" t="s">
        <v>70</v>
      </c>
      <c r="F3000">
        <v>5</v>
      </c>
      <c r="G3000" s="2">
        <v>253.79</v>
      </c>
      <c r="H3000">
        <v>0.22</v>
      </c>
      <c r="I3000" t="s">
        <v>64</v>
      </c>
      <c r="J3000">
        <v>10</v>
      </c>
      <c r="K3000">
        <v>2.8</v>
      </c>
      <c r="L3000" s="2">
        <v>989.78</v>
      </c>
      <c r="M3000">
        <v>2030</v>
      </c>
      <c r="N3000">
        <v>3</v>
      </c>
      <c r="O3000" t="s">
        <v>178</v>
      </c>
      <c r="P3000" s="2">
        <v>1268.95</v>
      </c>
      <c r="Q3000" s="2">
        <v>279.17</v>
      </c>
      <c r="R3000" t="s">
        <v>77</v>
      </c>
      <c r="S3000">
        <v>1</v>
      </c>
      <c r="T3000">
        <v>0</v>
      </c>
      <c r="U3000">
        <f>IF(AND(OR(Dashboard!$D$4="Semua",D3000=Dashboard!$D$4),OR(Dashboard!$H$4="Semua",E3000=Dashboard!$H$4)),1,0)</f>
        <v>1</v>
      </c>
      <c r="V3000">
        <f>IF(U3000=1,IF(COUNTIFS($C$2:C3000,C3000,$U$2:U3000,1)=1,1,0),0)</f>
        <v>0</v>
      </c>
    </row>
    <row r="3001" spans="1:22" x14ac:dyDescent="0.35">
      <c r="A3001">
        <v>13000</v>
      </c>
      <c r="B3001" s="1">
        <v>47561</v>
      </c>
      <c r="C3001">
        <v>1311</v>
      </c>
      <c r="D3001" t="s">
        <v>80</v>
      </c>
      <c r="E3001" t="s">
        <v>70</v>
      </c>
      <c r="F3001">
        <v>4</v>
      </c>
      <c r="G3001" s="2">
        <v>168.75</v>
      </c>
      <c r="H3001">
        <v>0.24</v>
      </c>
      <c r="I3001" t="s">
        <v>71</v>
      </c>
      <c r="J3001">
        <v>6</v>
      </c>
      <c r="K3001">
        <v>1.8</v>
      </c>
      <c r="L3001" s="2">
        <v>513</v>
      </c>
      <c r="M3001">
        <v>2030</v>
      </c>
      <c r="N3001">
        <v>3</v>
      </c>
      <c r="O3001" t="s">
        <v>178</v>
      </c>
      <c r="P3001" s="2">
        <v>675</v>
      </c>
      <c r="Q3001" s="2">
        <v>162</v>
      </c>
      <c r="R3001" t="s">
        <v>77</v>
      </c>
      <c r="S3001">
        <v>1</v>
      </c>
      <c r="T3001">
        <v>0</v>
      </c>
      <c r="U3001">
        <f>IF(AND(OR(Dashboard!$D$4="Semua",D3001=Dashboard!$D$4),OR(Dashboard!$H$4="Semua",E3001=Dashboard!$H$4)),1,0)</f>
        <v>1</v>
      </c>
      <c r="V3001">
        <f>IF(U3001=1,IF(COUNTIFS($C$2:C3001,C3001,$U$2:U3001,1)=1,1,0),0)</f>
        <v>0</v>
      </c>
    </row>
    <row r="3002" spans="1:22" x14ac:dyDescent="0.35">
      <c r="A3002">
        <v>13001</v>
      </c>
      <c r="B3002" s="1">
        <v>47562</v>
      </c>
      <c r="C3002">
        <v>1240</v>
      </c>
      <c r="D3002" t="s">
        <v>62</v>
      </c>
      <c r="E3002" t="s">
        <v>78</v>
      </c>
      <c r="F3002">
        <v>5</v>
      </c>
      <c r="G3002" s="2">
        <v>351.81</v>
      </c>
      <c r="H3002">
        <v>0.25</v>
      </c>
      <c r="I3002" t="s">
        <v>71</v>
      </c>
      <c r="J3002">
        <v>4</v>
      </c>
      <c r="K3002">
        <v>2.1</v>
      </c>
      <c r="L3002" s="2">
        <v>1319.29</v>
      </c>
      <c r="M3002">
        <v>2030</v>
      </c>
      <c r="N3002">
        <v>3</v>
      </c>
      <c r="O3002" t="s">
        <v>178</v>
      </c>
      <c r="P3002" s="2">
        <v>1759.05</v>
      </c>
      <c r="Q3002" s="2">
        <v>439.76</v>
      </c>
      <c r="R3002" t="s">
        <v>77</v>
      </c>
      <c r="S3002">
        <v>1</v>
      </c>
      <c r="T3002">
        <v>0</v>
      </c>
      <c r="U3002">
        <f>IF(AND(OR(Dashboard!$D$4="Semua",D3002=Dashboard!$D$4),OR(Dashboard!$H$4="Semua",E3002=Dashboard!$H$4)),1,0)</f>
        <v>1</v>
      </c>
      <c r="V3002">
        <f>IF(U3002=1,IF(COUNTIFS($C$2:C3002,C3002,$U$2:U3002,1)=1,1,0),0)</f>
        <v>0</v>
      </c>
    </row>
    <row r="3003" spans="1:22" x14ac:dyDescent="0.35">
      <c r="A3003">
        <v>13002</v>
      </c>
      <c r="B3003" s="1">
        <v>47563</v>
      </c>
      <c r="C3003">
        <v>1937</v>
      </c>
      <c r="D3003" t="s">
        <v>62</v>
      </c>
      <c r="E3003" t="s">
        <v>70</v>
      </c>
      <c r="F3003">
        <v>2</v>
      </c>
      <c r="G3003" s="2">
        <v>495.98</v>
      </c>
      <c r="H3003">
        <v>0.2</v>
      </c>
      <c r="I3003" t="s">
        <v>64</v>
      </c>
      <c r="J3003">
        <v>11</v>
      </c>
      <c r="K3003">
        <v>2.4</v>
      </c>
      <c r="L3003" s="2">
        <v>793.57</v>
      </c>
      <c r="M3003">
        <v>2030</v>
      </c>
      <c r="N3003">
        <v>3</v>
      </c>
      <c r="O3003" t="s">
        <v>178</v>
      </c>
      <c r="P3003" s="2">
        <v>991.96</v>
      </c>
      <c r="Q3003" s="2">
        <v>198.39</v>
      </c>
      <c r="R3003" t="s">
        <v>76</v>
      </c>
      <c r="S3003">
        <v>1</v>
      </c>
      <c r="T3003">
        <v>0</v>
      </c>
      <c r="U3003">
        <f>IF(AND(OR(Dashboard!$D$4="Semua",D3003=Dashboard!$D$4),OR(Dashboard!$H$4="Semua",E3003=Dashboard!$H$4)),1,0)</f>
        <v>1</v>
      </c>
      <c r="V3003">
        <f>IF(U3003=1,IF(COUNTIFS($C$2:C3003,C3003,$U$2:U3003,1)=1,1,0),0)</f>
        <v>0</v>
      </c>
    </row>
    <row r="3004" spans="1:22" x14ac:dyDescent="0.35">
      <c r="A3004">
        <v>13003</v>
      </c>
      <c r="B3004" s="1">
        <v>47564</v>
      </c>
      <c r="C3004">
        <v>1444</v>
      </c>
      <c r="D3004" t="s">
        <v>73</v>
      </c>
      <c r="E3004" t="s">
        <v>63</v>
      </c>
      <c r="F3004">
        <v>6</v>
      </c>
      <c r="G3004" s="2">
        <v>470.51</v>
      </c>
      <c r="H3004">
        <v>0.08</v>
      </c>
      <c r="I3004" t="s">
        <v>71</v>
      </c>
      <c r="J3004">
        <v>3</v>
      </c>
      <c r="K3004">
        <v>4.0999999999999996</v>
      </c>
      <c r="L3004" s="2">
        <v>2597.2199999999998</v>
      </c>
      <c r="M3004">
        <v>2030</v>
      </c>
      <c r="N3004">
        <v>3</v>
      </c>
      <c r="O3004" t="s">
        <v>178</v>
      </c>
      <c r="P3004" s="2">
        <v>2823.06</v>
      </c>
      <c r="Q3004" s="2">
        <v>225.84</v>
      </c>
      <c r="R3004" t="s">
        <v>69</v>
      </c>
      <c r="S3004">
        <v>1</v>
      </c>
      <c r="T3004">
        <v>0</v>
      </c>
      <c r="U3004">
        <f>IF(AND(OR(Dashboard!$D$4="Semua",D3004=Dashboard!$D$4),OR(Dashboard!$H$4="Semua",E3004=Dashboard!$H$4)),1,0)</f>
        <v>1</v>
      </c>
      <c r="V3004">
        <f>IF(U3004=1,IF(COUNTIFS($C$2:C3004,C3004,$U$2:U3004,1)=1,1,0),0)</f>
        <v>0</v>
      </c>
    </row>
    <row r="3005" spans="1:22" x14ac:dyDescent="0.35">
      <c r="A3005">
        <v>13004</v>
      </c>
      <c r="B3005" s="1">
        <v>47565</v>
      </c>
      <c r="C3005">
        <v>1297</v>
      </c>
      <c r="D3005" t="s">
        <v>80</v>
      </c>
      <c r="E3005" t="s">
        <v>78</v>
      </c>
      <c r="F3005">
        <v>4</v>
      </c>
      <c r="G3005" s="2">
        <v>535.65</v>
      </c>
      <c r="H3005">
        <v>0.33</v>
      </c>
      <c r="I3005" t="s">
        <v>68</v>
      </c>
      <c r="J3005">
        <v>10</v>
      </c>
      <c r="K3005">
        <v>5</v>
      </c>
      <c r="L3005" s="2">
        <v>1435.54</v>
      </c>
      <c r="M3005">
        <v>2030</v>
      </c>
      <c r="N3005">
        <v>3</v>
      </c>
      <c r="O3005" t="s">
        <v>178</v>
      </c>
      <c r="P3005" s="2">
        <v>2142.6</v>
      </c>
      <c r="Q3005" s="2">
        <v>707.06</v>
      </c>
      <c r="R3005" t="s">
        <v>72</v>
      </c>
      <c r="S3005">
        <v>1</v>
      </c>
      <c r="T3005">
        <v>0</v>
      </c>
      <c r="U3005">
        <f>IF(AND(OR(Dashboard!$D$4="Semua",D3005=Dashboard!$D$4),OR(Dashboard!$H$4="Semua",E3005=Dashboard!$H$4)),1,0)</f>
        <v>1</v>
      </c>
      <c r="V3005">
        <f>IF(U3005=1,IF(COUNTIFS($C$2:C3005,C3005,$U$2:U3005,1)=1,1,0),0)</f>
        <v>0</v>
      </c>
    </row>
    <row r="3006" spans="1:22" x14ac:dyDescent="0.35">
      <c r="A3006">
        <v>13005</v>
      </c>
      <c r="B3006" s="1">
        <v>47566</v>
      </c>
      <c r="C3006">
        <v>1951</v>
      </c>
      <c r="D3006" t="s">
        <v>67</v>
      </c>
      <c r="E3006" t="s">
        <v>70</v>
      </c>
      <c r="F3006">
        <v>7</v>
      </c>
      <c r="G3006" s="2">
        <v>557.96</v>
      </c>
      <c r="H3006">
        <v>0.24</v>
      </c>
      <c r="I3006" t="s">
        <v>64</v>
      </c>
      <c r="J3006">
        <v>5</v>
      </c>
      <c r="K3006">
        <v>1.7</v>
      </c>
      <c r="L3006" s="2">
        <v>2968.35</v>
      </c>
      <c r="M3006">
        <v>2030</v>
      </c>
      <c r="N3006">
        <v>3</v>
      </c>
      <c r="O3006" t="s">
        <v>178</v>
      </c>
      <c r="P3006" s="2">
        <v>3905.72</v>
      </c>
      <c r="Q3006" s="2">
        <v>937.37</v>
      </c>
      <c r="R3006" t="s">
        <v>77</v>
      </c>
      <c r="S3006">
        <v>1</v>
      </c>
      <c r="T3006">
        <v>0</v>
      </c>
      <c r="U3006">
        <f>IF(AND(OR(Dashboard!$D$4="Semua",D3006=Dashboard!$D$4),OR(Dashboard!$H$4="Semua",E3006=Dashboard!$H$4)),1,0)</f>
        <v>1</v>
      </c>
      <c r="V3006">
        <f>IF(U3006=1,IF(COUNTIFS($C$2:C3006,C3006,$U$2:U3006,1)=1,1,0),0)</f>
        <v>0</v>
      </c>
    </row>
    <row r="3007" spans="1:22" x14ac:dyDescent="0.35">
      <c r="A3007">
        <v>13006</v>
      </c>
      <c r="B3007" s="1">
        <v>47567</v>
      </c>
      <c r="C3007">
        <v>1035</v>
      </c>
      <c r="D3007" t="s">
        <v>67</v>
      </c>
      <c r="E3007" t="s">
        <v>78</v>
      </c>
      <c r="F3007">
        <v>6</v>
      </c>
      <c r="G3007" s="2">
        <v>154.30000000000001</v>
      </c>
      <c r="H3007">
        <v>0.08</v>
      </c>
      <c r="I3007" t="s">
        <v>68</v>
      </c>
      <c r="J3007">
        <v>6</v>
      </c>
      <c r="K3007">
        <v>2.4</v>
      </c>
      <c r="L3007" s="2">
        <v>851.74</v>
      </c>
      <c r="M3007">
        <v>2030</v>
      </c>
      <c r="N3007">
        <v>3</v>
      </c>
      <c r="O3007" t="s">
        <v>178</v>
      </c>
      <c r="P3007" s="2">
        <v>925.8</v>
      </c>
      <c r="Q3007" s="2">
        <v>74.06</v>
      </c>
      <c r="R3007" t="s">
        <v>69</v>
      </c>
      <c r="S3007">
        <v>1</v>
      </c>
      <c r="T3007">
        <v>0</v>
      </c>
      <c r="U3007">
        <f>IF(AND(OR(Dashboard!$D$4="Semua",D3007=Dashboard!$D$4),OR(Dashboard!$H$4="Semua",E3007=Dashboard!$H$4)),1,0)</f>
        <v>1</v>
      </c>
      <c r="V3007">
        <f>IF(U3007=1,IF(COUNTIFS($C$2:C3007,C3007,$U$2:U3007,1)=1,1,0),0)</f>
        <v>0</v>
      </c>
    </row>
    <row r="3008" spans="1:22" x14ac:dyDescent="0.35">
      <c r="A3008">
        <v>13007</v>
      </c>
      <c r="B3008" s="1">
        <v>47568</v>
      </c>
      <c r="C3008">
        <v>1083</v>
      </c>
      <c r="D3008" t="s">
        <v>73</v>
      </c>
      <c r="E3008" t="s">
        <v>78</v>
      </c>
      <c r="F3008">
        <v>5</v>
      </c>
      <c r="G3008" s="2">
        <v>262.95999999999998</v>
      </c>
      <c r="H3008">
        <v>0.11</v>
      </c>
      <c r="I3008" t="s">
        <v>68</v>
      </c>
      <c r="J3008">
        <v>1</v>
      </c>
      <c r="K3008">
        <v>2.1</v>
      </c>
      <c r="L3008" s="2">
        <v>1170.17</v>
      </c>
      <c r="M3008">
        <v>2030</v>
      </c>
      <c r="N3008">
        <v>3</v>
      </c>
      <c r="O3008" t="s">
        <v>178</v>
      </c>
      <c r="P3008" s="2">
        <v>1314.8</v>
      </c>
      <c r="Q3008" s="2">
        <v>144.63</v>
      </c>
      <c r="R3008" t="s">
        <v>79</v>
      </c>
      <c r="S3008">
        <v>1</v>
      </c>
      <c r="T3008">
        <v>0</v>
      </c>
      <c r="U3008">
        <f>IF(AND(OR(Dashboard!$D$4="Semua",D3008=Dashboard!$D$4),OR(Dashboard!$H$4="Semua",E3008=Dashboard!$H$4)),1,0)</f>
        <v>1</v>
      </c>
      <c r="V3008">
        <f>IF(U3008=1,IF(COUNTIFS($C$2:C3008,C3008,$U$2:U3008,1)=1,1,0),0)</f>
        <v>0</v>
      </c>
    </row>
    <row r="3009" spans="1:22" x14ac:dyDescent="0.35">
      <c r="A3009">
        <v>13008</v>
      </c>
      <c r="B3009" s="1">
        <v>47569</v>
      </c>
      <c r="C3009">
        <v>1451</v>
      </c>
      <c r="D3009" t="s">
        <v>80</v>
      </c>
      <c r="E3009" t="s">
        <v>70</v>
      </c>
      <c r="F3009">
        <v>1</v>
      </c>
      <c r="G3009" s="2">
        <v>23.56</v>
      </c>
      <c r="H3009">
        <v>0.32</v>
      </c>
      <c r="I3009" t="s">
        <v>71</v>
      </c>
      <c r="J3009">
        <v>1</v>
      </c>
      <c r="K3009">
        <v>1.2</v>
      </c>
      <c r="L3009" s="2">
        <v>16.02</v>
      </c>
      <c r="M3009">
        <v>2030</v>
      </c>
      <c r="N3009">
        <v>3</v>
      </c>
      <c r="O3009" t="s">
        <v>178</v>
      </c>
      <c r="P3009" s="2">
        <v>23.56</v>
      </c>
      <c r="Q3009" s="2">
        <v>7.54</v>
      </c>
      <c r="R3009" t="s">
        <v>72</v>
      </c>
      <c r="S3009">
        <v>1</v>
      </c>
      <c r="T3009">
        <v>0</v>
      </c>
      <c r="U3009">
        <f>IF(AND(OR(Dashboard!$D$4="Semua",D3009=Dashboard!$D$4),OR(Dashboard!$H$4="Semua",E3009=Dashboard!$H$4)),1,0)</f>
        <v>1</v>
      </c>
      <c r="V3009">
        <f>IF(U3009=1,IF(COUNTIFS($C$2:C3009,C3009,$U$2:U3009,1)=1,1,0),0)</f>
        <v>0</v>
      </c>
    </row>
    <row r="3010" spans="1:22" x14ac:dyDescent="0.35">
      <c r="A3010">
        <v>13009</v>
      </c>
      <c r="B3010" s="1">
        <v>47570</v>
      </c>
      <c r="C3010">
        <v>1885</v>
      </c>
      <c r="D3010" t="s">
        <v>62</v>
      </c>
      <c r="E3010" t="s">
        <v>63</v>
      </c>
      <c r="F3010">
        <v>1</v>
      </c>
      <c r="G3010" s="2">
        <v>529.4</v>
      </c>
      <c r="H3010">
        <v>0.31</v>
      </c>
      <c r="I3010" t="s">
        <v>68</v>
      </c>
      <c r="J3010">
        <v>11</v>
      </c>
      <c r="K3010">
        <v>1.9</v>
      </c>
      <c r="L3010" s="2">
        <v>365.29</v>
      </c>
      <c r="M3010">
        <v>2030</v>
      </c>
      <c r="N3010">
        <v>3</v>
      </c>
      <c r="O3010" t="s">
        <v>178</v>
      </c>
      <c r="P3010" s="2">
        <v>529.4</v>
      </c>
      <c r="Q3010" s="2">
        <v>164.11</v>
      </c>
      <c r="R3010" t="s">
        <v>72</v>
      </c>
      <c r="S3010">
        <v>1</v>
      </c>
      <c r="T3010">
        <v>0</v>
      </c>
      <c r="U3010">
        <f>IF(AND(OR(Dashboard!$D$4="Semua",D3010=Dashboard!$D$4),OR(Dashboard!$H$4="Semua",E3010=Dashboard!$H$4)),1,0)</f>
        <v>1</v>
      </c>
      <c r="V3010">
        <f>IF(U3010=1,IF(COUNTIFS($C$2:C3010,C3010,$U$2:U3010,1)=1,1,0),0)</f>
        <v>0</v>
      </c>
    </row>
    <row r="3011" spans="1:22" x14ac:dyDescent="0.35">
      <c r="A3011">
        <v>13010</v>
      </c>
      <c r="B3011" s="1">
        <v>47571</v>
      </c>
      <c r="C3011">
        <v>1774</v>
      </c>
      <c r="D3011" t="s">
        <v>62</v>
      </c>
      <c r="E3011" t="s">
        <v>70</v>
      </c>
      <c r="F3011">
        <v>4</v>
      </c>
      <c r="G3011" s="2">
        <v>105.42</v>
      </c>
      <c r="H3011">
        <v>0.14000000000000001</v>
      </c>
      <c r="I3011" t="s">
        <v>68</v>
      </c>
      <c r="J3011">
        <v>10</v>
      </c>
      <c r="K3011">
        <v>4.5999999999999996</v>
      </c>
      <c r="L3011" s="2">
        <v>362.64</v>
      </c>
      <c r="M3011">
        <v>2030</v>
      </c>
      <c r="N3011">
        <v>3</v>
      </c>
      <c r="O3011" t="s">
        <v>178</v>
      </c>
      <c r="P3011" s="2">
        <v>421.68</v>
      </c>
      <c r="Q3011" s="2">
        <v>59.04</v>
      </c>
      <c r="R3011" t="s">
        <v>79</v>
      </c>
      <c r="S3011">
        <v>1</v>
      </c>
      <c r="T3011">
        <v>0</v>
      </c>
      <c r="U3011">
        <f>IF(AND(OR(Dashboard!$D$4="Semua",D3011=Dashboard!$D$4),OR(Dashboard!$H$4="Semua",E3011=Dashboard!$H$4)),1,0)</f>
        <v>1</v>
      </c>
      <c r="V3011">
        <f>IF(U3011=1,IF(COUNTIFS($C$2:C3011,C3011,$U$2:U3011,1)=1,1,0),0)</f>
        <v>0</v>
      </c>
    </row>
    <row r="3012" spans="1:22" x14ac:dyDescent="0.35">
      <c r="A3012">
        <v>13011</v>
      </c>
      <c r="B3012" s="1">
        <v>47572</v>
      </c>
      <c r="C3012">
        <v>1821</v>
      </c>
      <c r="D3012" t="s">
        <v>67</v>
      </c>
      <c r="E3012" t="s">
        <v>74</v>
      </c>
      <c r="F3012">
        <v>4</v>
      </c>
      <c r="G3012" s="2">
        <v>518.96</v>
      </c>
      <c r="H3012">
        <v>0.01</v>
      </c>
      <c r="I3012" t="s">
        <v>68</v>
      </c>
      <c r="J3012">
        <v>3</v>
      </c>
      <c r="K3012">
        <v>4.4000000000000004</v>
      </c>
      <c r="L3012" s="2">
        <v>2055.08</v>
      </c>
      <c r="M3012">
        <v>2030</v>
      </c>
      <c r="N3012">
        <v>3</v>
      </c>
      <c r="O3012" t="s">
        <v>178</v>
      </c>
      <c r="P3012" s="2">
        <v>2075.84</v>
      </c>
      <c r="Q3012" s="2">
        <v>20.76</v>
      </c>
      <c r="R3012" t="s">
        <v>75</v>
      </c>
      <c r="S3012">
        <v>1</v>
      </c>
      <c r="T3012">
        <v>0</v>
      </c>
      <c r="U3012">
        <f>IF(AND(OR(Dashboard!$D$4="Semua",D3012=Dashboard!$D$4),OR(Dashboard!$H$4="Semua",E3012=Dashboard!$H$4)),1,0)</f>
        <v>1</v>
      </c>
      <c r="V3012">
        <f>IF(U3012=1,IF(COUNTIFS($C$2:C3012,C3012,$U$2:U3012,1)=1,1,0),0)</f>
        <v>0</v>
      </c>
    </row>
    <row r="3013" spans="1:22" x14ac:dyDescent="0.35">
      <c r="A3013">
        <v>13012</v>
      </c>
      <c r="B3013" s="1">
        <v>47573</v>
      </c>
      <c r="C3013">
        <v>1384</v>
      </c>
      <c r="D3013" t="s">
        <v>73</v>
      </c>
      <c r="E3013" t="s">
        <v>74</v>
      </c>
      <c r="F3013">
        <v>4</v>
      </c>
      <c r="G3013" s="2">
        <v>207.69</v>
      </c>
      <c r="H3013">
        <v>0.02</v>
      </c>
      <c r="I3013" t="s">
        <v>71</v>
      </c>
      <c r="J3013">
        <v>2</v>
      </c>
      <c r="K3013">
        <v>1.7</v>
      </c>
      <c r="L3013" s="2">
        <v>814.14</v>
      </c>
      <c r="M3013">
        <v>2030</v>
      </c>
      <c r="N3013">
        <v>3</v>
      </c>
      <c r="O3013" t="s">
        <v>178</v>
      </c>
      <c r="P3013" s="2">
        <v>830.76</v>
      </c>
      <c r="Q3013" s="2">
        <v>16.62</v>
      </c>
      <c r="R3013" t="s">
        <v>75</v>
      </c>
      <c r="S3013">
        <v>1</v>
      </c>
      <c r="T3013">
        <v>0</v>
      </c>
      <c r="U3013">
        <f>IF(AND(OR(Dashboard!$D$4="Semua",D3013=Dashboard!$D$4),OR(Dashboard!$H$4="Semua",E3013=Dashboard!$H$4)),1,0)</f>
        <v>1</v>
      </c>
      <c r="V3013">
        <f>IF(U3013=1,IF(COUNTIFS($C$2:C3013,C3013,$U$2:U3013,1)=1,1,0),0)</f>
        <v>0</v>
      </c>
    </row>
    <row r="3014" spans="1:22" x14ac:dyDescent="0.35">
      <c r="A3014">
        <v>13013</v>
      </c>
      <c r="B3014" s="1">
        <v>47574</v>
      </c>
      <c r="C3014">
        <v>1171</v>
      </c>
      <c r="D3014" t="s">
        <v>67</v>
      </c>
      <c r="E3014" t="s">
        <v>70</v>
      </c>
      <c r="F3014">
        <v>1</v>
      </c>
      <c r="G3014" s="2">
        <v>230.36</v>
      </c>
      <c r="H3014">
        <v>0.1</v>
      </c>
      <c r="I3014" t="s">
        <v>64</v>
      </c>
      <c r="J3014">
        <v>1</v>
      </c>
      <c r="K3014">
        <v>2.5</v>
      </c>
      <c r="L3014" s="2">
        <v>207.32</v>
      </c>
      <c r="M3014">
        <v>2030</v>
      </c>
      <c r="N3014">
        <v>4</v>
      </c>
      <c r="O3014" t="s">
        <v>179</v>
      </c>
      <c r="P3014" s="2">
        <v>230.36</v>
      </c>
      <c r="Q3014" s="2">
        <v>23.04</v>
      </c>
      <c r="R3014" t="s">
        <v>69</v>
      </c>
      <c r="S3014">
        <v>1</v>
      </c>
      <c r="T3014">
        <v>0</v>
      </c>
      <c r="U3014">
        <f>IF(AND(OR(Dashboard!$D$4="Semua",D3014=Dashboard!$D$4),OR(Dashboard!$H$4="Semua",E3014=Dashboard!$H$4)),1,0)</f>
        <v>1</v>
      </c>
      <c r="V3014">
        <f>IF(U3014=1,IF(COUNTIFS($C$2:C3014,C3014,$U$2:U3014,1)=1,1,0),0)</f>
        <v>0</v>
      </c>
    </row>
    <row r="3015" spans="1:22" x14ac:dyDescent="0.35">
      <c r="A3015">
        <v>13014</v>
      </c>
      <c r="B3015" s="1">
        <v>47575</v>
      </c>
      <c r="C3015">
        <v>1375</v>
      </c>
      <c r="D3015" t="s">
        <v>80</v>
      </c>
      <c r="E3015" t="s">
        <v>63</v>
      </c>
      <c r="F3015">
        <v>5</v>
      </c>
      <c r="G3015" s="2">
        <v>37.89</v>
      </c>
      <c r="H3015">
        <v>0.22</v>
      </c>
      <c r="I3015" t="s">
        <v>68</v>
      </c>
      <c r="J3015">
        <v>11</v>
      </c>
      <c r="K3015">
        <v>2.2000000000000002</v>
      </c>
      <c r="L3015" s="2">
        <v>147.77000000000001</v>
      </c>
      <c r="M3015">
        <v>2030</v>
      </c>
      <c r="N3015">
        <v>4</v>
      </c>
      <c r="O3015" t="s">
        <v>179</v>
      </c>
      <c r="P3015" s="2">
        <v>189.45</v>
      </c>
      <c r="Q3015" s="2">
        <v>41.68</v>
      </c>
      <c r="R3015" t="s">
        <v>77</v>
      </c>
      <c r="S3015">
        <v>1</v>
      </c>
      <c r="T3015">
        <v>0</v>
      </c>
      <c r="U3015">
        <f>IF(AND(OR(Dashboard!$D$4="Semua",D3015=Dashboard!$D$4),OR(Dashboard!$H$4="Semua",E3015=Dashboard!$H$4)),1,0)</f>
        <v>1</v>
      </c>
      <c r="V3015">
        <f>IF(U3015=1,IF(COUNTIFS($C$2:C3015,C3015,$U$2:U3015,1)=1,1,0),0)</f>
        <v>0</v>
      </c>
    </row>
    <row r="3016" spans="1:22" x14ac:dyDescent="0.35">
      <c r="A3016">
        <v>13015</v>
      </c>
      <c r="B3016" s="1">
        <v>47576</v>
      </c>
      <c r="C3016">
        <v>1684</v>
      </c>
      <c r="D3016" t="s">
        <v>80</v>
      </c>
      <c r="E3016" t="s">
        <v>74</v>
      </c>
      <c r="F3016">
        <v>4</v>
      </c>
      <c r="G3016" s="2">
        <v>206.22</v>
      </c>
      <c r="H3016">
        <v>0.2</v>
      </c>
      <c r="I3016" t="s">
        <v>68</v>
      </c>
      <c r="J3016">
        <v>8</v>
      </c>
      <c r="K3016">
        <v>1.6</v>
      </c>
      <c r="L3016" s="2">
        <v>659.9</v>
      </c>
      <c r="M3016">
        <v>2030</v>
      </c>
      <c r="N3016">
        <v>4</v>
      </c>
      <c r="O3016" t="s">
        <v>179</v>
      </c>
      <c r="P3016" s="2">
        <v>824.88</v>
      </c>
      <c r="Q3016" s="2">
        <v>164.98</v>
      </c>
      <c r="R3016" t="s">
        <v>76</v>
      </c>
      <c r="S3016">
        <v>1</v>
      </c>
      <c r="T3016">
        <v>0</v>
      </c>
      <c r="U3016">
        <f>IF(AND(OR(Dashboard!$D$4="Semua",D3016=Dashboard!$D$4),OR(Dashboard!$H$4="Semua",E3016=Dashboard!$H$4)),1,0)</f>
        <v>1</v>
      </c>
      <c r="V3016">
        <f>IF(U3016=1,IF(COUNTIFS($C$2:C3016,C3016,$U$2:U3016,1)=1,1,0),0)</f>
        <v>0</v>
      </c>
    </row>
    <row r="3017" spans="1:22" x14ac:dyDescent="0.35">
      <c r="A3017">
        <v>13016</v>
      </c>
      <c r="B3017" s="1">
        <v>47577</v>
      </c>
      <c r="C3017">
        <v>1361</v>
      </c>
      <c r="D3017" t="s">
        <v>67</v>
      </c>
      <c r="E3017" t="s">
        <v>74</v>
      </c>
      <c r="F3017">
        <v>1</v>
      </c>
      <c r="G3017" s="2">
        <v>534.69000000000005</v>
      </c>
      <c r="H3017">
        <v>0.22</v>
      </c>
      <c r="I3017" t="s">
        <v>68</v>
      </c>
      <c r="J3017">
        <v>1</v>
      </c>
      <c r="K3017">
        <v>3.5</v>
      </c>
      <c r="L3017" s="2">
        <v>417.06</v>
      </c>
      <c r="M3017">
        <v>2030</v>
      </c>
      <c r="N3017">
        <v>4</v>
      </c>
      <c r="O3017" t="s">
        <v>179</v>
      </c>
      <c r="P3017" s="2">
        <v>534.69000000000005</v>
      </c>
      <c r="Q3017" s="2">
        <v>117.63</v>
      </c>
      <c r="R3017" t="s">
        <v>77</v>
      </c>
      <c r="S3017">
        <v>1</v>
      </c>
      <c r="T3017">
        <v>0</v>
      </c>
      <c r="U3017">
        <f>IF(AND(OR(Dashboard!$D$4="Semua",D3017=Dashboard!$D$4),OR(Dashboard!$H$4="Semua",E3017=Dashboard!$H$4)),1,0)</f>
        <v>1</v>
      </c>
      <c r="V3017">
        <f>IF(U3017=1,IF(COUNTIFS($C$2:C3017,C3017,$U$2:U3017,1)=1,1,0),0)</f>
        <v>1</v>
      </c>
    </row>
    <row r="3018" spans="1:22" x14ac:dyDescent="0.35">
      <c r="A3018">
        <v>13017</v>
      </c>
      <c r="B3018" s="1">
        <v>47578</v>
      </c>
      <c r="C3018">
        <v>1558</v>
      </c>
      <c r="D3018" t="s">
        <v>73</v>
      </c>
      <c r="E3018" t="s">
        <v>70</v>
      </c>
      <c r="F3018">
        <v>4</v>
      </c>
      <c r="G3018" s="2">
        <v>29.95</v>
      </c>
      <c r="H3018">
        <v>0.25</v>
      </c>
      <c r="I3018" t="s">
        <v>71</v>
      </c>
      <c r="J3018">
        <v>10</v>
      </c>
      <c r="K3018">
        <v>3.2</v>
      </c>
      <c r="L3018" s="2">
        <v>89.85</v>
      </c>
      <c r="M3018">
        <v>2030</v>
      </c>
      <c r="N3018">
        <v>4</v>
      </c>
      <c r="O3018" t="s">
        <v>179</v>
      </c>
      <c r="P3018" s="2">
        <v>119.8</v>
      </c>
      <c r="Q3018" s="2">
        <v>29.95</v>
      </c>
      <c r="R3018" t="s">
        <v>77</v>
      </c>
      <c r="S3018">
        <v>1</v>
      </c>
      <c r="T3018">
        <v>0</v>
      </c>
      <c r="U3018">
        <f>IF(AND(OR(Dashboard!$D$4="Semua",D3018=Dashboard!$D$4),OR(Dashboard!$H$4="Semua",E3018=Dashboard!$H$4)),1,0)</f>
        <v>1</v>
      </c>
      <c r="V3018">
        <f>IF(U3018=1,IF(COUNTIFS($C$2:C3018,C3018,$U$2:U3018,1)=1,1,0),0)</f>
        <v>0</v>
      </c>
    </row>
    <row r="3019" spans="1:22" x14ac:dyDescent="0.35">
      <c r="A3019">
        <v>13018</v>
      </c>
      <c r="B3019" s="1">
        <v>47579</v>
      </c>
      <c r="C3019">
        <v>1890</v>
      </c>
      <c r="D3019" t="s">
        <v>67</v>
      </c>
      <c r="E3019" t="s">
        <v>70</v>
      </c>
      <c r="F3019">
        <v>4</v>
      </c>
      <c r="G3019" s="2">
        <v>252.7</v>
      </c>
      <c r="H3019">
        <v>0.01</v>
      </c>
      <c r="I3019" t="s">
        <v>71</v>
      </c>
      <c r="J3019">
        <v>8</v>
      </c>
      <c r="K3019">
        <v>2.7</v>
      </c>
      <c r="L3019" s="2">
        <v>1000.69</v>
      </c>
      <c r="M3019">
        <v>2030</v>
      </c>
      <c r="N3019">
        <v>4</v>
      </c>
      <c r="O3019" t="s">
        <v>179</v>
      </c>
      <c r="P3019" s="2">
        <v>1010.8</v>
      </c>
      <c r="Q3019" s="2">
        <v>10.11</v>
      </c>
      <c r="R3019" t="s">
        <v>75</v>
      </c>
      <c r="S3019">
        <v>1</v>
      </c>
      <c r="T3019">
        <v>0</v>
      </c>
      <c r="U3019">
        <f>IF(AND(OR(Dashboard!$D$4="Semua",D3019=Dashboard!$D$4),OR(Dashboard!$H$4="Semua",E3019=Dashboard!$H$4)),1,0)</f>
        <v>1</v>
      </c>
      <c r="V3019">
        <f>IF(U3019=1,IF(COUNTIFS($C$2:C3019,C3019,$U$2:U3019,1)=1,1,0),0)</f>
        <v>0</v>
      </c>
    </row>
    <row r="3020" spans="1:22" x14ac:dyDescent="0.35">
      <c r="A3020">
        <v>13019</v>
      </c>
      <c r="B3020" s="1">
        <v>47580</v>
      </c>
      <c r="C3020">
        <v>1140</v>
      </c>
      <c r="D3020" t="s">
        <v>67</v>
      </c>
      <c r="E3020" t="s">
        <v>70</v>
      </c>
      <c r="F3020">
        <v>6</v>
      </c>
      <c r="G3020" s="2">
        <v>33.369999999999997</v>
      </c>
      <c r="H3020">
        <v>0.04</v>
      </c>
      <c r="I3020" t="s">
        <v>71</v>
      </c>
      <c r="J3020">
        <v>5</v>
      </c>
      <c r="K3020">
        <v>4.4000000000000004</v>
      </c>
      <c r="L3020" s="2">
        <v>192.21</v>
      </c>
      <c r="M3020">
        <v>2030</v>
      </c>
      <c r="N3020">
        <v>4</v>
      </c>
      <c r="O3020" t="s">
        <v>179</v>
      </c>
      <c r="P3020" s="2">
        <v>200.22</v>
      </c>
      <c r="Q3020" s="2">
        <v>8.01</v>
      </c>
      <c r="R3020" t="s">
        <v>75</v>
      </c>
      <c r="S3020">
        <v>1</v>
      </c>
      <c r="T3020">
        <v>0</v>
      </c>
      <c r="U3020">
        <f>IF(AND(OR(Dashboard!$D$4="Semua",D3020=Dashboard!$D$4),OR(Dashboard!$H$4="Semua",E3020=Dashboard!$H$4)),1,0)</f>
        <v>1</v>
      </c>
      <c r="V3020">
        <f>IF(U3020=1,IF(COUNTIFS($C$2:C3020,C3020,$U$2:U3020,1)=1,1,0),0)</f>
        <v>0</v>
      </c>
    </row>
    <row r="3021" spans="1:22" x14ac:dyDescent="0.35">
      <c r="A3021">
        <v>13020</v>
      </c>
      <c r="B3021" s="1">
        <v>47581</v>
      </c>
      <c r="C3021">
        <v>1886</v>
      </c>
      <c r="D3021" t="s">
        <v>62</v>
      </c>
      <c r="E3021" t="s">
        <v>78</v>
      </c>
      <c r="F3021">
        <v>4</v>
      </c>
      <c r="G3021" s="2">
        <v>231.99</v>
      </c>
      <c r="H3021">
        <v>0.13</v>
      </c>
      <c r="I3021" t="s">
        <v>68</v>
      </c>
      <c r="J3021">
        <v>4</v>
      </c>
      <c r="K3021">
        <v>3.5</v>
      </c>
      <c r="L3021" s="2">
        <v>807.33</v>
      </c>
      <c r="M3021">
        <v>2030</v>
      </c>
      <c r="N3021">
        <v>4</v>
      </c>
      <c r="O3021" t="s">
        <v>179</v>
      </c>
      <c r="P3021" s="2">
        <v>927.96</v>
      </c>
      <c r="Q3021" s="2">
        <v>120.63</v>
      </c>
      <c r="R3021" t="s">
        <v>79</v>
      </c>
      <c r="S3021">
        <v>1</v>
      </c>
      <c r="T3021">
        <v>0</v>
      </c>
      <c r="U3021">
        <f>IF(AND(OR(Dashboard!$D$4="Semua",D3021=Dashboard!$D$4),OR(Dashboard!$H$4="Semua",E3021=Dashboard!$H$4)),1,0)</f>
        <v>1</v>
      </c>
      <c r="V3021">
        <f>IF(U3021=1,IF(COUNTIFS($C$2:C3021,C3021,$U$2:U3021,1)=1,1,0),0)</f>
        <v>0</v>
      </c>
    </row>
    <row r="3022" spans="1:22" x14ac:dyDescent="0.35">
      <c r="A3022">
        <v>13021</v>
      </c>
      <c r="B3022" s="1">
        <v>47582</v>
      </c>
      <c r="C3022">
        <v>1917</v>
      </c>
      <c r="D3022" t="s">
        <v>67</v>
      </c>
      <c r="E3022" t="s">
        <v>78</v>
      </c>
      <c r="F3022">
        <v>1</v>
      </c>
      <c r="G3022" s="2">
        <v>115.99</v>
      </c>
      <c r="H3022">
        <v>0.05</v>
      </c>
      <c r="I3022" t="s">
        <v>71</v>
      </c>
      <c r="J3022">
        <v>8</v>
      </c>
      <c r="K3022">
        <v>2</v>
      </c>
      <c r="L3022" s="2">
        <v>110.19</v>
      </c>
      <c r="M3022">
        <v>2030</v>
      </c>
      <c r="N3022">
        <v>4</v>
      </c>
      <c r="O3022" t="s">
        <v>179</v>
      </c>
      <c r="P3022" s="2">
        <v>115.99</v>
      </c>
      <c r="Q3022" s="2">
        <v>5.8</v>
      </c>
      <c r="R3022" t="s">
        <v>75</v>
      </c>
      <c r="S3022">
        <v>1</v>
      </c>
      <c r="T3022">
        <v>0</v>
      </c>
      <c r="U3022">
        <f>IF(AND(OR(Dashboard!$D$4="Semua",D3022=Dashboard!$D$4),OR(Dashboard!$H$4="Semua",E3022=Dashboard!$H$4)),1,0)</f>
        <v>1</v>
      </c>
      <c r="V3022">
        <f>IF(U3022=1,IF(COUNTIFS($C$2:C3022,C3022,$U$2:U3022,1)=1,1,0),0)</f>
        <v>0</v>
      </c>
    </row>
    <row r="3023" spans="1:22" x14ac:dyDescent="0.35">
      <c r="A3023">
        <v>13022</v>
      </c>
      <c r="B3023" s="1">
        <v>47583</v>
      </c>
      <c r="C3023">
        <v>1117</v>
      </c>
      <c r="D3023" t="s">
        <v>73</v>
      </c>
      <c r="E3023" t="s">
        <v>78</v>
      </c>
      <c r="F3023">
        <v>5</v>
      </c>
      <c r="G3023" s="2">
        <v>162.55000000000001</v>
      </c>
      <c r="H3023">
        <v>0.03</v>
      </c>
      <c r="I3023" t="s">
        <v>71</v>
      </c>
      <c r="J3023">
        <v>8</v>
      </c>
      <c r="K3023">
        <v>2.5</v>
      </c>
      <c r="L3023" s="2">
        <v>788.37</v>
      </c>
      <c r="M3023">
        <v>2030</v>
      </c>
      <c r="N3023">
        <v>4</v>
      </c>
      <c r="O3023" t="s">
        <v>179</v>
      </c>
      <c r="P3023" s="2">
        <v>812.75</v>
      </c>
      <c r="Q3023" s="2">
        <v>24.38</v>
      </c>
      <c r="R3023" t="s">
        <v>75</v>
      </c>
      <c r="S3023">
        <v>1</v>
      </c>
      <c r="T3023">
        <v>0</v>
      </c>
      <c r="U3023">
        <f>IF(AND(OR(Dashboard!$D$4="Semua",D3023=Dashboard!$D$4),OR(Dashboard!$H$4="Semua",E3023=Dashboard!$H$4)),1,0)</f>
        <v>1</v>
      </c>
      <c r="V3023">
        <f>IF(U3023=1,IF(COUNTIFS($C$2:C3023,C3023,$U$2:U3023,1)=1,1,0),0)</f>
        <v>0</v>
      </c>
    </row>
    <row r="3024" spans="1:22" x14ac:dyDescent="0.35">
      <c r="A3024">
        <v>13023</v>
      </c>
      <c r="B3024" s="1">
        <v>47584</v>
      </c>
      <c r="C3024">
        <v>1276</v>
      </c>
      <c r="D3024" t="s">
        <v>67</v>
      </c>
      <c r="E3024" t="s">
        <v>70</v>
      </c>
      <c r="F3024">
        <v>1</v>
      </c>
      <c r="G3024" s="2">
        <v>528.4</v>
      </c>
      <c r="H3024">
        <v>0.22</v>
      </c>
      <c r="I3024" t="s">
        <v>68</v>
      </c>
      <c r="J3024">
        <v>11</v>
      </c>
      <c r="K3024">
        <v>1.6</v>
      </c>
      <c r="L3024" s="2">
        <v>412.15</v>
      </c>
      <c r="M3024">
        <v>2030</v>
      </c>
      <c r="N3024">
        <v>4</v>
      </c>
      <c r="O3024" t="s">
        <v>179</v>
      </c>
      <c r="P3024" s="2">
        <v>528.4</v>
      </c>
      <c r="Q3024" s="2">
        <v>116.25</v>
      </c>
      <c r="R3024" t="s">
        <v>77</v>
      </c>
      <c r="S3024">
        <v>1</v>
      </c>
      <c r="T3024">
        <v>0</v>
      </c>
      <c r="U3024">
        <f>IF(AND(OR(Dashboard!$D$4="Semua",D3024=Dashboard!$D$4),OR(Dashboard!$H$4="Semua",E3024=Dashboard!$H$4)),1,0)</f>
        <v>1</v>
      </c>
      <c r="V3024">
        <f>IF(U3024=1,IF(COUNTIFS($C$2:C3024,C3024,$U$2:U3024,1)=1,1,0),0)</f>
        <v>0</v>
      </c>
    </row>
    <row r="3025" spans="1:22" x14ac:dyDescent="0.35">
      <c r="A3025">
        <v>13024</v>
      </c>
      <c r="B3025" s="1">
        <v>47585</v>
      </c>
      <c r="C3025">
        <v>1725</v>
      </c>
      <c r="D3025" t="s">
        <v>73</v>
      </c>
      <c r="E3025" t="s">
        <v>63</v>
      </c>
      <c r="F3025">
        <v>1</v>
      </c>
      <c r="G3025" s="2">
        <v>270.08999999999997</v>
      </c>
      <c r="H3025">
        <v>0.28999999999999998</v>
      </c>
      <c r="I3025" t="s">
        <v>68</v>
      </c>
      <c r="J3025">
        <v>8</v>
      </c>
      <c r="K3025">
        <v>3.4</v>
      </c>
      <c r="L3025" s="2">
        <v>191.76</v>
      </c>
      <c r="M3025">
        <v>2030</v>
      </c>
      <c r="N3025">
        <v>4</v>
      </c>
      <c r="O3025" t="s">
        <v>179</v>
      </c>
      <c r="P3025" s="2">
        <v>270.08999999999997</v>
      </c>
      <c r="Q3025" s="2">
        <v>78.33</v>
      </c>
      <c r="R3025" t="s">
        <v>66</v>
      </c>
      <c r="S3025">
        <v>1</v>
      </c>
      <c r="T3025">
        <v>0</v>
      </c>
      <c r="U3025">
        <f>IF(AND(OR(Dashboard!$D$4="Semua",D3025=Dashboard!$D$4),OR(Dashboard!$H$4="Semua",E3025=Dashboard!$H$4)),1,0)</f>
        <v>1</v>
      </c>
      <c r="V3025">
        <f>IF(U3025=1,IF(COUNTIFS($C$2:C3025,C3025,$U$2:U3025,1)=1,1,0),0)</f>
        <v>0</v>
      </c>
    </row>
    <row r="3026" spans="1:22" x14ac:dyDescent="0.35">
      <c r="A3026">
        <v>13025</v>
      </c>
      <c r="B3026" s="1">
        <v>47586</v>
      </c>
      <c r="C3026">
        <v>1219</v>
      </c>
      <c r="D3026" t="s">
        <v>62</v>
      </c>
      <c r="E3026" t="s">
        <v>74</v>
      </c>
      <c r="F3026">
        <v>4</v>
      </c>
      <c r="G3026" s="2">
        <v>175.17</v>
      </c>
      <c r="H3026">
        <v>0.26</v>
      </c>
      <c r="I3026" t="s">
        <v>68</v>
      </c>
      <c r="J3026">
        <v>3</v>
      </c>
      <c r="K3026">
        <v>3.3</v>
      </c>
      <c r="L3026" s="2">
        <v>518.5</v>
      </c>
      <c r="M3026">
        <v>2030</v>
      </c>
      <c r="N3026">
        <v>4</v>
      </c>
      <c r="O3026" t="s">
        <v>179</v>
      </c>
      <c r="P3026" s="2">
        <v>700.68</v>
      </c>
      <c r="Q3026" s="2">
        <v>182.18</v>
      </c>
      <c r="R3026" t="s">
        <v>66</v>
      </c>
      <c r="S3026">
        <v>1</v>
      </c>
      <c r="T3026">
        <v>0</v>
      </c>
      <c r="U3026">
        <f>IF(AND(OR(Dashboard!$D$4="Semua",D3026=Dashboard!$D$4),OR(Dashboard!$H$4="Semua",E3026=Dashboard!$H$4)),1,0)</f>
        <v>1</v>
      </c>
      <c r="V3026">
        <f>IF(U3026=1,IF(COUNTIFS($C$2:C3026,C3026,$U$2:U3026,1)=1,1,0),0)</f>
        <v>0</v>
      </c>
    </row>
    <row r="3027" spans="1:22" x14ac:dyDescent="0.35">
      <c r="A3027">
        <v>13026</v>
      </c>
      <c r="B3027" s="1">
        <v>47587</v>
      </c>
      <c r="C3027">
        <v>1904</v>
      </c>
      <c r="D3027" t="s">
        <v>67</v>
      </c>
      <c r="E3027" t="s">
        <v>78</v>
      </c>
      <c r="F3027">
        <v>6</v>
      </c>
      <c r="G3027" s="2">
        <v>359.76</v>
      </c>
      <c r="H3027">
        <v>0.28999999999999998</v>
      </c>
      <c r="I3027" t="s">
        <v>64</v>
      </c>
      <c r="J3027">
        <v>8</v>
      </c>
      <c r="K3027">
        <v>4.5</v>
      </c>
      <c r="L3027" s="2">
        <v>1532.58</v>
      </c>
      <c r="M3027">
        <v>2030</v>
      </c>
      <c r="N3027">
        <v>4</v>
      </c>
      <c r="O3027" t="s">
        <v>179</v>
      </c>
      <c r="P3027" s="2">
        <v>2158.56</v>
      </c>
      <c r="Q3027" s="2">
        <v>625.98</v>
      </c>
      <c r="R3027" t="s">
        <v>66</v>
      </c>
      <c r="S3027">
        <v>1</v>
      </c>
      <c r="T3027">
        <v>0</v>
      </c>
      <c r="U3027">
        <f>IF(AND(OR(Dashboard!$D$4="Semua",D3027=Dashboard!$D$4),OR(Dashboard!$H$4="Semua",E3027=Dashboard!$H$4)),1,0)</f>
        <v>1</v>
      </c>
      <c r="V3027">
        <f>IF(U3027=1,IF(COUNTIFS($C$2:C3027,C3027,$U$2:U3027,1)=1,1,0),0)</f>
        <v>0</v>
      </c>
    </row>
    <row r="3028" spans="1:22" x14ac:dyDescent="0.35">
      <c r="A3028">
        <v>13027</v>
      </c>
      <c r="B3028" s="1">
        <v>47588</v>
      </c>
      <c r="C3028">
        <v>1025</v>
      </c>
      <c r="D3028" t="s">
        <v>67</v>
      </c>
      <c r="E3028" t="s">
        <v>63</v>
      </c>
      <c r="F3028">
        <v>3</v>
      </c>
      <c r="G3028" s="2">
        <v>98.13</v>
      </c>
      <c r="H3028">
        <v>0.23</v>
      </c>
      <c r="I3028" t="s">
        <v>64</v>
      </c>
      <c r="J3028">
        <v>1</v>
      </c>
      <c r="K3028">
        <v>4.4000000000000004</v>
      </c>
      <c r="L3028" s="2">
        <v>226.68</v>
      </c>
      <c r="M3028">
        <v>2030</v>
      </c>
      <c r="N3028">
        <v>4</v>
      </c>
      <c r="O3028" t="s">
        <v>179</v>
      </c>
      <c r="P3028" s="2">
        <v>294.39</v>
      </c>
      <c r="Q3028" s="2">
        <v>67.709999999999994</v>
      </c>
      <c r="R3028" t="s">
        <v>77</v>
      </c>
      <c r="S3028">
        <v>1</v>
      </c>
      <c r="T3028">
        <v>0</v>
      </c>
      <c r="U3028">
        <f>IF(AND(OR(Dashboard!$D$4="Semua",D3028=Dashboard!$D$4),OR(Dashboard!$H$4="Semua",E3028=Dashboard!$H$4)),1,0)</f>
        <v>1</v>
      </c>
      <c r="V3028">
        <f>IF(U3028=1,IF(COUNTIFS($C$2:C3028,C3028,$U$2:U3028,1)=1,1,0),0)</f>
        <v>0</v>
      </c>
    </row>
    <row r="3029" spans="1:22" x14ac:dyDescent="0.35">
      <c r="A3029">
        <v>13028</v>
      </c>
      <c r="B3029" s="1">
        <v>47589</v>
      </c>
      <c r="C3029">
        <v>1520</v>
      </c>
      <c r="D3029" t="s">
        <v>67</v>
      </c>
      <c r="E3029" t="s">
        <v>70</v>
      </c>
      <c r="F3029">
        <v>7</v>
      </c>
      <c r="G3029" s="2">
        <v>166.74</v>
      </c>
      <c r="H3029">
        <v>0.26</v>
      </c>
      <c r="I3029" t="s">
        <v>71</v>
      </c>
      <c r="J3029">
        <v>4</v>
      </c>
      <c r="K3029">
        <v>4.3</v>
      </c>
      <c r="L3029" s="2">
        <v>863.71</v>
      </c>
      <c r="M3029">
        <v>2030</v>
      </c>
      <c r="N3029">
        <v>4</v>
      </c>
      <c r="O3029" t="s">
        <v>179</v>
      </c>
      <c r="P3029" s="2">
        <v>1167.18</v>
      </c>
      <c r="Q3029" s="2">
        <v>303.47000000000003</v>
      </c>
      <c r="R3029" t="s">
        <v>66</v>
      </c>
      <c r="S3029">
        <v>1</v>
      </c>
      <c r="T3029">
        <v>0</v>
      </c>
      <c r="U3029">
        <f>IF(AND(OR(Dashboard!$D$4="Semua",D3029=Dashboard!$D$4),OR(Dashboard!$H$4="Semua",E3029=Dashboard!$H$4)),1,0)</f>
        <v>1</v>
      </c>
      <c r="V3029">
        <f>IF(U3029=1,IF(COUNTIFS($C$2:C3029,C3029,$U$2:U3029,1)=1,1,0),0)</f>
        <v>0</v>
      </c>
    </row>
    <row r="3030" spans="1:22" x14ac:dyDescent="0.35">
      <c r="A3030">
        <v>13029</v>
      </c>
      <c r="B3030" s="1">
        <v>47590</v>
      </c>
      <c r="C3030">
        <v>1782</v>
      </c>
      <c r="D3030" t="s">
        <v>80</v>
      </c>
      <c r="E3030" t="s">
        <v>78</v>
      </c>
      <c r="F3030">
        <v>3</v>
      </c>
      <c r="G3030" s="2">
        <v>334.56</v>
      </c>
      <c r="H3030">
        <v>0.1</v>
      </c>
      <c r="I3030" t="s">
        <v>64</v>
      </c>
      <c r="J3030">
        <v>5</v>
      </c>
      <c r="K3030">
        <v>3.2</v>
      </c>
      <c r="L3030" s="2">
        <v>903.31</v>
      </c>
      <c r="M3030">
        <v>2030</v>
      </c>
      <c r="N3030">
        <v>4</v>
      </c>
      <c r="O3030" t="s">
        <v>179</v>
      </c>
      <c r="P3030" s="2">
        <v>1003.68</v>
      </c>
      <c r="Q3030" s="2">
        <v>100.37</v>
      </c>
      <c r="R3030" t="s">
        <v>69</v>
      </c>
      <c r="S3030">
        <v>1</v>
      </c>
      <c r="T3030">
        <v>0</v>
      </c>
      <c r="U3030">
        <f>IF(AND(OR(Dashboard!$D$4="Semua",D3030=Dashboard!$D$4),OR(Dashboard!$H$4="Semua",E3030=Dashboard!$H$4)),1,0)</f>
        <v>1</v>
      </c>
      <c r="V3030">
        <f>IF(U3030=1,IF(COUNTIFS($C$2:C3030,C3030,$U$2:U3030,1)=1,1,0),0)</f>
        <v>0</v>
      </c>
    </row>
    <row r="3031" spans="1:22" x14ac:dyDescent="0.35">
      <c r="A3031">
        <v>13030</v>
      </c>
      <c r="B3031" s="1">
        <v>47591</v>
      </c>
      <c r="C3031">
        <v>1009</v>
      </c>
      <c r="D3031" t="s">
        <v>80</v>
      </c>
      <c r="E3031" t="s">
        <v>70</v>
      </c>
      <c r="F3031">
        <v>3</v>
      </c>
      <c r="G3031" s="2">
        <v>153.94999999999999</v>
      </c>
      <c r="H3031">
        <v>0.35</v>
      </c>
      <c r="I3031" t="s">
        <v>71</v>
      </c>
      <c r="J3031">
        <v>6</v>
      </c>
      <c r="K3031">
        <v>3.6</v>
      </c>
      <c r="L3031" s="2">
        <v>300.2</v>
      </c>
      <c r="M3031">
        <v>2030</v>
      </c>
      <c r="N3031">
        <v>4</v>
      </c>
      <c r="O3031" t="s">
        <v>179</v>
      </c>
      <c r="P3031" s="2">
        <v>461.85</v>
      </c>
      <c r="Q3031" s="2">
        <v>161.65</v>
      </c>
      <c r="R3031" t="s">
        <v>72</v>
      </c>
      <c r="S3031">
        <v>1</v>
      </c>
      <c r="T3031">
        <v>0</v>
      </c>
      <c r="U3031">
        <f>IF(AND(OR(Dashboard!$D$4="Semua",D3031=Dashboard!$D$4),OR(Dashboard!$H$4="Semua",E3031=Dashboard!$H$4)),1,0)</f>
        <v>1</v>
      </c>
      <c r="V3031">
        <f>IF(U3031=1,IF(COUNTIFS($C$2:C3031,C3031,$U$2:U3031,1)=1,1,0),0)</f>
        <v>0</v>
      </c>
    </row>
    <row r="3032" spans="1:22" x14ac:dyDescent="0.35">
      <c r="A3032">
        <v>13031</v>
      </c>
      <c r="B3032" s="1">
        <v>47592</v>
      </c>
      <c r="C3032">
        <v>1983</v>
      </c>
      <c r="D3032" t="s">
        <v>80</v>
      </c>
      <c r="E3032" t="s">
        <v>63</v>
      </c>
      <c r="F3032">
        <v>1</v>
      </c>
      <c r="G3032" s="2">
        <v>412.29</v>
      </c>
      <c r="H3032">
        <v>0.06</v>
      </c>
      <c r="I3032" t="s">
        <v>64</v>
      </c>
      <c r="J3032">
        <v>5</v>
      </c>
      <c r="K3032">
        <v>4.0999999999999996</v>
      </c>
      <c r="L3032" s="2">
        <v>387.55</v>
      </c>
      <c r="M3032">
        <v>2030</v>
      </c>
      <c r="N3032">
        <v>4</v>
      </c>
      <c r="O3032" t="s">
        <v>179</v>
      </c>
      <c r="P3032" s="2">
        <v>412.29</v>
      </c>
      <c r="Q3032" s="2">
        <v>24.74</v>
      </c>
      <c r="R3032" t="s">
        <v>69</v>
      </c>
      <c r="S3032">
        <v>1</v>
      </c>
      <c r="T3032">
        <v>0</v>
      </c>
      <c r="U3032">
        <f>IF(AND(OR(Dashboard!$D$4="Semua",D3032=Dashboard!$D$4),OR(Dashboard!$H$4="Semua",E3032=Dashboard!$H$4)),1,0)</f>
        <v>1</v>
      </c>
      <c r="V3032">
        <f>IF(U3032=1,IF(COUNTIFS($C$2:C3032,C3032,$U$2:U3032,1)=1,1,0),0)</f>
        <v>0</v>
      </c>
    </row>
    <row r="3033" spans="1:22" x14ac:dyDescent="0.35">
      <c r="A3033">
        <v>13032</v>
      </c>
      <c r="B3033" s="1">
        <v>47593</v>
      </c>
      <c r="C3033">
        <v>1377</v>
      </c>
      <c r="D3033" t="s">
        <v>73</v>
      </c>
      <c r="E3033" t="s">
        <v>78</v>
      </c>
      <c r="F3033">
        <v>4</v>
      </c>
      <c r="G3033" s="2">
        <v>302.52</v>
      </c>
      <c r="H3033">
        <v>0.08</v>
      </c>
      <c r="I3033" t="s">
        <v>68</v>
      </c>
      <c r="J3033">
        <v>5</v>
      </c>
      <c r="K3033">
        <v>1.4</v>
      </c>
      <c r="L3033" s="2">
        <v>1113.27</v>
      </c>
      <c r="M3033">
        <v>2030</v>
      </c>
      <c r="N3033">
        <v>4</v>
      </c>
      <c r="O3033" t="s">
        <v>179</v>
      </c>
      <c r="P3033" s="2">
        <v>1210.08</v>
      </c>
      <c r="Q3033" s="2">
        <v>96.81</v>
      </c>
      <c r="R3033" t="s">
        <v>69</v>
      </c>
      <c r="S3033">
        <v>1</v>
      </c>
      <c r="T3033">
        <v>0</v>
      </c>
      <c r="U3033">
        <f>IF(AND(OR(Dashboard!$D$4="Semua",D3033=Dashboard!$D$4),OR(Dashboard!$H$4="Semua",E3033=Dashboard!$H$4)),1,0)</f>
        <v>1</v>
      </c>
      <c r="V3033">
        <f>IF(U3033=1,IF(COUNTIFS($C$2:C3033,C3033,$U$2:U3033,1)=1,1,0),0)</f>
        <v>0</v>
      </c>
    </row>
    <row r="3034" spans="1:22" x14ac:dyDescent="0.35">
      <c r="A3034">
        <v>13033</v>
      </c>
      <c r="B3034" s="1">
        <v>47594</v>
      </c>
      <c r="C3034">
        <v>1632</v>
      </c>
      <c r="D3034" t="s">
        <v>73</v>
      </c>
      <c r="E3034" t="s">
        <v>78</v>
      </c>
      <c r="F3034">
        <v>7</v>
      </c>
      <c r="G3034" s="2">
        <v>466.61</v>
      </c>
      <c r="H3034">
        <v>0.1</v>
      </c>
      <c r="I3034" t="s">
        <v>71</v>
      </c>
      <c r="J3034">
        <v>5</v>
      </c>
      <c r="K3034">
        <v>2.2000000000000002</v>
      </c>
      <c r="L3034" s="2">
        <v>2939.64</v>
      </c>
      <c r="M3034">
        <v>2030</v>
      </c>
      <c r="N3034">
        <v>4</v>
      </c>
      <c r="O3034" t="s">
        <v>179</v>
      </c>
      <c r="P3034" s="2">
        <v>3266.27</v>
      </c>
      <c r="Q3034" s="2">
        <v>326.63</v>
      </c>
      <c r="R3034" t="s">
        <v>69</v>
      </c>
      <c r="S3034">
        <v>1</v>
      </c>
      <c r="T3034">
        <v>0</v>
      </c>
      <c r="U3034">
        <f>IF(AND(OR(Dashboard!$D$4="Semua",D3034=Dashboard!$D$4),OR(Dashboard!$H$4="Semua",E3034=Dashboard!$H$4)),1,0)</f>
        <v>1</v>
      </c>
      <c r="V3034">
        <f>IF(U3034=1,IF(COUNTIFS($C$2:C3034,C3034,$U$2:U3034,1)=1,1,0),0)</f>
        <v>0</v>
      </c>
    </row>
    <row r="3035" spans="1:22" x14ac:dyDescent="0.35">
      <c r="A3035">
        <v>13034</v>
      </c>
      <c r="B3035" s="1">
        <v>47595</v>
      </c>
      <c r="C3035">
        <v>1636</v>
      </c>
      <c r="D3035" t="s">
        <v>73</v>
      </c>
      <c r="E3035" t="s">
        <v>78</v>
      </c>
      <c r="F3035">
        <v>3</v>
      </c>
      <c r="G3035" s="2">
        <v>569.72</v>
      </c>
      <c r="H3035">
        <v>0.34</v>
      </c>
      <c r="I3035" t="s">
        <v>71</v>
      </c>
      <c r="J3035">
        <v>9</v>
      </c>
      <c r="K3035">
        <v>1.7</v>
      </c>
      <c r="L3035" s="2">
        <v>1128.05</v>
      </c>
      <c r="M3035">
        <v>2030</v>
      </c>
      <c r="N3035">
        <v>4</v>
      </c>
      <c r="O3035" t="s">
        <v>179</v>
      </c>
      <c r="P3035" s="2">
        <v>1709.16</v>
      </c>
      <c r="Q3035" s="2">
        <v>581.11</v>
      </c>
      <c r="R3035" t="s">
        <v>72</v>
      </c>
      <c r="S3035">
        <v>1</v>
      </c>
      <c r="T3035">
        <v>0</v>
      </c>
      <c r="U3035">
        <f>IF(AND(OR(Dashboard!$D$4="Semua",D3035=Dashboard!$D$4),OR(Dashboard!$H$4="Semua",E3035=Dashboard!$H$4)),1,0)</f>
        <v>1</v>
      </c>
      <c r="V3035">
        <f>IF(U3035=1,IF(COUNTIFS($C$2:C3035,C3035,$U$2:U3035,1)=1,1,0),0)</f>
        <v>0</v>
      </c>
    </row>
    <row r="3036" spans="1:22" x14ac:dyDescent="0.35">
      <c r="A3036">
        <v>13035</v>
      </c>
      <c r="B3036" s="1">
        <v>47596</v>
      </c>
      <c r="C3036">
        <v>1681</v>
      </c>
      <c r="D3036" t="s">
        <v>80</v>
      </c>
      <c r="E3036" t="s">
        <v>78</v>
      </c>
      <c r="F3036">
        <v>2</v>
      </c>
      <c r="G3036" s="2">
        <v>82.75</v>
      </c>
      <c r="H3036">
        <v>0.35</v>
      </c>
      <c r="I3036" t="s">
        <v>71</v>
      </c>
      <c r="J3036">
        <v>10</v>
      </c>
      <c r="K3036">
        <v>3</v>
      </c>
      <c r="L3036" s="2">
        <v>107.58</v>
      </c>
      <c r="M3036">
        <v>2030</v>
      </c>
      <c r="N3036">
        <v>4</v>
      </c>
      <c r="O3036" t="s">
        <v>179</v>
      </c>
      <c r="P3036" s="2">
        <v>165.5</v>
      </c>
      <c r="Q3036" s="2">
        <v>57.92</v>
      </c>
      <c r="R3036" t="s">
        <v>72</v>
      </c>
      <c r="S3036">
        <v>1</v>
      </c>
      <c r="T3036">
        <v>0</v>
      </c>
      <c r="U3036">
        <f>IF(AND(OR(Dashboard!$D$4="Semua",D3036=Dashboard!$D$4),OR(Dashboard!$H$4="Semua",E3036=Dashboard!$H$4)),1,0)</f>
        <v>1</v>
      </c>
      <c r="V3036">
        <f>IF(U3036=1,IF(COUNTIFS($C$2:C3036,C3036,$U$2:U3036,1)=1,1,0),0)</f>
        <v>0</v>
      </c>
    </row>
    <row r="3037" spans="1:22" x14ac:dyDescent="0.35">
      <c r="A3037">
        <v>13036</v>
      </c>
      <c r="B3037" s="1">
        <v>47597</v>
      </c>
      <c r="C3037">
        <v>1583</v>
      </c>
      <c r="D3037" t="s">
        <v>73</v>
      </c>
      <c r="E3037" t="s">
        <v>63</v>
      </c>
      <c r="F3037">
        <v>2</v>
      </c>
      <c r="G3037" s="2">
        <v>210.78</v>
      </c>
      <c r="H3037">
        <v>0.28000000000000003</v>
      </c>
      <c r="I3037" t="s">
        <v>68</v>
      </c>
      <c r="J3037">
        <v>10</v>
      </c>
      <c r="K3037">
        <v>4.4000000000000004</v>
      </c>
      <c r="L3037" s="2">
        <v>303.52</v>
      </c>
      <c r="M3037">
        <v>2030</v>
      </c>
      <c r="N3037">
        <v>4</v>
      </c>
      <c r="O3037" t="s">
        <v>179</v>
      </c>
      <c r="P3037" s="2">
        <v>421.56</v>
      </c>
      <c r="Q3037" s="2">
        <v>118.04</v>
      </c>
      <c r="R3037" t="s">
        <v>66</v>
      </c>
      <c r="S3037">
        <v>1</v>
      </c>
      <c r="T3037">
        <v>0</v>
      </c>
      <c r="U3037">
        <f>IF(AND(OR(Dashboard!$D$4="Semua",D3037=Dashboard!$D$4),OR(Dashboard!$H$4="Semua",E3037=Dashboard!$H$4)),1,0)</f>
        <v>1</v>
      </c>
      <c r="V3037">
        <f>IF(U3037=1,IF(COUNTIFS($C$2:C3037,C3037,$U$2:U3037,1)=1,1,0),0)</f>
        <v>0</v>
      </c>
    </row>
    <row r="3038" spans="1:22" x14ac:dyDescent="0.35">
      <c r="A3038">
        <v>13037</v>
      </c>
      <c r="B3038" s="1">
        <v>47598</v>
      </c>
      <c r="C3038">
        <v>1151</v>
      </c>
      <c r="D3038" t="s">
        <v>67</v>
      </c>
      <c r="E3038" t="s">
        <v>78</v>
      </c>
      <c r="F3038">
        <v>2</v>
      </c>
      <c r="G3038" s="2">
        <v>201.94</v>
      </c>
      <c r="H3038">
        <v>0.22</v>
      </c>
      <c r="I3038" t="s">
        <v>68</v>
      </c>
      <c r="J3038">
        <v>3</v>
      </c>
      <c r="K3038">
        <v>1.9</v>
      </c>
      <c r="L3038" s="2">
        <v>315.02999999999997</v>
      </c>
      <c r="M3038">
        <v>2030</v>
      </c>
      <c r="N3038">
        <v>4</v>
      </c>
      <c r="O3038" t="s">
        <v>179</v>
      </c>
      <c r="P3038" s="2">
        <v>403.88</v>
      </c>
      <c r="Q3038" s="2">
        <v>88.85</v>
      </c>
      <c r="R3038" t="s">
        <v>77</v>
      </c>
      <c r="S3038">
        <v>1</v>
      </c>
      <c r="T3038">
        <v>0</v>
      </c>
      <c r="U3038">
        <f>IF(AND(OR(Dashboard!$D$4="Semua",D3038=Dashboard!$D$4),OR(Dashboard!$H$4="Semua",E3038=Dashboard!$H$4)),1,0)</f>
        <v>1</v>
      </c>
      <c r="V3038">
        <f>IF(U3038=1,IF(COUNTIFS($C$2:C3038,C3038,$U$2:U3038,1)=1,1,0),0)</f>
        <v>0</v>
      </c>
    </row>
    <row r="3039" spans="1:22" x14ac:dyDescent="0.35">
      <c r="A3039">
        <v>13038</v>
      </c>
      <c r="B3039" s="1">
        <v>47599</v>
      </c>
      <c r="C3039">
        <v>1719</v>
      </c>
      <c r="D3039" t="s">
        <v>62</v>
      </c>
      <c r="E3039" t="s">
        <v>74</v>
      </c>
      <c r="F3039">
        <v>5</v>
      </c>
      <c r="G3039" s="2">
        <v>103.44</v>
      </c>
      <c r="H3039">
        <v>0.18</v>
      </c>
      <c r="I3039" t="s">
        <v>68</v>
      </c>
      <c r="J3039">
        <v>2</v>
      </c>
      <c r="K3039">
        <v>3.9</v>
      </c>
      <c r="L3039" s="2">
        <v>424.1</v>
      </c>
      <c r="M3039">
        <v>2030</v>
      </c>
      <c r="N3039">
        <v>4</v>
      </c>
      <c r="O3039" t="s">
        <v>179</v>
      </c>
      <c r="P3039" s="2">
        <v>517.20000000000005</v>
      </c>
      <c r="Q3039" s="2">
        <v>93.1</v>
      </c>
      <c r="R3039" t="s">
        <v>76</v>
      </c>
      <c r="S3039">
        <v>1</v>
      </c>
      <c r="T3039">
        <v>0</v>
      </c>
      <c r="U3039">
        <f>IF(AND(OR(Dashboard!$D$4="Semua",D3039=Dashboard!$D$4),OR(Dashboard!$H$4="Semua",E3039=Dashboard!$H$4)),1,0)</f>
        <v>1</v>
      </c>
      <c r="V3039">
        <f>IF(U3039=1,IF(COUNTIFS($C$2:C3039,C3039,$U$2:U3039,1)=1,1,0),0)</f>
        <v>0</v>
      </c>
    </row>
    <row r="3040" spans="1:22" x14ac:dyDescent="0.35">
      <c r="A3040">
        <v>13039</v>
      </c>
      <c r="B3040" s="1">
        <v>47600</v>
      </c>
      <c r="C3040">
        <v>1048</v>
      </c>
      <c r="D3040" t="s">
        <v>62</v>
      </c>
      <c r="E3040" t="s">
        <v>74</v>
      </c>
      <c r="F3040">
        <v>4</v>
      </c>
      <c r="G3040" s="2">
        <v>489.03</v>
      </c>
      <c r="H3040">
        <v>0.34</v>
      </c>
      <c r="I3040" t="s">
        <v>68</v>
      </c>
      <c r="J3040">
        <v>10</v>
      </c>
      <c r="K3040">
        <v>2.6</v>
      </c>
      <c r="L3040" s="2">
        <v>1291.04</v>
      </c>
      <c r="M3040">
        <v>2030</v>
      </c>
      <c r="N3040">
        <v>4</v>
      </c>
      <c r="O3040" t="s">
        <v>179</v>
      </c>
      <c r="P3040" s="2">
        <v>1956.12</v>
      </c>
      <c r="Q3040" s="2">
        <v>665.08</v>
      </c>
      <c r="R3040" t="s">
        <v>72</v>
      </c>
      <c r="S3040">
        <v>1</v>
      </c>
      <c r="T3040">
        <v>0</v>
      </c>
      <c r="U3040">
        <f>IF(AND(OR(Dashboard!$D$4="Semua",D3040=Dashboard!$D$4),OR(Dashboard!$H$4="Semua",E3040=Dashboard!$H$4)),1,0)</f>
        <v>1</v>
      </c>
      <c r="V3040">
        <f>IF(U3040=1,IF(COUNTIFS($C$2:C3040,C3040,$U$2:U3040,1)=1,1,0),0)</f>
        <v>0</v>
      </c>
    </row>
    <row r="3041" spans="1:22" x14ac:dyDescent="0.35">
      <c r="A3041">
        <v>13040</v>
      </c>
      <c r="B3041" s="1">
        <v>47601</v>
      </c>
      <c r="C3041">
        <v>1153</v>
      </c>
      <c r="D3041" t="s">
        <v>67</v>
      </c>
      <c r="E3041" t="s">
        <v>70</v>
      </c>
      <c r="F3041">
        <v>1</v>
      </c>
      <c r="G3041" s="2">
        <v>459.53</v>
      </c>
      <c r="H3041">
        <v>0.24</v>
      </c>
      <c r="I3041" t="s">
        <v>68</v>
      </c>
      <c r="J3041">
        <v>2</v>
      </c>
      <c r="K3041">
        <v>4.5999999999999996</v>
      </c>
      <c r="L3041" s="2">
        <v>349.24</v>
      </c>
      <c r="M3041">
        <v>2030</v>
      </c>
      <c r="N3041">
        <v>4</v>
      </c>
      <c r="O3041" t="s">
        <v>179</v>
      </c>
      <c r="P3041" s="2">
        <v>459.53</v>
      </c>
      <c r="Q3041" s="2">
        <v>110.29</v>
      </c>
      <c r="R3041" t="s">
        <v>77</v>
      </c>
      <c r="S3041">
        <v>1</v>
      </c>
      <c r="T3041">
        <v>0</v>
      </c>
      <c r="U3041">
        <f>IF(AND(OR(Dashboard!$D$4="Semua",D3041=Dashboard!$D$4),OR(Dashboard!$H$4="Semua",E3041=Dashboard!$H$4)),1,0)</f>
        <v>1</v>
      </c>
      <c r="V3041">
        <f>IF(U3041=1,IF(COUNTIFS($C$2:C3041,C3041,$U$2:U3041,1)=1,1,0),0)</f>
        <v>0</v>
      </c>
    </row>
    <row r="3042" spans="1:22" x14ac:dyDescent="0.35">
      <c r="A3042">
        <v>13041</v>
      </c>
      <c r="B3042" s="1">
        <v>47602</v>
      </c>
      <c r="C3042">
        <v>1858</v>
      </c>
      <c r="D3042" t="s">
        <v>67</v>
      </c>
      <c r="E3042" t="s">
        <v>78</v>
      </c>
      <c r="F3042">
        <v>1</v>
      </c>
      <c r="G3042" s="2">
        <v>298.39</v>
      </c>
      <c r="H3042">
        <v>0.33</v>
      </c>
      <c r="I3042" t="s">
        <v>71</v>
      </c>
      <c r="J3042">
        <v>8</v>
      </c>
      <c r="K3042">
        <v>3.5</v>
      </c>
      <c r="L3042" s="2">
        <v>199.92</v>
      </c>
      <c r="M3042">
        <v>2030</v>
      </c>
      <c r="N3042">
        <v>4</v>
      </c>
      <c r="O3042" t="s">
        <v>179</v>
      </c>
      <c r="P3042" s="2">
        <v>298.39</v>
      </c>
      <c r="Q3042" s="2">
        <v>98.47</v>
      </c>
      <c r="R3042" t="s">
        <v>72</v>
      </c>
      <c r="S3042">
        <v>1</v>
      </c>
      <c r="T3042">
        <v>0</v>
      </c>
      <c r="U3042">
        <f>IF(AND(OR(Dashboard!$D$4="Semua",D3042=Dashboard!$D$4),OR(Dashboard!$H$4="Semua",E3042=Dashboard!$H$4)),1,0)</f>
        <v>1</v>
      </c>
      <c r="V3042">
        <f>IF(U3042=1,IF(COUNTIFS($C$2:C3042,C3042,$U$2:U3042,1)=1,1,0),0)</f>
        <v>0</v>
      </c>
    </row>
    <row r="3043" spans="1:22" x14ac:dyDescent="0.35">
      <c r="A3043">
        <v>13042</v>
      </c>
      <c r="B3043" s="1">
        <v>47603</v>
      </c>
      <c r="C3043">
        <v>1292</v>
      </c>
      <c r="D3043" t="s">
        <v>73</v>
      </c>
      <c r="E3043" t="s">
        <v>74</v>
      </c>
      <c r="F3043">
        <v>4</v>
      </c>
      <c r="G3043" s="2">
        <v>329.6</v>
      </c>
      <c r="H3043">
        <v>0.11</v>
      </c>
      <c r="I3043" t="s">
        <v>64</v>
      </c>
      <c r="J3043">
        <v>5</v>
      </c>
      <c r="K3043">
        <v>4.9000000000000004</v>
      </c>
      <c r="L3043" s="2">
        <v>1173.3800000000001</v>
      </c>
      <c r="M3043">
        <v>2030</v>
      </c>
      <c r="N3043">
        <v>4</v>
      </c>
      <c r="O3043" t="s">
        <v>179</v>
      </c>
      <c r="P3043" s="2">
        <v>1318.4</v>
      </c>
      <c r="Q3043" s="2">
        <v>145.02000000000001</v>
      </c>
      <c r="R3043" t="s">
        <v>79</v>
      </c>
      <c r="S3043">
        <v>1</v>
      </c>
      <c r="T3043">
        <v>0</v>
      </c>
      <c r="U3043">
        <f>IF(AND(OR(Dashboard!$D$4="Semua",D3043=Dashboard!$D$4),OR(Dashboard!$H$4="Semua",E3043=Dashboard!$H$4)),1,0)</f>
        <v>1</v>
      </c>
      <c r="V3043">
        <f>IF(U3043=1,IF(COUNTIFS($C$2:C3043,C3043,$U$2:U3043,1)=1,1,0),0)</f>
        <v>0</v>
      </c>
    </row>
    <row r="3044" spans="1:22" x14ac:dyDescent="0.35">
      <c r="A3044">
        <v>13043</v>
      </c>
      <c r="B3044" s="1">
        <v>47604</v>
      </c>
      <c r="C3044">
        <v>1579</v>
      </c>
      <c r="D3044" t="s">
        <v>80</v>
      </c>
      <c r="E3044" t="s">
        <v>74</v>
      </c>
      <c r="F3044">
        <v>6</v>
      </c>
      <c r="G3044" s="2">
        <v>49.83</v>
      </c>
      <c r="H3044">
        <v>0.12</v>
      </c>
      <c r="I3044" t="s">
        <v>71</v>
      </c>
      <c r="J3044">
        <v>5</v>
      </c>
      <c r="K3044">
        <v>2</v>
      </c>
      <c r="L3044" s="2">
        <v>263.10000000000002</v>
      </c>
      <c r="M3044">
        <v>2030</v>
      </c>
      <c r="N3044">
        <v>5</v>
      </c>
      <c r="O3044" t="s">
        <v>180</v>
      </c>
      <c r="P3044" s="2">
        <v>298.98</v>
      </c>
      <c r="Q3044" s="2">
        <v>35.880000000000003</v>
      </c>
      <c r="R3044" t="s">
        <v>79</v>
      </c>
      <c r="S3044">
        <v>1</v>
      </c>
      <c r="T3044">
        <v>0</v>
      </c>
      <c r="U3044">
        <f>IF(AND(OR(Dashboard!$D$4="Semua",D3044=Dashboard!$D$4),OR(Dashboard!$H$4="Semua",E3044=Dashboard!$H$4)),1,0)</f>
        <v>1</v>
      </c>
      <c r="V3044">
        <f>IF(U3044=1,IF(COUNTIFS($C$2:C3044,C3044,$U$2:U3044,1)=1,1,0),0)</f>
        <v>0</v>
      </c>
    </row>
    <row r="3045" spans="1:22" x14ac:dyDescent="0.35">
      <c r="A3045">
        <v>13044</v>
      </c>
      <c r="B3045" s="1">
        <v>47605</v>
      </c>
      <c r="C3045">
        <v>1049</v>
      </c>
      <c r="D3045" t="s">
        <v>80</v>
      </c>
      <c r="E3045" t="s">
        <v>74</v>
      </c>
      <c r="F3045">
        <v>7</v>
      </c>
      <c r="G3045" s="2">
        <v>339.97</v>
      </c>
      <c r="H3045">
        <v>0.3</v>
      </c>
      <c r="I3045" t="s">
        <v>64</v>
      </c>
      <c r="J3045">
        <v>6</v>
      </c>
      <c r="K3045">
        <v>4.7</v>
      </c>
      <c r="L3045" s="2">
        <v>1665.85</v>
      </c>
      <c r="M3045">
        <v>2030</v>
      </c>
      <c r="N3045">
        <v>5</v>
      </c>
      <c r="O3045" t="s">
        <v>180</v>
      </c>
      <c r="P3045" s="2">
        <v>2379.79</v>
      </c>
      <c r="Q3045" s="2">
        <v>713.94</v>
      </c>
      <c r="R3045" t="s">
        <v>66</v>
      </c>
      <c r="S3045">
        <v>1</v>
      </c>
      <c r="T3045">
        <v>0</v>
      </c>
      <c r="U3045">
        <f>IF(AND(OR(Dashboard!$D$4="Semua",D3045=Dashboard!$D$4),OR(Dashboard!$H$4="Semua",E3045=Dashboard!$H$4)),1,0)</f>
        <v>1</v>
      </c>
      <c r="V3045">
        <f>IF(U3045=1,IF(COUNTIFS($C$2:C3045,C3045,$U$2:U3045,1)=1,1,0),0)</f>
        <v>1</v>
      </c>
    </row>
    <row r="3046" spans="1:22" x14ac:dyDescent="0.35">
      <c r="A3046">
        <v>13045</v>
      </c>
      <c r="B3046" s="1">
        <v>47606</v>
      </c>
      <c r="C3046">
        <v>1663</v>
      </c>
      <c r="D3046" t="s">
        <v>73</v>
      </c>
      <c r="E3046" t="s">
        <v>63</v>
      </c>
      <c r="F3046">
        <v>6</v>
      </c>
      <c r="G3046" s="2">
        <v>477.93</v>
      </c>
      <c r="H3046">
        <v>0.05</v>
      </c>
      <c r="I3046" t="s">
        <v>64</v>
      </c>
      <c r="J3046">
        <v>9</v>
      </c>
      <c r="K3046">
        <v>2.4</v>
      </c>
      <c r="L3046" s="2">
        <v>2724.2</v>
      </c>
      <c r="M3046">
        <v>2030</v>
      </c>
      <c r="N3046">
        <v>5</v>
      </c>
      <c r="O3046" t="s">
        <v>180</v>
      </c>
      <c r="P3046" s="2">
        <v>2867.58</v>
      </c>
      <c r="Q3046" s="2">
        <v>143.38</v>
      </c>
      <c r="R3046" t="s">
        <v>75</v>
      </c>
      <c r="S3046">
        <v>1</v>
      </c>
      <c r="T3046">
        <v>0</v>
      </c>
      <c r="U3046">
        <f>IF(AND(OR(Dashboard!$D$4="Semua",D3046=Dashboard!$D$4),OR(Dashboard!$H$4="Semua",E3046=Dashboard!$H$4)),1,0)</f>
        <v>1</v>
      </c>
      <c r="V3046">
        <f>IF(U3046=1,IF(COUNTIFS($C$2:C3046,C3046,$U$2:U3046,1)=1,1,0),0)</f>
        <v>0</v>
      </c>
    </row>
    <row r="3047" spans="1:22" x14ac:dyDescent="0.35">
      <c r="A3047">
        <v>13046</v>
      </c>
      <c r="B3047" s="1">
        <v>47607</v>
      </c>
      <c r="C3047">
        <v>1530</v>
      </c>
      <c r="D3047" t="s">
        <v>67</v>
      </c>
      <c r="E3047" t="s">
        <v>78</v>
      </c>
      <c r="F3047">
        <v>5</v>
      </c>
      <c r="G3047" s="2">
        <v>350.69</v>
      </c>
      <c r="H3047">
        <v>0.33</v>
      </c>
      <c r="I3047" t="s">
        <v>68</v>
      </c>
      <c r="J3047">
        <v>7</v>
      </c>
      <c r="K3047">
        <v>3.5</v>
      </c>
      <c r="L3047" s="2">
        <v>1174.81</v>
      </c>
      <c r="M3047">
        <v>2030</v>
      </c>
      <c r="N3047">
        <v>5</v>
      </c>
      <c r="O3047" t="s">
        <v>180</v>
      </c>
      <c r="P3047" s="2">
        <v>1753.45</v>
      </c>
      <c r="Q3047" s="2">
        <v>578.64</v>
      </c>
      <c r="R3047" t="s">
        <v>72</v>
      </c>
      <c r="S3047">
        <v>1</v>
      </c>
      <c r="T3047">
        <v>0</v>
      </c>
      <c r="U3047">
        <f>IF(AND(OR(Dashboard!$D$4="Semua",D3047=Dashboard!$D$4),OR(Dashboard!$H$4="Semua",E3047=Dashboard!$H$4)),1,0)</f>
        <v>1</v>
      </c>
      <c r="V3047">
        <f>IF(U3047=1,IF(COUNTIFS($C$2:C3047,C3047,$U$2:U3047,1)=1,1,0),0)</f>
        <v>0</v>
      </c>
    </row>
    <row r="3048" spans="1:22" x14ac:dyDescent="0.35">
      <c r="A3048">
        <v>13047</v>
      </c>
      <c r="B3048" s="1">
        <v>47608</v>
      </c>
      <c r="C3048">
        <v>1611</v>
      </c>
      <c r="D3048" t="s">
        <v>80</v>
      </c>
      <c r="E3048" t="s">
        <v>63</v>
      </c>
      <c r="F3048">
        <v>4</v>
      </c>
      <c r="G3048" s="2">
        <v>170.2</v>
      </c>
      <c r="H3048">
        <v>0.18</v>
      </c>
      <c r="I3048" t="s">
        <v>68</v>
      </c>
      <c r="J3048">
        <v>5</v>
      </c>
      <c r="K3048">
        <v>1.7</v>
      </c>
      <c r="L3048" s="2">
        <v>558.26</v>
      </c>
      <c r="M3048">
        <v>2030</v>
      </c>
      <c r="N3048">
        <v>5</v>
      </c>
      <c r="O3048" t="s">
        <v>180</v>
      </c>
      <c r="P3048" s="2">
        <v>680.8</v>
      </c>
      <c r="Q3048" s="2">
        <v>122.54</v>
      </c>
      <c r="R3048" t="s">
        <v>76</v>
      </c>
      <c r="S3048">
        <v>1</v>
      </c>
      <c r="T3048">
        <v>0</v>
      </c>
      <c r="U3048">
        <f>IF(AND(OR(Dashboard!$D$4="Semua",D3048=Dashboard!$D$4),OR(Dashboard!$H$4="Semua",E3048=Dashboard!$H$4)),1,0)</f>
        <v>1</v>
      </c>
      <c r="V3048">
        <f>IF(U3048=1,IF(COUNTIFS($C$2:C3048,C3048,$U$2:U3048,1)=1,1,0),0)</f>
        <v>0</v>
      </c>
    </row>
    <row r="3049" spans="1:22" x14ac:dyDescent="0.35">
      <c r="A3049">
        <v>13048</v>
      </c>
      <c r="B3049" s="1">
        <v>47609</v>
      </c>
      <c r="C3049">
        <v>1059</v>
      </c>
      <c r="D3049" t="s">
        <v>62</v>
      </c>
      <c r="E3049" t="s">
        <v>63</v>
      </c>
      <c r="F3049">
        <v>6</v>
      </c>
      <c r="G3049" s="2">
        <v>405.52</v>
      </c>
      <c r="H3049">
        <v>0.32</v>
      </c>
      <c r="I3049" t="s">
        <v>68</v>
      </c>
      <c r="J3049">
        <v>5</v>
      </c>
      <c r="K3049">
        <v>4</v>
      </c>
      <c r="L3049" s="2">
        <v>1654.52</v>
      </c>
      <c r="M3049">
        <v>2030</v>
      </c>
      <c r="N3049">
        <v>5</v>
      </c>
      <c r="O3049" t="s">
        <v>180</v>
      </c>
      <c r="P3049" s="2">
        <v>2433.12</v>
      </c>
      <c r="Q3049" s="2">
        <v>778.6</v>
      </c>
      <c r="R3049" t="s">
        <v>72</v>
      </c>
      <c r="S3049">
        <v>1</v>
      </c>
      <c r="T3049">
        <v>0</v>
      </c>
      <c r="U3049">
        <f>IF(AND(OR(Dashboard!$D$4="Semua",D3049=Dashboard!$D$4),OR(Dashboard!$H$4="Semua",E3049=Dashboard!$H$4)),1,0)</f>
        <v>1</v>
      </c>
      <c r="V3049">
        <f>IF(U3049=1,IF(COUNTIFS($C$2:C3049,C3049,$U$2:U3049,1)=1,1,0),0)</f>
        <v>0</v>
      </c>
    </row>
    <row r="3050" spans="1:22" x14ac:dyDescent="0.35">
      <c r="A3050">
        <v>13049</v>
      </c>
      <c r="B3050" s="1">
        <v>47610</v>
      </c>
      <c r="C3050">
        <v>1166</v>
      </c>
      <c r="D3050" t="s">
        <v>73</v>
      </c>
      <c r="E3050" t="s">
        <v>74</v>
      </c>
      <c r="F3050">
        <v>7</v>
      </c>
      <c r="G3050" s="2">
        <v>226.47</v>
      </c>
      <c r="H3050">
        <v>0.12</v>
      </c>
      <c r="I3050" t="s">
        <v>64</v>
      </c>
      <c r="J3050">
        <v>10</v>
      </c>
      <c r="K3050">
        <v>4.9000000000000004</v>
      </c>
      <c r="L3050" s="2">
        <v>1395.06</v>
      </c>
      <c r="M3050">
        <v>2030</v>
      </c>
      <c r="N3050">
        <v>5</v>
      </c>
      <c r="O3050" t="s">
        <v>180</v>
      </c>
      <c r="P3050" s="2">
        <v>1585.29</v>
      </c>
      <c r="Q3050" s="2">
        <v>190.23</v>
      </c>
      <c r="R3050" t="s">
        <v>79</v>
      </c>
      <c r="S3050">
        <v>1</v>
      </c>
      <c r="T3050">
        <v>0</v>
      </c>
      <c r="U3050">
        <f>IF(AND(OR(Dashboard!$D$4="Semua",D3050=Dashboard!$D$4),OR(Dashboard!$H$4="Semua",E3050=Dashboard!$H$4)),1,0)</f>
        <v>1</v>
      </c>
      <c r="V3050">
        <f>IF(U3050=1,IF(COUNTIFS($C$2:C3050,C3050,$U$2:U3050,1)=1,1,0),0)</f>
        <v>0</v>
      </c>
    </row>
    <row r="3051" spans="1:22" x14ac:dyDescent="0.35">
      <c r="A3051">
        <v>13050</v>
      </c>
      <c r="B3051" s="1">
        <v>47611</v>
      </c>
      <c r="C3051">
        <v>1201</v>
      </c>
      <c r="D3051" t="s">
        <v>67</v>
      </c>
      <c r="E3051" t="s">
        <v>74</v>
      </c>
      <c r="F3051">
        <v>5</v>
      </c>
      <c r="G3051" s="2">
        <v>333.75</v>
      </c>
      <c r="H3051">
        <v>0.25</v>
      </c>
      <c r="I3051" t="s">
        <v>68</v>
      </c>
      <c r="J3051">
        <v>9</v>
      </c>
      <c r="K3051">
        <v>4.0999999999999996</v>
      </c>
      <c r="L3051" s="2">
        <v>1251.56</v>
      </c>
      <c r="M3051">
        <v>2030</v>
      </c>
      <c r="N3051">
        <v>5</v>
      </c>
      <c r="O3051" t="s">
        <v>180</v>
      </c>
      <c r="P3051" s="2">
        <v>1668.75</v>
      </c>
      <c r="Q3051" s="2">
        <v>417.19</v>
      </c>
      <c r="R3051" t="s">
        <v>77</v>
      </c>
      <c r="S3051">
        <v>1</v>
      </c>
      <c r="T3051">
        <v>0</v>
      </c>
      <c r="U3051">
        <f>IF(AND(OR(Dashboard!$D$4="Semua",D3051=Dashboard!$D$4),OR(Dashboard!$H$4="Semua",E3051=Dashboard!$H$4)),1,0)</f>
        <v>1</v>
      </c>
      <c r="V3051">
        <f>IF(U3051=1,IF(COUNTIFS($C$2:C3051,C3051,$U$2:U3051,1)=1,1,0),0)</f>
        <v>0</v>
      </c>
    </row>
    <row r="3052" spans="1:22" x14ac:dyDescent="0.35">
      <c r="A3052">
        <v>13051</v>
      </c>
      <c r="B3052" s="1">
        <v>47612</v>
      </c>
      <c r="C3052">
        <v>1856</v>
      </c>
      <c r="D3052" t="s">
        <v>73</v>
      </c>
      <c r="E3052" t="s">
        <v>70</v>
      </c>
      <c r="F3052">
        <v>3</v>
      </c>
      <c r="G3052" s="2">
        <v>300.23</v>
      </c>
      <c r="H3052">
        <v>0.17</v>
      </c>
      <c r="I3052" t="s">
        <v>71</v>
      </c>
      <c r="J3052">
        <v>9</v>
      </c>
      <c r="K3052">
        <v>3.5</v>
      </c>
      <c r="L3052" s="2">
        <v>747.57</v>
      </c>
      <c r="M3052">
        <v>2030</v>
      </c>
      <c r="N3052">
        <v>5</v>
      </c>
      <c r="O3052" t="s">
        <v>180</v>
      </c>
      <c r="P3052" s="2">
        <v>900.69</v>
      </c>
      <c r="Q3052" s="2">
        <v>153.12</v>
      </c>
      <c r="R3052" t="s">
        <v>76</v>
      </c>
      <c r="S3052">
        <v>1</v>
      </c>
      <c r="T3052">
        <v>0</v>
      </c>
      <c r="U3052">
        <f>IF(AND(OR(Dashboard!$D$4="Semua",D3052=Dashboard!$D$4),OR(Dashboard!$H$4="Semua",E3052=Dashboard!$H$4)),1,0)</f>
        <v>1</v>
      </c>
      <c r="V3052">
        <f>IF(U3052=1,IF(COUNTIFS($C$2:C3052,C3052,$U$2:U3052,1)=1,1,0),0)</f>
        <v>0</v>
      </c>
    </row>
    <row r="3053" spans="1:22" x14ac:dyDescent="0.35">
      <c r="A3053">
        <v>13052</v>
      </c>
      <c r="B3053" s="1">
        <v>47613</v>
      </c>
      <c r="C3053">
        <v>1145</v>
      </c>
      <c r="D3053" t="s">
        <v>73</v>
      </c>
      <c r="E3053" t="s">
        <v>78</v>
      </c>
      <c r="F3053">
        <v>3</v>
      </c>
      <c r="G3053" s="2">
        <v>237.99</v>
      </c>
      <c r="H3053">
        <v>0.22</v>
      </c>
      <c r="I3053" t="s">
        <v>68</v>
      </c>
      <c r="J3053">
        <v>2</v>
      </c>
      <c r="K3053">
        <v>2.8</v>
      </c>
      <c r="L3053" s="2">
        <v>556.9</v>
      </c>
      <c r="M3053">
        <v>2030</v>
      </c>
      <c r="N3053">
        <v>5</v>
      </c>
      <c r="O3053" t="s">
        <v>180</v>
      </c>
      <c r="P3053" s="2">
        <v>713.97</v>
      </c>
      <c r="Q3053" s="2">
        <v>157.07</v>
      </c>
      <c r="R3053" t="s">
        <v>77</v>
      </c>
      <c r="S3053">
        <v>1</v>
      </c>
      <c r="T3053">
        <v>0</v>
      </c>
      <c r="U3053">
        <f>IF(AND(OR(Dashboard!$D$4="Semua",D3053=Dashboard!$D$4),OR(Dashboard!$H$4="Semua",E3053=Dashboard!$H$4)),1,0)</f>
        <v>1</v>
      </c>
      <c r="V3053">
        <f>IF(U3053=1,IF(COUNTIFS($C$2:C3053,C3053,$U$2:U3053,1)=1,1,0),0)</f>
        <v>0</v>
      </c>
    </row>
    <row r="3054" spans="1:22" x14ac:dyDescent="0.35">
      <c r="A3054">
        <v>13053</v>
      </c>
      <c r="B3054" s="1">
        <v>47614</v>
      </c>
      <c r="C3054">
        <v>1914</v>
      </c>
      <c r="D3054" t="s">
        <v>62</v>
      </c>
      <c r="E3054" t="s">
        <v>78</v>
      </c>
      <c r="F3054">
        <v>5</v>
      </c>
      <c r="G3054" s="2">
        <v>435.54</v>
      </c>
      <c r="H3054">
        <v>0.18</v>
      </c>
      <c r="I3054" t="s">
        <v>64</v>
      </c>
      <c r="J3054">
        <v>7</v>
      </c>
      <c r="K3054">
        <v>2.4</v>
      </c>
      <c r="L3054" s="2">
        <v>1785.71</v>
      </c>
      <c r="M3054">
        <v>2030</v>
      </c>
      <c r="N3054">
        <v>5</v>
      </c>
      <c r="O3054" t="s">
        <v>180</v>
      </c>
      <c r="P3054" s="2">
        <v>2177.6999999999998</v>
      </c>
      <c r="Q3054" s="2">
        <v>391.99</v>
      </c>
      <c r="R3054" t="s">
        <v>76</v>
      </c>
      <c r="S3054">
        <v>1</v>
      </c>
      <c r="T3054">
        <v>0</v>
      </c>
      <c r="U3054">
        <f>IF(AND(OR(Dashboard!$D$4="Semua",D3054=Dashboard!$D$4),OR(Dashboard!$H$4="Semua",E3054=Dashboard!$H$4)),1,0)</f>
        <v>1</v>
      </c>
      <c r="V3054">
        <f>IF(U3054=1,IF(COUNTIFS($C$2:C3054,C3054,$U$2:U3054,1)=1,1,0),0)</f>
        <v>0</v>
      </c>
    </row>
    <row r="3055" spans="1:22" x14ac:dyDescent="0.35">
      <c r="A3055">
        <v>13054</v>
      </c>
      <c r="B3055" s="1">
        <v>47615</v>
      </c>
      <c r="C3055">
        <v>1675</v>
      </c>
      <c r="D3055" t="s">
        <v>80</v>
      </c>
      <c r="E3055" t="s">
        <v>74</v>
      </c>
      <c r="F3055">
        <v>4</v>
      </c>
      <c r="G3055" s="2">
        <v>532.07000000000005</v>
      </c>
      <c r="H3055">
        <v>0.34</v>
      </c>
      <c r="I3055" t="s">
        <v>68</v>
      </c>
      <c r="J3055">
        <v>10</v>
      </c>
      <c r="K3055">
        <v>2.7</v>
      </c>
      <c r="L3055" s="2">
        <v>1404.66</v>
      </c>
      <c r="M3055">
        <v>2030</v>
      </c>
      <c r="N3055">
        <v>5</v>
      </c>
      <c r="O3055" t="s">
        <v>180</v>
      </c>
      <c r="P3055" s="2">
        <v>2128.2800000000002</v>
      </c>
      <c r="Q3055" s="2">
        <v>723.62</v>
      </c>
      <c r="R3055" t="s">
        <v>72</v>
      </c>
      <c r="S3055">
        <v>1</v>
      </c>
      <c r="T3055">
        <v>0</v>
      </c>
      <c r="U3055">
        <f>IF(AND(OR(Dashboard!$D$4="Semua",D3055=Dashboard!$D$4),OR(Dashboard!$H$4="Semua",E3055=Dashboard!$H$4)),1,0)</f>
        <v>1</v>
      </c>
      <c r="V3055">
        <f>IF(U3055=1,IF(COUNTIFS($C$2:C3055,C3055,$U$2:U3055,1)=1,1,0),0)</f>
        <v>0</v>
      </c>
    </row>
    <row r="3056" spans="1:22" x14ac:dyDescent="0.35">
      <c r="A3056">
        <v>13055</v>
      </c>
      <c r="B3056" s="1">
        <v>47616</v>
      </c>
      <c r="C3056">
        <v>1969</v>
      </c>
      <c r="D3056" t="s">
        <v>80</v>
      </c>
      <c r="E3056" t="s">
        <v>74</v>
      </c>
      <c r="F3056">
        <v>3</v>
      </c>
      <c r="G3056" s="2">
        <v>18.05</v>
      </c>
      <c r="H3056">
        <v>0.24</v>
      </c>
      <c r="I3056" t="s">
        <v>64</v>
      </c>
      <c r="J3056">
        <v>1</v>
      </c>
      <c r="K3056">
        <v>2.2999999999999998</v>
      </c>
      <c r="L3056" s="2">
        <v>41.15</v>
      </c>
      <c r="M3056">
        <v>2030</v>
      </c>
      <c r="N3056">
        <v>5</v>
      </c>
      <c r="O3056" t="s">
        <v>180</v>
      </c>
      <c r="P3056" s="2">
        <v>54.15</v>
      </c>
      <c r="Q3056" s="2">
        <v>13</v>
      </c>
      <c r="R3056" t="s">
        <v>77</v>
      </c>
      <c r="S3056">
        <v>1</v>
      </c>
      <c r="T3056">
        <v>0</v>
      </c>
      <c r="U3056">
        <f>IF(AND(OR(Dashboard!$D$4="Semua",D3056=Dashboard!$D$4),OR(Dashboard!$H$4="Semua",E3056=Dashboard!$H$4)),1,0)</f>
        <v>1</v>
      </c>
      <c r="V3056">
        <f>IF(U3056=1,IF(COUNTIFS($C$2:C3056,C3056,$U$2:U3056,1)=1,1,0),0)</f>
        <v>0</v>
      </c>
    </row>
    <row r="3057" spans="1:22" x14ac:dyDescent="0.35">
      <c r="A3057">
        <v>13056</v>
      </c>
      <c r="B3057" s="1">
        <v>47617</v>
      </c>
      <c r="C3057">
        <v>1992</v>
      </c>
      <c r="D3057" t="s">
        <v>73</v>
      </c>
      <c r="E3057" t="s">
        <v>78</v>
      </c>
      <c r="F3057">
        <v>4</v>
      </c>
      <c r="G3057" s="2">
        <v>561.16999999999996</v>
      </c>
      <c r="H3057">
        <v>0.09</v>
      </c>
      <c r="I3057" t="s">
        <v>68</v>
      </c>
      <c r="J3057">
        <v>4</v>
      </c>
      <c r="K3057">
        <v>4.3</v>
      </c>
      <c r="L3057" s="2">
        <v>2042.66</v>
      </c>
      <c r="M3057">
        <v>2030</v>
      </c>
      <c r="N3057">
        <v>5</v>
      </c>
      <c r="O3057" t="s">
        <v>180</v>
      </c>
      <c r="P3057" s="2">
        <v>2244.6799999999998</v>
      </c>
      <c r="Q3057" s="2">
        <v>202.02</v>
      </c>
      <c r="R3057" t="s">
        <v>69</v>
      </c>
      <c r="S3057">
        <v>1</v>
      </c>
      <c r="T3057">
        <v>0</v>
      </c>
      <c r="U3057">
        <f>IF(AND(OR(Dashboard!$D$4="Semua",D3057=Dashboard!$D$4),OR(Dashboard!$H$4="Semua",E3057=Dashboard!$H$4)),1,0)</f>
        <v>1</v>
      </c>
      <c r="V3057">
        <f>IF(U3057=1,IF(COUNTIFS($C$2:C3057,C3057,$U$2:U3057,1)=1,1,0),0)</f>
        <v>0</v>
      </c>
    </row>
    <row r="3058" spans="1:22" x14ac:dyDescent="0.35">
      <c r="A3058">
        <v>13057</v>
      </c>
      <c r="B3058" s="1">
        <v>47618</v>
      </c>
      <c r="C3058">
        <v>1438</v>
      </c>
      <c r="D3058" t="s">
        <v>80</v>
      </c>
      <c r="E3058" t="s">
        <v>70</v>
      </c>
      <c r="F3058">
        <v>6</v>
      </c>
      <c r="G3058" s="2">
        <v>314.24</v>
      </c>
      <c r="H3058">
        <v>0.32</v>
      </c>
      <c r="I3058" t="s">
        <v>68</v>
      </c>
      <c r="J3058">
        <v>2</v>
      </c>
      <c r="K3058">
        <v>4.5999999999999996</v>
      </c>
      <c r="L3058" s="2">
        <v>1282.0999999999999</v>
      </c>
      <c r="M3058">
        <v>2030</v>
      </c>
      <c r="N3058">
        <v>5</v>
      </c>
      <c r="O3058" t="s">
        <v>180</v>
      </c>
      <c r="P3058" s="2">
        <v>1885.44</v>
      </c>
      <c r="Q3058" s="2">
        <v>603.34</v>
      </c>
      <c r="R3058" t="s">
        <v>72</v>
      </c>
      <c r="S3058">
        <v>1</v>
      </c>
      <c r="T3058">
        <v>0</v>
      </c>
      <c r="U3058">
        <f>IF(AND(OR(Dashboard!$D$4="Semua",D3058=Dashboard!$D$4),OR(Dashboard!$H$4="Semua",E3058=Dashboard!$H$4)),1,0)</f>
        <v>1</v>
      </c>
      <c r="V3058">
        <f>IF(U3058=1,IF(COUNTIFS($C$2:C3058,C3058,$U$2:U3058,1)=1,1,0),0)</f>
        <v>0</v>
      </c>
    </row>
    <row r="3059" spans="1:22" x14ac:dyDescent="0.35">
      <c r="A3059">
        <v>13058</v>
      </c>
      <c r="B3059" s="1">
        <v>47619</v>
      </c>
      <c r="C3059">
        <v>1241</v>
      </c>
      <c r="D3059" t="s">
        <v>67</v>
      </c>
      <c r="E3059" t="s">
        <v>74</v>
      </c>
      <c r="F3059">
        <v>3</v>
      </c>
      <c r="G3059" s="2">
        <v>424.93</v>
      </c>
      <c r="H3059">
        <v>0.1</v>
      </c>
      <c r="I3059" t="s">
        <v>71</v>
      </c>
      <c r="J3059">
        <v>10</v>
      </c>
      <c r="K3059">
        <v>4.8</v>
      </c>
      <c r="L3059" s="2">
        <v>1147.31</v>
      </c>
      <c r="M3059">
        <v>2030</v>
      </c>
      <c r="N3059">
        <v>5</v>
      </c>
      <c r="O3059" t="s">
        <v>180</v>
      </c>
      <c r="P3059" s="2">
        <v>1274.79</v>
      </c>
      <c r="Q3059" s="2">
        <v>127.48</v>
      </c>
      <c r="R3059" t="s">
        <v>69</v>
      </c>
      <c r="S3059">
        <v>1</v>
      </c>
      <c r="T3059">
        <v>0</v>
      </c>
      <c r="U3059">
        <f>IF(AND(OR(Dashboard!$D$4="Semua",D3059=Dashboard!$D$4),OR(Dashboard!$H$4="Semua",E3059=Dashboard!$H$4)),1,0)</f>
        <v>1</v>
      </c>
      <c r="V3059">
        <f>IF(U3059=1,IF(COUNTIFS($C$2:C3059,C3059,$U$2:U3059,1)=1,1,0),0)</f>
        <v>0</v>
      </c>
    </row>
    <row r="3060" spans="1:22" x14ac:dyDescent="0.35">
      <c r="A3060">
        <v>13059</v>
      </c>
      <c r="B3060" s="1">
        <v>47620</v>
      </c>
      <c r="C3060">
        <v>1580</v>
      </c>
      <c r="D3060" t="s">
        <v>73</v>
      </c>
      <c r="E3060" t="s">
        <v>70</v>
      </c>
      <c r="F3060">
        <v>7</v>
      </c>
      <c r="G3060" s="2">
        <v>515.54</v>
      </c>
      <c r="H3060">
        <v>0.13</v>
      </c>
      <c r="I3060" t="s">
        <v>64</v>
      </c>
      <c r="J3060">
        <v>9</v>
      </c>
      <c r="K3060">
        <v>2.7</v>
      </c>
      <c r="L3060" s="2">
        <v>3139.64</v>
      </c>
      <c r="M3060">
        <v>2030</v>
      </c>
      <c r="N3060">
        <v>5</v>
      </c>
      <c r="O3060" t="s">
        <v>180</v>
      </c>
      <c r="P3060" s="2">
        <v>3608.78</v>
      </c>
      <c r="Q3060" s="2">
        <v>469.14</v>
      </c>
      <c r="R3060" t="s">
        <v>79</v>
      </c>
      <c r="S3060">
        <v>1</v>
      </c>
      <c r="T3060">
        <v>0</v>
      </c>
      <c r="U3060">
        <f>IF(AND(OR(Dashboard!$D$4="Semua",D3060=Dashboard!$D$4),OR(Dashboard!$H$4="Semua",E3060=Dashboard!$H$4)),1,0)</f>
        <v>1</v>
      </c>
      <c r="V3060">
        <f>IF(U3060=1,IF(COUNTIFS($C$2:C3060,C3060,$U$2:U3060,1)=1,1,0),0)</f>
        <v>0</v>
      </c>
    </row>
    <row r="3061" spans="1:22" x14ac:dyDescent="0.35">
      <c r="A3061">
        <v>13060</v>
      </c>
      <c r="B3061" s="1">
        <v>47621</v>
      </c>
      <c r="C3061">
        <v>1686</v>
      </c>
      <c r="D3061" t="s">
        <v>67</v>
      </c>
      <c r="E3061" t="s">
        <v>63</v>
      </c>
      <c r="F3061">
        <v>7</v>
      </c>
      <c r="G3061" s="2">
        <v>288.26</v>
      </c>
      <c r="H3061">
        <v>0.04</v>
      </c>
      <c r="I3061" t="s">
        <v>71</v>
      </c>
      <c r="J3061">
        <v>6</v>
      </c>
      <c r="K3061">
        <v>3.2</v>
      </c>
      <c r="L3061" s="2">
        <v>1937.11</v>
      </c>
      <c r="M3061">
        <v>2030</v>
      </c>
      <c r="N3061">
        <v>5</v>
      </c>
      <c r="O3061" t="s">
        <v>180</v>
      </c>
      <c r="P3061" s="2">
        <v>2017.82</v>
      </c>
      <c r="Q3061" s="2">
        <v>80.709999999999994</v>
      </c>
      <c r="R3061" t="s">
        <v>75</v>
      </c>
      <c r="S3061">
        <v>1</v>
      </c>
      <c r="T3061">
        <v>0</v>
      </c>
      <c r="U3061">
        <f>IF(AND(OR(Dashboard!$D$4="Semua",D3061=Dashboard!$D$4),OR(Dashboard!$H$4="Semua",E3061=Dashboard!$H$4)),1,0)</f>
        <v>1</v>
      </c>
      <c r="V3061">
        <f>IF(U3061=1,IF(COUNTIFS($C$2:C3061,C3061,$U$2:U3061,1)=1,1,0),0)</f>
        <v>0</v>
      </c>
    </row>
    <row r="3062" spans="1:22" x14ac:dyDescent="0.35">
      <c r="A3062">
        <v>13061</v>
      </c>
      <c r="B3062" s="1">
        <v>47622</v>
      </c>
      <c r="C3062">
        <v>1560</v>
      </c>
      <c r="D3062" t="s">
        <v>73</v>
      </c>
      <c r="E3062" t="s">
        <v>74</v>
      </c>
      <c r="F3062">
        <v>6</v>
      </c>
      <c r="G3062" s="2">
        <v>503.46</v>
      </c>
      <c r="H3062">
        <v>0.31</v>
      </c>
      <c r="I3062" t="s">
        <v>64</v>
      </c>
      <c r="J3062">
        <v>4</v>
      </c>
      <c r="K3062">
        <v>3.3</v>
      </c>
      <c r="L3062" s="2">
        <v>2084.3200000000002</v>
      </c>
      <c r="M3062">
        <v>2030</v>
      </c>
      <c r="N3062">
        <v>5</v>
      </c>
      <c r="O3062" t="s">
        <v>180</v>
      </c>
      <c r="P3062" s="2">
        <v>3020.76</v>
      </c>
      <c r="Q3062" s="2">
        <v>936.44</v>
      </c>
      <c r="R3062" t="s">
        <v>72</v>
      </c>
      <c r="S3062">
        <v>1</v>
      </c>
      <c r="T3062">
        <v>0</v>
      </c>
      <c r="U3062">
        <f>IF(AND(OR(Dashboard!$D$4="Semua",D3062=Dashboard!$D$4),OR(Dashboard!$H$4="Semua",E3062=Dashboard!$H$4)),1,0)</f>
        <v>1</v>
      </c>
      <c r="V3062">
        <f>IF(U3062=1,IF(COUNTIFS($C$2:C3062,C3062,$U$2:U3062,1)=1,1,0),0)</f>
        <v>0</v>
      </c>
    </row>
    <row r="3063" spans="1:22" x14ac:dyDescent="0.35">
      <c r="A3063">
        <v>13062</v>
      </c>
      <c r="B3063" s="1">
        <v>47623</v>
      </c>
      <c r="C3063">
        <v>1482</v>
      </c>
      <c r="D3063" t="s">
        <v>80</v>
      </c>
      <c r="E3063" t="s">
        <v>63</v>
      </c>
      <c r="F3063">
        <v>7</v>
      </c>
      <c r="G3063" s="2">
        <v>118.91</v>
      </c>
      <c r="H3063">
        <v>0.1</v>
      </c>
      <c r="I3063" t="s">
        <v>71</v>
      </c>
      <c r="J3063">
        <v>3</v>
      </c>
      <c r="K3063">
        <v>3.6</v>
      </c>
      <c r="L3063" s="2">
        <v>749.13</v>
      </c>
      <c r="M3063">
        <v>2030</v>
      </c>
      <c r="N3063">
        <v>5</v>
      </c>
      <c r="O3063" t="s">
        <v>180</v>
      </c>
      <c r="P3063" s="2">
        <v>832.37</v>
      </c>
      <c r="Q3063" s="2">
        <v>83.24</v>
      </c>
      <c r="R3063" t="s">
        <v>69</v>
      </c>
      <c r="S3063">
        <v>1</v>
      </c>
      <c r="T3063">
        <v>0</v>
      </c>
      <c r="U3063">
        <f>IF(AND(OR(Dashboard!$D$4="Semua",D3063=Dashboard!$D$4),OR(Dashboard!$H$4="Semua",E3063=Dashboard!$H$4)),1,0)</f>
        <v>1</v>
      </c>
      <c r="V3063">
        <f>IF(U3063=1,IF(COUNTIFS($C$2:C3063,C3063,$U$2:U3063,1)=1,1,0),0)</f>
        <v>1</v>
      </c>
    </row>
    <row r="3064" spans="1:22" x14ac:dyDescent="0.35">
      <c r="A3064">
        <v>13063</v>
      </c>
      <c r="B3064" s="1">
        <v>47624</v>
      </c>
      <c r="C3064">
        <v>1107</v>
      </c>
      <c r="D3064" t="s">
        <v>67</v>
      </c>
      <c r="E3064" t="s">
        <v>74</v>
      </c>
      <c r="F3064">
        <v>4</v>
      </c>
      <c r="G3064" s="2">
        <v>108.11</v>
      </c>
      <c r="H3064">
        <v>0.09</v>
      </c>
      <c r="I3064" t="s">
        <v>71</v>
      </c>
      <c r="J3064">
        <v>4</v>
      </c>
      <c r="K3064">
        <v>1</v>
      </c>
      <c r="L3064" s="2">
        <v>393.52</v>
      </c>
      <c r="M3064">
        <v>2030</v>
      </c>
      <c r="N3064">
        <v>5</v>
      </c>
      <c r="O3064" t="s">
        <v>180</v>
      </c>
      <c r="P3064" s="2">
        <v>432.44</v>
      </c>
      <c r="Q3064" s="2">
        <v>38.92</v>
      </c>
      <c r="R3064" t="s">
        <v>69</v>
      </c>
      <c r="S3064">
        <v>1</v>
      </c>
      <c r="T3064">
        <v>0</v>
      </c>
      <c r="U3064">
        <f>IF(AND(OR(Dashboard!$D$4="Semua",D3064=Dashboard!$D$4),OR(Dashboard!$H$4="Semua",E3064=Dashboard!$H$4)),1,0)</f>
        <v>1</v>
      </c>
      <c r="V3064">
        <f>IF(U3064=1,IF(COUNTIFS($C$2:C3064,C3064,$U$2:U3064,1)=1,1,0),0)</f>
        <v>0</v>
      </c>
    </row>
    <row r="3065" spans="1:22" x14ac:dyDescent="0.35">
      <c r="A3065">
        <v>13064</v>
      </c>
      <c r="B3065" s="1">
        <v>47625</v>
      </c>
      <c r="C3065">
        <v>1225</v>
      </c>
      <c r="D3065" t="s">
        <v>73</v>
      </c>
      <c r="E3065" t="s">
        <v>63</v>
      </c>
      <c r="F3065">
        <v>4</v>
      </c>
      <c r="G3065" s="2">
        <v>399.62</v>
      </c>
      <c r="H3065">
        <v>0.32</v>
      </c>
      <c r="I3065" t="s">
        <v>68</v>
      </c>
      <c r="J3065">
        <v>2</v>
      </c>
      <c r="K3065">
        <v>4.4000000000000004</v>
      </c>
      <c r="L3065" s="2">
        <v>1086.97</v>
      </c>
      <c r="M3065">
        <v>2030</v>
      </c>
      <c r="N3065">
        <v>5</v>
      </c>
      <c r="O3065" t="s">
        <v>180</v>
      </c>
      <c r="P3065" s="2">
        <v>1598.48</v>
      </c>
      <c r="Q3065" s="2">
        <v>511.51</v>
      </c>
      <c r="R3065" t="s">
        <v>72</v>
      </c>
      <c r="S3065">
        <v>1</v>
      </c>
      <c r="T3065">
        <v>0</v>
      </c>
      <c r="U3065">
        <f>IF(AND(OR(Dashboard!$D$4="Semua",D3065=Dashboard!$D$4),OR(Dashboard!$H$4="Semua",E3065=Dashboard!$H$4)),1,0)</f>
        <v>1</v>
      </c>
      <c r="V3065">
        <f>IF(U3065=1,IF(COUNTIFS($C$2:C3065,C3065,$U$2:U3065,1)=1,1,0),0)</f>
        <v>0</v>
      </c>
    </row>
    <row r="3066" spans="1:22" x14ac:dyDescent="0.35">
      <c r="A3066">
        <v>13065</v>
      </c>
      <c r="B3066" s="1">
        <v>47626</v>
      </c>
      <c r="C3066">
        <v>1672</v>
      </c>
      <c r="D3066" t="s">
        <v>73</v>
      </c>
      <c r="E3066" t="s">
        <v>74</v>
      </c>
      <c r="F3066">
        <v>7</v>
      </c>
      <c r="G3066" s="2">
        <v>524.03</v>
      </c>
      <c r="H3066">
        <v>0.28000000000000003</v>
      </c>
      <c r="I3066" t="s">
        <v>68</v>
      </c>
      <c r="J3066">
        <v>5</v>
      </c>
      <c r="K3066">
        <v>2.1</v>
      </c>
      <c r="L3066" s="2">
        <v>2641.11</v>
      </c>
      <c r="M3066">
        <v>2030</v>
      </c>
      <c r="N3066">
        <v>5</v>
      </c>
      <c r="O3066" t="s">
        <v>180</v>
      </c>
      <c r="P3066" s="2">
        <v>3668.21</v>
      </c>
      <c r="Q3066" s="2">
        <v>1027.0999999999999</v>
      </c>
      <c r="R3066" t="s">
        <v>66</v>
      </c>
      <c r="S3066">
        <v>1</v>
      </c>
      <c r="T3066">
        <v>0</v>
      </c>
      <c r="U3066">
        <f>IF(AND(OR(Dashboard!$D$4="Semua",D3066=Dashboard!$D$4),OR(Dashboard!$H$4="Semua",E3066=Dashboard!$H$4)),1,0)</f>
        <v>1</v>
      </c>
      <c r="V3066">
        <f>IF(U3066=1,IF(COUNTIFS($C$2:C3066,C3066,$U$2:U3066,1)=1,1,0),0)</f>
        <v>0</v>
      </c>
    </row>
    <row r="3067" spans="1:22" x14ac:dyDescent="0.35">
      <c r="A3067">
        <v>13066</v>
      </c>
      <c r="B3067" s="1">
        <v>47627</v>
      </c>
      <c r="C3067">
        <v>1630</v>
      </c>
      <c r="D3067" t="s">
        <v>73</v>
      </c>
      <c r="E3067" t="s">
        <v>70</v>
      </c>
      <c r="F3067">
        <v>2</v>
      </c>
      <c r="G3067" s="2">
        <v>537.07000000000005</v>
      </c>
      <c r="H3067">
        <v>0.05</v>
      </c>
      <c r="I3067" t="s">
        <v>68</v>
      </c>
      <c r="J3067">
        <v>9</v>
      </c>
      <c r="K3067">
        <v>2.9</v>
      </c>
      <c r="L3067" s="2">
        <v>1020.43</v>
      </c>
      <c r="M3067">
        <v>2030</v>
      </c>
      <c r="N3067">
        <v>5</v>
      </c>
      <c r="O3067" t="s">
        <v>180</v>
      </c>
      <c r="P3067" s="2">
        <v>1074.1400000000001</v>
      </c>
      <c r="Q3067" s="2">
        <v>53.71</v>
      </c>
      <c r="R3067" t="s">
        <v>75</v>
      </c>
      <c r="S3067">
        <v>1</v>
      </c>
      <c r="T3067">
        <v>0</v>
      </c>
      <c r="U3067">
        <f>IF(AND(OR(Dashboard!$D$4="Semua",D3067=Dashboard!$D$4),OR(Dashboard!$H$4="Semua",E3067=Dashboard!$H$4)),1,0)</f>
        <v>1</v>
      </c>
      <c r="V3067">
        <f>IF(U3067=1,IF(COUNTIFS($C$2:C3067,C3067,$U$2:U3067,1)=1,1,0),0)</f>
        <v>0</v>
      </c>
    </row>
    <row r="3068" spans="1:22" x14ac:dyDescent="0.35">
      <c r="A3068">
        <v>13067</v>
      </c>
      <c r="B3068" s="1">
        <v>47628</v>
      </c>
      <c r="C3068">
        <v>1660</v>
      </c>
      <c r="D3068" t="s">
        <v>73</v>
      </c>
      <c r="E3068" t="s">
        <v>70</v>
      </c>
      <c r="F3068">
        <v>5</v>
      </c>
      <c r="G3068" s="2">
        <v>391.59</v>
      </c>
      <c r="H3068">
        <v>0.27</v>
      </c>
      <c r="I3068" t="s">
        <v>64</v>
      </c>
      <c r="J3068">
        <v>6</v>
      </c>
      <c r="K3068">
        <v>4.4000000000000004</v>
      </c>
      <c r="L3068" s="2">
        <v>1429.3</v>
      </c>
      <c r="M3068">
        <v>2030</v>
      </c>
      <c r="N3068">
        <v>5</v>
      </c>
      <c r="O3068" t="s">
        <v>180</v>
      </c>
      <c r="P3068" s="2">
        <v>1957.95</v>
      </c>
      <c r="Q3068" s="2">
        <v>528.65</v>
      </c>
      <c r="R3068" t="s">
        <v>66</v>
      </c>
      <c r="S3068">
        <v>1</v>
      </c>
      <c r="T3068">
        <v>0</v>
      </c>
      <c r="U3068">
        <f>IF(AND(OR(Dashboard!$D$4="Semua",D3068=Dashboard!$D$4),OR(Dashboard!$H$4="Semua",E3068=Dashboard!$H$4)),1,0)</f>
        <v>1</v>
      </c>
      <c r="V3068">
        <f>IF(U3068=1,IF(COUNTIFS($C$2:C3068,C3068,$U$2:U3068,1)=1,1,0),0)</f>
        <v>0</v>
      </c>
    </row>
    <row r="3069" spans="1:22" x14ac:dyDescent="0.35">
      <c r="A3069">
        <v>13068</v>
      </c>
      <c r="B3069" s="1">
        <v>47629</v>
      </c>
      <c r="C3069">
        <v>1976</v>
      </c>
      <c r="D3069" t="s">
        <v>67</v>
      </c>
      <c r="E3069" t="s">
        <v>70</v>
      </c>
      <c r="F3069">
        <v>1</v>
      </c>
      <c r="G3069" s="2">
        <v>322.41000000000003</v>
      </c>
      <c r="H3069">
        <v>0.32</v>
      </c>
      <c r="I3069" t="s">
        <v>64</v>
      </c>
      <c r="J3069">
        <v>2</v>
      </c>
      <c r="K3069">
        <v>5</v>
      </c>
      <c r="L3069" s="2">
        <v>219.24</v>
      </c>
      <c r="M3069">
        <v>2030</v>
      </c>
      <c r="N3069">
        <v>5</v>
      </c>
      <c r="O3069" t="s">
        <v>180</v>
      </c>
      <c r="P3069" s="2">
        <v>322.41000000000003</v>
      </c>
      <c r="Q3069" s="2">
        <v>103.17</v>
      </c>
      <c r="R3069" t="s">
        <v>72</v>
      </c>
      <c r="S3069">
        <v>1</v>
      </c>
      <c r="T3069">
        <v>0</v>
      </c>
      <c r="U3069">
        <f>IF(AND(OR(Dashboard!$D$4="Semua",D3069=Dashboard!$D$4),OR(Dashboard!$H$4="Semua",E3069=Dashboard!$H$4)),1,0)</f>
        <v>1</v>
      </c>
      <c r="V3069">
        <f>IF(U3069=1,IF(COUNTIFS($C$2:C3069,C3069,$U$2:U3069,1)=1,1,0),0)</f>
        <v>0</v>
      </c>
    </row>
    <row r="3070" spans="1:22" x14ac:dyDescent="0.35">
      <c r="A3070">
        <v>13069</v>
      </c>
      <c r="B3070" s="1">
        <v>47630</v>
      </c>
      <c r="C3070">
        <v>1661</v>
      </c>
      <c r="D3070" t="s">
        <v>80</v>
      </c>
      <c r="E3070" t="s">
        <v>63</v>
      </c>
      <c r="F3070">
        <v>5</v>
      </c>
      <c r="G3070" s="2">
        <v>208.86</v>
      </c>
      <c r="H3070">
        <v>0.03</v>
      </c>
      <c r="I3070" t="s">
        <v>71</v>
      </c>
      <c r="J3070">
        <v>6</v>
      </c>
      <c r="K3070">
        <v>4.2</v>
      </c>
      <c r="L3070" s="2">
        <v>1012.97</v>
      </c>
      <c r="M3070">
        <v>2030</v>
      </c>
      <c r="N3070">
        <v>5</v>
      </c>
      <c r="O3070" t="s">
        <v>180</v>
      </c>
      <c r="P3070" s="2">
        <v>1044.3</v>
      </c>
      <c r="Q3070" s="2">
        <v>31.33</v>
      </c>
      <c r="R3070" t="s">
        <v>75</v>
      </c>
      <c r="S3070">
        <v>1</v>
      </c>
      <c r="T3070">
        <v>0</v>
      </c>
      <c r="U3070">
        <f>IF(AND(OR(Dashboard!$D$4="Semua",D3070=Dashboard!$D$4),OR(Dashboard!$H$4="Semua",E3070=Dashboard!$H$4)),1,0)</f>
        <v>1</v>
      </c>
      <c r="V3070">
        <f>IF(U3070=1,IF(COUNTIFS($C$2:C3070,C3070,$U$2:U3070,1)=1,1,0),0)</f>
        <v>0</v>
      </c>
    </row>
    <row r="3071" spans="1:22" x14ac:dyDescent="0.35">
      <c r="A3071">
        <v>13070</v>
      </c>
      <c r="B3071" s="1">
        <v>47631</v>
      </c>
      <c r="C3071">
        <v>1431</v>
      </c>
      <c r="D3071" t="s">
        <v>73</v>
      </c>
      <c r="E3071" t="s">
        <v>70</v>
      </c>
      <c r="F3071">
        <v>7</v>
      </c>
      <c r="G3071" s="2">
        <v>588.29999999999995</v>
      </c>
      <c r="H3071">
        <v>0.28999999999999998</v>
      </c>
      <c r="I3071" t="s">
        <v>68</v>
      </c>
      <c r="J3071">
        <v>9</v>
      </c>
      <c r="K3071">
        <v>1.1000000000000001</v>
      </c>
      <c r="L3071" s="2">
        <v>2923.85</v>
      </c>
      <c r="M3071">
        <v>2030</v>
      </c>
      <c r="N3071">
        <v>5</v>
      </c>
      <c r="O3071" t="s">
        <v>180</v>
      </c>
      <c r="P3071" s="2">
        <v>4118.1000000000004</v>
      </c>
      <c r="Q3071" s="2">
        <v>1194.25</v>
      </c>
      <c r="R3071" t="s">
        <v>66</v>
      </c>
      <c r="S3071">
        <v>1</v>
      </c>
      <c r="T3071">
        <v>0</v>
      </c>
      <c r="U3071">
        <f>IF(AND(OR(Dashboard!$D$4="Semua",D3071=Dashboard!$D$4),OR(Dashboard!$H$4="Semua",E3071=Dashboard!$H$4)),1,0)</f>
        <v>1</v>
      </c>
      <c r="V3071">
        <f>IF(U3071=1,IF(COUNTIFS($C$2:C3071,C3071,$U$2:U3071,1)=1,1,0),0)</f>
        <v>0</v>
      </c>
    </row>
    <row r="3072" spans="1:22" x14ac:dyDescent="0.35">
      <c r="A3072">
        <v>13071</v>
      </c>
      <c r="B3072" s="1">
        <v>47632</v>
      </c>
      <c r="C3072">
        <v>1804</v>
      </c>
      <c r="D3072" t="s">
        <v>73</v>
      </c>
      <c r="E3072" t="s">
        <v>63</v>
      </c>
      <c r="F3072">
        <v>4</v>
      </c>
      <c r="G3072" s="2">
        <v>202.02</v>
      </c>
      <c r="H3072">
        <v>0.19</v>
      </c>
      <c r="I3072" t="s">
        <v>68</v>
      </c>
      <c r="J3072">
        <v>4</v>
      </c>
      <c r="K3072">
        <v>2.5</v>
      </c>
      <c r="L3072" s="2">
        <v>654.54</v>
      </c>
      <c r="M3072">
        <v>2030</v>
      </c>
      <c r="N3072">
        <v>5</v>
      </c>
      <c r="O3072" t="s">
        <v>180</v>
      </c>
      <c r="P3072" s="2">
        <v>808.08</v>
      </c>
      <c r="Q3072" s="2">
        <v>153.54</v>
      </c>
      <c r="R3072" t="s">
        <v>76</v>
      </c>
      <c r="S3072">
        <v>1</v>
      </c>
      <c r="T3072">
        <v>0</v>
      </c>
      <c r="U3072">
        <f>IF(AND(OR(Dashboard!$D$4="Semua",D3072=Dashboard!$D$4),OR(Dashboard!$H$4="Semua",E3072=Dashboard!$H$4)),1,0)</f>
        <v>1</v>
      </c>
      <c r="V3072">
        <f>IF(U3072=1,IF(COUNTIFS($C$2:C3072,C3072,$U$2:U3072,1)=1,1,0),0)</f>
        <v>0</v>
      </c>
    </row>
    <row r="3073" spans="1:22" x14ac:dyDescent="0.35">
      <c r="A3073">
        <v>13072</v>
      </c>
      <c r="B3073" s="1">
        <v>47633</v>
      </c>
      <c r="C3073">
        <v>1654</v>
      </c>
      <c r="D3073" t="s">
        <v>67</v>
      </c>
      <c r="E3073" t="s">
        <v>74</v>
      </c>
      <c r="F3073">
        <v>4</v>
      </c>
      <c r="G3073" s="2">
        <v>450.35</v>
      </c>
      <c r="H3073">
        <v>0.23</v>
      </c>
      <c r="I3073" t="s">
        <v>64</v>
      </c>
      <c r="J3073">
        <v>1</v>
      </c>
      <c r="K3073">
        <v>2</v>
      </c>
      <c r="L3073" s="2">
        <v>1387.08</v>
      </c>
      <c r="M3073">
        <v>2030</v>
      </c>
      <c r="N3073">
        <v>5</v>
      </c>
      <c r="O3073" t="s">
        <v>180</v>
      </c>
      <c r="P3073" s="2">
        <v>1801.4</v>
      </c>
      <c r="Q3073" s="2">
        <v>414.32</v>
      </c>
      <c r="R3073" t="s">
        <v>77</v>
      </c>
      <c r="S3073">
        <v>1</v>
      </c>
      <c r="T3073">
        <v>0</v>
      </c>
      <c r="U3073">
        <f>IF(AND(OR(Dashboard!$D$4="Semua",D3073=Dashboard!$D$4),OR(Dashboard!$H$4="Semua",E3073=Dashboard!$H$4)),1,0)</f>
        <v>1</v>
      </c>
      <c r="V3073">
        <f>IF(U3073=1,IF(COUNTIFS($C$2:C3073,C3073,$U$2:U3073,1)=1,1,0),0)</f>
        <v>0</v>
      </c>
    </row>
    <row r="3074" spans="1:22" x14ac:dyDescent="0.35">
      <c r="A3074">
        <v>13073</v>
      </c>
      <c r="B3074" s="1">
        <v>47634</v>
      </c>
      <c r="C3074">
        <v>1418</v>
      </c>
      <c r="D3074" t="s">
        <v>80</v>
      </c>
      <c r="E3074" t="s">
        <v>63</v>
      </c>
      <c r="F3074">
        <v>5</v>
      </c>
      <c r="G3074" s="2">
        <v>326.20999999999998</v>
      </c>
      <c r="H3074">
        <v>0.17</v>
      </c>
      <c r="I3074" t="s">
        <v>68</v>
      </c>
      <c r="J3074">
        <v>2</v>
      </c>
      <c r="K3074">
        <v>4.9000000000000004</v>
      </c>
      <c r="L3074" s="2">
        <v>1353.77</v>
      </c>
      <c r="M3074">
        <v>2030</v>
      </c>
      <c r="N3074">
        <v>5</v>
      </c>
      <c r="O3074" t="s">
        <v>180</v>
      </c>
      <c r="P3074" s="2">
        <v>1631.05</v>
      </c>
      <c r="Q3074" s="2">
        <v>277.27999999999997</v>
      </c>
      <c r="R3074" t="s">
        <v>76</v>
      </c>
      <c r="S3074">
        <v>1</v>
      </c>
      <c r="T3074">
        <v>0</v>
      </c>
      <c r="U3074">
        <f>IF(AND(OR(Dashboard!$D$4="Semua",D3074=Dashboard!$D$4),OR(Dashboard!$H$4="Semua",E3074=Dashboard!$H$4)),1,0)</f>
        <v>1</v>
      </c>
      <c r="V3074">
        <f>IF(U3074=1,IF(COUNTIFS($C$2:C3074,C3074,$U$2:U3074,1)=1,1,0),0)</f>
        <v>0</v>
      </c>
    </row>
    <row r="3075" spans="1:22" x14ac:dyDescent="0.35">
      <c r="A3075">
        <v>13074</v>
      </c>
      <c r="B3075" s="1">
        <v>47635</v>
      </c>
      <c r="C3075">
        <v>1987</v>
      </c>
      <c r="D3075" t="s">
        <v>73</v>
      </c>
      <c r="E3075" t="s">
        <v>74</v>
      </c>
      <c r="F3075">
        <v>4</v>
      </c>
      <c r="G3075" s="2">
        <v>370.98</v>
      </c>
      <c r="H3075">
        <v>0.24</v>
      </c>
      <c r="I3075" t="s">
        <v>64</v>
      </c>
      <c r="J3075">
        <v>5</v>
      </c>
      <c r="K3075">
        <v>2.1</v>
      </c>
      <c r="L3075" s="2">
        <v>1127.78</v>
      </c>
      <c r="M3075">
        <v>2030</v>
      </c>
      <c r="N3075">
        <v>6</v>
      </c>
      <c r="O3075" t="s">
        <v>181</v>
      </c>
      <c r="P3075" s="2">
        <v>1483.92</v>
      </c>
      <c r="Q3075" s="2">
        <v>356.14</v>
      </c>
      <c r="R3075" t="s">
        <v>77</v>
      </c>
      <c r="S3075">
        <v>1</v>
      </c>
      <c r="T3075">
        <v>0</v>
      </c>
      <c r="U3075">
        <f>IF(AND(OR(Dashboard!$D$4="Semua",D3075=Dashboard!$D$4),OR(Dashboard!$H$4="Semua",E3075=Dashboard!$H$4)),1,0)</f>
        <v>1</v>
      </c>
      <c r="V3075">
        <f>IF(U3075=1,IF(COUNTIFS($C$2:C3075,C3075,$U$2:U3075,1)=1,1,0),0)</f>
        <v>0</v>
      </c>
    </row>
    <row r="3076" spans="1:22" x14ac:dyDescent="0.35">
      <c r="A3076">
        <v>13075</v>
      </c>
      <c r="B3076" s="1">
        <v>47636</v>
      </c>
      <c r="C3076">
        <v>1454</v>
      </c>
      <c r="D3076" t="s">
        <v>73</v>
      </c>
      <c r="E3076" t="s">
        <v>78</v>
      </c>
      <c r="F3076">
        <v>6</v>
      </c>
      <c r="G3076" s="2">
        <v>245.19</v>
      </c>
      <c r="H3076">
        <v>0.01</v>
      </c>
      <c r="I3076" t="s">
        <v>68</v>
      </c>
      <c r="J3076">
        <v>10</v>
      </c>
      <c r="K3076">
        <v>4.8</v>
      </c>
      <c r="L3076" s="2">
        <v>1456.43</v>
      </c>
      <c r="M3076">
        <v>2030</v>
      </c>
      <c r="N3076">
        <v>6</v>
      </c>
      <c r="O3076" t="s">
        <v>181</v>
      </c>
      <c r="P3076" s="2">
        <v>1471.14</v>
      </c>
      <c r="Q3076" s="2">
        <v>14.71</v>
      </c>
      <c r="R3076" t="s">
        <v>75</v>
      </c>
      <c r="S3076">
        <v>1</v>
      </c>
      <c r="T3076">
        <v>0</v>
      </c>
      <c r="U3076">
        <f>IF(AND(OR(Dashboard!$D$4="Semua",D3076=Dashboard!$D$4),OR(Dashboard!$H$4="Semua",E3076=Dashboard!$H$4)),1,0)</f>
        <v>1</v>
      </c>
      <c r="V3076">
        <f>IF(U3076=1,IF(COUNTIFS($C$2:C3076,C3076,$U$2:U3076,1)=1,1,0),0)</f>
        <v>0</v>
      </c>
    </row>
    <row r="3077" spans="1:22" x14ac:dyDescent="0.35">
      <c r="A3077">
        <v>13076</v>
      </c>
      <c r="B3077" s="1">
        <v>47637</v>
      </c>
      <c r="C3077">
        <v>1159</v>
      </c>
      <c r="D3077" t="s">
        <v>67</v>
      </c>
      <c r="E3077" t="s">
        <v>78</v>
      </c>
      <c r="F3077">
        <v>3</v>
      </c>
      <c r="G3077" s="2">
        <v>579.41999999999996</v>
      </c>
      <c r="H3077">
        <v>0.27</v>
      </c>
      <c r="I3077" t="s">
        <v>68</v>
      </c>
      <c r="J3077">
        <v>7</v>
      </c>
      <c r="K3077">
        <v>4.8</v>
      </c>
      <c r="L3077" s="2">
        <v>1268.93</v>
      </c>
      <c r="M3077">
        <v>2030</v>
      </c>
      <c r="N3077">
        <v>6</v>
      </c>
      <c r="O3077" t="s">
        <v>181</v>
      </c>
      <c r="P3077" s="2">
        <v>1738.26</v>
      </c>
      <c r="Q3077" s="2">
        <v>469.33</v>
      </c>
      <c r="R3077" t="s">
        <v>66</v>
      </c>
      <c r="S3077">
        <v>1</v>
      </c>
      <c r="T3077">
        <v>0</v>
      </c>
      <c r="U3077">
        <f>IF(AND(OR(Dashboard!$D$4="Semua",D3077=Dashboard!$D$4),OR(Dashboard!$H$4="Semua",E3077=Dashboard!$H$4)),1,0)</f>
        <v>1</v>
      </c>
      <c r="V3077">
        <f>IF(U3077=1,IF(COUNTIFS($C$2:C3077,C3077,$U$2:U3077,1)=1,1,0),0)</f>
        <v>0</v>
      </c>
    </row>
    <row r="3078" spans="1:22" x14ac:dyDescent="0.35">
      <c r="A3078">
        <v>13077</v>
      </c>
      <c r="B3078" s="1">
        <v>47638</v>
      </c>
      <c r="C3078">
        <v>1522</v>
      </c>
      <c r="D3078" t="s">
        <v>73</v>
      </c>
      <c r="E3078" t="s">
        <v>78</v>
      </c>
      <c r="F3078">
        <v>4</v>
      </c>
      <c r="G3078" s="2">
        <v>349.43</v>
      </c>
      <c r="H3078">
        <v>0.01</v>
      </c>
      <c r="I3078" t="s">
        <v>64</v>
      </c>
      <c r="J3078">
        <v>8</v>
      </c>
      <c r="K3078">
        <v>4.4000000000000004</v>
      </c>
      <c r="L3078" s="2">
        <v>1383.74</v>
      </c>
      <c r="M3078">
        <v>2030</v>
      </c>
      <c r="N3078">
        <v>6</v>
      </c>
      <c r="O3078" t="s">
        <v>181</v>
      </c>
      <c r="P3078" s="2">
        <v>1397.72</v>
      </c>
      <c r="Q3078" s="2">
        <v>13.98</v>
      </c>
      <c r="R3078" t="s">
        <v>75</v>
      </c>
      <c r="S3078">
        <v>1</v>
      </c>
      <c r="T3078">
        <v>0</v>
      </c>
      <c r="U3078">
        <f>IF(AND(OR(Dashboard!$D$4="Semua",D3078=Dashboard!$D$4),OR(Dashboard!$H$4="Semua",E3078=Dashboard!$H$4)),1,0)</f>
        <v>1</v>
      </c>
      <c r="V3078">
        <f>IF(U3078=1,IF(COUNTIFS($C$2:C3078,C3078,$U$2:U3078,1)=1,1,0),0)</f>
        <v>0</v>
      </c>
    </row>
    <row r="3079" spans="1:22" x14ac:dyDescent="0.35">
      <c r="A3079">
        <v>13078</v>
      </c>
      <c r="B3079" s="1">
        <v>47639</v>
      </c>
      <c r="C3079">
        <v>1649</v>
      </c>
      <c r="D3079" t="s">
        <v>73</v>
      </c>
      <c r="E3079" t="s">
        <v>63</v>
      </c>
      <c r="F3079">
        <v>7</v>
      </c>
      <c r="G3079" s="2">
        <v>563.61</v>
      </c>
      <c r="H3079">
        <v>0.16</v>
      </c>
      <c r="I3079" t="s">
        <v>68</v>
      </c>
      <c r="J3079">
        <v>3</v>
      </c>
      <c r="K3079">
        <v>1.4</v>
      </c>
      <c r="L3079" s="2">
        <v>3314.03</v>
      </c>
      <c r="M3079">
        <v>2030</v>
      </c>
      <c r="N3079">
        <v>6</v>
      </c>
      <c r="O3079" t="s">
        <v>181</v>
      </c>
      <c r="P3079" s="2">
        <v>3945.27</v>
      </c>
      <c r="Q3079" s="2">
        <v>631.24</v>
      </c>
      <c r="R3079" t="s">
        <v>76</v>
      </c>
      <c r="S3079">
        <v>1</v>
      </c>
      <c r="T3079">
        <v>1</v>
      </c>
      <c r="U3079">
        <f>IF(AND(OR(Dashboard!$D$4="Semua",D3079=Dashboard!$D$4),OR(Dashboard!$H$4="Semua",E3079=Dashboard!$H$4)),1,0)</f>
        <v>1</v>
      </c>
      <c r="V3079">
        <f>IF(U3079=1,IF(COUNTIFS($C$2:C3079,C3079,$U$2:U3079,1)=1,1,0),0)</f>
        <v>0</v>
      </c>
    </row>
    <row r="3080" spans="1:22" x14ac:dyDescent="0.35">
      <c r="A3080">
        <v>13079</v>
      </c>
      <c r="B3080" s="1">
        <v>47640</v>
      </c>
      <c r="C3080">
        <v>1968</v>
      </c>
      <c r="D3080" t="s">
        <v>80</v>
      </c>
      <c r="E3080" t="s">
        <v>78</v>
      </c>
      <c r="F3080">
        <v>7</v>
      </c>
      <c r="G3080" s="2">
        <v>19.440000000000001</v>
      </c>
      <c r="H3080">
        <v>0.05</v>
      </c>
      <c r="I3080" t="s">
        <v>68</v>
      </c>
      <c r="J3080">
        <v>9</v>
      </c>
      <c r="K3080">
        <v>1</v>
      </c>
      <c r="L3080" s="2">
        <v>129.28</v>
      </c>
      <c r="M3080">
        <v>2030</v>
      </c>
      <c r="N3080">
        <v>6</v>
      </c>
      <c r="O3080" t="s">
        <v>181</v>
      </c>
      <c r="P3080" s="2">
        <v>136.08000000000001</v>
      </c>
      <c r="Q3080" s="2">
        <v>6.8</v>
      </c>
      <c r="R3080" t="s">
        <v>75</v>
      </c>
      <c r="S3080">
        <v>1</v>
      </c>
      <c r="T3080">
        <v>0</v>
      </c>
      <c r="U3080">
        <f>IF(AND(OR(Dashboard!$D$4="Semua",D3080=Dashboard!$D$4),OR(Dashboard!$H$4="Semua",E3080=Dashboard!$H$4)),1,0)</f>
        <v>1</v>
      </c>
      <c r="V3080">
        <f>IF(U3080=1,IF(COUNTIFS($C$2:C3080,C3080,$U$2:U3080,1)=1,1,0),0)</f>
        <v>0</v>
      </c>
    </row>
    <row r="3081" spans="1:22" x14ac:dyDescent="0.35">
      <c r="A3081">
        <v>13080</v>
      </c>
      <c r="B3081" s="1">
        <v>47641</v>
      </c>
      <c r="C3081">
        <v>1589</v>
      </c>
      <c r="D3081" t="s">
        <v>67</v>
      </c>
      <c r="E3081" t="s">
        <v>78</v>
      </c>
      <c r="F3081">
        <v>5</v>
      </c>
      <c r="G3081" s="2">
        <v>350.01</v>
      </c>
      <c r="H3081">
        <v>0.28999999999999998</v>
      </c>
      <c r="I3081" t="s">
        <v>64</v>
      </c>
      <c r="J3081">
        <v>2</v>
      </c>
      <c r="K3081">
        <v>4.2</v>
      </c>
      <c r="L3081" s="2">
        <v>1242.54</v>
      </c>
      <c r="M3081">
        <v>2030</v>
      </c>
      <c r="N3081">
        <v>6</v>
      </c>
      <c r="O3081" t="s">
        <v>181</v>
      </c>
      <c r="P3081" s="2">
        <v>1750.05</v>
      </c>
      <c r="Q3081" s="2">
        <v>507.51</v>
      </c>
      <c r="R3081" t="s">
        <v>66</v>
      </c>
      <c r="S3081">
        <v>1</v>
      </c>
      <c r="T3081">
        <v>0</v>
      </c>
      <c r="U3081">
        <f>IF(AND(OR(Dashboard!$D$4="Semua",D3081=Dashboard!$D$4),OR(Dashboard!$H$4="Semua",E3081=Dashboard!$H$4)),1,0)</f>
        <v>1</v>
      </c>
      <c r="V3081">
        <f>IF(U3081=1,IF(COUNTIFS($C$2:C3081,C3081,$U$2:U3081,1)=1,1,0),0)</f>
        <v>0</v>
      </c>
    </row>
    <row r="3082" spans="1:22" x14ac:dyDescent="0.35">
      <c r="A3082">
        <v>13081</v>
      </c>
      <c r="B3082" s="1">
        <v>47642</v>
      </c>
      <c r="C3082">
        <v>1076</v>
      </c>
      <c r="D3082" t="s">
        <v>67</v>
      </c>
      <c r="E3082" t="s">
        <v>78</v>
      </c>
      <c r="F3082">
        <v>5</v>
      </c>
      <c r="G3082" s="2">
        <v>434.55</v>
      </c>
      <c r="H3082">
        <v>0.11</v>
      </c>
      <c r="I3082" t="s">
        <v>71</v>
      </c>
      <c r="J3082">
        <v>4</v>
      </c>
      <c r="K3082">
        <v>4.4000000000000004</v>
      </c>
      <c r="L3082" s="2">
        <v>1933.75</v>
      </c>
      <c r="M3082">
        <v>2030</v>
      </c>
      <c r="N3082">
        <v>6</v>
      </c>
      <c r="O3082" t="s">
        <v>181</v>
      </c>
      <c r="P3082" s="2">
        <v>2172.75</v>
      </c>
      <c r="Q3082" s="2">
        <v>239</v>
      </c>
      <c r="R3082" t="s">
        <v>79</v>
      </c>
      <c r="S3082">
        <v>1</v>
      </c>
      <c r="T3082">
        <v>0</v>
      </c>
      <c r="U3082">
        <f>IF(AND(OR(Dashboard!$D$4="Semua",D3082=Dashboard!$D$4),OR(Dashboard!$H$4="Semua",E3082=Dashboard!$H$4)),1,0)</f>
        <v>1</v>
      </c>
      <c r="V3082">
        <f>IF(U3082=1,IF(COUNTIFS($C$2:C3082,C3082,$U$2:U3082,1)=1,1,0),0)</f>
        <v>1</v>
      </c>
    </row>
    <row r="3083" spans="1:22" x14ac:dyDescent="0.35">
      <c r="A3083">
        <v>13082</v>
      </c>
      <c r="B3083" s="1">
        <v>47643</v>
      </c>
      <c r="C3083">
        <v>1508</v>
      </c>
      <c r="D3083" t="s">
        <v>80</v>
      </c>
      <c r="E3083" t="s">
        <v>74</v>
      </c>
      <c r="F3083">
        <v>5</v>
      </c>
      <c r="G3083" s="2">
        <v>450.87</v>
      </c>
      <c r="H3083">
        <v>0.16</v>
      </c>
      <c r="I3083" t="s">
        <v>71</v>
      </c>
      <c r="J3083">
        <v>4</v>
      </c>
      <c r="K3083">
        <v>4.8</v>
      </c>
      <c r="L3083" s="2">
        <v>1893.65</v>
      </c>
      <c r="M3083">
        <v>2030</v>
      </c>
      <c r="N3083">
        <v>6</v>
      </c>
      <c r="O3083" t="s">
        <v>181</v>
      </c>
      <c r="P3083" s="2">
        <v>2254.35</v>
      </c>
      <c r="Q3083" s="2">
        <v>360.7</v>
      </c>
      <c r="R3083" t="s">
        <v>76</v>
      </c>
      <c r="S3083">
        <v>1</v>
      </c>
      <c r="T3083">
        <v>0</v>
      </c>
      <c r="U3083">
        <f>IF(AND(OR(Dashboard!$D$4="Semua",D3083=Dashboard!$D$4),OR(Dashboard!$H$4="Semua",E3083=Dashboard!$H$4)),1,0)</f>
        <v>1</v>
      </c>
      <c r="V3083">
        <f>IF(U3083=1,IF(COUNTIFS($C$2:C3083,C3083,$U$2:U3083,1)=1,1,0),0)</f>
        <v>0</v>
      </c>
    </row>
    <row r="3084" spans="1:22" x14ac:dyDescent="0.35">
      <c r="A3084">
        <v>13083</v>
      </c>
      <c r="B3084" s="1">
        <v>47644</v>
      </c>
      <c r="C3084">
        <v>1440</v>
      </c>
      <c r="D3084" t="s">
        <v>80</v>
      </c>
      <c r="E3084" t="s">
        <v>70</v>
      </c>
      <c r="F3084">
        <v>7</v>
      </c>
      <c r="G3084" s="2">
        <v>544.41</v>
      </c>
      <c r="H3084">
        <v>0.15</v>
      </c>
      <c r="I3084" t="s">
        <v>71</v>
      </c>
      <c r="J3084">
        <v>6</v>
      </c>
      <c r="K3084">
        <v>1.9</v>
      </c>
      <c r="L3084" s="2">
        <v>3239.24</v>
      </c>
      <c r="M3084">
        <v>2030</v>
      </c>
      <c r="N3084">
        <v>6</v>
      </c>
      <c r="O3084" t="s">
        <v>181</v>
      </c>
      <c r="P3084" s="2">
        <v>3810.87</v>
      </c>
      <c r="Q3084" s="2">
        <v>571.63</v>
      </c>
      <c r="R3084" t="s">
        <v>79</v>
      </c>
      <c r="S3084">
        <v>1</v>
      </c>
      <c r="T3084">
        <v>0</v>
      </c>
      <c r="U3084">
        <f>IF(AND(OR(Dashboard!$D$4="Semua",D3084=Dashboard!$D$4),OR(Dashboard!$H$4="Semua",E3084=Dashboard!$H$4)),1,0)</f>
        <v>1</v>
      </c>
      <c r="V3084">
        <f>IF(U3084=1,IF(COUNTIFS($C$2:C3084,C3084,$U$2:U3084,1)=1,1,0),0)</f>
        <v>0</v>
      </c>
    </row>
    <row r="3085" spans="1:22" x14ac:dyDescent="0.35">
      <c r="A3085">
        <v>13084</v>
      </c>
      <c r="B3085" s="1">
        <v>47645</v>
      </c>
      <c r="C3085">
        <v>1253</v>
      </c>
      <c r="D3085" t="s">
        <v>73</v>
      </c>
      <c r="E3085" t="s">
        <v>63</v>
      </c>
      <c r="F3085">
        <v>2</v>
      </c>
      <c r="G3085" s="2">
        <v>17.57</v>
      </c>
      <c r="H3085">
        <v>0.27</v>
      </c>
      <c r="I3085" t="s">
        <v>68</v>
      </c>
      <c r="J3085">
        <v>10</v>
      </c>
      <c r="K3085">
        <v>3.9</v>
      </c>
      <c r="L3085" s="2">
        <v>25.65</v>
      </c>
      <c r="M3085">
        <v>2030</v>
      </c>
      <c r="N3085">
        <v>6</v>
      </c>
      <c r="O3085" t="s">
        <v>181</v>
      </c>
      <c r="P3085" s="2">
        <v>35.14</v>
      </c>
      <c r="Q3085" s="2">
        <v>9.49</v>
      </c>
      <c r="R3085" t="s">
        <v>66</v>
      </c>
      <c r="S3085">
        <v>1</v>
      </c>
      <c r="T3085">
        <v>0</v>
      </c>
      <c r="U3085">
        <f>IF(AND(OR(Dashboard!$D$4="Semua",D3085=Dashboard!$D$4),OR(Dashboard!$H$4="Semua",E3085=Dashboard!$H$4)),1,0)</f>
        <v>1</v>
      </c>
      <c r="V3085">
        <f>IF(U3085=1,IF(COUNTIFS($C$2:C3085,C3085,$U$2:U3085,1)=1,1,0),0)</f>
        <v>0</v>
      </c>
    </row>
    <row r="3086" spans="1:22" x14ac:dyDescent="0.35">
      <c r="A3086">
        <v>13085</v>
      </c>
      <c r="B3086" s="1">
        <v>47646</v>
      </c>
      <c r="C3086">
        <v>1920</v>
      </c>
      <c r="D3086" t="s">
        <v>67</v>
      </c>
      <c r="E3086" t="s">
        <v>78</v>
      </c>
      <c r="F3086">
        <v>7</v>
      </c>
      <c r="G3086" s="2">
        <v>15.19</v>
      </c>
      <c r="H3086">
        <v>0.17</v>
      </c>
      <c r="I3086" t="s">
        <v>68</v>
      </c>
      <c r="J3086">
        <v>6</v>
      </c>
      <c r="K3086">
        <v>3.1</v>
      </c>
      <c r="L3086" s="2">
        <v>88.25</v>
      </c>
      <c r="M3086">
        <v>2030</v>
      </c>
      <c r="N3086">
        <v>6</v>
      </c>
      <c r="O3086" t="s">
        <v>181</v>
      </c>
      <c r="P3086" s="2">
        <v>106.33</v>
      </c>
      <c r="Q3086" s="2">
        <v>18.079999999999998</v>
      </c>
      <c r="R3086" t="s">
        <v>76</v>
      </c>
      <c r="S3086">
        <v>1</v>
      </c>
      <c r="T3086">
        <v>0</v>
      </c>
      <c r="U3086">
        <f>IF(AND(OR(Dashboard!$D$4="Semua",D3086=Dashboard!$D$4),OR(Dashboard!$H$4="Semua",E3086=Dashboard!$H$4)),1,0)</f>
        <v>1</v>
      </c>
      <c r="V3086">
        <f>IF(U3086=1,IF(COUNTIFS($C$2:C3086,C3086,$U$2:U3086,1)=1,1,0),0)</f>
        <v>0</v>
      </c>
    </row>
    <row r="3087" spans="1:22" x14ac:dyDescent="0.35">
      <c r="A3087">
        <v>13086</v>
      </c>
      <c r="B3087" s="1">
        <v>47647</v>
      </c>
      <c r="C3087">
        <v>1769</v>
      </c>
      <c r="D3087" t="s">
        <v>73</v>
      </c>
      <c r="E3087" t="s">
        <v>74</v>
      </c>
      <c r="F3087">
        <v>6</v>
      </c>
      <c r="G3087" s="2">
        <v>291.27</v>
      </c>
      <c r="H3087">
        <v>0.28000000000000003</v>
      </c>
      <c r="I3087" t="s">
        <v>71</v>
      </c>
      <c r="J3087">
        <v>3</v>
      </c>
      <c r="K3087">
        <v>2.2999999999999998</v>
      </c>
      <c r="L3087" s="2">
        <v>1258.29</v>
      </c>
      <c r="M3087">
        <v>2030</v>
      </c>
      <c r="N3087">
        <v>6</v>
      </c>
      <c r="O3087" t="s">
        <v>181</v>
      </c>
      <c r="P3087" s="2">
        <v>1747.62</v>
      </c>
      <c r="Q3087" s="2">
        <v>489.33</v>
      </c>
      <c r="R3087" t="s">
        <v>66</v>
      </c>
      <c r="S3087">
        <v>1</v>
      </c>
      <c r="T3087">
        <v>0</v>
      </c>
      <c r="U3087">
        <f>IF(AND(OR(Dashboard!$D$4="Semua",D3087=Dashboard!$D$4),OR(Dashboard!$H$4="Semua",E3087=Dashboard!$H$4)),1,0)</f>
        <v>1</v>
      </c>
      <c r="V3087">
        <f>IF(U3087=1,IF(COUNTIFS($C$2:C3087,C3087,$U$2:U3087,1)=1,1,0),0)</f>
        <v>0</v>
      </c>
    </row>
    <row r="3088" spans="1:22" x14ac:dyDescent="0.35">
      <c r="A3088">
        <v>13087</v>
      </c>
      <c r="B3088" s="1">
        <v>47648</v>
      </c>
      <c r="C3088">
        <v>1319</v>
      </c>
      <c r="D3088" t="s">
        <v>73</v>
      </c>
      <c r="E3088" t="s">
        <v>70</v>
      </c>
      <c r="F3088">
        <v>7</v>
      </c>
      <c r="G3088" s="2">
        <v>32.14</v>
      </c>
      <c r="H3088">
        <v>0.03</v>
      </c>
      <c r="I3088" t="s">
        <v>68</v>
      </c>
      <c r="J3088">
        <v>9</v>
      </c>
      <c r="K3088">
        <v>3.4</v>
      </c>
      <c r="L3088" s="2">
        <v>218.23</v>
      </c>
      <c r="M3088">
        <v>2030</v>
      </c>
      <c r="N3088">
        <v>6</v>
      </c>
      <c r="O3088" t="s">
        <v>181</v>
      </c>
      <c r="P3088" s="2">
        <v>224.98</v>
      </c>
      <c r="Q3088" s="2">
        <v>6.75</v>
      </c>
      <c r="R3088" t="s">
        <v>75</v>
      </c>
      <c r="S3088">
        <v>1</v>
      </c>
      <c r="T3088">
        <v>0</v>
      </c>
      <c r="U3088">
        <f>IF(AND(OR(Dashboard!$D$4="Semua",D3088=Dashboard!$D$4),OR(Dashboard!$H$4="Semua",E3088=Dashboard!$H$4)),1,0)</f>
        <v>1</v>
      </c>
      <c r="V3088">
        <f>IF(U3088=1,IF(COUNTIFS($C$2:C3088,C3088,$U$2:U3088,1)=1,1,0),0)</f>
        <v>0</v>
      </c>
    </row>
    <row r="3089" spans="1:22" x14ac:dyDescent="0.35">
      <c r="A3089">
        <v>13088</v>
      </c>
      <c r="B3089" s="1">
        <v>47649</v>
      </c>
      <c r="C3089">
        <v>1802</v>
      </c>
      <c r="D3089" t="s">
        <v>80</v>
      </c>
      <c r="E3089" t="s">
        <v>70</v>
      </c>
      <c r="F3089">
        <v>6</v>
      </c>
      <c r="G3089" s="2">
        <v>585.1</v>
      </c>
      <c r="H3089">
        <v>7.0000000000000007E-2</v>
      </c>
      <c r="I3089" t="s">
        <v>68</v>
      </c>
      <c r="J3089">
        <v>11</v>
      </c>
      <c r="K3089">
        <v>3.2</v>
      </c>
      <c r="L3089" s="2">
        <v>3264.86</v>
      </c>
      <c r="M3089">
        <v>2030</v>
      </c>
      <c r="N3089">
        <v>6</v>
      </c>
      <c r="O3089" t="s">
        <v>181</v>
      </c>
      <c r="P3089" s="2">
        <v>3510.6</v>
      </c>
      <c r="Q3089" s="2">
        <v>245.74</v>
      </c>
      <c r="R3089" t="s">
        <v>69</v>
      </c>
      <c r="S3089">
        <v>1</v>
      </c>
      <c r="T3089">
        <v>1</v>
      </c>
      <c r="U3089">
        <f>IF(AND(OR(Dashboard!$D$4="Semua",D3089=Dashboard!$D$4),OR(Dashboard!$H$4="Semua",E3089=Dashboard!$H$4)),1,0)</f>
        <v>1</v>
      </c>
      <c r="V3089">
        <f>IF(U3089=1,IF(COUNTIFS($C$2:C3089,C3089,$U$2:U3089,1)=1,1,0),0)</f>
        <v>0</v>
      </c>
    </row>
    <row r="3090" spans="1:22" x14ac:dyDescent="0.35">
      <c r="A3090">
        <v>13089</v>
      </c>
      <c r="B3090" s="1">
        <v>47650</v>
      </c>
      <c r="C3090">
        <v>1262</v>
      </c>
      <c r="D3090" t="s">
        <v>62</v>
      </c>
      <c r="E3090" t="s">
        <v>70</v>
      </c>
      <c r="F3090">
        <v>7</v>
      </c>
      <c r="G3090" s="2">
        <v>144.91</v>
      </c>
      <c r="H3090">
        <v>0.19</v>
      </c>
      <c r="I3090" t="s">
        <v>71</v>
      </c>
      <c r="J3090">
        <v>5</v>
      </c>
      <c r="K3090">
        <v>2.2000000000000002</v>
      </c>
      <c r="L3090" s="2">
        <v>821.64</v>
      </c>
      <c r="M3090">
        <v>2030</v>
      </c>
      <c r="N3090">
        <v>6</v>
      </c>
      <c r="O3090" t="s">
        <v>181</v>
      </c>
      <c r="P3090" s="2">
        <v>1014.37</v>
      </c>
      <c r="Q3090" s="2">
        <v>192.73</v>
      </c>
      <c r="R3090" t="s">
        <v>76</v>
      </c>
      <c r="S3090">
        <v>1</v>
      </c>
      <c r="T3090">
        <v>0</v>
      </c>
      <c r="U3090">
        <f>IF(AND(OR(Dashboard!$D$4="Semua",D3090=Dashboard!$D$4),OR(Dashboard!$H$4="Semua",E3090=Dashboard!$H$4)),1,0)</f>
        <v>1</v>
      </c>
      <c r="V3090">
        <f>IF(U3090=1,IF(COUNTIFS($C$2:C3090,C3090,$U$2:U3090,1)=1,1,0),0)</f>
        <v>0</v>
      </c>
    </row>
    <row r="3091" spans="1:22" x14ac:dyDescent="0.35">
      <c r="A3091">
        <v>13090</v>
      </c>
      <c r="B3091" s="1">
        <v>47651</v>
      </c>
      <c r="C3091">
        <v>1596</v>
      </c>
      <c r="D3091" t="s">
        <v>62</v>
      </c>
      <c r="E3091" t="s">
        <v>74</v>
      </c>
      <c r="F3091">
        <v>7</v>
      </c>
      <c r="G3091" s="2">
        <v>291.51</v>
      </c>
      <c r="H3091">
        <v>0.33</v>
      </c>
      <c r="I3091" t="s">
        <v>68</v>
      </c>
      <c r="J3091">
        <v>2</v>
      </c>
      <c r="K3091">
        <v>2.1</v>
      </c>
      <c r="L3091" s="2">
        <v>1367.18</v>
      </c>
      <c r="M3091">
        <v>2030</v>
      </c>
      <c r="N3091">
        <v>6</v>
      </c>
      <c r="O3091" t="s">
        <v>181</v>
      </c>
      <c r="P3091" s="2">
        <v>2040.57</v>
      </c>
      <c r="Q3091" s="2">
        <v>673.39</v>
      </c>
      <c r="R3091" t="s">
        <v>72</v>
      </c>
      <c r="S3091">
        <v>1</v>
      </c>
      <c r="T3091">
        <v>0</v>
      </c>
      <c r="U3091">
        <f>IF(AND(OR(Dashboard!$D$4="Semua",D3091=Dashboard!$D$4),OR(Dashboard!$H$4="Semua",E3091=Dashboard!$H$4)),1,0)</f>
        <v>1</v>
      </c>
      <c r="V3091">
        <f>IF(U3091=1,IF(COUNTIFS($C$2:C3091,C3091,$U$2:U3091,1)=1,1,0),0)</f>
        <v>1</v>
      </c>
    </row>
    <row r="3092" spans="1:22" x14ac:dyDescent="0.35">
      <c r="A3092">
        <v>13091</v>
      </c>
      <c r="B3092" s="1">
        <v>47652</v>
      </c>
      <c r="C3092">
        <v>1657</v>
      </c>
      <c r="D3092" t="s">
        <v>67</v>
      </c>
      <c r="E3092" t="s">
        <v>78</v>
      </c>
      <c r="F3092">
        <v>2</v>
      </c>
      <c r="G3092" s="2">
        <v>50.77</v>
      </c>
      <c r="H3092">
        <v>0.03</v>
      </c>
      <c r="I3092" t="s">
        <v>71</v>
      </c>
      <c r="J3092">
        <v>6</v>
      </c>
      <c r="K3092">
        <v>2.9</v>
      </c>
      <c r="L3092" s="2">
        <v>98.49</v>
      </c>
      <c r="M3092">
        <v>2030</v>
      </c>
      <c r="N3092">
        <v>6</v>
      </c>
      <c r="O3092" t="s">
        <v>181</v>
      </c>
      <c r="P3092" s="2">
        <v>101.54</v>
      </c>
      <c r="Q3092" s="2">
        <v>3.05</v>
      </c>
      <c r="R3092" t="s">
        <v>75</v>
      </c>
      <c r="S3092">
        <v>1</v>
      </c>
      <c r="T3092">
        <v>0</v>
      </c>
      <c r="U3092">
        <f>IF(AND(OR(Dashboard!$D$4="Semua",D3092=Dashboard!$D$4),OR(Dashboard!$H$4="Semua",E3092=Dashboard!$H$4)),1,0)</f>
        <v>1</v>
      </c>
      <c r="V3092">
        <f>IF(U3092=1,IF(COUNTIFS($C$2:C3092,C3092,$U$2:U3092,1)=1,1,0),0)</f>
        <v>0</v>
      </c>
    </row>
    <row r="3093" spans="1:22" x14ac:dyDescent="0.35">
      <c r="A3093">
        <v>13092</v>
      </c>
      <c r="B3093" s="1">
        <v>47653</v>
      </c>
      <c r="C3093">
        <v>1834</v>
      </c>
      <c r="D3093" t="s">
        <v>73</v>
      </c>
      <c r="E3093" t="s">
        <v>70</v>
      </c>
      <c r="F3093">
        <v>6</v>
      </c>
      <c r="G3093" s="2">
        <v>320.39999999999998</v>
      </c>
      <c r="H3093">
        <v>0.02</v>
      </c>
      <c r="I3093" t="s">
        <v>68</v>
      </c>
      <c r="J3093">
        <v>3</v>
      </c>
      <c r="K3093">
        <v>2.9</v>
      </c>
      <c r="L3093" s="2">
        <v>1883.95</v>
      </c>
      <c r="M3093">
        <v>2030</v>
      </c>
      <c r="N3093">
        <v>6</v>
      </c>
      <c r="O3093" t="s">
        <v>181</v>
      </c>
      <c r="P3093" s="2">
        <v>1922.4</v>
      </c>
      <c r="Q3093" s="2">
        <v>38.450000000000003</v>
      </c>
      <c r="R3093" t="s">
        <v>75</v>
      </c>
      <c r="S3093">
        <v>1</v>
      </c>
      <c r="T3093">
        <v>0</v>
      </c>
      <c r="U3093">
        <f>IF(AND(OR(Dashboard!$D$4="Semua",D3093=Dashboard!$D$4),OR(Dashboard!$H$4="Semua",E3093=Dashboard!$H$4)),1,0)</f>
        <v>1</v>
      </c>
      <c r="V3093">
        <f>IF(U3093=1,IF(COUNTIFS($C$2:C3093,C3093,$U$2:U3093,1)=1,1,0),0)</f>
        <v>0</v>
      </c>
    </row>
    <row r="3094" spans="1:22" x14ac:dyDescent="0.35">
      <c r="A3094">
        <v>13093</v>
      </c>
      <c r="B3094" s="1">
        <v>47654</v>
      </c>
      <c r="C3094">
        <v>1553</v>
      </c>
      <c r="D3094" t="s">
        <v>73</v>
      </c>
      <c r="E3094" t="s">
        <v>74</v>
      </c>
      <c r="F3094">
        <v>2</v>
      </c>
      <c r="G3094" s="2">
        <v>237.27</v>
      </c>
      <c r="H3094">
        <v>0.05</v>
      </c>
      <c r="I3094" t="s">
        <v>68</v>
      </c>
      <c r="J3094">
        <v>8</v>
      </c>
      <c r="K3094">
        <v>2.2000000000000002</v>
      </c>
      <c r="L3094" s="2">
        <v>450.81</v>
      </c>
      <c r="M3094">
        <v>2030</v>
      </c>
      <c r="N3094">
        <v>6</v>
      </c>
      <c r="O3094" t="s">
        <v>181</v>
      </c>
      <c r="P3094" s="2">
        <v>474.54</v>
      </c>
      <c r="Q3094" s="2">
        <v>23.73</v>
      </c>
      <c r="R3094" t="s">
        <v>75</v>
      </c>
      <c r="S3094">
        <v>1</v>
      </c>
      <c r="T3094">
        <v>0</v>
      </c>
      <c r="U3094">
        <f>IF(AND(OR(Dashboard!$D$4="Semua",D3094=Dashboard!$D$4),OR(Dashboard!$H$4="Semua",E3094=Dashboard!$H$4)),1,0)</f>
        <v>1</v>
      </c>
      <c r="V3094">
        <f>IF(U3094=1,IF(COUNTIFS($C$2:C3094,C3094,$U$2:U3094,1)=1,1,0),0)</f>
        <v>0</v>
      </c>
    </row>
    <row r="3095" spans="1:22" x14ac:dyDescent="0.35">
      <c r="A3095">
        <v>13094</v>
      </c>
      <c r="B3095" s="1">
        <v>47655</v>
      </c>
      <c r="C3095">
        <v>1373</v>
      </c>
      <c r="D3095" t="s">
        <v>80</v>
      </c>
      <c r="E3095" t="s">
        <v>74</v>
      </c>
      <c r="F3095">
        <v>6</v>
      </c>
      <c r="G3095" s="2">
        <v>41.13</v>
      </c>
      <c r="H3095">
        <v>0.22</v>
      </c>
      <c r="I3095" t="s">
        <v>68</v>
      </c>
      <c r="J3095">
        <v>3</v>
      </c>
      <c r="K3095">
        <v>2.1</v>
      </c>
      <c r="L3095" s="2">
        <v>192.49</v>
      </c>
      <c r="M3095">
        <v>2030</v>
      </c>
      <c r="N3095">
        <v>6</v>
      </c>
      <c r="O3095" t="s">
        <v>181</v>
      </c>
      <c r="P3095" s="2">
        <v>246.78</v>
      </c>
      <c r="Q3095" s="2">
        <v>54.29</v>
      </c>
      <c r="R3095" t="s">
        <v>77</v>
      </c>
      <c r="S3095">
        <v>1</v>
      </c>
      <c r="T3095">
        <v>0</v>
      </c>
      <c r="U3095">
        <f>IF(AND(OR(Dashboard!$D$4="Semua",D3095=Dashboard!$D$4),OR(Dashboard!$H$4="Semua",E3095=Dashboard!$H$4)),1,0)</f>
        <v>1</v>
      </c>
      <c r="V3095">
        <f>IF(U3095=1,IF(COUNTIFS($C$2:C3095,C3095,$U$2:U3095,1)=1,1,0),0)</f>
        <v>0</v>
      </c>
    </row>
    <row r="3096" spans="1:22" x14ac:dyDescent="0.35">
      <c r="A3096">
        <v>13095</v>
      </c>
      <c r="B3096" s="1">
        <v>47656</v>
      </c>
      <c r="C3096">
        <v>1636</v>
      </c>
      <c r="D3096" t="s">
        <v>67</v>
      </c>
      <c r="E3096" t="s">
        <v>63</v>
      </c>
      <c r="F3096">
        <v>2</v>
      </c>
      <c r="G3096" s="2">
        <v>211.05</v>
      </c>
      <c r="H3096">
        <v>0.14000000000000001</v>
      </c>
      <c r="I3096" t="s">
        <v>64</v>
      </c>
      <c r="J3096">
        <v>5</v>
      </c>
      <c r="K3096">
        <v>4.8</v>
      </c>
      <c r="L3096" s="2">
        <v>363.01</v>
      </c>
      <c r="M3096">
        <v>2030</v>
      </c>
      <c r="N3096">
        <v>6</v>
      </c>
      <c r="O3096" t="s">
        <v>181</v>
      </c>
      <c r="P3096" s="2">
        <v>422.1</v>
      </c>
      <c r="Q3096" s="2">
        <v>59.09</v>
      </c>
      <c r="R3096" t="s">
        <v>79</v>
      </c>
      <c r="S3096">
        <v>1</v>
      </c>
      <c r="T3096">
        <v>0</v>
      </c>
      <c r="U3096">
        <f>IF(AND(OR(Dashboard!$D$4="Semua",D3096=Dashboard!$D$4),OR(Dashboard!$H$4="Semua",E3096=Dashboard!$H$4)),1,0)</f>
        <v>1</v>
      </c>
      <c r="V3096">
        <f>IF(U3096=1,IF(COUNTIFS($C$2:C3096,C3096,$U$2:U3096,1)=1,1,0),0)</f>
        <v>0</v>
      </c>
    </row>
    <row r="3097" spans="1:22" x14ac:dyDescent="0.35">
      <c r="A3097">
        <v>13096</v>
      </c>
      <c r="B3097" s="1">
        <v>47657</v>
      </c>
      <c r="C3097">
        <v>1166</v>
      </c>
      <c r="D3097" t="s">
        <v>67</v>
      </c>
      <c r="E3097" t="s">
        <v>74</v>
      </c>
      <c r="F3097">
        <v>2</v>
      </c>
      <c r="G3097" s="2">
        <v>243.99</v>
      </c>
      <c r="H3097">
        <v>0.28999999999999998</v>
      </c>
      <c r="I3097" t="s">
        <v>68</v>
      </c>
      <c r="J3097">
        <v>4</v>
      </c>
      <c r="K3097">
        <v>4.4000000000000004</v>
      </c>
      <c r="L3097" s="2">
        <v>346.47</v>
      </c>
      <c r="M3097">
        <v>2030</v>
      </c>
      <c r="N3097">
        <v>6</v>
      </c>
      <c r="O3097" t="s">
        <v>181</v>
      </c>
      <c r="P3097" s="2">
        <v>487.98</v>
      </c>
      <c r="Q3097" s="2">
        <v>141.51</v>
      </c>
      <c r="R3097" t="s">
        <v>66</v>
      </c>
      <c r="S3097">
        <v>1</v>
      </c>
      <c r="T3097">
        <v>0</v>
      </c>
      <c r="U3097">
        <f>IF(AND(OR(Dashboard!$D$4="Semua",D3097=Dashboard!$D$4),OR(Dashboard!$H$4="Semua",E3097=Dashboard!$H$4)),1,0)</f>
        <v>1</v>
      </c>
      <c r="V3097">
        <f>IF(U3097=1,IF(COUNTIFS($C$2:C3097,C3097,$U$2:U3097,1)=1,1,0),0)</f>
        <v>0</v>
      </c>
    </row>
    <row r="3098" spans="1:22" x14ac:dyDescent="0.35">
      <c r="A3098">
        <v>13097</v>
      </c>
      <c r="B3098" s="1">
        <v>47658</v>
      </c>
      <c r="C3098">
        <v>1936</v>
      </c>
      <c r="D3098" t="s">
        <v>80</v>
      </c>
      <c r="E3098" t="s">
        <v>70</v>
      </c>
      <c r="F3098">
        <v>6</v>
      </c>
      <c r="G3098" s="2">
        <v>594.1</v>
      </c>
      <c r="H3098">
        <v>0.03</v>
      </c>
      <c r="I3098" t="s">
        <v>71</v>
      </c>
      <c r="J3098">
        <v>4</v>
      </c>
      <c r="K3098">
        <v>4.3</v>
      </c>
      <c r="L3098" s="2">
        <v>3457.66</v>
      </c>
      <c r="M3098">
        <v>2030</v>
      </c>
      <c r="N3098">
        <v>6</v>
      </c>
      <c r="O3098" t="s">
        <v>181</v>
      </c>
      <c r="P3098" s="2">
        <v>3564.6</v>
      </c>
      <c r="Q3098" s="2">
        <v>106.94</v>
      </c>
      <c r="R3098" t="s">
        <v>75</v>
      </c>
      <c r="S3098">
        <v>1</v>
      </c>
      <c r="T3098">
        <v>1</v>
      </c>
      <c r="U3098">
        <f>IF(AND(OR(Dashboard!$D$4="Semua",D3098=Dashboard!$D$4),OR(Dashboard!$H$4="Semua",E3098=Dashboard!$H$4)),1,0)</f>
        <v>1</v>
      </c>
      <c r="V3098">
        <f>IF(U3098=1,IF(COUNTIFS($C$2:C3098,C3098,$U$2:U3098,1)=1,1,0),0)</f>
        <v>0</v>
      </c>
    </row>
    <row r="3099" spans="1:22" x14ac:dyDescent="0.35">
      <c r="A3099">
        <v>13098</v>
      </c>
      <c r="B3099" s="1">
        <v>47659</v>
      </c>
      <c r="C3099">
        <v>1752</v>
      </c>
      <c r="D3099" t="s">
        <v>80</v>
      </c>
      <c r="E3099" t="s">
        <v>70</v>
      </c>
      <c r="F3099">
        <v>2</v>
      </c>
      <c r="G3099" s="2">
        <v>136.61000000000001</v>
      </c>
      <c r="H3099">
        <v>7.0000000000000007E-2</v>
      </c>
      <c r="I3099" t="s">
        <v>71</v>
      </c>
      <c r="J3099">
        <v>2</v>
      </c>
      <c r="K3099">
        <v>1.9</v>
      </c>
      <c r="L3099" s="2">
        <v>254.09</v>
      </c>
      <c r="M3099">
        <v>2030</v>
      </c>
      <c r="N3099">
        <v>6</v>
      </c>
      <c r="O3099" t="s">
        <v>181</v>
      </c>
      <c r="P3099" s="2">
        <v>273.22000000000003</v>
      </c>
      <c r="Q3099" s="2">
        <v>19.13</v>
      </c>
      <c r="R3099" t="s">
        <v>69</v>
      </c>
      <c r="S3099">
        <v>1</v>
      </c>
      <c r="T3099">
        <v>0</v>
      </c>
      <c r="U3099">
        <f>IF(AND(OR(Dashboard!$D$4="Semua",D3099=Dashboard!$D$4),OR(Dashboard!$H$4="Semua",E3099=Dashboard!$H$4)),1,0)</f>
        <v>1</v>
      </c>
      <c r="V3099">
        <f>IF(U3099=1,IF(COUNTIFS($C$2:C3099,C3099,$U$2:U3099,1)=1,1,0),0)</f>
        <v>0</v>
      </c>
    </row>
    <row r="3100" spans="1:22" x14ac:dyDescent="0.35">
      <c r="A3100">
        <v>13099</v>
      </c>
      <c r="B3100" s="1">
        <v>47660</v>
      </c>
      <c r="C3100">
        <v>1458</v>
      </c>
      <c r="D3100" t="s">
        <v>80</v>
      </c>
      <c r="E3100" t="s">
        <v>74</v>
      </c>
      <c r="F3100">
        <v>7</v>
      </c>
      <c r="G3100" s="2">
        <v>333.7</v>
      </c>
      <c r="H3100">
        <v>0.11</v>
      </c>
      <c r="I3100" t="s">
        <v>68</v>
      </c>
      <c r="J3100">
        <v>8</v>
      </c>
      <c r="K3100">
        <v>1.8</v>
      </c>
      <c r="L3100" s="2">
        <v>2078.9499999999998</v>
      </c>
      <c r="M3100">
        <v>2030</v>
      </c>
      <c r="N3100">
        <v>6</v>
      </c>
      <c r="O3100" t="s">
        <v>181</v>
      </c>
      <c r="P3100" s="2">
        <v>2335.9</v>
      </c>
      <c r="Q3100" s="2">
        <v>256.95</v>
      </c>
      <c r="R3100" t="s">
        <v>79</v>
      </c>
      <c r="S3100">
        <v>1</v>
      </c>
      <c r="T3100">
        <v>0</v>
      </c>
      <c r="U3100">
        <f>IF(AND(OR(Dashboard!$D$4="Semua",D3100=Dashboard!$D$4),OR(Dashboard!$H$4="Semua",E3100=Dashboard!$H$4)),1,0)</f>
        <v>1</v>
      </c>
      <c r="V3100">
        <f>IF(U3100=1,IF(COUNTIFS($C$2:C3100,C3100,$U$2:U3100,1)=1,1,0),0)</f>
        <v>0</v>
      </c>
    </row>
    <row r="3101" spans="1:22" x14ac:dyDescent="0.35">
      <c r="A3101">
        <v>13100</v>
      </c>
      <c r="B3101" s="1">
        <v>47661</v>
      </c>
      <c r="C3101">
        <v>1998</v>
      </c>
      <c r="D3101" t="s">
        <v>73</v>
      </c>
      <c r="E3101" t="s">
        <v>70</v>
      </c>
      <c r="F3101">
        <v>6</v>
      </c>
      <c r="G3101" s="2">
        <v>592.58000000000004</v>
      </c>
      <c r="H3101">
        <v>0.22</v>
      </c>
      <c r="I3101" t="s">
        <v>71</v>
      </c>
      <c r="J3101">
        <v>3</v>
      </c>
      <c r="K3101">
        <v>4.2</v>
      </c>
      <c r="L3101" s="2">
        <v>2773.27</v>
      </c>
      <c r="M3101">
        <v>2030</v>
      </c>
      <c r="N3101">
        <v>6</v>
      </c>
      <c r="O3101" t="s">
        <v>181</v>
      </c>
      <c r="P3101" s="2">
        <v>3555.48</v>
      </c>
      <c r="Q3101" s="2">
        <v>782.21</v>
      </c>
      <c r="R3101" t="s">
        <v>77</v>
      </c>
      <c r="S3101">
        <v>1</v>
      </c>
      <c r="T3101">
        <v>0</v>
      </c>
      <c r="U3101">
        <f>IF(AND(OR(Dashboard!$D$4="Semua",D3101=Dashboard!$D$4),OR(Dashboard!$H$4="Semua",E3101=Dashboard!$H$4)),1,0)</f>
        <v>1</v>
      </c>
      <c r="V3101">
        <f>IF(U3101=1,IF(COUNTIFS($C$2:C3101,C3101,$U$2:U3101,1)=1,1,0),0)</f>
        <v>0</v>
      </c>
    </row>
    <row r="3102" spans="1:22" x14ac:dyDescent="0.35">
      <c r="A3102">
        <v>13101</v>
      </c>
      <c r="B3102" s="1">
        <v>47662</v>
      </c>
      <c r="C3102">
        <v>1279</v>
      </c>
      <c r="D3102" t="s">
        <v>80</v>
      </c>
      <c r="E3102" t="s">
        <v>74</v>
      </c>
      <c r="F3102">
        <v>2</v>
      </c>
      <c r="G3102" s="2">
        <v>478.33</v>
      </c>
      <c r="H3102">
        <v>0.24</v>
      </c>
      <c r="I3102" t="s">
        <v>64</v>
      </c>
      <c r="J3102">
        <v>4</v>
      </c>
      <c r="K3102">
        <v>1.7</v>
      </c>
      <c r="L3102" s="2">
        <v>727.06</v>
      </c>
      <c r="M3102">
        <v>2030</v>
      </c>
      <c r="N3102">
        <v>6</v>
      </c>
      <c r="O3102" t="s">
        <v>181</v>
      </c>
      <c r="P3102" s="2">
        <v>956.66</v>
      </c>
      <c r="Q3102" s="2">
        <v>229.6</v>
      </c>
      <c r="R3102" t="s">
        <v>77</v>
      </c>
      <c r="S3102">
        <v>1</v>
      </c>
      <c r="T3102">
        <v>0</v>
      </c>
      <c r="U3102">
        <f>IF(AND(OR(Dashboard!$D$4="Semua",D3102=Dashboard!$D$4),OR(Dashboard!$H$4="Semua",E3102=Dashboard!$H$4)),1,0)</f>
        <v>1</v>
      </c>
      <c r="V3102">
        <f>IF(U3102=1,IF(COUNTIFS($C$2:C3102,C3102,$U$2:U3102,1)=1,1,0),0)</f>
        <v>0</v>
      </c>
    </row>
    <row r="3103" spans="1:22" x14ac:dyDescent="0.35">
      <c r="A3103">
        <v>13102</v>
      </c>
      <c r="B3103" s="1">
        <v>47663</v>
      </c>
      <c r="C3103">
        <v>1699</v>
      </c>
      <c r="D3103" t="s">
        <v>62</v>
      </c>
      <c r="E3103" t="s">
        <v>70</v>
      </c>
      <c r="F3103">
        <v>7</v>
      </c>
      <c r="G3103" s="2">
        <v>596.12</v>
      </c>
      <c r="H3103">
        <v>0.04</v>
      </c>
      <c r="I3103" t="s">
        <v>71</v>
      </c>
      <c r="J3103">
        <v>6</v>
      </c>
      <c r="K3103">
        <v>3</v>
      </c>
      <c r="L3103" s="2">
        <v>4005.93</v>
      </c>
      <c r="M3103">
        <v>2030</v>
      </c>
      <c r="N3103">
        <v>6</v>
      </c>
      <c r="O3103" t="s">
        <v>181</v>
      </c>
      <c r="P3103" s="2">
        <v>4172.84</v>
      </c>
      <c r="Q3103" s="2">
        <v>166.91</v>
      </c>
      <c r="R3103" t="s">
        <v>75</v>
      </c>
      <c r="S3103">
        <v>1</v>
      </c>
      <c r="T3103">
        <v>1</v>
      </c>
      <c r="U3103">
        <f>IF(AND(OR(Dashboard!$D$4="Semua",D3103=Dashboard!$D$4),OR(Dashboard!$H$4="Semua",E3103=Dashboard!$H$4)),1,0)</f>
        <v>1</v>
      </c>
      <c r="V3103">
        <f>IF(U3103=1,IF(COUNTIFS($C$2:C3103,C3103,$U$2:U3103,1)=1,1,0),0)</f>
        <v>0</v>
      </c>
    </row>
    <row r="3104" spans="1:22" x14ac:dyDescent="0.35">
      <c r="A3104">
        <v>13103</v>
      </c>
      <c r="B3104" s="1">
        <v>47664</v>
      </c>
      <c r="C3104">
        <v>1301</v>
      </c>
      <c r="D3104" t="s">
        <v>73</v>
      </c>
      <c r="E3104" t="s">
        <v>63</v>
      </c>
      <c r="F3104">
        <v>7</v>
      </c>
      <c r="G3104" s="2">
        <v>581.45000000000005</v>
      </c>
      <c r="H3104">
        <v>0.33</v>
      </c>
      <c r="I3104" t="s">
        <v>68</v>
      </c>
      <c r="J3104">
        <v>9</v>
      </c>
      <c r="K3104">
        <v>1.9</v>
      </c>
      <c r="L3104" s="2">
        <v>2727</v>
      </c>
      <c r="M3104">
        <v>2030</v>
      </c>
      <c r="N3104">
        <v>6</v>
      </c>
      <c r="O3104" t="s">
        <v>181</v>
      </c>
      <c r="P3104" s="2">
        <v>4070.15</v>
      </c>
      <c r="Q3104" s="2">
        <v>1343.15</v>
      </c>
      <c r="R3104" t="s">
        <v>72</v>
      </c>
      <c r="S3104">
        <v>1</v>
      </c>
      <c r="T3104">
        <v>0</v>
      </c>
      <c r="U3104">
        <f>IF(AND(OR(Dashboard!$D$4="Semua",D3104=Dashboard!$D$4),OR(Dashboard!$H$4="Semua",E3104=Dashboard!$H$4)),1,0)</f>
        <v>1</v>
      </c>
      <c r="V3104">
        <f>IF(U3104=1,IF(COUNTIFS($C$2:C3104,C3104,$U$2:U3104,1)=1,1,0),0)</f>
        <v>0</v>
      </c>
    </row>
    <row r="3105" spans="1:22" x14ac:dyDescent="0.35">
      <c r="A3105">
        <v>13104</v>
      </c>
      <c r="B3105" s="1">
        <v>47665</v>
      </c>
      <c r="C3105">
        <v>1530</v>
      </c>
      <c r="D3105" t="s">
        <v>67</v>
      </c>
      <c r="E3105" t="s">
        <v>78</v>
      </c>
      <c r="F3105">
        <v>5</v>
      </c>
      <c r="G3105" s="2">
        <v>301.38</v>
      </c>
      <c r="H3105">
        <v>0.12</v>
      </c>
      <c r="I3105" t="s">
        <v>71</v>
      </c>
      <c r="J3105">
        <v>4</v>
      </c>
      <c r="K3105">
        <v>2.5</v>
      </c>
      <c r="L3105" s="2">
        <v>1326.07</v>
      </c>
      <c r="M3105">
        <v>2030</v>
      </c>
      <c r="N3105">
        <v>7</v>
      </c>
      <c r="O3105" t="s">
        <v>182</v>
      </c>
      <c r="P3105" s="2">
        <v>1506.9</v>
      </c>
      <c r="Q3105" s="2">
        <v>180.83</v>
      </c>
      <c r="R3105" t="s">
        <v>79</v>
      </c>
      <c r="S3105">
        <v>1</v>
      </c>
      <c r="T3105">
        <v>0</v>
      </c>
      <c r="U3105">
        <f>IF(AND(OR(Dashboard!$D$4="Semua",D3105=Dashboard!$D$4),OR(Dashboard!$H$4="Semua",E3105=Dashboard!$H$4)),1,0)</f>
        <v>1</v>
      </c>
      <c r="V3105">
        <f>IF(U3105=1,IF(COUNTIFS($C$2:C3105,C3105,$U$2:U3105,1)=1,1,0),0)</f>
        <v>0</v>
      </c>
    </row>
    <row r="3106" spans="1:22" x14ac:dyDescent="0.35">
      <c r="A3106">
        <v>13105</v>
      </c>
      <c r="B3106" s="1">
        <v>47666</v>
      </c>
      <c r="C3106">
        <v>1579</v>
      </c>
      <c r="D3106" t="s">
        <v>73</v>
      </c>
      <c r="E3106" t="s">
        <v>63</v>
      </c>
      <c r="F3106">
        <v>1</v>
      </c>
      <c r="G3106" s="2">
        <v>422.38</v>
      </c>
      <c r="H3106">
        <v>0.25</v>
      </c>
      <c r="I3106" t="s">
        <v>71</v>
      </c>
      <c r="J3106">
        <v>3</v>
      </c>
      <c r="K3106">
        <v>4.4000000000000004</v>
      </c>
      <c r="L3106" s="2">
        <v>316.77999999999997</v>
      </c>
      <c r="M3106">
        <v>2030</v>
      </c>
      <c r="N3106">
        <v>7</v>
      </c>
      <c r="O3106" t="s">
        <v>182</v>
      </c>
      <c r="P3106" s="2">
        <v>422.38</v>
      </c>
      <c r="Q3106" s="2">
        <v>105.6</v>
      </c>
      <c r="R3106" t="s">
        <v>77</v>
      </c>
      <c r="S3106">
        <v>1</v>
      </c>
      <c r="T3106">
        <v>0</v>
      </c>
      <c r="U3106">
        <f>IF(AND(OR(Dashboard!$D$4="Semua",D3106=Dashboard!$D$4),OR(Dashboard!$H$4="Semua",E3106=Dashboard!$H$4)),1,0)</f>
        <v>1</v>
      </c>
      <c r="V3106">
        <f>IF(U3106=1,IF(COUNTIFS($C$2:C3106,C3106,$U$2:U3106,1)=1,1,0),0)</f>
        <v>0</v>
      </c>
    </row>
    <row r="3107" spans="1:22" x14ac:dyDescent="0.35">
      <c r="A3107">
        <v>13106</v>
      </c>
      <c r="B3107" s="1">
        <v>47667</v>
      </c>
      <c r="C3107">
        <v>1217</v>
      </c>
      <c r="D3107" t="s">
        <v>62</v>
      </c>
      <c r="E3107" t="s">
        <v>63</v>
      </c>
      <c r="F3107">
        <v>6</v>
      </c>
      <c r="G3107" s="2">
        <v>79.61</v>
      </c>
      <c r="H3107">
        <v>0.18</v>
      </c>
      <c r="I3107" t="s">
        <v>68</v>
      </c>
      <c r="J3107">
        <v>5</v>
      </c>
      <c r="K3107">
        <v>4.5999999999999996</v>
      </c>
      <c r="L3107" s="2">
        <v>391.68</v>
      </c>
      <c r="M3107">
        <v>2030</v>
      </c>
      <c r="N3107">
        <v>7</v>
      </c>
      <c r="O3107" t="s">
        <v>182</v>
      </c>
      <c r="P3107" s="2">
        <v>477.66</v>
      </c>
      <c r="Q3107" s="2">
        <v>85.98</v>
      </c>
      <c r="R3107" t="s">
        <v>76</v>
      </c>
      <c r="S3107">
        <v>1</v>
      </c>
      <c r="T3107">
        <v>0</v>
      </c>
      <c r="U3107">
        <f>IF(AND(OR(Dashboard!$D$4="Semua",D3107=Dashboard!$D$4),OR(Dashboard!$H$4="Semua",E3107=Dashboard!$H$4)),1,0)</f>
        <v>1</v>
      </c>
      <c r="V3107">
        <f>IF(U3107=1,IF(COUNTIFS($C$2:C3107,C3107,$U$2:U3107,1)=1,1,0),0)</f>
        <v>0</v>
      </c>
    </row>
    <row r="3108" spans="1:22" x14ac:dyDescent="0.35">
      <c r="A3108">
        <v>13107</v>
      </c>
      <c r="B3108" s="1">
        <v>47668</v>
      </c>
      <c r="C3108">
        <v>1101</v>
      </c>
      <c r="D3108" t="s">
        <v>73</v>
      </c>
      <c r="E3108" t="s">
        <v>78</v>
      </c>
      <c r="F3108">
        <v>2</v>
      </c>
      <c r="G3108" s="2">
        <v>273.07</v>
      </c>
      <c r="H3108">
        <v>0.08</v>
      </c>
      <c r="I3108" t="s">
        <v>68</v>
      </c>
      <c r="J3108">
        <v>9</v>
      </c>
      <c r="K3108">
        <v>5</v>
      </c>
      <c r="L3108" s="2">
        <v>502.45</v>
      </c>
      <c r="M3108">
        <v>2030</v>
      </c>
      <c r="N3108">
        <v>7</v>
      </c>
      <c r="O3108" t="s">
        <v>182</v>
      </c>
      <c r="P3108" s="2">
        <v>546.14</v>
      </c>
      <c r="Q3108" s="2">
        <v>43.69</v>
      </c>
      <c r="R3108" t="s">
        <v>69</v>
      </c>
      <c r="S3108">
        <v>1</v>
      </c>
      <c r="T3108">
        <v>0</v>
      </c>
      <c r="U3108">
        <f>IF(AND(OR(Dashboard!$D$4="Semua",D3108=Dashboard!$D$4),OR(Dashboard!$H$4="Semua",E3108=Dashboard!$H$4)),1,0)</f>
        <v>1</v>
      </c>
      <c r="V3108">
        <f>IF(U3108=1,IF(COUNTIFS($C$2:C3108,C3108,$U$2:U3108,1)=1,1,0),0)</f>
        <v>0</v>
      </c>
    </row>
    <row r="3109" spans="1:22" x14ac:dyDescent="0.35">
      <c r="A3109">
        <v>13108</v>
      </c>
      <c r="B3109" s="1">
        <v>47669</v>
      </c>
      <c r="C3109">
        <v>1553</v>
      </c>
      <c r="D3109" t="s">
        <v>67</v>
      </c>
      <c r="E3109" t="s">
        <v>70</v>
      </c>
      <c r="F3109">
        <v>5</v>
      </c>
      <c r="G3109" s="2">
        <v>488.28</v>
      </c>
      <c r="H3109">
        <v>0.3</v>
      </c>
      <c r="I3109" t="s">
        <v>68</v>
      </c>
      <c r="J3109">
        <v>1</v>
      </c>
      <c r="K3109">
        <v>4.8</v>
      </c>
      <c r="L3109" s="2">
        <v>1708.98</v>
      </c>
      <c r="M3109">
        <v>2030</v>
      </c>
      <c r="N3109">
        <v>7</v>
      </c>
      <c r="O3109" t="s">
        <v>182</v>
      </c>
      <c r="P3109" s="2">
        <v>2441.4</v>
      </c>
      <c r="Q3109" s="2">
        <v>732.42</v>
      </c>
      <c r="R3109" t="s">
        <v>66</v>
      </c>
      <c r="S3109">
        <v>1</v>
      </c>
      <c r="T3109">
        <v>0</v>
      </c>
      <c r="U3109">
        <f>IF(AND(OR(Dashboard!$D$4="Semua",D3109=Dashboard!$D$4),OR(Dashboard!$H$4="Semua",E3109=Dashboard!$H$4)),1,0)</f>
        <v>1</v>
      </c>
      <c r="V3109">
        <f>IF(U3109=1,IF(COUNTIFS($C$2:C3109,C3109,$U$2:U3109,1)=1,1,0),0)</f>
        <v>0</v>
      </c>
    </row>
    <row r="3110" spans="1:22" x14ac:dyDescent="0.35">
      <c r="A3110">
        <v>13109</v>
      </c>
      <c r="B3110" s="1">
        <v>47670</v>
      </c>
      <c r="C3110">
        <v>1287</v>
      </c>
      <c r="D3110" t="s">
        <v>73</v>
      </c>
      <c r="E3110" t="s">
        <v>78</v>
      </c>
      <c r="F3110">
        <v>1</v>
      </c>
      <c r="G3110" s="2">
        <v>310.62</v>
      </c>
      <c r="H3110">
        <v>0.28999999999999998</v>
      </c>
      <c r="I3110" t="s">
        <v>68</v>
      </c>
      <c r="J3110">
        <v>5</v>
      </c>
      <c r="K3110">
        <v>3.7</v>
      </c>
      <c r="L3110" s="2">
        <v>220.54</v>
      </c>
      <c r="M3110">
        <v>2030</v>
      </c>
      <c r="N3110">
        <v>7</v>
      </c>
      <c r="O3110" t="s">
        <v>182</v>
      </c>
      <c r="P3110" s="2">
        <v>310.62</v>
      </c>
      <c r="Q3110" s="2">
        <v>90.08</v>
      </c>
      <c r="R3110" t="s">
        <v>66</v>
      </c>
      <c r="S3110">
        <v>1</v>
      </c>
      <c r="T3110">
        <v>0</v>
      </c>
      <c r="U3110">
        <f>IF(AND(OR(Dashboard!$D$4="Semua",D3110=Dashboard!$D$4),OR(Dashboard!$H$4="Semua",E3110=Dashboard!$H$4)),1,0)</f>
        <v>1</v>
      </c>
      <c r="V3110">
        <f>IF(U3110=1,IF(COUNTIFS($C$2:C3110,C3110,$U$2:U3110,1)=1,1,0),0)</f>
        <v>0</v>
      </c>
    </row>
    <row r="3111" spans="1:22" x14ac:dyDescent="0.35">
      <c r="A3111">
        <v>13110</v>
      </c>
      <c r="B3111" s="1">
        <v>47671</v>
      </c>
      <c r="C3111">
        <v>1166</v>
      </c>
      <c r="D3111" t="s">
        <v>80</v>
      </c>
      <c r="E3111" t="s">
        <v>74</v>
      </c>
      <c r="F3111">
        <v>2</v>
      </c>
      <c r="G3111" s="2">
        <v>426.08</v>
      </c>
      <c r="H3111">
        <v>0.14000000000000001</v>
      </c>
      <c r="I3111" t="s">
        <v>68</v>
      </c>
      <c r="J3111">
        <v>11</v>
      </c>
      <c r="K3111">
        <v>2.7</v>
      </c>
      <c r="L3111" s="2">
        <v>732.86</v>
      </c>
      <c r="M3111">
        <v>2030</v>
      </c>
      <c r="N3111">
        <v>7</v>
      </c>
      <c r="O3111" t="s">
        <v>182</v>
      </c>
      <c r="P3111" s="2">
        <v>852.16</v>
      </c>
      <c r="Q3111" s="2">
        <v>119.3</v>
      </c>
      <c r="R3111" t="s">
        <v>79</v>
      </c>
      <c r="S3111">
        <v>1</v>
      </c>
      <c r="T3111">
        <v>0</v>
      </c>
      <c r="U3111">
        <f>IF(AND(OR(Dashboard!$D$4="Semua",D3111=Dashboard!$D$4),OR(Dashboard!$H$4="Semua",E3111=Dashboard!$H$4)),1,0)</f>
        <v>1</v>
      </c>
      <c r="V3111">
        <f>IF(U3111=1,IF(COUNTIFS($C$2:C3111,C3111,$U$2:U3111,1)=1,1,0),0)</f>
        <v>0</v>
      </c>
    </row>
    <row r="3112" spans="1:22" x14ac:dyDescent="0.35">
      <c r="A3112">
        <v>13111</v>
      </c>
      <c r="B3112" s="1">
        <v>47672</v>
      </c>
      <c r="C3112">
        <v>1620</v>
      </c>
      <c r="D3112" t="s">
        <v>73</v>
      </c>
      <c r="E3112" t="s">
        <v>78</v>
      </c>
      <c r="F3112">
        <v>1</v>
      </c>
      <c r="G3112" s="2">
        <v>451.26</v>
      </c>
      <c r="H3112">
        <v>0.21</v>
      </c>
      <c r="I3112" t="s">
        <v>71</v>
      </c>
      <c r="J3112">
        <v>4</v>
      </c>
      <c r="K3112">
        <v>1.2</v>
      </c>
      <c r="L3112" s="2">
        <v>356.5</v>
      </c>
      <c r="M3112">
        <v>2030</v>
      </c>
      <c r="N3112">
        <v>7</v>
      </c>
      <c r="O3112" t="s">
        <v>182</v>
      </c>
      <c r="P3112" s="2">
        <v>451.26</v>
      </c>
      <c r="Q3112" s="2">
        <v>94.76</v>
      </c>
      <c r="R3112" t="s">
        <v>77</v>
      </c>
      <c r="S3112">
        <v>1</v>
      </c>
      <c r="T3112">
        <v>0</v>
      </c>
      <c r="U3112">
        <f>IF(AND(OR(Dashboard!$D$4="Semua",D3112=Dashboard!$D$4),OR(Dashboard!$H$4="Semua",E3112=Dashboard!$H$4)),1,0)</f>
        <v>1</v>
      </c>
      <c r="V3112">
        <f>IF(U3112=1,IF(COUNTIFS($C$2:C3112,C3112,$U$2:U3112,1)=1,1,0),0)</f>
        <v>1</v>
      </c>
    </row>
    <row r="3113" spans="1:22" x14ac:dyDescent="0.35">
      <c r="A3113">
        <v>13112</v>
      </c>
      <c r="B3113" s="1">
        <v>47673</v>
      </c>
      <c r="C3113">
        <v>1035</v>
      </c>
      <c r="D3113" t="s">
        <v>73</v>
      </c>
      <c r="E3113" t="s">
        <v>63</v>
      </c>
      <c r="F3113">
        <v>6</v>
      </c>
      <c r="G3113" s="2">
        <v>163.28</v>
      </c>
      <c r="H3113">
        <v>0.09</v>
      </c>
      <c r="I3113" t="s">
        <v>68</v>
      </c>
      <c r="J3113">
        <v>5</v>
      </c>
      <c r="K3113">
        <v>3.4</v>
      </c>
      <c r="L3113" s="2">
        <v>891.51</v>
      </c>
      <c r="M3113">
        <v>2030</v>
      </c>
      <c r="N3113">
        <v>7</v>
      </c>
      <c r="O3113" t="s">
        <v>182</v>
      </c>
      <c r="P3113" s="2">
        <v>979.68</v>
      </c>
      <c r="Q3113" s="2">
        <v>88.17</v>
      </c>
      <c r="R3113" t="s">
        <v>69</v>
      </c>
      <c r="S3113">
        <v>1</v>
      </c>
      <c r="T3113">
        <v>0</v>
      </c>
      <c r="U3113">
        <f>IF(AND(OR(Dashboard!$D$4="Semua",D3113=Dashboard!$D$4),OR(Dashboard!$H$4="Semua",E3113=Dashboard!$H$4)),1,0)</f>
        <v>1</v>
      </c>
      <c r="V3113">
        <f>IF(U3113=1,IF(COUNTIFS($C$2:C3113,C3113,$U$2:U3113,1)=1,1,0),0)</f>
        <v>0</v>
      </c>
    </row>
    <row r="3114" spans="1:22" x14ac:dyDescent="0.35">
      <c r="A3114">
        <v>13113</v>
      </c>
      <c r="B3114" s="1">
        <v>47674</v>
      </c>
      <c r="C3114">
        <v>1743</v>
      </c>
      <c r="D3114" t="s">
        <v>67</v>
      </c>
      <c r="E3114" t="s">
        <v>78</v>
      </c>
      <c r="F3114">
        <v>7</v>
      </c>
      <c r="G3114" s="2">
        <v>527.28</v>
      </c>
      <c r="H3114">
        <v>0.24</v>
      </c>
      <c r="I3114" t="s">
        <v>64</v>
      </c>
      <c r="J3114">
        <v>7</v>
      </c>
      <c r="K3114">
        <v>1.8</v>
      </c>
      <c r="L3114" s="2">
        <v>2805.13</v>
      </c>
      <c r="M3114">
        <v>2030</v>
      </c>
      <c r="N3114">
        <v>7</v>
      </c>
      <c r="O3114" t="s">
        <v>182</v>
      </c>
      <c r="P3114" s="2">
        <v>3690.96</v>
      </c>
      <c r="Q3114" s="2">
        <v>885.83</v>
      </c>
      <c r="R3114" t="s">
        <v>77</v>
      </c>
      <c r="S3114">
        <v>1</v>
      </c>
      <c r="T3114">
        <v>0</v>
      </c>
      <c r="U3114">
        <f>IF(AND(OR(Dashboard!$D$4="Semua",D3114=Dashboard!$D$4),OR(Dashboard!$H$4="Semua",E3114=Dashboard!$H$4)),1,0)</f>
        <v>1</v>
      </c>
      <c r="V3114">
        <f>IF(U3114=1,IF(COUNTIFS($C$2:C3114,C3114,$U$2:U3114,1)=1,1,0),0)</f>
        <v>0</v>
      </c>
    </row>
    <row r="3115" spans="1:22" x14ac:dyDescent="0.35">
      <c r="A3115">
        <v>13114</v>
      </c>
      <c r="B3115" s="1">
        <v>47675</v>
      </c>
      <c r="C3115">
        <v>1740</v>
      </c>
      <c r="D3115" t="s">
        <v>62</v>
      </c>
      <c r="E3115" t="s">
        <v>70</v>
      </c>
      <c r="F3115">
        <v>7</v>
      </c>
      <c r="G3115" s="2">
        <v>284</v>
      </c>
      <c r="H3115">
        <v>0.11</v>
      </c>
      <c r="I3115" t="s">
        <v>71</v>
      </c>
      <c r="J3115">
        <v>7</v>
      </c>
      <c r="K3115">
        <v>4.4000000000000004</v>
      </c>
      <c r="L3115" s="2">
        <v>1769.32</v>
      </c>
      <c r="M3115">
        <v>2030</v>
      </c>
      <c r="N3115">
        <v>7</v>
      </c>
      <c r="O3115" t="s">
        <v>182</v>
      </c>
      <c r="P3115" s="2">
        <v>1988</v>
      </c>
      <c r="Q3115" s="2">
        <v>218.68</v>
      </c>
      <c r="R3115" t="s">
        <v>79</v>
      </c>
      <c r="S3115">
        <v>1</v>
      </c>
      <c r="T3115">
        <v>0</v>
      </c>
      <c r="U3115">
        <f>IF(AND(OR(Dashboard!$D$4="Semua",D3115=Dashboard!$D$4),OR(Dashboard!$H$4="Semua",E3115=Dashboard!$H$4)),1,0)</f>
        <v>1</v>
      </c>
      <c r="V3115">
        <f>IF(U3115=1,IF(COUNTIFS($C$2:C3115,C3115,$U$2:U3115,1)=1,1,0),0)</f>
        <v>0</v>
      </c>
    </row>
    <row r="3116" spans="1:22" x14ac:dyDescent="0.35">
      <c r="A3116">
        <v>13115</v>
      </c>
      <c r="B3116" s="1">
        <v>47676</v>
      </c>
      <c r="C3116">
        <v>1352</v>
      </c>
      <c r="D3116" t="s">
        <v>73</v>
      </c>
      <c r="E3116" t="s">
        <v>63</v>
      </c>
      <c r="F3116">
        <v>1</v>
      </c>
      <c r="G3116" s="2">
        <v>137.96</v>
      </c>
      <c r="H3116">
        <v>0.3</v>
      </c>
      <c r="I3116" t="s">
        <v>64</v>
      </c>
      <c r="J3116">
        <v>7</v>
      </c>
      <c r="K3116">
        <v>3.2</v>
      </c>
      <c r="L3116" s="2">
        <v>96.57</v>
      </c>
      <c r="M3116">
        <v>2030</v>
      </c>
      <c r="N3116">
        <v>7</v>
      </c>
      <c r="O3116" t="s">
        <v>182</v>
      </c>
      <c r="P3116" s="2">
        <v>137.96</v>
      </c>
      <c r="Q3116" s="2">
        <v>41.39</v>
      </c>
      <c r="R3116" t="s">
        <v>66</v>
      </c>
      <c r="S3116">
        <v>1</v>
      </c>
      <c r="T3116">
        <v>0</v>
      </c>
      <c r="U3116">
        <f>IF(AND(OR(Dashboard!$D$4="Semua",D3116=Dashboard!$D$4),OR(Dashboard!$H$4="Semua",E3116=Dashboard!$H$4)),1,0)</f>
        <v>1</v>
      </c>
      <c r="V3116">
        <f>IF(U3116=1,IF(COUNTIFS($C$2:C3116,C3116,$U$2:U3116,1)=1,1,0),0)</f>
        <v>0</v>
      </c>
    </row>
    <row r="3117" spans="1:22" x14ac:dyDescent="0.35">
      <c r="A3117">
        <v>13116</v>
      </c>
      <c r="B3117" s="1">
        <v>47677</v>
      </c>
      <c r="C3117">
        <v>1675</v>
      </c>
      <c r="D3117" t="s">
        <v>73</v>
      </c>
      <c r="E3117" t="s">
        <v>74</v>
      </c>
      <c r="F3117">
        <v>7</v>
      </c>
      <c r="G3117" s="2">
        <v>521.27</v>
      </c>
      <c r="H3117">
        <v>0.08</v>
      </c>
      <c r="I3117" t="s">
        <v>71</v>
      </c>
      <c r="J3117">
        <v>1</v>
      </c>
      <c r="K3117">
        <v>3.9</v>
      </c>
      <c r="L3117" s="2">
        <v>3356.98</v>
      </c>
      <c r="M3117">
        <v>2030</v>
      </c>
      <c r="N3117">
        <v>7</v>
      </c>
      <c r="O3117" t="s">
        <v>182</v>
      </c>
      <c r="P3117" s="2">
        <v>3648.89</v>
      </c>
      <c r="Q3117" s="2">
        <v>291.91000000000003</v>
      </c>
      <c r="R3117" t="s">
        <v>69</v>
      </c>
      <c r="S3117">
        <v>1</v>
      </c>
      <c r="T3117">
        <v>1</v>
      </c>
      <c r="U3117">
        <f>IF(AND(OR(Dashboard!$D$4="Semua",D3117=Dashboard!$D$4),OR(Dashboard!$H$4="Semua",E3117=Dashboard!$H$4)),1,0)</f>
        <v>1</v>
      </c>
      <c r="V3117">
        <f>IF(U3117=1,IF(COUNTIFS($C$2:C3117,C3117,$U$2:U3117,1)=1,1,0),0)</f>
        <v>0</v>
      </c>
    </row>
    <row r="3118" spans="1:22" x14ac:dyDescent="0.35">
      <c r="A3118">
        <v>13117</v>
      </c>
      <c r="B3118" s="1">
        <v>47678</v>
      </c>
      <c r="C3118">
        <v>1898</v>
      </c>
      <c r="D3118" t="s">
        <v>80</v>
      </c>
      <c r="E3118" t="s">
        <v>70</v>
      </c>
      <c r="F3118">
        <v>3</v>
      </c>
      <c r="G3118" s="2">
        <v>259.42</v>
      </c>
      <c r="H3118">
        <v>0.01</v>
      </c>
      <c r="I3118" t="s">
        <v>68</v>
      </c>
      <c r="J3118">
        <v>9</v>
      </c>
      <c r="K3118">
        <v>3.7</v>
      </c>
      <c r="L3118" s="2">
        <v>770.48</v>
      </c>
      <c r="M3118">
        <v>2030</v>
      </c>
      <c r="N3118">
        <v>7</v>
      </c>
      <c r="O3118" t="s">
        <v>182</v>
      </c>
      <c r="P3118" s="2">
        <v>778.26</v>
      </c>
      <c r="Q3118" s="2">
        <v>7.78</v>
      </c>
      <c r="R3118" t="s">
        <v>75</v>
      </c>
      <c r="S3118">
        <v>1</v>
      </c>
      <c r="T3118">
        <v>0</v>
      </c>
      <c r="U3118">
        <f>IF(AND(OR(Dashboard!$D$4="Semua",D3118=Dashboard!$D$4),OR(Dashboard!$H$4="Semua",E3118=Dashboard!$H$4)),1,0)</f>
        <v>1</v>
      </c>
      <c r="V3118">
        <f>IF(U3118=1,IF(COUNTIFS($C$2:C3118,C3118,$U$2:U3118,1)=1,1,0),0)</f>
        <v>0</v>
      </c>
    </row>
    <row r="3119" spans="1:22" x14ac:dyDescent="0.35">
      <c r="A3119">
        <v>13118</v>
      </c>
      <c r="B3119" s="1">
        <v>47679</v>
      </c>
      <c r="C3119">
        <v>1072</v>
      </c>
      <c r="D3119" t="s">
        <v>67</v>
      </c>
      <c r="E3119" t="s">
        <v>63</v>
      </c>
      <c r="F3119">
        <v>4</v>
      </c>
      <c r="G3119" s="2">
        <v>453.93</v>
      </c>
      <c r="H3119">
        <v>0.09</v>
      </c>
      <c r="I3119" t="s">
        <v>71</v>
      </c>
      <c r="J3119">
        <v>7</v>
      </c>
      <c r="K3119">
        <v>2.4</v>
      </c>
      <c r="L3119" s="2">
        <v>1652.31</v>
      </c>
      <c r="M3119">
        <v>2030</v>
      </c>
      <c r="N3119">
        <v>7</v>
      </c>
      <c r="O3119" t="s">
        <v>182</v>
      </c>
      <c r="P3119" s="2">
        <v>1815.72</v>
      </c>
      <c r="Q3119" s="2">
        <v>163.41</v>
      </c>
      <c r="R3119" t="s">
        <v>69</v>
      </c>
      <c r="S3119">
        <v>1</v>
      </c>
      <c r="T3119">
        <v>0</v>
      </c>
      <c r="U3119">
        <f>IF(AND(OR(Dashboard!$D$4="Semua",D3119=Dashboard!$D$4),OR(Dashboard!$H$4="Semua",E3119=Dashboard!$H$4)),1,0)</f>
        <v>1</v>
      </c>
      <c r="V3119">
        <f>IF(U3119=1,IF(COUNTIFS($C$2:C3119,C3119,$U$2:U3119,1)=1,1,0),0)</f>
        <v>0</v>
      </c>
    </row>
    <row r="3120" spans="1:22" x14ac:dyDescent="0.35">
      <c r="A3120">
        <v>13119</v>
      </c>
      <c r="B3120" s="1">
        <v>47680</v>
      </c>
      <c r="C3120">
        <v>1647</v>
      </c>
      <c r="D3120" t="s">
        <v>62</v>
      </c>
      <c r="E3120" t="s">
        <v>74</v>
      </c>
      <c r="F3120">
        <v>7</v>
      </c>
      <c r="G3120" s="2">
        <v>335.6</v>
      </c>
      <c r="H3120">
        <v>7.0000000000000007E-2</v>
      </c>
      <c r="I3120" t="s">
        <v>64</v>
      </c>
      <c r="J3120">
        <v>4</v>
      </c>
      <c r="K3120">
        <v>4</v>
      </c>
      <c r="L3120" s="2">
        <v>2184.7600000000002</v>
      </c>
      <c r="M3120">
        <v>2030</v>
      </c>
      <c r="N3120">
        <v>7</v>
      </c>
      <c r="O3120" t="s">
        <v>182</v>
      </c>
      <c r="P3120" s="2">
        <v>2349.1999999999998</v>
      </c>
      <c r="Q3120" s="2">
        <v>164.44</v>
      </c>
      <c r="R3120" t="s">
        <v>69</v>
      </c>
      <c r="S3120">
        <v>1</v>
      </c>
      <c r="T3120">
        <v>0</v>
      </c>
      <c r="U3120">
        <f>IF(AND(OR(Dashboard!$D$4="Semua",D3120=Dashboard!$D$4),OR(Dashboard!$H$4="Semua",E3120=Dashboard!$H$4)),1,0)</f>
        <v>1</v>
      </c>
      <c r="V3120">
        <f>IF(U3120=1,IF(COUNTIFS($C$2:C3120,C3120,$U$2:U3120,1)=1,1,0),0)</f>
        <v>0</v>
      </c>
    </row>
    <row r="3121" spans="1:22" x14ac:dyDescent="0.35">
      <c r="A3121">
        <v>13120</v>
      </c>
      <c r="B3121" s="1">
        <v>47681</v>
      </c>
      <c r="C3121">
        <v>1352</v>
      </c>
      <c r="D3121" t="s">
        <v>73</v>
      </c>
      <c r="E3121" t="s">
        <v>70</v>
      </c>
      <c r="F3121">
        <v>3</v>
      </c>
      <c r="G3121" s="2">
        <v>238.39</v>
      </c>
      <c r="H3121">
        <v>0.18</v>
      </c>
      <c r="I3121" t="s">
        <v>68</v>
      </c>
      <c r="J3121">
        <v>4</v>
      </c>
      <c r="K3121">
        <v>4.4000000000000004</v>
      </c>
      <c r="L3121" s="2">
        <v>586.44000000000005</v>
      </c>
      <c r="M3121">
        <v>2030</v>
      </c>
      <c r="N3121">
        <v>7</v>
      </c>
      <c r="O3121" t="s">
        <v>182</v>
      </c>
      <c r="P3121" s="2">
        <v>715.17</v>
      </c>
      <c r="Q3121" s="2">
        <v>128.72999999999999</v>
      </c>
      <c r="R3121" t="s">
        <v>76</v>
      </c>
      <c r="S3121">
        <v>1</v>
      </c>
      <c r="T3121">
        <v>0</v>
      </c>
      <c r="U3121">
        <f>IF(AND(OR(Dashboard!$D$4="Semua",D3121=Dashboard!$D$4),OR(Dashboard!$H$4="Semua",E3121=Dashboard!$H$4)),1,0)</f>
        <v>1</v>
      </c>
      <c r="V3121">
        <f>IF(U3121=1,IF(COUNTIFS($C$2:C3121,C3121,$U$2:U3121,1)=1,1,0),0)</f>
        <v>0</v>
      </c>
    </row>
    <row r="3122" spans="1:22" x14ac:dyDescent="0.35">
      <c r="A3122">
        <v>13121</v>
      </c>
      <c r="B3122" s="1">
        <v>47682</v>
      </c>
      <c r="C3122">
        <v>1890</v>
      </c>
      <c r="D3122" t="s">
        <v>67</v>
      </c>
      <c r="E3122" t="s">
        <v>74</v>
      </c>
      <c r="F3122">
        <v>6</v>
      </c>
      <c r="G3122" s="2">
        <v>488.78</v>
      </c>
      <c r="H3122">
        <v>7.0000000000000007E-2</v>
      </c>
      <c r="I3122" t="s">
        <v>68</v>
      </c>
      <c r="J3122">
        <v>2</v>
      </c>
      <c r="K3122">
        <v>4</v>
      </c>
      <c r="L3122" s="2">
        <v>2727.39</v>
      </c>
      <c r="M3122">
        <v>2030</v>
      </c>
      <c r="N3122">
        <v>7</v>
      </c>
      <c r="O3122" t="s">
        <v>182</v>
      </c>
      <c r="P3122" s="2">
        <v>2932.68</v>
      </c>
      <c r="Q3122" s="2">
        <v>205.29</v>
      </c>
      <c r="R3122" t="s">
        <v>69</v>
      </c>
      <c r="S3122">
        <v>1</v>
      </c>
      <c r="T3122">
        <v>0</v>
      </c>
      <c r="U3122">
        <f>IF(AND(OR(Dashboard!$D$4="Semua",D3122=Dashboard!$D$4),OR(Dashboard!$H$4="Semua",E3122=Dashboard!$H$4)),1,0)</f>
        <v>1</v>
      </c>
      <c r="V3122">
        <f>IF(U3122=1,IF(COUNTIFS($C$2:C3122,C3122,$U$2:U3122,1)=1,1,0),0)</f>
        <v>0</v>
      </c>
    </row>
    <row r="3123" spans="1:22" x14ac:dyDescent="0.35">
      <c r="A3123">
        <v>13122</v>
      </c>
      <c r="B3123" s="1">
        <v>47683</v>
      </c>
      <c r="C3123">
        <v>1069</v>
      </c>
      <c r="D3123" t="s">
        <v>73</v>
      </c>
      <c r="E3123" t="s">
        <v>78</v>
      </c>
      <c r="F3123">
        <v>6</v>
      </c>
      <c r="G3123" s="2">
        <v>356.91</v>
      </c>
      <c r="H3123">
        <v>0.27</v>
      </c>
      <c r="I3123" t="s">
        <v>68</v>
      </c>
      <c r="J3123">
        <v>6</v>
      </c>
      <c r="K3123">
        <v>4.0999999999999996</v>
      </c>
      <c r="L3123" s="2">
        <v>1563.27</v>
      </c>
      <c r="M3123">
        <v>2030</v>
      </c>
      <c r="N3123">
        <v>7</v>
      </c>
      <c r="O3123" t="s">
        <v>182</v>
      </c>
      <c r="P3123" s="2">
        <v>2141.46</v>
      </c>
      <c r="Q3123" s="2">
        <v>578.19000000000005</v>
      </c>
      <c r="R3123" t="s">
        <v>66</v>
      </c>
      <c r="S3123">
        <v>1</v>
      </c>
      <c r="T3123">
        <v>0</v>
      </c>
      <c r="U3123">
        <f>IF(AND(OR(Dashboard!$D$4="Semua",D3123=Dashboard!$D$4),OR(Dashboard!$H$4="Semua",E3123=Dashboard!$H$4)),1,0)</f>
        <v>1</v>
      </c>
      <c r="V3123">
        <f>IF(U3123=1,IF(COUNTIFS($C$2:C3123,C3123,$U$2:U3123,1)=1,1,0),0)</f>
        <v>0</v>
      </c>
    </row>
    <row r="3124" spans="1:22" x14ac:dyDescent="0.35">
      <c r="A3124">
        <v>13123</v>
      </c>
      <c r="B3124" s="1">
        <v>47684</v>
      </c>
      <c r="C3124">
        <v>1424</v>
      </c>
      <c r="D3124" t="s">
        <v>73</v>
      </c>
      <c r="E3124" t="s">
        <v>78</v>
      </c>
      <c r="F3124">
        <v>1</v>
      </c>
      <c r="G3124" s="2">
        <v>243.48</v>
      </c>
      <c r="H3124">
        <v>0.08</v>
      </c>
      <c r="I3124" t="s">
        <v>68</v>
      </c>
      <c r="J3124">
        <v>10</v>
      </c>
      <c r="K3124">
        <v>2.4</v>
      </c>
      <c r="L3124" s="2">
        <v>224</v>
      </c>
      <c r="M3124">
        <v>2030</v>
      </c>
      <c r="N3124">
        <v>7</v>
      </c>
      <c r="O3124" t="s">
        <v>182</v>
      </c>
      <c r="P3124" s="2">
        <v>243.48</v>
      </c>
      <c r="Q3124" s="2">
        <v>19.48</v>
      </c>
      <c r="R3124" t="s">
        <v>69</v>
      </c>
      <c r="S3124">
        <v>1</v>
      </c>
      <c r="T3124">
        <v>0</v>
      </c>
      <c r="U3124">
        <f>IF(AND(OR(Dashboard!$D$4="Semua",D3124=Dashboard!$D$4),OR(Dashboard!$H$4="Semua",E3124=Dashboard!$H$4)),1,0)</f>
        <v>1</v>
      </c>
      <c r="V3124">
        <f>IF(U3124=1,IF(COUNTIFS($C$2:C3124,C3124,$U$2:U3124,1)=1,1,0),0)</f>
        <v>0</v>
      </c>
    </row>
    <row r="3125" spans="1:22" x14ac:dyDescent="0.35">
      <c r="A3125">
        <v>13124</v>
      </c>
      <c r="B3125" s="1">
        <v>47685</v>
      </c>
      <c r="C3125">
        <v>1998</v>
      </c>
      <c r="D3125" t="s">
        <v>80</v>
      </c>
      <c r="E3125" t="s">
        <v>74</v>
      </c>
      <c r="F3125">
        <v>7</v>
      </c>
      <c r="G3125" s="2">
        <v>79.11</v>
      </c>
      <c r="H3125">
        <v>0.25</v>
      </c>
      <c r="I3125" t="s">
        <v>68</v>
      </c>
      <c r="J3125">
        <v>3</v>
      </c>
      <c r="K3125">
        <v>4.8</v>
      </c>
      <c r="L3125" s="2">
        <v>415.33</v>
      </c>
      <c r="M3125">
        <v>2030</v>
      </c>
      <c r="N3125">
        <v>7</v>
      </c>
      <c r="O3125" t="s">
        <v>182</v>
      </c>
      <c r="P3125" s="2">
        <v>553.77</v>
      </c>
      <c r="Q3125" s="2">
        <v>138.44</v>
      </c>
      <c r="R3125" t="s">
        <v>77</v>
      </c>
      <c r="S3125">
        <v>1</v>
      </c>
      <c r="T3125">
        <v>0</v>
      </c>
      <c r="U3125">
        <f>IF(AND(OR(Dashboard!$D$4="Semua",D3125=Dashboard!$D$4),OR(Dashboard!$H$4="Semua",E3125=Dashboard!$H$4)),1,0)</f>
        <v>1</v>
      </c>
      <c r="V3125">
        <f>IF(U3125=1,IF(COUNTIFS($C$2:C3125,C3125,$U$2:U3125,1)=1,1,0),0)</f>
        <v>0</v>
      </c>
    </row>
    <row r="3126" spans="1:22" x14ac:dyDescent="0.35">
      <c r="A3126">
        <v>13125</v>
      </c>
      <c r="B3126" s="1">
        <v>47686</v>
      </c>
      <c r="C3126">
        <v>1707</v>
      </c>
      <c r="D3126" t="s">
        <v>67</v>
      </c>
      <c r="E3126" t="s">
        <v>78</v>
      </c>
      <c r="F3126">
        <v>7</v>
      </c>
      <c r="G3126" s="2">
        <v>538.84</v>
      </c>
      <c r="H3126">
        <v>0.2</v>
      </c>
      <c r="I3126" t="s">
        <v>68</v>
      </c>
      <c r="J3126">
        <v>1</v>
      </c>
      <c r="K3126">
        <v>2.7</v>
      </c>
      <c r="L3126" s="2">
        <v>3017.5</v>
      </c>
      <c r="M3126">
        <v>2030</v>
      </c>
      <c r="N3126">
        <v>7</v>
      </c>
      <c r="O3126" t="s">
        <v>182</v>
      </c>
      <c r="P3126" s="2">
        <v>3771.88</v>
      </c>
      <c r="Q3126" s="2">
        <v>754.38</v>
      </c>
      <c r="R3126" t="s">
        <v>76</v>
      </c>
      <c r="S3126">
        <v>1</v>
      </c>
      <c r="T3126">
        <v>0</v>
      </c>
      <c r="U3126">
        <f>IF(AND(OR(Dashboard!$D$4="Semua",D3126=Dashboard!$D$4),OR(Dashboard!$H$4="Semua",E3126=Dashboard!$H$4)),1,0)</f>
        <v>1</v>
      </c>
      <c r="V3126">
        <f>IF(U3126=1,IF(COUNTIFS($C$2:C3126,C3126,$U$2:U3126,1)=1,1,0),0)</f>
        <v>1</v>
      </c>
    </row>
    <row r="3127" spans="1:22" x14ac:dyDescent="0.35">
      <c r="A3127">
        <v>13126</v>
      </c>
      <c r="B3127" s="1">
        <v>47687</v>
      </c>
      <c r="C3127">
        <v>1780</v>
      </c>
      <c r="D3127" t="s">
        <v>80</v>
      </c>
      <c r="E3127" t="s">
        <v>74</v>
      </c>
      <c r="F3127">
        <v>7</v>
      </c>
      <c r="G3127" s="2">
        <v>35.75</v>
      </c>
      <c r="H3127">
        <v>0.35</v>
      </c>
      <c r="I3127" t="s">
        <v>68</v>
      </c>
      <c r="J3127">
        <v>5</v>
      </c>
      <c r="K3127">
        <v>4.5999999999999996</v>
      </c>
      <c r="L3127" s="2">
        <v>162.66</v>
      </c>
      <c r="M3127">
        <v>2030</v>
      </c>
      <c r="N3127">
        <v>7</v>
      </c>
      <c r="O3127" t="s">
        <v>182</v>
      </c>
      <c r="P3127" s="2">
        <v>250.25</v>
      </c>
      <c r="Q3127" s="2">
        <v>87.59</v>
      </c>
      <c r="R3127" t="s">
        <v>72</v>
      </c>
      <c r="S3127">
        <v>1</v>
      </c>
      <c r="T3127">
        <v>0</v>
      </c>
      <c r="U3127">
        <f>IF(AND(OR(Dashboard!$D$4="Semua",D3127=Dashboard!$D$4),OR(Dashboard!$H$4="Semua",E3127=Dashboard!$H$4)),1,0)</f>
        <v>1</v>
      </c>
      <c r="V3127">
        <f>IF(U3127=1,IF(COUNTIFS($C$2:C3127,C3127,$U$2:U3127,1)=1,1,0),0)</f>
        <v>0</v>
      </c>
    </row>
    <row r="3128" spans="1:22" x14ac:dyDescent="0.35">
      <c r="A3128">
        <v>13127</v>
      </c>
      <c r="B3128" s="1">
        <v>47688</v>
      </c>
      <c r="C3128">
        <v>1560</v>
      </c>
      <c r="D3128" t="s">
        <v>73</v>
      </c>
      <c r="E3128" t="s">
        <v>70</v>
      </c>
      <c r="F3128">
        <v>5</v>
      </c>
      <c r="G3128" s="2">
        <v>519.96</v>
      </c>
      <c r="H3128">
        <v>0.35</v>
      </c>
      <c r="I3128" t="s">
        <v>71</v>
      </c>
      <c r="J3128">
        <v>6</v>
      </c>
      <c r="K3128">
        <v>4.4000000000000004</v>
      </c>
      <c r="L3128" s="2">
        <v>1689.87</v>
      </c>
      <c r="M3128">
        <v>2030</v>
      </c>
      <c r="N3128">
        <v>7</v>
      </c>
      <c r="O3128" t="s">
        <v>182</v>
      </c>
      <c r="P3128" s="2">
        <v>2599.8000000000002</v>
      </c>
      <c r="Q3128" s="2">
        <v>909.93</v>
      </c>
      <c r="R3128" t="s">
        <v>72</v>
      </c>
      <c r="S3128">
        <v>1</v>
      </c>
      <c r="T3128">
        <v>0</v>
      </c>
      <c r="U3128">
        <f>IF(AND(OR(Dashboard!$D$4="Semua",D3128=Dashboard!$D$4),OR(Dashboard!$H$4="Semua",E3128=Dashboard!$H$4)),1,0)</f>
        <v>1</v>
      </c>
      <c r="V3128">
        <f>IF(U3128=1,IF(COUNTIFS($C$2:C3128,C3128,$U$2:U3128,1)=1,1,0),0)</f>
        <v>0</v>
      </c>
    </row>
    <row r="3129" spans="1:22" x14ac:dyDescent="0.35">
      <c r="A3129">
        <v>13128</v>
      </c>
      <c r="B3129" s="1">
        <v>47689</v>
      </c>
      <c r="C3129">
        <v>1827</v>
      </c>
      <c r="D3129" t="s">
        <v>67</v>
      </c>
      <c r="E3129" t="s">
        <v>63</v>
      </c>
      <c r="F3129">
        <v>2</v>
      </c>
      <c r="G3129" s="2">
        <v>225.58</v>
      </c>
      <c r="H3129">
        <v>0.3</v>
      </c>
      <c r="I3129" t="s">
        <v>68</v>
      </c>
      <c r="J3129">
        <v>11</v>
      </c>
      <c r="K3129">
        <v>1.5</v>
      </c>
      <c r="L3129" s="2">
        <v>315.81</v>
      </c>
      <c r="M3129">
        <v>2030</v>
      </c>
      <c r="N3129">
        <v>7</v>
      </c>
      <c r="O3129" t="s">
        <v>182</v>
      </c>
      <c r="P3129" s="2">
        <v>451.16</v>
      </c>
      <c r="Q3129" s="2">
        <v>135.35</v>
      </c>
      <c r="R3129" t="s">
        <v>66</v>
      </c>
      <c r="S3129">
        <v>1</v>
      </c>
      <c r="T3129">
        <v>0</v>
      </c>
      <c r="U3129">
        <f>IF(AND(OR(Dashboard!$D$4="Semua",D3129=Dashboard!$D$4),OR(Dashboard!$H$4="Semua",E3129=Dashboard!$H$4)),1,0)</f>
        <v>1</v>
      </c>
      <c r="V3129">
        <f>IF(U3129=1,IF(COUNTIFS($C$2:C3129,C3129,$U$2:U3129,1)=1,1,0),0)</f>
        <v>0</v>
      </c>
    </row>
    <row r="3130" spans="1:22" x14ac:dyDescent="0.35">
      <c r="A3130">
        <v>13129</v>
      </c>
      <c r="B3130" s="1">
        <v>47690</v>
      </c>
      <c r="C3130">
        <v>1641</v>
      </c>
      <c r="D3130" t="s">
        <v>67</v>
      </c>
      <c r="E3130" t="s">
        <v>74</v>
      </c>
      <c r="F3130">
        <v>4</v>
      </c>
      <c r="G3130" s="2">
        <v>389.01</v>
      </c>
      <c r="H3130">
        <v>0.27</v>
      </c>
      <c r="I3130" t="s">
        <v>71</v>
      </c>
      <c r="J3130">
        <v>5</v>
      </c>
      <c r="K3130">
        <v>4.9000000000000004</v>
      </c>
      <c r="L3130" s="2">
        <v>1135.9100000000001</v>
      </c>
      <c r="M3130">
        <v>2030</v>
      </c>
      <c r="N3130">
        <v>7</v>
      </c>
      <c r="O3130" t="s">
        <v>182</v>
      </c>
      <c r="P3130" s="2">
        <v>1556.04</v>
      </c>
      <c r="Q3130" s="2">
        <v>420.13</v>
      </c>
      <c r="R3130" t="s">
        <v>66</v>
      </c>
      <c r="S3130">
        <v>1</v>
      </c>
      <c r="T3130">
        <v>0</v>
      </c>
      <c r="U3130">
        <f>IF(AND(OR(Dashboard!$D$4="Semua",D3130=Dashboard!$D$4),OR(Dashboard!$H$4="Semua",E3130=Dashboard!$H$4)),1,0)</f>
        <v>1</v>
      </c>
      <c r="V3130">
        <f>IF(U3130=1,IF(COUNTIFS($C$2:C3130,C3130,$U$2:U3130,1)=1,1,0),0)</f>
        <v>0</v>
      </c>
    </row>
    <row r="3131" spans="1:22" x14ac:dyDescent="0.35">
      <c r="A3131">
        <v>13130</v>
      </c>
      <c r="B3131" s="1">
        <v>47691</v>
      </c>
      <c r="C3131">
        <v>1955</v>
      </c>
      <c r="D3131" t="s">
        <v>62</v>
      </c>
      <c r="E3131" t="s">
        <v>63</v>
      </c>
      <c r="F3131">
        <v>7</v>
      </c>
      <c r="G3131" s="2">
        <v>554.49</v>
      </c>
      <c r="H3131">
        <v>0.14000000000000001</v>
      </c>
      <c r="I3131" t="s">
        <v>71</v>
      </c>
      <c r="J3131">
        <v>5</v>
      </c>
      <c r="K3131">
        <v>5</v>
      </c>
      <c r="L3131" s="2">
        <v>3338.03</v>
      </c>
      <c r="M3131">
        <v>2030</v>
      </c>
      <c r="N3131">
        <v>7</v>
      </c>
      <c r="O3131" t="s">
        <v>182</v>
      </c>
      <c r="P3131" s="2">
        <v>3881.43</v>
      </c>
      <c r="Q3131" s="2">
        <v>543.4</v>
      </c>
      <c r="R3131" t="s">
        <v>79</v>
      </c>
      <c r="S3131">
        <v>1</v>
      </c>
      <c r="T3131">
        <v>1</v>
      </c>
      <c r="U3131">
        <f>IF(AND(OR(Dashboard!$D$4="Semua",D3131=Dashboard!$D$4),OR(Dashboard!$H$4="Semua",E3131=Dashboard!$H$4)),1,0)</f>
        <v>1</v>
      </c>
      <c r="V3131">
        <f>IF(U3131=1,IF(COUNTIFS($C$2:C3131,C3131,$U$2:U3131,1)=1,1,0),0)</f>
        <v>0</v>
      </c>
    </row>
    <row r="3132" spans="1:22" x14ac:dyDescent="0.35">
      <c r="A3132">
        <v>13131</v>
      </c>
      <c r="B3132" s="1">
        <v>47692</v>
      </c>
      <c r="C3132">
        <v>1516</v>
      </c>
      <c r="D3132" t="s">
        <v>73</v>
      </c>
      <c r="E3132" t="s">
        <v>63</v>
      </c>
      <c r="F3132">
        <v>2</v>
      </c>
      <c r="G3132" s="2">
        <v>103.75</v>
      </c>
      <c r="H3132">
        <v>0.26</v>
      </c>
      <c r="I3132" t="s">
        <v>71</v>
      </c>
      <c r="J3132">
        <v>10</v>
      </c>
      <c r="K3132">
        <v>3.4</v>
      </c>
      <c r="L3132" s="2">
        <v>153.55000000000001</v>
      </c>
      <c r="M3132">
        <v>2030</v>
      </c>
      <c r="N3132">
        <v>7</v>
      </c>
      <c r="O3132" t="s">
        <v>182</v>
      </c>
      <c r="P3132" s="2">
        <v>207.5</v>
      </c>
      <c r="Q3132" s="2">
        <v>53.95</v>
      </c>
      <c r="R3132" t="s">
        <v>66</v>
      </c>
      <c r="S3132">
        <v>1</v>
      </c>
      <c r="T3132">
        <v>0</v>
      </c>
      <c r="U3132">
        <f>IF(AND(OR(Dashboard!$D$4="Semua",D3132=Dashboard!$D$4),OR(Dashboard!$H$4="Semua",E3132=Dashboard!$H$4)),1,0)</f>
        <v>1</v>
      </c>
      <c r="V3132">
        <f>IF(U3132=1,IF(COUNTIFS($C$2:C3132,C3132,$U$2:U3132,1)=1,1,0),0)</f>
        <v>0</v>
      </c>
    </row>
    <row r="3133" spans="1:22" x14ac:dyDescent="0.35">
      <c r="A3133">
        <v>13132</v>
      </c>
      <c r="B3133" s="1">
        <v>47693</v>
      </c>
      <c r="C3133">
        <v>1427</v>
      </c>
      <c r="D3133" t="s">
        <v>73</v>
      </c>
      <c r="E3133" t="s">
        <v>74</v>
      </c>
      <c r="F3133">
        <v>5</v>
      </c>
      <c r="G3133" s="2">
        <v>346.67</v>
      </c>
      <c r="H3133">
        <v>0.33</v>
      </c>
      <c r="I3133" t="s">
        <v>68</v>
      </c>
      <c r="J3133">
        <v>11</v>
      </c>
      <c r="K3133">
        <v>4.0999999999999996</v>
      </c>
      <c r="L3133" s="2">
        <v>1161.3399999999999</v>
      </c>
      <c r="M3133">
        <v>2030</v>
      </c>
      <c r="N3133">
        <v>7</v>
      </c>
      <c r="O3133" t="s">
        <v>182</v>
      </c>
      <c r="P3133" s="2">
        <v>1733.35</v>
      </c>
      <c r="Q3133" s="2">
        <v>572.01</v>
      </c>
      <c r="R3133" t="s">
        <v>72</v>
      </c>
      <c r="S3133">
        <v>1</v>
      </c>
      <c r="T3133">
        <v>0</v>
      </c>
      <c r="U3133">
        <f>IF(AND(OR(Dashboard!$D$4="Semua",D3133=Dashboard!$D$4),OR(Dashboard!$H$4="Semua",E3133=Dashboard!$H$4)),1,0)</f>
        <v>1</v>
      </c>
      <c r="V3133">
        <f>IF(U3133=1,IF(COUNTIFS($C$2:C3133,C3133,$U$2:U3133,1)=1,1,0),0)</f>
        <v>0</v>
      </c>
    </row>
    <row r="3134" spans="1:22" x14ac:dyDescent="0.35">
      <c r="A3134">
        <v>13133</v>
      </c>
      <c r="B3134" s="1">
        <v>47694</v>
      </c>
      <c r="C3134">
        <v>1538</v>
      </c>
      <c r="D3134" t="s">
        <v>67</v>
      </c>
      <c r="E3134" t="s">
        <v>78</v>
      </c>
      <c r="F3134">
        <v>6</v>
      </c>
      <c r="G3134" s="2">
        <v>462.19</v>
      </c>
      <c r="H3134">
        <v>0.01</v>
      </c>
      <c r="I3134" t="s">
        <v>71</v>
      </c>
      <c r="J3134">
        <v>8</v>
      </c>
      <c r="K3134">
        <v>4.7</v>
      </c>
      <c r="L3134" s="2">
        <v>2745.41</v>
      </c>
      <c r="M3134">
        <v>2030</v>
      </c>
      <c r="N3134">
        <v>7</v>
      </c>
      <c r="O3134" t="s">
        <v>182</v>
      </c>
      <c r="P3134" s="2">
        <v>2773.14</v>
      </c>
      <c r="Q3134" s="2">
        <v>27.73</v>
      </c>
      <c r="R3134" t="s">
        <v>75</v>
      </c>
      <c r="S3134">
        <v>1</v>
      </c>
      <c r="T3134">
        <v>0</v>
      </c>
      <c r="U3134">
        <f>IF(AND(OR(Dashboard!$D$4="Semua",D3134=Dashboard!$D$4),OR(Dashboard!$H$4="Semua",E3134=Dashboard!$H$4)),1,0)</f>
        <v>1</v>
      </c>
      <c r="V3134">
        <f>IF(U3134=1,IF(COUNTIFS($C$2:C3134,C3134,$U$2:U3134,1)=1,1,0),0)</f>
        <v>0</v>
      </c>
    </row>
    <row r="3135" spans="1:22" x14ac:dyDescent="0.35">
      <c r="A3135">
        <v>13134</v>
      </c>
      <c r="B3135" s="1">
        <v>47695</v>
      </c>
      <c r="C3135">
        <v>1159</v>
      </c>
      <c r="D3135" t="s">
        <v>67</v>
      </c>
      <c r="E3135" t="s">
        <v>70</v>
      </c>
      <c r="F3135">
        <v>4</v>
      </c>
      <c r="G3135" s="2">
        <v>458.19</v>
      </c>
      <c r="H3135">
        <v>0.19</v>
      </c>
      <c r="I3135" t="s">
        <v>68</v>
      </c>
      <c r="J3135">
        <v>10</v>
      </c>
      <c r="K3135">
        <v>1.1000000000000001</v>
      </c>
      <c r="L3135" s="2">
        <v>1484.54</v>
      </c>
      <c r="M3135">
        <v>2030</v>
      </c>
      <c r="N3135">
        <v>7</v>
      </c>
      <c r="O3135" t="s">
        <v>182</v>
      </c>
      <c r="P3135" s="2">
        <v>1832.76</v>
      </c>
      <c r="Q3135" s="2">
        <v>348.22</v>
      </c>
      <c r="R3135" t="s">
        <v>76</v>
      </c>
      <c r="S3135">
        <v>1</v>
      </c>
      <c r="T3135">
        <v>0</v>
      </c>
      <c r="U3135">
        <f>IF(AND(OR(Dashboard!$D$4="Semua",D3135=Dashboard!$D$4),OR(Dashboard!$H$4="Semua",E3135=Dashboard!$H$4)),1,0)</f>
        <v>1</v>
      </c>
      <c r="V3135">
        <f>IF(U3135=1,IF(COUNTIFS($C$2:C3135,C3135,$U$2:U3135,1)=1,1,0),0)</f>
        <v>0</v>
      </c>
    </row>
    <row r="3136" spans="1:22" x14ac:dyDescent="0.35">
      <c r="A3136">
        <v>13135</v>
      </c>
      <c r="B3136" s="1">
        <v>47696</v>
      </c>
      <c r="C3136">
        <v>1148</v>
      </c>
      <c r="D3136" t="s">
        <v>73</v>
      </c>
      <c r="E3136" t="s">
        <v>63</v>
      </c>
      <c r="F3136">
        <v>3</v>
      </c>
      <c r="G3136" s="2">
        <v>322.49</v>
      </c>
      <c r="H3136">
        <v>0.08</v>
      </c>
      <c r="I3136" t="s">
        <v>68</v>
      </c>
      <c r="J3136">
        <v>1</v>
      </c>
      <c r="K3136">
        <v>4.7</v>
      </c>
      <c r="L3136" s="2">
        <v>890.07</v>
      </c>
      <c r="M3136">
        <v>2030</v>
      </c>
      <c r="N3136">
        <v>8</v>
      </c>
      <c r="O3136" t="s">
        <v>183</v>
      </c>
      <c r="P3136" s="2">
        <v>967.47</v>
      </c>
      <c r="Q3136" s="2">
        <v>77.400000000000006</v>
      </c>
      <c r="R3136" t="s">
        <v>69</v>
      </c>
      <c r="S3136">
        <v>1</v>
      </c>
      <c r="T3136">
        <v>0</v>
      </c>
      <c r="U3136">
        <f>IF(AND(OR(Dashboard!$D$4="Semua",D3136=Dashboard!$D$4),OR(Dashboard!$H$4="Semua",E3136=Dashboard!$H$4)),1,0)</f>
        <v>1</v>
      </c>
      <c r="V3136">
        <f>IF(U3136=1,IF(COUNTIFS($C$2:C3136,C3136,$U$2:U3136,1)=1,1,0),0)</f>
        <v>0</v>
      </c>
    </row>
    <row r="3137" spans="1:22" x14ac:dyDescent="0.35">
      <c r="A3137">
        <v>13136</v>
      </c>
      <c r="B3137" s="1">
        <v>47697</v>
      </c>
      <c r="C3137">
        <v>1775</v>
      </c>
      <c r="D3137" t="s">
        <v>62</v>
      </c>
      <c r="E3137" t="s">
        <v>70</v>
      </c>
      <c r="F3137">
        <v>6</v>
      </c>
      <c r="G3137" s="2">
        <v>380.47</v>
      </c>
      <c r="H3137">
        <v>0.2</v>
      </c>
      <c r="I3137" t="s">
        <v>71</v>
      </c>
      <c r="J3137">
        <v>8</v>
      </c>
      <c r="K3137">
        <v>3.5</v>
      </c>
      <c r="L3137" s="2">
        <v>1826.26</v>
      </c>
      <c r="M3137">
        <v>2030</v>
      </c>
      <c r="N3137">
        <v>8</v>
      </c>
      <c r="O3137" t="s">
        <v>183</v>
      </c>
      <c r="P3137" s="2">
        <v>2282.8200000000002</v>
      </c>
      <c r="Q3137" s="2">
        <v>456.56</v>
      </c>
      <c r="R3137" t="s">
        <v>76</v>
      </c>
      <c r="S3137">
        <v>1</v>
      </c>
      <c r="T3137">
        <v>0</v>
      </c>
      <c r="U3137">
        <f>IF(AND(OR(Dashboard!$D$4="Semua",D3137=Dashboard!$D$4),OR(Dashboard!$H$4="Semua",E3137=Dashboard!$H$4)),1,0)</f>
        <v>1</v>
      </c>
      <c r="V3137">
        <f>IF(U3137=1,IF(COUNTIFS($C$2:C3137,C3137,$U$2:U3137,1)=1,1,0),0)</f>
        <v>0</v>
      </c>
    </row>
    <row r="3138" spans="1:22" x14ac:dyDescent="0.35">
      <c r="A3138">
        <v>13137</v>
      </c>
      <c r="B3138" s="1">
        <v>47698</v>
      </c>
      <c r="C3138">
        <v>1229</v>
      </c>
      <c r="D3138" t="s">
        <v>73</v>
      </c>
      <c r="E3138" t="s">
        <v>63</v>
      </c>
      <c r="F3138">
        <v>6</v>
      </c>
      <c r="G3138" s="2">
        <v>458.15</v>
      </c>
      <c r="H3138">
        <v>0.16</v>
      </c>
      <c r="I3138" t="s">
        <v>68</v>
      </c>
      <c r="J3138">
        <v>11</v>
      </c>
      <c r="K3138">
        <v>4.3</v>
      </c>
      <c r="L3138" s="2">
        <v>2309.08</v>
      </c>
      <c r="M3138">
        <v>2030</v>
      </c>
      <c r="N3138">
        <v>8</v>
      </c>
      <c r="O3138" t="s">
        <v>183</v>
      </c>
      <c r="P3138" s="2">
        <v>2748.9</v>
      </c>
      <c r="Q3138" s="2">
        <v>439.82</v>
      </c>
      <c r="R3138" t="s">
        <v>76</v>
      </c>
      <c r="S3138">
        <v>1</v>
      </c>
      <c r="T3138">
        <v>0</v>
      </c>
      <c r="U3138">
        <f>IF(AND(OR(Dashboard!$D$4="Semua",D3138=Dashboard!$D$4),OR(Dashboard!$H$4="Semua",E3138=Dashboard!$H$4)),1,0)</f>
        <v>1</v>
      </c>
      <c r="V3138">
        <f>IF(U3138=1,IF(COUNTIFS($C$2:C3138,C3138,$U$2:U3138,1)=1,1,0),0)</f>
        <v>0</v>
      </c>
    </row>
    <row r="3139" spans="1:22" x14ac:dyDescent="0.35">
      <c r="A3139">
        <v>13138</v>
      </c>
      <c r="B3139" s="1">
        <v>47699</v>
      </c>
      <c r="C3139">
        <v>1711</v>
      </c>
      <c r="D3139" t="s">
        <v>62</v>
      </c>
      <c r="E3139" t="s">
        <v>74</v>
      </c>
      <c r="F3139">
        <v>1</v>
      </c>
      <c r="G3139" s="2">
        <v>507</v>
      </c>
      <c r="H3139">
        <v>0.2</v>
      </c>
      <c r="I3139" t="s">
        <v>68</v>
      </c>
      <c r="J3139">
        <v>7</v>
      </c>
      <c r="K3139">
        <v>3.2</v>
      </c>
      <c r="L3139" s="2">
        <v>405.6</v>
      </c>
      <c r="M3139">
        <v>2030</v>
      </c>
      <c r="N3139">
        <v>8</v>
      </c>
      <c r="O3139" t="s">
        <v>183</v>
      </c>
      <c r="P3139" s="2">
        <v>507</v>
      </c>
      <c r="Q3139" s="2">
        <v>101.4</v>
      </c>
      <c r="R3139" t="s">
        <v>76</v>
      </c>
      <c r="S3139">
        <v>1</v>
      </c>
      <c r="T3139">
        <v>0</v>
      </c>
      <c r="U3139">
        <f>IF(AND(OR(Dashboard!$D$4="Semua",D3139=Dashboard!$D$4),OR(Dashboard!$H$4="Semua",E3139=Dashboard!$H$4)),1,0)</f>
        <v>1</v>
      </c>
      <c r="V3139">
        <f>IF(U3139=1,IF(COUNTIFS($C$2:C3139,C3139,$U$2:U3139,1)=1,1,0),0)</f>
        <v>0</v>
      </c>
    </row>
    <row r="3140" spans="1:22" x14ac:dyDescent="0.35">
      <c r="A3140">
        <v>13139</v>
      </c>
      <c r="B3140" s="1">
        <v>47700</v>
      </c>
      <c r="C3140">
        <v>1561</v>
      </c>
      <c r="D3140" t="s">
        <v>73</v>
      </c>
      <c r="E3140" t="s">
        <v>78</v>
      </c>
      <c r="F3140">
        <v>5</v>
      </c>
      <c r="G3140" s="2">
        <v>460.66</v>
      </c>
      <c r="H3140">
        <v>0.19</v>
      </c>
      <c r="I3140" t="s">
        <v>68</v>
      </c>
      <c r="J3140">
        <v>1</v>
      </c>
      <c r="K3140">
        <v>3.1</v>
      </c>
      <c r="L3140" s="2">
        <v>1865.67</v>
      </c>
      <c r="M3140">
        <v>2030</v>
      </c>
      <c r="N3140">
        <v>8</v>
      </c>
      <c r="O3140" t="s">
        <v>183</v>
      </c>
      <c r="P3140" s="2">
        <v>2303.3000000000002</v>
      </c>
      <c r="Q3140" s="2">
        <v>437.63</v>
      </c>
      <c r="R3140" t="s">
        <v>76</v>
      </c>
      <c r="S3140">
        <v>1</v>
      </c>
      <c r="T3140">
        <v>0</v>
      </c>
      <c r="U3140">
        <f>IF(AND(OR(Dashboard!$D$4="Semua",D3140=Dashboard!$D$4),OR(Dashboard!$H$4="Semua",E3140=Dashboard!$H$4)),1,0)</f>
        <v>1</v>
      </c>
      <c r="V3140">
        <f>IF(U3140=1,IF(COUNTIFS($C$2:C3140,C3140,$U$2:U3140,1)=1,1,0),0)</f>
        <v>0</v>
      </c>
    </row>
    <row r="3141" spans="1:22" x14ac:dyDescent="0.35">
      <c r="A3141">
        <v>13140</v>
      </c>
      <c r="B3141" s="1">
        <v>47701</v>
      </c>
      <c r="C3141">
        <v>1066</v>
      </c>
      <c r="D3141" t="s">
        <v>80</v>
      </c>
      <c r="E3141" t="s">
        <v>70</v>
      </c>
      <c r="F3141">
        <v>1</v>
      </c>
      <c r="G3141" s="2">
        <v>222.09</v>
      </c>
      <c r="H3141">
        <v>0.34</v>
      </c>
      <c r="I3141" t="s">
        <v>68</v>
      </c>
      <c r="J3141">
        <v>9</v>
      </c>
      <c r="K3141">
        <v>4.5999999999999996</v>
      </c>
      <c r="L3141" s="2">
        <v>146.58000000000001</v>
      </c>
      <c r="M3141">
        <v>2030</v>
      </c>
      <c r="N3141">
        <v>8</v>
      </c>
      <c r="O3141" t="s">
        <v>183</v>
      </c>
      <c r="P3141" s="2">
        <v>222.09</v>
      </c>
      <c r="Q3141" s="2">
        <v>75.510000000000005</v>
      </c>
      <c r="R3141" t="s">
        <v>72</v>
      </c>
      <c r="S3141">
        <v>1</v>
      </c>
      <c r="T3141">
        <v>0</v>
      </c>
      <c r="U3141">
        <f>IF(AND(OR(Dashboard!$D$4="Semua",D3141=Dashboard!$D$4),OR(Dashboard!$H$4="Semua",E3141=Dashboard!$H$4)),1,0)</f>
        <v>1</v>
      </c>
      <c r="V3141">
        <f>IF(U3141=1,IF(COUNTIFS($C$2:C3141,C3141,$U$2:U3141,1)=1,1,0),0)</f>
        <v>0</v>
      </c>
    </row>
    <row r="3142" spans="1:22" x14ac:dyDescent="0.35">
      <c r="A3142">
        <v>13141</v>
      </c>
      <c r="B3142" s="1">
        <v>47702</v>
      </c>
      <c r="C3142">
        <v>1811</v>
      </c>
      <c r="D3142" t="s">
        <v>62</v>
      </c>
      <c r="E3142" t="s">
        <v>63</v>
      </c>
      <c r="F3142">
        <v>1</v>
      </c>
      <c r="G3142" s="2">
        <v>598.08000000000004</v>
      </c>
      <c r="H3142">
        <v>0.19</v>
      </c>
      <c r="I3142" t="s">
        <v>68</v>
      </c>
      <c r="J3142">
        <v>4</v>
      </c>
      <c r="K3142">
        <v>3</v>
      </c>
      <c r="L3142" s="2">
        <v>484.44</v>
      </c>
      <c r="M3142">
        <v>2030</v>
      </c>
      <c r="N3142">
        <v>8</v>
      </c>
      <c r="O3142" t="s">
        <v>183</v>
      </c>
      <c r="P3142" s="2">
        <v>598.08000000000004</v>
      </c>
      <c r="Q3142" s="2">
        <v>113.64</v>
      </c>
      <c r="R3142" t="s">
        <v>76</v>
      </c>
      <c r="S3142">
        <v>1</v>
      </c>
      <c r="T3142">
        <v>0</v>
      </c>
      <c r="U3142">
        <f>IF(AND(OR(Dashboard!$D$4="Semua",D3142=Dashboard!$D$4),OR(Dashboard!$H$4="Semua",E3142=Dashboard!$H$4)),1,0)</f>
        <v>1</v>
      </c>
      <c r="V3142">
        <f>IF(U3142=1,IF(COUNTIFS($C$2:C3142,C3142,$U$2:U3142,1)=1,1,0),0)</f>
        <v>0</v>
      </c>
    </row>
    <row r="3143" spans="1:22" x14ac:dyDescent="0.35">
      <c r="A3143">
        <v>13142</v>
      </c>
      <c r="B3143" s="1">
        <v>47703</v>
      </c>
      <c r="C3143">
        <v>1380</v>
      </c>
      <c r="D3143" t="s">
        <v>73</v>
      </c>
      <c r="E3143" t="s">
        <v>74</v>
      </c>
      <c r="F3143">
        <v>2</v>
      </c>
      <c r="G3143" s="2">
        <v>269.18</v>
      </c>
      <c r="H3143">
        <v>0.3</v>
      </c>
      <c r="I3143" t="s">
        <v>64</v>
      </c>
      <c r="J3143">
        <v>7</v>
      </c>
      <c r="K3143">
        <v>2.9</v>
      </c>
      <c r="L3143" s="2">
        <v>376.85</v>
      </c>
      <c r="M3143">
        <v>2030</v>
      </c>
      <c r="N3143">
        <v>8</v>
      </c>
      <c r="O3143" t="s">
        <v>183</v>
      </c>
      <c r="P3143" s="2">
        <v>538.36</v>
      </c>
      <c r="Q3143" s="2">
        <v>161.51</v>
      </c>
      <c r="R3143" t="s">
        <v>66</v>
      </c>
      <c r="S3143">
        <v>1</v>
      </c>
      <c r="T3143">
        <v>0</v>
      </c>
      <c r="U3143">
        <f>IF(AND(OR(Dashboard!$D$4="Semua",D3143=Dashboard!$D$4),OR(Dashboard!$H$4="Semua",E3143=Dashboard!$H$4)),1,0)</f>
        <v>1</v>
      </c>
      <c r="V3143">
        <f>IF(U3143=1,IF(COUNTIFS($C$2:C3143,C3143,$U$2:U3143,1)=1,1,0),0)</f>
        <v>0</v>
      </c>
    </row>
    <row r="3144" spans="1:22" x14ac:dyDescent="0.35">
      <c r="A3144">
        <v>13143</v>
      </c>
      <c r="B3144" s="1">
        <v>47704</v>
      </c>
      <c r="C3144">
        <v>1057</v>
      </c>
      <c r="D3144" t="s">
        <v>62</v>
      </c>
      <c r="E3144" t="s">
        <v>74</v>
      </c>
      <c r="F3144">
        <v>6</v>
      </c>
      <c r="G3144" s="2">
        <v>29.31</v>
      </c>
      <c r="H3144">
        <v>0.11</v>
      </c>
      <c r="I3144" t="s">
        <v>68</v>
      </c>
      <c r="J3144">
        <v>3</v>
      </c>
      <c r="K3144">
        <v>3.4</v>
      </c>
      <c r="L3144" s="2">
        <v>156.52000000000001</v>
      </c>
      <c r="M3144">
        <v>2030</v>
      </c>
      <c r="N3144">
        <v>8</v>
      </c>
      <c r="O3144" t="s">
        <v>183</v>
      </c>
      <c r="P3144" s="2">
        <v>175.86</v>
      </c>
      <c r="Q3144" s="2">
        <v>19.34</v>
      </c>
      <c r="R3144" t="s">
        <v>79</v>
      </c>
      <c r="S3144">
        <v>1</v>
      </c>
      <c r="T3144">
        <v>0</v>
      </c>
      <c r="U3144">
        <f>IF(AND(OR(Dashboard!$D$4="Semua",D3144=Dashboard!$D$4),OR(Dashboard!$H$4="Semua",E3144=Dashboard!$H$4)),1,0)</f>
        <v>1</v>
      </c>
      <c r="V3144">
        <f>IF(U3144=1,IF(COUNTIFS($C$2:C3144,C3144,$U$2:U3144,1)=1,1,0),0)</f>
        <v>0</v>
      </c>
    </row>
    <row r="3145" spans="1:22" x14ac:dyDescent="0.35">
      <c r="A3145">
        <v>13144</v>
      </c>
      <c r="B3145" s="1">
        <v>47705</v>
      </c>
      <c r="C3145">
        <v>1258</v>
      </c>
      <c r="D3145" t="s">
        <v>67</v>
      </c>
      <c r="E3145" t="s">
        <v>63</v>
      </c>
      <c r="F3145">
        <v>5</v>
      </c>
      <c r="G3145" s="2">
        <v>227.13</v>
      </c>
      <c r="H3145">
        <v>0.15</v>
      </c>
      <c r="I3145" t="s">
        <v>71</v>
      </c>
      <c r="J3145">
        <v>8</v>
      </c>
      <c r="K3145">
        <v>3.1</v>
      </c>
      <c r="L3145" s="2">
        <v>965.3</v>
      </c>
      <c r="M3145">
        <v>2030</v>
      </c>
      <c r="N3145">
        <v>8</v>
      </c>
      <c r="O3145" t="s">
        <v>183</v>
      </c>
      <c r="P3145" s="2">
        <v>1135.6500000000001</v>
      </c>
      <c r="Q3145" s="2">
        <v>170.35</v>
      </c>
      <c r="R3145" t="s">
        <v>79</v>
      </c>
      <c r="S3145">
        <v>1</v>
      </c>
      <c r="T3145">
        <v>0</v>
      </c>
      <c r="U3145">
        <f>IF(AND(OR(Dashboard!$D$4="Semua",D3145=Dashboard!$D$4),OR(Dashboard!$H$4="Semua",E3145=Dashboard!$H$4)),1,0)</f>
        <v>1</v>
      </c>
      <c r="V3145">
        <f>IF(U3145=1,IF(COUNTIFS($C$2:C3145,C3145,$U$2:U3145,1)=1,1,0),0)</f>
        <v>0</v>
      </c>
    </row>
    <row r="3146" spans="1:22" x14ac:dyDescent="0.35">
      <c r="A3146">
        <v>13145</v>
      </c>
      <c r="B3146" s="1">
        <v>47706</v>
      </c>
      <c r="C3146">
        <v>1341</v>
      </c>
      <c r="D3146" t="s">
        <v>62</v>
      </c>
      <c r="E3146" t="s">
        <v>63</v>
      </c>
      <c r="F3146">
        <v>1</v>
      </c>
      <c r="G3146" s="2">
        <v>89.75</v>
      </c>
      <c r="H3146">
        <v>0.16</v>
      </c>
      <c r="I3146" t="s">
        <v>71</v>
      </c>
      <c r="J3146">
        <v>4</v>
      </c>
      <c r="K3146">
        <v>2.8</v>
      </c>
      <c r="L3146" s="2">
        <v>75.39</v>
      </c>
      <c r="M3146">
        <v>2030</v>
      </c>
      <c r="N3146">
        <v>8</v>
      </c>
      <c r="O3146" t="s">
        <v>183</v>
      </c>
      <c r="P3146" s="2">
        <v>89.75</v>
      </c>
      <c r="Q3146" s="2">
        <v>14.36</v>
      </c>
      <c r="R3146" t="s">
        <v>76</v>
      </c>
      <c r="S3146">
        <v>1</v>
      </c>
      <c r="T3146">
        <v>0</v>
      </c>
      <c r="U3146">
        <f>IF(AND(OR(Dashboard!$D$4="Semua",D3146=Dashboard!$D$4),OR(Dashboard!$H$4="Semua",E3146=Dashboard!$H$4)),1,0)</f>
        <v>1</v>
      </c>
      <c r="V3146">
        <f>IF(U3146=1,IF(COUNTIFS($C$2:C3146,C3146,$U$2:U3146,1)=1,1,0),0)</f>
        <v>0</v>
      </c>
    </row>
    <row r="3147" spans="1:22" x14ac:dyDescent="0.35">
      <c r="A3147">
        <v>13146</v>
      </c>
      <c r="B3147" s="1">
        <v>47707</v>
      </c>
      <c r="C3147">
        <v>1837</v>
      </c>
      <c r="D3147" t="s">
        <v>80</v>
      </c>
      <c r="E3147" t="s">
        <v>63</v>
      </c>
      <c r="F3147">
        <v>3</v>
      </c>
      <c r="G3147" s="2">
        <v>86.04</v>
      </c>
      <c r="H3147">
        <v>0.1</v>
      </c>
      <c r="I3147" t="s">
        <v>71</v>
      </c>
      <c r="J3147">
        <v>2</v>
      </c>
      <c r="K3147">
        <v>1.7</v>
      </c>
      <c r="L3147" s="2">
        <v>232.31</v>
      </c>
      <c r="M3147">
        <v>2030</v>
      </c>
      <c r="N3147">
        <v>8</v>
      </c>
      <c r="O3147" t="s">
        <v>183</v>
      </c>
      <c r="P3147" s="2">
        <v>258.12</v>
      </c>
      <c r="Q3147" s="2">
        <v>25.81</v>
      </c>
      <c r="R3147" t="s">
        <v>69</v>
      </c>
      <c r="S3147">
        <v>1</v>
      </c>
      <c r="T3147">
        <v>0</v>
      </c>
      <c r="U3147">
        <f>IF(AND(OR(Dashboard!$D$4="Semua",D3147=Dashboard!$D$4),OR(Dashboard!$H$4="Semua",E3147=Dashboard!$H$4)),1,0)</f>
        <v>1</v>
      </c>
      <c r="V3147">
        <f>IF(U3147=1,IF(COUNTIFS($C$2:C3147,C3147,$U$2:U3147,1)=1,1,0),0)</f>
        <v>0</v>
      </c>
    </row>
    <row r="3148" spans="1:22" x14ac:dyDescent="0.35">
      <c r="A3148">
        <v>13147</v>
      </c>
      <c r="B3148" s="1">
        <v>47708</v>
      </c>
      <c r="C3148">
        <v>1129</v>
      </c>
      <c r="D3148" t="s">
        <v>73</v>
      </c>
      <c r="E3148" t="s">
        <v>78</v>
      </c>
      <c r="F3148">
        <v>4</v>
      </c>
      <c r="G3148" s="2">
        <v>179.7</v>
      </c>
      <c r="H3148">
        <v>0.13</v>
      </c>
      <c r="I3148" t="s">
        <v>64</v>
      </c>
      <c r="J3148">
        <v>2</v>
      </c>
      <c r="K3148">
        <v>2.6</v>
      </c>
      <c r="L3148" s="2">
        <v>625.36</v>
      </c>
      <c r="M3148">
        <v>2030</v>
      </c>
      <c r="N3148">
        <v>8</v>
      </c>
      <c r="O3148" t="s">
        <v>183</v>
      </c>
      <c r="P3148" s="2">
        <v>718.8</v>
      </c>
      <c r="Q3148" s="2">
        <v>93.44</v>
      </c>
      <c r="R3148" t="s">
        <v>79</v>
      </c>
      <c r="S3148">
        <v>1</v>
      </c>
      <c r="T3148">
        <v>0</v>
      </c>
      <c r="U3148">
        <f>IF(AND(OR(Dashboard!$D$4="Semua",D3148=Dashboard!$D$4),OR(Dashboard!$H$4="Semua",E3148=Dashboard!$H$4)),1,0)</f>
        <v>1</v>
      </c>
      <c r="V3148">
        <f>IF(U3148=1,IF(COUNTIFS($C$2:C3148,C3148,$U$2:U3148,1)=1,1,0),0)</f>
        <v>0</v>
      </c>
    </row>
    <row r="3149" spans="1:22" x14ac:dyDescent="0.35">
      <c r="A3149">
        <v>13148</v>
      </c>
      <c r="B3149" s="1">
        <v>47709</v>
      </c>
      <c r="C3149">
        <v>1726</v>
      </c>
      <c r="D3149" t="s">
        <v>73</v>
      </c>
      <c r="E3149" t="s">
        <v>63</v>
      </c>
      <c r="F3149">
        <v>7</v>
      </c>
      <c r="G3149" s="2">
        <v>46.22</v>
      </c>
      <c r="H3149">
        <v>0.21</v>
      </c>
      <c r="I3149" t="s">
        <v>64</v>
      </c>
      <c r="J3149">
        <v>8</v>
      </c>
      <c r="K3149">
        <v>2.1</v>
      </c>
      <c r="L3149" s="2">
        <v>255.6</v>
      </c>
      <c r="M3149">
        <v>2030</v>
      </c>
      <c r="N3149">
        <v>8</v>
      </c>
      <c r="O3149" t="s">
        <v>183</v>
      </c>
      <c r="P3149" s="2">
        <v>323.54000000000002</v>
      </c>
      <c r="Q3149" s="2">
        <v>67.94</v>
      </c>
      <c r="R3149" t="s">
        <v>77</v>
      </c>
      <c r="S3149">
        <v>1</v>
      </c>
      <c r="T3149">
        <v>0</v>
      </c>
      <c r="U3149">
        <f>IF(AND(OR(Dashboard!$D$4="Semua",D3149=Dashboard!$D$4),OR(Dashboard!$H$4="Semua",E3149=Dashboard!$H$4)),1,0)</f>
        <v>1</v>
      </c>
      <c r="V3149">
        <f>IF(U3149=1,IF(COUNTIFS($C$2:C3149,C3149,$U$2:U3149,1)=1,1,0),0)</f>
        <v>0</v>
      </c>
    </row>
    <row r="3150" spans="1:22" x14ac:dyDescent="0.35">
      <c r="A3150">
        <v>13149</v>
      </c>
      <c r="B3150" s="1">
        <v>47710</v>
      </c>
      <c r="C3150">
        <v>1171</v>
      </c>
      <c r="D3150" t="s">
        <v>73</v>
      </c>
      <c r="E3150" t="s">
        <v>63</v>
      </c>
      <c r="F3150">
        <v>5</v>
      </c>
      <c r="G3150" s="2">
        <v>417.78</v>
      </c>
      <c r="H3150">
        <v>0.2</v>
      </c>
      <c r="I3150" t="s">
        <v>71</v>
      </c>
      <c r="J3150">
        <v>8</v>
      </c>
      <c r="K3150">
        <v>2.6</v>
      </c>
      <c r="L3150" s="2">
        <v>1671.12</v>
      </c>
      <c r="M3150">
        <v>2030</v>
      </c>
      <c r="N3150">
        <v>8</v>
      </c>
      <c r="O3150" t="s">
        <v>183</v>
      </c>
      <c r="P3150" s="2">
        <v>2088.9</v>
      </c>
      <c r="Q3150" s="2">
        <v>417.78</v>
      </c>
      <c r="R3150" t="s">
        <v>76</v>
      </c>
      <c r="S3150">
        <v>1</v>
      </c>
      <c r="T3150">
        <v>0</v>
      </c>
      <c r="U3150">
        <f>IF(AND(OR(Dashboard!$D$4="Semua",D3150=Dashboard!$D$4),OR(Dashboard!$H$4="Semua",E3150=Dashboard!$H$4)),1,0)</f>
        <v>1</v>
      </c>
      <c r="V3150">
        <f>IF(U3150=1,IF(COUNTIFS($C$2:C3150,C3150,$U$2:U3150,1)=1,1,0),0)</f>
        <v>0</v>
      </c>
    </row>
    <row r="3151" spans="1:22" x14ac:dyDescent="0.35">
      <c r="A3151">
        <v>13150</v>
      </c>
      <c r="B3151" s="1">
        <v>47711</v>
      </c>
      <c r="C3151">
        <v>1769</v>
      </c>
      <c r="D3151" t="s">
        <v>73</v>
      </c>
      <c r="E3151" t="s">
        <v>78</v>
      </c>
      <c r="F3151">
        <v>2</v>
      </c>
      <c r="G3151" s="2">
        <v>58.28</v>
      </c>
      <c r="H3151">
        <v>0.22</v>
      </c>
      <c r="I3151" t="s">
        <v>64</v>
      </c>
      <c r="J3151">
        <v>1</v>
      </c>
      <c r="K3151">
        <v>3.4</v>
      </c>
      <c r="L3151" s="2">
        <v>90.92</v>
      </c>
      <c r="M3151">
        <v>2030</v>
      </c>
      <c r="N3151">
        <v>8</v>
      </c>
      <c r="O3151" t="s">
        <v>183</v>
      </c>
      <c r="P3151" s="2">
        <v>116.56</v>
      </c>
      <c r="Q3151" s="2">
        <v>25.64</v>
      </c>
      <c r="R3151" t="s">
        <v>77</v>
      </c>
      <c r="S3151">
        <v>1</v>
      </c>
      <c r="T3151">
        <v>0</v>
      </c>
      <c r="U3151">
        <f>IF(AND(OR(Dashboard!$D$4="Semua",D3151=Dashboard!$D$4),OR(Dashboard!$H$4="Semua",E3151=Dashboard!$H$4)),1,0)</f>
        <v>1</v>
      </c>
      <c r="V3151">
        <f>IF(U3151=1,IF(COUNTIFS($C$2:C3151,C3151,$U$2:U3151,1)=1,1,0),0)</f>
        <v>0</v>
      </c>
    </row>
    <row r="3152" spans="1:22" x14ac:dyDescent="0.35">
      <c r="A3152">
        <v>13151</v>
      </c>
      <c r="B3152" s="1">
        <v>47712</v>
      </c>
      <c r="C3152">
        <v>1613</v>
      </c>
      <c r="D3152" t="s">
        <v>73</v>
      </c>
      <c r="E3152" t="s">
        <v>74</v>
      </c>
      <c r="F3152">
        <v>5</v>
      </c>
      <c r="G3152" s="2">
        <v>133.91999999999999</v>
      </c>
      <c r="H3152">
        <v>0.12</v>
      </c>
      <c r="I3152" t="s">
        <v>68</v>
      </c>
      <c r="J3152">
        <v>6</v>
      </c>
      <c r="K3152">
        <v>3.4</v>
      </c>
      <c r="L3152" s="2">
        <v>589.25</v>
      </c>
      <c r="M3152">
        <v>2030</v>
      </c>
      <c r="N3152">
        <v>8</v>
      </c>
      <c r="O3152" t="s">
        <v>183</v>
      </c>
      <c r="P3152" s="2">
        <v>669.6</v>
      </c>
      <c r="Q3152" s="2">
        <v>80.349999999999994</v>
      </c>
      <c r="R3152" t="s">
        <v>79</v>
      </c>
      <c r="S3152">
        <v>1</v>
      </c>
      <c r="T3152">
        <v>0</v>
      </c>
      <c r="U3152">
        <f>IF(AND(OR(Dashboard!$D$4="Semua",D3152=Dashboard!$D$4),OR(Dashboard!$H$4="Semua",E3152=Dashboard!$H$4)),1,0)</f>
        <v>1</v>
      </c>
      <c r="V3152">
        <f>IF(U3152=1,IF(COUNTIFS($C$2:C3152,C3152,$U$2:U3152,1)=1,1,0),0)</f>
        <v>0</v>
      </c>
    </row>
    <row r="3153" spans="1:22" x14ac:dyDescent="0.35">
      <c r="A3153">
        <v>13152</v>
      </c>
      <c r="B3153" s="1">
        <v>47713</v>
      </c>
      <c r="C3153">
        <v>1208</v>
      </c>
      <c r="D3153" t="s">
        <v>73</v>
      </c>
      <c r="E3153" t="s">
        <v>63</v>
      </c>
      <c r="F3153">
        <v>6</v>
      </c>
      <c r="G3153" s="2">
        <v>69.349999999999994</v>
      </c>
      <c r="H3153">
        <v>0.11</v>
      </c>
      <c r="I3153" t="s">
        <v>71</v>
      </c>
      <c r="J3153">
        <v>9</v>
      </c>
      <c r="K3153">
        <v>2</v>
      </c>
      <c r="L3153" s="2">
        <v>370.33</v>
      </c>
      <c r="M3153">
        <v>2030</v>
      </c>
      <c r="N3153">
        <v>8</v>
      </c>
      <c r="O3153" t="s">
        <v>183</v>
      </c>
      <c r="P3153" s="2">
        <v>416.1</v>
      </c>
      <c r="Q3153" s="2">
        <v>45.77</v>
      </c>
      <c r="R3153" t="s">
        <v>79</v>
      </c>
      <c r="S3153">
        <v>1</v>
      </c>
      <c r="T3153">
        <v>0</v>
      </c>
      <c r="U3153">
        <f>IF(AND(OR(Dashboard!$D$4="Semua",D3153=Dashboard!$D$4),OR(Dashboard!$H$4="Semua",E3153=Dashboard!$H$4)),1,0)</f>
        <v>1</v>
      </c>
      <c r="V3153">
        <f>IF(U3153=1,IF(COUNTIFS($C$2:C3153,C3153,$U$2:U3153,1)=1,1,0),0)</f>
        <v>0</v>
      </c>
    </row>
    <row r="3154" spans="1:22" x14ac:dyDescent="0.35">
      <c r="A3154">
        <v>13153</v>
      </c>
      <c r="B3154" s="1">
        <v>47714</v>
      </c>
      <c r="C3154">
        <v>1802</v>
      </c>
      <c r="D3154" t="s">
        <v>67</v>
      </c>
      <c r="E3154" t="s">
        <v>70</v>
      </c>
      <c r="F3154">
        <v>2</v>
      </c>
      <c r="G3154" s="2">
        <v>51.95</v>
      </c>
      <c r="H3154">
        <v>0.21</v>
      </c>
      <c r="I3154" t="s">
        <v>64</v>
      </c>
      <c r="J3154">
        <v>9</v>
      </c>
      <c r="K3154">
        <v>1.3</v>
      </c>
      <c r="L3154" s="2">
        <v>82.08</v>
      </c>
      <c r="M3154">
        <v>2030</v>
      </c>
      <c r="N3154">
        <v>8</v>
      </c>
      <c r="O3154" t="s">
        <v>183</v>
      </c>
      <c r="P3154" s="2">
        <v>103.9</v>
      </c>
      <c r="Q3154" s="2">
        <v>21.82</v>
      </c>
      <c r="R3154" t="s">
        <v>77</v>
      </c>
      <c r="S3154">
        <v>1</v>
      </c>
      <c r="T3154">
        <v>0</v>
      </c>
      <c r="U3154">
        <f>IF(AND(OR(Dashboard!$D$4="Semua",D3154=Dashboard!$D$4),OR(Dashboard!$H$4="Semua",E3154=Dashboard!$H$4)),1,0)</f>
        <v>1</v>
      </c>
      <c r="V3154">
        <f>IF(U3154=1,IF(COUNTIFS($C$2:C3154,C3154,$U$2:U3154,1)=1,1,0),0)</f>
        <v>0</v>
      </c>
    </row>
    <row r="3155" spans="1:22" x14ac:dyDescent="0.35">
      <c r="A3155">
        <v>13154</v>
      </c>
      <c r="B3155" s="1">
        <v>47715</v>
      </c>
      <c r="C3155">
        <v>1353</v>
      </c>
      <c r="D3155" t="s">
        <v>80</v>
      </c>
      <c r="E3155" t="s">
        <v>74</v>
      </c>
      <c r="F3155">
        <v>4</v>
      </c>
      <c r="G3155" s="2">
        <v>171.63</v>
      </c>
      <c r="H3155">
        <v>0.05</v>
      </c>
      <c r="I3155" t="s">
        <v>71</v>
      </c>
      <c r="J3155">
        <v>2</v>
      </c>
      <c r="K3155">
        <v>4</v>
      </c>
      <c r="L3155" s="2">
        <v>652.19000000000005</v>
      </c>
      <c r="M3155">
        <v>2030</v>
      </c>
      <c r="N3155">
        <v>8</v>
      </c>
      <c r="O3155" t="s">
        <v>183</v>
      </c>
      <c r="P3155" s="2">
        <v>686.52</v>
      </c>
      <c r="Q3155" s="2">
        <v>34.33</v>
      </c>
      <c r="R3155" t="s">
        <v>75</v>
      </c>
      <c r="S3155">
        <v>1</v>
      </c>
      <c r="T3155">
        <v>0</v>
      </c>
      <c r="U3155">
        <f>IF(AND(OR(Dashboard!$D$4="Semua",D3155=Dashboard!$D$4),OR(Dashboard!$H$4="Semua",E3155=Dashboard!$H$4)),1,0)</f>
        <v>1</v>
      </c>
      <c r="V3155">
        <f>IF(U3155=1,IF(COUNTIFS($C$2:C3155,C3155,$U$2:U3155,1)=1,1,0),0)</f>
        <v>0</v>
      </c>
    </row>
    <row r="3156" spans="1:22" x14ac:dyDescent="0.35">
      <c r="A3156">
        <v>13155</v>
      </c>
      <c r="B3156" s="1">
        <v>47716</v>
      </c>
      <c r="C3156">
        <v>1470</v>
      </c>
      <c r="D3156" t="s">
        <v>73</v>
      </c>
      <c r="E3156" t="s">
        <v>70</v>
      </c>
      <c r="F3156">
        <v>3</v>
      </c>
      <c r="G3156" s="2">
        <v>349.56</v>
      </c>
      <c r="H3156">
        <v>0.09</v>
      </c>
      <c r="I3156" t="s">
        <v>64</v>
      </c>
      <c r="J3156">
        <v>8</v>
      </c>
      <c r="K3156">
        <v>3.1</v>
      </c>
      <c r="L3156" s="2">
        <v>954.3</v>
      </c>
      <c r="M3156">
        <v>2030</v>
      </c>
      <c r="N3156">
        <v>8</v>
      </c>
      <c r="O3156" t="s">
        <v>183</v>
      </c>
      <c r="P3156" s="2">
        <v>1048.68</v>
      </c>
      <c r="Q3156" s="2">
        <v>94.38</v>
      </c>
      <c r="R3156" t="s">
        <v>69</v>
      </c>
      <c r="S3156">
        <v>1</v>
      </c>
      <c r="T3156">
        <v>0</v>
      </c>
      <c r="U3156">
        <f>IF(AND(OR(Dashboard!$D$4="Semua",D3156=Dashboard!$D$4),OR(Dashboard!$H$4="Semua",E3156=Dashboard!$H$4)),1,0)</f>
        <v>1</v>
      </c>
      <c r="V3156">
        <f>IF(U3156=1,IF(COUNTIFS($C$2:C3156,C3156,$U$2:U3156,1)=1,1,0),0)</f>
        <v>0</v>
      </c>
    </row>
    <row r="3157" spans="1:22" x14ac:dyDescent="0.35">
      <c r="A3157">
        <v>13156</v>
      </c>
      <c r="B3157" s="1">
        <v>47717</v>
      </c>
      <c r="C3157">
        <v>1797</v>
      </c>
      <c r="D3157" t="s">
        <v>73</v>
      </c>
      <c r="E3157" t="s">
        <v>63</v>
      </c>
      <c r="F3157">
        <v>1</v>
      </c>
      <c r="G3157" s="2">
        <v>579.34</v>
      </c>
      <c r="H3157">
        <v>0.01</v>
      </c>
      <c r="I3157" t="s">
        <v>68</v>
      </c>
      <c r="J3157">
        <v>8</v>
      </c>
      <c r="K3157">
        <v>2.8</v>
      </c>
      <c r="L3157" s="2">
        <v>573.54999999999995</v>
      </c>
      <c r="M3157">
        <v>2030</v>
      </c>
      <c r="N3157">
        <v>8</v>
      </c>
      <c r="O3157" t="s">
        <v>183</v>
      </c>
      <c r="P3157" s="2">
        <v>579.34</v>
      </c>
      <c r="Q3157" s="2">
        <v>5.79</v>
      </c>
      <c r="R3157" t="s">
        <v>75</v>
      </c>
      <c r="S3157">
        <v>1</v>
      </c>
      <c r="T3157">
        <v>0</v>
      </c>
      <c r="U3157">
        <f>IF(AND(OR(Dashboard!$D$4="Semua",D3157=Dashboard!$D$4),OR(Dashboard!$H$4="Semua",E3157=Dashboard!$H$4)),1,0)</f>
        <v>1</v>
      </c>
      <c r="V3157">
        <f>IF(U3157=1,IF(COUNTIFS($C$2:C3157,C3157,$U$2:U3157,1)=1,1,0),0)</f>
        <v>0</v>
      </c>
    </row>
    <row r="3158" spans="1:22" x14ac:dyDescent="0.35">
      <c r="A3158">
        <v>13157</v>
      </c>
      <c r="B3158" s="1">
        <v>47718</v>
      </c>
      <c r="C3158">
        <v>1115</v>
      </c>
      <c r="D3158" t="s">
        <v>67</v>
      </c>
      <c r="E3158" t="s">
        <v>78</v>
      </c>
      <c r="F3158">
        <v>5</v>
      </c>
      <c r="G3158" s="2">
        <v>527.20000000000005</v>
      </c>
      <c r="H3158">
        <v>0.03</v>
      </c>
      <c r="I3158" t="s">
        <v>68</v>
      </c>
      <c r="J3158">
        <v>4</v>
      </c>
      <c r="K3158">
        <v>1.5</v>
      </c>
      <c r="L3158" s="2">
        <v>2556.92</v>
      </c>
      <c r="M3158">
        <v>2030</v>
      </c>
      <c r="N3158">
        <v>8</v>
      </c>
      <c r="O3158" t="s">
        <v>183</v>
      </c>
      <c r="P3158" s="2">
        <v>2636</v>
      </c>
      <c r="Q3158" s="2">
        <v>79.08</v>
      </c>
      <c r="R3158" t="s">
        <v>75</v>
      </c>
      <c r="S3158">
        <v>1</v>
      </c>
      <c r="T3158">
        <v>0</v>
      </c>
      <c r="U3158">
        <f>IF(AND(OR(Dashboard!$D$4="Semua",D3158=Dashboard!$D$4),OR(Dashboard!$H$4="Semua",E3158=Dashboard!$H$4)),1,0)</f>
        <v>1</v>
      </c>
      <c r="V3158">
        <f>IF(U3158=1,IF(COUNTIFS($C$2:C3158,C3158,$U$2:U3158,1)=1,1,0),0)</f>
        <v>0</v>
      </c>
    </row>
    <row r="3159" spans="1:22" x14ac:dyDescent="0.35">
      <c r="A3159">
        <v>13158</v>
      </c>
      <c r="B3159" s="1">
        <v>47719</v>
      </c>
      <c r="C3159">
        <v>1263</v>
      </c>
      <c r="D3159" t="s">
        <v>73</v>
      </c>
      <c r="E3159" t="s">
        <v>78</v>
      </c>
      <c r="F3159">
        <v>2</v>
      </c>
      <c r="G3159" s="2">
        <v>527.41999999999996</v>
      </c>
      <c r="H3159">
        <v>0.09</v>
      </c>
      <c r="I3159" t="s">
        <v>64</v>
      </c>
      <c r="J3159">
        <v>4</v>
      </c>
      <c r="K3159">
        <v>2.7</v>
      </c>
      <c r="L3159" s="2">
        <v>959.9</v>
      </c>
      <c r="M3159">
        <v>2030</v>
      </c>
      <c r="N3159">
        <v>8</v>
      </c>
      <c r="O3159" t="s">
        <v>183</v>
      </c>
      <c r="P3159" s="2">
        <v>1054.8399999999999</v>
      </c>
      <c r="Q3159" s="2">
        <v>94.94</v>
      </c>
      <c r="R3159" t="s">
        <v>69</v>
      </c>
      <c r="S3159">
        <v>1</v>
      </c>
      <c r="T3159">
        <v>0</v>
      </c>
      <c r="U3159">
        <f>IF(AND(OR(Dashboard!$D$4="Semua",D3159=Dashboard!$D$4),OR(Dashboard!$H$4="Semua",E3159=Dashboard!$H$4)),1,0)</f>
        <v>1</v>
      </c>
      <c r="V3159">
        <f>IF(U3159=1,IF(COUNTIFS($C$2:C3159,C3159,$U$2:U3159,1)=1,1,0),0)</f>
        <v>0</v>
      </c>
    </row>
    <row r="3160" spans="1:22" x14ac:dyDescent="0.35">
      <c r="A3160">
        <v>13159</v>
      </c>
      <c r="B3160" s="1">
        <v>47720</v>
      </c>
      <c r="C3160">
        <v>1661</v>
      </c>
      <c r="D3160" t="s">
        <v>73</v>
      </c>
      <c r="E3160" t="s">
        <v>78</v>
      </c>
      <c r="F3160">
        <v>4</v>
      </c>
      <c r="G3160" s="2">
        <v>118</v>
      </c>
      <c r="H3160">
        <v>0.01</v>
      </c>
      <c r="I3160" t="s">
        <v>68</v>
      </c>
      <c r="J3160">
        <v>5</v>
      </c>
      <c r="K3160">
        <v>4.3</v>
      </c>
      <c r="L3160" s="2">
        <v>467.28</v>
      </c>
      <c r="M3160">
        <v>2030</v>
      </c>
      <c r="N3160">
        <v>8</v>
      </c>
      <c r="O3160" t="s">
        <v>183</v>
      </c>
      <c r="P3160" s="2">
        <v>472</v>
      </c>
      <c r="Q3160" s="2">
        <v>4.72</v>
      </c>
      <c r="R3160" t="s">
        <v>75</v>
      </c>
      <c r="S3160">
        <v>1</v>
      </c>
      <c r="T3160">
        <v>0</v>
      </c>
      <c r="U3160">
        <f>IF(AND(OR(Dashboard!$D$4="Semua",D3160=Dashboard!$D$4),OR(Dashboard!$H$4="Semua",E3160=Dashboard!$H$4)),1,0)</f>
        <v>1</v>
      </c>
      <c r="V3160">
        <f>IF(U3160=1,IF(COUNTIFS($C$2:C3160,C3160,$U$2:U3160,1)=1,1,0),0)</f>
        <v>0</v>
      </c>
    </row>
    <row r="3161" spans="1:22" x14ac:dyDescent="0.35">
      <c r="A3161">
        <v>13160</v>
      </c>
      <c r="B3161" s="1">
        <v>47721</v>
      </c>
      <c r="C3161">
        <v>1811</v>
      </c>
      <c r="D3161" t="s">
        <v>73</v>
      </c>
      <c r="E3161" t="s">
        <v>63</v>
      </c>
      <c r="F3161">
        <v>1</v>
      </c>
      <c r="G3161" s="2">
        <v>169.97</v>
      </c>
      <c r="H3161">
        <v>0.09</v>
      </c>
      <c r="I3161" t="s">
        <v>71</v>
      </c>
      <c r="J3161">
        <v>11</v>
      </c>
      <c r="K3161">
        <v>3.3</v>
      </c>
      <c r="L3161" s="2">
        <v>154.66999999999999</v>
      </c>
      <c r="M3161">
        <v>2030</v>
      </c>
      <c r="N3161">
        <v>8</v>
      </c>
      <c r="O3161" t="s">
        <v>183</v>
      </c>
      <c r="P3161" s="2">
        <v>169.97</v>
      </c>
      <c r="Q3161" s="2">
        <v>15.3</v>
      </c>
      <c r="R3161" t="s">
        <v>69</v>
      </c>
      <c r="S3161">
        <v>1</v>
      </c>
      <c r="T3161">
        <v>0</v>
      </c>
      <c r="U3161">
        <f>IF(AND(OR(Dashboard!$D$4="Semua",D3161=Dashboard!$D$4),OR(Dashboard!$H$4="Semua",E3161=Dashboard!$H$4)),1,0)</f>
        <v>1</v>
      </c>
      <c r="V3161">
        <f>IF(U3161=1,IF(COUNTIFS($C$2:C3161,C3161,$U$2:U3161,1)=1,1,0),0)</f>
        <v>0</v>
      </c>
    </row>
    <row r="3162" spans="1:22" x14ac:dyDescent="0.35">
      <c r="A3162">
        <v>13161</v>
      </c>
      <c r="B3162" s="1">
        <v>47722</v>
      </c>
      <c r="C3162">
        <v>1441</v>
      </c>
      <c r="D3162" t="s">
        <v>62</v>
      </c>
      <c r="E3162" t="s">
        <v>63</v>
      </c>
      <c r="F3162">
        <v>7</v>
      </c>
      <c r="G3162" s="2">
        <v>59.69</v>
      </c>
      <c r="H3162">
        <v>0.23</v>
      </c>
      <c r="I3162" t="s">
        <v>68</v>
      </c>
      <c r="J3162">
        <v>10</v>
      </c>
      <c r="K3162">
        <v>1.4</v>
      </c>
      <c r="L3162" s="2">
        <v>321.73</v>
      </c>
      <c r="M3162">
        <v>2030</v>
      </c>
      <c r="N3162">
        <v>8</v>
      </c>
      <c r="O3162" t="s">
        <v>183</v>
      </c>
      <c r="P3162" s="2">
        <v>417.83</v>
      </c>
      <c r="Q3162" s="2">
        <v>96.1</v>
      </c>
      <c r="R3162" t="s">
        <v>77</v>
      </c>
      <c r="S3162">
        <v>1</v>
      </c>
      <c r="T3162">
        <v>0</v>
      </c>
      <c r="U3162">
        <f>IF(AND(OR(Dashboard!$D$4="Semua",D3162=Dashboard!$D$4),OR(Dashboard!$H$4="Semua",E3162=Dashboard!$H$4)),1,0)</f>
        <v>1</v>
      </c>
      <c r="V3162">
        <f>IF(U3162=1,IF(COUNTIFS($C$2:C3162,C3162,$U$2:U3162,1)=1,1,0),0)</f>
        <v>0</v>
      </c>
    </row>
    <row r="3163" spans="1:22" x14ac:dyDescent="0.35">
      <c r="A3163">
        <v>13162</v>
      </c>
      <c r="B3163" s="1">
        <v>47723</v>
      </c>
      <c r="C3163">
        <v>1547</v>
      </c>
      <c r="D3163" t="s">
        <v>80</v>
      </c>
      <c r="E3163" t="s">
        <v>70</v>
      </c>
      <c r="F3163">
        <v>4</v>
      </c>
      <c r="G3163" s="2">
        <v>470.4</v>
      </c>
      <c r="H3163">
        <v>0.02</v>
      </c>
      <c r="I3163" t="s">
        <v>71</v>
      </c>
      <c r="J3163">
        <v>7</v>
      </c>
      <c r="K3163">
        <v>2.2999999999999998</v>
      </c>
      <c r="L3163" s="2">
        <v>1843.97</v>
      </c>
      <c r="M3163">
        <v>2030</v>
      </c>
      <c r="N3163">
        <v>8</v>
      </c>
      <c r="O3163" t="s">
        <v>183</v>
      </c>
      <c r="P3163" s="2">
        <v>1881.6</v>
      </c>
      <c r="Q3163" s="2">
        <v>37.630000000000003</v>
      </c>
      <c r="R3163" t="s">
        <v>75</v>
      </c>
      <c r="S3163">
        <v>1</v>
      </c>
      <c r="T3163">
        <v>0</v>
      </c>
      <c r="U3163">
        <f>IF(AND(OR(Dashboard!$D$4="Semua",D3163=Dashboard!$D$4),OR(Dashboard!$H$4="Semua",E3163=Dashboard!$H$4)),1,0)</f>
        <v>1</v>
      </c>
      <c r="V3163">
        <f>IF(U3163=1,IF(COUNTIFS($C$2:C3163,C3163,$U$2:U3163,1)=1,1,0),0)</f>
        <v>0</v>
      </c>
    </row>
    <row r="3164" spans="1:22" x14ac:dyDescent="0.35">
      <c r="A3164">
        <v>13163</v>
      </c>
      <c r="B3164" s="1">
        <v>47724</v>
      </c>
      <c r="C3164">
        <v>1452</v>
      </c>
      <c r="D3164" t="s">
        <v>67</v>
      </c>
      <c r="E3164" t="s">
        <v>78</v>
      </c>
      <c r="F3164">
        <v>3</v>
      </c>
      <c r="G3164" s="2">
        <v>55.84</v>
      </c>
      <c r="H3164">
        <v>0.15</v>
      </c>
      <c r="I3164" t="s">
        <v>64</v>
      </c>
      <c r="J3164">
        <v>1</v>
      </c>
      <c r="K3164">
        <v>4.9000000000000004</v>
      </c>
      <c r="L3164" s="2">
        <v>142.38999999999999</v>
      </c>
      <c r="M3164">
        <v>2030</v>
      </c>
      <c r="N3164">
        <v>8</v>
      </c>
      <c r="O3164" t="s">
        <v>183</v>
      </c>
      <c r="P3164" s="2">
        <v>167.52</v>
      </c>
      <c r="Q3164" s="2">
        <v>25.13</v>
      </c>
      <c r="R3164" t="s">
        <v>79</v>
      </c>
      <c r="S3164">
        <v>1</v>
      </c>
      <c r="T3164">
        <v>0</v>
      </c>
      <c r="U3164">
        <f>IF(AND(OR(Dashboard!$D$4="Semua",D3164=Dashboard!$D$4),OR(Dashboard!$H$4="Semua",E3164=Dashboard!$H$4)),1,0)</f>
        <v>1</v>
      </c>
      <c r="V3164">
        <f>IF(U3164=1,IF(COUNTIFS($C$2:C3164,C3164,$U$2:U3164,1)=1,1,0),0)</f>
        <v>0</v>
      </c>
    </row>
    <row r="3165" spans="1:22" x14ac:dyDescent="0.35">
      <c r="A3165">
        <v>13164</v>
      </c>
      <c r="B3165" s="1">
        <v>47725</v>
      </c>
      <c r="C3165">
        <v>1844</v>
      </c>
      <c r="D3165" t="s">
        <v>80</v>
      </c>
      <c r="E3165" t="s">
        <v>63</v>
      </c>
      <c r="F3165">
        <v>1</v>
      </c>
      <c r="G3165" s="2">
        <v>340.67</v>
      </c>
      <c r="H3165">
        <v>0.32</v>
      </c>
      <c r="I3165" t="s">
        <v>68</v>
      </c>
      <c r="J3165">
        <v>11</v>
      </c>
      <c r="K3165">
        <v>3.2</v>
      </c>
      <c r="L3165" s="2">
        <v>231.66</v>
      </c>
      <c r="M3165">
        <v>2030</v>
      </c>
      <c r="N3165">
        <v>8</v>
      </c>
      <c r="O3165" t="s">
        <v>183</v>
      </c>
      <c r="P3165" s="2">
        <v>340.67</v>
      </c>
      <c r="Q3165" s="2">
        <v>109.01</v>
      </c>
      <c r="R3165" t="s">
        <v>72</v>
      </c>
      <c r="S3165">
        <v>1</v>
      </c>
      <c r="T3165">
        <v>0</v>
      </c>
      <c r="U3165">
        <f>IF(AND(OR(Dashboard!$D$4="Semua",D3165=Dashboard!$D$4),OR(Dashboard!$H$4="Semua",E3165=Dashboard!$H$4)),1,0)</f>
        <v>1</v>
      </c>
      <c r="V3165">
        <f>IF(U3165=1,IF(COUNTIFS($C$2:C3165,C3165,$U$2:U3165,1)=1,1,0),0)</f>
        <v>0</v>
      </c>
    </row>
    <row r="3166" spans="1:22" x14ac:dyDescent="0.35">
      <c r="A3166">
        <v>13165</v>
      </c>
      <c r="B3166" s="1">
        <v>47726</v>
      </c>
      <c r="C3166">
        <v>1476</v>
      </c>
      <c r="D3166" t="s">
        <v>67</v>
      </c>
      <c r="E3166" t="s">
        <v>74</v>
      </c>
      <c r="F3166">
        <v>1</v>
      </c>
      <c r="G3166" s="2">
        <v>160.01</v>
      </c>
      <c r="H3166">
        <v>0.28000000000000003</v>
      </c>
      <c r="I3166" t="s">
        <v>68</v>
      </c>
      <c r="J3166">
        <v>9</v>
      </c>
      <c r="K3166">
        <v>2.1</v>
      </c>
      <c r="L3166" s="2">
        <v>115.21</v>
      </c>
      <c r="M3166">
        <v>2030</v>
      </c>
      <c r="N3166">
        <v>8</v>
      </c>
      <c r="O3166" t="s">
        <v>183</v>
      </c>
      <c r="P3166" s="2">
        <v>160.01</v>
      </c>
      <c r="Q3166" s="2">
        <v>44.8</v>
      </c>
      <c r="R3166" t="s">
        <v>66</v>
      </c>
      <c r="S3166">
        <v>1</v>
      </c>
      <c r="T3166">
        <v>0</v>
      </c>
      <c r="U3166">
        <f>IF(AND(OR(Dashboard!$D$4="Semua",D3166=Dashboard!$D$4),OR(Dashboard!$H$4="Semua",E3166=Dashboard!$H$4)),1,0)</f>
        <v>1</v>
      </c>
      <c r="V3166">
        <f>IF(U3166=1,IF(COUNTIFS($C$2:C3166,C3166,$U$2:U3166,1)=1,1,0),0)</f>
        <v>0</v>
      </c>
    </row>
    <row r="3167" spans="1:22" x14ac:dyDescent="0.35">
      <c r="A3167">
        <v>13166</v>
      </c>
      <c r="B3167" s="1">
        <v>47727</v>
      </c>
      <c r="C3167">
        <v>1286</v>
      </c>
      <c r="D3167" t="s">
        <v>80</v>
      </c>
      <c r="E3167" t="s">
        <v>63</v>
      </c>
      <c r="F3167">
        <v>7</v>
      </c>
      <c r="G3167" s="2">
        <v>157.41999999999999</v>
      </c>
      <c r="H3167">
        <v>0.11</v>
      </c>
      <c r="I3167" t="s">
        <v>68</v>
      </c>
      <c r="J3167">
        <v>3</v>
      </c>
      <c r="K3167">
        <v>4.7</v>
      </c>
      <c r="L3167" s="2">
        <v>980.73</v>
      </c>
      <c r="M3167">
        <v>2030</v>
      </c>
      <c r="N3167">
        <v>9</v>
      </c>
      <c r="O3167" t="s">
        <v>184</v>
      </c>
      <c r="P3167" s="2">
        <v>1101.94</v>
      </c>
      <c r="Q3167" s="2">
        <v>121.21</v>
      </c>
      <c r="R3167" t="s">
        <v>79</v>
      </c>
      <c r="S3167">
        <v>1</v>
      </c>
      <c r="T3167">
        <v>0</v>
      </c>
      <c r="U3167">
        <f>IF(AND(OR(Dashboard!$D$4="Semua",D3167=Dashboard!$D$4),OR(Dashboard!$H$4="Semua",E3167=Dashboard!$H$4)),1,0)</f>
        <v>1</v>
      </c>
      <c r="V3167">
        <f>IF(U3167=1,IF(COUNTIFS($C$2:C3167,C3167,$U$2:U3167,1)=1,1,0),0)</f>
        <v>0</v>
      </c>
    </row>
    <row r="3168" spans="1:22" x14ac:dyDescent="0.35">
      <c r="A3168">
        <v>13167</v>
      </c>
      <c r="B3168" s="1">
        <v>47728</v>
      </c>
      <c r="C3168">
        <v>1302</v>
      </c>
      <c r="D3168" t="s">
        <v>80</v>
      </c>
      <c r="E3168" t="s">
        <v>63</v>
      </c>
      <c r="F3168">
        <v>1</v>
      </c>
      <c r="G3168" s="2">
        <v>594.57000000000005</v>
      </c>
      <c r="H3168">
        <v>0.32</v>
      </c>
      <c r="I3168" t="s">
        <v>64</v>
      </c>
      <c r="J3168">
        <v>11</v>
      </c>
      <c r="K3168">
        <v>2.2999999999999998</v>
      </c>
      <c r="L3168" s="2">
        <v>404.31</v>
      </c>
      <c r="M3168">
        <v>2030</v>
      </c>
      <c r="N3168">
        <v>9</v>
      </c>
      <c r="O3168" t="s">
        <v>184</v>
      </c>
      <c r="P3168" s="2">
        <v>594.57000000000005</v>
      </c>
      <c r="Q3168" s="2">
        <v>190.26</v>
      </c>
      <c r="R3168" t="s">
        <v>72</v>
      </c>
      <c r="S3168">
        <v>1</v>
      </c>
      <c r="T3168">
        <v>0</v>
      </c>
      <c r="U3168">
        <f>IF(AND(OR(Dashboard!$D$4="Semua",D3168=Dashboard!$D$4),OR(Dashboard!$H$4="Semua",E3168=Dashboard!$H$4)),1,0)</f>
        <v>1</v>
      </c>
      <c r="V3168">
        <f>IF(U3168=1,IF(COUNTIFS($C$2:C3168,C3168,$U$2:U3168,1)=1,1,0),0)</f>
        <v>0</v>
      </c>
    </row>
    <row r="3169" spans="1:22" x14ac:dyDescent="0.35">
      <c r="A3169">
        <v>13168</v>
      </c>
      <c r="B3169" s="1">
        <v>47729</v>
      </c>
      <c r="C3169">
        <v>1310</v>
      </c>
      <c r="D3169" t="s">
        <v>67</v>
      </c>
      <c r="E3169" t="s">
        <v>74</v>
      </c>
      <c r="F3169">
        <v>2</v>
      </c>
      <c r="G3169" s="2">
        <v>457.72</v>
      </c>
      <c r="H3169">
        <v>0.12</v>
      </c>
      <c r="I3169" t="s">
        <v>71</v>
      </c>
      <c r="J3169">
        <v>4</v>
      </c>
      <c r="K3169">
        <v>3.9</v>
      </c>
      <c r="L3169" s="2">
        <v>805.59</v>
      </c>
      <c r="M3169">
        <v>2030</v>
      </c>
      <c r="N3169">
        <v>9</v>
      </c>
      <c r="O3169" t="s">
        <v>184</v>
      </c>
      <c r="P3169" s="2">
        <v>915.44</v>
      </c>
      <c r="Q3169" s="2">
        <v>109.85</v>
      </c>
      <c r="R3169" t="s">
        <v>79</v>
      </c>
      <c r="S3169">
        <v>1</v>
      </c>
      <c r="T3169">
        <v>0</v>
      </c>
      <c r="U3169">
        <f>IF(AND(OR(Dashboard!$D$4="Semua",D3169=Dashboard!$D$4),OR(Dashboard!$H$4="Semua",E3169=Dashboard!$H$4)),1,0)</f>
        <v>1</v>
      </c>
      <c r="V3169">
        <f>IF(U3169=1,IF(COUNTIFS($C$2:C3169,C3169,$U$2:U3169,1)=1,1,0),0)</f>
        <v>0</v>
      </c>
    </row>
    <row r="3170" spans="1:22" x14ac:dyDescent="0.35">
      <c r="A3170">
        <v>13169</v>
      </c>
      <c r="B3170" s="1">
        <v>47730</v>
      </c>
      <c r="C3170">
        <v>1207</v>
      </c>
      <c r="D3170" t="s">
        <v>73</v>
      </c>
      <c r="E3170" t="s">
        <v>78</v>
      </c>
      <c r="F3170">
        <v>1</v>
      </c>
      <c r="G3170" s="2">
        <v>504.61</v>
      </c>
      <c r="H3170">
        <v>0.03</v>
      </c>
      <c r="I3170" t="s">
        <v>68</v>
      </c>
      <c r="J3170">
        <v>7</v>
      </c>
      <c r="K3170">
        <v>1.6</v>
      </c>
      <c r="L3170" s="2">
        <v>489.47</v>
      </c>
      <c r="M3170">
        <v>2030</v>
      </c>
      <c r="N3170">
        <v>9</v>
      </c>
      <c r="O3170" t="s">
        <v>184</v>
      </c>
      <c r="P3170" s="2">
        <v>504.61</v>
      </c>
      <c r="Q3170" s="2">
        <v>15.14</v>
      </c>
      <c r="R3170" t="s">
        <v>75</v>
      </c>
      <c r="S3170">
        <v>1</v>
      </c>
      <c r="T3170">
        <v>0</v>
      </c>
      <c r="U3170">
        <f>IF(AND(OR(Dashboard!$D$4="Semua",D3170=Dashboard!$D$4),OR(Dashboard!$H$4="Semua",E3170=Dashboard!$H$4)),1,0)</f>
        <v>1</v>
      </c>
      <c r="V3170">
        <f>IF(U3170=1,IF(COUNTIFS($C$2:C3170,C3170,$U$2:U3170,1)=1,1,0),0)</f>
        <v>0</v>
      </c>
    </row>
    <row r="3171" spans="1:22" x14ac:dyDescent="0.35">
      <c r="A3171">
        <v>13170</v>
      </c>
      <c r="B3171" s="1">
        <v>47731</v>
      </c>
      <c r="C3171">
        <v>1617</v>
      </c>
      <c r="D3171" t="s">
        <v>73</v>
      </c>
      <c r="E3171" t="s">
        <v>74</v>
      </c>
      <c r="F3171">
        <v>4</v>
      </c>
      <c r="G3171" s="2">
        <v>349.61</v>
      </c>
      <c r="H3171">
        <v>0.35</v>
      </c>
      <c r="I3171" t="s">
        <v>68</v>
      </c>
      <c r="J3171">
        <v>5</v>
      </c>
      <c r="K3171">
        <v>1.6</v>
      </c>
      <c r="L3171" s="2">
        <v>908.99</v>
      </c>
      <c r="M3171">
        <v>2030</v>
      </c>
      <c r="N3171">
        <v>9</v>
      </c>
      <c r="O3171" t="s">
        <v>184</v>
      </c>
      <c r="P3171" s="2">
        <v>1398.44</v>
      </c>
      <c r="Q3171" s="2">
        <v>489.45</v>
      </c>
      <c r="R3171" t="s">
        <v>72</v>
      </c>
      <c r="S3171">
        <v>1</v>
      </c>
      <c r="T3171">
        <v>0</v>
      </c>
      <c r="U3171">
        <f>IF(AND(OR(Dashboard!$D$4="Semua",D3171=Dashboard!$D$4),OR(Dashboard!$H$4="Semua",E3171=Dashboard!$H$4)),1,0)</f>
        <v>1</v>
      </c>
      <c r="V3171">
        <f>IF(U3171=1,IF(COUNTIFS($C$2:C3171,C3171,$U$2:U3171,1)=1,1,0),0)</f>
        <v>1</v>
      </c>
    </row>
    <row r="3172" spans="1:22" x14ac:dyDescent="0.35">
      <c r="A3172">
        <v>13171</v>
      </c>
      <c r="B3172" s="1">
        <v>47732</v>
      </c>
      <c r="C3172">
        <v>1445</v>
      </c>
      <c r="D3172" t="s">
        <v>67</v>
      </c>
      <c r="E3172" t="s">
        <v>78</v>
      </c>
      <c r="F3172">
        <v>2</v>
      </c>
      <c r="G3172" s="2">
        <v>524.54</v>
      </c>
      <c r="H3172">
        <v>0.3</v>
      </c>
      <c r="I3172" t="s">
        <v>64</v>
      </c>
      <c r="J3172">
        <v>5</v>
      </c>
      <c r="K3172">
        <v>3.2</v>
      </c>
      <c r="L3172" s="2">
        <v>734.36</v>
      </c>
      <c r="M3172">
        <v>2030</v>
      </c>
      <c r="N3172">
        <v>9</v>
      </c>
      <c r="O3172" t="s">
        <v>184</v>
      </c>
      <c r="P3172" s="2">
        <v>1049.08</v>
      </c>
      <c r="Q3172" s="2">
        <v>314.72000000000003</v>
      </c>
      <c r="R3172" t="s">
        <v>66</v>
      </c>
      <c r="S3172">
        <v>1</v>
      </c>
      <c r="T3172">
        <v>0</v>
      </c>
      <c r="U3172">
        <f>IF(AND(OR(Dashboard!$D$4="Semua",D3172=Dashboard!$D$4),OR(Dashboard!$H$4="Semua",E3172=Dashboard!$H$4)),1,0)</f>
        <v>1</v>
      </c>
      <c r="V3172">
        <f>IF(U3172=1,IF(COUNTIFS($C$2:C3172,C3172,$U$2:U3172,1)=1,1,0),0)</f>
        <v>0</v>
      </c>
    </row>
    <row r="3173" spans="1:22" x14ac:dyDescent="0.35">
      <c r="A3173">
        <v>13172</v>
      </c>
      <c r="B3173" s="1">
        <v>47733</v>
      </c>
      <c r="C3173">
        <v>1669</v>
      </c>
      <c r="D3173" t="s">
        <v>62</v>
      </c>
      <c r="E3173" t="s">
        <v>74</v>
      </c>
      <c r="F3173">
        <v>1</v>
      </c>
      <c r="G3173" s="2">
        <v>392.61</v>
      </c>
      <c r="H3173">
        <v>0.16</v>
      </c>
      <c r="I3173" t="s">
        <v>64</v>
      </c>
      <c r="J3173">
        <v>1</v>
      </c>
      <c r="K3173">
        <v>2</v>
      </c>
      <c r="L3173" s="2">
        <v>329.79</v>
      </c>
      <c r="M3173">
        <v>2030</v>
      </c>
      <c r="N3173">
        <v>9</v>
      </c>
      <c r="O3173" t="s">
        <v>184</v>
      </c>
      <c r="P3173" s="2">
        <v>392.61</v>
      </c>
      <c r="Q3173" s="2">
        <v>62.82</v>
      </c>
      <c r="R3173" t="s">
        <v>76</v>
      </c>
      <c r="S3173">
        <v>1</v>
      </c>
      <c r="T3173">
        <v>0</v>
      </c>
      <c r="U3173">
        <f>IF(AND(OR(Dashboard!$D$4="Semua",D3173=Dashboard!$D$4),OR(Dashboard!$H$4="Semua",E3173=Dashboard!$H$4)),1,0)</f>
        <v>1</v>
      </c>
      <c r="V3173">
        <f>IF(U3173=1,IF(COUNTIFS($C$2:C3173,C3173,$U$2:U3173,1)=1,1,0),0)</f>
        <v>0</v>
      </c>
    </row>
    <row r="3174" spans="1:22" x14ac:dyDescent="0.35">
      <c r="A3174">
        <v>13173</v>
      </c>
      <c r="B3174" s="1">
        <v>47734</v>
      </c>
      <c r="C3174">
        <v>1632</v>
      </c>
      <c r="D3174" t="s">
        <v>67</v>
      </c>
      <c r="E3174" t="s">
        <v>70</v>
      </c>
      <c r="F3174">
        <v>4</v>
      </c>
      <c r="G3174" s="2">
        <v>568.51</v>
      </c>
      <c r="H3174">
        <v>0.23</v>
      </c>
      <c r="I3174" t="s">
        <v>68</v>
      </c>
      <c r="J3174">
        <v>2</v>
      </c>
      <c r="K3174">
        <v>1.2</v>
      </c>
      <c r="L3174" s="2">
        <v>1751.01</v>
      </c>
      <c r="M3174">
        <v>2030</v>
      </c>
      <c r="N3174">
        <v>9</v>
      </c>
      <c r="O3174" t="s">
        <v>184</v>
      </c>
      <c r="P3174" s="2">
        <v>2274.04</v>
      </c>
      <c r="Q3174" s="2">
        <v>523.03</v>
      </c>
      <c r="R3174" t="s">
        <v>77</v>
      </c>
      <c r="S3174">
        <v>1</v>
      </c>
      <c r="T3174">
        <v>0</v>
      </c>
      <c r="U3174">
        <f>IF(AND(OR(Dashboard!$D$4="Semua",D3174=Dashboard!$D$4),OR(Dashboard!$H$4="Semua",E3174=Dashboard!$H$4)),1,0)</f>
        <v>1</v>
      </c>
      <c r="V3174">
        <f>IF(U3174=1,IF(COUNTIFS($C$2:C3174,C3174,$U$2:U3174,1)=1,1,0),0)</f>
        <v>0</v>
      </c>
    </row>
    <row r="3175" spans="1:22" x14ac:dyDescent="0.35">
      <c r="A3175">
        <v>13174</v>
      </c>
      <c r="B3175" s="1">
        <v>47735</v>
      </c>
      <c r="C3175">
        <v>1054</v>
      </c>
      <c r="D3175" t="s">
        <v>80</v>
      </c>
      <c r="E3175" t="s">
        <v>78</v>
      </c>
      <c r="F3175">
        <v>4</v>
      </c>
      <c r="G3175" s="2">
        <v>179.58</v>
      </c>
      <c r="H3175">
        <v>0.23</v>
      </c>
      <c r="I3175" t="s">
        <v>68</v>
      </c>
      <c r="J3175">
        <v>5</v>
      </c>
      <c r="K3175">
        <v>4.7</v>
      </c>
      <c r="L3175" s="2">
        <v>553.11</v>
      </c>
      <c r="M3175">
        <v>2030</v>
      </c>
      <c r="N3175">
        <v>9</v>
      </c>
      <c r="O3175" t="s">
        <v>184</v>
      </c>
      <c r="P3175" s="2">
        <v>718.32</v>
      </c>
      <c r="Q3175" s="2">
        <v>165.21</v>
      </c>
      <c r="R3175" t="s">
        <v>77</v>
      </c>
      <c r="S3175">
        <v>1</v>
      </c>
      <c r="T3175">
        <v>0</v>
      </c>
      <c r="U3175">
        <f>IF(AND(OR(Dashboard!$D$4="Semua",D3175=Dashboard!$D$4),OR(Dashboard!$H$4="Semua",E3175=Dashboard!$H$4)),1,0)</f>
        <v>1</v>
      </c>
      <c r="V3175">
        <f>IF(U3175=1,IF(COUNTIFS($C$2:C3175,C3175,$U$2:U3175,1)=1,1,0),0)</f>
        <v>0</v>
      </c>
    </row>
    <row r="3176" spans="1:22" x14ac:dyDescent="0.35">
      <c r="A3176">
        <v>13175</v>
      </c>
      <c r="B3176" s="1">
        <v>47736</v>
      </c>
      <c r="C3176">
        <v>1911</v>
      </c>
      <c r="D3176" t="s">
        <v>62</v>
      </c>
      <c r="E3176" t="s">
        <v>63</v>
      </c>
      <c r="F3176">
        <v>5</v>
      </c>
      <c r="G3176" s="2">
        <v>363.26</v>
      </c>
      <c r="H3176">
        <v>7.0000000000000007E-2</v>
      </c>
      <c r="I3176" t="s">
        <v>71</v>
      </c>
      <c r="J3176">
        <v>2</v>
      </c>
      <c r="K3176">
        <v>1.2</v>
      </c>
      <c r="L3176" s="2">
        <v>1689.16</v>
      </c>
      <c r="M3176">
        <v>2030</v>
      </c>
      <c r="N3176">
        <v>9</v>
      </c>
      <c r="O3176" t="s">
        <v>184</v>
      </c>
      <c r="P3176" s="2">
        <v>1816.3</v>
      </c>
      <c r="Q3176" s="2">
        <v>127.14</v>
      </c>
      <c r="R3176" t="s">
        <v>69</v>
      </c>
      <c r="S3176">
        <v>1</v>
      </c>
      <c r="T3176">
        <v>0</v>
      </c>
      <c r="U3176">
        <f>IF(AND(OR(Dashboard!$D$4="Semua",D3176=Dashboard!$D$4),OR(Dashboard!$H$4="Semua",E3176=Dashboard!$H$4)),1,0)</f>
        <v>1</v>
      </c>
      <c r="V3176">
        <f>IF(U3176=1,IF(COUNTIFS($C$2:C3176,C3176,$U$2:U3176,1)=1,1,0),0)</f>
        <v>0</v>
      </c>
    </row>
    <row r="3177" spans="1:22" x14ac:dyDescent="0.35">
      <c r="A3177">
        <v>13176</v>
      </c>
      <c r="B3177" s="1">
        <v>47737</v>
      </c>
      <c r="C3177">
        <v>1011</v>
      </c>
      <c r="D3177" t="s">
        <v>73</v>
      </c>
      <c r="E3177" t="s">
        <v>70</v>
      </c>
      <c r="F3177">
        <v>4</v>
      </c>
      <c r="G3177" s="2">
        <v>418.73</v>
      </c>
      <c r="H3177">
        <v>7.0000000000000007E-2</v>
      </c>
      <c r="I3177" t="s">
        <v>71</v>
      </c>
      <c r="J3177">
        <v>1</v>
      </c>
      <c r="K3177">
        <v>3.9</v>
      </c>
      <c r="L3177" s="2">
        <v>1557.68</v>
      </c>
      <c r="M3177">
        <v>2030</v>
      </c>
      <c r="N3177">
        <v>9</v>
      </c>
      <c r="O3177" t="s">
        <v>184</v>
      </c>
      <c r="P3177" s="2">
        <v>1674.92</v>
      </c>
      <c r="Q3177" s="2">
        <v>117.24</v>
      </c>
      <c r="R3177" t="s">
        <v>69</v>
      </c>
      <c r="S3177">
        <v>1</v>
      </c>
      <c r="T3177">
        <v>0</v>
      </c>
      <c r="U3177">
        <f>IF(AND(OR(Dashboard!$D$4="Semua",D3177=Dashboard!$D$4),OR(Dashboard!$H$4="Semua",E3177=Dashboard!$H$4)),1,0)</f>
        <v>1</v>
      </c>
      <c r="V3177">
        <f>IF(U3177=1,IF(COUNTIFS($C$2:C3177,C3177,$U$2:U3177,1)=1,1,0),0)</f>
        <v>0</v>
      </c>
    </row>
    <row r="3178" spans="1:22" x14ac:dyDescent="0.35">
      <c r="A3178">
        <v>13177</v>
      </c>
      <c r="B3178" s="1">
        <v>47738</v>
      </c>
      <c r="C3178">
        <v>1656</v>
      </c>
      <c r="D3178" t="s">
        <v>80</v>
      </c>
      <c r="E3178" t="s">
        <v>78</v>
      </c>
      <c r="F3178">
        <v>7</v>
      </c>
      <c r="G3178" s="2">
        <v>244.87</v>
      </c>
      <c r="H3178">
        <v>0.16</v>
      </c>
      <c r="I3178" t="s">
        <v>64</v>
      </c>
      <c r="J3178">
        <v>10</v>
      </c>
      <c r="K3178">
        <v>2.2999999999999998</v>
      </c>
      <c r="L3178" s="2">
        <v>1439.84</v>
      </c>
      <c r="M3178">
        <v>2030</v>
      </c>
      <c r="N3178">
        <v>9</v>
      </c>
      <c r="O3178" t="s">
        <v>184</v>
      </c>
      <c r="P3178" s="2">
        <v>1714.09</v>
      </c>
      <c r="Q3178" s="2">
        <v>274.25</v>
      </c>
      <c r="R3178" t="s">
        <v>76</v>
      </c>
      <c r="S3178">
        <v>1</v>
      </c>
      <c r="T3178">
        <v>0</v>
      </c>
      <c r="U3178">
        <f>IF(AND(OR(Dashboard!$D$4="Semua",D3178=Dashboard!$D$4),OR(Dashboard!$H$4="Semua",E3178=Dashboard!$H$4)),1,0)</f>
        <v>1</v>
      </c>
      <c r="V3178">
        <f>IF(U3178=1,IF(COUNTIFS($C$2:C3178,C3178,$U$2:U3178,1)=1,1,0),0)</f>
        <v>0</v>
      </c>
    </row>
    <row r="3179" spans="1:22" x14ac:dyDescent="0.35">
      <c r="A3179">
        <v>13178</v>
      </c>
      <c r="B3179" s="1">
        <v>47739</v>
      </c>
      <c r="C3179">
        <v>1399</v>
      </c>
      <c r="D3179" t="s">
        <v>80</v>
      </c>
      <c r="E3179" t="s">
        <v>78</v>
      </c>
      <c r="F3179">
        <v>6</v>
      </c>
      <c r="G3179" s="2">
        <v>529.63</v>
      </c>
      <c r="H3179">
        <v>0.32</v>
      </c>
      <c r="I3179" t="s">
        <v>71</v>
      </c>
      <c r="J3179">
        <v>3</v>
      </c>
      <c r="K3179">
        <v>4.7</v>
      </c>
      <c r="L3179" s="2">
        <v>2160.89</v>
      </c>
      <c r="M3179">
        <v>2030</v>
      </c>
      <c r="N3179">
        <v>9</v>
      </c>
      <c r="O3179" t="s">
        <v>184</v>
      </c>
      <c r="P3179" s="2">
        <v>3177.78</v>
      </c>
      <c r="Q3179" s="2">
        <v>1016.89</v>
      </c>
      <c r="R3179" t="s">
        <v>72</v>
      </c>
      <c r="S3179">
        <v>1</v>
      </c>
      <c r="T3179">
        <v>0</v>
      </c>
      <c r="U3179">
        <f>IF(AND(OR(Dashboard!$D$4="Semua",D3179=Dashboard!$D$4),OR(Dashboard!$H$4="Semua",E3179=Dashboard!$H$4)),1,0)</f>
        <v>1</v>
      </c>
      <c r="V3179">
        <f>IF(U3179=1,IF(COUNTIFS($C$2:C3179,C3179,$U$2:U3179,1)=1,1,0),0)</f>
        <v>0</v>
      </c>
    </row>
    <row r="3180" spans="1:22" x14ac:dyDescent="0.35">
      <c r="A3180">
        <v>13179</v>
      </c>
      <c r="B3180" s="1">
        <v>47740</v>
      </c>
      <c r="C3180">
        <v>1907</v>
      </c>
      <c r="D3180" t="s">
        <v>62</v>
      </c>
      <c r="E3180" t="s">
        <v>78</v>
      </c>
      <c r="F3180">
        <v>3</v>
      </c>
      <c r="G3180" s="2">
        <v>588.17999999999995</v>
      </c>
      <c r="H3180">
        <v>0</v>
      </c>
      <c r="I3180" t="s">
        <v>71</v>
      </c>
      <c r="J3180">
        <v>11</v>
      </c>
      <c r="K3180">
        <v>4.9000000000000004</v>
      </c>
      <c r="L3180" s="2">
        <v>1764.54</v>
      </c>
      <c r="M3180">
        <v>2030</v>
      </c>
      <c r="N3180">
        <v>9</v>
      </c>
      <c r="O3180" t="s">
        <v>184</v>
      </c>
      <c r="P3180" s="2">
        <v>1764.54</v>
      </c>
      <c r="Q3180" s="2">
        <v>0</v>
      </c>
      <c r="R3180" t="s">
        <v>75</v>
      </c>
      <c r="S3180">
        <v>1</v>
      </c>
      <c r="T3180">
        <v>0</v>
      </c>
      <c r="U3180">
        <f>IF(AND(OR(Dashboard!$D$4="Semua",D3180=Dashboard!$D$4),OR(Dashboard!$H$4="Semua",E3180=Dashboard!$H$4)),1,0)</f>
        <v>1</v>
      </c>
      <c r="V3180">
        <f>IF(U3180=1,IF(COUNTIFS($C$2:C3180,C3180,$U$2:U3180,1)=1,1,0),0)</f>
        <v>0</v>
      </c>
    </row>
    <row r="3181" spans="1:22" x14ac:dyDescent="0.35">
      <c r="A3181">
        <v>13180</v>
      </c>
      <c r="B3181" s="1">
        <v>47741</v>
      </c>
      <c r="C3181">
        <v>1647</v>
      </c>
      <c r="D3181" t="s">
        <v>62</v>
      </c>
      <c r="E3181" t="s">
        <v>74</v>
      </c>
      <c r="F3181">
        <v>1</v>
      </c>
      <c r="G3181" s="2">
        <v>303.86</v>
      </c>
      <c r="H3181">
        <v>0.27</v>
      </c>
      <c r="I3181" t="s">
        <v>71</v>
      </c>
      <c r="J3181">
        <v>1</v>
      </c>
      <c r="K3181">
        <v>2.2999999999999998</v>
      </c>
      <c r="L3181" s="2">
        <v>221.82</v>
      </c>
      <c r="M3181">
        <v>2030</v>
      </c>
      <c r="N3181">
        <v>9</v>
      </c>
      <c r="O3181" t="s">
        <v>184</v>
      </c>
      <c r="P3181" s="2">
        <v>303.86</v>
      </c>
      <c r="Q3181" s="2">
        <v>82.04</v>
      </c>
      <c r="R3181" t="s">
        <v>66</v>
      </c>
      <c r="S3181">
        <v>1</v>
      </c>
      <c r="T3181">
        <v>0</v>
      </c>
      <c r="U3181">
        <f>IF(AND(OR(Dashboard!$D$4="Semua",D3181=Dashboard!$D$4),OR(Dashboard!$H$4="Semua",E3181=Dashboard!$H$4)),1,0)</f>
        <v>1</v>
      </c>
      <c r="V3181">
        <f>IF(U3181=1,IF(COUNTIFS($C$2:C3181,C3181,$U$2:U3181,1)=1,1,0),0)</f>
        <v>0</v>
      </c>
    </row>
    <row r="3182" spans="1:22" x14ac:dyDescent="0.35">
      <c r="A3182">
        <v>13181</v>
      </c>
      <c r="B3182" s="1">
        <v>47742</v>
      </c>
      <c r="C3182">
        <v>1979</v>
      </c>
      <c r="D3182" t="s">
        <v>80</v>
      </c>
      <c r="E3182" t="s">
        <v>78</v>
      </c>
      <c r="F3182">
        <v>7</v>
      </c>
      <c r="G3182" s="2">
        <v>243.52</v>
      </c>
      <c r="H3182">
        <v>0.02</v>
      </c>
      <c r="I3182" t="s">
        <v>64</v>
      </c>
      <c r="J3182">
        <v>10</v>
      </c>
      <c r="K3182">
        <v>3.4</v>
      </c>
      <c r="L3182" s="2">
        <v>1670.55</v>
      </c>
      <c r="M3182">
        <v>2030</v>
      </c>
      <c r="N3182">
        <v>9</v>
      </c>
      <c r="O3182" t="s">
        <v>184</v>
      </c>
      <c r="P3182" s="2">
        <v>1704.64</v>
      </c>
      <c r="Q3182" s="2">
        <v>34.090000000000003</v>
      </c>
      <c r="R3182" t="s">
        <v>75</v>
      </c>
      <c r="S3182">
        <v>1</v>
      </c>
      <c r="T3182">
        <v>0</v>
      </c>
      <c r="U3182">
        <f>IF(AND(OR(Dashboard!$D$4="Semua",D3182=Dashboard!$D$4),OR(Dashboard!$H$4="Semua",E3182=Dashboard!$H$4)),1,0)</f>
        <v>1</v>
      </c>
      <c r="V3182">
        <f>IF(U3182=1,IF(COUNTIFS($C$2:C3182,C3182,$U$2:U3182,1)=1,1,0),0)</f>
        <v>0</v>
      </c>
    </row>
    <row r="3183" spans="1:22" x14ac:dyDescent="0.35">
      <c r="A3183">
        <v>13182</v>
      </c>
      <c r="B3183" s="1">
        <v>47743</v>
      </c>
      <c r="C3183">
        <v>1514</v>
      </c>
      <c r="D3183" t="s">
        <v>73</v>
      </c>
      <c r="E3183" t="s">
        <v>63</v>
      </c>
      <c r="F3183">
        <v>1</v>
      </c>
      <c r="G3183" s="2">
        <v>291.08</v>
      </c>
      <c r="H3183">
        <v>0.17</v>
      </c>
      <c r="I3183" t="s">
        <v>68</v>
      </c>
      <c r="J3183">
        <v>8</v>
      </c>
      <c r="K3183">
        <v>4.0999999999999996</v>
      </c>
      <c r="L3183" s="2">
        <v>241.6</v>
      </c>
      <c r="M3183">
        <v>2030</v>
      </c>
      <c r="N3183">
        <v>9</v>
      </c>
      <c r="O3183" t="s">
        <v>184</v>
      </c>
      <c r="P3183" s="2">
        <v>291.08</v>
      </c>
      <c r="Q3183" s="2">
        <v>49.48</v>
      </c>
      <c r="R3183" t="s">
        <v>76</v>
      </c>
      <c r="S3183">
        <v>1</v>
      </c>
      <c r="T3183">
        <v>0</v>
      </c>
      <c r="U3183">
        <f>IF(AND(OR(Dashboard!$D$4="Semua",D3183=Dashboard!$D$4),OR(Dashboard!$H$4="Semua",E3183=Dashboard!$H$4)),1,0)</f>
        <v>1</v>
      </c>
      <c r="V3183">
        <f>IF(U3183=1,IF(COUNTIFS($C$2:C3183,C3183,$U$2:U3183,1)=1,1,0),0)</f>
        <v>0</v>
      </c>
    </row>
    <row r="3184" spans="1:22" x14ac:dyDescent="0.35">
      <c r="A3184">
        <v>13183</v>
      </c>
      <c r="B3184" s="1">
        <v>47744</v>
      </c>
      <c r="C3184">
        <v>1655</v>
      </c>
      <c r="D3184" t="s">
        <v>80</v>
      </c>
      <c r="E3184" t="s">
        <v>78</v>
      </c>
      <c r="F3184">
        <v>1</v>
      </c>
      <c r="G3184" s="2">
        <v>513.85</v>
      </c>
      <c r="H3184">
        <v>0.22</v>
      </c>
      <c r="I3184" t="s">
        <v>68</v>
      </c>
      <c r="J3184">
        <v>8</v>
      </c>
      <c r="K3184">
        <v>1.5</v>
      </c>
      <c r="L3184" s="2">
        <v>400.8</v>
      </c>
      <c r="M3184">
        <v>2030</v>
      </c>
      <c r="N3184">
        <v>9</v>
      </c>
      <c r="O3184" t="s">
        <v>184</v>
      </c>
      <c r="P3184" s="2">
        <v>513.85</v>
      </c>
      <c r="Q3184" s="2">
        <v>113.05</v>
      </c>
      <c r="R3184" t="s">
        <v>77</v>
      </c>
      <c r="S3184">
        <v>1</v>
      </c>
      <c r="T3184">
        <v>0</v>
      </c>
      <c r="U3184">
        <f>IF(AND(OR(Dashboard!$D$4="Semua",D3184=Dashboard!$D$4),OR(Dashboard!$H$4="Semua",E3184=Dashboard!$H$4)),1,0)</f>
        <v>1</v>
      </c>
      <c r="V3184">
        <f>IF(U3184=1,IF(COUNTIFS($C$2:C3184,C3184,$U$2:U3184,1)=1,1,0),0)</f>
        <v>0</v>
      </c>
    </row>
    <row r="3185" spans="1:22" x14ac:dyDescent="0.35">
      <c r="A3185">
        <v>13184</v>
      </c>
      <c r="B3185" s="1">
        <v>47745</v>
      </c>
      <c r="C3185">
        <v>1541</v>
      </c>
      <c r="D3185" t="s">
        <v>73</v>
      </c>
      <c r="E3185" t="s">
        <v>63</v>
      </c>
      <c r="F3185">
        <v>4</v>
      </c>
      <c r="G3185" s="2">
        <v>392.6</v>
      </c>
      <c r="H3185">
        <v>0.24</v>
      </c>
      <c r="I3185" t="s">
        <v>68</v>
      </c>
      <c r="J3185">
        <v>8</v>
      </c>
      <c r="K3185">
        <v>3.8</v>
      </c>
      <c r="L3185" s="2">
        <v>1193.5</v>
      </c>
      <c r="M3185">
        <v>2030</v>
      </c>
      <c r="N3185">
        <v>9</v>
      </c>
      <c r="O3185" t="s">
        <v>184</v>
      </c>
      <c r="P3185" s="2">
        <v>1570.4</v>
      </c>
      <c r="Q3185" s="2">
        <v>376.9</v>
      </c>
      <c r="R3185" t="s">
        <v>77</v>
      </c>
      <c r="S3185">
        <v>1</v>
      </c>
      <c r="T3185">
        <v>0</v>
      </c>
      <c r="U3185">
        <f>IF(AND(OR(Dashboard!$D$4="Semua",D3185=Dashboard!$D$4),OR(Dashboard!$H$4="Semua",E3185=Dashboard!$H$4)),1,0)</f>
        <v>1</v>
      </c>
      <c r="V3185">
        <f>IF(U3185=1,IF(COUNTIFS($C$2:C3185,C3185,$U$2:U3185,1)=1,1,0),0)</f>
        <v>0</v>
      </c>
    </row>
    <row r="3186" spans="1:22" x14ac:dyDescent="0.35">
      <c r="A3186">
        <v>13185</v>
      </c>
      <c r="B3186" s="1">
        <v>47746</v>
      </c>
      <c r="C3186">
        <v>1236</v>
      </c>
      <c r="D3186" t="s">
        <v>80</v>
      </c>
      <c r="E3186" t="s">
        <v>63</v>
      </c>
      <c r="F3186">
        <v>4</v>
      </c>
      <c r="G3186" s="2">
        <v>41.19</v>
      </c>
      <c r="H3186">
        <v>0.02</v>
      </c>
      <c r="I3186" t="s">
        <v>64</v>
      </c>
      <c r="J3186">
        <v>7</v>
      </c>
      <c r="K3186">
        <v>4.5999999999999996</v>
      </c>
      <c r="L3186" s="2">
        <v>161.46</v>
      </c>
      <c r="M3186">
        <v>2030</v>
      </c>
      <c r="N3186">
        <v>9</v>
      </c>
      <c r="O3186" t="s">
        <v>184</v>
      </c>
      <c r="P3186" s="2">
        <v>164.76</v>
      </c>
      <c r="Q3186" s="2">
        <v>3.3</v>
      </c>
      <c r="R3186" t="s">
        <v>75</v>
      </c>
      <c r="S3186">
        <v>1</v>
      </c>
      <c r="T3186">
        <v>0</v>
      </c>
      <c r="U3186">
        <f>IF(AND(OR(Dashboard!$D$4="Semua",D3186=Dashboard!$D$4),OR(Dashboard!$H$4="Semua",E3186=Dashboard!$H$4)),1,0)</f>
        <v>1</v>
      </c>
      <c r="V3186">
        <f>IF(U3186=1,IF(COUNTIFS($C$2:C3186,C3186,$U$2:U3186,1)=1,1,0),0)</f>
        <v>0</v>
      </c>
    </row>
    <row r="3187" spans="1:22" x14ac:dyDescent="0.35">
      <c r="A3187">
        <v>13186</v>
      </c>
      <c r="B3187" s="1">
        <v>47747</v>
      </c>
      <c r="C3187">
        <v>1278</v>
      </c>
      <c r="D3187" t="s">
        <v>62</v>
      </c>
      <c r="E3187" t="s">
        <v>63</v>
      </c>
      <c r="F3187">
        <v>1</v>
      </c>
      <c r="G3187" s="2">
        <v>332.17</v>
      </c>
      <c r="H3187">
        <v>0.15</v>
      </c>
      <c r="I3187" t="s">
        <v>71</v>
      </c>
      <c r="J3187">
        <v>7</v>
      </c>
      <c r="K3187">
        <v>1.7</v>
      </c>
      <c r="L3187" s="2">
        <v>282.33999999999997</v>
      </c>
      <c r="M3187">
        <v>2030</v>
      </c>
      <c r="N3187">
        <v>9</v>
      </c>
      <c r="O3187" t="s">
        <v>184</v>
      </c>
      <c r="P3187" s="2">
        <v>332.17</v>
      </c>
      <c r="Q3187" s="2">
        <v>49.83</v>
      </c>
      <c r="R3187" t="s">
        <v>79</v>
      </c>
      <c r="S3187">
        <v>1</v>
      </c>
      <c r="T3187">
        <v>0</v>
      </c>
      <c r="U3187">
        <f>IF(AND(OR(Dashboard!$D$4="Semua",D3187=Dashboard!$D$4),OR(Dashboard!$H$4="Semua",E3187=Dashboard!$H$4)),1,0)</f>
        <v>1</v>
      </c>
      <c r="V3187">
        <f>IF(U3187=1,IF(COUNTIFS($C$2:C3187,C3187,$U$2:U3187,1)=1,1,0),0)</f>
        <v>0</v>
      </c>
    </row>
    <row r="3188" spans="1:22" x14ac:dyDescent="0.35">
      <c r="A3188">
        <v>13187</v>
      </c>
      <c r="B3188" s="1">
        <v>47748</v>
      </c>
      <c r="C3188">
        <v>1347</v>
      </c>
      <c r="D3188" t="s">
        <v>67</v>
      </c>
      <c r="E3188" t="s">
        <v>70</v>
      </c>
      <c r="F3188">
        <v>6</v>
      </c>
      <c r="G3188" s="2">
        <v>25.12</v>
      </c>
      <c r="H3188">
        <v>0.2</v>
      </c>
      <c r="I3188" t="s">
        <v>68</v>
      </c>
      <c r="J3188">
        <v>2</v>
      </c>
      <c r="K3188">
        <v>4.4000000000000004</v>
      </c>
      <c r="L3188" s="2">
        <v>120.58</v>
      </c>
      <c r="M3188">
        <v>2030</v>
      </c>
      <c r="N3188">
        <v>9</v>
      </c>
      <c r="O3188" t="s">
        <v>184</v>
      </c>
      <c r="P3188" s="2">
        <v>150.72</v>
      </c>
      <c r="Q3188" s="2">
        <v>30.14</v>
      </c>
      <c r="R3188" t="s">
        <v>76</v>
      </c>
      <c r="S3188">
        <v>1</v>
      </c>
      <c r="T3188">
        <v>0</v>
      </c>
      <c r="U3188">
        <f>IF(AND(OR(Dashboard!$D$4="Semua",D3188=Dashboard!$D$4),OR(Dashboard!$H$4="Semua",E3188=Dashboard!$H$4)),1,0)</f>
        <v>1</v>
      </c>
      <c r="V3188">
        <f>IF(U3188=1,IF(COUNTIFS($C$2:C3188,C3188,$U$2:U3188,1)=1,1,0),0)</f>
        <v>0</v>
      </c>
    </row>
    <row r="3189" spans="1:22" x14ac:dyDescent="0.35">
      <c r="A3189">
        <v>13188</v>
      </c>
      <c r="B3189" s="1">
        <v>47749</v>
      </c>
      <c r="C3189">
        <v>1626</v>
      </c>
      <c r="D3189" t="s">
        <v>67</v>
      </c>
      <c r="E3189" t="s">
        <v>63</v>
      </c>
      <c r="F3189">
        <v>2</v>
      </c>
      <c r="G3189" s="2">
        <v>470.44</v>
      </c>
      <c r="H3189">
        <v>0.02</v>
      </c>
      <c r="I3189" t="s">
        <v>71</v>
      </c>
      <c r="J3189">
        <v>9</v>
      </c>
      <c r="K3189">
        <v>1.5</v>
      </c>
      <c r="L3189" s="2">
        <v>922.06</v>
      </c>
      <c r="M3189">
        <v>2030</v>
      </c>
      <c r="N3189">
        <v>9</v>
      </c>
      <c r="O3189" t="s">
        <v>184</v>
      </c>
      <c r="P3189" s="2">
        <v>940.88</v>
      </c>
      <c r="Q3189" s="2">
        <v>18.82</v>
      </c>
      <c r="R3189" t="s">
        <v>75</v>
      </c>
      <c r="S3189">
        <v>1</v>
      </c>
      <c r="T3189">
        <v>0</v>
      </c>
      <c r="U3189">
        <f>IF(AND(OR(Dashboard!$D$4="Semua",D3189=Dashboard!$D$4),OR(Dashboard!$H$4="Semua",E3189=Dashboard!$H$4)),1,0)</f>
        <v>1</v>
      </c>
      <c r="V3189">
        <f>IF(U3189=1,IF(COUNTIFS($C$2:C3189,C3189,$U$2:U3189,1)=1,1,0),0)</f>
        <v>0</v>
      </c>
    </row>
    <row r="3190" spans="1:22" x14ac:dyDescent="0.35">
      <c r="A3190">
        <v>13189</v>
      </c>
      <c r="B3190" s="1">
        <v>47750</v>
      </c>
      <c r="C3190">
        <v>1103</v>
      </c>
      <c r="D3190" t="s">
        <v>67</v>
      </c>
      <c r="E3190" t="s">
        <v>74</v>
      </c>
      <c r="F3190">
        <v>2</v>
      </c>
      <c r="G3190" s="2">
        <v>207.06</v>
      </c>
      <c r="H3190">
        <v>0.05</v>
      </c>
      <c r="I3190" t="s">
        <v>68</v>
      </c>
      <c r="J3190">
        <v>7</v>
      </c>
      <c r="K3190">
        <v>3.3</v>
      </c>
      <c r="L3190" s="2">
        <v>393.41</v>
      </c>
      <c r="M3190">
        <v>2030</v>
      </c>
      <c r="N3190">
        <v>9</v>
      </c>
      <c r="O3190" t="s">
        <v>184</v>
      </c>
      <c r="P3190" s="2">
        <v>414.12</v>
      </c>
      <c r="Q3190" s="2">
        <v>20.71</v>
      </c>
      <c r="R3190" t="s">
        <v>75</v>
      </c>
      <c r="S3190">
        <v>1</v>
      </c>
      <c r="T3190">
        <v>0</v>
      </c>
      <c r="U3190">
        <f>IF(AND(OR(Dashboard!$D$4="Semua",D3190=Dashboard!$D$4),OR(Dashboard!$H$4="Semua",E3190=Dashboard!$H$4)),1,0)</f>
        <v>1</v>
      </c>
      <c r="V3190">
        <f>IF(U3190=1,IF(COUNTIFS($C$2:C3190,C3190,$U$2:U3190,1)=1,1,0),0)</f>
        <v>0</v>
      </c>
    </row>
    <row r="3191" spans="1:22" x14ac:dyDescent="0.35">
      <c r="A3191">
        <v>13190</v>
      </c>
      <c r="B3191" s="1">
        <v>47751</v>
      </c>
      <c r="C3191">
        <v>1629</v>
      </c>
      <c r="D3191" t="s">
        <v>67</v>
      </c>
      <c r="E3191" t="s">
        <v>78</v>
      </c>
      <c r="F3191">
        <v>3</v>
      </c>
      <c r="G3191" s="2">
        <v>291.12</v>
      </c>
      <c r="H3191">
        <v>0.23</v>
      </c>
      <c r="I3191" t="s">
        <v>68</v>
      </c>
      <c r="J3191">
        <v>5</v>
      </c>
      <c r="K3191">
        <v>2.4</v>
      </c>
      <c r="L3191" s="2">
        <v>672.49</v>
      </c>
      <c r="M3191">
        <v>2030</v>
      </c>
      <c r="N3191">
        <v>9</v>
      </c>
      <c r="O3191" t="s">
        <v>184</v>
      </c>
      <c r="P3191" s="2">
        <v>873.36</v>
      </c>
      <c r="Q3191" s="2">
        <v>200.87</v>
      </c>
      <c r="R3191" t="s">
        <v>77</v>
      </c>
      <c r="S3191">
        <v>1</v>
      </c>
      <c r="T3191">
        <v>0</v>
      </c>
      <c r="U3191">
        <f>IF(AND(OR(Dashboard!$D$4="Semua",D3191=Dashboard!$D$4),OR(Dashboard!$H$4="Semua",E3191=Dashboard!$H$4)),1,0)</f>
        <v>1</v>
      </c>
      <c r="V3191">
        <f>IF(U3191=1,IF(COUNTIFS($C$2:C3191,C3191,$U$2:U3191,1)=1,1,0),0)</f>
        <v>0</v>
      </c>
    </row>
    <row r="3192" spans="1:22" x14ac:dyDescent="0.35">
      <c r="A3192">
        <v>13191</v>
      </c>
      <c r="B3192" s="1">
        <v>47752</v>
      </c>
      <c r="C3192">
        <v>1516</v>
      </c>
      <c r="D3192" t="s">
        <v>73</v>
      </c>
      <c r="E3192" t="s">
        <v>74</v>
      </c>
      <c r="F3192">
        <v>5</v>
      </c>
      <c r="G3192" s="2">
        <v>482.23</v>
      </c>
      <c r="H3192">
        <v>0.18</v>
      </c>
      <c r="I3192" t="s">
        <v>68</v>
      </c>
      <c r="J3192">
        <v>4</v>
      </c>
      <c r="K3192">
        <v>2.9</v>
      </c>
      <c r="L3192" s="2">
        <v>1977.14</v>
      </c>
      <c r="M3192">
        <v>2030</v>
      </c>
      <c r="N3192">
        <v>9</v>
      </c>
      <c r="O3192" t="s">
        <v>184</v>
      </c>
      <c r="P3192" s="2">
        <v>2411.15</v>
      </c>
      <c r="Q3192" s="2">
        <v>434.01</v>
      </c>
      <c r="R3192" t="s">
        <v>76</v>
      </c>
      <c r="S3192">
        <v>1</v>
      </c>
      <c r="T3192">
        <v>0</v>
      </c>
      <c r="U3192">
        <f>IF(AND(OR(Dashboard!$D$4="Semua",D3192=Dashboard!$D$4),OR(Dashboard!$H$4="Semua",E3192=Dashboard!$H$4)),1,0)</f>
        <v>1</v>
      </c>
      <c r="V3192">
        <f>IF(U3192=1,IF(COUNTIFS($C$2:C3192,C3192,$U$2:U3192,1)=1,1,0),0)</f>
        <v>0</v>
      </c>
    </row>
    <row r="3193" spans="1:22" x14ac:dyDescent="0.35">
      <c r="A3193">
        <v>13192</v>
      </c>
      <c r="B3193" s="1">
        <v>47753</v>
      </c>
      <c r="C3193">
        <v>1979</v>
      </c>
      <c r="D3193" t="s">
        <v>80</v>
      </c>
      <c r="E3193" t="s">
        <v>70</v>
      </c>
      <c r="F3193">
        <v>7</v>
      </c>
      <c r="G3193" s="2">
        <v>42.17</v>
      </c>
      <c r="H3193">
        <v>0.06</v>
      </c>
      <c r="I3193" t="s">
        <v>71</v>
      </c>
      <c r="J3193">
        <v>8</v>
      </c>
      <c r="K3193">
        <v>2.2000000000000002</v>
      </c>
      <c r="L3193" s="2">
        <v>277.48</v>
      </c>
      <c r="M3193">
        <v>2030</v>
      </c>
      <c r="N3193">
        <v>9</v>
      </c>
      <c r="O3193" t="s">
        <v>184</v>
      </c>
      <c r="P3193" s="2">
        <v>295.19</v>
      </c>
      <c r="Q3193" s="2">
        <v>17.71</v>
      </c>
      <c r="R3193" t="s">
        <v>69</v>
      </c>
      <c r="S3193">
        <v>1</v>
      </c>
      <c r="T3193">
        <v>0</v>
      </c>
      <c r="U3193">
        <f>IF(AND(OR(Dashboard!$D$4="Semua",D3193=Dashboard!$D$4),OR(Dashboard!$H$4="Semua",E3193=Dashboard!$H$4)),1,0)</f>
        <v>1</v>
      </c>
      <c r="V3193">
        <f>IF(U3193=1,IF(COUNTIFS($C$2:C3193,C3193,$U$2:U3193,1)=1,1,0),0)</f>
        <v>0</v>
      </c>
    </row>
    <row r="3194" spans="1:22" x14ac:dyDescent="0.35">
      <c r="A3194">
        <v>13193</v>
      </c>
      <c r="B3194" s="1">
        <v>47754</v>
      </c>
      <c r="C3194">
        <v>1871</v>
      </c>
      <c r="D3194" t="s">
        <v>62</v>
      </c>
      <c r="E3194" t="s">
        <v>78</v>
      </c>
      <c r="F3194">
        <v>3</v>
      </c>
      <c r="G3194" s="2">
        <v>107.75</v>
      </c>
      <c r="H3194">
        <v>0.19</v>
      </c>
      <c r="I3194" t="s">
        <v>71</v>
      </c>
      <c r="J3194">
        <v>5</v>
      </c>
      <c r="K3194">
        <v>2</v>
      </c>
      <c r="L3194" s="2">
        <v>261.83</v>
      </c>
      <c r="M3194">
        <v>2030</v>
      </c>
      <c r="N3194">
        <v>9</v>
      </c>
      <c r="O3194" t="s">
        <v>184</v>
      </c>
      <c r="P3194" s="2">
        <v>323.25</v>
      </c>
      <c r="Q3194" s="2">
        <v>61.42</v>
      </c>
      <c r="R3194" t="s">
        <v>76</v>
      </c>
      <c r="S3194">
        <v>1</v>
      </c>
      <c r="T3194">
        <v>0</v>
      </c>
      <c r="U3194">
        <f>IF(AND(OR(Dashboard!$D$4="Semua",D3194=Dashboard!$D$4),OR(Dashboard!$H$4="Semua",E3194=Dashboard!$H$4)),1,0)</f>
        <v>1</v>
      </c>
      <c r="V3194">
        <f>IF(U3194=1,IF(COUNTIFS($C$2:C3194,C3194,$U$2:U3194,1)=1,1,0),0)</f>
        <v>0</v>
      </c>
    </row>
    <row r="3195" spans="1:22" x14ac:dyDescent="0.35">
      <c r="A3195">
        <v>13194</v>
      </c>
      <c r="B3195" s="1">
        <v>47755</v>
      </c>
      <c r="C3195">
        <v>1247</v>
      </c>
      <c r="D3195" t="s">
        <v>62</v>
      </c>
      <c r="E3195" t="s">
        <v>63</v>
      </c>
      <c r="F3195">
        <v>1</v>
      </c>
      <c r="G3195" s="2">
        <v>247.81</v>
      </c>
      <c r="H3195">
        <v>0.32</v>
      </c>
      <c r="I3195" t="s">
        <v>64</v>
      </c>
      <c r="J3195">
        <v>6</v>
      </c>
      <c r="K3195">
        <v>4</v>
      </c>
      <c r="L3195" s="2">
        <v>168.51</v>
      </c>
      <c r="M3195">
        <v>2030</v>
      </c>
      <c r="N3195">
        <v>9</v>
      </c>
      <c r="O3195" t="s">
        <v>184</v>
      </c>
      <c r="P3195" s="2">
        <v>247.81</v>
      </c>
      <c r="Q3195" s="2">
        <v>79.3</v>
      </c>
      <c r="R3195" t="s">
        <v>72</v>
      </c>
      <c r="S3195">
        <v>1</v>
      </c>
      <c r="T3195">
        <v>0</v>
      </c>
      <c r="U3195">
        <f>IF(AND(OR(Dashboard!$D$4="Semua",D3195=Dashboard!$D$4),OR(Dashboard!$H$4="Semua",E3195=Dashboard!$H$4)),1,0)</f>
        <v>1</v>
      </c>
      <c r="V3195">
        <f>IF(U3195=1,IF(COUNTIFS($C$2:C3195,C3195,$U$2:U3195,1)=1,1,0),0)</f>
        <v>1</v>
      </c>
    </row>
    <row r="3196" spans="1:22" x14ac:dyDescent="0.35">
      <c r="A3196">
        <v>13195</v>
      </c>
      <c r="B3196" s="1">
        <v>47756</v>
      </c>
      <c r="C3196">
        <v>1363</v>
      </c>
      <c r="D3196" t="s">
        <v>73</v>
      </c>
      <c r="E3196" t="s">
        <v>78</v>
      </c>
      <c r="F3196">
        <v>7</v>
      </c>
      <c r="G3196" s="2">
        <v>149.51</v>
      </c>
      <c r="H3196">
        <v>0.01</v>
      </c>
      <c r="I3196" t="s">
        <v>64</v>
      </c>
      <c r="J3196">
        <v>4</v>
      </c>
      <c r="K3196">
        <v>1.9</v>
      </c>
      <c r="L3196" s="2">
        <v>1036.0999999999999</v>
      </c>
      <c r="M3196">
        <v>2030</v>
      </c>
      <c r="N3196">
        <v>9</v>
      </c>
      <c r="O3196" t="s">
        <v>184</v>
      </c>
      <c r="P3196" s="2">
        <v>1046.57</v>
      </c>
      <c r="Q3196" s="2">
        <v>10.47</v>
      </c>
      <c r="R3196" t="s">
        <v>75</v>
      </c>
      <c r="S3196">
        <v>1</v>
      </c>
      <c r="T3196">
        <v>0</v>
      </c>
      <c r="U3196">
        <f>IF(AND(OR(Dashboard!$D$4="Semua",D3196=Dashboard!$D$4),OR(Dashboard!$H$4="Semua",E3196=Dashboard!$H$4)),1,0)</f>
        <v>1</v>
      </c>
      <c r="V3196">
        <f>IF(U3196=1,IF(COUNTIFS($C$2:C3196,C3196,$U$2:U3196,1)=1,1,0),0)</f>
        <v>0</v>
      </c>
    </row>
    <row r="3197" spans="1:22" x14ac:dyDescent="0.35">
      <c r="A3197">
        <v>13196</v>
      </c>
      <c r="B3197" s="1">
        <v>47757</v>
      </c>
      <c r="C3197">
        <v>1320</v>
      </c>
      <c r="D3197" t="s">
        <v>62</v>
      </c>
      <c r="E3197" t="s">
        <v>70</v>
      </c>
      <c r="F3197">
        <v>1</v>
      </c>
      <c r="G3197" s="2">
        <v>212.67</v>
      </c>
      <c r="H3197">
        <v>0.22</v>
      </c>
      <c r="I3197" t="s">
        <v>68</v>
      </c>
      <c r="J3197">
        <v>2</v>
      </c>
      <c r="K3197">
        <v>2.6</v>
      </c>
      <c r="L3197" s="2">
        <v>165.88</v>
      </c>
      <c r="M3197">
        <v>2030</v>
      </c>
      <c r="N3197">
        <v>10</v>
      </c>
      <c r="O3197" t="s">
        <v>185</v>
      </c>
      <c r="P3197" s="2">
        <v>212.67</v>
      </c>
      <c r="Q3197" s="2">
        <v>46.79</v>
      </c>
      <c r="R3197" t="s">
        <v>77</v>
      </c>
      <c r="S3197">
        <v>1</v>
      </c>
      <c r="T3197">
        <v>0</v>
      </c>
      <c r="U3197">
        <f>IF(AND(OR(Dashboard!$D$4="Semua",D3197=Dashboard!$D$4),OR(Dashboard!$H$4="Semua",E3197=Dashboard!$H$4)),1,0)</f>
        <v>1</v>
      </c>
      <c r="V3197">
        <f>IF(U3197=1,IF(COUNTIFS($C$2:C3197,C3197,$U$2:U3197,1)=1,1,0),0)</f>
        <v>0</v>
      </c>
    </row>
    <row r="3198" spans="1:22" x14ac:dyDescent="0.35">
      <c r="A3198">
        <v>13197</v>
      </c>
      <c r="B3198" s="1">
        <v>47758</v>
      </c>
      <c r="C3198">
        <v>1632</v>
      </c>
      <c r="D3198" t="s">
        <v>80</v>
      </c>
      <c r="E3198" t="s">
        <v>70</v>
      </c>
      <c r="F3198">
        <v>1</v>
      </c>
      <c r="G3198" s="2">
        <v>598.92999999999995</v>
      </c>
      <c r="H3198">
        <v>0.03</v>
      </c>
      <c r="I3198" t="s">
        <v>71</v>
      </c>
      <c r="J3198">
        <v>7</v>
      </c>
      <c r="K3198">
        <v>2.1</v>
      </c>
      <c r="L3198" s="2">
        <v>580.96</v>
      </c>
      <c r="M3198">
        <v>2030</v>
      </c>
      <c r="N3198">
        <v>10</v>
      </c>
      <c r="O3198" t="s">
        <v>185</v>
      </c>
      <c r="P3198" s="2">
        <v>598.92999999999995</v>
      </c>
      <c r="Q3198" s="2">
        <v>17.97</v>
      </c>
      <c r="R3198" t="s">
        <v>75</v>
      </c>
      <c r="S3198">
        <v>1</v>
      </c>
      <c r="T3198">
        <v>0</v>
      </c>
      <c r="U3198">
        <f>IF(AND(OR(Dashboard!$D$4="Semua",D3198=Dashboard!$D$4),OR(Dashboard!$H$4="Semua",E3198=Dashboard!$H$4)),1,0)</f>
        <v>1</v>
      </c>
      <c r="V3198">
        <f>IF(U3198=1,IF(COUNTIFS($C$2:C3198,C3198,$U$2:U3198,1)=1,1,0),0)</f>
        <v>0</v>
      </c>
    </row>
    <row r="3199" spans="1:22" x14ac:dyDescent="0.35">
      <c r="A3199">
        <v>13198</v>
      </c>
      <c r="B3199" s="1">
        <v>47759</v>
      </c>
      <c r="C3199">
        <v>1285</v>
      </c>
      <c r="D3199" t="s">
        <v>73</v>
      </c>
      <c r="E3199" t="s">
        <v>74</v>
      </c>
      <c r="F3199">
        <v>5</v>
      </c>
      <c r="G3199" s="2">
        <v>497.87</v>
      </c>
      <c r="H3199">
        <v>0</v>
      </c>
      <c r="I3199" t="s">
        <v>68</v>
      </c>
      <c r="J3199">
        <v>2</v>
      </c>
      <c r="K3199">
        <v>2</v>
      </c>
      <c r="L3199" s="2">
        <v>2489.35</v>
      </c>
      <c r="M3199">
        <v>2030</v>
      </c>
      <c r="N3199">
        <v>10</v>
      </c>
      <c r="O3199" t="s">
        <v>185</v>
      </c>
      <c r="P3199" s="2">
        <v>2489.35</v>
      </c>
      <c r="Q3199" s="2">
        <v>0</v>
      </c>
      <c r="R3199" t="s">
        <v>75</v>
      </c>
      <c r="S3199">
        <v>1</v>
      </c>
      <c r="T3199">
        <v>0</v>
      </c>
      <c r="U3199">
        <f>IF(AND(OR(Dashboard!$D$4="Semua",D3199=Dashboard!$D$4),OR(Dashboard!$H$4="Semua",E3199=Dashboard!$H$4)),1,0)</f>
        <v>1</v>
      </c>
      <c r="V3199">
        <f>IF(U3199=1,IF(COUNTIFS($C$2:C3199,C3199,$U$2:U3199,1)=1,1,0),0)</f>
        <v>0</v>
      </c>
    </row>
    <row r="3200" spans="1:22" x14ac:dyDescent="0.35">
      <c r="A3200">
        <v>13199</v>
      </c>
      <c r="B3200" s="1">
        <v>47760</v>
      </c>
      <c r="C3200">
        <v>1148</v>
      </c>
      <c r="D3200" t="s">
        <v>73</v>
      </c>
      <c r="E3200" t="s">
        <v>78</v>
      </c>
      <c r="F3200">
        <v>4</v>
      </c>
      <c r="G3200" s="2">
        <v>532.08000000000004</v>
      </c>
      <c r="H3200">
        <v>0.05</v>
      </c>
      <c r="I3200" t="s">
        <v>68</v>
      </c>
      <c r="J3200">
        <v>11</v>
      </c>
      <c r="K3200">
        <v>3.5</v>
      </c>
      <c r="L3200" s="2">
        <v>2021.9</v>
      </c>
      <c r="M3200">
        <v>2030</v>
      </c>
      <c r="N3200">
        <v>10</v>
      </c>
      <c r="O3200" t="s">
        <v>185</v>
      </c>
      <c r="P3200" s="2">
        <v>2128.3200000000002</v>
      </c>
      <c r="Q3200" s="2">
        <v>106.42</v>
      </c>
      <c r="R3200" t="s">
        <v>75</v>
      </c>
      <c r="S3200">
        <v>1</v>
      </c>
      <c r="T3200">
        <v>0</v>
      </c>
      <c r="U3200">
        <f>IF(AND(OR(Dashboard!$D$4="Semua",D3200=Dashboard!$D$4),OR(Dashboard!$H$4="Semua",E3200=Dashboard!$H$4)),1,0)</f>
        <v>1</v>
      </c>
      <c r="V3200">
        <f>IF(U3200=1,IF(COUNTIFS($C$2:C3200,C3200,$U$2:U3200,1)=1,1,0),0)</f>
        <v>0</v>
      </c>
    </row>
    <row r="3201" spans="1:22" x14ac:dyDescent="0.35">
      <c r="A3201">
        <v>13200</v>
      </c>
      <c r="B3201" s="1">
        <v>47761</v>
      </c>
      <c r="C3201">
        <v>1083</v>
      </c>
      <c r="D3201" t="s">
        <v>73</v>
      </c>
      <c r="E3201" t="s">
        <v>78</v>
      </c>
      <c r="F3201">
        <v>5</v>
      </c>
      <c r="G3201" s="2">
        <v>563.17999999999995</v>
      </c>
      <c r="H3201">
        <v>0.15</v>
      </c>
      <c r="I3201" t="s">
        <v>68</v>
      </c>
      <c r="J3201">
        <v>7</v>
      </c>
      <c r="K3201">
        <v>1.2</v>
      </c>
      <c r="L3201" s="2">
        <v>2393.5100000000002</v>
      </c>
      <c r="M3201">
        <v>2030</v>
      </c>
      <c r="N3201">
        <v>10</v>
      </c>
      <c r="O3201" t="s">
        <v>185</v>
      </c>
      <c r="P3201" s="2">
        <v>2815.9</v>
      </c>
      <c r="Q3201" s="2">
        <v>422.39</v>
      </c>
      <c r="R3201" t="s">
        <v>79</v>
      </c>
      <c r="S3201">
        <v>1</v>
      </c>
      <c r="T3201">
        <v>0</v>
      </c>
      <c r="U3201">
        <f>IF(AND(OR(Dashboard!$D$4="Semua",D3201=Dashboard!$D$4),OR(Dashboard!$H$4="Semua",E3201=Dashboard!$H$4)),1,0)</f>
        <v>1</v>
      </c>
      <c r="V3201">
        <f>IF(U3201=1,IF(COUNTIFS($C$2:C3201,C3201,$U$2:U3201,1)=1,1,0),0)</f>
        <v>0</v>
      </c>
    </row>
    <row r="3202" spans="1:22" x14ac:dyDescent="0.35">
      <c r="A3202">
        <v>13201</v>
      </c>
      <c r="B3202" s="1">
        <v>47762</v>
      </c>
      <c r="C3202">
        <v>1965</v>
      </c>
      <c r="D3202" t="s">
        <v>62</v>
      </c>
      <c r="E3202" t="s">
        <v>78</v>
      </c>
      <c r="F3202">
        <v>3</v>
      </c>
      <c r="G3202" s="2">
        <v>214.45</v>
      </c>
      <c r="H3202">
        <v>0.28000000000000003</v>
      </c>
      <c r="I3202" t="s">
        <v>68</v>
      </c>
      <c r="J3202">
        <v>7</v>
      </c>
      <c r="K3202">
        <v>4.2</v>
      </c>
      <c r="L3202" s="2">
        <v>463.21</v>
      </c>
      <c r="M3202">
        <v>2030</v>
      </c>
      <c r="N3202">
        <v>10</v>
      </c>
      <c r="O3202" t="s">
        <v>185</v>
      </c>
      <c r="P3202" s="2">
        <v>643.35</v>
      </c>
      <c r="Q3202" s="2">
        <v>180.14</v>
      </c>
      <c r="R3202" t="s">
        <v>66</v>
      </c>
      <c r="S3202">
        <v>1</v>
      </c>
      <c r="T3202">
        <v>0</v>
      </c>
      <c r="U3202">
        <f>IF(AND(OR(Dashboard!$D$4="Semua",D3202=Dashboard!$D$4),OR(Dashboard!$H$4="Semua",E3202=Dashboard!$H$4)),1,0)</f>
        <v>1</v>
      </c>
      <c r="V3202">
        <f>IF(U3202=1,IF(COUNTIFS($C$2:C3202,C3202,$U$2:U3202,1)=1,1,0),0)</f>
        <v>0</v>
      </c>
    </row>
    <row r="3203" spans="1:22" x14ac:dyDescent="0.35">
      <c r="A3203">
        <v>13202</v>
      </c>
      <c r="B3203" s="1">
        <v>47763</v>
      </c>
      <c r="C3203">
        <v>1405</v>
      </c>
      <c r="D3203" t="s">
        <v>67</v>
      </c>
      <c r="E3203" t="s">
        <v>74</v>
      </c>
      <c r="F3203">
        <v>4</v>
      </c>
      <c r="G3203" s="2">
        <v>188.79</v>
      </c>
      <c r="H3203">
        <v>0.1</v>
      </c>
      <c r="I3203" t="s">
        <v>68</v>
      </c>
      <c r="J3203">
        <v>1</v>
      </c>
      <c r="K3203">
        <v>3.2</v>
      </c>
      <c r="L3203" s="2">
        <v>679.64</v>
      </c>
      <c r="M3203">
        <v>2030</v>
      </c>
      <c r="N3203">
        <v>10</v>
      </c>
      <c r="O3203" t="s">
        <v>185</v>
      </c>
      <c r="P3203" s="2">
        <v>755.16</v>
      </c>
      <c r="Q3203" s="2">
        <v>75.52</v>
      </c>
      <c r="R3203" t="s">
        <v>69</v>
      </c>
      <c r="S3203">
        <v>1</v>
      </c>
      <c r="T3203">
        <v>0</v>
      </c>
      <c r="U3203">
        <f>IF(AND(OR(Dashboard!$D$4="Semua",D3203=Dashboard!$D$4),OR(Dashboard!$H$4="Semua",E3203=Dashboard!$H$4)),1,0)</f>
        <v>1</v>
      </c>
      <c r="V3203">
        <f>IF(U3203=1,IF(COUNTIFS($C$2:C3203,C3203,$U$2:U3203,1)=1,1,0),0)</f>
        <v>0</v>
      </c>
    </row>
    <row r="3204" spans="1:22" x14ac:dyDescent="0.35">
      <c r="A3204">
        <v>13203</v>
      </c>
      <c r="B3204" s="1">
        <v>47764</v>
      </c>
      <c r="C3204">
        <v>1977</v>
      </c>
      <c r="D3204" t="s">
        <v>80</v>
      </c>
      <c r="E3204" t="s">
        <v>70</v>
      </c>
      <c r="F3204">
        <v>4</v>
      </c>
      <c r="G3204" s="2">
        <v>151.93</v>
      </c>
      <c r="H3204">
        <v>0.22</v>
      </c>
      <c r="I3204" t="s">
        <v>68</v>
      </c>
      <c r="J3204">
        <v>10</v>
      </c>
      <c r="K3204">
        <v>4.3</v>
      </c>
      <c r="L3204" s="2">
        <v>474.02</v>
      </c>
      <c r="M3204">
        <v>2030</v>
      </c>
      <c r="N3204">
        <v>10</v>
      </c>
      <c r="O3204" t="s">
        <v>185</v>
      </c>
      <c r="P3204" s="2">
        <v>607.72</v>
      </c>
      <c r="Q3204" s="2">
        <v>133.69999999999999</v>
      </c>
      <c r="R3204" t="s">
        <v>77</v>
      </c>
      <c r="S3204">
        <v>1</v>
      </c>
      <c r="T3204">
        <v>0</v>
      </c>
      <c r="U3204">
        <f>IF(AND(OR(Dashboard!$D$4="Semua",D3204=Dashboard!$D$4),OR(Dashboard!$H$4="Semua",E3204=Dashboard!$H$4)),1,0)</f>
        <v>1</v>
      </c>
      <c r="V3204">
        <f>IF(U3204=1,IF(COUNTIFS($C$2:C3204,C3204,$U$2:U3204,1)=1,1,0),0)</f>
        <v>0</v>
      </c>
    </row>
    <row r="3205" spans="1:22" x14ac:dyDescent="0.35">
      <c r="A3205">
        <v>13204</v>
      </c>
      <c r="B3205" s="1">
        <v>47765</v>
      </c>
      <c r="C3205">
        <v>1455</v>
      </c>
      <c r="D3205" t="s">
        <v>73</v>
      </c>
      <c r="E3205" t="s">
        <v>63</v>
      </c>
      <c r="F3205">
        <v>3</v>
      </c>
      <c r="G3205" s="2">
        <v>500.62</v>
      </c>
      <c r="H3205">
        <v>0.14000000000000001</v>
      </c>
      <c r="I3205" t="s">
        <v>71</v>
      </c>
      <c r="J3205">
        <v>10</v>
      </c>
      <c r="K3205">
        <v>1.9</v>
      </c>
      <c r="L3205" s="2">
        <v>1291.5999999999999</v>
      </c>
      <c r="M3205">
        <v>2030</v>
      </c>
      <c r="N3205">
        <v>10</v>
      </c>
      <c r="O3205" t="s">
        <v>185</v>
      </c>
      <c r="P3205" s="2">
        <v>1501.86</v>
      </c>
      <c r="Q3205" s="2">
        <v>210.26</v>
      </c>
      <c r="R3205" t="s">
        <v>79</v>
      </c>
      <c r="S3205">
        <v>1</v>
      </c>
      <c r="T3205">
        <v>0</v>
      </c>
      <c r="U3205">
        <f>IF(AND(OR(Dashboard!$D$4="Semua",D3205=Dashboard!$D$4),OR(Dashboard!$H$4="Semua",E3205=Dashboard!$H$4)),1,0)</f>
        <v>1</v>
      </c>
      <c r="V3205">
        <f>IF(U3205=1,IF(COUNTIFS($C$2:C3205,C3205,$U$2:U3205,1)=1,1,0),0)</f>
        <v>0</v>
      </c>
    </row>
    <row r="3206" spans="1:22" x14ac:dyDescent="0.35">
      <c r="A3206">
        <v>13205</v>
      </c>
      <c r="B3206" s="1">
        <v>47766</v>
      </c>
      <c r="C3206">
        <v>1742</v>
      </c>
      <c r="D3206" t="s">
        <v>80</v>
      </c>
      <c r="E3206" t="s">
        <v>78</v>
      </c>
      <c r="F3206">
        <v>4</v>
      </c>
      <c r="G3206" s="2">
        <v>412.54</v>
      </c>
      <c r="H3206">
        <v>0.08</v>
      </c>
      <c r="I3206" t="s">
        <v>68</v>
      </c>
      <c r="J3206">
        <v>3</v>
      </c>
      <c r="K3206">
        <v>3.8</v>
      </c>
      <c r="L3206" s="2">
        <v>1518.15</v>
      </c>
      <c r="M3206">
        <v>2030</v>
      </c>
      <c r="N3206">
        <v>10</v>
      </c>
      <c r="O3206" t="s">
        <v>185</v>
      </c>
      <c r="P3206" s="2">
        <v>1650.16</v>
      </c>
      <c r="Q3206" s="2">
        <v>132.01</v>
      </c>
      <c r="R3206" t="s">
        <v>69</v>
      </c>
      <c r="S3206">
        <v>1</v>
      </c>
      <c r="T3206">
        <v>0</v>
      </c>
      <c r="U3206">
        <f>IF(AND(OR(Dashboard!$D$4="Semua",D3206=Dashboard!$D$4),OR(Dashboard!$H$4="Semua",E3206=Dashboard!$H$4)),1,0)</f>
        <v>1</v>
      </c>
      <c r="V3206">
        <f>IF(U3206=1,IF(COUNTIFS($C$2:C3206,C3206,$U$2:U3206,1)=1,1,0),0)</f>
        <v>0</v>
      </c>
    </row>
    <row r="3207" spans="1:22" x14ac:dyDescent="0.35">
      <c r="A3207">
        <v>13206</v>
      </c>
      <c r="B3207" s="1">
        <v>47767</v>
      </c>
      <c r="C3207">
        <v>1799</v>
      </c>
      <c r="D3207" t="s">
        <v>73</v>
      </c>
      <c r="E3207" t="s">
        <v>74</v>
      </c>
      <c r="F3207">
        <v>7</v>
      </c>
      <c r="G3207" s="2">
        <v>153.16</v>
      </c>
      <c r="H3207">
        <v>0.18</v>
      </c>
      <c r="I3207" t="s">
        <v>71</v>
      </c>
      <c r="J3207">
        <v>3</v>
      </c>
      <c r="K3207">
        <v>2.7</v>
      </c>
      <c r="L3207" s="2">
        <v>879.14</v>
      </c>
      <c r="M3207">
        <v>2030</v>
      </c>
      <c r="N3207">
        <v>10</v>
      </c>
      <c r="O3207" t="s">
        <v>185</v>
      </c>
      <c r="P3207" s="2">
        <v>1072.1199999999999</v>
      </c>
      <c r="Q3207" s="2">
        <v>192.98</v>
      </c>
      <c r="R3207" t="s">
        <v>76</v>
      </c>
      <c r="S3207">
        <v>1</v>
      </c>
      <c r="T3207">
        <v>0</v>
      </c>
      <c r="U3207">
        <f>IF(AND(OR(Dashboard!$D$4="Semua",D3207=Dashboard!$D$4),OR(Dashboard!$H$4="Semua",E3207=Dashboard!$H$4)),1,0)</f>
        <v>1</v>
      </c>
      <c r="V3207">
        <f>IF(U3207=1,IF(COUNTIFS($C$2:C3207,C3207,$U$2:U3207,1)=1,1,0),0)</f>
        <v>0</v>
      </c>
    </row>
    <row r="3208" spans="1:22" x14ac:dyDescent="0.35">
      <c r="A3208">
        <v>13207</v>
      </c>
      <c r="B3208" s="1">
        <v>47768</v>
      </c>
      <c r="C3208">
        <v>1160</v>
      </c>
      <c r="D3208" t="s">
        <v>67</v>
      </c>
      <c r="E3208" t="s">
        <v>74</v>
      </c>
      <c r="F3208">
        <v>2</v>
      </c>
      <c r="G3208" s="2">
        <v>235.54</v>
      </c>
      <c r="H3208">
        <v>0.28000000000000003</v>
      </c>
      <c r="I3208" t="s">
        <v>68</v>
      </c>
      <c r="J3208">
        <v>11</v>
      </c>
      <c r="K3208">
        <v>1.3</v>
      </c>
      <c r="L3208" s="2">
        <v>339.18</v>
      </c>
      <c r="M3208">
        <v>2030</v>
      </c>
      <c r="N3208">
        <v>10</v>
      </c>
      <c r="O3208" t="s">
        <v>185</v>
      </c>
      <c r="P3208" s="2">
        <v>471.08</v>
      </c>
      <c r="Q3208" s="2">
        <v>131.9</v>
      </c>
      <c r="R3208" t="s">
        <v>66</v>
      </c>
      <c r="S3208">
        <v>1</v>
      </c>
      <c r="T3208">
        <v>0</v>
      </c>
      <c r="U3208">
        <f>IF(AND(OR(Dashboard!$D$4="Semua",D3208=Dashboard!$D$4),OR(Dashboard!$H$4="Semua",E3208=Dashboard!$H$4)),1,0)</f>
        <v>1</v>
      </c>
      <c r="V3208">
        <f>IF(U3208=1,IF(COUNTIFS($C$2:C3208,C3208,$U$2:U3208,1)=1,1,0),0)</f>
        <v>0</v>
      </c>
    </row>
    <row r="3209" spans="1:22" x14ac:dyDescent="0.35">
      <c r="A3209">
        <v>13208</v>
      </c>
      <c r="B3209" s="1">
        <v>47769</v>
      </c>
      <c r="C3209">
        <v>1783</v>
      </c>
      <c r="D3209" t="s">
        <v>67</v>
      </c>
      <c r="E3209" t="s">
        <v>63</v>
      </c>
      <c r="F3209">
        <v>3</v>
      </c>
      <c r="G3209" s="2">
        <v>311.43</v>
      </c>
      <c r="H3209">
        <v>0.28999999999999998</v>
      </c>
      <c r="I3209" t="s">
        <v>68</v>
      </c>
      <c r="J3209">
        <v>6</v>
      </c>
      <c r="K3209">
        <v>4</v>
      </c>
      <c r="L3209" s="2">
        <v>663.35</v>
      </c>
      <c r="M3209">
        <v>2030</v>
      </c>
      <c r="N3209">
        <v>10</v>
      </c>
      <c r="O3209" t="s">
        <v>185</v>
      </c>
      <c r="P3209" s="2">
        <v>934.29</v>
      </c>
      <c r="Q3209" s="2">
        <v>270.94</v>
      </c>
      <c r="R3209" t="s">
        <v>66</v>
      </c>
      <c r="S3209">
        <v>1</v>
      </c>
      <c r="T3209">
        <v>0</v>
      </c>
      <c r="U3209">
        <f>IF(AND(OR(Dashboard!$D$4="Semua",D3209=Dashboard!$D$4),OR(Dashboard!$H$4="Semua",E3209=Dashboard!$H$4)),1,0)</f>
        <v>1</v>
      </c>
      <c r="V3209">
        <f>IF(U3209=1,IF(COUNTIFS($C$2:C3209,C3209,$U$2:U3209,1)=1,1,0),0)</f>
        <v>0</v>
      </c>
    </row>
    <row r="3210" spans="1:22" x14ac:dyDescent="0.35">
      <c r="A3210">
        <v>13209</v>
      </c>
      <c r="B3210" s="1">
        <v>47770</v>
      </c>
      <c r="C3210">
        <v>1459</v>
      </c>
      <c r="D3210" t="s">
        <v>73</v>
      </c>
      <c r="E3210" t="s">
        <v>70</v>
      </c>
      <c r="F3210">
        <v>3</v>
      </c>
      <c r="G3210" s="2">
        <v>323.95999999999998</v>
      </c>
      <c r="H3210">
        <v>0.3</v>
      </c>
      <c r="I3210" t="s">
        <v>68</v>
      </c>
      <c r="J3210">
        <v>11</v>
      </c>
      <c r="K3210">
        <v>4</v>
      </c>
      <c r="L3210" s="2">
        <v>680.32</v>
      </c>
      <c r="M3210">
        <v>2030</v>
      </c>
      <c r="N3210">
        <v>10</v>
      </c>
      <c r="O3210" t="s">
        <v>185</v>
      </c>
      <c r="P3210" s="2">
        <v>971.88</v>
      </c>
      <c r="Q3210" s="2">
        <v>291.56</v>
      </c>
      <c r="R3210" t="s">
        <v>66</v>
      </c>
      <c r="S3210">
        <v>1</v>
      </c>
      <c r="T3210">
        <v>0</v>
      </c>
      <c r="U3210">
        <f>IF(AND(OR(Dashboard!$D$4="Semua",D3210=Dashboard!$D$4),OR(Dashboard!$H$4="Semua",E3210=Dashboard!$H$4)),1,0)</f>
        <v>1</v>
      </c>
      <c r="V3210">
        <f>IF(U3210=1,IF(COUNTIFS($C$2:C3210,C3210,$U$2:U3210,1)=1,1,0),0)</f>
        <v>0</v>
      </c>
    </row>
    <row r="3211" spans="1:22" x14ac:dyDescent="0.35">
      <c r="A3211">
        <v>13210</v>
      </c>
      <c r="B3211" s="1">
        <v>47771</v>
      </c>
      <c r="C3211">
        <v>1549</v>
      </c>
      <c r="D3211" t="s">
        <v>80</v>
      </c>
      <c r="E3211" t="s">
        <v>78</v>
      </c>
      <c r="F3211">
        <v>2</v>
      </c>
      <c r="G3211" s="2">
        <v>534.91</v>
      </c>
      <c r="H3211">
        <v>0.12</v>
      </c>
      <c r="I3211" t="s">
        <v>68</v>
      </c>
      <c r="J3211">
        <v>3</v>
      </c>
      <c r="K3211">
        <v>2.1</v>
      </c>
      <c r="L3211" s="2">
        <v>941.44</v>
      </c>
      <c r="M3211">
        <v>2030</v>
      </c>
      <c r="N3211">
        <v>10</v>
      </c>
      <c r="O3211" t="s">
        <v>185</v>
      </c>
      <c r="P3211" s="2">
        <v>1069.82</v>
      </c>
      <c r="Q3211" s="2">
        <v>128.38</v>
      </c>
      <c r="R3211" t="s">
        <v>79</v>
      </c>
      <c r="S3211">
        <v>1</v>
      </c>
      <c r="T3211">
        <v>0</v>
      </c>
      <c r="U3211">
        <f>IF(AND(OR(Dashboard!$D$4="Semua",D3211=Dashboard!$D$4),OR(Dashboard!$H$4="Semua",E3211=Dashboard!$H$4)),1,0)</f>
        <v>1</v>
      </c>
      <c r="V3211">
        <f>IF(U3211=1,IF(COUNTIFS($C$2:C3211,C3211,$U$2:U3211,1)=1,1,0),0)</f>
        <v>0</v>
      </c>
    </row>
    <row r="3212" spans="1:22" x14ac:dyDescent="0.35">
      <c r="A3212">
        <v>13211</v>
      </c>
      <c r="B3212" s="1">
        <v>47772</v>
      </c>
      <c r="C3212">
        <v>1499</v>
      </c>
      <c r="D3212" t="s">
        <v>73</v>
      </c>
      <c r="E3212" t="s">
        <v>78</v>
      </c>
      <c r="F3212">
        <v>5</v>
      </c>
      <c r="G3212" s="2">
        <v>237.63</v>
      </c>
      <c r="H3212">
        <v>0.28000000000000003</v>
      </c>
      <c r="I3212" t="s">
        <v>68</v>
      </c>
      <c r="J3212">
        <v>9</v>
      </c>
      <c r="K3212">
        <v>4.7</v>
      </c>
      <c r="L3212" s="2">
        <v>855.47</v>
      </c>
      <c r="M3212">
        <v>2030</v>
      </c>
      <c r="N3212">
        <v>10</v>
      </c>
      <c r="O3212" t="s">
        <v>185</v>
      </c>
      <c r="P3212" s="2">
        <v>1188.1500000000001</v>
      </c>
      <c r="Q3212" s="2">
        <v>332.68</v>
      </c>
      <c r="R3212" t="s">
        <v>66</v>
      </c>
      <c r="S3212">
        <v>1</v>
      </c>
      <c r="T3212">
        <v>0</v>
      </c>
      <c r="U3212">
        <f>IF(AND(OR(Dashboard!$D$4="Semua",D3212=Dashboard!$D$4),OR(Dashboard!$H$4="Semua",E3212=Dashboard!$H$4)),1,0)</f>
        <v>1</v>
      </c>
      <c r="V3212">
        <f>IF(U3212=1,IF(COUNTIFS($C$2:C3212,C3212,$U$2:U3212,1)=1,1,0),0)</f>
        <v>0</v>
      </c>
    </row>
    <row r="3213" spans="1:22" x14ac:dyDescent="0.35">
      <c r="A3213">
        <v>13212</v>
      </c>
      <c r="B3213" s="1">
        <v>47773</v>
      </c>
      <c r="C3213">
        <v>1737</v>
      </c>
      <c r="D3213" t="s">
        <v>80</v>
      </c>
      <c r="E3213" t="s">
        <v>74</v>
      </c>
      <c r="F3213">
        <v>5</v>
      </c>
      <c r="G3213" s="2">
        <v>546.49</v>
      </c>
      <c r="H3213">
        <v>7.0000000000000007E-2</v>
      </c>
      <c r="I3213" t="s">
        <v>71</v>
      </c>
      <c r="J3213">
        <v>5</v>
      </c>
      <c r="K3213">
        <v>4.0999999999999996</v>
      </c>
      <c r="L3213" s="2">
        <v>2541.1799999999998</v>
      </c>
      <c r="M3213">
        <v>2030</v>
      </c>
      <c r="N3213">
        <v>10</v>
      </c>
      <c r="O3213" t="s">
        <v>185</v>
      </c>
      <c r="P3213" s="2">
        <v>2732.45</v>
      </c>
      <c r="Q3213" s="2">
        <v>191.27</v>
      </c>
      <c r="R3213" t="s">
        <v>69</v>
      </c>
      <c r="S3213">
        <v>1</v>
      </c>
      <c r="T3213">
        <v>0</v>
      </c>
      <c r="U3213">
        <f>IF(AND(OR(Dashboard!$D$4="Semua",D3213=Dashboard!$D$4),OR(Dashboard!$H$4="Semua",E3213=Dashboard!$H$4)),1,0)</f>
        <v>1</v>
      </c>
      <c r="V3213">
        <f>IF(U3213=1,IF(COUNTIFS($C$2:C3213,C3213,$U$2:U3213,1)=1,1,0),0)</f>
        <v>0</v>
      </c>
    </row>
    <row r="3214" spans="1:22" x14ac:dyDescent="0.35">
      <c r="A3214">
        <v>13213</v>
      </c>
      <c r="B3214" s="1">
        <v>47774</v>
      </c>
      <c r="C3214">
        <v>1508</v>
      </c>
      <c r="D3214" t="s">
        <v>67</v>
      </c>
      <c r="E3214" t="s">
        <v>70</v>
      </c>
      <c r="F3214">
        <v>5</v>
      </c>
      <c r="G3214" s="2">
        <v>273.2</v>
      </c>
      <c r="H3214">
        <v>0.26</v>
      </c>
      <c r="I3214" t="s">
        <v>71</v>
      </c>
      <c r="J3214">
        <v>6</v>
      </c>
      <c r="K3214">
        <v>2.2000000000000002</v>
      </c>
      <c r="L3214" s="2">
        <v>1010.84</v>
      </c>
      <c r="M3214">
        <v>2030</v>
      </c>
      <c r="N3214">
        <v>10</v>
      </c>
      <c r="O3214" t="s">
        <v>185</v>
      </c>
      <c r="P3214" s="2">
        <v>1366</v>
      </c>
      <c r="Q3214" s="2">
        <v>355.16</v>
      </c>
      <c r="R3214" t="s">
        <v>66</v>
      </c>
      <c r="S3214">
        <v>1</v>
      </c>
      <c r="T3214">
        <v>0</v>
      </c>
      <c r="U3214">
        <f>IF(AND(OR(Dashboard!$D$4="Semua",D3214=Dashboard!$D$4),OR(Dashboard!$H$4="Semua",E3214=Dashboard!$H$4)),1,0)</f>
        <v>1</v>
      </c>
      <c r="V3214">
        <f>IF(U3214=1,IF(COUNTIFS($C$2:C3214,C3214,$U$2:U3214,1)=1,1,0),0)</f>
        <v>0</v>
      </c>
    </row>
    <row r="3215" spans="1:22" x14ac:dyDescent="0.35">
      <c r="A3215">
        <v>13214</v>
      </c>
      <c r="B3215" s="1">
        <v>47775</v>
      </c>
      <c r="C3215">
        <v>1653</v>
      </c>
      <c r="D3215" t="s">
        <v>67</v>
      </c>
      <c r="E3215" t="s">
        <v>78</v>
      </c>
      <c r="F3215">
        <v>4</v>
      </c>
      <c r="G3215" s="2">
        <v>451.63</v>
      </c>
      <c r="H3215">
        <v>0.33</v>
      </c>
      <c r="I3215" t="s">
        <v>68</v>
      </c>
      <c r="J3215">
        <v>6</v>
      </c>
      <c r="K3215">
        <v>2</v>
      </c>
      <c r="L3215" s="2">
        <v>1210.3699999999999</v>
      </c>
      <c r="M3215">
        <v>2030</v>
      </c>
      <c r="N3215">
        <v>10</v>
      </c>
      <c r="O3215" t="s">
        <v>185</v>
      </c>
      <c r="P3215" s="2">
        <v>1806.52</v>
      </c>
      <c r="Q3215" s="2">
        <v>596.15</v>
      </c>
      <c r="R3215" t="s">
        <v>72</v>
      </c>
      <c r="S3215">
        <v>1</v>
      </c>
      <c r="T3215">
        <v>0</v>
      </c>
      <c r="U3215">
        <f>IF(AND(OR(Dashboard!$D$4="Semua",D3215=Dashboard!$D$4),OR(Dashboard!$H$4="Semua",E3215=Dashboard!$H$4)),1,0)</f>
        <v>1</v>
      </c>
      <c r="V3215">
        <f>IF(U3215=1,IF(COUNTIFS($C$2:C3215,C3215,$U$2:U3215,1)=1,1,0),0)</f>
        <v>0</v>
      </c>
    </row>
    <row r="3216" spans="1:22" x14ac:dyDescent="0.35">
      <c r="A3216">
        <v>13215</v>
      </c>
      <c r="B3216" s="1">
        <v>47776</v>
      </c>
      <c r="C3216">
        <v>1803</v>
      </c>
      <c r="D3216" t="s">
        <v>73</v>
      </c>
      <c r="E3216" t="s">
        <v>63</v>
      </c>
      <c r="F3216">
        <v>2</v>
      </c>
      <c r="G3216" s="2">
        <v>559.20000000000005</v>
      </c>
      <c r="H3216">
        <v>0</v>
      </c>
      <c r="I3216" t="s">
        <v>68</v>
      </c>
      <c r="J3216">
        <v>8</v>
      </c>
      <c r="K3216">
        <v>2.8</v>
      </c>
      <c r="L3216" s="2">
        <v>1118.4000000000001</v>
      </c>
      <c r="M3216">
        <v>2030</v>
      </c>
      <c r="N3216">
        <v>10</v>
      </c>
      <c r="O3216" t="s">
        <v>185</v>
      </c>
      <c r="P3216" s="2">
        <v>1118.4000000000001</v>
      </c>
      <c r="Q3216" s="2">
        <v>0</v>
      </c>
      <c r="R3216" t="s">
        <v>75</v>
      </c>
      <c r="S3216">
        <v>1</v>
      </c>
      <c r="T3216">
        <v>0</v>
      </c>
      <c r="U3216">
        <f>IF(AND(OR(Dashboard!$D$4="Semua",D3216=Dashboard!$D$4),OR(Dashboard!$H$4="Semua",E3216=Dashboard!$H$4)),1,0)</f>
        <v>1</v>
      </c>
      <c r="V3216">
        <f>IF(U3216=1,IF(COUNTIFS($C$2:C3216,C3216,$U$2:U3216,1)=1,1,0),0)</f>
        <v>0</v>
      </c>
    </row>
    <row r="3217" spans="1:22" x14ac:dyDescent="0.35">
      <c r="A3217">
        <v>13216</v>
      </c>
      <c r="B3217" s="1">
        <v>47777</v>
      </c>
      <c r="C3217">
        <v>1480</v>
      </c>
      <c r="D3217" t="s">
        <v>73</v>
      </c>
      <c r="E3217" t="s">
        <v>70</v>
      </c>
      <c r="F3217">
        <v>7</v>
      </c>
      <c r="G3217" s="2">
        <v>545.92999999999995</v>
      </c>
      <c r="H3217">
        <v>0.15</v>
      </c>
      <c r="I3217" t="s">
        <v>64</v>
      </c>
      <c r="J3217">
        <v>10</v>
      </c>
      <c r="K3217">
        <v>2.2000000000000002</v>
      </c>
      <c r="L3217" s="2">
        <v>3248.28</v>
      </c>
      <c r="M3217">
        <v>2030</v>
      </c>
      <c r="N3217">
        <v>10</v>
      </c>
      <c r="O3217" t="s">
        <v>185</v>
      </c>
      <c r="P3217" s="2">
        <v>3821.51</v>
      </c>
      <c r="Q3217" s="2">
        <v>573.23</v>
      </c>
      <c r="R3217" t="s">
        <v>79</v>
      </c>
      <c r="S3217">
        <v>1</v>
      </c>
      <c r="T3217">
        <v>0</v>
      </c>
      <c r="U3217">
        <f>IF(AND(OR(Dashboard!$D$4="Semua",D3217=Dashboard!$D$4),OR(Dashboard!$H$4="Semua",E3217=Dashboard!$H$4)),1,0)</f>
        <v>1</v>
      </c>
      <c r="V3217">
        <f>IF(U3217=1,IF(COUNTIFS($C$2:C3217,C3217,$U$2:U3217,1)=1,1,0),0)</f>
        <v>0</v>
      </c>
    </row>
    <row r="3218" spans="1:22" x14ac:dyDescent="0.35">
      <c r="A3218">
        <v>13217</v>
      </c>
      <c r="B3218" s="1">
        <v>47778</v>
      </c>
      <c r="C3218">
        <v>1662</v>
      </c>
      <c r="D3218" t="s">
        <v>62</v>
      </c>
      <c r="E3218" t="s">
        <v>70</v>
      </c>
      <c r="F3218">
        <v>3</v>
      </c>
      <c r="G3218" s="2">
        <v>48.32</v>
      </c>
      <c r="H3218">
        <v>0.23</v>
      </c>
      <c r="I3218" t="s">
        <v>68</v>
      </c>
      <c r="J3218">
        <v>11</v>
      </c>
      <c r="K3218">
        <v>1.9</v>
      </c>
      <c r="L3218" s="2">
        <v>111.62</v>
      </c>
      <c r="M3218">
        <v>2030</v>
      </c>
      <c r="N3218">
        <v>10</v>
      </c>
      <c r="O3218" t="s">
        <v>185</v>
      </c>
      <c r="P3218" s="2">
        <v>144.96</v>
      </c>
      <c r="Q3218" s="2">
        <v>33.340000000000003</v>
      </c>
      <c r="R3218" t="s">
        <v>77</v>
      </c>
      <c r="S3218">
        <v>1</v>
      </c>
      <c r="T3218">
        <v>0</v>
      </c>
      <c r="U3218">
        <f>IF(AND(OR(Dashboard!$D$4="Semua",D3218=Dashboard!$D$4),OR(Dashboard!$H$4="Semua",E3218=Dashboard!$H$4)),1,0)</f>
        <v>1</v>
      </c>
      <c r="V3218">
        <f>IF(U3218=1,IF(COUNTIFS($C$2:C3218,C3218,$U$2:U3218,1)=1,1,0),0)</f>
        <v>0</v>
      </c>
    </row>
    <row r="3219" spans="1:22" x14ac:dyDescent="0.35">
      <c r="A3219">
        <v>13218</v>
      </c>
      <c r="B3219" s="1">
        <v>47779</v>
      </c>
      <c r="C3219">
        <v>1113</v>
      </c>
      <c r="D3219" t="s">
        <v>73</v>
      </c>
      <c r="E3219" t="s">
        <v>74</v>
      </c>
      <c r="F3219">
        <v>3</v>
      </c>
      <c r="G3219" s="2">
        <v>135.34</v>
      </c>
      <c r="H3219">
        <v>0.25</v>
      </c>
      <c r="I3219" t="s">
        <v>68</v>
      </c>
      <c r="J3219">
        <v>3</v>
      </c>
      <c r="K3219">
        <v>2.6</v>
      </c>
      <c r="L3219" s="2">
        <v>304.52</v>
      </c>
      <c r="M3219">
        <v>2030</v>
      </c>
      <c r="N3219">
        <v>10</v>
      </c>
      <c r="O3219" t="s">
        <v>185</v>
      </c>
      <c r="P3219" s="2">
        <v>406.02</v>
      </c>
      <c r="Q3219" s="2">
        <v>101.5</v>
      </c>
      <c r="R3219" t="s">
        <v>77</v>
      </c>
      <c r="S3219">
        <v>1</v>
      </c>
      <c r="T3219">
        <v>0</v>
      </c>
      <c r="U3219">
        <f>IF(AND(OR(Dashboard!$D$4="Semua",D3219=Dashboard!$D$4),OR(Dashboard!$H$4="Semua",E3219=Dashboard!$H$4)),1,0)</f>
        <v>1</v>
      </c>
      <c r="V3219">
        <f>IF(U3219=1,IF(COUNTIFS($C$2:C3219,C3219,$U$2:U3219,1)=1,1,0),0)</f>
        <v>0</v>
      </c>
    </row>
    <row r="3220" spans="1:22" x14ac:dyDescent="0.35">
      <c r="A3220">
        <v>13219</v>
      </c>
      <c r="B3220" s="1">
        <v>47780</v>
      </c>
      <c r="C3220">
        <v>1748</v>
      </c>
      <c r="D3220" t="s">
        <v>80</v>
      </c>
      <c r="E3220" t="s">
        <v>74</v>
      </c>
      <c r="F3220">
        <v>3</v>
      </c>
      <c r="G3220" s="2">
        <v>293.99</v>
      </c>
      <c r="H3220">
        <v>0.06</v>
      </c>
      <c r="I3220" t="s">
        <v>71</v>
      </c>
      <c r="J3220">
        <v>9</v>
      </c>
      <c r="K3220">
        <v>1.1000000000000001</v>
      </c>
      <c r="L3220" s="2">
        <v>829.05</v>
      </c>
      <c r="M3220">
        <v>2030</v>
      </c>
      <c r="N3220">
        <v>10</v>
      </c>
      <c r="O3220" t="s">
        <v>185</v>
      </c>
      <c r="P3220" s="2">
        <v>881.97</v>
      </c>
      <c r="Q3220" s="2">
        <v>52.92</v>
      </c>
      <c r="R3220" t="s">
        <v>69</v>
      </c>
      <c r="S3220">
        <v>1</v>
      </c>
      <c r="T3220">
        <v>0</v>
      </c>
      <c r="U3220">
        <f>IF(AND(OR(Dashboard!$D$4="Semua",D3220=Dashboard!$D$4),OR(Dashboard!$H$4="Semua",E3220=Dashboard!$H$4)),1,0)</f>
        <v>1</v>
      </c>
      <c r="V3220">
        <f>IF(U3220=1,IF(COUNTIFS($C$2:C3220,C3220,$U$2:U3220,1)=1,1,0),0)</f>
        <v>0</v>
      </c>
    </row>
    <row r="3221" spans="1:22" x14ac:dyDescent="0.35">
      <c r="A3221">
        <v>13220</v>
      </c>
      <c r="B3221" s="1">
        <v>47781</v>
      </c>
      <c r="C3221">
        <v>1577</v>
      </c>
      <c r="D3221" t="s">
        <v>62</v>
      </c>
      <c r="E3221" t="s">
        <v>78</v>
      </c>
      <c r="F3221">
        <v>4</v>
      </c>
      <c r="G3221" s="2">
        <v>267.45999999999998</v>
      </c>
      <c r="H3221">
        <v>0.34</v>
      </c>
      <c r="I3221" t="s">
        <v>71</v>
      </c>
      <c r="J3221">
        <v>7</v>
      </c>
      <c r="K3221">
        <v>2.6</v>
      </c>
      <c r="L3221" s="2">
        <v>706.09</v>
      </c>
      <c r="M3221">
        <v>2030</v>
      </c>
      <c r="N3221">
        <v>10</v>
      </c>
      <c r="O3221" t="s">
        <v>185</v>
      </c>
      <c r="P3221" s="2">
        <v>1069.8399999999999</v>
      </c>
      <c r="Q3221" s="2">
        <v>363.75</v>
      </c>
      <c r="R3221" t="s">
        <v>72</v>
      </c>
      <c r="S3221">
        <v>1</v>
      </c>
      <c r="T3221">
        <v>0</v>
      </c>
      <c r="U3221">
        <f>IF(AND(OR(Dashboard!$D$4="Semua",D3221=Dashboard!$D$4),OR(Dashboard!$H$4="Semua",E3221=Dashboard!$H$4)),1,0)</f>
        <v>1</v>
      </c>
      <c r="V3221">
        <f>IF(U3221=1,IF(COUNTIFS($C$2:C3221,C3221,$U$2:U3221,1)=1,1,0),0)</f>
        <v>0</v>
      </c>
    </row>
    <row r="3222" spans="1:22" x14ac:dyDescent="0.35">
      <c r="A3222">
        <v>13221</v>
      </c>
      <c r="B3222" s="1">
        <v>47782</v>
      </c>
      <c r="C3222">
        <v>1360</v>
      </c>
      <c r="D3222" t="s">
        <v>73</v>
      </c>
      <c r="E3222" t="s">
        <v>74</v>
      </c>
      <c r="F3222">
        <v>4</v>
      </c>
      <c r="G3222" s="2">
        <v>389.92</v>
      </c>
      <c r="H3222">
        <v>0.22</v>
      </c>
      <c r="I3222" t="s">
        <v>71</v>
      </c>
      <c r="J3222">
        <v>11</v>
      </c>
      <c r="K3222">
        <v>1.9</v>
      </c>
      <c r="L3222" s="2">
        <v>1216.55</v>
      </c>
      <c r="M3222">
        <v>2030</v>
      </c>
      <c r="N3222">
        <v>10</v>
      </c>
      <c r="O3222" t="s">
        <v>185</v>
      </c>
      <c r="P3222" s="2">
        <v>1559.68</v>
      </c>
      <c r="Q3222" s="2">
        <v>343.13</v>
      </c>
      <c r="R3222" t="s">
        <v>77</v>
      </c>
      <c r="S3222">
        <v>1</v>
      </c>
      <c r="T3222">
        <v>0</v>
      </c>
      <c r="U3222">
        <f>IF(AND(OR(Dashboard!$D$4="Semua",D3222=Dashboard!$D$4),OR(Dashboard!$H$4="Semua",E3222=Dashboard!$H$4)),1,0)</f>
        <v>1</v>
      </c>
      <c r="V3222">
        <f>IF(U3222=1,IF(COUNTIFS($C$2:C3222,C3222,$U$2:U3222,1)=1,1,0),0)</f>
        <v>0</v>
      </c>
    </row>
    <row r="3223" spans="1:22" x14ac:dyDescent="0.35">
      <c r="A3223">
        <v>13222</v>
      </c>
      <c r="B3223" s="1">
        <v>47783</v>
      </c>
      <c r="C3223">
        <v>1340</v>
      </c>
      <c r="D3223" t="s">
        <v>73</v>
      </c>
      <c r="E3223" t="s">
        <v>70</v>
      </c>
      <c r="F3223">
        <v>6</v>
      </c>
      <c r="G3223" s="2">
        <v>567.65</v>
      </c>
      <c r="H3223">
        <v>0.06</v>
      </c>
      <c r="I3223" t="s">
        <v>71</v>
      </c>
      <c r="J3223">
        <v>6</v>
      </c>
      <c r="K3223">
        <v>2.1</v>
      </c>
      <c r="L3223" s="2">
        <v>3201.55</v>
      </c>
      <c r="M3223">
        <v>2030</v>
      </c>
      <c r="N3223">
        <v>10</v>
      </c>
      <c r="O3223" t="s">
        <v>185</v>
      </c>
      <c r="P3223" s="2">
        <v>3405.9</v>
      </c>
      <c r="Q3223" s="2">
        <v>204.35</v>
      </c>
      <c r="R3223" t="s">
        <v>69</v>
      </c>
      <c r="S3223">
        <v>1</v>
      </c>
      <c r="T3223">
        <v>0</v>
      </c>
      <c r="U3223">
        <f>IF(AND(OR(Dashboard!$D$4="Semua",D3223=Dashboard!$D$4),OR(Dashboard!$H$4="Semua",E3223=Dashboard!$H$4)),1,0)</f>
        <v>1</v>
      </c>
      <c r="V3223">
        <f>IF(U3223=1,IF(COUNTIFS($C$2:C3223,C3223,$U$2:U3223,1)=1,1,0),0)</f>
        <v>0</v>
      </c>
    </row>
    <row r="3224" spans="1:22" x14ac:dyDescent="0.35">
      <c r="A3224">
        <v>13223</v>
      </c>
      <c r="B3224" s="1">
        <v>47784</v>
      </c>
      <c r="C3224">
        <v>1769</v>
      </c>
      <c r="D3224" t="s">
        <v>80</v>
      </c>
      <c r="E3224" t="s">
        <v>78</v>
      </c>
      <c r="F3224">
        <v>7</v>
      </c>
      <c r="G3224" s="2">
        <v>80.760000000000005</v>
      </c>
      <c r="H3224">
        <v>0.01</v>
      </c>
      <c r="I3224" t="s">
        <v>68</v>
      </c>
      <c r="J3224">
        <v>11</v>
      </c>
      <c r="K3224">
        <v>1.3</v>
      </c>
      <c r="L3224" s="2">
        <v>559.66999999999996</v>
      </c>
      <c r="M3224">
        <v>2030</v>
      </c>
      <c r="N3224">
        <v>10</v>
      </c>
      <c r="O3224" t="s">
        <v>185</v>
      </c>
      <c r="P3224" s="2">
        <v>565.32000000000005</v>
      </c>
      <c r="Q3224" s="2">
        <v>5.65</v>
      </c>
      <c r="R3224" t="s">
        <v>75</v>
      </c>
      <c r="S3224">
        <v>1</v>
      </c>
      <c r="T3224">
        <v>0</v>
      </c>
      <c r="U3224">
        <f>IF(AND(OR(Dashboard!$D$4="Semua",D3224=Dashboard!$D$4),OR(Dashboard!$H$4="Semua",E3224=Dashboard!$H$4)),1,0)</f>
        <v>1</v>
      </c>
      <c r="V3224">
        <f>IF(U3224=1,IF(COUNTIFS($C$2:C3224,C3224,$U$2:U3224,1)=1,1,0),0)</f>
        <v>0</v>
      </c>
    </row>
    <row r="3225" spans="1:22" x14ac:dyDescent="0.35">
      <c r="A3225">
        <v>13224</v>
      </c>
      <c r="B3225" s="1">
        <v>47785</v>
      </c>
      <c r="C3225">
        <v>1986</v>
      </c>
      <c r="D3225" t="s">
        <v>62</v>
      </c>
      <c r="E3225" t="s">
        <v>78</v>
      </c>
      <c r="F3225">
        <v>5</v>
      </c>
      <c r="G3225" s="2">
        <v>279.33999999999997</v>
      </c>
      <c r="H3225">
        <v>0.27</v>
      </c>
      <c r="I3225" t="s">
        <v>68</v>
      </c>
      <c r="J3225">
        <v>1</v>
      </c>
      <c r="K3225">
        <v>3.4</v>
      </c>
      <c r="L3225" s="2">
        <v>1019.59</v>
      </c>
      <c r="M3225">
        <v>2030</v>
      </c>
      <c r="N3225">
        <v>10</v>
      </c>
      <c r="O3225" t="s">
        <v>185</v>
      </c>
      <c r="P3225" s="2">
        <v>1396.7</v>
      </c>
      <c r="Q3225" s="2">
        <v>377.11</v>
      </c>
      <c r="R3225" t="s">
        <v>66</v>
      </c>
      <c r="S3225">
        <v>1</v>
      </c>
      <c r="T3225">
        <v>0</v>
      </c>
      <c r="U3225">
        <f>IF(AND(OR(Dashboard!$D$4="Semua",D3225=Dashboard!$D$4),OR(Dashboard!$H$4="Semua",E3225=Dashboard!$H$4)),1,0)</f>
        <v>1</v>
      </c>
      <c r="V3225">
        <f>IF(U3225=1,IF(COUNTIFS($C$2:C3225,C3225,$U$2:U3225,1)=1,1,0),0)</f>
        <v>0</v>
      </c>
    </row>
    <row r="3226" spans="1:22" x14ac:dyDescent="0.35">
      <c r="A3226">
        <v>13225</v>
      </c>
      <c r="B3226" s="1">
        <v>47786</v>
      </c>
      <c r="C3226">
        <v>1760</v>
      </c>
      <c r="D3226" t="s">
        <v>62</v>
      </c>
      <c r="E3226" t="s">
        <v>70</v>
      </c>
      <c r="F3226">
        <v>6</v>
      </c>
      <c r="G3226" s="2">
        <v>127.56</v>
      </c>
      <c r="H3226">
        <v>0.03</v>
      </c>
      <c r="I3226" t="s">
        <v>68</v>
      </c>
      <c r="J3226">
        <v>4</v>
      </c>
      <c r="K3226">
        <v>2.9</v>
      </c>
      <c r="L3226" s="2">
        <v>742.4</v>
      </c>
      <c r="M3226">
        <v>2030</v>
      </c>
      <c r="N3226">
        <v>10</v>
      </c>
      <c r="O3226" t="s">
        <v>185</v>
      </c>
      <c r="P3226" s="2">
        <v>765.36</v>
      </c>
      <c r="Q3226" s="2">
        <v>22.96</v>
      </c>
      <c r="R3226" t="s">
        <v>75</v>
      </c>
      <c r="S3226">
        <v>1</v>
      </c>
      <c r="T3226">
        <v>0</v>
      </c>
      <c r="U3226">
        <f>IF(AND(OR(Dashboard!$D$4="Semua",D3226=Dashboard!$D$4),OR(Dashboard!$H$4="Semua",E3226=Dashboard!$H$4)),1,0)</f>
        <v>1</v>
      </c>
      <c r="V3226">
        <f>IF(U3226=1,IF(COUNTIFS($C$2:C3226,C3226,$U$2:U3226,1)=1,1,0),0)</f>
        <v>0</v>
      </c>
    </row>
    <row r="3227" spans="1:22" x14ac:dyDescent="0.35">
      <c r="A3227">
        <v>13226</v>
      </c>
      <c r="B3227" s="1">
        <v>47787</v>
      </c>
      <c r="C3227">
        <v>1968</v>
      </c>
      <c r="D3227" t="s">
        <v>67</v>
      </c>
      <c r="E3227" t="s">
        <v>78</v>
      </c>
      <c r="F3227">
        <v>6</v>
      </c>
      <c r="G3227" s="2">
        <v>538.04999999999995</v>
      </c>
      <c r="H3227">
        <v>0.05</v>
      </c>
      <c r="I3227" t="s">
        <v>71</v>
      </c>
      <c r="J3227">
        <v>5</v>
      </c>
      <c r="K3227">
        <v>4</v>
      </c>
      <c r="L3227" s="2">
        <v>3066.88</v>
      </c>
      <c r="M3227">
        <v>2030</v>
      </c>
      <c r="N3227">
        <v>10</v>
      </c>
      <c r="O3227" t="s">
        <v>185</v>
      </c>
      <c r="P3227" s="2">
        <v>3228.3</v>
      </c>
      <c r="Q3227" s="2">
        <v>161.41999999999999</v>
      </c>
      <c r="R3227" t="s">
        <v>75</v>
      </c>
      <c r="S3227">
        <v>1</v>
      </c>
      <c r="T3227">
        <v>0</v>
      </c>
      <c r="U3227">
        <f>IF(AND(OR(Dashboard!$D$4="Semua",D3227=Dashboard!$D$4),OR(Dashboard!$H$4="Semua",E3227=Dashboard!$H$4)),1,0)</f>
        <v>1</v>
      </c>
      <c r="V3227">
        <f>IF(U3227=1,IF(COUNTIFS($C$2:C3227,C3227,$U$2:U3227,1)=1,1,0),0)</f>
        <v>0</v>
      </c>
    </row>
    <row r="3228" spans="1:22" x14ac:dyDescent="0.35">
      <c r="A3228">
        <v>13227</v>
      </c>
      <c r="B3228" s="1">
        <v>47788</v>
      </c>
      <c r="C3228">
        <v>1448</v>
      </c>
      <c r="D3228" t="s">
        <v>80</v>
      </c>
      <c r="E3228" t="s">
        <v>63</v>
      </c>
      <c r="F3228">
        <v>4</v>
      </c>
      <c r="G3228" s="2">
        <v>579.28</v>
      </c>
      <c r="H3228">
        <v>0.2</v>
      </c>
      <c r="I3228" t="s">
        <v>64</v>
      </c>
      <c r="J3228">
        <v>2</v>
      </c>
      <c r="K3228">
        <v>4.9000000000000004</v>
      </c>
      <c r="L3228" s="2">
        <v>1853.7</v>
      </c>
      <c r="M3228">
        <v>2030</v>
      </c>
      <c r="N3228">
        <v>11</v>
      </c>
      <c r="O3228" t="s">
        <v>186</v>
      </c>
      <c r="P3228" s="2">
        <v>2317.12</v>
      </c>
      <c r="Q3228" s="2">
        <v>463.42</v>
      </c>
      <c r="R3228" t="s">
        <v>76</v>
      </c>
      <c r="S3228">
        <v>1</v>
      </c>
      <c r="T3228">
        <v>0</v>
      </c>
      <c r="U3228">
        <f>IF(AND(OR(Dashboard!$D$4="Semua",D3228=Dashboard!$D$4),OR(Dashboard!$H$4="Semua",E3228=Dashboard!$H$4)),1,0)</f>
        <v>1</v>
      </c>
      <c r="V3228">
        <f>IF(U3228=1,IF(COUNTIFS($C$2:C3228,C3228,$U$2:U3228,1)=1,1,0),0)</f>
        <v>0</v>
      </c>
    </row>
    <row r="3229" spans="1:22" x14ac:dyDescent="0.35">
      <c r="A3229">
        <v>13228</v>
      </c>
      <c r="B3229" s="1">
        <v>47789</v>
      </c>
      <c r="C3229">
        <v>1842</v>
      </c>
      <c r="D3229" t="s">
        <v>73</v>
      </c>
      <c r="E3229" t="s">
        <v>63</v>
      </c>
      <c r="F3229">
        <v>5</v>
      </c>
      <c r="G3229" s="2">
        <v>295.04000000000002</v>
      </c>
      <c r="H3229">
        <v>0.21</v>
      </c>
      <c r="I3229" t="s">
        <v>68</v>
      </c>
      <c r="J3229">
        <v>1</v>
      </c>
      <c r="K3229">
        <v>1.5</v>
      </c>
      <c r="L3229" s="2">
        <v>1165.4100000000001</v>
      </c>
      <c r="M3229">
        <v>2030</v>
      </c>
      <c r="N3229">
        <v>11</v>
      </c>
      <c r="O3229" t="s">
        <v>186</v>
      </c>
      <c r="P3229" s="2">
        <v>1475.2</v>
      </c>
      <c r="Q3229" s="2">
        <v>309.79000000000002</v>
      </c>
      <c r="R3229" t="s">
        <v>77</v>
      </c>
      <c r="S3229">
        <v>1</v>
      </c>
      <c r="T3229">
        <v>0</v>
      </c>
      <c r="U3229">
        <f>IF(AND(OR(Dashboard!$D$4="Semua",D3229=Dashboard!$D$4),OR(Dashboard!$H$4="Semua",E3229=Dashboard!$H$4)),1,0)</f>
        <v>1</v>
      </c>
      <c r="V3229">
        <f>IF(U3229=1,IF(COUNTIFS($C$2:C3229,C3229,$U$2:U3229,1)=1,1,0),0)</f>
        <v>0</v>
      </c>
    </row>
    <row r="3230" spans="1:22" x14ac:dyDescent="0.35">
      <c r="A3230">
        <v>13229</v>
      </c>
      <c r="B3230" s="1">
        <v>47790</v>
      </c>
      <c r="C3230">
        <v>1834</v>
      </c>
      <c r="D3230" t="s">
        <v>62</v>
      </c>
      <c r="E3230" t="s">
        <v>78</v>
      </c>
      <c r="F3230">
        <v>5</v>
      </c>
      <c r="G3230" s="2">
        <v>75.849999999999994</v>
      </c>
      <c r="H3230">
        <v>0.24</v>
      </c>
      <c r="I3230" t="s">
        <v>68</v>
      </c>
      <c r="J3230">
        <v>2</v>
      </c>
      <c r="K3230">
        <v>2.1</v>
      </c>
      <c r="L3230" s="2">
        <v>288.23</v>
      </c>
      <c r="M3230">
        <v>2030</v>
      </c>
      <c r="N3230">
        <v>11</v>
      </c>
      <c r="O3230" t="s">
        <v>186</v>
      </c>
      <c r="P3230" s="2">
        <v>379.25</v>
      </c>
      <c r="Q3230" s="2">
        <v>91.02</v>
      </c>
      <c r="R3230" t="s">
        <v>77</v>
      </c>
      <c r="S3230">
        <v>1</v>
      </c>
      <c r="T3230">
        <v>0</v>
      </c>
      <c r="U3230">
        <f>IF(AND(OR(Dashboard!$D$4="Semua",D3230=Dashboard!$D$4),OR(Dashboard!$H$4="Semua",E3230=Dashboard!$H$4)),1,0)</f>
        <v>1</v>
      </c>
      <c r="V3230">
        <f>IF(U3230=1,IF(COUNTIFS($C$2:C3230,C3230,$U$2:U3230,1)=1,1,0),0)</f>
        <v>0</v>
      </c>
    </row>
    <row r="3231" spans="1:22" x14ac:dyDescent="0.35">
      <c r="A3231">
        <v>13230</v>
      </c>
      <c r="B3231" s="1">
        <v>47791</v>
      </c>
      <c r="C3231">
        <v>1179</v>
      </c>
      <c r="D3231" t="s">
        <v>62</v>
      </c>
      <c r="E3231" t="s">
        <v>74</v>
      </c>
      <c r="F3231">
        <v>3</v>
      </c>
      <c r="G3231" s="2">
        <v>474.4</v>
      </c>
      <c r="H3231">
        <v>0.14000000000000001</v>
      </c>
      <c r="I3231" t="s">
        <v>68</v>
      </c>
      <c r="J3231">
        <v>8</v>
      </c>
      <c r="K3231">
        <v>3.7</v>
      </c>
      <c r="L3231" s="2">
        <v>1223.95</v>
      </c>
      <c r="M3231">
        <v>2030</v>
      </c>
      <c r="N3231">
        <v>11</v>
      </c>
      <c r="O3231" t="s">
        <v>186</v>
      </c>
      <c r="P3231" s="2">
        <v>1423.2</v>
      </c>
      <c r="Q3231" s="2">
        <v>199.25</v>
      </c>
      <c r="R3231" t="s">
        <v>79</v>
      </c>
      <c r="S3231">
        <v>1</v>
      </c>
      <c r="T3231">
        <v>0</v>
      </c>
      <c r="U3231">
        <f>IF(AND(OR(Dashboard!$D$4="Semua",D3231=Dashboard!$D$4),OR(Dashboard!$H$4="Semua",E3231=Dashboard!$H$4)),1,0)</f>
        <v>1</v>
      </c>
      <c r="V3231">
        <f>IF(U3231=1,IF(COUNTIFS($C$2:C3231,C3231,$U$2:U3231,1)=1,1,0),0)</f>
        <v>0</v>
      </c>
    </row>
    <row r="3232" spans="1:22" x14ac:dyDescent="0.35">
      <c r="A3232">
        <v>13231</v>
      </c>
      <c r="B3232" s="1">
        <v>47792</v>
      </c>
      <c r="C3232">
        <v>1701</v>
      </c>
      <c r="D3232" t="s">
        <v>73</v>
      </c>
      <c r="E3232" t="s">
        <v>63</v>
      </c>
      <c r="F3232">
        <v>4</v>
      </c>
      <c r="G3232" s="2">
        <v>422.83</v>
      </c>
      <c r="H3232">
        <v>0.27</v>
      </c>
      <c r="I3232" t="s">
        <v>68</v>
      </c>
      <c r="J3232">
        <v>10</v>
      </c>
      <c r="K3232">
        <v>1.9</v>
      </c>
      <c r="L3232" s="2">
        <v>1234.6600000000001</v>
      </c>
      <c r="M3232">
        <v>2030</v>
      </c>
      <c r="N3232">
        <v>11</v>
      </c>
      <c r="O3232" t="s">
        <v>186</v>
      </c>
      <c r="P3232" s="2">
        <v>1691.32</v>
      </c>
      <c r="Q3232" s="2">
        <v>456.66</v>
      </c>
      <c r="R3232" t="s">
        <v>66</v>
      </c>
      <c r="S3232">
        <v>1</v>
      </c>
      <c r="T3232">
        <v>0</v>
      </c>
      <c r="U3232">
        <f>IF(AND(OR(Dashboard!$D$4="Semua",D3232=Dashboard!$D$4),OR(Dashboard!$H$4="Semua",E3232=Dashboard!$H$4)),1,0)</f>
        <v>1</v>
      </c>
      <c r="V3232">
        <f>IF(U3232=1,IF(COUNTIFS($C$2:C3232,C3232,$U$2:U3232,1)=1,1,0),0)</f>
        <v>0</v>
      </c>
    </row>
    <row r="3233" spans="1:22" x14ac:dyDescent="0.35">
      <c r="A3233">
        <v>13232</v>
      </c>
      <c r="B3233" s="1">
        <v>47793</v>
      </c>
      <c r="C3233">
        <v>1406</v>
      </c>
      <c r="D3233" t="s">
        <v>73</v>
      </c>
      <c r="E3233" t="s">
        <v>78</v>
      </c>
      <c r="F3233">
        <v>5</v>
      </c>
      <c r="G3233" s="2">
        <v>222.48</v>
      </c>
      <c r="H3233">
        <v>0.34</v>
      </c>
      <c r="I3233" t="s">
        <v>68</v>
      </c>
      <c r="J3233">
        <v>6</v>
      </c>
      <c r="K3233">
        <v>1.1000000000000001</v>
      </c>
      <c r="L3233" s="2">
        <v>734.18</v>
      </c>
      <c r="M3233">
        <v>2030</v>
      </c>
      <c r="N3233">
        <v>11</v>
      </c>
      <c r="O3233" t="s">
        <v>186</v>
      </c>
      <c r="P3233" s="2">
        <v>1112.4000000000001</v>
      </c>
      <c r="Q3233" s="2">
        <v>378.22</v>
      </c>
      <c r="R3233" t="s">
        <v>72</v>
      </c>
      <c r="S3233">
        <v>1</v>
      </c>
      <c r="T3233">
        <v>0</v>
      </c>
      <c r="U3233">
        <f>IF(AND(OR(Dashboard!$D$4="Semua",D3233=Dashboard!$D$4),OR(Dashboard!$H$4="Semua",E3233=Dashboard!$H$4)),1,0)</f>
        <v>1</v>
      </c>
      <c r="V3233">
        <f>IF(U3233=1,IF(COUNTIFS($C$2:C3233,C3233,$U$2:U3233,1)=1,1,0),0)</f>
        <v>0</v>
      </c>
    </row>
    <row r="3234" spans="1:22" x14ac:dyDescent="0.35">
      <c r="A3234">
        <v>13233</v>
      </c>
      <c r="B3234" s="1">
        <v>47794</v>
      </c>
      <c r="C3234">
        <v>1665</v>
      </c>
      <c r="D3234" t="s">
        <v>73</v>
      </c>
      <c r="E3234" t="s">
        <v>63</v>
      </c>
      <c r="F3234">
        <v>6</v>
      </c>
      <c r="G3234" s="2">
        <v>534.13</v>
      </c>
      <c r="H3234">
        <v>0.09</v>
      </c>
      <c r="I3234" t="s">
        <v>71</v>
      </c>
      <c r="J3234">
        <v>10</v>
      </c>
      <c r="K3234">
        <v>1.4</v>
      </c>
      <c r="L3234" s="2">
        <v>2916.35</v>
      </c>
      <c r="M3234">
        <v>2030</v>
      </c>
      <c r="N3234">
        <v>11</v>
      </c>
      <c r="O3234" t="s">
        <v>186</v>
      </c>
      <c r="P3234" s="2">
        <v>3204.78</v>
      </c>
      <c r="Q3234" s="2">
        <v>288.43</v>
      </c>
      <c r="R3234" t="s">
        <v>69</v>
      </c>
      <c r="S3234">
        <v>1</v>
      </c>
      <c r="T3234">
        <v>0</v>
      </c>
      <c r="U3234">
        <f>IF(AND(OR(Dashboard!$D$4="Semua",D3234=Dashboard!$D$4),OR(Dashboard!$H$4="Semua",E3234=Dashboard!$H$4)),1,0)</f>
        <v>1</v>
      </c>
      <c r="V3234">
        <f>IF(U3234=1,IF(COUNTIFS($C$2:C3234,C3234,$U$2:U3234,1)=1,1,0),0)</f>
        <v>0</v>
      </c>
    </row>
    <row r="3235" spans="1:22" x14ac:dyDescent="0.35">
      <c r="A3235">
        <v>13234</v>
      </c>
      <c r="B3235" s="1">
        <v>47795</v>
      </c>
      <c r="C3235">
        <v>1195</v>
      </c>
      <c r="D3235" t="s">
        <v>73</v>
      </c>
      <c r="E3235" t="s">
        <v>74</v>
      </c>
      <c r="F3235">
        <v>2</v>
      </c>
      <c r="G3235" s="2">
        <v>585.86</v>
      </c>
      <c r="H3235">
        <v>0.25</v>
      </c>
      <c r="I3235" t="s">
        <v>64</v>
      </c>
      <c r="J3235">
        <v>2</v>
      </c>
      <c r="K3235">
        <v>2.7</v>
      </c>
      <c r="L3235" s="2">
        <v>878.79</v>
      </c>
      <c r="M3235">
        <v>2030</v>
      </c>
      <c r="N3235">
        <v>11</v>
      </c>
      <c r="O3235" t="s">
        <v>186</v>
      </c>
      <c r="P3235" s="2">
        <v>1171.72</v>
      </c>
      <c r="Q3235" s="2">
        <v>292.93</v>
      </c>
      <c r="R3235" t="s">
        <v>77</v>
      </c>
      <c r="S3235">
        <v>1</v>
      </c>
      <c r="T3235">
        <v>0</v>
      </c>
      <c r="U3235">
        <f>IF(AND(OR(Dashboard!$D$4="Semua",D3235=Dashboard!$D$4),OR(Dashboard!$H$4="Semua",E3235=Dashboard!$H$4)),1,0)</f>
        <v>1</v>
      </c>
      <c r="V3235">
        <f>IF(U3235=1,IF(COUNTIFS($C$2:C3235,C3235,$U$2:U3235,1)=1,1,0),0)</f>
        <v>0</v>
      </c>
    </row>
    <row r="3236" spans="1:22" x14ac:dyDescent="0.35">
      <c r="A3236">
        <v>13235</v>
      </c>
      <c r="B3236" s="1">
        <v>47796</v>
      </c>
      <c r="C3236">
        <v>1465</v>
      </c>
      <c r="D3236" t="s">
        <v>80</v>
      </c>
      <c r="E3236" t="s">
        <v>70</v>
      </c>
      <c r="F3236">
        <v>2</v>
      </c>
      <c r="G3236" s="2">
        <v>341.34</v>
      </c>
      <c r="H3236">
        <v>0.32</v>
      </c>
      <c r="I3236" t="s">
        <v>68</v>
      </c>
      <c r="J3236">
        <v>9</v>
      </c>
      <c r="K3236">
        <v>2.7</v>
      </c>
      <c r="L3236" s="2">
        <v>464.22</v>
      </c>
      <c r="M3236">
        <v>2030</v>
      </c>
      <c r="N3236">
        <v>11</v>
      </c>
      <c r="O3236" t="s">
        <v>186</v>
      </c>
      <c r="P3236" s="2">
        <v>682.68</v>
      </c>
      <c r="Q3236" s="2">
        <v>218.46</v>
      </c>
      <c r="R3236" t="s">
        <v>72</v>
      </c>
      <c r="S3236">
        <v>1</v>
      </c>
      <c r="T3236">
        <v>0</v>
      </c>
      <c r="U3236">
        <f>IF(AND(OR(Dashboard!$D$4="Semua",D3236=Dashboard!$D$4),OR(Dashboard!$H$4="Semua",E3236=Dashboard!$H$4)),1,0)</f>
        <v>1</v>
      </c>
      <c r="V3236">
        <f>IF(U3236=1,IF(COUNTIFS($C$2:C3236,C3236,$U$2:U3236,1)=1,1,0),0)</f>
        <v>0</v>
      </c>
    </row>
    <row r="3237" spans="1:22" x14ac:dyDescent="0.35">
      <c r="A3237">
        <v>13236</v>
      </c>
      <c r="B3237" s="1">
        <v>47797</v>
      </c>
      <c r="C3237">
        <v>1310</v>
      </c>
      <c r="D3237" t="s">
        <v>67</v>
      </c>
      <c r="E3237" t="s">
        <v>78</v>
      </c>
      <c r="F3237">
        <v>4</v>
      </c>
      <c r="G3237" s="2">
        <v>345.95</v>
      </c>
      <c r="H3237">
        <v>0.24</v>
      </c>
      <c r="I3237" t="s">
        <v>68</v>
      </c>
      <c r="J3237">
        <v>8</v>
      </c>
      <c r="K3237">
        <v>4.9000000000000004</v>
      </c>
      <c r="L3237" s="2">
        <v>1051.69</v>
      </c>
      <c r="M3237">
        <v>2030</v>
      </c>
      <c r="N3237">
        <v>11</v>
      </c>
      <c r="O3237" t="s">
        <v>186</v>
      </c>
      <c r="P3237" s="2">
        <v>1383.8</v>
      </c>
      <c r="Q3237" s="2">
        <v>332.11</v>
      </c>
      <c r="R3237" t="s">
        <v>77</v>
      </c>
      <c r="S3237">
        <v>1</v>
      </c>
      <c r="T3237">
        <v>0</v>
      </c>
      <c r="U3237">
        <f>IF(AND(OR(Dashboard!$D$4="Semua",D3237=Dashboard!$D$4),OR(Dashboard!$H$4="Semua",E3237=Dashboard!$H$4)),1,0)</f>
        <v>1</v>
      </c>
      <c r="V3237">
        <f>IF(U3237=1,IF(COUNTIFS($C$2:C3237,C3237,$U$2:U3237,1)=1,1,0),0)</f>
        <v>0</v>
      </c>
    </row>
    <row r="3238" spans="1:22" x14ac:dyDescent="0.35">
      <c r="A3238">
        <v>13237</v>
      </c>
      <c r="B3238" s="1">
        <v>47798</v>
      </c>
      <c r="C3238">
        <v>1261</v>
      </c>
      <c r="D3238" t="s">
        <v>73</v>
      </c>
      <c r="E3238" t="s">
        <v>78</v>
      </c>
      <c r="F3238">
        <v>3</v>
      </c>
      <c r="G3238" s="2">
        <v>189.05</v>
      </c>
      <c r="H3238">
        <v>0.24</v>
      </c>
      <c r="I3238" t="s">
        <v>68</v>
      </c>
      <c r="J3238">
        <v>4</v>
      </c>
      <c r="K3238">
        <v>2.9</v>
      </c>
      <c r="L3238" s="2">
        <v>431.03</v>
      </c>
      <c r="M3238">
        <v>2030</v>
      </c>
      <c r="N3238">
        <v>11</v>
      </c>
      <c r="O3238" t="s">
        <v>186</v>
      </c>
      <c r="P3238" s="2">
        <v>567.15</v>
      </c>
      <c r="Q3238" s="2">
        <v>136.12</v>
      </c>
      <c r="R3238" t="s">
        <v>77</v>
      </c>
      <c r="S3238">
        <v>1</v>
      </c>
      <c r="T3238">
        <v>0</v>
      </c>
      <c r="U3238">
        <f>IF(AND(OR(Dashboard!$D$4="Semua",D3238=Dashboard!$D$4),OR(Dashboard!$H$4="Semua",E3238=Dashboard!$H$4)),1,0)</f>
        <v>1</v>
      </c>
      <c r="V3238">
        <f>IF(U3238=1,IF(COUNTIFS($C$2:C3238,C3238,$U$2:U3238,1)=1,1,0),0)</f>
        <v>0</v>
      </c>
    </row>
    <row r="3239" spans="1:22" x14ac:dyDescent="0.35">
      <c r="A3239">
        <v>13238</v>
      </c>
      <c r="B3239" s="1">
        <v>47799</v>
      </c>
      <c r="C3239">
        <v>1418</v>
      </c>
      <c r="D3239" t="s">
        <v>73</v>
      </c>
      <c r="E3239" t="s">
        <v>78</v>
      </c>
      <c r="F3239">
        <v>3</v>
      </c>
      <c r="G3239" s="2">
        <v>356.94</v>
      </c>
      <c r="H3239">
        <v>0.08</v>
      </c>
      <c r="I3239" t="s">
        <v>68</v>
      </c>
      <c r="J3239">
        <v>11</v>
      </c>
      <c r="K3239">
        <v>3.7</v>
      </c>
      <c r="L3239" s="2">
        <v>985.15</v>
      </c>
      <c r="M3239">
        <v>2030</v>
      </c>
      <c r="N3239">
        <v>11</v>
      </c>
      <c r="O3239" t="s">
        <v>186</v>
      </c>
      <c r="P3239" s="2">
        <v>1070.82</v>
      </c>
      <c r="Q3239" s="2">
        <v>85.67</v>
      </c>
      <c r="R3239" t="s">
        <v>69</v>
      </c>
      <c r="S3239">
        <v>1</v>
      </c>
      <c r="T3239">
        <v>0</v>
      </c>
      <c r="U3239">
        <f>IF(AND(OR(Dashboard!$D$4="Semua",D3239=Dashboard!$D$4),OR(Dashboard!$H$4="Semua",E3239=Dashboard!$H$4)),1,0)</f>
        <v>1</v>
      </c>
      <c r="V3239">
        <f>IF(U3239=1,IF(COUNTIFS($C$2:C3239,C3239,$U$2:U3239,1)=1,1,0),0)</f>
        <v>0</v>
      </c>
    </row>
    <row r="3240" spans="1:22" x14ac:dyDescent="0.35">
      <c r="A3240">
        <v>13239</v>
      </c>
      <c r="B3240" s="1">
        <v>47800</v>
      </c>
      <c r="C3240">
        <v>1405</v>
      </c>
      <c r="D3240" t="s">
        <v>62</v>
      </c>
      <c r="E3240" t="s">
        <v>78</v>
      </c>
      <c r="F3240">
        <v>5</v>
      </c>
      <c r="G3240" s="2">
        <v>272.19</v>
      </c>
      <c r="H3240">
        <v>0.19</v>
      </c>
      <c r="I3240" t="s">
        <v>68</v>
      </c>
      <c r="J3240">
        <v>10</v>
      </c>
      <c r="K3240">
        <v>3</v>
      </c>
      <c r="L3240" s="2">
        <v>1102.3699999999999</v>
      </c>
      <c r="M3240">
        <v>2030</v>
      </c>
      <c r="N3240">
        <v>11</v>
      </c>
      <c r="O3240" t="s">
        <v>186</v>
      </c>
      <c r="P3240" s="2">
        <v>1360.95</v>
      </c>
      <c r="Q3240" s="2">
        <v>258.58</v>
      </c>
      <c r="R3240" t="s">
        <v>76</v>
      </c>
      <c r="S3240">
        <v>1</v>
      </c>
      <c r="T3240">
        <v>0</v>
      </c>
      <c r="U3240">
        <f>IF(AND(OR(Dashboard!$D$4="Semua",D3240=Dashboard!$D$4),OR(Dashboard!$H$4="Semua",E3240=Dashboard!$H$4)),1,0)</f>
        <v>1</v>
      </c>
      <c r="V3240">
        <f>IF(U3240=1,IF(COUNTIFS($C$2:C3240,C3240,$U$2:U3240,1)=1,1,0),0)</f>
        <v>0</v>
      </c>
    </row>
    <row r="3241" spans="1:22" x14ac:dyDescent="0.35">
      <c r="A3241">
        <v>13240</v>
      </c>
      <c r="B3241" s="1">
        <v>47801</v>
      </c>
      <c r="C3241">
        <v>1938</v>
      </c>
      <c r="D3241" t="s">
        <v>67</v>
      </c>
      <c r="E3241" t="s">
        <v>78</v>
      </c>
      <c r="F3241">
        <v>7</v>
      </c>
      <c r="G3241" s="2">
        <v>191.78</v>
      </c>
      <c r="H3241">
        <v>0.2</v>
      </c>
      <c r="I3241" t="s">
        <v>71</v>
      </c>
      <c r="J3241">
        <v>7</v>
      </c>
      <c r="K3241">
        <v>2.1</v>
      </c>
      <c r="L3241" s="2">
        <v>1073.97</v>
      </c>
      <c r="M3241">
        <v>2030</v>
      </c>
      <c r="N3241">
        <v>11</v>
      </c>
      <c r="O3241" t="s">
        <v>186</v>
      </c>
      <c r="P3241" s="2">
        <v>1342.46</v>
      </c>
      <c r="Q3241" s="2">
        <v>268.49</v>
      </c>
      <c r="R3241" t="s">
        <v>76</v>
      </c>
      <c r="S3241">
        <v>1</v>
      </c>
      <c r="T3241">
        <v>0</v>
      </c>
      <c r="U3241">
        <f>IF(AND(OR(Dashboard!$D$4="Semua",D3241=Dashboard!$D$4),OR(Dashboard!$H$4="Semua",E3241=Dashboard!$H$4)),1,0)</f>
        <v>1</v>
      </c>
      <c r="V3241">
        <f>IF(U3241=1,IF(COUNTIFS($C$2:C3241,C3241,$U$2:U3241,1)=1,1,0),0)</f>
        <v>0</v>
      </c>
    </row>
    <row r="3242" spans="1:22" x14ac:dyDescent="0.35">
      <c r="A3242">
        <v>13241</v>
      </c>
      <c r="B3242" s="1">
        <v>47802</v>
      </c>
      <c r="C3242">
        <v>1142</v>
      </c>
      <c r="D3242" t="s">
        <v>67</v>
      </c>
      <c r="E3242" t="s">
        <v>78</v>
      </c>
      <c r="F3242">
        <v>4</v>
      </c>
      <c r="G3242" s="2">
        <v>54.3</v>
      </c>
      <c r="H3242">
        <v>0.25</v>
      </c>
      <c r="I3242" t="s">
        <v>68</v>
      </c>
      <c r="J3242">
        <v>3</v>
      </c>
      <c r="K3242">
        <v>1.4</v>
      </c>
      <c r="L3242" s="2">
        <v>162.9</v>
      </c>
      <c r="M3242">
        <v>2030</v>
      </c>
      <c r="N3242">
        <v>11</v>
      </c>
      <c r="O3242" t="s">
        <v>186</v>
      </c>
      <c r="P3242" s="2">
        <v>217.2</v>
      </c>
      <c r="Q3242" s="2">
        <v>54.3</v>
      </c>
      <c r="R3242" t="s">
        <v>77</v>
      </c>
      <c r="S3242">
        <v>1</v>
      </c>
      <c r="T3242">
        <v>0</v>
      </c>
      <c r="U3242">
        <f>IF(AND(OR(Dashboard!$D$4="Semua",D3242=Dashboard!$D$4),OR(Dashboard!$H$4="Semua",E3242=Dashboard!$H$4)),1,0)</f>
        <v>1</v>
      </c>
      <c r="V3242">
        <f>IF(U3242=1,IF(COUNTIFS($C$2:C3242,C3242,$U$2:U3242,1)=1,1,0),0)</f>
        <v>0</v>
      </c>
    </row>
    <row r="3243" spans="1:22" x14ac:dyDescent="0.35">
      <c r="A3243">
        <v>13242</v>
      </c>
      <c r="B3243" s="1">
        <v>47803</v>
      </c>
      <c r="C3243">
        <v>1341</v>
      </c>
      <c r="D3243" t="s">
        <v>73</v>
      </c>
      <c r="E3243" t="s">
        <v>74</v>
      </c>
      <c r="F3243">
        <v>7</v>
      </c>
      <c r="G3243" s="2">
        <v>162.83000000000001</v>
      </c>
      <c r="H3243">
        <v>0.35</v>
      </c>
      <c r="I3243" t="s">
        <v>64</v>
      </c>
      <c r="J3243">
        <v>6</v>
      </c>
      <c r="K3243">
        <v>4.4000000000000004</v>
      </c>
      <c r="L3243" s="2">
        <v>740.88</v>
      </c>
      <c r="M3243">
        <v>2030</v>
      </c>
      <c r="N3243">
        <v>11</v>
      </c>
      <c r="O3243" t="s">
        <v>186</v>
      </c>
      <c r="P3243" s="2">
        <v>1139.81</v>
      </c>
      <c r="Q3243" s="2">
        <v>398.93</v>
      </c>
      <c r="R3243" t="s">
        <v>72</v>
      </c>
      <c r="S3243">
        <v>1</v>
      </c>
      <c r="T3243">
        <v>0</v>
      </c>
      <c r="U3243">
        <f>IF(AND(OR(Dashboard!$D$4="Semua",D3243=Dashboard!$D$4),OR(Dashboard!$H$4="Semua",E3243=Dashboard!$H$4)),1,0)</f>
        <v>1</v>
      </c>
      <c r="V3243">
        <f>IF(U3243=1,IF(COUNTIFS($C$2:C3243,C3243,$U$2:U3243,1)=1,1,0),0)</f>
        <v>0</v>
      </c>
    </row>
    <row r="3244" spans="1:22" x14ac:dyDescent="0.35">
      <c r="A3244">
        <v>13243</v>
      </c>
      <c r="B3244" s="1">
        <v>47804</v>
      </c>
      <c r="C3244">
        <v>1315</v>
      </c>
      <c r="D3244" t="s">
        <v>62</v>
      </c>
      <c r="E3244" t="s">
        <v>70</v>
      </c>
      <c r="F3244">
        <v>2</v>
      </c>
      <c r="G3244" s="2">
        <v>130.74</v>
      </c>
      <c r="H3244">
        <v>0.01</v>
      </c>
      <c r="I3244" t="s">
        <v>71</v>
      </c>
      <c r="J3244">
        <v>3</v>
      </c>
      <c r="K3244">
        <v>1.6</v>
      </c>
      <c r="L3244" s="2">
        <v>258.87</v>
      </c>
      <c r="M3244">
        <v>2030</v>
      </c>
      <c r="N3244">
        <v>11</v>
      </c>
      <c r="O3244" t="s">
        <v>186</v>
      </c>
      <c r="P3244" s="2">
        <v>261.48</v>
      </c>
      <c r="Q3244" s="2">
        <v>2.61</v>
      </c>
      <c r="R3244" t="s">
        <v>75</v>
      </c>
      <c r="S3244">
        <v>1</v>
      </c>
      <c r="T3244">
        <v>0</v>
      </c>
      <c r="U3244">
        <f>IF(AND(OR(Dashboard!$D$4="Semua",D3244=Dashboard!$D$4),OR(Dashboard!$H$4="Semua",E3244=Dashboard!$H$4)),1,0)</f>
        <v>1</v>
      </c>
      <c r="V3244">
        <f>IF(U3244=1,IF(COUNTIFS($C$2:C3244,C3244,$U$2:U3244,1)=1,1,0),0)</f>
        <v>0</v>
      </c>
    </row>
    <row r="3245" spans="1:22" x14ac:dyDescent="0.35">
      <c r="A3245">
        <v>13244</v>
      </c>
      <c r="B3245" s="1">
        <v>47805</v>
      </c>
      <c r="C3245">
        <v>1100</v>
      </c>
      <c r="D3245" t="s">
        <v>80</v>
      </c>
      <c r="E3245" t="s">
        <v>74</v>
      </c>
      <c r="F3245">
        <v>6</v>
      </c>
      <c r="G3245" s="2">
        <v>332.09</v>
      </c>
      <c r="H3245">
        <v>0.02</v>
      </c>
      <c r="I3245" t="s">
        <v>71</v>
      </c>
      <c r="J3245">
        <v>10</v>
      </c>
      <c r="K3245">
        <v>1.4</v>
      </c>
      <c r="L3245" s="2">
        <v>1952.69</v>
      </c>
      <c r="M3245">
        <v>2030</v>
      </c>
      <c r="N3245">
        <v>11</v>
      </c>
      <c r="O3245" t="s">
        <v>186</v>
      </c>
      <c r="P3245" s="2">
        <v>1992.54</v>
      </c>
      <c r="Q3245" s="2">
        <v>39.85</v>
      </c>
      <c r="R3245" t="s">
        <v>75</v>
      </c>
      <c r="S3245">
        <v>1</v>
      </c>
      <c r="T3245">
        <v>0</v>
      </c>
      <c r="U3245">
        <f>IF(AND(OR(Dashboard!$D$4="Semua",D3245=Dashboard!$D$4),OR(Dashboard!$H$4="Semua",E3245=Dashboard!$H$4)),1,0)</f>
        <v>1</v>
      </c>
      <c r="V3245">
        <f>IF(U3245=1,IF(COUNTIFS($C$2:C3245,C3245,$U$2:U3245,1)=1,1,0),0)</f>
        <v>1</v>
      </c>
    </row>
    <row r="3246" spans="1:22" x14ac:dyDescent="0.35">
      <c r="A3246">
        <v>13245</v>
      </c>
      <c r="B3246" s="1">
        <v>47806</v>
      </c>
      <c r="C3246">
        <v>1243</v>
      </c>
      <c r="D3246" t="s">
        <v>73</v>
      </c>
      <c r="E3246" t="s">
        <v>74</v>
      </c>
      <c r="F3246">
        <v>5</v>
      </c>
      <c r="G3246" s="2">
        <v>366.98</v>
      </c>
      <c r="H3246">
        <v>0.03</v>
      </c>
      <c r="I3246" t="s">
        <v>68</v>
      </c>
      <c r="J3246">
        <v>3</v>
      </c>
      <c r="K3246">
        <v>1.9</v>
      </c>
      <c r="L3246" s="2">
        <v>1779.85</v>
      </c>
      <c r="M3246">
        <v>2030</v>
      </c>
      <c r="N3246">
        <v>11</v>
      </c>
      <c r="O3246" t="s">
        <v>186</v>
      </c>
      <c r="P3246" s="2">
        <v>1834.9</v>
      </c>
      <c r="Q3246" s="2">
        <v>55.05</v>
      </c>
      <c r="R3246" t="s">
        <v>75</v>
      </c>
      <c r="S3246">
        <v>1</v>
      </c>
      <c r="T3246">
        <v>0</v>
      </c>
      <c r="U3246">
        <f>IF(AND(OR(Dashboard!$D$4="Semua",D3246=Dashboard!$D$4),OR(Dashboard!$H$4="Semua",E3246=Dashboard!$H$4)),1,0)</f>
        <v>1</v>
      </c>
      <c r="V3246">
        <f>IF(U3246=1,IF(COUNTIFS($C$2:C3246,C3246,$U$2:U3246,1)=1,1,0),0)</f>
        <v>0</v>
      </c>
    </row>
    <row r="3247" spans="1:22" x14ac:dyDescent="0.35">
      <c r="A3247">
        <v>13246</v>
      </c>
      <c r="B3247" s="1">
        <v>47807</v>
      </c>
      <c r="C3247">
        <v>1489</v>
      </c>
      <c r="D3247" t="s">
        <v>73</v>
      </c>
      <c r="E3247" t="s">
        <v>70</v>
      </c>
      <c r="F3247">
        <v>6</v>
      </c>
      <c r="G3247" s="2">
        <v>371.01</v>
      </c>
      <c r="H3247">
        <v>0.26</v>
      </c>
      <c r="I3247" t="s">
        <v>71</v>
      </c>
      <c r="J3247">
        <v>11</v>
      </c>
      <c r="K3247">
        <v>1</v>
      </c>
      <c r="L3247" s="2">
        <v>1647.28</v>
      </c>
      <c r="M3247">
        <v>2030</v>
      </c>
      <c r="N3247">
        <v>11</v>
      </c>
      <c r="O3247" t="s">
        <v>186</v>
      </c>
      <c r="P3247" s="2">
        <v>2226.06</v>
      </c>
      <c r="Q3247" s="2">
        <v>578.78</v>
      </c>
      <c r="R3247" t="s">
        <v>66</v>
      </c>
      <c r="S3247">
        <v>1</v>
      </c>
      <c r="T3247">
        <v>0</v>
      </c>
      <c r="U3247">
        <f>IF(AND(OR(Dashboard!$D$4="Semua",D3247=Dashboard!$D$4),OR(Dashboard!$H$4="Semua",E3247=Dashboard!$H$4)),1,0)</f>
        <v>1</v>
      </c>
      <c r="V3247">
        <f>IF(U3247=1,IF(COUNTIFS($C$2:C3247,C3247,$U$2:U3247,1)=1,1,0),0)</f>
        <v>0</v>
      </c>
    </row>
    <row r="3248" spans="1:22" x14ac:dyDescent="0.35">
      <c r="A3248">
        <v>13247</v>
      </c>
      <c r="B3248" s="1">
        <v>47808</v>
      </c>
      <c r="C3248">
        <v>1011</v>
      </c>
      <c r="D3248" t="s">
        <v>73</v>
      </c>
      <c r="E3248" t="s">
        <v>74</v>
      </c>
      <c r="F3248">
        <v>7</v>
      </c>
      <c r="G3248" s="2">
        <v>242.09</v>
      </c>
      <c r="H3248">
        <v>0.05</v>
      </c>
      <c r="I3248" t="s">
        <v>71</v>
      </c>
      <c r="J3248">
        <v>9</v>
      </c>
      <c r="K3248">
        <v>1.3</v>
      </c>
      <c r="L3248" s="2">
        <v>1609.9</v>
      </c>
      <c r="M3248">
        <v>2030</v>
      </c>
      <c r="N3248">
        <v>11</v>
      </c>
      <c r="O3248" t="s">
        <v>186</v>
      </c>
      <c r="P3248" s="2">
        <v>1694.63</v>
      </c>
      <c r="Q3248" s="2">
        <v>84.73</v>
      </c>
      <c r="R3248" t="s">
        <v>75</v>
      </c>
      <c r="S3248">
        <v>1</v>
      </c>
      <c r="T3248">
        <v>0</v>
      </c>
      <c r="U3248">
        <f>IF(AND(OR(Dashboard!$D$4="Semua",D3248=Dashboard!$D$4),OR(Dashboard!$H$4="Semua",E3248=Dashboard!$H$4)),1,0)</f>
        <v>1</v>
      </c>
      <c r="V3248">
        <f>IF(U3248=1,IF(COUNTIFS($C$2:C3248,C3248,$U$2:U3248,1)=1,1,0),0)</f>
        <v>0</v>
      </c>
    </row>
    <row r="3249" spans="1:22" x14ac:dyDescent="0.35">
      <c r="A3249">
        <v>13248</v>
      </c>
      <c r="B3249" s="1">
        <v>47809</v>
      </c>
      <c r="C3249">
        <v>1238</v>
      </c>
      <c r="D3249" t="s">
        <v>73</v>
      </c>
      <c r="E3249" t="s">
        <v>63</v>
      </c>
      <c r="F3249">
        <v>5</v>
      </c>
      <c r="G3249" s="2">
        <v>261.42</v>
      </c>
      <c r="H3249">
        <v>0.22</v>
      </c>
      <c r="I3249" t="s">
        <v>68</v>
      </c>
      <c r="J3249">
        <v>6</v>
      </c>
      <c r="K3249">
        <v>3.5</v>
      </c>
      <c r="L3249" s="2">
        <v>1019.54</v>
      </c>
      <c r="M3249">
        <v>2030</v>
      </c>
      <c r="N3249">
        <v>11</v>
      </c>
      <c r="O3249" t="s">
        <v>186</v>
      </c>
      <c r="P3249" s="2">
        <v>1307.0999999999999</v>
      </c>
      <c r="Q3249" s="2">
        <v>287.56</v>
      </c>
      <c r="R3249" t="s">
        <v>77</v>
      </c>
      <c r="S3249">
        <v>1</v>
      </c>
      <c r="T3249">
        <v>0</v>
      </c>
      <c r="U3249">
        <f>IF(AND(OR(Dashboard!$D$4="Semua",D3249=Dashboard!$D$4),OR(Dashboard!$H$4="Semua",E3249=Dashboard!$H$4)),1,0)</f>
        <v>1</v>
      </c>
      <c r="V3249">
        <f>IF(U3249=1,IF(COUNTIFS($C$2:C3249,C3249,$U$2:U3249,1)=1,1,0),0)</f>
        <v>0</v>
      </c>
    </row>
    <row r="3250" spans="1:22" x14ac:dyDescent="0.35">
      <c r="A3250">
        <v>13249</v>
      </c>
      <c r="B3250" s="1">
        <v>47810</v>
      </c>
      <c r="C3250">
        <v>1560</v>
      </c>
      <c r="D3250" t="s">
        <v>67</v>
      </c>
      <c r="E3250" t="s">
        <v>74</v>
      </c>
      <c r="F3250">
        <v>1</v>
      </c>
      <c r="G3250" s="2">
        <v>503.03</v>
      </c>
      <c r="H3250">
        <v>0.11</v>
      </c>
      <c r="I3250" t="s">
        <v>68</v>
      </c>
      <c r="J3250">
        <v>8</v>
      </c>
      <c r="K3250">
        <v>2</v>
      </c>
      <c r="L3250" s="2">
        <v>447.7</v>
      </c>
      <c r="M3250">
        <v>2030</v>
      </c>
      <c r="N3250">
        <v>11</v>
      </c>
      <c r="O3250" t="s">
        <v>186</v>
      </c>
      <c r="P3250" s="2">
        <v>503.03</v>
      </c>
      <c r="Q3250" s="2">
        <v>55.33</v>
      </c>
      <c r="R3250" t="s">
        <v>79</v>
      </c>
      <c r="S3250">
        <v>1</v>
      </c>
      <c r="T3250">
        <v>0</v>
      </c>
      <c r="U3250">
        <f>IF(AND(OR(Dashboard!$D$4="Semua",D3250=Dashboard!$D$4),OR(Dashboard!$H$4="Semua",E3250=Dashboard!$H$4)),1,0)</f>
        <v>1</v>
      </c>
      <c r="V3250">
        <f>IF(U3250=1,IF(COUNTIFS($C$2:C3250,C3250,$U$2:U3250,1)=1,1,0),0)</f>
        <v>0</v>
      </c>
    </row>
    <row r="3251" spans="1:22" x14ac:dyDescent="0.35">
      <c r="A3251">
        <v>13250</v>
      </c>
      <c r="B3251" s="1">
        <v>47811</v>
      </c>
      <c r="C3251">
        <v>1041</v>
      </c>
      <c r="D3251" t="s">
        <v>62</v>
      </c>
      <c r="E3251" t="s">
        <v>78</v>
      </c>
      <c r="F3251">
        <v>6</v>
      </c>
      <c r="G3251" s="2">
        <v>293.60000000000002</v>
      </c>
      <c r="H3251">
        <v>0.16</v>
      </c>
      <c r="I3251" t="s">
        <v>64</v>
      </c>
      <c r="J3251">
        <v>4</v>
      </c>
      <c r="K3251">
        <v>2.4</v>
      </c>
      <c r="L3251" s="2">
        <v>1479.74</v>
      </c>
      <c r="M3251">
        <v>2030</v>
      </c>
      <c r="N3251">
        <v>11</v>
      </c>
      <c r="O3251" t="s">
        <v>186</v>
      </c>
      <c r="P3251" s="2">
        <v>1761.6</v>
      </c>
      <c r="Q3251" s="2">
        <v>281.86</v>
      </c>
      <c r="R3251" t="s">
        <v>76</v>
      </c>
      <c r="S3251">
        <v>1</v>
      </c>
      <c r="T3251">
        <v>0</v>
      </c>
      <c r="U3251">
        <f>IF(AND(OR(Dashboard!$D$4="Semua",D3251=Dashboard!$D$4),OR(Dashboard!$H$4="Semua",E3251=Dashboard!$H$4)),1,0)</f>
        <v>1</v>
      </c>
      <c r="V3251">
        <f>IF(U3251=1,IF(COUNTIFS($C$2:C3251,C3251,$U$2:U3251,1)=1,1,0),0)</f>
        <v>0</v>
      </c>
    </row>
    <row r="3252" spans="1:22" x14ac:dyDescent="0.35">
      <c r="A3252">
        <v>13251</v>
      </c>
      <c r="B3252" s="1">
        <v>47812</v>
      </c>
      <c r="C3252">
        <v>1677</v>
      </c>
      <c r="D3252" t="s">
        <v>67</v>
      </c>
      <c r="E3252" t="s">
        <v>63</v>
      </c>
      <c r="F3252">
        <v>4</v>
      </c>
      <c r="G3252" s="2">
        <v>592.85</v>
      </c>
      <c r="H3252">
        <v>0.08</v>
      </c>
      <c r="I3252" t="s">
        <v>68</v>
      </c>
      <c r="J3252">
        <v>4</v>
      </c>
      <c r="K3252">
        <v>4.3</v>
      </c>
      <c r="L3252" s="2">
        <v>2181.69</v>
      </c>
      <c r="M3252">
        <v>2030</v>
      </c>
      <c r="N3252">
        <v>11</v>
      </c>
      <c r="O3252" t="s">
        <v>186</v>
      </c>
      <c r="P3252" s="2">
        <v>2371.4</v>
      </c>
      <c r="Q3252" s="2">
        <v>189.71</v>
      </c>
      <c r="R3252" t="s">
        <v>69</v>
      </c>
      <c r="S3252">
        <v>1</v>
      </c>
      <c r="T3252">
        <v>0</v>
      </c>
      <c r="U3252">
        <f>IF(AND(OR(Dashboard!$D$4="Semua",D3252=Dashboard!$D$4),OR(Dashboard!$H$4="Semua",E3252=Dashboard!$H$4)),1,0)</f>
        <v>1</v>
      </c>
      <c r="V3252">
        <f>IF(U3252=1,IF(COUNTIFS($C$2:C3252,C3252,$U$2:U3252,1)=1,1,0),0)</f>
        <v>0</v>
      </c>
    </row>
    <row r="3253" spans="1:22" x14ac:dyDescent="0.35">
      <c r="A3253">
        <v>13252</v>
      </c>
      <c r="B3253" s="1">
        <v>47813</v>
      </c>
      <c r="C3253">
        <v>1593</v>
      </c>
      <c r="D3253" t="s">
        <v>80</v>
      </c>
      <c r="E3253" t="s">
        <v>63</v>
      </c>
      <c r="F3253">
        <v>6</v>
      </c>
      <c r="G3253" s="2">
        <v>272.18</v>
      </c>
      <c r="H3253">
        <v>0.3</v>
      </c>
      <c r="I3253" t="s">
        <v>68</v>
      </c>
      <c r="J3253">
        <v>8</v>
      </c>
      <c r="K3253">
        <v>4.0999999999999996</v>
      </c>
      <c r="L3253" s="2">
        <v>1143.1600000000001</v>
      </c>
      <c r="M3253">
        <v>2030</v>
      </c>
      <c r="N3253">
        <v>11</v>
      </c>
      <c r="O3253" t="s">
        <v>186</v>
      </c>
      <c r="P3253" s="2">
        <v>1633.08</v>
      </c>
      <c r="Q3253" s="2">
        <v>489.92</v>
      </c>
      <c r="R3253" t="s">
        <v>66</v>
      </c>
      <c r="S3253">
        <v>1</v>
      </c>
      <c r="T3253">
        <v>0</v>
      </c>
      <c r="U3253">
        <f>IF(AND(OR(Dashboard!$D$4="Semua",D3253=Dashboard!$D$4),OR(Dashboard!$H$4="Semua",E3253=Dashboard!$H$4)),1,0)</f>
        <v>1</v>
      </c>
      <c r="V3253">
        <f>IF(U3253=1,IF(COUNTIFS($C$2:C3253,C3253,$U$2:U3253,1)=1,1,0),0)</f>
        <v>0</v>
      </c>
    </row>
    <row r="3254" spans="1:22" x14ac:dyDescent="0.35">
      <c r="A3254">
        <v>13253</v>
      </c>
      <c r="B3254" s="1">
        <v>47814</v>
      </c>
      <c r="C3254">
        <v>1428</v>
      </c>
      <c r="D3254" t="s">
        <v>67</v>
      </c>
      <c r="E3254" t="s">
        <v>70</v>
      </c>
      <c r="F3254">
        <v>6</v>
      </c>
      <c r="G3254" s="2">
        <v>395</v>
      </c>
      <c r="H3254">
        <v>0.21</v>
      </c>
      <c r="I3254" t="s">
        <v>68</v>
      </c>
      <c r="J3254">
        <v>7</v>
      </c>
      <c r="K3254">
        <v>3</v>
      </c>
      <c r="L3254" s="2">
        <v>1872.3</v>
      </c>
      <c r="M3254">
        <v>2030</v>
      </c>
      <c r="N3254">
        <v>11</v>
      </c>
      <c r="O3254" t="s">
        <v>186</v>
      </c>
      <c r="P3254" s="2">
        <v>2370</v>
      </c>
      <c r="Q3254" s="2">
        <v>497.7</v>
      </c>
      <c r="R3254" t="s">
        <v>77</v>
      </c>
      <c r="S3254">
        <v>1</v>
      </c>
      <c r="T3254">
        <v>0</v>
      </c>
      <c r="U3254">
        <f>IF(AND(OR(Dashboard!$D$4="Semua",D3254=Dashboard!$D$4),OR(Dashboard!$H$4="Semua",E3254=Dashboard!$H$4)),1,0)</f>
        <v>1</v>
      </c>
      <c r="V3254">
        <f>IF(U3254=1,IF(COUNTIFS($C$2:C3254,C3254,$U$2:U3254,1)=1,1,0),0)</f>
        <v>0</v>
      </c>
    </row>
    <row r="3255" spans="1:22" x14ac:dyDescent="0.35">
      <c r="A3255">
        <v>13254</v>
      </c>
      <c r="B3255" s="1">
        <v>47815</v>
      </c>
      <c r="C3255">
        <v>1802</v>
      </c>
      <c r="D3255" t="s">
        <v>80</v>
      </c>
      <c r="E3255" t="s">
        <v>74</v>
      </c>
      <c r="F3255">
        <v>5</v>
      </c>
      <c r="G3255" s="2">
        <v>44.46</v>
      </c>
      <c r="H3255">
        <v>0.33</v>
      </c>
      <c r="I3255" t="s">
        <v>68</v>
      </c>
      <c r="J3255">
        <v>5</v>
      </c>
      <c r="K3255">
        <v>3.5</v>
      </c>
      <c r="L3255" s="2">
        <v>148.94</v>
      </c>
      <c r="M3255">
        <v>2030</v>
      </c>
      <c r="N3255">
        <v>11</v>
      </c>
      <c r="O3255" t="s">
        <v>186</v>
      </c>
      <c r="P3255" s="2">
        <v>222.3</v>
      </c>
      <c r="Q3255" s="2">
        <v>73.36</v>
      </c>
      <c r="R3255" t="s">
        <v>72</v>
      </c>
      <c r="S3255">
        <v>1</v>
      </c>
      <c r="T3255">
        <v>0</v>
      </c>
      <c r="U3255">
        <f>IF(AND(OR(Dashboard!$D$4="Semua",D3255=Dashboard!$D$4),OR(Dashboard!$H$4="Semua",E3255=Dashboard!$H$4)),1,0)</f>
        <v>1</v>
      </c>
      <c r="V3255">
        <f>IF(U3255=1,IF(COUNTIFS($C$2:C3255,C3255,$U$2:U3255,1)=1,1,0),0)</f>
        <v>0</v>
      </c>
    </row>
    <row r="3256" spans="1:22" x14ac:dyDescent="0.35">
      <c r="A3256">
        <v>13255</v>
      </c>
      <c r="B3256" s="1">
        <v>47816</v>
      </c>
      <c r="C3256">
        <v>1157</v>
      </c>
      <c r="D3256" t="s">
        <v>80</v>
      </c>
      <c r="E3256" t="s">
        <v>74</v>
      </c>
      <c r="F3256">
        <v>2</v>
      </c>
      <c r="G3256" s="2">
        <v>397.2</v>
      </c>
      <c r="H3256">
        <v>0.2</v>
      </c>
      <c r="I3256" t="s">
        <v>68</v>
      </c>
      <c r="J3256">
        <v>2</v>
      </c>
      <c r="K3256">
        <v>1.3</v>
      </c>
      <c r="L3256" s="2">
        <v>635.52</v>
      </c>
      <c r="M3256">
        <v>2030</v>
      </c>
      <c r="N3256">
        <v>11</v>
      </c>
      <c r="O3256" t="s">
        <v>186</v>
      </c>
      <c r="P3256" s="2">
        <v>794.4</v>
      </c>
      <c r="Q3256" s="2">
        <v>158.88</v>
      </c>
      <c r="R3256" t="s">
        <v>76</v>
      </c>
      <c r="S3256">
        <v>1</v>
      </c>
      <c r="T3256">
        <v>0</v>
      </c>
      <c r="U3256">
        <f>IF(AND(OR(Dashboard!$D$4="Semua",D3256=Dashboard!$D$4),OR(Dashboard!$H$4="Semua",E3256=Dashboard!$H$4)),1,0)</f>
        <v>1</v>
      </c>
      <c r="V3256">
        <f>IF(U3256=1,IF(COUNTIFS($C$2:C3256,C3256,$U$2:U3256,1)=1,1,0),0)</f>
        <v>0</v>
      </c>
    </row>
    <row r="3257" spans="1:22" x14ac:dyDescent="0.35">
      <c r="A3257">
        <v>13256</v>
      </c>
      <c r="B3257" s="1">
        <v>47817</v>
      </c>
      <c r="C3257">
        <v>1215</v>
      </c>
      <c r="D3257" t="s">
        <v>73</v>
      </c>
      <c r="E3257" t="s">
        <v>63</v>
      </c>
      <c r="F3257">
        <v>7</v>
      </c>
      <c r="G3257" s="2">
        <v>513.08000000000004</v>
      </c>
      <c r="H3257">
        <v>0.04</v>
      </c>
      <c r="I3257" t="s">
        <v>68</v>
      </c>
      <c r="J3257">
        <v>6</v>
      </c>
      <c r="K3257">
        <v>4</v>
      </c>
      <c r="L3257" s="2">
        <v>3447.9</v>
      </c>
      <c r="M3257">
        <v>2030</v>
      </c>
      <c r="N3257">
        <v>11</v>
      </c>
      <c r="O3257" t="s">
        <v>186</v>
      </c>
      <c r="P3257" s="2">
        <v>3591.56</v>
      </c>
      <c r="Q3257" s="2">
        <v>143.66</v>
      </c>
      <c r="R3257" t="s">
        <v>75</v>
      </c>
      <c r="S3257">
        <v>1</v>
      </c>
      <c r="T3257">
        <v>1</v>
      </c>
      <c r="U3257">
        <f>IF(AND(OR(Dashboard!$D$4="Semua",D3257=Dashboard!$D$4),OR(Dashboard!$H$4="Semua",E3257=Dashboard!$H$4)),1,0)</f>
        <v>1</v>
      </c>
      <c r="V3257">
        <f>IF(U3257=1,IF(COUNTIFS($C$2:C3257,C3257,$U$2:U3257,1)=1,1,0),0)</f>
        <v>0</v>
      </c>
    </row>
    <row r="3258" spans="1:22" x14ac:dyDescent="0.35">
      <c r="A3258">
        <v>13257</v>
      </c>
      <c r="B3258" s="1">
        <v>47818</v>
      </c>
      <c r="C3258">
        <v>1669</v>
      </c>
      <c r="D3258" t="s">
        <v>67</v>
      </c>
      <c r="E3258" t="s">
        <v>74</v>
      </c>
      <c r="F3258">
        <v>1</v>
      </c>
      <c r="G3258" s="2">
        <v>566.34</v>
      </c>
      <c r="H3258">
        <v>0.06</v>
      </c>
      <c r="I3258" t="s">
        <v>71</v>
      </c>
      <c r="J3258">
        <v>1</v>
      </c>
      <c r="K3258">
        <v>3.1</v>
      </c>
      <c r="L3258" s="2">
        <v>532.36</v>
      </c>
      <c r="M3258">
        <v>2030</v>
      </c>
      <c r="N3258">
        <v>12</v>
      </c>
      <c r="O3258" t="s">
        <v>187</v>
      </c>
      <c r="P3258" s="2">
        <v>566.34</v>
      </c>
      <c r="Q3258" s="2">
        <v>33.979999999999997</v>
      </c>
      <c r="R3258" t="s">
        <v>69</v>
      </c>
      <c r="S3258">
        <v>1</v>
      </c>
      <c r="T3258">
        <v>0</v>
      </c>
      <c r="U3258">
        <f>IF(AND(OR(Dashboard!$D$4="Semua",D3258=Dashboard!$D$4),OR(Dashboard!$H$4="Semua",E3258=Dashboard!$H$4)),1,0)</f>
        <v>1</v>
      </c>
      <c r="V3258">
        <f>IF(U3258=1,IF(COUNTIFS($C$2:C3258,C3258,$U$2:U3258,1)=1,1,0),0)</f>
        <v>0</v>
      </c>
    </row>
    <row r="3259" spans="1:22" x14ac:dyDescent="0.35">
      <c r="A3259">
        <v>13258</v>
      </c>
      <c r="B3259" s="1">
        <v>47819</v>
      </c>
      <c r="C3259">
        <v>1461</v>
      </c>
      <c r="D3259" t="s">
        <v>67</v>
      </c>
      <c r="E3259" t="s">
        <v>74</v>
      </c>
      <c r="F3259">
        <v>6</v>
      </c>
      <c r="G3259" s="2">
        <v>598.42999999999995</v>
      </c>
      <c r="H3259">
        <v>0.35</v>
      </c>
      <c r="I3259" t="s">
        <v>68</v>
      </c>
      <c r="J3259">
        <v>7</v>
      </c>
      <c r="K3259">
        <v>3.3</v>
      </c>
      <c r="L3259" s="2">
        <v>2333.88</v>
      </c>
      <c r="M3259">
        <v>2030</v>
      </c>
      <c r="N3259">
        <v>12</v>
      </c>
      <c r="O3259" t="s">
        <v>187</v>
      </c>
      <c r="P3259" s="2">
        <v>3590.58</v>
      </c>
      <c r="Q3259" s="2">
        <v>1256.7</v>
      </c>
      <c r="R3259" t="s">
        <v>72</v>
      </c>
      <c r="S3259">
        <v>1</v>
      </c>
      <c r="T3259">
        <v>0</v>
      </c>
      <c r="U3259">
        <f>IF(AND(OR(Dashboard!$D$4="Semua",D3259=Dashboard!$D$4),OR(Dashboard!$H$4="Semua",E3259=Dashboard!$H$4)),1,0)</f>
        <v>1</v>
      </c>
      <c r="V3259">
        <f>IF(U3259=1,IF(COUNTIFS($C$2:C3259,C3259,$U$2:U3259,1)=1,1,0),0)</f>
        <v>0</v>
      </c>
    </row>
    <row r="3260" spans="1:22" x14ac:dyDescent="0.35">
      <c r="A3260">
        <v>13259</v>
      </c>
      <c r="B3260" s="1">
        <v>47820</v>
      </c>
      <c r="C3260">
        <v>1133</v>
      </c>
      <c r="D3260" t="s">
        <v>73</v>
      </c>
      <c r="E3260" t="s">
        <v>70</v>
      </c>
      <c r="F3260">
        <v>7</v>
      </c>
      <c r="G3260" s="2">
        <v>180.07</v>
      </c>
      <c r="H3260">
        <v>0.25</v>
      </c>
      <c r="I3260" t="s">
        <v>71</v>
      </c>
      <c r="J3260">
        <v>9</v>
      </c>
      <c r="K3260">
        <v>3.7</v>
      </c>
      <c r="L3260" s="2">
        <v>945.37</v>
      </c>
      <c r="M3260">
        <v>2030</v>
      </c>
      <c r="N3260">
        <v>12</v>
      </c>
      <c r="O3260" t="s">
        <v>187</v>
      </c>
      <c r="P3260" s="2">
        <v>1260.49</v>
      </c>
      <c r="Q3260" s="2">
        <v>315.12</v>
      </c>
      <c r="R3260" t="s">
        <v>77</v>
      </c>
      <c r="S3260">
        <v>1</v>
      </c>
      <c r="T3260">
        <v>0</v>
      </c>
      <c r="U3260">
        <f>IF(AND(OR(Dashboard!$D$4="Semua",D3260=Dashboard!$D$4),OR(Dashboard!$H$4="Semua",E3260=Dashboard!$H$4)),1,0)</f>
        <v>1</v>
      </c>
      <c r="V3260">
        <f>IF(U3260=1,IF(COUNTIFS($C$2:C3260,C3260,$U$2:U3260,1)=1,1,0),0)</f>
        <v>0</v>
      </c>
    </row>
    <row r="3261" spans="1:22" x14ac:dyDescent="0.35">
      <c r="A3261">
        <v>13260</v>
      </c>
      <c r="B3261" s="1">
        <v>47821</v>
      </c>
      <c r="C3261">
        <v>1066</v>
      </c>
      <c r="D3261" t="s">
        <v>67</v>
      </c>
      <c r="E3261" t="s">
        <v>63</v>
      </c>
      <c r="F3261">
        <v>7</v>
      </c>
      <c r="G3261" s="2">
        <v>351.59</v>
      </c>
      <c r="H3261">
        <v>0.02</v>
      </c>
      <c r="I3261" t="s">
        <v>71</v>
      </c>
      <c r="J3261">
        <v>5</v>
      </c>
      <c r="K3261">
        <v>3</v>
      </c>
      <c r="L3261" s="2">
        <v>2411.91</v>
      </c>
      <c r="M3261">
        <v>2030</v>
      </c>
      <c r="N3261">
        <v>12</v>
      </c>
      <c r="O3261" t="s">
        <v>187</v>
      </c>
      <c r="P3261" s="2">
        <v>2461.13</v>
      </c>
      <c r="Q3261" s="2">
        <v>49.22</v>
      </c>
      <c r="R3261" t="s">
        <v>75</v>
      </c>
      <c r="S3261">
        <v>1</v>
      </c>
      <c r="T3261">
        <v>0</v>
      </c>
      <c r="U3261">
        <f>IF(AND(OR(Dashboard!$D$4="Semua",D3261=Dashboard!$D$4),OR(Dashboard!$H$4="Semua",E3261=Dashboard!$H$4)),1,0)</f>
        <v>1</v>
      </c>
      <c r="V3261">
        <f>IF(U3261=1,IF(COUNTIFS($C$2:C3261,C3261,$U$2:U3261,1)=1,1,0),0)</f>
        <v>0</v>
      </c>
    </row>
    <row r="3262" spans="1:22" x14ac:dyDescent="0.35">
      <c r="A3262">
        <v>13261</v>
      </c>
      <c r="B3262" s="1">
        <v>47822</v>
      </c>
      <c r="C3262">
        <v>1847</v>
      </c>
      <c r="D3262" t="s">
        <v>67</v>
      </c>
      <c r="E3262" t="s">
        <v>78</v>
      </c>
      <c r="F3262">
        <v>2</v>
      </c>
      <c r="G3262" s="2">
        <v>278.67</v>
      </c>
      <c r="H3262">
        <v>0.25</v>
      </c>
      <c r="I3262" t="s">
        <v>68</v>
      </c>
      <c r="J3262">
        <v>5</v>
      </c>
      <c r="K3262">
        <v>3.1</v>
      </c>
      <c r="L3262" s="2">
        <v>418</v>
      </c>
      <c r="M3262">
        <v>2030</v>
      </c>
      <c r="N3262">
        <v>12</v>
      </c>
      <c r="O3262" t="s">
        <v>187</v>
      </c>
      <c r="P3262" s="2">
        <v>557.34</v>
      </c>
      <c r="Q3262" s="2">
        <v>139.34</v>
      </c>
      <c r="R3262" t="s">
        <v>77</v>
      </c>
      <c r="S3262">
        <v>1</v>
      </c>
      <c r="T3262">
        <v>0</v>
      </c>
      <c r="U3262">
        <f>IF(AND(OR(Dashboard!$D$4="Semua",D3262=Dashboard!$D$4),OR(Dashboard!$H$4="Semua",E3262=Dashboard!$H$4)),1,0)</f>
        <v>1</v>
      </c>
      <c r="V3262">
        <f>IF(U3262=1,IF(COUNTIFS($C$2:C3262,C3262,$U$2:U3262,1)=1,1,0),0)</f>
        <v>0</v>
      </c>
    </row>
    <row r="3263" spans="1:22" x14ac:dyDescent="0.35">
      <c r="A3263">
        <v>13262</v>
      </c>
      <c r="B3263" s="1">
        <v>47823</v>
      </c>
      <c r="C3263">
        <v>1006</v>
      </c>
      <c r="D3263" t="s">
        <v>62</v>
      </c>
      <c r="E3263" t="s">
        <v>63</v>
      </c>
      <c r="F3263">
        <v>3</v>
      </c>
      <c r="G3263" s="2">
        <v>344.83</v>
      </c>
      <c r="H3263">
        <v>0.14000000000000001</v>
      </c>
      <c r="I3263" t="s">
        <v>71</v>
      </c>
      <c r="J3263">
        <v>7</v>
      </c>
      <c r="K3263">
        <v>3</v>
      </c>
      <c r="L3263" s="2">
        <v>889.66</v>
      </c>
      <c r="M3263">
        <v>2030</v>
      </c>
      <c r="N3263">
        <v>12</v>
      </c>
      <c r="O3263" t="s">
        <v>187</v>
      </c>
      <c r="P3263" s="2">
        <v>1034.49</v>
      </c>
      <c r="Q3263" s="2">
        <v>144.83000000000001</v>
      </c>
      <c r="R3263" t="s">
        <v>79</v>
      </c>
      <c r="S3263">
        <v>1</v>
      </c>
      <c r="T3263">
        <v>0</v>
      </c>
      <c r="U3263">
        <f>IF(AND(OR(Dashboard!$D$4="Semua",D3263=Dashboard!$D$4),OR(Dashboard!$H$4="Semua",E3263=Dashboard!$H$4)),1,0)</f>
        <v>1</v>
      </c>
      <c r="V3263">
        <f>IF(U3263=1,IF(COUNTIFS($C$2:C3263,C3263,$U$2:U3263,1)=1,1,0),0)</f>
        <v>0</v>
      </c>
    </row>
    <row r="3264" spans="1:22" x14ac:dyDescent="0.35">
      <c r="A3264">
        <v>13263</v>
      </c>
      <c r="B3264" s="1">
        <v>47824</v>
      </c>
      <c r="C3264">
        <v>1947</v>
      </c>
      <c r="D3264" t="s">
        <v>67</v>
      </c>
      <c r="E3264" t="s">
        <v>70</v>
      </c>
      <c r="F3264">
        <v>1</v>
      </c>
      <c r="G3264" s="2">
        <v>107.11</v>
      </c>
      <c r="H3264">
        <v>0.11</v>
      </c>
      <c r="I3264" t="s">
        <v>71</v>
      </c>
      <c r="J3264">
        <v>5</v>
      </c>
      <c r="K3264">
        <v>3</v>
      </c>
      <c r="L3264" s="2">
        <v>95.33</v>
      </c>
      <c r="M3264">
        <v>2030</v>
      </c>
      <c r="N3264">
        <v>12</v>
      </c>
      <c r="O3264" t="s">
        <v>187</v>
      </c>
      <c r="P3264" s="2">
        <v>107.11</v>
      </c>
      <c r="Q3264" s="2">
        <v>11.78</v>
      </c>
      <c r="R3264" t="s">
        <v>79</v>
      </c>
      <c r="S3264">
        <v>1</v>
      </c>
      <c r="T3264">
        <v>0</v>
      </c>
      <c r="U3264">
        <f>IF(AND(OR(Dashboard!$D$4="Semua",D3264=Dashboard!$D$4),OR(Dashboard!$H$4="Semua",E3264=Dashboard!$H$4)),1,0)</f>
        <v>1</v>
      </c>
      <c r="V3264">
        <f>IF(U3264=1,IF(COUNTIFS($C$2:C3264,C3264,$U$2:U3264,1)=1,1,0),0)</f>
        <v>0</v>
      </c>
    </row>
    <row r="3265" spans="1:22" x14ac:dyDescent="0.35">
      <c r="A3265">
        <v>13264</v>
      </c>
      <c r="B3265" s="1">
        <v>47825</v>
      </c>
      <c r="C3265">
        <v>1525</v>
      </c>
      <c r="D3265" t="s">
        <v>80</v>
      </c>
      <c r="E3265" t="s">
        <v>70</v>
      </c>
      <c r="F3265">
        <v>1</v>
      </c>
      <c r="G3265" s="2">
        <v>515.85</v>
      </c>
      <c r="H3265">
        <v>0.05</v>
      </c>
      <c r="I3265" t="s">
        <v>71</v>
      </c>
      <c r="J3265">
        <v>10</v>
      </c>
      <c r="K3265">
        <v>4</v>
      </c>
      <c r="L3265" s="2">
        <v>490.06</v>
      </c>
      <c r="M3265">
        <v>2030</v>
      </c>
      <c r="N3265">
        <v>12</v>
      </c>
      <c r="O3265" t="s">
        <v>187</v>
      </c>
      <c r="P3265" s="2">
        <v>515.85</v>
      </c>
      <c r="Q3265" s="2">
        <v>25.79</v>
      </c>
      <c r="R3265" t="s">
        <v>75</v>
      </c>
      <c r="S3265">
        <v>1</v>
      </c>
      <c r="T3265">
        <v>0</v>
      </c>
      <c r="U3265">
        <f>IF(AND(OR(Dashboard!$D$4="Semua",D3265=Dashboard!$D$4),OR(Dashboard!$H$4="Semua",E3265=Dashboard!$H$4)),1,0)</f>
        <v>1</v>
      </c>
      <c r="V3265">
        <f>IF(U3265=1,IF(COUNTIFS($C$2:C3265,C3265,$U$2:U3265,1)=1,1,0),0)</f>
        <v>0</v>
      </c>
    </row>
    <row r="3266" spans="1:22" x14ac:dyDescent="0.35">
      <c r="A3266">
        <v>13265</v>
      </c>
      <c r="B3266" s="1">
        <v>47826</v>
      </c>
      <c r="C3266">
        <v>1072</v>
      </c>
      <c r="D3266" t="s">
        <v>67</v>
      </c>
      <c r="E3266" t="s">
        <v>70</v>
      </c>
      <c r="F3266">
        <v>7</v>
      </c>
      <c r="G3266" s="2">
        <v>547.1</v>
      </c>
      <c r="H3266">
        <v>0.28999999999999998</v>
      </c>
      <c r="I3266" t="s">
        <v>71</v>
      </c>
      <c r="J3266">
        <v>4</v>
      </c>
      <c r="K3266">
        <v>2.7</v>
      </c>
      <c r="L3266" s="2">
        <v>2719.09</v>
      </c>
      <c r="M3266">
        <v>2030</v>
      </c>
      <c r="N3266">
        <v>12</v>
      </c>
      <c r="O3266" t="s">
        <v>187</v>
      </c>
      <c r="P3266" s="2">
        <v>3829.7</v>
      </c>
      <c r="Q3266" s="2">
        <v>1110.6099999999999</v>
      </c>
      <c r="R3266" t="s">
        <v>66</v>
      </c>
      <c r="S3266">
        <v>1</v>
      </c>
      <c r="T3266">
        <v>0</v>
      </c>
      <c r="U3266">
        <f>IF(AND(OR(Dashboard!$D$4="Semua",D3266=Dashboard!$D$4),OR(Dashboard!$H$4="Semua",E3266=Dashboard!$H$4)),1,0)</f>
        <v>1</v>
      </c>
      <c r="V3266">
        <f>IF(U3266=1,IF(COUNTIFS($C$2:C3266,C3266,$U$2:U3266,1)=1,1,0),0)</f>
        <v>0</v>
      </c>
    </row>
    <row r="3267" spans="1:22" x14ac:dyDescent="0.35">
      <c r="A3267">
        <v>13266</v>
      </c>
      <c r="B3267" s="1">
        <v>47827</v>
      </c>
      <c r="C3267">
        <v>1398</v>
      </c>
      <c r="D3267" t="s">
        <v>80</v>
      </c>
      <c r="E3267" t="s">
        <v>74</v>
      </c>
      <c r="F3267">
        <v>5</v>
      </c>
      <c r="G3267" s="2">
        <v>278.05</v>
      </c>
      <c r="H3267">
        <v>0.02</v>
      </c>
      <c r="I3267" t="s">
        <v>71</v>
      </c>
      <c r="J3267">
        <v>1</v>
      </c>
      <c r="K3267">
        <v>1</v>
      </c>
      <c r="L3267" s="2">
        <v>1362.44</v>
      </c>
      <c r="M3267">
        <v>2030</v>
      </c>
      <c r="N3267">
        <v>12</v>
      </c>
      <c r="O3267" t="s">
        <v>187</v>
      </c>
      <c r="P3267" s="2">
        <v>1390.25</v>
      </c>
      <c r="Q3267" s="2">
        <v>27.81</v>
      </c>
      <c r="R3267" t="s">
        <v>75</v>
      </c>
      <c r="S3267">
        <v>1</v>
      </c>
      <c r="T3267">
        <v>0</v>
      </c>
      <c r="U3267">
        <f>IF(AND(OR(Dashboard!$D$4="Semua",D3267=Dashboard!$D$4),OR(Dashboard!$H$4="Semua",E3267=Dashboard!$H$4)),1,0)</f>
        <v>1</v>
      </c>
      <c r="V3267">
        <f>IF(U3267=1,IF(COUNTIFS($C$2:C3267,C3267,$U$2:U3267,1)=1,1,0),0)</f>
        <v>0</v>
      </c>
    </row>
    <row r="3268" spans="1:22" x14ac:dyDescent="0.35">
      <c r="A3268">
        <v>13267</v>
      </c>
      <c r="B3268" s="1">
        <v>47828</v>
      </c>
      <c r="C3268">
        <v>1404</v>
      </c>
      <c r="D3268" t="s">
        <v>67</v>
      </c>
      <c r="E3268" t="s">
        <v>63</v>
      </c>
      <c r="F3268">
        <v>6</v>
      </c>
      <c r="G3268" s="2">
        <v>179.05</v>
      </c>
      <c r="H3268">
        <v>0.1</v>
      </c>
      <c r="I3268" t="s">
        <v>68</v>
      </c>
      <c r="J3268">
        <v>6</v>
      </c>
      <c r="K3268">
        <v>3.4</v>
      </c>
      <c r="L3268" s="2">
        <v>966.87</v>
      </c>
      <c r="M3268">
        <v>2030</v>
      </c>
      <c r="N3268">
        <v>12</v>
      </c>
      <c r="O3268" t="s">
        <v>187</v>
      </c>
      <c r="P3268" s="2">
        <v>1074.3</v>
      </c>
      <c r="Q3268" s="2">
        <v>107.43</v>
      </c>
      <c r="R3268" t="s">
        <v>69</v>
      </c>
      <c r="S3268">
        <v>1</v>
      </c>
      <c r="T3268">
        <v>0</v>
      </c>
      <c r="U3268">
        <f>IF(AND(OR(Dashboard!$D$4="Semua",D3268=Dashboard!$D$4),OR(Dashboard!$H$4="Semua",E3268=Dashboard!$H$4)),1,0)</f>
        <v>1</v>
      </c>
      <c r="V3268">
        <f>IF(U3268=1,IF(COUNTIFS($C$2:C3268,C3268,$U$2:U3268,1)=1,1,0),0)</f>
        <v>0</v>
      </c>
    </row>
    <row r="3269" spans="1:22" x14ac:dyDescent="0.35">
      <c r="A3269">
        <v>13268</v>
      </c>
      <c r="B3269" s="1">
        <v>47829</v>
      </c>
      <c r="C3269">
        <v>1674</v>
      </c>
      <c r="D3269" t="s">
        <v>62</v>
      </c>
      <c r="E3269" t="s">
        <v>74</v>
      </c>
      <c r="F3269">
        <v>3</v>
      </c>
      <c r="G3269" s="2">
        <v>97.39</v>
      </c>
      <c r="H3269">
        <v>0.11</v>
      </c>
      <c r="I3269" t="s">
        <v>71</v>
      </c>
      <c r="J3269">
        <v>9</v>
      </c>
      <c r="K3269">
        <v>4.8</v>
      </c>
      <c r="L3269" s="2">
        <v>260.02999999999997</v>
      </c>
      <c r="M3269">
        <v>2030</v>
      </c>
      <c r="N3269">
        <v>12</v>
      </c>
      <c r="O3269" t="s">
        <v>187</v>
      </c>
      <c r="P3269" s="2">
        <v>292.17</v>
      </c>
      <c r="Q3269" s="2">
        <v>32.14</v>
      </c>
      <c r="R3269" t="s">
        <v>79</v>
      </c>
      <c r="S3269">
        <v>1</v>
      </c>
      <c r="T3269">
        <v>0</v>
      </c>
      <c r="U3269">
        <f>IF(AND(OR(Dashboard!$D$4="Semua",D3269=Dashboard!$D$4),OR(Dashboard!$H$4="Semua",E3269=Dashboard!$H$4)),1,0)</f>
        <v>1</v>
      </c>
      <c r="V3269">
        <f>IF(U3269=1,IF(COUNTIFS($C$2:C3269,C3269,$U$2:U3269,1)=1,1,0),0)</f>
        <v>0</v>
      </c>
    </row>
    <row r="3270" spans="1:22" x14ac:dyDescent="0.35">
      <c r="A3270">
        <v>13269</v>
      </c>
      <c r="B3270" s="1">
        <v>47830</v>
      </c>
      <c r="C3270">
        <v>1577</v>
      </c>
      <c r="D3270" t="s">
        <v>67</v>
      </c>
      <c r="E3270" t="s">
        <v>74</v>
      </c>
      <c r="F3270">
        <v>5</v>
      </c>
      <c r="G3270" s="2">
        <v>415</v>
      </c>
      <c r="H3270">
        <v>0.06</v>
      </c>
      <c r="I3270" t="s">
        <v>68</v>
      </c>
      <c r="J3270">
        <v>4</v>
      </c>
      <c r="K3270">
        <v>2</v>
      </c>
      <c r="L3270" s="2">
        <v>1950.5</v>
      </c>
      <c r="M3270">
        <v>2030</v>
      </c>
      <c r="N3270">
        <v>12</v>
      </c>
      <c r="O3270" t="s">
        <v>187</v>
      </c>
      <c r="P3270" s="2">
        <v>2075</v>
      </c>
      <c r="Q3270" s="2">
        <v>124.5</v>
      </c>
      <c r="R3270" t="s">
        <v>69</v>
      </c>
      <c r="S3270">
        <v>1</v>
      </c>
      <c r="T3270">
        <v>0</v>
      </c>
      <c r="U3270">
        <f>IF(AND(OR(Dashboard!$D$4="Semua",D3270=Dashboard!$D$4),OR(Dashboard!$H$4="Semua",E3270=Dashboard!$H$4)),1,0)</f>
        <v>1</v>
      </c>
      <c r="V3270">
        <f>IF(U3270=1,IF(COUNTIFS($C$2:C3270,C3270,$U$2:U3270,1)=1,1,0),0)</f>
        <v>0</v>
      </c>
    </row>
    <row r="3271" spans="1:22" x14ac:dyDescent="0.35">
      <c r="A3271">
        <v>13270</v>
      </c>
      <c r="B3271" s="1">
        <v>47831</v>
      </c>
      <c r="C3271">
        <v>1858</v>
      </c>
      <c r="D3271" t="s">
        <v>67</v>
      </c>
      <c r="E3271" t="s">
        <v>63</v>
      </c>
      <c r="F3271">
        <v>4</v>
      </c>
      <c r="G3271" s="2">
        <v>197.66</v>
      </c>
      <c r="H3271">
        <v>0.18</v>
      </c>
      <c r="I3271" t="s">
        <v>71</v>
      </c>
      <c r="J3271">
        <v>10</v>
      </c>
      <c r="K3271">
        <v>4.3</v>
      </c>
      <c r="L3271" s="2">
        <v>648.32000000000005</v>
      </c>
      <c r="M3271">
        <v>2030</v>
      </c>
      <c r="N3271">
        <v>12</v>
      </c>
      <c r="O3271" t="s">
        <v>187</v>
      </c>
      <c r="P3271" s="2">
        <v>790.64</v>
      </c>
      <c r="Q3271" s="2">
        <v>142.32</v>
      </c>
      <c r="R3271" t="s">
        <v>76</v>
      </c>
      <c r="S3271">
        <v>1</v>
      </c>
      <c r="T3271">
        <v>0</v>
      </c>
      <c r="U3271">
        <f>IF(AND(OR(Dashboard!$D$4="Semua",D3271=Dashboard!$D$4),OR(Dashboard!$H$4="Semua",E3271=Dashboard!$H$4)),1,0)</f>
        <v>1</v>
      </c>
      <c r="V3271">
        <f>IF(U3271=1,IF(COUNTIFS($C$2:C3271,C3271,$U$2:U3271,1)=1,1,0),0)</f>
        <v>0</v>
      </c>
    </row>
    <row r="3272" spans="1:22" x14ac:dyDescent="0.35">
      <c r="A3272">
        <v>13271</v>
      </c>
      <c r="B3272" s="1">
        <v>47832</v>
      </c>
      <c r="C3272">
        <v>1129</v>
      </c>
      <c r="D3272" t="s">
        <v>67</v>
      </c>
      <c r="E3272" t="s">
        <v>70</v>
      </c>
      <c r="F3272">
        <v>2</v>
      </c>
      <c r="G3272" s="2">
        <v>547.08000000000004</v>
      </c>
      <c r="H3272">
        <v>0</v>
      </c>
      <c r="I3272" t="s">
        <v>68</v>
      </c>
      <c r="J3272">
        <v>11</v>
      </c>
      <c r="K3272">
        <v>2.8</v>
      </c>
      <c r="L3272" s="2">
        <v>1094.1600000000001</v>
      </c>
      <c r="M3272">
        <v>2030</v>
      </c>
      <c r="N3272">
        <v>12</v>
      </c>
      <c r="O3272" t="s">
        <v>187</v>
      </c>
      <c r="P3272" s="2">
        <v>1094.1600000000001</v>
      </c>
      <c r="Q3272" s="2">
        <v>0</v>
      </c>
      <c r="R3272" t="s">
        <v>75</v>
      </c>
      <c r="S3272">
        <v>1</v>
      </c>
      <c r="T3272">
        <v>0</v>
      </c>
      <c r="U3272">
        <f>IF(AND(OR(Dashboard!$D$4="Semua",D3272=Dashboard!$D$4),OR(Dashboard!$H$4="Semua",E3272=Dashboard!$H$4)),1,0)</f>
        <v>1</v>
      </c>
      <c r="V3272">
        <f>IF(U3272=1,IF(COUNTIFS($C$2:C3272,C3272,$U$2:U3272,1)=1,1,0),0)</f>
        <v>0</v>
      </c>
    </row>
    <row r="3273" spans="1:22" x14ac:dyDescent="0.35">
      <c r="A3273">
        <v>13272</v>
      </c>
      <c r="B3273" s="1">
        <v>47833</v>
      </c>
      <c r="C3273">
        <v>1930</v>
      </c>
      <c r="D3273" t="s">
        <v>67</v>
      </c>
      <c r="E3273" t="s">
        <v>78</v>
      </c>
      <c r="F3273">
        <v>2</v>
      </c>
      <c r="G3273" s="2">
        <v>407.54</v>
      </c>
      <c r="H3273">
        <v>0.11</v>
      </c>
      <c r="I3273" t="s">
        <v>64</v>
      </c>
      <c r="J3273">
        <v>4</v>
      </c>
      <c r="K3273">
        <v>3.6</v>
      </c>
      <c r="L3273" s="2">
        <v>725.42</v>
      </c>
      <c r="M3273">
        <v>2030</v>
      </c>
      <c r="N3273">
        <v>12</v>
      </c>
      <c r="O3273" t="s">
        <v>187</v>
      </c>
      <c r="P3273" s="2">
        <v>815.08</v>
      </c>
      <c r="Q3273" s="2">
        <v>89.66</v>
      </c>
      <c r="R3273" t="s">
        <v>79</v>
      </c>
      <c r="S3273">
        <v>1</v>
      </c>
      <c r="T3273">
        <v>0</v>
      </c>
      <c r="U3273">
        <f>IF(AND(OR(Dashboard!$D$4="Semua",D3273=Dashboard!$D$4),OR(Dashboard!$H$4="Semua",E3273=Dashboard!$H$4)),1,0)</f>
        <v>1</v>
      </c>
      <c r="V3273">
        <f>IF(U3273=1,IF(COUNTIFS($C$2:C3273,C3273,$U$2:U3273,1)=1,1,0),0)</f>
        <v>1</v>
      </c>
    </row>
    <row r="3274" spans="1:22" x14ac:dyDescent="0.35">
      <c r="A3274">
        <v>13273</v>
      </c>
      <c r="B3274" s="1">
        <v>47834</v>
      </c>
      <c r="C3274">
        <v>1465</v>
      </c>
      <c r="D3274" t="s">
        <v>73</v>
      </c>
      <c r="E3274" t="s">
        <v>78</v>
      </c>
      <c r="F3274">
        <v>5</v>
      </c>
      <c r="G3274" s="2">
        <v>392.73</v>
      </c>
      <c r="H3274">
        <v>0.33</v>
      </c>
      <c r="I3274" t="s">
        <v>71</v>
      </c>
      <c r="J3274">
        <v>5</v>
      </c>
      <c r="K3274">
        <v>4.5999999999999996</v>
      </c>
      <c r="L3274" s="2">
        <v>1315.65</v>
      </c>
      <c r="M3274">
        <v>2030</v>
      </c>
      <c r="N3274">
        <v>12</v>
      </c>
      <c r="O3274" t="s">
        <v>187</v>
      </c>
      <c r="P3274" s="2">
        <v>1963.65</v>
      </c>
      <c r="Q3274" s="2">
        <v>648</v>
      </c>
      <c r="R3274" t="s">
        <v>72</v>
      </c>
      <c r="S3274">
        <v>1</v>
      </c>
      <c r="T3274">
        <v>0</v>
      </c>
      <c r="U3274">
        <f>IF(AND(OR(Dashboard!$D$4="Semua",D3274=Dashboard!$D$4),OR(Dashboard!$H$4="Semua",E3274=Dashboard!$H$4)),1,0)</f>
        <v>1</v>
      </c>
      <c r="V3274">
        <f>IF(U3274=1,IF(COUNTIFS($C$2:C3274,C3274,$U$2:U3274,1)=1,1,0),0)</f>
        <v>0</v>
      </c>
    </row>
    <row r="3275" spans="1:22" x14ac:dyDescent="0.35">
      <c r="A3275">
        <v>13274</v>
      </c>
      <c r="B3275" s="1">
        <v>47835</v>
      </c>
      <c r="C3275">
        <v>1205</v>
      </c>
      <c r="D3275" t="s">
        <v>73</v>
      </c>
      <c r="E3275" t="s">
        <v>63</v>
      </c>
      <c r="F3275">
        <v>7</v>
      </c>
      <c r="G3275" s="2">
        <v>342.25</v>
      </c>
      <c r="H3275">
        <v>0.11</v>
      </c>
      <c r="I3275" t="s">
        <v>71</v>
      </c>
      <c r="J3275">
        <v>6</v>
      </c>
      <c r="K3275">
        <v>4.0999999999999996</v>
      </c>
      <c r="L3275" s="2">
        <v>2132.2199999999998</v>
      </c>
      <c r="M3275">
        <v>2030</v>
      </c>
      <c r="N3275">
        <v>12</v>
      </c>
      <c r="O3275" t="s">
        <v>187</v>
      </c>
      <c r="P3275" s="2">
        <v>2395.75</v>
      </c>
      <c r="Q3275" s="2">
        <v>263.52999999999997</v>
      </c>
      <c r="R3275" t="s">
        <v>79</v>
      </c>
      <c r="S3275">
        <v>1</v>
      </c>
      <c r="T3275">
        <v>0</v>
      </c>
      <c r="U3275">
        <f>IF(AND(OR(Dashboard!$D$4="Semua",D3275=Dashboard!$D$4),OR(Dashboard!$H$4="Semua",E3275=Dashboard!$H$4)),1,0)</f>
        <v>1</v>
      </c>
      <c r="V3275">
        <f>IF(U3275=1,IF(COUNTIFS($C$2:C3275,C3275,$U$2:U3275,1)=1,1,0),0)</f>
        <v>0</v>
      </c>
    </row>
    <row r="3276" spans="1:22" x14ac:dyDescent="0.35">
      <c r="A3276">
        <v>13275</v>
      </c>
      <c r="B3276" s="1">
        <v>47836</v>
      </c>
      <c r="C3276">
        <v>1787</v>
      </c>
      <c r="D3276" t="s">
        <v>73</v>
      </c>
      <c r="E3276" t="s">
        <v>63</v>
      </c>
      <c r="F3276">
        <v>2</v>
      </c>
      <c r="G3276" s="2">
        <v>41.78</v>
      </c>
      <c r="H3276">
        <v>0.13</v>
      </c>
      <c r="I3276" t="s">
        <v>71</v>
      </c>
      <c r="J3276">
        <v>3</v>
      </c>
      <c r="K3276">
        <v>4.5</v>
      </c>
      <c r="L3276" s="2">
        <v>72.7</v>
      </c>
      <c r="M3276">
        <v>2030</v>
      </c>
      <c r="N3276">
        <v>12</v>
      </c>
      <c r="O3276" t="s">
        <v>187</v>
      </c>
      <c r="P3276" s="2">
        <v>83.56</v>
      </c>
      <c r="Q3276" s="2">
        <v>10.86</v>
      </c>
      <c r="R3276" t="s">
        <v>79</v>
      </c>
      <c r="S3276">
        <v>1</v>
      </c>
      <c r="T3276">
        <v>0</v>
      </c>
      <c r="U3276">
        <f>IF(AND(OR(Dashboard!$D$4="Semua",D3276=Dashboard!$D$4),OR(Dashboard!$H$4="Semua",E3276=Dashboard!$H$4)),1,0)</f>
        <v>1</v>
      </c>
      <c r="V3276">
        <f>IF(U3276=1,IF(COUNTIFS($C$2:C3276,C3276,$U$2:U3276,1)=1,1,0),0)</f>
        <v>1</v>
      </c>
    </row>
    <row r="3277" spans="1:22" x14ac:dyDescent="0.35">
      <c r="A3277">
        <v>13276</v>
      </c>
      <c r="B3277" s="1">
        <v>47837</v>
      </c>
      <c r="C3277">
        <v>1977</v>
      </c>
      <c r="D3277" t="s">
        <v>62</v>
      </c>
      <c r="E3277" t="s">
        <v>70</v>
      </c>
      <c r="F3277">
        <v>6</v>
      </c>
      <c r="G3277" s="2">
        <v>560.16999999999996</v>
      </c>
      <c r="H3277">
        <v>0.17</v>
      </c>
      <c r="I3277" t="s">
        <v>64</v>
      </c>
      <c r="J3277">
        <v>9</v>
      </c>
      <c r="K3277">
        <v>1</v>
      </c>
      <c r="L3277" s="2">
        <v>2789.65</v>
      </c>
      <c r="M3277">
        <v>2030</v>
      </c>
      <c r="N3277">
        <v>12</v>
      </c>
      <c r="O3277" t="s">
        <v>187</v>
      </c>
      <c r="P3277" s="2">
        <v>3361.02</v>
      </c>
      <c r="Q3277" s="2">
        <v>571.37</v>
      </c>
      <c r="R3277" t="s">
        <v>76</v>
      </c>
      <c r="S3277">
        <v>1</v>
      </c>
      <c r="T3277">
        <v>0</v>
      </c>
      <c r="U3277">
        <f>IF(AND(OR(Dashboard!$D$4="Semua",D3277=Dashboard!$D$4),OR(Dashboard!$H$4="Semua",E3277=Dashboard!$H$4)),1,0)</f>
        <v>1</v>
      </c>
      <c r="V3277">
        <f>IF(U3277=1,IF(COUNTIFS($C$2:C3277,C3277,$U$2:U3277,1)=1,1,0),0)</f>
        <v>0</v>
      </c>
    </row>
    <row r="3278" spans="1:22" x14ac:dyDescent="0.35">
      <c r="A3278">
        <v>13277</v>
      </c>
      <c r="B3278" s="1">
        <v>47838</v>
      </c>
      <c r="C3278">
        <v>1767</v>
      </c>
      <c r="D3278" t="s">
        <v>73</v>
      </c>
      <c r="E3278" t="s">
        <v>63</v>
      </c>
      <c r="F3278">
        <v>2</v>
      </c>
      <c r="G3278" s="2">
        <v>382.34</v>
      </c>
      <c r="H3278">
        <v>0.2</v>
      </c>
      <c r="I3278" t="s">
        <v>71</v>
      </c>
      <c r="J3278">
        <v>1</v>
      </c>
      <c r="K3278">
        <v>1.7</v>
      </c>
      <c r="L3278" s="2">
        <v>611.74</v>
      </c>
      <c r="M3278">
        <v>2030</v>
      </c>
      <c r="N3278">
        <v>12</v>
      </c>
      <c r="O3278" t="s">
        <v>187</v>
      </c>
      <c r="P3278" s="2">
        <v>764.68</v>
      </c>
      <c r="Q3278" s="2">
        <v>152.94</v>
      </c>
      <c r="R3278" t="s">
        <v>76</v>
      </c>
      <c r="S3278">
        <v>1</v>
      </c>
      <c r="T3278">
        <v>0</v>
      </c>
      <c r="U3278">
        <f>IF(AND(OR(Dashboard!$D$4="Semua",D3278=Dashboard!$D$4),OR(Dashboard!$H$4="Semua",E3278=Dashboard!$H$4)),1,0)</f>
        <v>1</v>
      </c>
      <c r="V3278">
        <f>IF(U3278=1,IF(COUNTIFS($C$2:C3278,C3278,$U$2:U3278,1)=1,1,0),0)</f>
        <v>1</v>
      </c>
    </row>
    <row r="3279" spans="1:22" x14ac:dyDescent="0.35">
      <c r="A3279">
        <v>13278</v>
      </c>
      <c r="B3279" s="1">
        <v>47839</v>
      </c>
      <c r="C3279">
        <v>1265</v>
      </c>
      <c r="D3279" t="s">
        <v>73</v>
      </c>
      <c r="E3279" t="s">
        <v>63</v>
      </c>
      <c r="F3279">
        <v>6</v>
      </c>
      <c r="G3279" s="2">
        <v>596.53</v>
      </c>
      <c r="H3279">
        <v>0.28000000000000003</v>
      </c>
      <c r="I3279" t="s">
        <v>68</v>
      </c>
      <c r="J3279">
        <v>11</v>
      </c>
      <c r="K3279">
        <v>2.7</v>
      </c>
      <c r="L3279" s="2">
        <v>2577.0100000000002</v>
      </c>
      <c r="M3279">
        <v>2030</v>
      </c>
      <c r="N3279">
        <v>12</v>
      </c>
      <c r="O3279" t="s">
        <v>187</v>
      </c>
      <c r="P3279" s="2">
        <v>3579.18</v>
      </c>
      <c r="Q3279" s="2">
        <v>1002.17</v>
      </c>
      <c r="R3279" t="s">
        <v>66</v>
      </c>
      <c r="S3279">
        <v>1</v>
      </c>
      <c r="T3279">
        <v>0</v>
      </c>
      <c r="U3279">
        <f>IF(AND(OR(Dashboard!$D$4="Semua",D3279=Dashboard!$D$4),OR(Dashboard!$H$4="Semua",E3279=Dashboard!$H$4)),1,0)</f>
        <v>1</v>
      </c>
      <c r="V3279">
        <f>IF(U3279=1,IF(COUNTIFS($C$2:C3279,C3279,$U$2:U3279,1)=1,1,0),0)</f>
        <v>0</v>
      </c>
    </row>
    <row r="3280" spans="1:22" x14ac:dyDescent="0.35">
      <c r="A3280">
        <v>13279</v>
      </c>
      <c r="B3280" s="1">
        <v>47840</v>
      </c>
      <c r="C3280">
        <v>1536</v>
      </c>
      <c r="D3280" t="s">
        <v>80</v>
      </c>
      <c r="E3280" t="s">
        <v>70</v>
      </c>
      <c r="F3280">
        <v>4</v>
      </c>
      <c r="G3280" s="2">
        <v>329.35</v>
      </c>
      <c r="H3280">
        <v>7.0000000000000007E-2</v>
      </c>
      <c r="I3280" t="s">
        <v>64</v>
      </c>
      <c r="J3280">
        <v>6</v>
      </c>
      <c r="K3280">
        <v>4.4000000000000004</v>
      </c>
      <c r="L3280" s="2">
        <v>1225.18</v>
      </c>
      <c r="M3280">
        <v>2030</v>
      </c>
      <c r="N3280">
        <v>12</v>
      </c>
      <c r="O3280" t="s">
        <v>187</v>
      </c>
      <c r="P3280" s="2">
        <v>1317.4</v>
      </c>
      <c r="Q3280" s="2">
        <v>92.22</v>
      </c>
      <c r="R3280" t="s">
        <v>69</v>
      </c>
      <c r="S3280">
        <v>1</v>
      </c>
      <c r="T3280">
        <v>0</v>
      </c>
      <c r="U3280">
        <f>IF(AND(OR(Dashboard!$D$4="Semua",D3280=Dashboard!$D$4),OR(Dashboard!$H$4="Semua",E3280=Dashboard!$H$4)),1,0)</f>
        <v>1</v>
      </c>
      <c r="V3280">
        <f>IF(U3280=1,IF(COUNTIFS($C$2:C3280,C3280,$U$2:U3280,1)=1,1,0),0)</f>
        <v>0</v>
      </c>
    </row>
    <row r="3281" spans="1:22" x14ac:dyDescent="0.35">
      <c r="A3281">
        <v>13280</v>
      </c>
      <c r="B3281" s="1">
        <v>47841</v>
      </c>
      <c r="C3281">
        <v>1961</v>
      </c>
      <c r="D3281" t="s">
        <v>73</v>
      </c>
      <c r="E3281" t="s">
        <v>70</v>
      </c>
      <c r="F3281">
        <v>3</v>
      </c>
      <c r="G3281" s="2">
        <v>430.41</v>
      </c>
      <c r="H3281">
        <v>0.31</v>
      </c>
      <c r="I3281" t="s">
        <v>71</v>
      </c>
      <c r="J3281">
        <v>6</v>
      </c>
      <c r="K3281">
        <v>4.4000000000000004</v>
      </c>
      <c r="L3281" s="2">
        <v>890.95</v>
      </c>
      <c r="M3281">
        <v>2030</v>
      </c>
      <c r="N3281">
        <v>12</v>
      </c>
      <c r="O3281" t="s">
        <v>187</v>
      </c>
      <c r="P3281" s="2">
        <v>1291.23</v>
      </c>
      <c r="Q3281" s="2">
        <v>400.28</v>
      </c>
      <c r="R3281" t="s">
        <v>72</v>
      </c>
      <c r="S3281">
        <v>1</v>
      </c>
      <c r="T3281">
        <v>0</v>
      </c>
      <c r="U3281">
        <f>IF(AND(OR(Dashboard!$D$4="Semua",D3281=Dashboard!$D$4),OR(Dashboard!$H$4="Semua",E3281=Dashboard!$H$4)),1,0)</f>
        <v>1</v>
      </c>
      <c r="V3281">
        <f>IF(U3281=1,IF(COUNTIFS($C$2:C3281,C3281,$U$2:U3281,1)=1,1,0),0)</f>
        <v>0</v>
      </c>
    </row>
    <row r="3282" spans="1:22" x14ac:dyDescent="0.35">
      <c r="A3282">
        <v>13281</v>
      </c>
      <c r="B3282" s="1">
        <v>47842</v>
      </c>
      <c r="C3282">
        <v>1792</v>
      </c>
      <c r="D3282" t="s">
        <v>67</v>
      </c>
      <c r="E3282" t="s">
        <v>74</v>
      </c>
      <c r="F3282">
        <v>1</v>
      </c>
      <c r="G3282" s="2">
        <v>47.88</v>
      </c>
      <c r="H3282">
        <v>0.27</v>
      </c>
      <c r="I3282" t="s">
        <v>71</v>
      </c>
      <c r="J3282">
        <v>8</v>
      </c>
      <c r="K3282">
        <v>1.7</v>
      </c>
      <c r="L3282" s="2">
        <v>34.950000000000003</v>
      </c>
      <c r="M3282">
        <v>2030</v>
      </c>
      <c r="N3282">
        <v>12</v>
      </c>
      <c r="O3282" t="s">
        <v>187</v>
      </c>
      <c r="P3282" s="2">
        <v>47.88</v>
      </c>
      <c r="Q3282" s="2">
        <v>12.93</v>
      </c>
      <c r="R3282" t="s">
        <v>66</v>
      </c>
      <c r="S3282">
        <v>1</v>
      </c>
      <c r="T3282">
        <v>0</v>
      </c>
      <c r="U3282">
        <f>IF(AND(OR(Dashboard!$D$4="Semua",D3282=Dashboard!$D$4),OR(Dashboard!$H$4="Semua",E3282=Dashboard!$H$4)),1,0)</f>
        <v>1</v>
      </c>
      <c r="V3282">
        <f>IF(U3282=1,IF(COUNTIFS($C$2:C3282,C3282,$U$2:U3282,1)=1,1,0),0)</f>
        <v>0</v>
      </c>
    </row>
    <row r="3283" spans="1:22" x14ac:dyDescent="0.35">
      <c r="A3283">
        <v>13282</v>
      </c>
      <c r="B3283" s="1">
        <v>47843</v>
      </c>
      <c r="C3283">
        <v>1252</v>
      </c>
      <c r="D3283" t="s">
        <v>73</v>
      </c>
      <c r="E3283" t="s">
        <v>63</v>
      </c>
      <c r="F3283">
        <v>5</v>
      </c>
      <c r="G3283" s="2">
        <v>384.57</v>
      </c>
      <c r="H3283">
        <v>0.25</v>
      </c>
      <c r="I3283" t="s">
        <v>64</v>
      </c>
      <c r="J3283">
        <v>5</v>
      </c>
      <c r="K3283">
        <v>1.6</v>
      </c>
      <c r="L3283" s="2">
        <v>1442.14</v>
      </c>
      <c r="M3283">
        <v>2030</v>
      </c>
      <c r="N3283">
        <v>12</v>
      </c>
      <c r="O3283" t="s">
        <v>187</v>
      </c>
      <c r="P3283" s="2">
        <v>1922.85</v>
      </c>
      <c r="Q3283" s="2">
        <v>480.71</v>
      </c>
      <c r="R3283" t="s">
        <v>77</v>
      </c>
      <c r="S3283">
        <v>1</v>
      </c>
      <c r="T3283">
        <v>0</v>
      </c>
      <c r="U3283">
        <f>IF(AND(OR(Dashboard!$D$4="Semua",D3283=Dashboard!$D$4),OR(Dashboard!$H$4="Semua",E3283=Dashboard!$H$4)),1,0)</f>
        <v>1</v>
      </c>
      <c r="V3283">
        <f>IF(U3283=1,IF(COUNTIFS($C$2:C3283,C3283,$U$2:U3283,1)=1,1,0),0)</f>
        <v>0</v>
      </c>
    </row>
    <row r="3284" spans="1:22" x14ac:dyDescent="0.35">
      <c r="A3284">
        <v>13283</v>
      </c>
      <c r="B3284" s="1">
        <v>47844</v>
      </c>
      <c r="C3284">
        <v>1821</v>
      </c>
      <c r="D3284" t="s">
        <v>62</v>
      </c>
      <c r="E3284" t="s">
        <v>78</v>
      </c>
      <c r="F3284">
        <v>5</v>
      </c>
      <c r="G3284" s="2">
        <v>462.32</v>
      </c>
      <c r="H3284">
        <v>0.03</v>
      </c>
      <c r="I3284" t="s">
        <v>68</v>
      </c>
      <c r="J3284">
        <v>9</v>
      </c>
      <c r="K3284">
        <v>4.3</v>
      </c>
      <c r="L3284" s="2">
        <v>2242.25</v>
      </c>
      <c r="M3284">
        <v>2030</v>
      </c>
      <c r="N3284">
        <v>12</v>
      </c>
      <c r="O3284" t="s">
        <v>187</v>
      </c>
      <c r="P3284" s="2">
        <v>2311.6</v>
      </c>
      <c r="Q3284" s="2">
        <v>69.349999999999994</v>
      </c>
      <c r="R3284" t="s">
        <v>75</v>
      </c>
      <c r="S3284">
        <v>1</v>
      </c>
      <c r="T3284">
        <v>0</v>
      </c>
      <c r="U3284">
        <f>IF(AND(OR(Dashboard!$D$4="Semua",D3284=Dashboard!$D$4),OR(Dashboard!$H$4="Semua",E3284=Dashboard!$H$4)),1,0)</f>
        <v>1</v>
      </c>
      <c r="V3284">
        <f>IF(U3284=1,IF(COUNTIFS($C$2:C3284,C3284,$U$2:U3284,1)=1,1,0),0)</f>
        <v>0</v>
      </c>
    </row>
    <row r="3285" spans="1:22" x14ac:dyDescent="0.35">
      <c r="A3285">
        <v>13284</v>
      </c>
      <c r="B3285" s="1">
        <v>47845</v>
      </c>
      <c r="C3285">
        <v>1288</v>
      </c>
      <c r="D3285" t="s">
        <v>62</v>
      </c>
      <c r="E3285" t="s">
        <v>63</v>
      </c>
      <c r="F3285">
        <v>6</v>
      </c>
      <c r="G3285" s="2">
        <v>470.43</v>
      </c>
      <c r="H3285">
        <v>0.01</v>
      </c>
      <c r="I3285" t="s">
        <v>68</v>
      </c>
      <c r="J3285">
        <v>9</v>
      </c>
      <c r="K3285">
        <v>3.2</v>
      </c>
      <c r="L3285" s="2">
        <v>2794.35</v>
      </c>
      <c r="M3285">
        <v>2030</v>
      </c>
      <c r="N3285">
        <v>12</v>
      </c>
      <c r="O3285" t="s">
        <v>187</v>
      </c>
      <c r="P3285" s="2">
        <v>2822.58</v>
      </c>
      <c r="Q3285" s="2">
        <v>28.23</v>
      </c>
      <c r="R3285" t="s">
        <v>75</v>
      </c>
      <c r="S3285">
        <v>1</v>
      </c>
      <c r="T3285">
        <v>0</v>
      </c>
      <c r="U3285">
        <f>IF(AND(OR(Dashboard!$D$4="Semua",D3285=Dashboard!$D$4),OR(Dashboard!$H$4="Semua",E3285=Dashboard!$H$4)),1,0)</f>
        <v>1</v>
      </c>
      <c r="V3285">
        <f>IF(U3285=1,IF(COUNTIFS($C$2:C3285,C3285,$U$2:U3285,1)=1,1,0),0)</f>
        <v>0</v>
      </c>
    </row>
    <row r="3286" spans="1:22" x14ac:dyDescent="0.35">
      <c r="A3286">
        <v>13285</v>
      </c>
      <c r="B3286" s="1">
        <v>47846</v>
      </c>
      <c r="C3286">
        <v>1163</v>
      </c>
      <c r="D3286" t="s">
        <v>62</v>
      </c>
      <c r="E3286" t="s">
        <v>78</v>
      </c>
      <c r="F3286">
        <v>4</v>
      </c>
      <c r="G3286" s="2">
        <v>465.52</v>
      </c>
      <c r="H3286">
        <v>0.21</v>
      </c>
      <c r="I3286" t="s">
        <v>71</v>
      </c>
      <c r="J3286">
        <v>2</v>
      </c>
      <c r="K3286">
        <v>3.5</v>
      </c>
      <c r="L3286" s="2">
        <v>1471.04</v>
      </c>
      <c r="M3286">
        <v>2030</v>
      </c>
      <c r="N3286">
        <v>12</v>
      </c>
      <c r="O3286" t="s">
        <v>187</v>
      </c>
      <c r="P3286" s="2">
        <v>1862.08</v>
      </c>
      <c r="Q3286" s="2">
        <v>391.04</v>
      </c>
      <c r="R3286" t="s">
        <v>77</v>
      </c>
      <c r="S3286">
        <v>1</v>
      </c>
      <c r="T3286">
        <v>0</v>
      </c>
      <c r="U3286">
        <f>IF(AND(OR(Dashboard!$D$4="Semua",D3286=Dashboard!$D$4),OR(Dashboard!$H$4="Semua",E3286=Dashboard!$H$4)),1,0)</f>
        <v>1</v>
      </c>
      <c r="V3286">
        <f>IF(U3286=1,IF(COUNTIFS($C$2:C3286,C3286,$U$2:U3286,1)=1,1,0),0)</f>
        <v>1</v>
      </c>
    </row>
    <row r="3287" spans="1:22" x14ac:dyDescent="0.35">
      <c r="A3287">
        <v>13286</v>
      </c>
      <c r="B3287" s="1">
        <v>47847</v>
      </c>
      <c r="C3287">
        <v>1094</v>
      </c>
      <c r="D3287" t="s">
        <v>67</v>
      </c>
      <c r="E3287" t="s">
        <v>78</v>
      </c>
      <c r="F3287">
        <v>4</v>
      </c>
      <c r="G3287" s="2">
        <v>147.38</v>
      </c>
      <c r="H3287">
        <v>0.3</v>
      </c>
      <c r="I3287" t="s">
        <v>71</v>
      </c>
      <c r="J3287">
        <v>5</v>
      </c>
      <c r="K3287">
        <v>4.2</v>
      </c>
      <c r="L3287" s="2">
        <v>412.66</v>
      </c>
      <c r="M3287">
        <v>2030</v>
      </c>
      <c r="N3287">
        <v>12</v>
      </c>
      <c r="O3287" t="s">
        <v>187</v>
      </c>
      <c r="P3287" s="2">
        <v>589.52</v>
      </c>
      <c r="Q3287" s="2">
        <v>176.86</v>
      </c>
      <c r="R3287" t="s">
        <v>66</v>
      </c>
      <c r="S3287">
        <v>1</v>
      </c>
      <c r="T3287">
        <v>0</v>
      </c>
      <c r="U3287">
        <f>IF(AND(OR(Dashboard!$D$4="Semua",D3287=Dashboard!$D$4),OR(Dashboard!$H$4="Semua",E3287=Dashboard!$H$4)),1,0)</f>
        <v>1</v>
      </c>
      <c r="V3287">
        <f>IF(U3287=1,IF(COUNTIFS($C$2:C3287,C3287,$U$2:U3287,1)=1,1,0),0)</f>
        <v>0</v>
      </c>
    </row>
    <row r="3288" spans="1:22" x14ac:dyDescent="0.35">
      <c r="A3288">
        <v>13287</v>
      </c>
      <c r="B3288" s="1">
        <v>47848</v>
      </c>
      <c r="C3288">
        <v>1781</v>
      </c>
      <c r="D3288" t="s">
        <v>80</v>
      </c>
      <c r="E3288" t="s">
        <v>78</v>
      </c>
      <c r="F3288">
        <v>7</v>
      </c>
      <c r="G3288" s="2">
        <v>585.61</v>
      </c>
      <c r="H3288">
        <v>0.2</v>
      </c>
      <c r="I3288" t="s">
        <v>68</v>
      </c>
      <c r="J3288">
        <v>7</v>
      </c>
      <c r="K3288">
        <v>1.8</v>
      </c>
      <c r="L3288" s="2">
        <v>3279.42</v>
      </c>
      <c r="M3288">
        <v>2030</v>
      </c>
      <c r="N3288">
        <v>12</v>
      </c>
      <c r="O3288" t="s">
        <v>187</v>
      </c>
      <c r="P3288" s="2">
        <v>4099.2700000000004</v>
      </c>
      <c r="Q3288" s="2">
        <v>819.85</v>
      </c>
      <c r="R3288" t="s">
        <v>76</v>
      </c>
      <c r="S3288">
        <v>1</v>
      </c>
      <c r="T3288">
        <v>1</v>
      </c>
      <c r="U3288">
        <f>IF(AND(OR(Dashboard!$D$4="Semua",D3288=Dashboard!$D$4),OR(Dashboard!$H$4="Semua",E3288=Dashboard!$H$4)),1,0)</f>
        <v>1</v>
      </c>
      <c r="V3288">
        <f>IF(U3288=1,IF(COUNTIFS($C$2:C3288,C3288,$U$2:U3288,1)=1,1,0),0)</f>
        <v>0</v>
      </c>
    </row>
    <row r="3289" spans="1:22" x14ac:dyDescent="0.35">
      <c r="A3289">
        <v>13288</v>
      </c>
      <c r="B3289" s="1">
        <v>47849</v>
      </c>
      <c r="C3289">
        <v>1832</v>
      </c>
      <c r="D3289" t="s">
        <v>73</v>
      </c>
      <c r="E3289" t="s">
        <v>74</v>
      </c>
      <c r="F3289">
        <v>1</v>
      </c>
      <c r="G3289" s="2">
        <v>597.17999999999995</v>
      </c>
      <c r="H3289">
        <v>7.0000000000000007E-2</v>
      </c>
      <c r="I3289" t="s">
        <v>71</v>
      </c>
      <c r="J3289">
        <v>2</v>
      </c>
      <c r="K3289">
        <v>1.5</v>
      </c>
      <c r="L3289" s="2">
        <v>555.38</v>
      </c>
      <c r="M3289">
        <v>2031</v>
      </c>
      <c r="N3289">
        <v>1</v>
      </c>
      <c r="O3289" t="s">
        <v>188</v>
      </c>
      <c r="P3289" s="2">
        <v>597.17999999999995</v>
      </c>
      <c r="Q3289" s="2">
        <v>41.8</v>
      </c>
      <c r="R3289" t="s">
        <v>69</v>
      </c>
      <c r="S3289">
        <v>1</v>
      </c>
      <c r="T3289">
        <v>0</v>
      </c>
      <c r="U3289">
        <f>IF(AND(OR(Dashboard!$D$4="Semua",D3289=Dashboard!$D$4),OR(Dashboard!$H$4="Semua",E3289=Dashboard!$H$4)),1,0)</f>
        <v>1</v>
      </c>
      <c r="V3289">
        <f>IF(U3289=1,IF(COUNTIFS($C$2:C3289,C3289,$U$2:U3289,1)=1,1,0),0)</f>
        <v>0</v>
      </c>
    </row>
    <row r="3290" spans="1:22" x14ac:dyDescent="0.35">
      <c r="A3290">
        <v>13289</v>
      </c>
      <c r="B3290" s="1">
        <v>47850</v>
      </c>
      <c r="C3290">
        <v>1109</v>
      </c>
      <c r="D3290" t="s">
        <v>73</v>
      </c>
      <c r="E3290" t="s">
        <v>70</v>
      </c>
      <c r="F3290">
        <v>3</v>
      </c>
      <c r="G3290" s="2">
        <v>59.22</v>
      </c>
      <c r="H3290">
        <v>0.03</v>
      </c>
      <c r="I3290" t="s">
        <v>71</v>
      </c>
      <c r="J3290">
        <v>7</v>
      </c>
      <c r="K3290">
        <v>4.4000000000000004</v>
      </c>
      <c r="L3290" s="2">
        <v>172.33</v>
      </c>
      <c r="M3290">
        <v>2031</v>
      </c>
      <c r="N3290">
        <v>1</v>
      </c>
      <c r="O3290" t="s">
        <v>188</v>
      </c>
      <c r="P3290" s="2">
        <v>177.66</v>
      </c>
      <c r="Q3290" s="2">
        <v>5.33</v>
      </c>
      <c r="R3290" t="s">
        <v>75</v>
      </c>
      <c r="S3290">
        <v>1</v>
      </c>
      <c r="T3290">
        <v>0</v>
      </c>
      <c r="U3290">
        <f>IF(AND(OR(Dashboard!$D$4="Semua",D3290=Dashboard!$D$4),OR(Dashboard!$H$4="Semua",E3290=Dashboard!$H$4)),1,0)</f>
        <v>1</v>
      </c>
      <c r="V3290">
        <f>IF(U3290=1,IF(COUNTIFS($C$2:C3290,C3290,$U$2:U3290,1)=1,1,0),0)</f>
        <v>1</v>
      </c>
    </row>
    <row r="3291" spans="1:22" x14ac:dyDescent="0.35">
      <c r="A3291">
        <v>13290</v>
      </c>
      <c r="B3291" s="1">
        <v>47851</v>
      </c>
      <c r="C3291">
        <v>1335</v>
      </c>
      <c r="D3291" t="s">
        <v>73</v>
      </c>
      <c r="E3291" t="s">
        <v>70</v>
      </c>
      <c r="F3291">
        <v>5</v>
      </c>
      <c r="G3291" s="2">
        <v>562.82000000000005</v>
      </c>
      <c r="H3291">
        <v>0.24</v>
      </c>
      <c r="I3291" t="s">
        <v>71</v>
      </c>
      <c r="J3291">
        <v>9</v>
      </c>
      <c r="K3291">
        <v>1.4</v>
      </c>
      <c r="L3291" s="2">
        <v>2138.7199999999998</v>
      </c>
      <c r="M3291">
        <v>2031</v>
      </c>
      <c r="N3291">
        <v>1</v>
      </c>
      <c r="O3291" t="s">
        <v>188</v>
      </c>
      <c r="P3291" s="2">
        <v>2814.1</v>
      </c>
      <c r="Q3291" s="2">
        <v>675.38</v>
      </c>
      <c r="R3291" t="s">
        <v>77</v>
      </c>
      <c r="S3291">
        <v>1</v>
      </c>
      <c r="T3291">
        <v>0</v>
      </c>
      <c r="U3291">
        <f>IF(AND(OR(Dashboard!$D$4="Semua",D3291=Dashboard!$D$4),OR(Dashboard!$H$4="Semua",E3291=Dashboard!$H$4)),1,0)</f>
        <v>1</v>
      </c>
      <c r="V3291">
        <f>IF(U3291=1,IF(COUNTIFS($C$2:C3291,C3291,$U$2:U3291,1)=1,1,0),0)</f>
        <v>0</v>
      </c>
    </row>
    <row r="3292" spans="1:22" x14ac:dyDescent="0.35">
      <c r="A3292">
        <v>13291</v>
      </c>
      <c r="B3292" s="1">
        <v>47852</v>
      </c>
      <c r="C3292">
        <v>1821</v>
      </c>
      <c r="D3292" t="s">
        <v>67</v>
      </c>
      <c r="E3292" t="s">
        <v>74</v>
      </c>
      <c r="F3292">
        <v>6</v>
      </c>
      <c r="G3292" s="2">
        <v>184.33</v>
      </c>
      <c r="H3292">
        <v>0.25</v>
      </c>
      <c r="I3292" t="s">
        <v>64</v>
      </c>
      <c r="J3292">
        <v>8</v>
      </c>
      <c r="K3292">
        <v>1.4</v>
      </c>
      <c r="L3292" s="2">
        <v>829.48</v>
      </c>
      <c r="M3292">
        <v>2031</v>
      </c>
      <c r="N3292">
        <v>1</v>
      </c>
      <c r="O3292" t="s">
        <v>188</v>
      </c>
      <c r="P3292" s="2">
        <v>1105.98</v>
      </c>
      <c r="Q3292" s="2">
        <v>276.5</v>
      </c>
      <c r="R3292" t="s">
        <v>77</v>
      </c>
      <c r="S3292">
        <v>1</v>
      </c>
      <c r="T3292">
        <v>0</v>
      </c>
      <c r="U3292">
        <f>IF(AND(OR(Dashboard!$D$4="Semua",D3292=Dashboard!$D$4),OR(Dashboard!$H$4="Semua",E3292=Dashboard!$H$4)),1,0)</f>
        <v>1</v>
      </c>
      <c r="V3292">
        <f>IF(U3292=1,IF(COUNTIFS($C$2:C3292,C3292,$U$2:U3292,1)=1,1,0),0)</f>
        <v>0</v>
      </c>
    </row>
    <row r="3293" spans="1:22" x14ac:dyDescent="0.35">
      <c r="A3293">
        <v>13292</v>
      </c>
      <c r="B3293" s="1">
        <v>47853</v>
      </c>
      <c r="C3293">
        <v>1237</v>
      </c>
      <c r="D3293" t="s">
        <v>67</v>
      </c>
      <c r="E3293" t="s">
        <v>70</v>
      </c>
      <c r="F3293">
        <v>4</v>
      </c>
      <c r="G3293" s="2">
        <v>418.23</v>
      </c>
      <c r="H3293">
        <v>0.06</v>
      </c>
      <c r="I3293" t="s">
        <v>68</v>
      </c>
      <c r="J3293">
        <v>10</v>
      </c>
      <c r="K3293">
        <v>2.1</v>
      </c>
      <c r="L3293" s="2">
        <v>1572.54</v>
      </c>
      <c r="M3293">
        <v>2031</v>
      </c>
      <c r="N3293">
        <v>1</v>
      </c>
      <c r="O3293" t="s">
        <v>188</v>
      </c>
      <c r="P3293" s="2">
        <v>1672.92</v>
      </c>
      <c r="Q3293" s="2">
        <v>100.38</v>
      </c>
      <c r="R3293" t="s">
        <v>69</v>
      </c>
      <c r="S3293">
        <v>1</v>
      </c>
      <c r="T3293">
        <v>0</v>
      </c>
      <c r="U3293">
        <f>IF(AND(OR(Dashboard!$D$4="Semua",D3293=Dashboard!$D$4),OR(Dashboard!$H$4="Semua",E3293=Dashboard!$H$4)),1,0)</f>
        <v>1</v>
      </c>
      <c r="V3293">
        <f>IF(U3293=1,IF(COUNTIFS($C$2:C3293,C3293,$U$2:U3293,1)=1,1,0),0)</f>
        <v>1</v>
      </c>
    </row>
    <row r="3294" spans="1:22" x14ac:dyDescent="0.35">
      <c r="A3294">
        <v>13293</v>
      </c>
      <c r="B3294" s="1">
        <v>47854</v>
      </c>
      <c r="C3294">
        <v>1380</v>
      </c>
      <c r="D3294" t="s">
        <v>67</v>
      </c>
      <c r="E3294" t="s">
        <v>74</v>
      </c>
      <c r="F3294">
        <v>5</v>
      </c>
      <c r="G3294" s="2">
        <v>212.79</v>
      </c>
      <c r="H3294">
        <v>0.01</v>
      </c>
      <c r="I3294" t="s">
        <v>71</v>
      </c>
      <c r="J3294">
        <v>9</v>
      </c>
      <c r="K3294">
        <v>2.2999999999999998</v>
      </c>
      <c r="L3294" s="2">
        <v>1053.31</v>
      </c>
      <c r="M3294">
        <v>2031</v>
      </c>
      <c r="N3294">
        <v>1</v>
      </c>
      <c r="O3294" t="s">
        <v>188</v>
      </c>
      <c r="P3294" s="2">
        <v>1063.95</v>
      </c>
      <c r="Q3294" s="2">
        <v>10.64</v>
      </c>
      <c r="R3294" t="s">
        <v>75</v>
      </c>
      <c r="S3294">
        <v>1</v>
      </c>
      <c r="T3294">
        <v>0</v>
      </c>
      <c r="U3294">
        <f>IF(AND(OR(Dashboard!$D$4="Semua",D3294=Dashboard!$D$4),OR(Dashboard!$H$4="Semua",E3294=Dashboard!$H$4)),1,0)</f>
        <v>1</v>
      </c>
      <c r="V3294">
        <f>IF(U3294=1,IF(COUNTIFS($C$2:C3294,C3294,$U$2:U3294,1)=1,1,0),0)</f>
        <v>0</v>
      </c>
    </row>
    <row r="3295" spans="1:22" x14ac:dyDescent="0.35">
      <c r="A3295">
        <v>13294</v>
      </c>
      <c r="B3295" s="1">
        <v>47855</v>
      </c>
      <c r="C3295">
        <v>1435</v>
      </c>
      <c r="D3295" t="s">
        <v>73</v>
      </c>
      <c r="E3295" t="s">
        <v>63</v>
      </c>
      <c r="F3295">
        <v>6</v>
      </c>
      <c r="G3295" s="2">
        <v>581.14</v>
      </c>
      <c r="H3295">
        <v>0.14000000000000001</v>
      </c>
      <c r="I3295" t="s">
        <v>71</v>
      </c>
      <c r="J3295">
        <v>4</v>
      </c>
      <c r="K3295">
        <v>2</v>
      </c>
      <c r="L3295" s="2">
        <v>2998.68</v>
      </c>
      <c r="M3295">
        <v>2031</v>
      </c>
      <c r="N3295">
        <v>1</v>
      </c>
      <c r="O3295" t="s">
        <v>188</v>
      </c>
      <c r="P3295" s="2">
        <v>3486.84</v>
      </c>
      <c r="Q3295" s="2">
        <v>488.16</v>
      </c>
      <c r="R3295" t="s">
        <v>79</v>
      </c>
      <c r="S3295">
        <v>1</v>
      </c>
      <c r="T3295">
        <v>0</v>
      </c>
      <c r="U3295">
        <f>IF(AND(OR(Dashboard!$D$4="Semua",D3295=Dashboard!$D$4),OR(Dashboard!$H$4="Semua",E3295=Dashboard!$H$4)),1,0)</f>
        <v>1</v>
      </c>
      <c r="V3295">
        <f>IF(U3295=1,IF(COUNTIFS($C$2:C3295,C3295,$U$2:U3295,1)=1,1,0),0)</f>
        <v>0</v>
      </c>
    </row>
    <row r="3296" spans="1:22" x14ac:dyDescent="0.35">
      <c r="A3296">
        <v>13295</v>
      </c>
      <c r="B3296" s="1">
        <v>47856</v>
      </c>
      <c r="C3296">
        <v>1898</v>
      </c>
      <c r="D3296" t="s">
        <v>67</v>
      </c>
      <c r="E3296" t="s">
        <v>74</v>
      </c>
      <c r="F3296">
        <v>2</v>
      </c>
      <c r="G3296" s="2">
        <v>74.38</v>
      </c>
      <c r="H3296">
        <v>0.2</v>
      </c>
      <c r="I3296" t="s">
        <v>68</v>
      </c>
      <c r="J3296">
        <v>8</v>
      </c>
      <c r="K3296">
        <v>4</v>
      </c>
      <c r="L3296" s="2">
        <v>119.01</v>
      </c>
      <c r="M3296">
        <v>2031</v>
      </c>
      <c r="N3296">
        <v>1</v>
      </c>
      <c r="O3296" t="s">
        <v>188</v>
      </c>
      <c r="P3296" s="2">
        <v>148.76</v>
      </c>
      <c r="Q3296" s="2">
        <v>29.75</v>
      </c>
      <c r="R3296" t="s">
        <v>76</v>
      </c>
      <c r="S3296">
        <v>1</v>
      </c>
      <c r="T3296">
        <v>0</v>
      </c>
      <c r="U3296">
        <f>IF(AND(OR(Dashboard!$D$4="Semua",D3296=Dashboard!$D$4),OR(Dashboard!$H$4="Semua",E3296=Dashboard!$H$4)),1,0)</f>
        <v>1</v>
      </c>
      <c r="V3296">
        <f>IF(U3296=1,IF(COUNTIFS($C$2:C3296,C3296,$U$2:U3296,1)=1,1,0),0)</f>
        <v>0</v>
      </c>
    </row>
    <row r="3297" spans="1:22" x14ac:dyDescent="0.35">
      <c r="A3297">
        <v>13296</v>
      </c>
      <c r="B3297" s="1">
        <v>47857</v>
      </c>
      <c r="C3297">
        <v>1482</v>
      </c>
      <c r="D3297" t="s">
        <v>80</v>
      </c>
      <c r="E3297" t="s">
        <v>70</v>
      </c>
      <c r="F3297">
        <v>5</v>
      </c>
      <c r="G3297" s="2">
        <v>306.18</v>
      </c>
      <c r="H3297">
        <v>0.25</v>
      </c>
      <c r="I3297" t="s">
        <v>68</v>
      </c>
      <c r="J3297">
        <v>9</v>
      </c>
      <c r="K3297">
        <v>4.9000000000000004</v>
      </c>
      <c r="L3297" s="2">
        <v>1148.18</v>
      </c>
      <c r="M3297">
        <v>2031</v>
      </c>
      <c r="N3297">
        <v>1</v>
      </c>
      <c r="O3297" t="s">
        <v>188</v>
      </c>
      <c r="P3297" s="2">
        <v>1530.9</v>
      </c>
      <c r="Q3297" s="2">
        <v>382.72</v>
      </c>
      <c r="R3297" t="s">
        <v>77</v>
      </c>
      <c r="S3297">
        <v>1</v>
      </c>
      <c r="T3297">
        <v>0</v>
      </c>
      <c r="U3297">
        <f>IF(AND(OR(Dashboard!$D$4="Semua",D3297=Dashboard!$D$4),OR(Dashboard!$H$4="Semua",E3297=Dashboard!$H$4)),1,0)</f>
        <v>1</v>
      </c>
      <c r="V3297">
        <f>IF(U3297=1,IF(COUNTIFS($C$2:C3297,C3297,$U$2:U3297,1)=1,1,0),0)</f>
        <v>0</v>
      </c>
    </row>
    <row r="3298" spans="1:22" x14ac:dyDescent="0.35">
      <c r="A3298">
        <v>13297</v>
      </c>
      <c r="B3298" s="1">
        <v>47858</v>
      </c>
      <c r="C3298">
        <v>1936</v>
      </c>
      <c r="D3298" t="s">
        <v>67</v>
      </c>
      <c r="E3298" t="s">
        <v>70</v>
      </c>
      <c r="F3298">
        <v>3</v>
      </c>
      <c r="G3298" s="2">
        <v>265.41000000000003</v>
      </c>
      <c r="H3298">
        <v>0.28000000000000003</v>
      </c>
      <c r="I3298" t="s">
        <v>68</v>
      </c>
      <c r="J3298">
        <v>10</v>
      </c>
      <c r="K3298">
        <v>1.8</v>
      </c>
      <c r="L3298" s="2">
        <v>573.29</v>
      </c>
      <c r="M3298">
        <v>2031</v>
      </c>
      <c r="N3298">
        <v>1</v>
      </c>
      <c r="O3298" t="s">
        <v>188</v>
      </c>
      <c r="P3298" s="2">
        <v>796.23</v>
      </c>
      <c r="Q3298" s="2">
        <v>222.94</v>
      </c>
      <c r="R3298" t="s">
        <v>66</v>
      </c>
      <c r="S3298">
        <v>1</v>
      </c>
      <c r="T3298">
        <v>0</v>
      </c>
      <c r="U3298">
        <f>IF(AND(OR(Dashboard!$D$4="Semua",D3298=Dashboard!$D$4),OR(Dashboard!$H$4="Semua",E3298=Dashboard!$H$4)),1,0)</f>
        <v>1</v>
      </c>
      <c r="V3298">
        <f>IF(U3298=1,IF(COUNTIFS($C$2:C3298,C3298,$U$2:U3298,1)=1,1,0),0)</f>
        <v>0</v>
      </c>
    </row>
    <row r="3299" spans="1:22" x14ac:dyDescent="0.35">
      <c r="A3299">
        <v>13298</v>
      </c>
      <c r="B3299" s="1">
        <v>47859</v>
      </c>
      <c r="C3299">
        <v>1901</v>
      </c>
      <c r="D3299" t="s">
        <v>80</v>
      </c>
      <c r="E3299" t="s">
        <v>63</v>
      </c>
      <c r="F3299">
        <v>6</v>
      </c>
      <c r="G3299" s="2">
        <v>205.72</v>
      </c>
      <c r="H3299">
        <v>0.21</v>
      </c>
      <c r="I3299" t="s">
        <v>71</v>
      </c>
      <c r="J3299">
        <v>2</v>
      </c>
      <c r="K3299">
        <v>4.0999999999999996</v>
      </c>
      <c r="L3299" s="2">
        <v>975.11</v>
      </c>
      <c r="M3299">
        <v>2031</v>
      </c>
      <c r="N3299">
        <v>1</v>
      </c>
      <c r="O3299" t="s">
        <v>188</v>
      </c>
      <c r="P3299" s="2">
        <v>1234.32</v>
      </c>
      <c r="Q3299" s="2">
        <v>259.20999999999998</v>
      </c>
      <c r="R3299" t="s">
        <v>77</v>
      </c>
      <c r="S3299">
        <v>1</v>
      </c>
      <c r="T3299">
        <v>0</v>
      </c>
      <c r="U3299">
        <f>IF(AND(OR(Dashboard!$D$4="Semua",D3299=Dashboard!$D$4),OR(Dashboard!$H$4="Semua",E3299=Dashboard!$H$4)),1,0)</f>
        <v>1</v>
      </c>
      <c r="V3299">
        <f>IF(U3299=1,IF(COUNTIFS($C$2:C3299,C3299,$U$2:U3299,1)=1,1,0),0)</f>
        <v>0</v>
      </c>
    </row>
    <row r="3300" spans="1:22" x14ac:dyDescent="0.35">
      <c r="A3300">
        <v>13299</v>
      </c>
      <c r="B3300" s="1">
        <v>47860</v>
      </c>
      <c r="C3300">
        <v>1024</v>
      </c>
      <c r="D3300" t="s">
        <v>73</v>
      </c>
      <c r="E3300" t="s">
        <v>74</v>
      </c>
      <c r="F3300">
        <v>3</v>
      </c>
      <c r="G3300" s="2">
        <v>392.64</v>
      </c>
      <c r="H3300">
        <v>0.04</v>
      </c>
      <c r="I3300" t="s">
        <v>68</v>
      </c>
      <c r="J3300">
        <v>10</v>
      </c>
      <c r="K3300">
        <v>1.2</v>
      </c>
      <c r="L3300" s="2">
        <v>1130.8</v>
      </c>
      <c r="M3300">
        <v>2031</v>
      </c>
      <c r="N3300">
        <v>1</v>
      </c>
      <c r="O3300" t="s">
        <v>188</v>
      </c>
      <c r="P3300" s="2">
        <v>1177.92</v>
      </c>
      <c r="Q3300" s="2">
        <v>47.12</v>
      </c>
      <c r="R3300" t="s">
        <v>75</v>
      </c>
      <c r="S3300">
        <v>1</v>
      </c>
      <c r="T3300">
        <v>0</v>
      </c>
      <c r="U3300">
        <f>IF(AND(OR(Dashboard!$D$4="Semua",D3300=Dashboard!$D$4),OR(Dashboard!$H$4="Semua",E3300=Dashboard!$H$4)),1,0)</f>
        <v>1</v>
      </c>
      <c r="V3300">
        <f>IF(U3300=1,IF(COUNTIFS($C$2:C3300,C3300,$U$2:U3300,1)=1,1,0),0)</f>
        <v>0</v>
      </c>
    </row>
    <row r="3301" spans="1:22" x14ac:dyDescent="0.35">
      <c r="A3301">
        <v>13300</v>
      </c>
      <c r="B3301" s="1">
        <v>47861</v>
      </c>
      <c r="C3301">
        <v>1652</v>
      </c>
      <c r="D3301" t="s">
        <v>80</v>
      </c>
      <c r="E3301" t="s">
        <v>63</v>
      </c>
      <c r="F3301">
        <v>5</v>
      </c>
      <c r="G3301" s="2">
        <v>91.67</v>
      </c>
      <c r="H3301">
        <v>0.24</v>
      </c>
      <c r="I3301" t="s">
        <v>68</v>
      </c>
      <c r="J3301">
        <v>3</v>
      </c>
      <c r="K3301">
        <v>1.5</v>
      </c>
      <c r="L3301" s="2">
        <v>348.35</v>
      </c>
      <c r="M3301">
        <v>2031</v>
      </c>
      <c r="N3301">
        <v>1</v>
      </c>
      <c r="O3301" t="s">
        <v>188</v>
      </c>
      <c r="P3301" s="2">
        <v>458.35</v>
      </c>
      <c r="Q3301" s="2">
        <v>110</v>
      </c>
      <c r="R3301" t="s">
        <v>77</v>
      </c>
      <c r="S3301">
        <v>1</v>
      </c>
      <c r="T3301">
        <v>0</v>
      </c>
      <c r="U3301">
        <f>IF(AND(OR(Dashboard!$D$4="Semua",D3301=Dashboard!$D$4),OR(Dashboard!$H$4="Semua",E3301=Dashboard!$H$4)),1,0)</f>
        <v>1</v>
      </c>
      <c r="V3301">
        <f>IF(U3301=1,IF(COUNTIFS($C$2:C3301,C3301,$U$2:U3301,1)=1,1,0),0)</f>
        <v>0</v>
      </c>
    </row>
    <row r="3302" spans="1:22" x14ac:dyDescent="0.35">
      <c r="A3302">
        <v>13301</v>
      </c>
      <c r="B3302" s="1">
        <v>47862</v>
      </c>
      <c r="C3302">
        <v>1116</v>
      </c>
      <c r="D3302" t="s">
        <v>67</v>
      </c>
      <c r="E3302" t="s">
        <v>78</v>
      </c>
      <c r="F3302">
        <v>2</v>
      </c>
      <c r="G3302" s="2">
        <v>434.25</v>
      </c>
      <c r="H3302">
        <v>0.34</v>
      </c>
      <c r="I3302" t="s">
        <v>68</v>
      </c>
      <c r="J3302">
        <v>1</v>
      </c>
      <c r="K3302">
        <v>3.1</v>
      </c>
      <c r="L3302" s="2">
        <v>573.21</v>
      </c>
      <c r="M3302">
        <v>2031</v>
      </c>
      <c r="N3302">
        <v>1</v>
      </c>
      <c r="O3302" t="s">
        <v>188</v>
      </c>
      <c r="P3302" s="2">
        <v>868.5</v>
      </c>
      <c r="Q3302" s="2">
        <v>295.29000000000002</v>
      </c>
      <c r="R3302" t="s">
        <v>72</v>
      </c>
      <c r="S3302">
        <v>1</v>
      </c>
      <c r="T3302">
        <v>0</v>
      </c>
      <c r="U3302">
        <f>IF(AND(OR(Dashboard!$D$4="Semua",D3302=Dashboard!$D$4),OR(Dashboard!$H$4="Semua",E3302=Dashboard!$H$4)),1,0)</f>
        <v>1</v>
      </c>
      <c r="V3302">
        <f>IF(U3302=1,IF(COUNTIFS($C$2:C3302,C3302,$U$2:U3302,1)=1,1,0),0)</f>
        <v>0</v>
      </c>
    </row>
    <row r="3303" spans="1:22" x14ac:dyDescent="0.35">
      <c r="A3303">
        <v>13302</v>
      </c>
      <c r="B3303" s="1">
        <v>47863</v>
      </c>
      <c r="C3303">
        <v>1481</v>
      </c>
      <c r="D3303" t="s">
        <v>73</v>
      </c>
      <c r="E3303" t="s">
        <v>74</v>
      </c>
      <c r="F3303">
        <v>3</v>
      </c>
      <c r="G3303" s="2">
        <v>588.65</v>
      </c>
      <c r="H3303">
        <v>0.32</v>
      </c>
      <c r="I3303" t="s">
        <v>71</v>
      </c>
      <c r="J3303">
        <v>1</v>
      </c>
      <c r="K3303">
        <v>5</v>
      </c>
      <c r="L3303" s="2">
        <v>1200.8499999999999</v>
      </c>
      <c r="M3303">
        <v>2031</v>
      </c>
      <c r="N3303">
        <v>1</v>
      </c>
      <c r="O3303" t="s">
        <v>188</v>
      </c>
      <c r="P3303" s="2">
        <v>1765.95</v>
      </c>
      <c r="Q3303" s="2">
        <v>565.1</v>
      </c>
      <c r="R3303" t="s">
        <v>72</v>
      </c>
      <c r="S3303">
        <v>1</v>
      </c>
      <c r="T3303">
        <v>0</v>
      </c>
      <c r="U3303">
        <f>IF(AND(OR(Dashboard!$D$4="Semua",D3303=Dashboard!$D$4),OR(Dashboard!$H$4="Semua",E3303=Dashboard!$H$4)),1,0)</f>
        <v>1</v>
      </c>
      <c r="V3303">
        <f>IF(U3303=1,IF(COUNTIFS($C$2:C3303,C3303,$U$2:U3303,1)=1,1,0),0)</f>
        <v>0</v>
      </c>
    </row>
    <row r="3304" spans="1:22" x14ac:dyDescent="0.35">
      <c r="A3304">
        <v>13303</v>
      </c>
      <c r="B3304" s="1">
        <v>47864</v>
      </c>
      <c r="C3304">
        <v>1391</v>
      </c>
      <c r="D3304" t="s">
        <v>73</v>
      </c>
      <c r="E3304" t="s">
        <v>63</v>
      </c>
      <c r="F3304">
        <v>4</v>
      </c>
      <c r="G3304" s="2">
        <v>485.67</v>
      </c>
      <c r="H3304">
        <v>0.31</v>
      </c>
      <c r="I3304" t="s">
        <v>71</v>
      </c>
      <c r="J3304">
        <v>10</v>
      </c>
      <c r="K3304">
        <v>4.8</v>
      </c>
      <c r="L3304" s="2">
        <v>1340.45</v>
      </c>
      <c r="M3304">
        <v>2031</v>
      </c>
      <c r="N3304">
        <v>1</v>
      </c>
      <c r="O3304" t="s">
        <v>188</v>
      </c>
      <c r="P3304" s="2">
        <v>1942.68</v>
      </c>
      <c r="Q3304" s="2">
        <v>602.23</v>
      </c>
      <c r="R3304" t="s">
        <v>72</v>
      </c>
      <c r="S3304">
        <v>1</v>
      </c>
      <c r="T3304">
        <v>0</v>
      </c>
      <c r="U3304">
        <f>IF(AND(OR(Dashboard!$D$4="Semua",D3304=Dashboard!$D$4),OR(Dashboard!$H$4="Semua",E3304=Dashboard!$H$4)),1,0)</f>
        <v>1</v>
      </c>
      <c r="V3304">
        <f>IF(U3304=1,IF(COUNTIFS($C$2:C3304,C3304,$U$2:U3304,1)=1,1,0),0)</f>
        <v>0</v>
      </c>
    </row>
    <row r="3305" spans="1:22" x14ac:dyDescent="0.35">
      <c r="A3305">
        <v>13304</v>
      </c>
      <c r="B3305" s="1">
        <v>47865</v>
      </c>
      <c r="C3305">
        <v>1916</v>
      </c>
      <c r="D3305" t="s">
        <v>67</v>
      </c>
      <c r="E3305" t="s">
        <v>63</v>
      </c>
      <c r="F3305">
        <v>6</v>
      </c>
      <c r="G3305" s="2">
        <v>518.11</v>
      </c>
      <c r="H3305">
        <v>0.11</v>
      </c>
      <c r="I3305" t="s">
        <v>71</v>
      </c>
      <c r="J3305">
        <v>6</v>
      </c>
      <c r="K3305">
        <v>1.4</v>
      </c>
      <c r="L3305" s="2">
        <v>2766.71</v>
      </c>
      <c r="M3305">
        <v>2031</v>
      </c>
      <c r="N3305">
        <v>1</v>
      </c>
      <c r="O3305" t="s">
        <v>188</v>
      </c>
      <c r="P3305" s="2">
        <v>3108.66</v>
      </c>
      <c r="Q3305" s="2">
        <v>341.95</v>
      </c>
      <c r="R3305" t="s">
        <v>79</v>
      </c>
      <c r="S3305">
        <v>1</v>
      </c>
      <c r="T3305">
        <v>0</v>
      </c>
      <c r="U3305">
        <f>IF(AND(OR(Dashboard!$D$4="Semua",D3305=Dashboard!$D$4),OR(Dashboard!$H$4="Semua",E3305=Dashboard!$H$4)),1,0)</f>
        <v>1</v>
      </c>
      <c r="V3305">
        <f>IF(U3305=1,IF(COUNTIFS($C$2:C3305,C3305,$U$2:U3305,1)=1,1,0),0)</f>
        <v>0</v>
      </c>
    </row>
    <row r="3306" spans="1:22" x14ac:dyDescent="0.35">
      <c r="A3306">
        <v>13305</v>
      </c>
      <c r="B3306" s="1">
        <v>47866</v>
      </c>
      <c r="C3306">
        <v>1993</v>
      </c>
      <c r="D3306" t="s">
        <v>80</v>
      </c>
      <c r="E3306" t="s">
        <v>70</v>
      </c>
      <c r="F3306">
        <v>5</v>
      </c>
      <c r="G3306" s="2">
        <v>225.39</v>
      </c>
      <c r="H3306">
        <v>0.26</v>
      </c>
      <c r="I3306" t="s">
        <v>68</v>
      </c>
      <c r="J3306">
        <v>1</v>
      </c>
      <c r="K3306">
        <v>2</v>
      </c>
      <c r="L3306" s="2">
        <v>833.94</v>
      </c>
      <c r="M3306">
        <v>2031</v>
      </c>
      <c r="N3306">
        <v>1</v>
      </c>
      <c r="O3306" t="s">
        <v>188</v>
      </c>
      <c r="P3306" s="2">
        <v>1126.95</v>
      </c>
      <c r="Q3306" s="2">
        <v>293.01</v>
      </c>
      <c r="R3306" t="s">
        <v>66</v>
      </c>
      <c r="S3306">
        <v>1</v>
      </c>
      <c r="T3306">
        <v>0</v>
      </c>
      <c r="U3306">
        <f>IF(AND(OR(Dashboard!$D$4="Semua",D3306=Dashboard!$D$4),OR(Dashboard!$H$4="Semua",E3306=Dashboard!$H$4)),1,0)</f>
        <v>1</v>
      </c>
      <c r="V3306">
        <f>IF(U3306=1,IF(COUNTIFS($C$2:C3306,C3306,$U$2:U3306,1)=1,1,0),0)</f>
        <v>0</v>
      </c>
    </row>
    <row r="3307" spans="1:22" x14ac:dyDescent="0.35">
      <c r="A3307">
        <v>13306</v>
      </c>
      <c r="B3307" s="1">
        <v>47867</v>
      </c>
      <c r="C3307">
        <v>1963</v>
      </c>
      <c r="D3307" t="s">
        <v>67</v>
      </c>
      <c r="E3307" t="s">
        <v>74</v>
      </c>
      <c r="F3307">
        <v>2</v>
      </c>
      <c r="G3307" s="2">
        <v>205.06</v>
      </c>
      <c r="H3307">
        <v>0.3</v>
      </c>
      <c r="I3307" t="s">
        <v>71</v>
      </c>
      <c r="J3307">
        <v>5</v>
      </c>
      <c r="K3307">
        <v>4.8</v>
      </c>
      <c r="L3307" s="2">
        <v>287.08</v>
      </c>
      <c r="M3307">
        <v>2031</v>
      </c>
      <c r="N3307">
        <v>1</v>
      </c>
      <c r="O3307" t="s">
        <v>188</v>
      </c>
      <c r="P3307" s="2">
        <v>410.12</v>
      </c>
      <c r="Q3307" s="2">
        <v>123.04</v>
      </c>
      <c r="R3307" t="s">
        <v>66</v>
      </c>
      <c r="S3307">
        <v>1</v>
      </c>
      <c r="T3307">
        <v>0</v>
      </c>
      <c r="U3307">
        <f>IF(AND(OR(Dashboard!$D$4="Semua",D3307=Dashboard!$D$4),OR(Dashboard!$H$4="Semua",E3307=Dashboard!$H$4)),1,0)</f>
        <v>1</v>
      </c>
      <c r="V3307">
        <f>IF(U3307=1,IF(COUNTIFS($C$2:C3307,C3307,$U$2:U3307,1)=1,1,0),0)</f>
        <v>0</v>
      </c>
    </row>
    <row r="3308" spans="1:22" x14ac:dyDescent="0.35">
      <c r="A3308">
        <v>13307</v>
      </c>
      <c r="B3308" s="1">
        <v>47868</v>
      </c>
      <c r="C3308">
        <v>1536</v>
      </c>
      <c r="D3308" t="s">
        <v>73</v>
      </c>
      <c r="E3308" t="s">
        <v>78</v>
      </c>
      <c r="F3308">
        <v>4</v>
      </c>
      <c r="G3308" s="2">
        <v>317.47000000000003</v>
      </c>
      <c r="H3308">
        <v>0.24</v>
      </c>
      <c r="I3308" t="s">
        <v>71</v>
      </c>
      <c r="J3308">
        <v>6</v>
      </c>
      <c r="K3308">
        <v>1.6</v>
      </c>
      <c r="L3308" s="2">
        <v>965.11</v>
      </c>
      <c r="M3308">
        <v>2031</v>
      </c>
      <c r="N3308">
        <v>1</v>
      </c>
      <c r="O3308" t="s">
        <v>188</v>
      </c>
      <c r="P3308" s="2">
        <v>1269.8800000000001</v>
      </c>
      <c r="Q3308" s="2">
        <v>304.77</v>
      </c>
      <c r="R3308" t="s">
        <v>77</v>
      </c>
      <c r="S3308">
        <v>1</v>
      </c>
      <c r="T3308">
        <v>0</v>
      </c>
      <c r="U3308">
        <f>IF(AND(OR(Dashboard!$D$4="Semua",D3308=Dashboard!$D$4),OR(Dashboard!$H$4="Semua",E3308=Dashboard!$H$4)),1,0)</f>
        <v>1</v>
      </c>
      <c r="V3308">
        <f>IF(U3308=1,IF(COUNTIFS($C$2:C3308,C3308,$U$2:U3308,1)=1,1,0),0)</f>
        <v>0</v>
      </c>
    </row>
    <row r="3309" spans="1:22" x14ac:dyDescent="0.35">
      <c r="A3309">
        <v>13308</v>
      </c>
      <c r="B3309" s="1">
        <v>47869</v>
      </c>
      <c r="C3309">
        <v>1078</v>
      </c>
      <c r="D3309" t="s">
        <v>62</v>
      </c>
      <c r="E3309" t="s">
        <v>78</v>
      </c>
      <c r="F3309">
        <v>5</v>
      </c>
      <c r="G3309" s="2">
        <v>41.75</v>
      </c>
      <c r="H3309">
        <v>0.09</v>
      </c>
      <c r="I3309" t="s">
        <v>68</v>
      </c>
      <c r="J3309">
        <v>9</v>
      </c>
      <c r="K3309">
        <v>4</v>
      </c>
      <c r="L3309" s="2">
        <v>189.96</v>
      </c>
      <c r="M3309">
        <v>2031</v>
      </c>
      <c r="N3309">
        <v>1</v>
      </c>
      <c r="O3309" t="s">
        <v>188</v>
      </c>
      <c r="P3309" s="2">
        <v>208.75</v>
      </c>
      <c r="Q3309" s="2">
        <v>18.79</v>
      </c>
      <c r="R3309" t="s">
        <v>69</v>
      </c>
      <c r="S3309">
        <v>1</v>
      </c>
      <c r="T3309">
        <v>0</v>
      </c>
      <c r="U3309">
        <f>IF(AND(OR(Dashboard!$D$4="Semua",D3309=Dashboard!$D$4),OR(Dashboard!$H$4="Semua",E3309=Dashboard!$H$4)),1,0)</f>
        <v>1</v>
      </c>
      <c r="V3309">
        <f>IF(U3309=1,IF(COUNTIFS($C$2:C3309,C3309,$U$2:U3309,1)=1,1,0),0)</f>
        <v>0</v>
      </c>
    </row>
    <row r="3310" spans="1:22" x14ac:dyDescent="0.35">
      <c r="A3310">
        <v>13309</v>
      </c>
      <c r="B3310" s="1">
        <v>47870</v>
      </c>
      <c r="C3310">
        <v>1579</v>
      </c>
      <c r="D3310" t="s">
        <v>80</v>
      </c>
      <c r="E3310" t="s">
        <v>74</v>
      </c>
      <c r="F3310">
        <v>7</v>
      </c>
      <c r="G3310" s="2">
        <v>568.03</v>
      </c>
      <c r="H3310">
        <v>0.33</v>
      </c>
      <c r="I3310" t="s">
        <v>68</v>
      </c>
      <c r="J3310">
        <v>6</v>
      </c>
      <c r="K3310">
        <v>1</v>
      </c>
      <c r="L3310" s="2">
        <v>2664.06</v>
      </c>
      <c r="M3310">
        <v>2031</v>
      </c>
      <c r="N3310">
        <v>1</v>
      </c>
      <c r="O3310" t="s">
        <v>188</v>
      </c>
      <c r="P3310" s="2">
        <v>3976.21</v>
      </c>
      <c r="Q3310" s="2">
        <v>1312.15</v>
      </c>
      <c r="R3310" t="s">
        <v>72</v>
      </c>
      <c r="S3310">
        <v>1</v>
      </c>
      <c r="T3310">
        <v>0</v>
      </c>
      <c r="U3310">
        <f>IF(AND(OR(Dashboard!$D$4="Semua",D3310=Dashboard!$D$4),OR(Dashboard!$H$4="Semua",E3310=Dashboard!$H$4)),1,0)</f>
        <v>1</v>
      </c>
      <c r="V3310">
        <f>IF(U3310=1,IF(COUNTIFS($C$2:C3310,C3310,$U$2:U3310,1)=1,1,0),0)</f>
        <v>0</v>
      </c>
    </row>
    <row r="3311" spans="1:22" x14ac:dyDescent="0.35">
      <c r="A3311">
        <v>13310</v>
      </c>
      <c r="B3311" s="1">
        <v>47871</v>
      </c>
      <c r="C3311">
        <v>1172</v>
      </c>
      <c r="D3311" t="s">
        <v>67</v>
      </c>
      <c r="E3311" t="s">
        <v>74</v>
      </c>
      <c r="F3311">
        <v>2</v>
      </c>
      <c r="G3311" s="2">
        <v>99.11</v>
      </c>
      <c r="H3311">
        <v>0.16</v>
      </c>
      <c r="I3311" t="s">
        <v>64</v>
      </c>
      <c r="J3311">
        <v>4</v>
      </c>
      <c r="K3311">
        <v>3.5</v>
      </c>
      <c r="L3311" s="2">
        <v>166.5</v>
      </c>
      <c r="M3311">
        <v>2031</v>
      </c>
      <c r="N3311">
        <v>1</v>
      </c>
      <c r="O3311" t="s">
        <v>188</v>
      </c>
      <c r="P3311" s="2">
        <v>198.22</v>
      </c>
      <c r="Q3311" s="2">
        <v>31.72</v>
      </c>
      <c r="R3311" t="s">
        <v>76</v>
      </c>
      <c r="S3311">
        <v>1</v>
      </c>
      <c r="T3311">
        <v>0</v>
      </c>
      <c r="U3311">
        <f>IF(AND(OR(Dashboard!$D$4="Semua",D3311=Dashboard!$D$4),OR(Dashboard!$H$4="Semua",E3311=Dashboard!$H$4)),1,0)</f>
        <v>1</v>
      </c>
      <c r="V3311">
        <f>IF(U3311=1,IF(COUNTIFS($C$2:C3311,C3311,$U$2:U3311,1)=1,1,0),0)</f>
        <v>0</v>
      </c>
    </row>
    <row r="3312" spans="1:22" x14ac:dyDescent="0.35">
      <c r="A3312">
        <v>13311</v>
      </c>
      <c r="B3312" s="1">
        <v>47872</v>
      </c>
      <c r="C3312">
        <v>1955</v>
      </c>
      <c r="D3312" t="s">
        <v>67</v>
      </c>
      <c r="E3312" t="s">
        <v>63</v>
      </c>
      <c r="F3312">
        <v>4</v>
      </c>
      <c r="G3312" s="2">
        <v>543.26</v>
      </c>
      <c r="H3312">
        <v>0.05</v>
      </c>
      <c r="I3312" t="s">
        <v>71</v>
      </c>
      <c r="J3312">
        <v>1</v>
      </c>
      <c r="K3312">
        <v>3</v>
      </c>
      <c r="L3312" s="2">
        <v>2064.39</v>
      </c>
      <c r="M3312">
        <v>2031</v>
      </c>
      <c r="N3312">
        <v>1</v>
      </c>
      <c r="O3312" t="s">
        <v>188</v>
      </c>
      <c r="P3312" s="2">
        <v>2173.04</v>
      </c>
      <c r="Q3312" s="2">
        <v>108.65</v>
      </c>
      <c r="R3312" t="s">
        <v>75</v>
      </c>
      <c r="S3312">
        <v>1</v>
      </c>
      <c r="T3312">
        <v>0</v>
      </c>
      <c r="U3312">
        <f>IF(AND(OR(Dashboard!$D$4="Semua",D3312=Dashboard!$D$4),OR(Dashboard!$H$4="Semua",E3312=Dashboard!$H$4)),1,0)</f>
        <v>1</v>
      </c>
      <c r="V3312">
        <f>IF(U3312=1,IF(COUNTIFS($C$2:C3312,C3312,$U$2:U3312,1)=1,1,0),0)</f>
        <v>0</v>
      </c>
    </row>
    <row r="3313" spans="1:22" x14ac:dyDescent="0.35">
      <c r="A3313">
        <v>13312</v>
      </c>
      <c r="B3313" s="1">
        <v>47873</v>
      </c>
      <c r="C3313">
        <v>1011</v>
      </c>
      <c r="D3313" t="s">
        <v>73</v>
      </c>
      <c r="E3313" t="s">
        <v>70</v>
      </c>
      <c r="F3313">
        <v>3</v>
      </c>
      <c r="G3313" s="2">
        <v>63.9</v>
      </c>
      <c r="H3313">
        <v>0.04</v>
      </c>
      <c r="I3313" t="s">
        <v>71</v>
      </c>
      <c r="J3313">
        <v>6</v>
      </c>
      <c r="K3313">
        <v>2.9</v>
      </c>
      <c r="L3313" s="2">
        <v>184.03</v>
      </c>
      <c r="M3313">
        <v>2031</v>
      </c>
      <c r="N3313">
        <v>1</v>
      </c>
      <c r="O3313" t="s">
        <v>188</v>
      </c>
      <c r="P3313" s="2">
        <v>191.7</v>
      </c>
      <c r="Q3313" s="2">
        <v>7.67</v>
      </c>
      <c r="R3313" t="s">
        <v>75</v>
      </c>
      <c r="S3313">
        <v>1</v>
      </c>
      <c r="T3313">
        <v>0</v>
      </c>
      <c r="U3313">
        <f>IF(AND(OR(Dashboard!$D$4="Semua",D3313=Dashboard!$D$4),OR(Dashboard!$H$4="Semua",E3313=Dashboard!$H$4)),1,0)</f>
        <v>1</v>
      </c>
      <c r="V3313">
        <f>IF(U3313=1,IF(COUNTIFS($C$2:C3313,C3313,$U$2:U3313,1)=1,1,0),0)</f>
        <v>0</v>
      </c>
    </row>
    <row r="3314" spans="1:22" x14ac:dyDescent="0.35">
      <c r="A3314">
        <v>13313</v>
      </c>
      <c r="B3314" s="1">
        <v>47874</v>
      </c>
      <c r="C3314">
        <v>1799</v>
      </c>
      <c r="D3314" t="s">
        <v>67</v>
      </c>
      <c r="E3314" t="s">
        <v>70</v>
      </c>
      <c r="F3314">
        <v>5</v>
      </c>
      <c r="G3314" s="2">
        <v>496.24</v>
      </c>
      <c r="H3314">
        <v>0.23</v>
      </c>
      <c r="I3314" t="s">
        <v>68</v>
      </c>
      <c r="J3314">
        <v>7</v>
      </c>
      <c r="K3314">
        <v>4.3</v>
      </c>
      <c r="L3314" s="2">
        <v>1910.52</v>
      </c>
      <c r="M3314">
        <v>2031</v>
      </c>
      <c r="N3314">
        <v>1</v>
      </c>
      <c r="O3314" t="s">
        <v>188</v>
      </c>
      <c r="P3314" s="2">
        <v>2481.1999999999998</v>
      </c>
      <c r="Q3314" s="2">
        <v>570.67999999999995</v>
      </c>
      <c r="R3314" t="s">
        <v>77</v>
      </c>
      <c r="S3314">
        <v>1</v>
      </c>
      <c r="T3314">
        <v>0</v>
      </c>
      <c r="U3314">
        <f>IF(AND(OR(Dashboard!$D$4="Semua",D3314=Dashboard!$D$4),OR(Dashboard!$H$4="Semua",E3314=Dashboard!$H$4)),1,0)</f>
        <v>1</v>
      </c>
      <c r="V3314">
        <f>IF(U3314=1,IF(COUNTIFS($C$2:C3314,C3314,$U$2:U3314,1)=1,1,0),0)</f>
        <v>0</v>
      </c>
    </row>
    <row r="3315" spans="1:22" x14ac:dyDescent="0.35">
      <c r="A3315">
        <v>13314</v>
      </c>
      <c r="B3315" s="1">
        <v>47875</v>
      </c>
      <c r="C3315">
        <v>1127</v>
      </c>
      <c r="D3315" t="s">
        <v>67</v>
      </c>
      <c r="E3315" t="s">
        <v>70</v>
      </c>
      <c r="F3315">
        <v>5</v>
      </c>
      <c r="G3315" s="2">
        <v>103.9</v>
      </c>
      <c r="H3315">
        <v>0.15</v>
      </c>
      <c r="I3315" t="s">
        <v>64</v>
      </c>
      <c r="J3315">
        <v>5</v>
      </c>
      <c r="K3315">
        <v>1.3</v>
      </c>
      <c r="L3315" s="2">
        <v>441.58</v>
      </c>
      <c r="M3315">
        <v>2031</v>
      </c>
      <c r="N3315">
        <v>1</v>
      </c>
      <c r="O3315" t="s">
        <v>188</v>
      </c>
      <c r="P3315" s="2">
        <v>519.5</v>
      </c>
      <c r="Q3315" s="2">
        <v>77.92</v>
      </c>
      <c r="R3315" t="s">
        <v>79</v>
      </c>
      <c r="S3315">
        <v>1</v>
      </c>
      <c r="T3315">
        <v>0</v>
      </c>
      <c r="U3315">
        <f>IF(AND(OR(Dashboard!$D$4="Semua",D3315=Dashboard!$D$4),OR(Dashboard!$H$4="Semua",E3315=Dashboard!$H$4)),1,0)</f>
        <v>1</v>
      </c>
      <c r="V3315">
        <f>IF(U3315=1,IF(COUNTIFS($C$2:C3315,C3315,$U$2:U3315,1)=1,1,0),0)</f>
        <v>0</v>
      </c>
    </row>
    <row r="3316" spans="1:22" x14ac:dyDescent="0.35">
      <c r="A3316">
        <v>13315</v>
      </c>
      <c r="B3316" s="1">
        <v>47876</v>
      </c>
      <c r="C3316">
        <v>1607</v>
      </c>
      <c r="D3316" t="s">
        <v>62</v>
      </c>
      <c r="E3316" t="s">
        <v>74</v>
      </c>
      <c r="F3316">
        <v>3</v>
      </c>
      <c r="G3316" s="2">
        <v>37.31</v>
      </c>
      <c r="H3316">
        <v>0.03</v>
      </c>
      <c r="I3316" t="s">
        <v>71</v>
      </c>
      <c r="J3316">
        <v>6</v>
      </c>
      <c r="K3316">
        <v>2.5</v>
      </c>
      <c r="L3316" s="2">
        <v>108.57</v>
      </c>
      <c r="M3316">
        <v>2031</v>
      </c>
      <c r="N3316">
        <v>1</v>
      </c>
      <c r="O3316" t="s">
        <v>188</v>
      </c>
      <c r="P3316" s="2">
        <v>111.93</v>
      </c>
      <c r="Q3316" s="2">
        <v>3.36</v>
      </c>
      <c r="R3316" t="s">
        <v>75</v>
      </c>
      <c r="S3316">
        <v>1</v>
      </c>
      <c r="T3316">
        <v>0</v>
      </c>
      <c r="U3316">
        <f>IF(AND(OR(Dashboard!$D$4="Semua",D3316=Dashboard!$D$4),OR(Dashboard!$H$4="Semua",E3316=Dashboard!$H$4)),1,0)</f>
        <v>1</v>
      </c>
      <c r="V3316">
        <f>IF(U3316=1,IF(COUNTIFS($C$2:C3316,C3316,$U$2:U3316,1)=1,1,0),0)</f>
        <v>0</v>
      </c>
    </row>
    <row r="3317" spans="1:22" x14ac:dyDescent="0.35">
      <c r="A3317">
        <v>13316</v>
      </c>
      <c r="B3317" s="1">
        <v>47877</v>
      </c>
      <c r="C3317">
        <v>1091</v>
      </c>
      <c r="D3317" t="s">
        <v>67</v>
      </c>
      <c r="E3317" t="s">
        <v>70</v>
      </c>
      <c r="F3317">
        <v>7</v>
      </c>
      <c r="G3317" s="2">
        <v>435.9</v>
      </c>
      <c r="H3317">
        <v>0.26</v>
      </c>
      <c r="I3317" t="s">
        <v>64</v>
      </c>
      <c r="J3317">
        <v>10</v>
      </c>
      <c r="K3317">
        <v>2.8</v>
      </c>
      <c r="L3317" s="2">
        <v>2257.96</v>
      </c>
      <c r="M3317">
        <v>2031</v>
      </c>
      <c r="N3317">
        <v>1</v>
      </c>
      <c r="O3317" t="s">
        <v>188</v>
      </c>
      <c r="P3317" s="2">
        <v>3051.3</v>
      </c>
      <c r="Q3317" s="2">
        <v>793.34</v>
      </c>
      <c r="R3317" t="s">
        <v>66</v>
      </c>
      <c r="S3317">
        <v>1</v>
      </c>
      <c r="T3317">
        <v>0</v>
      </c>
      <c r="U3317">
        <f>IF(AND(OR(Dashboard!$D$4="Semua",D3317=Dashboard!$D$4),OR(Dashboard!$H$4="Semua",E3317=Dashboard!$H$4)),1,0)</f>
        <v>1</v>
      </c>
      <c r="V3317">
        <f>IF(U3317=1,IF(COUNTIFS($C$2:C3317,C3317,$U$2:U3317,1)=1,1,0),0)</f>
        <v>0</v>
      </c>
    </row>
    <row r="3318" spans="1:22" x14ac:dyDescent="0.35">
      <c r="A3318">
        <v>13317</v>
      </c>
      <c r="B3318" s="1">
        <v>47878</v>
      </c>
      <c r="C3318">
        <v>1652</v>
      </c>
      <c r="D3318" t="s">
        <v>67</v>
      </c>
      <c r="E3318" t="s">
        <v>63</v>
      </c>
      <c r="F3318">
        <v>1</v>
      </c>
      <c r="G3318" s="2">
        <v>178.96</v>
      </c>
      <c r="H3318">
        <v>0.28000000000000003</v>
      </c>
      <c r="I3318" t="s">
        <v>64</v>
      </c>
      <c r="J3318">
        <v>8</v>
      </c>
      <c r="K3318">
        <v>1.5</v>
      </c>
      <c r="L3318" s="2">
        <v>128.85</v>
      </c>
      <c r="M3318">
        <v>2031</v>
      </c>
      <c r="N3318">
        <v>1</v>
      </c>
      <c r="O3318" t="s">
        <v>188</v>
      </c>
      <c r="P3318" s="2">
        <v>178.96</v>
      </c>
      <c r="Q3318" s="2">
        <v>50.11</v>
      </c>
      <c r="R3318" t="s">
        <v>66</v>
      </c>
      <c r="S3318">
        <v>1</v>
      </c>
      <c r="T3318">
        <v>0</v>
      </c>
      <c r="U3318">
        <f>IF(AND(OR(Dashboard!$D$4="Semua",D3318=Dashboard!$D$4),OR(Dashboard!$H$4="Semua",E3318=Dashboard!$H$4)),1,0)</f>
        <v>1</v>
      </c>
      <c r="V3318">
        <f>IF(U3318=1,IF(COUNTIFS($C$2:C3318,C3318,$U$2:U3318,1)=1,1,0),0)</f>
        <v>0</v>
      </c>
    </row>
    <row r="3319" spans="1:22" x14ac:dyDescent="0.35">
      <c r="A3319">
        <v>13318</v>
      </c>
      <c r="B3319" s="1">
        <v>47879</v>
      </c>
      <c r="C3319">
        <v>1542</v>
      </c>
      <c r="D3319" t="s">
        <v>67</v>
      </c>
      <c r="E3319" t="s">
        <v>74</v>
      </c>
      <c r="F3319">
        <v>4</v>
      </c>
      <c r="G3319" s="2">
        <v>432.98</v>
      </c>
      <c r="H3319">
        <v>0.25</v>
      </c>
      <c r="I3319" t="s">
        <v>64</v>
      </c>
      <c r="J3319">
        <v>1</v>
      </c>
      <c r="K3319">
        <v>1.3</v>
      </c>
      <c r="L3319" s="2">
        <v>1298.94</v>
      </c>
      <c r="M3319">
        <v>2031</v>
      </c>
      <c r="N3319">
        <v>1</v>
      </c>
      <c r="O3319" t="s">
        <v>188</v>
      </c>
      <c r="P3319" s="2">
        <v>1731.92</v>
      </c>
      <c r="Q3319" s="2">
        <v>432.98</v>
      </c>
      <c r="R3319" t="s">
        <v>77</v>
      </c>
      <c r="S3319">
        <v>1</v>
      </c>
      <c r="T3319">
        <v>0</v>
      </c>
      <c r="U3319">
        <f>IF(AND(OR(Dashboard!$D$4="Semua",D3319=Dashboard!$D$4),OR(Dashboard!$H$4="Semua",E3319=Dashboard!$H$4)),1,0)</f>
        <v>1</v>
      </c>
      <c r="V3319">
        <f>IF(U3319=1,IF(COUNTIFS($C$2:C3319,C3319,$U$2:U3319,1)=1,1,0),0)</f>
        <v>0</v>
      </c>
    </row>
    <row r="3320" spans="1:22" x14ac:dyDescent="0.35">
      <c r="A3320">
        <v>13319</v>
      </c>
      <c r="B3320" s="1">
        <v>47880</v>
      </c>
      <c r="C3320">
        <v>1845</v>
      </c>
      <c r="D3320" t="s">
        <v>62</v>
      </c>
      <c r="E3320" t="s">
        <v>74</v>
      </c>
      <c r="F3320">
        <v>3</v>
      </c>
      <c r="G3320" s="2">
        <v>339.72</v>
      </c>
      <c r="H3320">
        <v>7.0000000000000007E-2</v>
      </c>
      <c r="I3320" t="s">
        <v>64</v>
      </c>
      <c r="J3320">
        <v>8</v>
      </c>
      <c r="K3320">
        <v>1.7</v>
      </c>
      <c r="L3320" s="2">
        <v>947.82</v>
      </c>
      <c r="M3320">
        <v>2031</v>
      </c>
      <c r="N3320">
        <v>2</v>
      </c>
      <c r="O3320" t="s">
        <v>189</v>
      </c>
      <c r="P3320" s="2">
        <v>1019.16</v>
      </c>
      <c r="Q3320" s="2">
        <v>71.34</v>
      </c>
      <c r="R3320" t="s">
        <v>69</v>
      </c>
      <c r="S3320">
        <v>1</v>
      </c>
      <c r="T3320">
        <v>0</v>
      </c>
      <c r="U3320">
        <f>IF(AND(OR(Dashboard!$D$4="Semua",D3320=Dashboard!$D$4),OR(Dashboard!$H$4="Semua",E3320=Dashboard!$H$4)),1,0)</f>
        <v>1</v>
      </c>
      <c r="V3320">
        <f>IF(U3320=1,IF(COUNTIFS($C$2:C3320,C3320,$U$2:U3320,1)=1,1,0),0)</f>
        <v>1</v>
      </c>
    </row>
    <row r="3321" spans="1:22" x14ac:dyDescent="0.35">
      <c r="A3321">
        <v>13320</v>
      </c>
      <c r="B3321" s="1">
        <v>47881</v>
      </c>
      <c r="C3321">
        <v>1531</v>
      </c>
      <c r="D3321" t="s">
        <v>80</v>
      </c>
      <c r="E3321" t="s">
        <v>70</v>
      </c>
      <c r="F3321">
        <v>5</v>
      </c>
      <c r="G3321" s="2">
        <v>78.650000000000006</v>
      </c>
      <c r="H3321">
        <v>0.24</v>
      </c>
      <c r="I3321" t="s">
        <v>68</v>
      </c>
      <c r="J3321">
        <v>11</v>
      </c>
      <c r="K3321">
        <v>2</v>
      </c>
      <c r="L3321" s="2">
        <v>298.87</v>
      </c>
      <c r="M3321">
        <v>2031</v>
      </c>
      <c r="N3321">
        <v>2</v>
      </c>
      <c r="O3321" t="s">
        <v>189</v>
      </c>
      <c r="P3321" s="2">
        <v>393.25</v>
      </c>
      <c r="Q3321" s="2">
        <v>94.38</v>
      </c>
      <c r="R3321" t="s">
        <v>77</v>
      </c>
      <c r="S3321">
        <v>1</v>
      </c>
      <c r="T3321">
        <v>0</v>
      </c>
      <c r="U3321">
        <f>IF(AND(OR(Dashboard!$D$4="Semua",D3321=Dashboard!$D$4),OR(Dashboard!$H$4="Semua",E3321=Dashboard!$H$4)),1,0)</f>
        <v>1</v>
      </c>
      <c r="V3321">
        <f>IF(U3321=1,IF(COUNTIFS($C$2:C3321,C3321,$U$2:U3321,1)=1,1,0),0)</f>
        <v>0</v>
      </c>
    </row>
    <row r="3322" spans="1:22" x14ac:dyDescent="0.35">
      <c r="A3322">
        <v>13321</v>
      </c>
      <c r="B3322" s="1">
        <v>47882</v>
      </c>
      <c r="C3322">
        <v>1657</v>
      </c>
      <c r="D3322" t="s">
        <v>67</v>
      </c>
      <c r="E3322" t="s">
        <v>78</v>
      </c>
      <c r="F3322">
        <v>4</v>
      </c>
      <c r="G3322" s="2">
        <v>560.29999999999995</v>
      </c>
      <c r="H3322">
        <v>0</v>
      </c>
      <c r="I3322" t="s">
        <v>64</v>
      </c>
      <c r="J3322">
        <v>2</v>
      </c>
      <c r="K3322">
        <v>4.9000000000000004</v>
      </c>
      <c r="L3322" s="2">
        <v>2241.1999999999998</v>
      </c>
      <c r="M3322">
        <v>2031</v>
      </c>
      <c r="N3322">
        <v>2</v>
      </c>
      <c r="O3322" t="s">
        <v>189</v>
      </c>
      <c r="P3322" s="2">
        <v>2241.1999999999998</v>
      </c>
      <c r="Q3322" s="2">
        <v>0</v>
      </c>
      <c r="R3322" t="s">
        <v>75</v>
      </c>
      <c r="S3322">
        <v>1</v>
      </c>
      <c r="T3322">
        <v>0</v>
      </c>
      <c r="U3322">
        <f>IF(AND(OR(Dashboard!$D$4="Semua",D3322=Dashboard!$D$4),OR(Dashboard!$H$4="Semua",E3322=Dashboard!$H$4)),1,0)</f>
        <v>1</v>
      </c>
      <c r="V3322">
        <f>IF(U3322=1,IF(COUNTIFS($C$2:C3322,C3322,$U$2:U3322,1)=1,1,0),0)</f>
        <v>0</v>
      </c>
    </row>
    <row r="3323" spans="1:22" x14ac:dyDescent="0.35">
      <c r="A3323">
        <v>13322</v>
      </c>
      <c r="B3323" s="1">
        <v>47883</v>
      </c>
      <c r="C3323">
        <v>1988</v>
      </c>
      <c r="D3323" t="s">
        <v>80</v>
      </c>
      <c r="E3323" t="s">
        <v>78</v>
      </c>
      <c r="F3323">
        <v>7</v>
      </c>
      <c r="G3323" s="2">
        <v>279.60000000000002</v>
      </c>
      <c r="H3323">
        <v>0.11</v>
      </c>
      <c r="I3323" t="s">
        <v>68</v>
      </c>
      <c r="J3323">
        <v>2</v>
      </c>
      <c r="K3323">
        <v>2.9</v>
      </c>
      <c r="L3323" s="2">
        <v>1741.91</v>
      </c>
      <c r="M3323">
        <v>2031</v>
      </c>
      <c r="N3323">
        <v>2</v>
      </c>
      <c r="O3323" t="s">
        <v>189</v>
      </c>
      <c r="P3323" s="2">
        <v>1957.2</v>
      </c>
      <c r="Q3323" s="2">
        <v>215.29</v>
      </c>
      <c r="R3323" t="s">
        <v>79</v>
      </c>
      <c r="S3323">
        <v>1</v>
      </c>
      <c r="T3323">
        <v>0</v>
      </c>
      <c r="U3323">
        <f>IF(AND(OR(Dashboard!$D$4="Semua",D3323=Dashboard!$D$4),OR(Dashboard!$H$4="Semua",E3323=Dashboard!$H$4)),1,0)</f>
        <v>1</v>
      </c>
      <c r="V3323">
        <f>IF(U3323=1,IF(COUNTIFS($C$2:C3323,C3323,$U$2:U3323,1)=1,1,0),0)</f>
        <v>0</v>
      </c>
    </row>
    <row r="3324" spans="1:22" x14ac:dyDescent="0.35">
      <c r="A3324">
        <v>13323</v>
      </c>
      <c r="B3324" s="1">
        <v>47884</v>
      </c>
      <c r="C3324">
        <v>1827</v>
      </c>
      <c r="D3324" t="s">
        <v>67</v>
      </c>
      <c r="E3324" t="s">
        <v>63</v>
      </c>
      <c r="F3324">
        <v>4</v>
      </c>
      <c r="G3324" s="2">
        <v>444.65</v>
      </c>
      <c r="H3324">
        <v>0.14000000000000001</v>
      </c>
      <c r="I3324" t="s">
        <v>64</v>
      </c>
      <c r="J3324">
        <v>8</v>
      </c>
      <c r="K3324">
        <v>3</v>
      </c>
      <c r="L3324" s="2">
        <v>1529.6</v>
      </c>
      <c r="M3324">
        <v>2031</v>
      </c>
      <c r="N3324">
        <v>2</v>
      </c>
      <c r="O3324" t="s">
        <v>189</v>
      </c>
      <c r="P3324" s="2">
        <v>1778.6</v>
      </c>
      <c r="Q3324" s="2">
        <v>249</v>
      </c>
      <c r="R3324" t="s">
        <v>79</v>
      </c>
      <c r="S3324">
        <v>1</v>
      </c>
      <c r="T3324">
        <v>0</v>
      </c>
      <c r="U3324">
        <f>IF(AND(OR(Dashboard!$D$4="Semua",D3324=Dashboard!$D$4),OR(Dashboard!$H$4="Semua",E3324=Dashboard!$H$4)),1,0)</f>
        <v>1</v>
      </c>
      <c r="V3324">
        <f>IF(U3324=1,IF(COUNTIFS($C$2:C3324,C3324,$U$2:U3324,1)=1,1,0),0)</f>
        <v>0</v>
      </c>
    </row>
    <row r="3325" spans="1:22" x14ac:dyDescent="0.35">
      <c r="A3325">
        <v>13324</v>
      </c>
      <c r="B3325" s="1">
        <v>47885</v>
      </c>
      <c r="C3325">
        <v>1446</v>
      </c>
      <c r="D3325" t="s">
        <v>67</v>
      </c>
      <c r="E3325" t="s">
        <v>70</v>
      </c>
      <c r="F3325">
        <v>1</v>
      </c>
      <c r="G3325" s="2">
        <v>308.10000000000002</v>
      </c>
      <c r="H3325">
        <v>0.28999999999999998</v>
      </c>
      <c r="I3325" t="s">
        <v>68</v>
      </c>
      <c r="J3325">
        <v>2</v>
      </c>
      <c r="K3325">
        <v>3.8</v>
      </c>
      <c r="L3325" s="2">
        <v>218.75</v>
      </c>
      <c r="M3325">
        <v>2031</v>
      </c>
      <c r="N3325">
        <v>2</v>
      </c>
      <c r="O3325" t="s">
        <v>189</v>
      </c>
      <c r="P3325" s="2">
        <v>308.10000000000002</v>
      </c>
      <c r="Q3325" s="2">
        <v>89.35</v>
      </c>
      <c r="R3325" t="s">
        <v>66</v>
      </c>
      <c r="S3325">
        <v>1</v>
      </c>
      <c r="T3325">
        <v>0</v>
      </c>
      <c r="U3325">
        <f>IF(AND(OR(Dashboard!$D$4="Semua",D3325=Dashboard!$D$4),OR(Dashboard!$H$4="Semua",E3325=Dashboard!$H$4)),1,0)</f>
        <v>1</v>
      </c>
      <c r="V3325">
        <f>IF(U3325=1,IF(COUNTIFS($C$2:C3325,C3325,$U$2:U3325,1)=1,1,0),0)</f>
        <v>0</v>
      </c>
    </row>
    <row r="3326" spans="1:22" x14ac:dyDescent="0.35">
      <c r="A3326">
        <v>13325</v>
      </c>
      <c r="B3326" s="1">
        <v>47886</v>
      </c>
      <c r="C3326">
        <v>1389</v>
      </c>
      <c r="D3326" t="s">
        <v>73</v>
      </c>
      <c r="E3326" t="s">
        <v>70</v>
      </c>
      <c r="F3326">
        <v>5</v>
      </c>
      <c r="G3326" s="2">
        <v>368.55</v>
      </c>
      <c r="H3326">
        <v>0.14000000000000001</v>
      </c>
      <c r="I3326" t="s">
        <v>71</v>
      </c>
      <c r="J3326">
        <v>8</v>
      </c>
      <c r="K3326">
        <v>3.7</v>
      </c>
      <c r="L3326" s="2">
        <v>1584.76</v>
      </c>
      <c r="M3326">
        <v>2031</v>
      </c>
      <c r="N3326">
        <v>2</v>
      </c>
      <c r="O3326" t="s">
        <v>189</v>
      </c>
      <c r="P3326" s="2">
        <v>1842.75</v>
      </c>
      <c r="Q3326" s="2">
        <v>257.99</v>
      </c>
      <c r="R3326" t="s">
        <v>79</v>
      </c>
      <c r="S3326">
        <v>1</v>
      </c>
      <c r="T3326">
        <v>0</v>
      </c>
      <c r="U3326">
        <f>IF(AND(OR(Dashboard!$D$4="Semua",D3326=Dashboard!$D$4),OR(Dashboard!$H$4="Semua",E3326=Dashboard!$H$4)),1,0)</f>
        <v>1</v>
      </c>
      <c r="V3326">
        <f>IF(U3326=1,IF(COUNTIFS($C$2:C3326,C3326,$U$2:U3326,1)=1,1,0),0)</f>
        <v>0</v>
      </c>
    </row>
    <row r="3327" spans="1:22" x14ac:dyDescent="0.35">
      <c r="A3327">
        <v>13326</v>
      </c>
      <c r="B3327" s="1">
        <v>47887</v>
      </c>
      <c r="C3327">
        <v>1671</v>
      </c>
      <c r="D3327" t="s">
        <v>67</v>
      </c>
      <c r="E3327" t="s">
        <v>74</v>
      </c>
      <c r="F3327">
        <v>2</v>
      </c>
      <c r="G3327" s="2">
        <v>192.12</v>
      </c>
      <c r="H3327">
        <v>0</v>
      </c>
      <c r="I3327" t="s">
        <v>68</v>
      </c>
      <c r="J3327">
        <v>5</v>
      </c>
      <c r="K3327">
        <v>3</v>
      </c>
      <c r="L3327" s="2">
        <v>384.24</v>
      </c>
      <c r="M3327">
        <v>2031</v>
      </c>
      <c r="N3327">
        <v>2</v>
      </c>
      <c r="O3327" t="s">
        <v>189</v>
      </c>
      <c r="P3327" s="2">
        <v>384.24</v>
      </c>
      <c r="Q3327" s="2">
        <v>0</v>
      </c>
      <c r="R3327" t="s">
        <v>75</v>
      </c>
      <c r="S3327">
        <v>1</v>
      </c>
      <c r="T3327">
        <v>0</v>
      </c>
      <c r="U3327">
        <f>IF(AND(OR(Dashboard!$D$4="Semua",D3327=Dashboard!$D$4),OR(Dashboard!$H$4="Semua",E3327=Dashboard!$H$4)),1,0)</f>
        <v>1</v>
      </c>
      <c r="V3327">
        <f>IF(U3327=1,IF(COUNTIFS($C$2:C3327,C3327,$U$2:U3327,1)=1,1,0),0)</f>
        <v>0</v>
      </c>
    </row>
    <row r="3328" spans="1:22" x14ac:dyDescent="0.35">
      <c r="A3328">
        <v>13327</v>
      </c>
      <c r="B3328" s="1">
        <v>47888</v>
      </c>
      <c r="C3328">
        <v>1860</v>
      </c>
      <c r="D3328" t="s">
        <v>73</v>
      </c>
      <c r="E3328" t="s">
        <v>74</v>
      </c>
      <c r="F3328">
        <v>1</v>
      </c>
      <c r="G3328" s="2">
        <v>132.21</v>
      </c>
      <c r="H3328">
        <v>0.12</v>
      </c>
      <c r="I3328" t="s">
        <v>71</v>
      </c>
      <c r="J3328">
        <v>9</v>
      </c>
      <c r="K3328">
        <v>2.4</v>
      </c>
      <c r="L3328" s="2">
        <v>116.34</v>
      </c>
      <c r="M3328">
        <v>2031</v>
      </c>
      <c r="N3328">
        <v>2</v>
      </c>
      <c r="O3328" t="s">
        <v>189</v>
      </c>
      <c r="P3328" s="2">
        <v>132.21</v>
      </c>
      <c r="Q3328" s="2">
        <v>15.87</v>
      </c>
      <c r="R3328" t="s">
        <v>79</v>
      </c>
      <c r="S3328">
        <v>1</v>
      </c>
      <c r="T3328">
        <v>0</v>
      </c>
      <c r="U3328">
        <f>IF(AND(OR(Dashboard!$D$4="Semua",D3328=Dashboard!$D$4),OR(Dashboard!$H$4="Semua",E3328=Dashboard!$H$4)),1,0)</f>
        <v>1</v>
      </c>
      <c r="V3328">
        <f>IF(U3328=1,IF(COUNTIFS($C$2:C3328,C3328,$U$2:U3328,1)=1,1,0),0)</f>
        <v>0</v>
      </c>
    </row>
    <row r="3329" spans="1:22" x14ac:dyDescent="0.35">
      <c r="A3329">
        <v>13328</v>
      </c>
      <c r="B3329" s="1">
        <v>47889</v>
      </c>
      <c r="C3329">
        <v>1042</v>
      </c>
      <c r="D3329" t="s">
        <v>62</v>
      </c>
      <c r="E3329" t="s">
        <v>70</v>
      </c>
      <c r="F3329">
        <v>1</v>
      </c>
      <c r="G3329" s="2">
        <v>332.4</v>
      </c>
      <c r="H3329">
        <v>0.17</v>
      </c>
      <c r="I3329" t="s">
        <v>68</v>
      </c>
      <c r="J3329">
        <v>9</v>
      </c>
      <c r="K3329">
        <v>2.2999999999999998</v>
      </c>
      <c r="L3329" s="2">
        <v>275.89</v>
      </c>
      <c r="M3329">
        <v>2031</v>
      </c>
      <c r="N3329">
        <v>2</v>
      </c>
      <c r="O3329" t="s">
        <v>189</v>
      </c>
      <c r="P3329" s="2">
        <v>332.4</v>
      </c>
      <c r="Q3329" s="2">
        <v>56.51</v>
      </c>
      <c r="R3329" t="s">
        <v>76</v>
      </c>
      <c r="S3329">
        <v>1</v>
      </c>
      <c r="T3329">
        <v>0</v>
      </c>
      <c r="U3329">
        <f>IF(AND(OR(Dashboard!$D$4="Semua",D3329=Dashboard!$D$4),OR(Dashboard!$H$4="Semua",E3329=Dashboard!$H$4)),1,0)</f>
        <v>1</v>
      </c>
      <c r="V3329">
        <f>IF(U3329=1,IF(COUNTIFS($C$2:C3329,C3329,$U$2:U3329,1)=1,1,0),0)</f>
        <v>0</v>
      </c>
    </row>
    <row r="3330" spans="1:22" x14ac:dyDescent="0.35">
      <c r="A3330">
        <v>13329</v>
      </c>
      <c r="B3330" s="1">
        <v>47890</v>
      </c>
      <c r="C3330">
        <v>1253</v>
      </c>
      <c r="D3330" t="s">
        <v>73</v>
      </c>
      <c r="E3330" t="s">
        <v>74</v>
      </c>
      <c r="F3330">
        <v>2</v>
      </c>
      <c r="G3330" s="2">
        <v>272.52999999999997</v>
      </c>
      <c r="H3330">
        <v>0.33</v>
      </c>
      <c r="I3330" t="s">
        <v>68</v>
      </c>
      <c r="J3330">
        <v>8</v>
      </c>
      <c r="K3330">
        <v>1.2</v>
      </c>
      <c r="L3330" s="2">
        <v>365.19</v>
      </c>
      <c r="M3330">
        <v>2031</v>
      </c>
      <c r="N3330">
        <v>2</v>
      </c>
      <c r="O3330" t="s">
        <v>189</v>
      </c>
      <c r="P3330" s="2">
        <v>545.05999999999995</v>
      </c>
      <c r="Q3330" s="2">
        <v>179.87</v>
      </c>
      <c r="R3330" t="s">
        <v>72</v>
      </c>
      <c r="S3330">
        <v>1</v>
      </c>
      <c r="T3330">
        <v>0</v>
      </c>
      <c r="U3330">
        <f>IF(AND(OR(Dashboard!$D$4="Semua",D3330=Dashboard!$D$4),OR(Dashboard!$H$4="Semua",E3330=Dashboard!$H$4)),1,0)</f>
        <v>1</v>
      </c>
      <c r="V3330">
        <f>IF(U3330=1,IF(COUNTIFS($C$2:C3330,C3330,$U$2:U3330,1)=1,1,0),0)</f>
        <v>0</v>
      </c>
    </row>
    <row r="3331" spans="1:22" x14ac:dyDescent="0.35">
      <c r="A3331">
        <v>13330</v>
      </c>
      <c r="B3331" s="1">
        <v>47891</v>
      </c>
      <c r="C3331">
        <v>1129</v>
      </c>
      <c r="D3331" t="s">
        <v>62</v>
      </c>
      <c r="E3331" t="s">
        <v>70</v>
      </c>
      <c r="F3331">
        <v>2</v>
      </c>
      <c r="G3331" s="2">
        <v>243.22</v>
      </c>
      <c r="H3331">
        <v>0.33</v>
      </c>
      <c r="I3331" t="s">
        <v>64</v>
      </c>
      <c r="J3331">
        <v>9</v>
      </c>
      <c r="K3331">
        <v>4.5999999999999996</v>
      </c>
      <c r="L3331" s="2">
        <v>325.91000000000003</v>
      </c>
      <c r="M3331">
        <v>2031</v>
      </c>
      <c r="N3331">
        <v>2</v>
      </c>
      <c r="O3331" t="s">
        <v>189</v>
      </c>
      <c r="P3331" s="2">
        <v>486.44</v>
      </c>
      <c r="Q3331" s="2">
        <v>160.53</v>
      </c>
      <c r="R3331" t="s">
        <v>72</v>
      </c>
      <c r="S3331">
        <v>1</v>
      </c>
      <c r="T3331">
        <v>0</v>
      </c>
      <c r="U3331">
        <f>IF(AND(OR(Dashboard!$D$4="Semua",D3331=Dashboard!$D$4),OR(Dashboard!$H$4="Semua",E3331=Dashboard!$H$4)),1,0)</f>
        <v>1</v>
      </c>
      <c r="V3331">
        <f>IF(U3331=1,IF(COUNTIFS($C$2:C3331,C3331,$U$2:U3331,1)=1,1,0),0)</f>
        <v>0</v>
      </c>
    </row>
    <row r="3332" spans="1:22" x14ac:dyDescent="0.35">
      <c r="A3332">
        <v>13331</v>
      </c>
      <c r="B3332" s="1">
        <v>47892</v>
      </c>
      <c r="C3332">
        <v>1059</v>
      </c>
      <c r="D3332" t="s">
        <v>67</v>
      </c>
      <c r="E3332" t="s">
        <v>63</v>
      </c>
      <c r="F3332">
        <v>7</v>
      </c>
      <c r="G3332" s="2">
        <v>408.45</v>
      </c>
      <c r="H3332">
        <v>0.06</v>
      </c>
      <c r="I3332" t="s">
        <v>71</v>
      </c>
      <c r="J3332">
        <v>7</v>
      </c>
      <c r="K3332">
        <v>4.0999999999999996</v>
      </c>
      <c r="L3332" s="2">
        <v>2687.6</v>
      </c>
      <c r="M3332">
        <v>2031</v>
      </c>
      <c r="N3332">
        <v>2</v>
      </c>
      <c r="O3332" t="s">
        <v>189</v>
      </c>
      <c r="P3332" s="2">
        <v>2859.15</v>
      </c>
      <c r="Q3332" s="2">
        <v>171.55</v>
      </c>
      <c r="R3332" t="s">
        <v>69</v>
      </c>
      <c r="S3332">
        <v>1</v>
      </c>
      <c r="T3332">
        <v>0</v>
      </c>
      <c r="U3332">
        <f>IF(AND(OR(Dashboard!$D$4="Semua",D3332=Dashboard!$D$4),OR(Dashboard!$H$4="Semua",E3332=Dashboard!$H$4)),1,0)</f>
        <v>1</v>
      </c>
      <c r="V3332">
        <f>IF(U3332=1,IF(COUNTIFS($C$2:C3332,C3332,$U$2:U3332,1)=1,1,0),0)</f>
        <v>0</v>
      </c>
    </row>
    <row r="3333" spans="1:22" x14ac:dyDescent="0.35">
      <c r="A3333">
        <v>13332</v>
      </c>
      <c r="B3333" s="1">
        <v>47893</v>
      </c>
      <c r="C3333">
        <v>1662</v>
      </c>
      <c r="D3333" t="s">
        <v>67</v>
      </c>
      <c r="E3333" t="s">
        <v>74</v>
      </c>
      <c r="F3333">
        <v>7</v>
      </c>
      <c r="G3333" s="2">
        <v>418.95</v>
      </c>
      <c r="H3333">
        <v>0.06</v>
      </c>
      <c r="I3333" t="s">
        <v>68</v>
      </c>
      <c r="J3333">
        <v>8</v>
      </c>
      <c r="K3333">
        <v>3.5</v>
      </c>
      <c r="L3333" s="2">
        <v>2756.69</v>
      </c>
      <c r="M3333">
        <v>2031</v>
      </c>
      <c r="N3333">
        <v>2</v>
      </c>
      <c r="O3333" t="s">
        <v>189</v>
      </c>
      <c r="P3333" s="2">
        <v>2932.65</v>
      </c>
      <c r="Q3333" s="2">
        <v>175.96</v>
      </c>
      <c r="R3333" t="s">
        <v>69</v>
      </c>
      <c r="S3333">
        <v>1</v>
      </c>
      <c r="T3333">
        <v>0</v>
      </c>
      <c r="U3333">
        <f>IF(AND(OR(Dashboard!$D$4="Semua",D3333=Dashboard!$D$4),OR(Dashboard!$H$4="Semua",E3333=Dashboard!$H$4)),1,0)</f>
        <v>1</v>
      </c>
      <c r="V3333">
        <f>IF(U3333=1,IF(COUNTIFS($C$2:C3333,C3333,$U$2:U3333,1)=1,1,0),0)</f>
        <v>0</v>
      </c>
    </row>
    <row r="3334" spans="1:22" x14ac:dyDescent="0.35">
      <c r="A3334">
        <v>13333</v>
      </c>
      <c r="B3334" s="1">
        <v>47894</v>
      </c>
      <c r="C3334">
        <v>1466</v>
      </c>
      <c r="D3334" t="s">
        <v>67</v>
      </c>
      <c r="E3334" t="s">
        <v>70</v>
      </c>
      <c r="F3334">
        <v>1</v>
      </c>
      <c r="G3334" s="2">
        <v>41.86</v>
      </c>
      <c r="H3334">
        <v>0.06</v>
      </c>
      <c r="I3334" t="s">
        <v>68</v>
      </c>
      <c r="J3334">
        <v>6</v>
      </c>
      <c r="K3334">
        <v>2.6</v>
      </c>
      <c r="L3334" s="2">
        <v>39.35</v>
      </c>
      <c r="M3334">
        <v>2031</v>
      </c>
      <c r="N3334">
        <v>2</v>
      </c>
      <c r="O3334" t="s">
        <v>189</v>
      </c>
      <c r="P3334" s="2">
        <v>41.86</v>
      </c>
      <c r="Q3334" s="2">
        <v>2.5099999999999998</v>
      </c>
      <c r="R3334" t="s">
        <v>69</v>
      </c>
      <c r="S3334">
        <v>1</v>
      </c>
      <c r="T3334">
        <v>0</v>
      </c>
      <c r="U3334">
        <f>IF(AND(OR(Dashboard!$D$4="Semua",D3334=Dashboard!$D$4),OR(Dashboard!$H$4="Semua",E3334=Dashboard!$H$4)),1,0)</f>
        <v>1</v>
      </c>
      <c r="V3334">
        <f>IF(U3334=1,IF(COUNTIFS($C$2:C3334,C3334,$U$2:U3334,1)=1,1,0),0)</f>
        <v>0</v>
      </c>
    </row>
    <row r="3335" spans="1:22" x14ac:dyDescent="0.35">
      <c r="A3335">
        <v>13334</v>
      </c>
      <c r="B3335" s="1">
        <v>47895</v>
      </c>
      <c r="C3335">
        <v>1286</v>
      </c>
      <c r="D3335" t="s">
        <v>73</v>
      </c>
      <c r="E3335" t="s">
        <v>74</v>
      </c>
      <c r="F3335">
        <v>4</v>
      </c>
      <c r="G3335" s="2">
        <v>213.17</v>
      </c>
      <c r="H3335">
        <v>0.28000000000000003</v>
      </c>
      <c r="I3335" t="s">
        <v>68</v>
      </c>
      <c r="J3335">
        <v>9</v>
      </c>
      <c r="K3335">
        <v>3.3</v>
      </c>
      <c r="L3335" s="2">
        <v>613.92999999999995</v>
      </c>
      <c r="M3335">
        <v>2031</v>
      </c>
      <c r="N3335">
        <v>2</v>
      </c>
      <c r="O3335" t="s">
        <v>189</v>
      </c>
      <c r="P3335" s="2">
        <v>852.68</v>
      </c>
      <c r="Q3335" s="2">
        <v>238.75</v>
      </c>
      <c r="R3335" t="s">
        <v>66</v>
      </c>
      <c r="S3335">
        <v>1</v>
      </c>
      <c r="T3335">
        <v>0</v>
      </c>
      <c r="U3335">
        <f>IF(AND(OR(Dashboard!$D$4="Semua",D3335=Dashboard!$D$4),OR(Dashboard!$H$4="Semua",E3335=Dashboard!$H$4)),1,0)</f>
        <v>1</v>
      </c>
      <c r="V3335">
        <f>IF(U3335=1,IF(COUNTIFS($C$2:C3335,C3335,$U$2:U3335,1)=1,1,0),0)</f>
        <v>0</v>
      </c>
    </row>
    <row r="3336" spans="1:22" x14ac:dyDescent="0.35">
      <c r="A3336">
        <v>13335</v>
      </c>
      <c r="B3336" s="1">
        <v>47896</v>
      </c>
      <c r="C3336">
        <v>1516</v>
      </c>
      <c r="D3336" t="s">
        <v>67</v>
      </c>
      <c r="E3336" t="s">
        <v>63</v>
      </c>
      <c r="F3336">
        <v>3</v>
      </c>
      <c r="G3336" s="2">
        <v>255.88</v>
      </c>
      <c r="H3336">
        <v>0</v>
      </c>
      <c r="I3336" t="s">
        <v>71</v>
      </c>
      <c r="J3336">
        <v>2</v>
      </c>
      <c r="K3336">
        <v>2.9</v>
      </c>
      <c r="L3336" s="2">
        <v>767.64</v>
      </c>
      <c r="M3336">
        <v>2031</v>
      </c>
      <c r="N3336">
        <v>2</v>
      </c>
      <c r="O3336" t="s">
        <v>189</v>
      </c>
      <c r="P3336" s="2">
        <v>767.64</v>
      </c>
      <c r="Q3336" s="2">
        <v>0</v>
      </c>
      <c r="R3336" t="s">
        <v>75</v>
      </c>
      <c r="S3336">
        <v>1</v>
      </c>
      <c r="T3336">
        <v>0</v>
      </c>
      <c r="U3336">
        <f>IF(AND(OR(Dashboard!$D$4="Semua",D3336=Dashboard!$D$4),OR(Dashboard!$H$4="Semua",E3336=Dashboard!$H$4)),1,0)</f>
        <v>1</v>
      </c>
      <c r="V3336">
        <f>IF(U3336=1,IF(COUNTIFS($C$2:C3336,C3336,$U$2:U3336,1)=1,1,0),0)</f>
        <v>0</v>
      </c>
    </row>
    <row r="3337" spans="1:22" x14ac:dyDescent="0.35">
      <c r="A3337">
        <v>13336</v>
      </c>
      <c r="B3337" s="1">
        <v>47897</v>
      </c>
      <c r="C3337">
        <v>1466</v>
      </c>
      <c r="D3337" t="s">
        <v>73</v>
      </c>
      <c r="E3337" t="s">
        <v>74</v>
      </c>
      <c r="F3337">
        <v>3</v>
      </c>
      <c r="G3337" s="2">
        <v>71.680000000000007</v>
      </c>
      <c r="H3337">
        <v>0.04</v>
      </c>
      <c r="I3337" t="s">
        <v>64</v>
      </c>
      <c r="J3337">
        <v>3</v>
      </c>
      <c r="K3337">
        <v>2.1</v>
      </c>
      <c r="L3337" s="2">
        <v>206.44</v>
      </c>
      <c r="M3337">
        <v>2031</v>
      </c>
      <c r="N3337">
        <v>2</v>
      </c>
      <c r="O3337" t="s">
        <v>189</v>
      </c>
      <c r="P3337" s="2">
        <v>215.04</v>
      </c>
      <c r="Q3337" s="2">
        <v>8.6</v>
      </c>
      <c r="R3337" t="s">
        <v>75</v>
      </c>
      <c r="S3337">
        <v>1</v>
      </c>
      <c r="T3337">
        <v>0</v>
      </c>
      <c r="U3337">
        <f>IF(AND(OR(Dashboard!$D$4="Semua",D3337=Dashboard!$D$4),OR(Dashboard!$H$4="Semua",E3337=Dashboard!$H$4)),1,0)</f>
        <v>1</v>
      </c>
      <c r="V3337">
        <f>IF(U3337=1,IF(COUNTIFS($C$2:C3337,C3337,$U$2:U3337,1)=1,1,0),0)</f>
        <v>0</v>
      </c>
    </row>
    <row r="3338" spans="1:22" x14ac:dyDescent="0.35">
      <c r="A3338">
        <v>13337</v>
      </c>
      <c r="B3338" s="1">
        <v>47898</v>
      </c>
      <c r="C3338">
        <v>1929</v>
      </c>
      <c r="D3338" t="s">
        <v>67</v>
      </c>
      <c r="E3338" t="s">
        <v>70</v>
      </c>
      <c r="F3338">
        <v>1</v>
      </c>
      <c r="G3338" s="2">
        <v>153</v>
      </c>
      <c r="H3338">
        <v>0.19</v>
      </c>
      <c r="I3338" t="s">
        <v>71</v>
      </c>
      <c r="J3338">
        <v>2</v>
      </c>
      <c r="K3338">
        <v>2.2000000000000002</v>
      </c>
      <c r="L3338" s="2">
        <v>123.93</v>
      </c>
      <c r="M3338">
        <v>2031</v>
      </c>
      <c r="N3338">
        <v>2</v>
      </c>
      <c r="O3338" t="s">
        <v>189</v>
      </c>
      <c r="P3338" s="2">
        <v>153</v>
      </c>
      <c r="Q3338" s="2">
        <v>29.07</v>
      </c>
      <c r="R3338" t="s">
        <v>76</v>
      </c>
      <c r="S3338">
        <v>1</v>
      </c>
      <c r="T3338">
        <v>0</v>
      </c>
      <c r="U3338">
        <f>IF(AND(OR(Dashboard!$D$4="Semua",D3338=Dashboard!$D$4),OR(Dashboard!$H$4="Semua",E3338=Dashboard!$H$4)),1,0)</f>
        <v>1</v>
      </c>
      <c r="V3338">
        <f>IF(U3338=1,IF(COUNTIFS($C$2:C3338,C3338,$U$2:U3338,1)=1,1,0),0)</f>
        <v>0</v>
      </c>
    </row>
    <row r="3339" spans="1:22" x14ac:dyDescent="0.35">
      <c r="A3339">
        <v>13338</v>
      </c>
      <c r="B3339" s="1">
        <v>47899</v>
      </c>
      <c r="C3339">
        <v>1777</v>
      </c>
      <c r="D3339" t="s">
        <v>67</v>
      </c>
      <c r="E3339" t="s">
        <v>74</v>
      </c>
      <c r="F3339">
        <v>4</v>
      </c>
      <c r="G3339" s="2">
        <v>45.21</v>
      </c>
      <c r="H3339">
        <v>0.09</v>
      </c>
      <c r="I3339" t="s">
        <v>68</v>
      </c>
      <c r="J3339">
        <v>6</v>
      </c>
      <c r="K3339">
        <v>4.5</v>
      </c>
      <c r="L3339" s="2">
        <v>164.56</v>
      </c>
      <c r="M3339">
        <v>2031</v>
      </c>
      <c r="N3339">
        <v>2</v>
      </c>
      <c r="O3339" t="s">
        <v>189</v>
      </c>
      <c r="P3339" s="2">
        <v>180.84</v>
      </c>
      <c r="Q3339" s="2">
        <v>16.28</v>
      </c>
      <c r="R3339" t="s">
        <v>69</v>
      </c>
      <c r="S3339">
        <v>1</v>
      </c>
      <c r="T3339">
        <v>0</v>
      </c>
      <c r="U3339">
        <f>IF(AND(OR(Dashboard!$D$4="Semua",D3339=Dashboard!$D$4),OR(Dashboard!$H$4="Semua",E3339=Dashboard!$H$4)),1,0)</f>
        <v>1</v>
      </c>
      <c r="V3339">
        <f>IF(U3339=1,IF(COUNTIFS($C$2:C3339,C3339,$U$2:U3339,1)=1,1,0),0)</f>
        <v>0</v>
      </c>
    </row>
    <row r="3340" spans="1:22" x14ac:dyDescent="0.35">
      <c r="A3340">
        <v>13339</v>
      </c>
      <c r="B3340" s="1">
        <v>47900</v>
      </c>
      <c r="C3340">
        <v>1344</v>
      </c>
      <c r="D3340" t="s">
        <v>80</v>
      </c>
      <c r="E3340" t="s">
        <v>74</v>
      </c>
      <c r="F3340">
        <v>2</v>
      </c>
      <c r="G3340" s="2">
        <v>597.79999999999995</v>
      </c>
      <c r="H3340">
        <v>0.03</v>
      </c>
      <c r="I3340" t="s">
        <v>68</v>
      </c>
      <c r="J3340">
        <v>3</v>
      </c>
      <c r="K3340">
        <v>3.5</v>
      </c>
      <c r="L3340" s="2">
        <v>1159.73</v>
      </c>
      <c r="M3340">
        <v>2031</v>
      </c>
      <c r="N3340">
        <v>2</v>
      </c>
      <c r="O3340" t="s">
        <v>189</v>
      </c>
      <c r="P3340" s="2">
        <v>1195.5999999999999</v>
      </c>
      <c r="Q3340" s="2">
        <v>35.869999999999997</v>
      </c>
      <c r="R3340" t="s">
        <v>75</v>
      </c>
      <c r="S3340">
        <v>1</v>
      </c>
      <c r="T3340">
        <v>0</v>
      </c>
      <c r="U3340">
        <f>IF(AND(OR(Dashboard!$D$4="Semua",D3340=Dashboard!$D$4),OR(Dashboard!$H$4="Semua",E3340=Dashboard!$H$4)),1,0)</f>
        <v>1</v>
      </c>
      <c r="V3340">
        <f>IF(U3340=1,IF(COUNTIFS($C$2:C3340,C3340,$U$2:U3340,1)=1,1,0),0)</f>
        <v>0</v>
      </c>
    </row>
    <row r="3341" spans="1:22" x14ac:dyDescent="0.35">
      <c r="A3341">
        <v>13340</v>
      </c>
      <c r="B3341" s="1">
        <v>47901</v>
      </c>
      <c r="C3341">
        <v>1641</v>
      </c>
      <c r="D3341" t="s">
        <v>73</v>
      </c>
      <c r="E3341" t="s">
        <v>70</v>
      </c>
      <c r="F3341">
        <v>6</v>
      </c>
      <c r="G3341" s="2">
        <v>445.89</v>
      </c>
      <c r="H3341">
        <v>0.13</v>
      </c>
      <c r="I3341" t="s">
        <v>64</v>
      </c>
      <c r="J3341">
        <v>11</v>
      </c>
      <c r="K3341">
        <v>1</v>
      </c>
      <c r="L3341" s="2">
        <v>2327.5500000000002</v>
      </c>
      <c r="M3341">
        <v>2031</v>
      </c>
      <c r="N3341">
        <v>2</v>
      </c>
      <c r="O3341" t="s">
        <v>189</v>
      </c>
      <c r="P3341" s="2">
        <v>2675.34</v>
      </c>
      <c r="Q3341" s="2">
        <v>347.79</v>
      </c>
      <c r="R3341" t="s">
        <v>79</v>
      </c>
      <c r="S3341">
        <v>1</v>
      </c>
      <c r="T3341">
        <v>0</v>
      </c>
      <c r="U3341">
        <f>IF(AND(OR(Dashboard!$D$4="Semua",D3341=Dashboard!$D$4),OR(Dashboard!$H$4="Semua",E3341=Dashboard!$H$4)),1,0)</f>
        <v>1</v>
      </c>
      <c r="V3341">
        <f>IF(U3341=1,IF(COUNTIFS($C$2:C3341,C3341,$U$2:U3341,1)=1,1,0),0)</f>
        <v>0</v>
      </c>
    </row>
    <row r="3342" spans="1:22" x14ac:dyDescent="0.35">
      <c r="A3342">
        <v>13341</v>
      </c>
      <c r="B3342" s="1">
        <v>47902</v>
      </c>
      <c r="C3342">
        <v>1381</v>
      </c>
      <c r="D3342" t="s">
        <v>73</v>
      </c>
      <c r="E3342" t="s">
        <v>78</v>
      </c>
      <c r="F3342">
        <v>1</v>
      </c>
      <c r="G3342" s="2">
        <v>66.16</v>
      </c>
      <c r="H3342">
        <v>0.1</v>
      </c>
      <c r="I3342" t="s">
        <v>68</v>
      </c>
      <c r="J3342">
        <v>1</v>
      </c>
      <c r="K3342">
        <v>2.2999999999999998</v>
      </c>
      <c r="L3342" s="2">
        <v>59.54</v>
      </c>
      <c r="M3342">
        <v>2031</v>
      </c>
      <c r="N3342">
        <v>2</v>
      </c>
      <c r="O3342" t="s">
        <v>189</v>
      </c>
      <c r="P3342" s="2">
        <v>66.16</v>
      </c>
      <c r="Q3342" s="2">
        <v>6.62</v>
      </c>
      <c r="R3342" t="s">
        <v>69</v>
      </c>
      <c r="S3342">
        <v>1</v>
      </c>
      <c r="T3342">
        <v>0</v>
      </c>
      <c r="U3342">
        <f>IF(AND(OR(Dashboard!$D$4="Semua",D3342=Dashboard!$D$4),OR(Dashboard!$H$4="Semua",E3342=Dashboard!$H$4)),1,0)</f>
        <v>1</v>
      </c>
      <c r="V3342">
        <f>IF(U3342=1,IF(COUNTIFS($C$2:C3342,C3342,$U$2:U3342,1)=1,1,0),0)</f>
        <v>0</v>
      </c>
    </row>
    <row r="3343" spans="1:22" x14ac:dyDescent="0.35">
      <c r="A3343">
        <v>13342</v>
      </c>
      <c r="B3343" s="1">
        <v>47903</v>
      </c>
      <c r="C3343">
        <v>1778</v>
      </c>
      <c r="D3343" t="s">
        <v>67</v>
      </c>
      <c r="E3343" t="s">
        <v>74</v>
      </c>
      <c r="F3343">
        <v>5</v>
      </c>
      <c r="G3343" s="2">
        <v>26.85</v>
      </c>
      <c r="H3343">
        <v>0.18</v>
      </c>
      <c r="I3343" t="s">
        <v>71</v>
      </c>
      <c r="J3343">
        <v>4</v>
      </c>
      <c r="K3343">
        <v>2.4</v>
      </c>
      <c r="L3343" s="2">
        <v>110.08</v>
      </c>
      <c r="M3343">
        <v>2031</v>
      </c>
      <c r="N3343">
        <v>2</v>
      </c>
      <c r="O3343" t="s">
        <v>189</v>
      </c>
      <c r="P3343" s="2">
        <v>134.25</v>
      </c>
      <c r="Q3343" s="2">
        <v>24.17</v>
      </c>
      <c r="R3343" t="s">
        <v>76</v>
      </c>
      <c r="S3343">
        <v>1</v>
      </c>
      <c r="T3343">
        <v>0</v>
      </c>
      <c r="U3343">
        <f>IF(AND(OR(Dashboard!$D$4="Semua",D3343=Dashboard!$D$4),OR(Dashboard!$H$4="Semua",E3343=Dashboard!$H$4)),1,0)</f>
        <v>1</v>
      </c>
      <c r="V3343">
        <f>IF(U3343=1,IF(COUNTIFS($C$2:C3343,C3343,$U$2:U3343,1)=1,1,0),0)</f>
        <v>0</v>
      </c>
    </row>
    <row r="3344" spans="1:22" x14ac:dyDescent="0.35">
      <c r="A3344">
        <v>13343</v>
      </c>
      <c r="B3344" s="1">
        <v>47904</v>
      </c>
      <c r="C3344">
        <v>1689</v>
      </c>
      <c r="D3344" t="s">
        <v>62</v>
      </c>
      <c r="E3344" t="s">
        <v>74</v>
      </c>
      <c r="F3344">
        <v>4</v>
      </c>
      <c r="G3344" s="2">
        <v>435.78</v>
      </c>
      <c r="H3344">
        <v>0.34</v>
      </c>
      <c r="I3344" t="s">
        <v>68</v>
      </c>
      <c r="J3344">
        <v>5</v>
      </c>
      <c r="K3344">
        <v>3.8</v>
      </c>
      <c r="L3344" s="2">
        <v>1150.46</v>
      </c>
      <c r="M3344">
        <v>2031</v>
      </c>
      <c r="N3344">
        <v>2</v>
      </c>
      <c r="O3344" t="s">
        <v>189</v>
      </c>
      <c r="P3344" s="2">
        <v>1743.12</v>
      </c>
      <c r="Q3344" s="2">
        <v>592.66</v>
      </c>
      <c r="R3344" t="s">
        <v>72</v>
      </c>
      <c r="S3344">
        <v>1</v>
      </c>
      <c r="T3344">
        <v>0</v>
      </c>
      <c r="U3344">
        <f>IF(AND(OR(Dashboard!$D$4="Semua",D3344=Dashboard!$D$4),OR(Dashboard!$H$4="Semua",E3344=Dashboard!$H$4)),1,0)</f>
        <v>1</v>
      </c>
      <c r="V3344">
        <f>IF(U3344=1,IF(COUNTIFS($C$2:C3344,C3344,$U$2:U3344,1)=1,1,0),0)</f>
        <v>0</v>
      </c>
    </row>
    <row r="3345" spans="1:22" x14ac:dyDescent="0.35">
      <c r="A3345">
        <v>13344</v>
      </c>
      <c r="B3345" s="1">
        <v>47905</v>
      </c>
      <c r="C3345">
        <v>1252</v>
      </c>
      <c r="D3345" t="s">
        <v>80</v>
      </c>
      <c r="E3345" t="s">
        <v>63</v>
      </c>
      <c r="F3345">
        <v>5</v>
      </c>
      <c r="G3345" s="2">
        <v>271.93</v>
      </c>
      <c r="H3345">
        <v>0.04</v>
      </c>
      <c r="I3345" t="s">
        <v>71</v>
      </c>
      <c r="J3345">
        <v>11</v>
      </c>
      <c r="K3345">
        <v>3.8</v>
      </c>
      <c r="L3345" s="2">
        <v>1305.26</v>
      </c>
      <c r="M3345">
        <v>2031</v>
      </c>
      <c r="N3345">
        <v>2</v>
      </c>
      <c r="O3345" t="s">
        <v>189</v>
      </c>
      <c r="P3345" s="2">
        <v>1359.65</v>
      </c>
      <c r="Q3345" s="2">
        <v>54.39</v>
      </c>
      <c r="R3345" t="s">
        <v>75</v>
      </c>
      <c r="S3345">
        <v>1</v>
      </c>
      <c r="T3345">
        <v>0</v>
      </c>
      <c r="U3345">
        <f>IF(AND(OR(Dashboard!$D$4="Semua",D3345=Dashboard!$D$4),OR(Dashboard!$H$4="Semua",E3345=Dashboard!$H$4)),1,0)</f>
        <v>1</v>
      </c>
      <c r="V3345">
        <f>IF(U3345=1,IF(COUNTIFS($C$2:C3345,C3345,$U$2:U3345,1)=1,1,0),0)</f>
        <v>0</v>
      </c>
    </row>
    <row r="3346" spans="1:22" x14ac:dyDescent="0.35">
      <c r="A3346">
        <v>13345</v>
      </c>
      <c r="B3346" s="1">
        <v>47906</v>
      </c>
      <c r="C3346">
        <v>1926</v>
      </c>
      <c r="D3346" t="s">
        <v>67</v>
      </c>
      <c r="E3346" t="s">
        <v>78</v>
      </c>
      <c r="F3346">
        <v>5</v>
      </c>
      <c r="G3346" s="2">
        <v>475.28</v>
      </c>
      <c r="H3346">
        <v>0.13</v>
      </c>
      <c r="I3346" t="s">
        <v>64</v>
      </c>
      <c r="J3346">
        <v>4</v>
      </c>
      <c r="K3346">
        <v>2.9</v>
      </c>
      <c r="L3346" s="2">
        <v>2067.4699999999998</v>
      </c>
      <c r="M3346">
        <v>2031</v>
      </c>
      <c r="N3346">
        <v>2</v>
      </c>
      <c r="O3346" t="s">
        <v>189</v>
      </c>
      <c r="P3346" s="2">
        <v>2376.4</v>
      </c>
      <c r="Q3346" s="2">
        <v>308.93</v>
      </c>
      <c r="R3346" t="s">
        <v>79</v>
      </c>
      <c r="S3346">
        <v>1</v>
      </c>
      <c r="T3346">
        <v>0</v>
      </c>
      <c r="U3346">
        <f>IF(AND(OR(Dashboard!$D$4="Semua",D3346=Dashboard!$D$4),OR(Dashboard!$H$4="Semua",E3346=Dashboard!$H$4)),1,0)</f>
        <v>1</v>
      </c>
      <c r="V3346">
        <f>IF(U3346=1,IF(COUNTIFS($C$2:C3346,C3346,$U$2:U3346,1)=1,1,0),0)</f>
        <v>0</v>
      </c>
    </row>
    <row r="3347" spans="1:22" x14ac:dyDescent="0.35">
      <c r="A3347">
        <v>13346</v>
      </c>
      <c r="B3347" s="1">
        <v>47907</v>
      </c>
      <c r="C3347">
        <v>1055</v>
      </c>
      <c r="D3347" t="s">
        <v>67</v>
      </c>
      <c r="E3347" t="s">
        <v>63</v>
      </c>
      <c r="F3347">
        <v>1</v>
      </c>
      <c r="G3347" s="2">
        <v>555.23</v>
      </c>
      <c r="H3347">
        <v>0.33</v>
      </c>
      <c r="I3347" t="s">
        <v>68</v>
      </c>
      <c r="J3347">
        <v>6</v>
      </c>
      <c r="K3347">
        <v>4.8</v>
      </c>
      <c r="L3347" s="2">
        <v>372</v>
      </c>
      <c r="M3347">
        <v>2031</v>
      </c>
      <c r="N3347">
        <v>2</v>
      </c>
      <c r="O3347" t="s">
        <v>189</v>
      </c>
      <c r="P3347" s="2">
        <v>555.23</v>
      </c>
      <c r="Q3347" s="2">
        <v>183.23</v>
      </c>
      <c r="R3347" t="s">
        <v>72</v>
      </c>
      <c r="S3347">
        <v>1</v>
      </c>
      <c r="T3347">
        <v>0</v>
      </c>
      <c r="U3347">
        <f>IF(AND(OR(Dashboard!$D$4="Semua",D3347=Dashboard!$D$4),OR(Dashboard!$H$4="Semua",E3347=Dashboard!$H$4)),1,0)</f>
        <v>1</v>
      </c>
      <c r="V3347">
        <f>IF(U3347=1,IF(COUNTIFS($C$2:C3347,C3347,$U$2:U3347,1)=1,1,0),0)</f>
        <v>0</v>
      </c>
    </row>
    <row r="3348" spans="1:22" x14ac:dyDescent="0.35">
      <c r="A3348">
        <v>13347</v>
      </c>
      <c r="B3348" s="1">
        <v>47908</v>
      </c>
      <c r="C3348">
        <v>1462</v>
      </c>
      <c r="D3348" t="s">
        <v>73</v>
      </c>
      <c r="E3348" t="s">
        <v>70</v>
      </c>
      <c r="F3348">
        <v>4</v>
      </c>
      <c r="G3348" s="2">
        <v>365.59</v>
      </c>
      <c r="H3348">
        <v>0.31</v>
      </c>
      <c r="I3348" t="s">
        <v>71</v>
      </c>
      <c r="J3348">
        <v>3</v>
      </c>
      <c r="K3348">
        <v>4.5</v>
      </c>
      <c r="L3348" s="2">
        <v>1009.03</v>
      </c>
      <c r="M3348">
        <v>2031</v>
      </c>
      <c r="N3348">
        <v>3</v>
      </c>
      <c r="O3348" t="s">
        <v>190</v>
      </c>
      <c r="P3348" s="2">
        <v>1462.36</v>
      </c>
      <c r="Q3348" s="2">
        <v>453.33</v>
      </c>
      <c r="R3348" t="s">
        <v>72</v>
      </c>
      <c r="S3348">
        <v>1</v>
      </c>
      <c r="T3348">
        <v>0</v>
      </c>
      <c r="U3348">
        <f>IF(AND(OR(Dashboard!$D$4="Semua",D3348=Dashboard!$D$4),OR(Dashboard!$H$4="Semua",E3348=Dashboard!$H$4)),1,0)</f>
        <v>1</v>
      </c>
      <c r="V3348">
        <f>IF(U3348=1,IF(COUNTIFS($C$2:C3348,C3348,$U$2:U3348,1)=1,1,0),0)</f>
        <v>0</v>
      </c>
    </row>
    <row r="3349" spans="1:22" x14ac:dyDescent="0.35">
      <c r="A3349">
        <v>13348</v>
      </c>
      <c r="B3349" s="1">
        <v>47909</v>
      </c>
      <c r="C3349">
        <v>1456</v>
      </c>
      <c r="D3349" t="s">
        <v>62</v>
      </c>
      <c r="E3349" t="s">
        <v>70</v>
      </c>
      <c r="F3349">
        <v>5</v>
      </c>
      <c r="G3349" s="2">
        <v>124.46</v>
      </c>
      <c r="H3349">
        <v>0.14000000000000001</v>
      </c>
      <c r="I3349" t="s">
        <v>71</v>
      </c>
      <c r="J3349">
        <v>10</v>
      </c>
      <c r="K3349">
        <v>4.5</v>
      </c>
      <c r="L3349" s="2">
        <v>535.17999999999995</v>
      </c>
      <c r="M3349">
        <v>2031</v>
      </c>
      <c r="N3349">
        <v>3</v>
      </c>
      <c r="O3349" t="s">
        <v>190</v>
      </c>
      <c r="P3349" s="2">
        <v>622.29999999999995</v>
      </c>
      <c r="Q3349" s="2">
        <v>87.12</v>
      </c>
      <c r="R3349" t="s">
        <v>79</v>
      </c>
      <c r="S3349">
        <v>1</v>
      </c>
      <c r="T3349">
        <v>0</v>
      </c>
      <c r="U3349">
        <f>IF(AND(OR(Dashboard!$D$4="Semua",D3349=Dashboard!$D$4),OR(Dashboard!$H$4="Semua",E3349=Dashboard!$H$4)),1,0)</f>
        <v>1</v>
      </c>
      <c r="V3349">
        <f>IF(U3349=1,IF(COUNTIFS($C$2:C3349,C3349,$U$2:U3349,1)=1,1,0),0)</f>
        <v>0</v>
      </c>
    </row>
    <row r="3350" spans="1:22" x14ac:dyDescent="0.35">
      <c r="A3350">
        <v>13349</v>
      </c>
      <c r="B3350" s="1">
        <v>47910</v>
      </c>
      <c r="C3350">
        <v>1982</v>
      </c>
      <c r="D3350" t="s">
        <v>80</v>
      </c>
      <c r="E3350" t="s">
        <v>63</v>
      </c>
      <c r="F3350">
        <v>7</v>
      </c>
      <c r="G3350" s="2">
        <v>472.58</v>
      </c>
      <c r="H3350">
        <v>0.24</v>
      </c>
      <c r="I3350" t="s">
        <v>68</v>
      </c>
      <c r="J3350">
        <v>6</v>
      </c>
      <c r="K3350">
        <v>2.4</v>
      </c>
      <c r="L3350" s="2">
        <v>2514.13</v>
      </c>
      <c r="M3350">
        <v>2031</v>
      </c>
      <c r="N3350">
        <v>3</v>
      </c>
      <c r="O3350" t="s">
        <v>190</v>
      </c>
      <c r="P3350" s="2">
        <v>3308.06</v>
      </c>
      <c r="Q3350" s="2">
        <v>793.93</v>
      </c>
      <c r="R3350" t="s">
        <v>77</v>
      </c>
      <c r="S3350">
        <v>1</v>
      </c>
      <c r="T3350">
        <v>0</v>
      </c>
      <c r="U3350">
        <f>IF(AND(OR(Dashboard!$D$4="Semua",D3350=Dashboard!$D$4),OR(Dashboard!$H$4="Semua",E3350=Dashboard!$H$4)),1,0)</f>
        <v>1</v>
      </c>
      <c r="V3350">
        <f>IF(U3350=1,IF(COUNTIFS($C$2:C3350,C3350,$U$2:U3350,1)=1,1,0),0)</f>
        <v>0</v>
      </c>
    </row>
    <row r="3351" spans="1:22" x14ac:dyDescent="0.35">
      <c r="A3351">
        <v>13350</v>
      </c>
      <c r="B3351" s="1">
        <v>47911</v>
      </c>
      <c r="C3351">
        <v>1082</v>
      </c>
      <c r="D3351" t="s">
        <v>73</v>
      </c>
      <c r="E3351" t="s">
        <v>74</v>
      </c>
      <c r="F3351">
        <v>7</v>
      </c>
      <c r="G3351" s="2">
        <v>574.15</v>
      </c>
      <c r="H3351">
        <v>0.03</v>
      </c>
      <c r="I3351" t="s">
        <v>68</v>
      </c>
      <c r="J3351">
        <v>10</v>
      </c>
      <c r="K3351">
        <v>2.7</v>
      </c>
      <c r="L3351" s="2">
        <v>3898.48</v>
      </c>
      <c r="M3351">
        <v>2031</v>
      </c>
      <c r="N3351">
        <v>3</v>
      </c>
      <c r="O3351" t="s">
        <v>190</v>
      </c>
      <c r="P3351" s="2">
        <v>4019.05</v>
      </c>
      <c r="Q3351" s="2">
        <v>120.57</v>
      </c>
      <c r="R3351" t="s">
        <v>75</v>
      </c>
      <c r="S3351">
        <v>1</v>
      </c>
      <c r="T3351">
        <v>1</v>
      </c>
      <c r="U3351">
        <f>IF(AND(OR(Dashboard!$D$4="Semua",D3351=Dashboard!$D$4),OR(Dashboard!$H$4="Semua",E3351=Dashboard!$H$4)),1,0)</f>
        <v>1</v>
      </c>
      <c r="V3351">
        <f>IF(U3351=1,IF(COUNTIFS($C$2:C3351,C3351,$U$2:U3351,1)=1,1,0),0)</f>
        <v>0</v>
      </c>
    </row>
    <row r="3352" spans="1:22" x14ac:dyDescent="0.35">
      <c r="A3352">
        <v>13351</v>
      </c>
      <c r="B3352" s="1">
        <v>47912</v>
      </c>
      <c r="C3352">
        <v>1904</v>
      </c>
      <c r="D3352" t="s">
        <v>67</v>
      </c>
      <c r="E3352" t="s">
        <v>78</v>
      </c>
      <c r="F3352">
        <v>4</v>
      </c>
      <c r="G3352" s="2">
        <v>354.44</v>
      </c>
      <c r="H3352">
        <v>0.25</v>
      </c>
      <c r="I3352" t="s">
        <v>71</v>
      </c>
      <c r="J3352">
        <v>1</v>
      </c>
      <c r="K3352">
        <v>2.7</v>
      </c>
      <c r="L3352" s="2">
        <v>1063.32</v>
      </c>
      <c r="M3352">
        <v>2031</v>
      </c>
      <c r="N3352">
        <v>3</v>
      </c>
      <c r="O3352" t="s">
        <v>190</v>
      </c>
      <c r="P3352" s="2">
        <v>1417.76</v>
      </c>
      <c r="Q3352" s="2">
        <v>354.44</v>
      </c>
      <c r="R3352" t="s">
        <v>77</v>
      </c>
      <c r="S3352">
        <v>1</v>
      </c>
      <c r="T3352">
        <v>0</v>
      </c>
      <c r="U3352">
        <f>IF(AND(OR(Dashboard!$D$4="Semua",D3352=Dashboard!$D$4),OR(Dashboard!$H$4="Semua",E3352=Dashboard!$H$4)),1,0)</f>
        <v>1</v>
      </c>
      <c r="V3352">
        <f>IF(U3352=1,IF(COUNTIFS($C$2:C3352,C3352,$U$2:U3352,1)=1,1,0),0)</f>
        <v>0</v>
      </c>
    </row>
    <row r="3353" spans="1:22" x14ac:dyDescent="0.35">
      <c r="A3353">
        <v>13352</v>
      </c>
      <c r="B3353" s="1">
        <v>47913</v>
      </c>
      <c r="C3353">
        <v>1098</v>
      </c>
      <c r="D3353" t="s">
        <v>73</v>
      </c>
      <c r="E3353" t="s">
        <v>63</v>
      </c>
      <c r="F3353">
        <v>3</v>
      </c>
      <c r="G3353" s="2">
        <v>413.97</v>
      </c>
      <c r="H3353">
        <v>0.34</v>
      </c>
      <c r="I3353" t="s">
        <v>68</v>
      </c>
      <c r="J3353">
        <v>6</v>
      </c>
      <c r="K3353">
        <v>2.8</v>
      </c>
      <c r="L3353" s="2">
        <v>819.66</v>
      </c>
      <c r="M3353">
        <v>2031</v>
      </c>
      <c r="N3353">
        <v>3</v>
      </c>
      <c r="O3353" t="s">
        <v>190</v>
      </c>
      <c r="P3353" s="2">
        <v>1241.9100000000001</v>
      </c>
      <c r="Q3353" s="2">
        <v>422.25</v>
      </c>
      <c r="R3353" t="s">
        <v>72</v>
      </c>
      <c r="S3353">
        <v>1</v>
      </c>
      <c r="T3353">
        <v>0</v>
      </c>
      <c r="U3353">
        <f>IF(AND(OR(Dashboard!$D$4="Semua",D3353=Dashboard!$D$4),OR(Dashboard!$H$4="Semua",E3353=Dashboard!$H$4)),1,0)</f>
        <v>1</v>
      </c>
      <c r="V3353">
        <f>IF(U3353=1,IF(COUNTIFS($C$2:C3353,C3353,$U$2:U3353,1)=1,1,0),0)</f>
        <v>0</v>
      </c>
    </row>
    <row r="3354" spans="1:22" x14ac:dyDescent="0.35">
      <c r="A3354">
        <v>13353</v>
      </c>
      <c r="B3354" s="1">
        <v>47914</v>
      </c>
      <c r="C3354">
        <v>1148</v>
      </c>
      <c r="D3354" t="s">
        <v>62</v>
      </c>
      <c r="E3354" t="s">
        <v>63</v>
      </c>
      <c r="F3354">
        <v>6</v>
      </c>
      <c r="G3354" s="2">
        <v>212.42</v>
      </c>
      <c r="H3354">
        <v>0.19</v>
      </c>
      <c r="I3354" t="s">
        <v>64</v>
      </c>
      <c r="J3354">
        <v>8</v>
      </c>
      <c r="K3354">
        <v>4.5999999999999996</v>
      </c>
      <c r="L3354" s="2">
        <v>1032.3599999999999</v>
      </c>
      <c r="M3354">
        <v>2031</v>
      </c>
      <c r="N3354">
        <v>3</v>
      </c>
      <c r="O3354" t="s">
        <v>190</v>
      </c>
      <c r="P3354" s="2">
        <v>1274.52</v>
      </c>
      <c r="Q3354" s="2">
        <v>242.16</v>
      </c>
      <c r="R3354" t="s">
        <v>76</v>
      </c>
      <c r="S3354">
        <v>1</v>
      </c>
      <c r="T3354">
        <v>0</v>
      </c>
      <c r="U3354">
        <f>IF(AND(OR(Dashboard!$D$4="Semua",D3354=Dashboard!$D$4),OR(Dashboard!$H$4="Semua",E3354=Dashboard!$H$4)),1,0)</f>
        <v>1</v>
      </c>
      <c r="V3354">
        <f>IF(U3354=1,IF(COUNTIFS($C$2:C3354,C3354,$U$2:U3354,1)=1,1,0),0)</f>
        <v>0</v>
      </c>
    </row>
    <row r="3355" spans="1:22" x14ac:dyDescent="0.35">
      <c r="A3355">
        <v>13354</v>
      </c>
      <c r="B3355" s="1">
        <v>47915</v>
      </c>
      <c r="C3355">
        <v>1328</v>
      </c>
      <c r="D3355" t="s">
        <v>73</v>
      </c>
      <c r="E3355" t="s">
        <v>70</v>
      </c>
      <c r="F3355">
        <v>5</v>
      </c>
      <c r="G3355" s="2">
        <v>238.19</v>
      </c>
      <c r="H3355">
        <v>0.17</v>
      </c>
      <c r="I3355" t="s">
        <v>68</v>
      </c>
      <c r="J3355">
        <v>10</v>
      </c>
      <c r="K3355">
        <v>2</v>
      </c>
      <c r="L3355" s="2">
        <v>988.49</v>
      </c>
      <c r="M3355">
        <v>2031</v>
      </c>
      <c r="N3355">
        <v>3</v>
      </c>
      <c r="O3355" t="s">
        <v>190</v>
      </c>
      <c r="P3355" s="2">
        <v>1190.95</v>
      </c>
      <c r="Q3355" s="2">
        <v>202.46</v>
      </c>
      <c r="R3355" t="s">
        <v>76</v>
      </c>
      <c r="S3355">
        <v>1</v>
      </c>
      <c r="T3355">
        <v>0</v>
      </c>
      <c r="U3355">
        <f>IF(AND(OR(Dashboard!$D$4="Semua",D3355=Dashboard!$D$4),OR(Dashboard!$H$4="Semua",E3355=Dashboard!$H$4)),1,0)</f>
        <v>1</v>
      </c>
      <c r="V3355">
        <f>IF(U3355=1,IF(COUNTIFS($C$2:C3355,C3355,$U$2:U3355,1)=1,1,0),0)</f>
        <v>0</v>
      </c>
    </row>
    <row r="3356" spans="1:22" x14ac:dyDescent="0.35">
      <c r="A3356">
        <v>13355</v>
      </c>
      <c r="B3356" s="1">
        <v>47916</v>
      </c>
      <c r="C3356">
        <v>1155</v>
      </c>
      <c r="D3356" t="s">
        <v>67</v>
      </c>
      <c r="E3356" t="s">
        <v>74</v>
      </c>
      <c r="F3356">
        <v>5</v>
      </c>
      <c r="G3356" s="2">
        <v>444.77</v>
      </c>
      <c r="H3356">
        <v>7.0000000000000007E-2</v>
      </c>
      <c r="I3356" t="s">
        <v>68</v>
      </c>
      <c r="J3356">
        <v>8</v>
      </c>
      <c r="K3356">
        <v>4.2</v>
      </c>
      <c r="L3356" s="2">
        <v>2068.1799999999998</v>
      </c>
      <c r="M3356">
        <v>2031</v>
      </c>
      <c r="N3356">
        <v>3</v>
      </c>
      <c r="O3356" t="s">
        <v>190</v>
      </c>
      <c r="P3356" s="2">
        <v>2223.85</v>
      </c>
      <c r="Q3356" s="2">
        <v>155.66999999999999</v>
      </c>
      <c r="R3356" t="s">
        <v>69</v>
      </c>
      <c r="S3356">
        <v>1</v>
      </c>
      <c r="T3356">
        <v>0</v>
      </c>
      <c r="U3356">
        <f>IF(AND(OR(Dashboard!$D$4="Semua",D3356=Dashboard!$D$4),OR(Dashboard!$H$4="Semua",E3356=Dashboard!$H$4)),1,0)</f>
        <v>1</v>
      </c>
      <c r="V3356">
        <f>IF(U3356=1,IF(COUNTIFS($C$2:C3356,C3356,$U$2:U3356,1)=1,1,0),0)</f>
        <v>0</v>
      </c>
    </row>
    <row r="3357" spans="1:22" x14ac:dyDescent="0.35">
      <c r="A3357">
        <v>13356</v>
      </c>
      <c r="B3357" s="1">
        <v>47917</v>
      </c>
      <c r="C3357">
        <v>1189</v>
      </c>
      <c r="D3357" t="s">
        <v>73</v>
      </c>
      <c r="E3357" t="s">
        <v>78</v>
      </c>
      <c r="F3357">
        <v>4</v>
      </c>
      <c r="G3357" s="2">
        <v>557.75</v>
      </c>
      <c r="H3357">
        <v>0.22</v>
      </c>
      <c r="I3357" t="s">
        <v>68</v>
      </c>
      <c r="J3357">
        <v>1</v>
      </c>
      <c r="K3357">
        <v>3.1</v>
      </c>
      <c r="L3357" s="2">
        <v>1740.18</v>
      </c>
      <c r="M3357">
        <v>2031</v>
      </c>
      <c r="N3357">
        <v>3</v>
      </c>
      <c r="O3357" t="s">
        <v>190</v>
      </c>
      <c r="P3357" s="2">
        <v>2231</v>
      </c>
      <c r="Q3357" s="2">
        <v>490.82</v>
      </c>
      <c r="R3357" t="s">
        <v>77</v>
      </c>
      <c r="S3357">
        <v>1</v>
      </c>
      <c r="T3357">
        <v>0</v>
      </c>
      <c r="U3357">
        <f>IF(AND(OR(Dashboard!$D$4="Semua",D3357=Dashboard!$D$4),OR(Dashboard!$H$4="Semua",E3357=Dashboard!$H$4)),1,0)</f>
        <v>1</v>
      </c>
      <c r="V3357">
        <f>IF(U3357=1,IF(COUNTIFS($C$2:C3357,C3357,$U$2:U3357,1)=1,1,0),0)</f>
        <v>0</v>
      </c>
    </row>
    <row r="3358" spans="1:22" x14ac:dyDescent="0.35">
      <c r="A3358">
        <v>13357</v>
      </c>
      <c r="B3358" s="1">
        <v>47918</v>
      </c>
      <c r="C3358">
        <v>1493</v>
      </c>
      <c r="D3358" t="s">
        <v>80</v>
      </c>
      <c r="E3358" t="s">
        <v>63</v>
      </c>
      <c r="F3358">
        <v>7</v>
      </c>
      <c r="G3358" s="2">
        <v>382.96</v>
      </c>
      <c r="H3358">
        <v>0.21</v>
      </c>
      <c r="I3358" t="s">
        <v>68</v>
      </c>
      <c r="J3358">
        <v>7</v>
      </c>
      <c r="K3358">
        <v>2</v>
      </c>
      <c r="L3358" s="2">
        <v>2117.77</v>
      </c>
      <c r="M3358">
        <v>2031</v>
      </c>
      <c r="N3358">
        <v>3</v>
      </c>
      <c r="O3358" t="s">
        <v>190</v>
      </c>
      <c r="P3358" s="2">
        <v>2680.72</v>
      </c>
      <c r="Q3358" s="2">
        <v>562.95000000000005</v>
      </c>
      <c r="R3358" t="s">
        <v>77</v>
      </c>
      <c r="S3358">
        <v>1</v>
      </c>
      <c r="T3358">
        <v>0</v>
      </c>
      <c r="U3358">
        <f>IF(AND(OR(Dashboard!$D$4="Semua",D3358=Dashboard!$D$4),OR(Dashboard!$H$4="Semua",E3358=Dashboard!$H$4)),1,0)</f>
        <v>1</v>
      </c>
      <c r="V3358">
        <f>IF(U3358=1,IF(COUNTIFS($C$2:C3358,C3358,$U$2:U3358,1)=1,1,0),0)</f>
        <v>0</v>
      </c>
    </row>
    <row r="3359" spans="1:22" x14ac:dyDescent="0.35">
      <c r="A3359">
        <v>13358</v>
      </c>
      <c r="B3359" s="1">
        <v>47919</v>
      </c>
      <c r="C3359">
        <v>1882</v>
      </c>
      <c r="D3359" t="s">
        <v>80</v>
      </c>
      <c r="E3359" t="s">
        <v>78</v>
      </c>
      <c r="F3359">
        <v>6</v>
      </c>
      <c r="G3359" s="2">
        <v>477.06</v>
      </c>
      <c r="H3359">
        <v>0.23</v>
      </c>
      <c r="I3359" t="s">
        <v>71</v>
      </c>
      <c r="J3359">
        <v>10</v>
      </c>
      <c r="K3359">
        <v>3.1</v>
      </c>
      <c r="L3359" s="2">
        <v>2204.02</v>
      </c>
      <c r="M3359">
        <v>2031</v>
      </c>
      <c r="N3359">
        <v>3</v>
      </c>
      <c r="O3359" t="s">
        <v>190</v>
      </c>
      <c r="P3359" s="2">
        <v>2862.36</v>
      </c>
      <c r="Q3359" s="2">
        <v>658.34</v>
      </c>
      <c r="R3359" t="s">
        <v>77</v>
      </c>
      <c r="S3359">
        <v>1</v>
      </c>
      <c r="T3359">
        <v>0</v>
      </c>
      <c r="U3359">
        <f>IF(AND(OR(Dashboard!$D$4="Semua",D3359=Dashboard!$D$4),OR(Dashboard!$H$4="Semua",E3359=Dashboard!$H$4)),1,0)</f>
        <v>1</v>
      </c>
      <c r="V3359">
        <f>IF(U3359=1,IF(COUNTIFS($C$2:C3359,C3359,$U$2:U3359,1)=1,1,0),0)</f>
        <v>0</v>
      </c>
    </row>
    <row r="3360" spans="1:22" x14ac:dyDescent="0.35">
      <c r="A3360">
        <v>13359</v>
      </c>
      <c r="B3360" s="1">
        <v>47920</v>
      </c>
      <c r="C3360">
        <v>1262</v>
      </c>
      <c r="D3360" t="s">
        <v>80</v>
      </c>
      <c r="E3360" t="s">
        <v>78</v>
      </c>
      <c r="F3360">
        <v>3</v>
      </c>
      <c r="G3360" s="2">
        <v>115.41</v>
      </c>
      <c r="H3360">
        <v>0.01</v>
      </c>
      <c r="I3360" t="s">
        <v>68</v>
      </c>
      <c r="J3360">
        <v>10</v>
      </c>
      <c r="K3360">
        <v>1.8</v>
      </c>
      <c r="L3360" s="2">
        <v>342.77</v>
      </c>
      <c r="M3360">
        <v>2031</v>
      </c>
      <c r="N3360">
        <v>3</v>
      </c>
      <c r="O3360" t="s">
        <v>190</v>
      </c>
      <c r="P3360" s="2">
        <v>346.23</v>
      </c>
      <c r="Q3360" s="2">
        <v>3.46</v>
      </c>
      <c r="R3360" t="s">
        <v>75</v>
      </c>
      <c r="S3360">
        <v>1</v>
      </c>
      <c r="T3360">
        <v>0</v>
      </c>
      <c r="U3360">
        <f>IF(AND(OR(Dashboard!$D$4="Semua",D3360=Dashboard!$D$4),OR(Dashboard!$H$4="Semua",E3360=Dashboard!$H$4)),1,0)</f>
        <v>1</v>
      </c>
      <c r="V3360">
        <f>IF(U3360=1,IF(COUNTIFS($C$2:C3360,C3360,$U$2:U3360,1)=1,1,0),0)</f>
        <v>0</v>
      </c>
    </row>
    <row r="3361" spans="1:22" x14ac:dyDescent="0.35">
      <c r="A3361">
        <v>13360</v>
      </c>
      <c r="B3361" s="1">
        <v>47921</v>
      </c>
      <c r="C3361">
        <v>1079</v>
      </c>
      <c r="D3361" t="s">
        <v>67</v>
      </c>
      <c r="E3361" t="s">
        <v>63</v>
      </c>
      <c r="F3361">
        <v>5</v>
      </c>
      <c r="G3361" s="2">
        <v>139</v>
      </c>
      <c r="H3361">
        <v>0.19</v>
      </c>
      <c r="I3361" t="s">
        <v>71</v>
      </c>
      <c r="J3361">
        <v>4</v>
      </c>
      <c r="K3361">
        <v>1.4</v>
      </c>
      <c r="L3361" s="2">
        <v>562.95000000000005</v>
      </c>
      <c r="M3361">
        <v>2031</v>
      </c>
      <c r="N3361">
        <v>3</v>
      </c>
      <c r="O3361" t="s">
        <v>190</v>
      </c>
      <c r="P3361" s="2">
        <v>695</v>
      </c>
      <c r="Q3361" s="2">
        <v>132.05000000000001</v>
      </c>
      <c r="R3361" t="s">
        <v>76</v>
      </c>
      <c r="S3361">
        <v>1</v>
      </c>
      <c r="T3361">
        <v>0</v>
      </c>
      <c r="U3361">
        <f>IF(AND(OR(Dashboard!$D$4="Semua",D3361=Dashboard!$D$4),OR(Dashboard!$H$4="Semua",E3361=Dashboard!$H$4)),1,0)</f>
        <v>1</v>
      </c>
      <c r="V3361">
        <f>IF(U3361=1,IF(COUNTIFS($C$2:C3361,C3361,$U$2:U3361,1)=1,1,0),0)</f>
        <v>0</v>
      </c>
    </row>
    <row r="3362" spans="1:22" x14ac:dyDescent="0.35">
      <c r="A3362">
        <v>13361</v>
      </c>
      <c r="B3362" s="1">
        <v>47922</v>
      </c>
      <c r="C3362">
        <v>1399</v>
      </c>
      <c r="D3362" t="s">
        <v>62</v>
      </c>
      <c r="E3362" t="s">
        <v>78</v>
      </c>
      <c r="F3362">
        <v>1</v>
      </c>
      <c r="G3362" s="2">
        <v>326.24</v>
      </c>
      <c r="H3362">
        <v>0.21</v>
      </c>
      <c r="I3362" t="s">
        <v>64</v>
      </c>
      <c r="J3362">
        <v>6</v>
      </c>
      <c r="K3362">
        <v>4.4000000000000004</v>
      </c>
      <c r="L3362" s="2">
        <v>257.73</v>
      </c>
      <c r="M3362">
        <v>2031</v>
      </c>
      <c r="N3362">
        <v>3</v>
      </c>
      <c r="O3362" t="s">
        <v>190</v>
      </c>
      <c r="P3362" s="2">
        <v>326.24</v>
      </c>
      <c r="Q3362" s="2">
        <v>68.510000000000005</v>
      </c>
      <c r="R3362" t="s">
        <v>77</v>
      </c>
      <c r="S3362">
        <v>1</v>
      </c>
      <c r="T3362">
        <v>0</v>
      </c>
      <c r="U3362">
        <f>IF(AND(OR(Dashboard!$D$4="Semua",D3362=Dashboard!$D$4),OR(Dashboard!$H$4="Semua",E3362=Dashboard!$H$4)),1,0)</f>
        <v>1</v>
      </c>
      <c r="V3362">
        <f>IF(U3362=1,IF(COUNTIFS($C$2:C3362,C3362,$U$2:U3362,1)=1,1,0),0)</f>
        <v>0</v>
      </c>
    </row>
    <row r="3363" spans="1:22" x14ac:dyDescent="0.35">
      <c r="A3363">
        <v>13362</v>
      </c>
      <c r="B3363" s="1">
        <v>47923</v>
      </c>
      <c r="C3363">
        <v>1763</v>
      </c>
      <c r="D3363" t="s">
        <v>73</v>
      </c>
      <c r="E3363" t="s">
        <v>70</v>
      </c>
      <c r="F3363">
        <v>7</v>
      </c>
      <c r="G3363" s="2">
        <v>118.28</v>
      </c>
      <c r="H3363">
        <v>7.0000000000000007E-2</v>
      </c>
      <c r="I3363" t="s">
        <v>71</v>
      </c>
      <c r="J3363">
        <v>6</v>
      </c>
      <c r="K3363">
        <v>3.8</v>
      </c>
      <c r="L3363" s="2">
        <v>770</v>
      </c>
      <c r="M3363">
        <v>2031</v>
      </c>
      <c r="N3363">
        <v>3</v>
      </c>
      <c r="O3363" t="s">
        <v>190</v>
      </c>
      <c r="P3363" s="2">
        <v>827.96</v>
      </c>
      <c r="Q3363" s="2">
        <v>57.96</v>
      </c>
      <c r="R3363" t="s">
        <v>69</v>
      </c>
      <c r="S3363">
        <v>1</v>
      </c>
      <c r="T3363">
        <v>0</v>
      </c>
      <c r="U3363">
        <f>IF(AND(OR(Dashboard!$D$4="Semua",D3363=Dashboard!$D$4),OR(Dashboard!$H$4="Semua",E3363=Dashboard!$H$4)),1,0)</f>
        <v>1</v>
      </c>
      <c r="V3363">
        <f>IF(U3363=1,IF(COUNTIFS($C$2:C3363,C3363,$U$2:U3363,1)=1,1,0),0)</f>
        <v>0</v>
      </c>
    </row>
    <row r="3364" spans="1:22" x14ac:dyDescent="0.35">
      <c r="A3364">
        <v>13363</v>
      </c>
      <c r="B3364" s="1">
        <v>47924</v>
      </c>
      <c r="C3364">
        <v>1608</v>
      </c>
      <c r="D3364" t="s">
        <v>73</v>
      </c>
      <c r="E3364" t="s">
        <v>74</v>
      </c>
      <c r="F3364">
        <v>4</v>
      </c>
      <c r="G3364" s="2">
        <v>386.47</v>
      </c>
      <c r="H3364">
        <v>7.0000000000000007E-2</v>
      </c>
      <c r="I3364" t="s">
        <v>68</v>
      </c>
      <c r="J3364">
        <v>5</v>
      </c>
      <c r="K3364">
        <v>1.8</v>
      </c>
      <c r="L3364" s="2">
        <v>1437.67</v>
      </c>
      <c r="M3364">
        <v>2031</v>
      </c>
      <c r="N3364">
        <v>3</v>
      </c>
      <c r="O3364" t="s">
        <v>190</v>
      </c>
      <c r="P3364" s="2">
        <v>1545.88</v>
      </c>
      <c r="Q3364" s="2">
        <v>108.21</v>
      </c>
      <c r="R3364" t="s">
        <v>69</v>
      </c>
      <c r="S3364">
        <v>1</v>
      </c>
      <c r="T3364">
        <v>0</v>
      </c>
      <c r="U3364">
        <f>IF(AND(OR(Dashboard!$D$4="Semua",D3364=Dashboard!$D$4),OR(Dashboard!$H$4="Semua",E3364=Dashboard!$H$4)),1,0)</f>
        <v>1</v>
      </c>
      <c r="V3364">
        <f>IF(U3364=1,IF(COUNTIFS($C$2:C3364,C3364,$U$2:U3364,1)=1,1,0),0)</f>
        <v>0</v>
      </c>
    </row>
    <row r="3365" spans="1:22" x14ac:dyDescent="0.35">
      <c r="A3365">
        <v>13364</v>
      </c>
      <c r="B3365" s="1">
        <v>47925</v>
      </c>
      <c r="C3365">
        <v>1259</v>
      </c>
      <c r="D3365" t="s">
        <v>73</v>
      </c>
      <c r="E3365" t="s">
        <v>74</v>
      </c>
      <c r="F3365">
        <v>4</v>
      </c>
      <c r="G3365" s="2">
        <v>185.62</v>
      </c>
      <c r="H3365">
        <v>0.1</v>
      </c>
      <c r="I3365" t="s">
        <v>64</v>
      </c>
      <c r="J3365">
        <v>10</v>
      </c>
      <c r="K3365">
        <v>4.8</v>
      </c>
      <c r="L3365" s="2">
        <v>668.23</v>
      </c>
      <c r="M3365">
        <v>2031</v>
      </c>
      <c r="N3365">
        <v>3</v>
      </c>
      <c r="O3365" t="s">
        <v>190</v>
      </c>
      <c r="P3365" s="2">
        <v>742.48</v>
      </c>
      <c r="Q3365" s="2">
        <v>74.25</v>
      </c>
      <c r="R3365" t="s">
        <v>69</v>
      </c>
      <c r="S3365">
        <v>1</v>
      </c>
      <c r="T3365">
        <v>0</v>
      </c>
      <c r="U3365">
        <f>IF(AND(OR(Dashboard!$D$4="Semua",D3365=Dashboard!$D$4),OR(Dashboard!$H$4="Semua",E3365=Dashboard!$H$4)),1,0)</f>
        <v>1</v>
      </c>
      <c r="V3365">
        <f>IF(U3365=1,IF(COUNTIFS($C$2:C3365,C3365,$U$2:U3365,1)=1,1,0),0)</f>
        <v>1</v>
      </c>
    </row>
    <row r="3366" spans="1:22" x14ac:dyDescent="0.35">
      <c r="A3366">
        <v>13365</v>
      </c>
      <c r="B3366" s="1">
        <v>47926</v>
      </c>
      <c r="C3366">
        <v>1771</v>
      </c>
      <c r="D3366" t="s">
        <v>62</v>
      </c>
      <c r="E3366" t="s">
        <v>74</v>
      </c>
      <c r="F3366">
        <v>7</v>
      </c>
      <c r="G3366" s="2">
        <v>478.05</v>
      </c>
      <c r="H3366">
        <v>0.25</v>
      </c>
      <c r="I3366" t="s">
        <v>68</v>
      </c>
      <c r="J3366">
        <v>9</v>
      </c>
      <c r="K3366">
        <v>1.1000000000000001</v>
      </c>
      <c r="L3366" s="2">
        <v>2509.7600000000002</v>
      </c>
      <c r="M3366">
        <v>2031</v>
      </c>
      <c r="N3366">
        <v>3</v>
      </c>
      <c r="O3366" t="s">
        <v>190</v>
      </c>
      <c r="P3366" s="2">
        <v>3346.35</v>
      </c>
      <c r="Q3366" s="2">
        <v>836.59</v>
      </c>
      <c r="R3366" t="s">
        <v>77</v>
      </c>
      <c r="S3366">
        <v>1</v>
      </c>
      <c r="T3366">
        <v>0</v>
      </c>
      <c r="U3366">
        <f>IF(AND(OR(Dashboard!$D$4="Semua",D3366=Dashboard!$D$4),OR(Dashboard!$H$4="Semua",E3366=Dashboard!$H$4)),1,0)</f>
        <v>1</v>
      </c>
      <c r="V3366">
        <f>IF(U3366=1,IF(COUNTIFS($C$2:C3366,C3366,$U$2:U3366,1)=1,1,0),0)</f>
        <v>0</v>
      </c>
    </row>
    <row r="3367" spans="1:22" x14ac:dyDescent="0.35">
      <c r="A3367">
        <v>13366</v>
      </c>
      <c r="B3367" s="1">
        <v>47927</v>
      </c>
      <c r="C3367">
        <v>1614</v>
      </c>
      <c r="D3367" t="s">
        <v>67</v>
      </c>
      <c r="E3367" t="s">
        <v>70</v>
      </c>
      <c r="F3367">
        <v>5</v>
      </c>
      <c r="G3367" s="2">
        <v>487.74</v>
      </c>
      <c r="H3367">
        <v>0.21</v>
      </c>
      <c r="I3367" t="s">
        <v>71</v>
      </c>
      <c r="J3367">
        <v>11</v>
      </c>
      <c r="K3367">
        <v>2.2999999999999998</v>
      </c>
      <c r="L3367" s="2">
        <v>1926.57</v>
      </c>
      <c r="M3367">
        <v>2031</v>
      </c>
      <c r="N3367">
        <v>3</v>
      </c>
      <c r="O3367" t="s">
        <v>190</v>
      </c>
      <c r="P3367" s="2">
        <v>2438.6999999999998</v>
      </c>
      <c r="Q3367" s="2">
        <v>512.13</v>
      </c>
      <c r="R3367" t="s">
        <v>77</v>
      </c>
      <c r="S3367">
        <v>1</v>
      </c>
      <c r="T3367">
        <v>0</v>
      </c>
      <c r="U3367">
        <f>IF(AND(OR(Dashboard!$D$4="Semua",D3367=Dashboard!$D$4),OR(Dashboard!$H$4="Semua",E3367=Dashboard!$H$4)),1,0)</f>
        <v>1</v>
      </c>
      <c r="V3367">
        <f>IF(U3367=1,IF(COUNTIFS($C$2:C3367,C3367,$U$2:U3367,1)=1,1,0),0)</f>
        <v>0</v>
      </c>
    </row>
    <row r="3368" spans="1:22" x14ac:dyDescent="0.35">
      <c r="A3368">
        <v>13367</v>
      </c>
      <c r="B3368" s="1">
        <v>47928</v>
      </c>
      <c r="C3368">
        <v>1551</v>
      </c>
      <c r="D3368" t="s">
        <v>80</v>
      </c>
      <c r="E3368" t="s">
        <v>70</v>
      </c>
      <c r="F3368">
        <v>3</v>
      </c>
      <c r="G3368" s="2">
        <v>286.32</v>
      </c>
      <c r="H3368">
        <v>0.3</v>
      </c>
      <c r="I3368" t="s">
        <v>68</v>
      </c>
      <c r="J3368">
        <v>10</v>
      </c>
      <c r="K3368">
        <v>1.1000000000000001</v>
      </c>
      <c r="L3368" s="2">
        <v>601.27</v>
      </c>
      <c r="M3368">
        <v>2031</v>
      </c>
      <c r="N3368">
        <v>3</v>
      </c>
      <c r="O3368" t="s">
        <v>190</v>
      </c>
      <c r="P3368" s="2">
        <v>858.96</v>
      </c>
      <c r="Q3368" s="2">
        <v>257.69</v>
      </c>
      <c r="R3368" t="s">
        <v>66</v>
      </c>
      <c r="S3368">
        <v>1</v>
      </c>
      <c r="T3368">
        <v>0</v>
      </c>
      <c r="U3368">
        <f>IF(AND(OR(Dashboard!$D$4="Semua",D3368=Dashboard!$D$4),OR(Dashboard!$H$4="Semua",E3368=Dashboard!$H$4)),1,0)</f>
        <v>1</v>
      </c>
      <c r="V3368">
        <f>IF(U3368=1,IF(COUNTIFS($C$2:C3368,C3368,$U$2:U3368,1)=1,1,0),0)</f>
        <v>0</v>
      </c>
    </row>
    <row r="3369" spans="1:22" x14ac:dyDescent="0.35">
      <c r="A3369">
        <v>13368</v>
      </c>
      <c r="B3369" s="1">
        <v>47929</v>
      </c>
      <c r="C3369">
        <v>1784</v>
      </c>
      <c r="D3369" t="s">
        <v>80</v>
      </c>
      <c r="E3369" t="s">
        <v>70</v>
      </c>
      <c r="F3369">
        <v>5</v>
      </c>
      <c r="G3369" s="2">
        <v>120.77</v>
      </c>
      <c r="H3369">
        <v>0.1</v>
      </c>
      <c r="I3369" t="s">
        <v>68</v>
      </c>
      <c r="J3369">
        <v>8</v>
      </c>
      <c r="K3369">
        <v>1.6</v>
      </c>
      <c r="L3369" s="2">
        <v>543.46</v>
      </c>
      <c r="M3369">
        <v>2031</v>
      </c>
      <c r="N3369">
        <v>3</v>
      </c>
      <c r="O3369" t="s">
        <v>190</v>
      </c>
      <c r="P3369" s="2">
        <v>603.85</v>
      </c>
      <c r="Q3369" s="2">
        <v>60.39</v>
      </c>
      <c r="R3369" t="s">
        <v>69</v>
      </c>
      <c r="S3369">
        <v>1</v>
      </c>
      <c r="T3369">
        <v>0</v>
      </c>
      <c r="U3369">
        <f>IF(AND(OR(Dashboard!$D$4="Semua",D3369=Dashboard!$D$4),OR(Dashboard!$H$4="Semua",E3369=Dashboard!$H$4)),1,0)</f>
        <v>1</v>
      </c>
      <c r="V3369">
        <f>IF(U3369=1,IF(COUNTIFS($C$2:C3369,C3369,$U$2:U3369,1)=1,1,0),0)</f>
        <v>0</v>
      </c>
    </row>
    <row r="3370" spans="1:22" x14ac:dyDescent="0.35">
      <c r="A3370">
        <v>13369</v>
      </c>
      <c r="B3370" s="1">
        <v>47930</v>
      </c>
      <c r="C3370">
        <v>1100</v>
      </c>
      <c r="D3370" t="s">
        <v>73</v>
      </c>
      <c r="E3370" t="s">
        <v>74</v>
      </c>
      <c r="F3370">
        <v>7</v>
      </c>
      <c r="G3370" s="2">
        <v>393.36</v>
      </c>
      <c r="H3370">
        <v>0.32</v>
      </c>
      <c r="I3370" t="s">
        <v>64</v>
      </c>
      <c r="J3370">
        <v>6</v>
      </c>
      <c r="K3370">
        <v>1.7</v>
      </c>
      <c r="L3370" s="2">
        <v>1872.39</v>
      </c>
      <c r="M3370">
        <v>2031</v>
      </c>
      <c r="N3370">
        <v>3</v>
      </c>
      <c r="O3370" t="s">
        <v>190</v>
      </c>
      <c r="P3370" s="2">
        <v>2753.52</v>
      </c>
      <c r="Q3370" s="2">
        <v>881.13</v>
      </c>
      <c r="R3370" t="s">
        <v>72</v>
      </c>
      <c r="S3370">
        <v>1</v>
      </c>
      <c r="T3370">
        <v>0</v>
      </c>
      <c r="U3370">
        <f>IF(AND(OR(Dashboard!$D$4="Semua",D3370=Dashboard!$D$4),OR(Dashboard!$H$4="Semua",E3370=Dashboard!$H$4)),1,0)</f>
        <v>1</v>
      </c>
      <c r="V3370">
        <f>IF(U3370=1,IF(COUNTIFS($C$2:C3370,C3370,$U$2:U3370,1)=1,1,0),0)</f>
        <v>0</v>
      </c>
    </row>
    <row r="3371" spans="1:22" x14ac:dyDescent="0.35">
      <c r="A3371">
        <v>13370</v>
      </c>
      <c r="B3371" s="1">
        <v>47931</v>
      </c>
      <c r="C3371">
        <v>1358</v>
      </c>
      <c r="D3371" t="s">
        <v>73</v>
      </c>
      <c r="E3371" t="s">
        <v>78</v>
      </c>
      <c r="F3371">
        <v>2</v>
      </c>
      <c r="G3371" s="2">
        <v>595.78</v>
      </c>
      <c r="H3371">
        <v>0.26</v>
      </c>
      <c r="I3371" t="s">
        <v>68</v>
      </c>
      <c r="J3371">
        <v>4</v>
      </c>
      <c r="K3371">
        <v>4.2</v>
      </c>
      <c r="L3371" s="2">
        <v>881.75</v>
      </c>
      <c r="M3371">
        <v>2031</v>
      </c>
      <c r="N3371">
        <v>3</v>
      </c>
      <c r="O3371" t="s">
        <v>190</v>
      </c>
      <c r="P3371" s="2">
        <v>1191.56</v>
      </c>
      <c r="Q3371" s="2">
        <v>309.81</v>
      </c>
      <c r="R3371" t="s">
        <v>66</v>
      </c>
      <c r="S3371">
        <v>1</v>
      </c>
      <c r="T3371">
        <v>0</v>
      </c>
      <c r="U3371">
        <f>IF(AND(OR(Dashboard!$D$4="Semua",D3371=Dashboard!$D$4),OR(Dashboard!$H$4="Semua",E3371=Dashboard!$H$4)),1,0)</f>
        <v>1</v>
      </c>
      <c r="V3371">
        <f>IF(U3371=1,IF(COUNTIFS($C$2:C3371,C3371,$U$2:U3371,1)=1,1,0),0)</f>
        <v>0</v>
      </c>
    </row>
    <row r="3372" spans="1:22" x14ac:dyDescent="0.35">
      <c r="A3372">
        <v>13371</v>
      </c>
      <c r="B3372" s="1">
        <v>47932</v>
      </c>
      <c r="C3372">
        <v>1379</v>
      </c>
      <c r="D3372" t="s">
        <v>73</v>
      </c>
      <c r="E3372" t="s">
        <v>70</v>
      </c>
      <c r="F3372">
        <v>5</v>
      </c>
      <c r="G3372" s="2">
        <v>379.22</v>
      </c>
      <c r="H3372">
        <v>0.14000000000000001</v>
      </c>
      <c r="I3372" t="s">
        <v>71</v>
      </c>
      <c r="J3372">
        <v>4</v>
      </c>
      <c r="K3372">
        <v>5</v>
      </c>
      <c r="L3372" s="2">
        <v>1630.65</v>
      </c>
      <c r="M3372">
        <v>2031</v>
      </c>
      <c r="N3372">
        <v>3</v>
      </c>
      <c r="O3372" t="s">
        <v>190</v>
      </c>
      <c r="P3372" s="2">
        <v>1896.1</v>
      </c>
      <c r="Q3372" s="2">
        <v>265.45</v>
      </c>
      <c r="R3372" t="s">
        <v>79</v>
      </c>
      <c r="S3372">
        <v>1</v>
      </c>
      <c r="T3372">
        <v>0</v>
      </c>
      <c r="U3372">
        <f>IF(AND(OR(Dashboard!$D$4="Semua",D3372=Dashboard!$D$4),OR(Dashboard!$H$4="Semua",E3372=Dashboard!$H$4)),1,0)</f>
        <v>1</v>
      </c>
      <c r="V3372">
        <f>IF(U3372=1,IF(COUNTIFS($C$2:C3372,C3372,$U$2:U3372,1)=1,1,0),0)</f>
        <v>0</v>
      </c>
    </row>
    <row r="3373" spans="1:22" x14ac:dyDescent="0.35">
      <c r="A3373">
        <v>13372</v>
      </c>
      <c r="B3373" s="1">
        <v>47933</v>
      </c>
      <c r="C3373">
        <v>1819</v>
      </c>
      <c r="D3373" t="s">
        <v>67</v>
      </c>
      <c r="E3373" t="s">
        <v>63</v>
      </c>
      <c r="F3373">
        <v>6</v>
      </c>
      <c r="G3373" s="2">
        <v>35.93</v>
      </c>
      <c r="H3373">
        <v>0.03</v>
      </c>
      <c r="I3373" t="s">
        <v>68</v>
      </c>
      <c r="J3373">
        <v>9</v>
      </c>
      <c r="K3373">
        <v>4.5</v>
      </c>
      <c r="L3373" s="2">
        <v>209.11</v>
      </c>
      <c r="M3373">
        <v>2031</v>
      </c>
      <c r="N3373">
        <v>3</v>
      </c>
      <c r="O3373" t="s">
        <v>190</v>
      </c>
      <c r="P3373" s="2">
        <v>215.58</v>
      </c>
      <c r="Q3373" s="2">
        <v>6.47</v>
      </c>
      <c r="R3373" t="s">
        <v>75</v>
      </c>
      <c r="S3373">
        <v>1</v>
      </c>
      <c r="T3373">
        <v>0</v>
      </c>
      <c r="U3373">
        <f>IF(AND(OR(Dashboard!$D$4="Semua",D3373=Dashboard!$D$4),OR(Dashboard!$H$4="Semua",E3373=Dashboard!$H$4)),1,0)</f>
        <v>1</v>
      </c>
      <c r="V3373">
        <f>IF(U3373=1,IF(COUNTIFS($C$2:C3373,C3373,$U$2:U3373,1)=1,1,0),0)</f>
        <v>0</v>
      </c>
    </row>
    <row r="3374" spans="1:22" x14ac:dyDescent="0.35">
      <c r="A3374">
        <v>13373</v>
      </c>
      <c r="B3374" s="1">
        <v>47934</v>
      </c>
      <c r="C3374">
        <v>1220</v>
      </c>
      <c r="D3374" t="s">
        <v>73</v>
      </c>
      <c r="E3374" t="s">
        <v>70</v>
      </c>
      <c r="F3374">
        <v>7</v>
      </c>
      <c r="G3374" s="2">
        <v>25.12</v>
      </c>
      <c r="H3374">
        <v>0.09</v>
      </c>
      <c r="I3374" t="s">
        <v>71</v>
      </c>
      <c r="J3374">
        <v>4</v>
      </c>
      <c r="K3374">
        <v>3.5</v>
      </c>
      <c r="L3374" s="2">
        <v>160.01</v>
      </c>
      <c r="M3374">
        <v>2031</v>
      </c>
      <c r="N3374">
        <v>3</v>
      </c>
      <c r="O3374" t="s">
        <v>190</v>
      </c>
      <c r="P3374" s="2">
        <v>175.84</v>
      </c>
      <c r="Q3374" s="2">
        <v>15.83</v>
      </c>
      <c r="R3374" t="s">
        <v>69</v>
      </c>
      <c r="S3374">
        <v>1</v>
      </c>
      <c r="T3374">
        <v>0</v>
      </c>
      <c r="U3374">
        <f>IF(AND(OR(Dashboard!$D$4="Semua",D3374=Dashboard!$D$4),OR(Dashboard!$H$4="Semua",E3374=Dashboard!$H$4)),1,0)</f>
        <v>1</v>
      </c>
      <c r="V3374">
        <f>IF(U3374=1,IF(COUNTIFS($C$2:C3374,C3374,$U$2:U3374,1)=1,1,0),0)</f>
        <v>0</v>
      </c>
    </row>
    <row r="3375" spans="1:22" x14ac:dyDescent="0.35">
      <c r="A3375">
        <v>13374</v>
      </c>
      <c r="B3375" s="1">
        <v>47935</v>
      </c>
      <c r="C3375">
        <v>1819</v>
      </c>
      <c r="D3375" t="s">
        <v>73</v>
      </c>
      <c r="E3375" t="s">
        <v>63</v>
      </c>
      <c r="F3375">
        <v>6</v>
      </c>
      <c r="G3375" s="2">
        <v>202.41</v>
      </c>
      <c r="H3375">
        <v>0.33</v>
      </c>
      <c r="I3375" t="s">
        <v>71</v>
      </c>
      <c r="J3375">
        <v>7</v>
      </c>
      <c r="K3375">
        <v>3.9</v>
      </c>
      <c r="L3375" s="2">
        <v>813.69</v>
      </c>
      <c r="M3375">
        <v>2031</v>
      </c>
      <c r="N3375">
        <v>3</v>
      </c>
      <c r="O3375" t="s">
        <v>190</v>
      </c>
      <c r="P3375" s="2">
        <v>1214.46</v>
      </c>
      <c r="Q3375" s="2">
        <v>400.77</v>
      </c>
      <c r="R3375" t="s">
        <v>72</v>
      </c>
      <c r="S3375">
        <v>1</v>
      </c>
      <c r="T3375">
        <v>0</v>
      </c>
      <c r="U3375">
        <f>IF(AND(OR(Dashboard!$D$4="Semua",D3375=Dashboard!$D$4),OR(Dashboard!$H$4="Semua",E3375=Dashboard!$H$4)),1,0)</f>
        <v>1</v>
      </c>
      <c r="V3375">
        <f>IF(U3375=1,IF(COUNTIFS($C$2:C3375,C3375,$U$2:U3375,1)=1,1,0),0)</f>
        <v>0</v>
      </c>
    </row>
    <row r="3376" spans="1:22" x14ac:dyDescent="0.35">
      <c r="A3376">
        <v>13375</v>
      </c>
      <c r="B3376" s="1">
        <v>47936</v>
      </c>
      <c r="C3376">
        <v>1419</v>
      </c>
      <c r="D3376" t="s">
        <v>62</v>
      </c>
      <c r="E3376" t="s">
        <v>74</v>
      </c>
      <c r="F3376">
        <v>7</v>
      </c>
      <c r="G3376" s="2">
        <v>129.53</v>
      </c>
      <c r="H3376">
        <v>0.11</v>
      </c>
      <c r="I3376" t="s">
        <v>68</v>
      </c>
      <c r="J3376">
        <v>6</v>
      </c>
      <c r="K3376">
        <v>3.1</v>
      </c>
      <c r="L3376" s="2">
        <v>806.97</v>
      </c>
      <c r="M3376">
        <v>2031</v>
      </c>
      <c r="N3376">
        <v>3</v>
      </c>
      <c r="O3376" t="s">
        <v>190</v>
      </c>
      <c r="P3376" s="2">
        <v>906.71</v>
      </c>
      <c r="Q3376" s="2">
        <v>99.74</v>
      </c>
      <c r="R3376" t="s">
        <v>79</v>
      </c>
      <c r="S3376">
        <v>1</v>
      </c>
      <c r="T3376">
        <v>0</v>
      </c>
      <c r="U3376">
        <f>IF(AND(OR(Dashboard!$D$4="Semua",D3376=Dashboard!$D$4),OR(Dashboard!$H$4="Semua",E3376=Dashboard!$H$4)),1,0)</f>
        <v>1</v>
      </c>
      <c r="V3376">
        <f>IF(U3376=1,IF(COUNTIFS($C$2:C3376,C3376,$U$2:U3376,1)=1,1,0),0)</f>
        <v>0</v>
      </c>
    </row>
    <row r="3377" spans="1:22" x14ac:dyDescent="0.35">
      <c r="A3377">
        <v>13376</v>
      </c>
      <c r="B3377" s="1">
        <v>47937</v>
      </c>
      <c r="C3377">
        <v>1123</v>
      </c>
      <c r="D3377" t="s">
        <v>62</v>
      </c>
      <c r="E3377" t="s">
        <v>63</v>
      </c>
      <c r="F3377">
        <v>2</v>
      </c>
      <c r="G3377" s="2">
        <v>490.63</v>
      </c>
      <c r="H3377">
        <v>0.12</v>
      </c>
      <c r="I3377" t="s">
        <v>71</v>
      </c>
      <c r="J3377">
        <v>2</v>
      </c>
      <c r="K3377">
        <v>2.7</v>
      </c>
      <c r="L3377" s="2">
        <v>863.51</v>
      </c>
      <c r="M3377">
        <v>2031</v>
      </c>
      <c r="N3377">
        <v>3</v>
      </c>
      <c r="O3377" t="s">
        <v>190</v>
      </c>
      <c r="P3377" s="2">
        <v>981.26</v>
      </c>
      <c r="Q3377" s="2">
        <v>117.75</v>
      </c>
      <c r="R3377" t="s">
        <v>79</v>
      </c>
      <c r="S3377">
        <v>1</v>
      </c>
      <c r="T3377">
        <v>0</v>
      </c>
      <c r="U3377">
        <f>IF(AND(OR(Dashboard!$D$4="Semua",D3377=Dashboard!$D$4),OR(Dashboard!$H$4="Semua",E3377=Dashboard!$H$4)),1,0)</f>
        <v>1</v>
      </c>
      <c r="V3377">
        <f>IF(U3377=1,IF(COUNTIFS($C$2:C3377,C3377,$U$2:U3377,1)=1,1,0),0)</f>
        <v>0</v>
      </c>
    </row>
    <row r="3378" spans="1:22" x14ac:dyDescent="0.35">
      <c r="A3378">
        <v>13377</v>
      </c>
      <c r="B3378" s="1">
        <v>47938</v>
      </c>
      <c r="C3378">
        <v>1421</v>
      </c>
      <c r="D3378" t="s">
        <v>73</v>
      </c>
      <c r="E3378" t="s">
        <v>70</v>
      </c>
      <c r="F3378">
        <v>6</v>
      </c>
      <c r="G3378" s="2">
        <v>509.21</v>
      </c>
      <c r="H3378">
        <v>7.0000000000000007E-2</v>
      </c>
      <c r="I3378" t="s">
        <v>71</v>
      </c>
      <c r="J3378">
        <v>5</v>
      </c>
      <c r="K3378">
        <v>3.8</v>
      </c>
      <c r="L3378" s="2">
        <v>2841.39</v>
      </c>
      <c r="M3378">
        <v>2031</v>
      </c>
      <c r="N3378">
        <v>3</v>
      </c>
      <c r="O3378" t="s">
        <v>190</v>
      </c>
      <c r="P3378" s="2">
        <v>3055.26</v>
      </c>
      <c r="Q3378" s="2">
        <v>213.87</v>
      </c>
      <c r="R3378" t="s">
        <v>69</v>
      </c>
      <c r="S3378">
        <v>1</v>
      </c>
      <c r="T3378">
        <v>0</v>
      </c>
      <c r="U3378">
        <f>IF(AND(OR(Dashboard!$D$4="Semua",D3378=Dashboard!$D$4),OR(Dashboard!$H$4="Semua",E3378=Dashboard!$H$4)),1,0)</f>
        <v>1</v>
      </c>
      <c r="V3378">
        <f>IF(U3378=1,IF(COUNTIFS($C$2:C3378,C3378,$U$2:U3378,1)=1,1,0),0)</f>
        <v>0</v>
      </c>
    </row>
    <row r="3379" spans="1:22" x14ac:dyDescent="0.35">
      <c r="A3379">
        <v>13378</v>
      </c>
      <c r="B3379" s="1">
        <v>47939</v>
      </c>
      <c r="C3379">
        <v>1230</v>
      </c>
      <c r="D3379" t="s">
        <v>73</v>
      </c>
      <c r="E3379" t="s">
        <v>70</v>
      </c>
      <c r="F3379">
        <v>6</v>
      </c>
      <c r="G3379" s="2">
        <v>166.29</v>
      </c>
      <c r="H3379">
        <v>0.28000000000000003</v>
      </c>
      <c r="I3379" t="s">
        <v>71</v>
      </c>
      <c r="J3379">
        <v>3</v>
      </c>
      <c r="K3379">
        <v>4.9000000000000004</v>
      </c>
      <c r="L3379" s="2">
        <v>718.37</v>
      </c>
      <c r="M3379">
        <v>2031</v>
      </c>
      <c r="N3379">
        <v>4</v>
      </c>
      <c r="O3379" t="s">
        <v>191</v>
      </c>
      <c r="P3379" s="2">
        <v>997.74</v>
      </c>
      <c r="Q3379" s="2">
        <v>279.37</v>
      </c>
      <c r="R3379" t="s">
        <v>66</v>
      </c>
      <c r="S3379">
        <v>1</v>
      </c>
      <c r="T3379">
        <v>0</v>
      </c>
      <c r="U3379">
        <f>IF(AND(OR(Dashboard!$D$4="Semua",D3379=Dashboard!$D$4),OR(Dashboard!$H$4="Semua",E3379=Dashboard!$H$4)),1,0)</f>
        <v>1</v>
      </c>
      <c r="V3379">
        <f>IF(U3379=1,IF(COUNTIFS($C$2:C3379,C3379,$U$2:U3379,1)=1,1,0),0)</f>
        <v>0</v>
      </c>
    </row>
    <row r="3380" spans="1:22" x14ac:dyDescent="0.35">
      <c r="A3380">
        <v>13379</v>
      </c>
      <c r="B3380" s="1">
        <v>47940</v>
      </c>
      <c r="C3380">
        <v>1689</v>
      </c>
      <c r="D3380" t="s">
        <v>73</v>
      </c>
      <c r="E3380" t="s">
        <v>78</v>
      </c>
      <c r="F3380">
        <v>1</v>
      </c>
      <c r="G3380" s="2">
        <v>205.5</v>
      </c>
      <c r="H3380">
        <v>0.1</v>
      </c>
      <c r="I3380" t="s">
        <v>71</v>
      </c>
      <c r="J3380">
        <v>9</v>
      </c>
      <c r="K3380">
        <v>1.1000000000000001</v>
      </c>
      <c r="L3380" s="2">
        <v>184.95</v>
      </c>
      <c r="M3380">
        <v>2031</v>
      </c>
      <c r="N3380">
        <v>4</v>
      </c>
      <c r="O3380" t="s">
        <v>191</v>
      </c>
      <c r="P3380" s="2">
        <v>205.5</v>
      </c>
      <c r="Q3380" s="2">
        <v>20.55</v>
      </c>
      <c r="R3380" t="s">
        <v>69</v>
      </c>
      <c r="S3380">
        <v>1</v>
      </c>
      <c r="T3380">
        <v>0</v>
      </c>
      <c r="U3380">
        <f>IF(AND(OR(Dashboard!$D$4="Semua",D3380=Dashboard!$D$4),OR(Dashboard!$H$4="Semua",E3380=Dashboard!$H$4)),1,0)</f>
        <v>1</v>
      </c>
      <c r="V3380">
        <f>IF(U3380=1,IF(COUNTIFS($C$2:C3380,C3380,$U$2:U3380,1)=1,1,0),0)</f>
        <v>0</v>
      </c>
    </row>
    <row r="3381" spans="1:22" x14ac:dyDescent="0.35">
      <c r="A3381">
        <v>13380</v>
      </c>
      <c r="B3381" s="1">
        <v>47941</v>
      </c>
      <c r="C3381">
        <v>1062</v>
      </c>
      <c r="D3381" t="s">
        <v>80</v>
      </c>
      <c r="E3381" t="s">
        <v>74</v>
      </c>
      <c r="F3381">
        <v>4</v>
      </c>
      <c r="G3381" s="2">
        <v>153.19999999999999</v>
      </c>
      <c r="H3381">
        <v>0.12</v>
      </c>
      <c r="I3381" t="s">
        <v>71</v>
      </c>
      <c r="J3381">
        <v>10</v>
      </c>
      <c r="K3381">
        <v>2.2999999999999998</v>
      </c>
      <c r="L3381" s="2">
        <v>539.26</v>
      </c>
      <c r="M3381">
        <v>2031</v>
      </c>
      <c r="N3381">
        <v>4</v>
      </c>
      <c r="O3381" t="s">
        <v>191</v>
      </c>
      <c r="P3381" s="2">
        <v>612.79999999999995</v>
      </c>
      <c r="Q3381" s="2">
        <v>73.540000000000006</v>
      </c>
      <c r="R3381" t="s">
        <v>79</v>
      </c>
      <c r="S3381">
        <v>1</v>
      </c>
      <c r="T3381">
        <v>0</v>
      </c>
      <c r="U3381">
        <f>IF(AND(OR(Dashboard!$D$4="Semua",D3381=Dashboard!$D$4),OR(Dashboard!$H$4="Semua",E3381=Dashboard!$H$4)),1,0)</f>
        <v>1</v>
      </c>
      <c r="V3381">
        <f>IF(U3381=1,IF(COUNTIFS($C$2:C3381,C3381,$U$2:U3381,1)=1,1,0),0)</f>
        <v>0</v>
      </c>
    </row>
    <row r="3382" spans="1:22" x14ac:dyDescent="0.35">
      <c r="A3382">
        <v>13381</v>
      </c>
      <c r="B3382" s="1">
        <v>47942</v>
      </c>
      <c r="C3382">
        <v>1484</v>
      </c>
      <c r="D3382" t="s">
        <v>80</v>
      </c>
      <c r="E3382" t="s">
        <v>63</v>
      </c>
      <c r="F3382">
        <v>6</v>
      </c>
      <c r="G3382" s="2">
        <v>546.4</v>
      </c>
      <c r="H3382">
        <v>0.15</v>
      </c>
      <c r="I3382" t="s">
        <v>68</v>
      </c>
      <c r="J3382">
        <v>1</v>
      </c>
      <c r="K3382">
        <v>2.2999999999999998</v>
      </c>
      <c r="L3382" s="2">
        <v>2786.64</v>
      </c>
      <c r="M3382">
        <v>2031</v>
      </c>
      <c r="N3382">
        <v>4</v>
      </c>
      <c r="O3382" t="s">
        <v>191</v>
      </c>
      <c r="P3382" s="2">
        <v>3278.4</v>
      </c>
      <c r="Q3382" s="2">
        <v>491.76</v>
      </c>
      <c r="R3382" t="s">
        <v>79</v>
      </c>
      <c r="S3382">
        <v>1</v>
      </c>
      <c r="T3382">
        <v>0</v>
      </c>
      <c r="U3382">
        <f>IF(AND(OR(Dashboard!$D$4="Semua",D3382=Dashboard!$D$4),OR(Dashboard!$H$4="Semua",E3382=Dashboard!$H$4)),1,0)</f>
        <v>1</v>
      </c>
      <c r="V3382">
        <f>IF(U3382=1,IF(COUNTIFS($C$2:C3382,C3382,$U$2:U3382,1)=1,1,0),0)</f>
        <v>0</v>
      </c>
    </row>
    <row r="3383" spans="1:22" x14ac:dyDescent="0.35">
      <c r="A3383">
        <v>13382</v>
      </c>
      <c r="B3383" s="1">
        <v>47943</v>
      </c>
      <c r="C3383">
        <v>1627</v>
      </c>
      <c r="D3383" t="s">
        <v>73</v>
      </c>
      <c r="E3383" t="s">
        <v>74</v>
      </c>
      <c r="F3383">
        <v>4</v>
      </c>
      <c r="G3383" s="2">
        <v>309.05</v>
      </c>
      <c r="H3383">
        <v>0.15</v>
      </c>
      <c r="I3383" t="s">
        <v>71</v>
      </c>
      <c r="J3383">
        <v>10</v>
      </c>
      <c r="K3383">
        <v>2.7</v>
      </c>
      <c r="L3383" s="2">
        <v>1050.77</v>
      </c>
      <c r="M3383">
        <v>2031</v>
      </c>
      <c r="N3383">
        <v>4</v>
      </c>
      <c r="O3383" t="s">
        <v>191</v>
      </c>
      <c r="P3383" s="2">
        <v>1236.2</v>
      </c>
      <c r="Q3383" s="2">
        <v>185.43</v>
      </c>
      <c r="R3383" t="s">
        <v>79</v>
      </c>
      <c r="S3383">
        <v>1</v>
      </c>
      <c r="T3383">
        <v>0</v>
      </c>
      <c r="U3383">
        <f>IF(AND(OR(Dashboard!$D$4="Semua",D3383=Dashboard!$D$4),OR(Dashboard!$H$4="Semua",E3383=Dashboard!$H$4)),1,0)</f>
        <v>1</v>
      </c>
      <c r="V3383">
        <f>IF(U3383=1,IF(COUNTIFS($C$2:C3383,C3383,$U$2:U3383,1)=1,1,0),0)</f>
        <v>0</v>
      </c>
    </row>
    <row r="3384" spans="1:22" x14ac:dyDescent="0.35">
      <c r="A3384">
        <v>13383</v>
      </c>
      <c r="B3384" s="1">
        <v>47944</v>
      </c>
      <c r="C3384">
        <v>1702</v>
      </c>
      <c r="D3384" t="s">
        <v>73</v>
      </c>
      <c r="E3384" t="s">
        <v>70</v>
      </c>
      <c r="F3384">
        <v>7</v>
      </c>
      <c r="G3384" s="2">
        <v>398.84</v>
      </c>
      <c r="H3384">
        <v>0.14000000000000001</v>
      </c>
      <c r="I3384" t="s">
        <v>71</v>
      </c>
      <c r="J3384">
        <v>4</v>
      </c>
      <c r="K3384">
        <v>3.5</v>
      </c>
      <c r="L3384" s="2">
        <v>2401.02</v>
      </c>
      <c r="M3384">
        <v>2031</v>
      </c>
      <c r="N3384">
        <v>4</v>
      </c>
      <c r="O3384" t="s">
        <v>191</v>
      </c>
      <c r="P3384" s="2">
        <v>2791.88</v>
      </c>
      <c r="Q3384" s="2">
        <v>390.86</v>
      </c>
      <c r="R3384" t="s">
        <v>79</v>
      </c>
      <c r="S3384">
        <v>1</v>
      </c>
      <c r="T3384">
        <v>0</v>
      </c>
      <c r="U3384">
        <f>IF(AND(OR(Dashboard!$D$4="Semua",D3384=Dashboard!$D$4),OR(Dashboard!$H$4="Semua",E3384=Dashboard!$H$4)),1,0)</f>
        <v>1</v>
      </c>
      <c r="V3384">
        <f>IF(U3384=1,IF(COUNTIFS($C$2:C3384,C3384,$U$2:U3384,1)=1,1,0),0)</f>
        <v>0</v>
      </c>
    </row>
    <row r="3385" spans="1:22" x14ac:dyDescent="0.35">
      <c r="A3385">
        <v>13384</v>
      </c>
      <c r="B3385" s="1">
        <v>47945</v>
      </c>
      <c r="C3385">
        <v>1573</v>
      </c>
      <c r="D3385" t="s">
        <v>80</v>
      </c>
      <c r="E3385" t="s">
        <v>78</v>
      </c>
      <c r="F3385">
        <v>3</v>
      </c>
      <c r="G3385" s="2">
        <v>258.06</v>
      </c>
      <c r="H3385">
        <v>0.18</v>
      </c>
      <c r="I3385" t="s">
        <v>68</v>
      </c>
      <c r="J3385">
        <v>4</v>
      </c>
      <c r="K3385">
        <v>3.1</v>
      </c>
      <c r="L3385" s="2">
        <v>634.83000000000004</v>
      </c>
      <c r="M3385">
        <v>2031</v>
      </c>
      <c r="N3385">
        <v>4</v>
      </c>
      <c r="O3385" t="s">
        <v>191</v>
      </c>
      <c r="P3385" s="2">
        <v>774.18</v>
      </c>
      <c r="Q3385" s="2">
        <v>139.35</v>
      </c>
      <c r="R3385" t="s">
        <v>76</v>
      </c>
      <c r="S3385">
        <v>1</v>
      </c>
      <c r="T3385">
        <v>0</v>
      </c>
      <c r="U3385">
        <f>IF(AND(OR(Dashboard!$D$4="Semua",D3385=Dashboard!$D$4),OR(Dashboard!$H$4="Semua",E3385=Dashboard!$H$4)),1,0)</f>
        <v>1</v>
      </c>
      <c r="V3385">
        <f>IF(U3385=1,IF(COUNTIFS($C$2:C3385,C3385,$U$2:U3385,1)=1,1,0),0)</f>
        <v>0</v>
      </c>
    </row>
    <row r="3386" spans="1:22" x14ac:dyDescent="0.35">
      <c r="A3386">
        <v>13385</v>
      </c>
      <c r="B3386" s="1">
        <v>47946</v>
      </c>
      <c r="C3386">
        <v>1767</v>
      </c>
      <c r="D3386" t="s">
        <v>67</v>
      </c>
      <c r="E3386" t="s">
        <v>70</v>
      </c>
      <c r="F3386">
        <v>5</v>
      </c>
      <c r="G3386" s="2">
        <v>384.14</v>
      </c>
      <c r="H3386">
        <v>0.28999999999999998</v>
      </c>
      <c r="I3386" t="s">
        <v>64</v>
      </c>
      <c r="J3386">
        <v>9</v>
      </c>
      <c r="K3386">
        <v>1.1000000000000001</v>
      </c>
      <c r="L3386" s="2">
        <v>1363.7</v>
      </c>
      <c r="M3386">
        <v>2031</v>
      </c>
      <c r="N3386">
        <v>4</v>
      </c>
      <c r="O3386" t="s">
        <v>191</v>
      </c>
      <c r="P3386" s="2">
        <v>1920.7</v>
      </c>
      <c r="Q3386" s="2">
        <v>557</v>
      </c>
      <c r="R3386" t="s">
        <v>66</v>
      </c>
      <c r="S3386">
        <v>1</v>
      </c>
      <c r="T3386">
        <v>0</v>
      </c>
      <c r="U3386">
        <f>IF(AND(OR(Dashboard!$D$4="Semua",D3386=Dashboard!$D$4),OR(Dashboard!$H$4="Semua",E3386=Dashboard!$H$4)),1,0)</f>
        <v>1</v>
      </c>
      <c r="V3386">
        <f>IF(U3386=1,IF(COUNTIFS($C$2:C3386,C3386,$U$2:U3386,1)=1,1,0),0)</f>
        <v>0</v>
      </c>
    </row>
    <row r="3387" spans="1:22" x14ac:dyDescent="0.35">
      <c r="A3387">
        <v>13386</v>
      </c>
      <c r="B3387" s="1">
        <v>47947</v>
      </c>
      <c r="C3387">
        <v>1482</v>
      </c>
      <c r="D3387" t="s">
        <v>73</v>
      </c>
      <c r="E3387" t="s">
        <v>70</v>
      </c>
      <c r="F3387">
        <v>1</v>
      </c>
      <c r="G3387" s="2">
        <v>240.73</v>
      </c>
      <c r="H3387">
        <v>0.28999999999999998</v>
      </c>
      <c r="I3387" t="s">
        <v>68</v>
      </c>
      <c r="J3387">
        <v>1</v>
      </c>
      <c r="K3387">
        <v>2.6</v>
      </c>
      <c r="L3387" s="2">
        <v>170.92</v>
      </c>
      <c r="M3387">
        <v>2031</v>
      </c>
      <c r="N3387">
        <v>4</v>
      </c>
      <c r="O3387" t="s">
        <v>191</v>
      </c>
      <c r="P3387" s="2">
        <v>240.73</v>
      </c>
      <c r="Q3387" s="2">
        <v>69.81</v>
      </c>
      <c r="R3387" t="s">
        <v>66</v>
      </c>
      <c r="S3387">
        <v>1</v>
      </c>
      <c r="T3387">
        <v>0</v>
      </c>
      <c r="U3387">
        <f>IF(AND(OR(Dashboard!$D$4="Semua",D3387=Dashboard!$D$4),OR(Dashboard!$H$4="Semua",E3387=Dashboard!$H$4)),1,0)</f>
        <v>1</v>
      </c>
      <c r="V3387">
        <f>IF(U3387=1,IF(COUNTIFS($C$2:C3387,C3387,$U$2:U3387,1)=1,1,0),0)</f>
        <v>0</v>
      </c>
    </row>
    <row r="3388" spans="1:22" x14ac:dyDescent="0.35">
      <c r="A3388">
        <v>13387</v>
      </c>
      <c r="B3388" s="1">
        <v>47948</v>
      </c>
      <c r="C3388">
        <v>1518</v>
      </c>
      <c r="D3388" t="s">
        <v>67</v>
      </c>
      <c r="E3388" t="s">
        <v>70</v>
      </c>
      <c r="F3388">
        <v>7</v>
      </c>
      <c r="G3388" s="2">
        <v>213.71</v>
      </c>
      <c r="H3388">
        <v>0.28000000000000003</v>
      </c>
      <c r="I3388" t="s">
        <v>68</v>
      </c>
      <c r="J3388">
        <v>2</v>
      </c>
      <c r="K3388">
        <v>3.5</v>
      </c>
      <c r="L3388" s="2">
        <v>1077.0999999999999</v>
      </c>
      <c r="M3388">
        <v>2031</v>
      </c>
      <c r="N3388">
        <v>4</v>
      </c>
      <c r="O3388" t="s">
        <v>191</v>
      </c>
      <c r="P3388" s="2">
        <v>1495.97</v>
      </c>
      <c r="Q3388" s="2">
        <v>418.87</v>
      </c>
      <c r="R3388" t="s">
        <v>66</v>
      </c>
      <c r="S3388">
        <v>1</v>
      </c>
      <c r="T3388">
        <v>0</v>
      </c>
      <c r="U3388">
        <f>IF(AND(OR(Dashboard!$D$4="Semua",D3388=Dashboard!$D$4),OR(Dashboard!$H$4="Semua",E3388=Dashboard!$H$4)),1,0)</f>
        <v>1</v>
      </c>
      <c r="V3388">
        <f>IF(U3388=1,IF(COUNTIFS($C$2:C3388,C3388,$U$2:U3388,1)=1,1,0),0)</f>
        <v>0</v>
      </c>
    </row>
    <row r="3389" spans="1:22" x14ac:dyDescent="0.35">
      <c r="A3389">
        <v>13388</v>
      </c>
      <c r="B3389" s="1">
        <v>47949</v>
      </c>
      <c r="C3389">
        <v>1154</v>
      </c>
      <c r="D3389" t="s">
        <v>73</v>
      </c>
      <c r="E3389" t="s">
        <v>63</v>
      </c>
      <c r="F3389">
        <v>2</v>
      </c>
      <c r="G3389" s="2">
        <v>386.17</v>
      </c>
      <c r="H3389">
        <v>0.04</v>
      </c>
      <c r="I3389" t="s">
        <v>68</v>
      </c>
      <c r="J3389">
        <v>1</v>
      </c>
      <c r="K3389">
        <v>3</v>
      </c>
      <c r="L3389" s="2">
        <v>741.45</v>
      </c>
      <c r="M3389">
        <v>2031</v>
      </c>
      <c r="N3389">
        <v>4</v>
      </c>
      <c r="O3389" t="s">
        <v>191</v>
      </c>
      <c r="P3389" s="2">
        <v>772.34</v>
      </c>
      <c r="Q3389" s="2">
        <v>30.89</v>
      </c>
      <c r="R3389" t="s">
        <v>75</v>
      </c>
      <c r="S3389">
        <v>1</v>
      </c>
      <c r="T3389">
        <v>0</v>
      </c>
      <c r="U3389">
        <f>IF(AND(OR(Dashboard!$D$4="Semua",D3389=Dashboard!$D$4),OR(Dashboard!$H$4="Semua",E3389=Dashboard!$H$4)),1,0)</f>
        <v>1</v>
      </c>
      <c r="V3389">
        <f>IF(U3389=1,IF(COUNTIFS($C$2:C3389,C3389,$U$2:U3389,1)=1,1,0),0)</f>
        <v>0</v>
      </c>
    </row>
    <row r="3390" spans="1:22" x14ac:dyDescent="0.35">
      <c r="A3390">
        <v>13389</v>
      </c>
      <c r="B3390" s="1">
        <v>47950</v>
      </c>
      <c r="C3390">
        <v>1091</v>
      </c>
      <c r="D3390" t="s">
        <v>67</v>
      </c>
      <c r="E3390" t="s">
        <v>70</v>
      </c>
      <c r="F3390">
        <v>3</v>
      </c>
      <c r="G3390" s="2">
        <v>360.77</v>
      </c>
      <c r="H3390">
        <v>0.28000000000000003</v>
      </c>
      <c r="I3390" t="s">
        <v>68</v>
      </c>
      <c r="J3390">
        <v>1</v>
      </c>
      <c r="K3390">
        <v>4.5</v>
      </c>
      <c r="L3390" s="2">
        <v>779.26</v>
      </c>
      <c r="M3390">
        <v>2031</v>
      </c>
      <c r="N3390">
        <v>4</v>
      </c>
      <c r="O3390" t="s">
        <v>191</v>
      </c>
      <c r="P3390" s="2">
        <v>1082.31</v>
      </c>
      <c r="Q3390" s="2">
        <v>303.05</v>
      </c>
      <c r="R3390" t="s">
        <v>66</v>
      </c>
      <c r="S3390">
        <v>1</v>
      </c>
      <c r="T3390">
        <v>0</v>
      </c>
      <c r="U3390">
        <f>IF(AND(OR(Dashboard!$D$4="Semua",D3390=Dashboard!$D$4),OR(Dashboard!$H$4="Semua",E3390=Dashboard!$H$4)),1,0)</f>
        <v>1</v>
      </c>
      <c r="V3390">
        <f>IF(U3390=1,IF(COUNTIFS($C$2:C3390,C3390,$U$2:U3390,1)=1,1,0),0)</f>
        <v>0</v>
      </c>
    </row>
    <row r="3391" spans="1:22" x14ac:dyDescent="0.35">
      <c r="A3391">
        <v>13390</v>
      </c>
      <c r="B3391" s="1">
        <v>47951</v>
      </c>
      <c r="C3391">
        <v>1981</v>
      </c>
      <c r="D3391" t="s">
        <v>80</v>
      </c>
      <c r="E3391" t="s">
        <v>74</v>
      </c>
      <c r="F3391">
        <v>1</v>
      </c>
      <c r="G3391" s="2">
        <v>186.71</v>
      </c>
      <c r="H3391">
        <v>0.04</v>
      </c>
      <c r="I3391" t="s">
        <v>68</v>
      </c>
      <c r="J3391">
        <v>1</v>
      </c>
      <c r="K3391">
        <v>2.6</v>
      </c>
      <c r="L3391" s="2">
        <v>179.24</v>
      </c>
      <c r="M3391">
        <v>2031</v>
      </c>
      <c r="N3391">
        <v>4</v>
      </c>
      <c r="O3391" t="s">
        <v>191</v>
      </c>
      <c r="P3391" s="2">
        <v>186.71</v>
      </c>
      <c r="Q3391" s="2">
        <v>7.47</v>
      </c>
      <c r="R3391" t="s">
        <v>75</v>
      </c>
      <c r="S3391">
        <v>1</v>
      </c>
      <c r="T3391">
        <v>0</v>
      </c>
      <c r="U3391">
        <f>IF(AND(OR(Dashboard!$D$4="Semua",D3391=Dashboard!$D$4),OR(Dashboard!$H$4="Semua",E3391=Dashboard!$H$4)),1,0)</f>
        <v>1</v>
      </c>
      <c r="V3391">
        <f>IF(U3391=1,IF(COUNTIFS($C$2:C3391,C3391,$U$2:U3391,1)=1,1,0),0)</f>
        <v>0</v>
      </c>
    </row>
    <row r="3392" spans="1:22" x14ac:dyDescent="0.35">
      <c r="A3392">
        <v>13391</v>
      </c>
      <c r="B3392" s="1">
        <v>47952</v>
      </c>
      <c r="C3392">
        <v>1525</v>
      </c>
      <c r="D3392" t="s">
        <v>80</v>
      </c>
      <c r="E3392" t="s">
        <v>74</v>
      </c>
      <c r="F3392">
        <v>1</v>
      </c>
      <c r="G3392" s="2">
        <v>102.37</v>
      </c>
      <c r="H3392">
        <v>0.04</v>
      </c>
      <c r="I3392" t="s">
        <v>64</v>
      </c>
      <c r="J3392">
        <v>3</v>
      </c>
      <c r="K3392">
        <v>1.1000000000000001</v>
      </c>
      <c r="L3392" s="2">
        <v>98.28</v>
      </c>
      <c r="M3392">
        <v>2031</v>
      </c>
      <c r="N3392">
        <v>4</v>
      </c>
      <c r="O3392" t="s">
        <v>191</v>
      </c>
      <c r="P3392" s="2">
        <v>102.37</v>
      </c>
      <c r="Q3392" s="2">
        <v>4.09</v>
      </c>
      <c r="R3392" t="s">
        <v>75</v>
      </c>
      <c r="S3392">
        <v>1</v>
      </c>
      <c r="T3392">
        <v>0</v>
      </c>
      <c r="U3392">
        <f>IF(AND(OR(Dashboard!$D$4="Semua",D3392=Dashboard!$D$4),OR(Dashboard!$H$4="Semua",E3392=Dashboard!$H$4)),1,0)</f>
        <v>1</v>
      </c>
      <c r="V3392">
        <f>IF(U3392=1,IF(COUNTIFS($C$2:C3392,C3392,$U$2:U3392,1)=1,1,0),0)</f>
        <v>0</v>
      </c>
    </row>
    <row r="3393" spans="1:22" x14ac:dyDescent="0.35">
      <c r="A3393">
        <v>13392</v>
      </c>
      <c r="B3393" s="1">
        <v>47953</v>
      </c>
      <c r="C3393">
        <v>1454</v>
      </c>
      <c r="D3393" t="s">
        <v>67</v>
      </c>
      <c r="E3393" t="s">
        <v>78</v>
      </c>
      <c r="F3393">
        <v>7</v>
      </c>
      <c r="G3393" s="2">
        <v>230.62</v>
      </c>
      <c r="H3393">
        <v>0.33</v>
      </c>
      <c r="I3393" t="s">
        <v>68</v>
      </c>
      <c r="J3393">
        <v>11</v>
      </c>
      <c r="K3393">
        <v>2.1</v>
      </c>
      <c r="L3393" s="2">
        <v>1081.6099999999999</v>
      </c>
      <c r="M3393">
        <v>2031</v>
      </c>
      <c r="N3393">
        <v>4</v>
      </c>
      <c r="O3393" t="s">
        <v>191</v>
      </c>
      <c r="P3393" s="2">
        <v>1614.34</v>
      </c>
      <c r="Q3393" s="2">
        <v>532.73</v>
      </c>
      <c r="R3393" t="s">
        <v>72</v>
      </c>
      <c r="S3393">
        <v>1</v>
      </c>
      <c r="T3393">
        <v>0</v>
      </c>
      <c r="U3393">
        <f>IF(AND(OR(Dashboard!$D$4="Semua",D3393=Dashboard!$D$4),OR(Dashboard!$H$4="Semua",E3393=Dashboard!$H$4)),1,0)</f>
        <v>1</v>
      </c>
      <c r="V3393">
        <f>IF(U3393=1,IF(COUNTIFS($C$2:C3393,C3393,$U$2:U3393,1)=1,1,0),0)</f>
        <v>0</v>
      </c>
    </row>
    <row r="3394" spans="1:22" x14ac:dyDescent="0.35">
      <c r="A3394">
        <v>13393</v>
      </c>
      <c r="B3394" s="1">
        <v>47954</v>
      </c>
      <c r="C3394">
        <v>1740</v>
      </c>
      <c r="D3394" t="s">
        <v>62</v>
      </c>
      <c r="E3394" t="s">
        <v>74</v>
      </c>
      <c r="F3394">
        <v>2</v>
      </c>
      <c r="G3394" s="2">
        <v>257.89</v>
      </c>
      <c r="H3394">
        <v>0.28999999999999998</v>
      </c>
      <c r="I3394" t="s">
        <v>71</v>
      </c>
      <c r="J3394">
        <v>4</v>
      </c>
      <c r="K3394">
        <v>1.5</v>
      </c>
      <c r="L3394" s="2">
        <v>366.2</v>
      </c>
      <c r="M3394">
        <v>2031</v>
      </c>
      <c r="N3394">
        <v>4</v>
      </c>
      <c r="O3394" t="s">
        <v>191</v>
      </c>
      <c r="P3394" s="2">
        <v>515.78</v>
      </c>
      <c r="Q3394" s="2">
        <v>149.58000000000001</v>
      </c>
      <c r="R3394" t="s">
        <v>66</v>
      </c>
      <c r="S3394">
        <v>1</v>
      </c>
      <c r="T3394">
        <v>0</v>
      </c>
      <c r="U3394">
        <f>IF(AND(OR(Dashboard!$D$4="Semua",D3394=Dashboard!$D$4),OR(Dashboard!$H$4="Semua",E3394=Dashboard!$H$4)),1,0)</f>
        <v>1</v>
      </c>
      <c r="V3394">
        <f>IF(U3394=1,IF(COUNTIFS($C$2:C3394,C3394,$U$2:U3394,1)=1,1,0),0)</f>
        <v>0</v>
      </c>
    </row>
    <row r="3395" spans="1:22" x14ac:dyDescent="0.35">
      <c r="A3395">
        <v>13394</v>
      </c>
      <c r="B3395" s="1">
        <v>47955</v>
      </c>
      <c r="C3395">
        <v>1597</v>
      </c>
      <c r="D3395" t="s">
        <v>67</v>
      </c>
      <c r="E3395" t="s">
        <v>70</v>
      </c>
      <c r="F3395">
        <v>2</v>
      </c>
      <c r="G3395" s="2">
        <v>382.78</v>
      </c>
      <c r="H3395">
        <v>0.19</v>
      </c>
      <c r="I3395" t="s">
        <v>68</v>
      </c>
      <c r="J3395">
        <v>10</v>
      </c>
      <c r="K3395">
        <v>2</v>
      </c>
      <c r="L3395" s="2">
        <v>620.1</v>
      </c>
      <c r="M3395">
        <v>2031</v>
      </c>
      <c r="N3395">
        <v>4</v>
      </c>
      <c r="O3395" t="s">
        <v>191</v>
      </c>
      <c r="P3395" s="2">
        <v>765.56</v>
      </c>
      <c r="Q3395" s="2">
        <v>145.46</v>
      </c>
      <c r="R3395" t="s">
        <v>76</v>
      </c>
      <c r="S3395">
        <v>1</v>
      </c>
      <c r="T3395">
        <v>0</v>
      </c>
      <c r="U3395">
        <f>IF(AND(OR(Dashboard!$D$4="Semua",D3395=Dashboard!$D$4),OR(Dashboard!$H$4="Semua",E3395=Dashboard!$H$4)),1,0)</f>
        <v>1</v>
      </c>
      <c r="V3395">
        <f>IF(U3395=1,IF(COUNTIFS($C$2:C3395,C3395,$U$2:U3395,1)=1,1,0),0)</f>
        <v>0</v>
      </c>
    </row>
    <row r="3396" spans="1:22" x14ac:dyDescent="0.35">
      <c r="A3396">
        <v>13395</v>
      </c>
      <c r="B3396" s="1">
        <v>47956</v>
      </c>
      <c r="C3396">
        <v>1644</v>
      </c>
      <c r="D3396" t="s">
        <v>80</v>
      </c>
      <c r="E3396" t="s">
        <v>70</v>
      </c>
      <c r="F3396">
        <v>4</v>
      </c>
      <c r="G3396" s="2">
        <v>550</v>
      </c>
      <c r="H3396">
        <v>0.31</v>
      </c>
      <c r="I3396" t="s">
        <v>71</v>
      </c>
      <c r="J3396">
        <v>2</v>
      </c>
      <c r="K3396">
        <v>2.4</v>
      </c>
      <c r="L3396" s="2">
        <v>1518</v>
      </c>
      <c r="M3396">
        <v>2031</v>
      </c>
      <c r="N3396">
        <v>4</v>
      </c>
      <c r="O3396" t="s">
        <v>191</v>
      </c>
      <c r="P3396" s="2">
        <v>2200</v>
      </c>
      <c r="Q3396" s="2">
        <v>682</v>
      </c>
      <c r="R3396" t="s">
        <v>72</v>
      </c>
      <c r="S3396">
        <v>1</v>
      </c>
      <c r="T3396">
        <v>0</v>
      </c>
      <c r="U3396">
        <f>IF(AND(OR(Dashboard!$D$4="Semua",D3396=Dashboard!$D$4),OR(Dashboard!$H$4="Semua",E3396=Dashboard!$H$4)),1,0)</f>
        <v>1</v>
      </c>
      <c r="V3396">
        <f>IF(U3396=1,IF(COUNTIFS($C$2:C3396,C3396,$U$2:U3396,1)=1,1,0),0)</f>
        <v>0</v>
      </c>
    </row>
    <row r="3397" spans="1:22" x14ac:dyDescent="0.35">
      <c r="A3397">
        <v>13396</v>
      </c>
      <c r="B3397" s="1">
        <v>47957</v>
      </c>
      <c r="C3397">
        <v>1509</v>
      </c>
      <c r="D3397" t="s">
        <v>67</v>
      </c>
      <c r="E3397" t="s">
        <v>74</v>
      </c>
      <c r="F3397">
        <v>5</v>
      </c>
      <c r="G3397" s="2">
        <v>36.17</v>
      </c>
      <c r="H3397">
        <v>0.35</v>
      </c>
      <c r="I3397" t="s">
        <v>64</v>
      </c>
      <c r="J3397">
        <v>1</v>
      </c>
      <c r="K3397">
        <v>3.7</v>
      </c>
      <c r="L3397" s="2">
        <v>117.55</v>
      </c>
      <c r="M3397">
        <v>2031</v>
      </c>
      <c r="N3397">
        <v>4</v>
      </c>
      <c r="O3397" t="s">
        <v>191</v>
      </c>
      <c r="P3397" s="2">
        <v>180.85</v>
      </c>
      <c r="Q3397" s="2">
        <v>63.3</v>
      </c>
      <c r="R3397" t="s">
        <v>72</v>
      </c>
      <c r="S3397">
        <v>1</v>
      </c>
      <c r="T3397">
        <v>0</v>
      </c>
      <c r="U3397">
        <f>IF(AND(OR(Dashboard!$D$4="Semua",D3397=Dashboard!$D$4),OR(Dashboard!$H$4="Semua",E3397=Dashboard!$H$4)),1,0)</f>
        <v>1</v>
      </c>
      <c r="V3397">
        <f>IF(U3397=1,IF(COUNTIFS($C$2:C3397,C3397,$U$2:U3397,1)=1,1,0),0)</f>
        <v>0</v>
      </c>
    </row>
    <row r="3398" spans="1:22" x14ac:dyDescent="0.35">
      <c r="A3398">
        <v>13397</v>
      </c>
      <c r="B3398" s="1">
        <v>47958</v>
      </c>
      <c r="C3398">
        <v>1182</v>
      </c>
      <c r="D3398" t="s">
        <v>62</v>
      </c>
      <c r="E3398" t="s">
        <v>78</v>
      </c>
      <c r="F3398">
        <v>7</v>
      </c>
      <c r="G3398" s="2">
        <v>157.54</v>
      </c>
      <c r="H3398">
        <v>0.21</v>
      </c>
      <c r="I3398" t="s">
        <v>68</v>
      </c>
      <c r="J3398">
        <v>5</v>
      </c>
      <c r="K3398">
        <v>2.2999999999999998</v>
      </c>
      <c r="L3398" s="2">
        <v>871.2</v>
      </c>
      <c r="M3398">
        <v>2031</v>
      </c>
      <c r="N3398">
        <v>4</v>
      </c>
      <c r="O3398" t="s">
        <v>191</v>
      </c>
      <c r="P3398" s="2">
        <v>1102.78</v>
      </c>
      <c r="Q3398" s="2">
        <v>231.58</v>
      </c>
      <c r="R3398" t="s">
        <v>77</v>
      </c>
      <c r="S3398">
        <v>1</v>
      </c>
      <c r="T3398">
        <v>0</v>
      </c>
      <c r="U3398">
        <f>IF(AND(OR(Dashboard!$D$4="Semua",D3398=Dashboard!$D$4),OR(Dashboard!$H$4="Semua",E3398=Dashboard!$H$4)),1,0)</f>
        <v>1</v>
      </c>
      <c r="V3398">
        <f>IF(U3398=1,IF(COUNTIFS($C$2:C3398,C3398,$U$2:U3398,1)=1,1,0),0)</f>
        <v>0</v>
      </c>
    </row>
    <row r="3399" spans="1:22" x14ac:dyDescent="0.35">
      <c r="A3399">
        <v>13398</v>
      </c>
      <c r="B3399" s="1">
        <v>47959</v>
      </c>
      <c r="C3399">
        <v>1385</v>
      </c>
      <c r="D3399" t="s">
        <v>62</v>
      </c>
      <c r="E3399" t="s">
        <v>78</v>
      </c>
      <c r="F3399">
        <v>3</v>
      </c>
      <c r="G3399" s="2">
        <v>128.32</v>
      </c>
      <c r="H3399">
        <v>0.21</v>
      </c>
      <c r="I3399" t="s">
        <v>64</v>
      </c>
      <c r="J3399">
        <v>6</v>
      </c>
      <c r="K3399">
        <v>4.5</v>
      </c>
      <c r="L3399" s="2">
        <v>304.12</v>
      </c>
      <c r="M3399">
        <v>2031</v>
      </c>
      <c r="N3399">
        <v>4</v>
      </c>
      <c r="O3399" t="s">
        <v>191</v>
      </c>
      <c r="P3399" s="2">
        <v>384.96</v>
      </c>
      <c r="Q3399" s="2">
        <v>80.84</v>
      </c>
      <c r="R3399" t="s">
        <v>77</v>
      </c>
      <c r="S3399">
        <v>1</v>
      </c>
      <c r="T3399">
        <v>0</v>
      </c>
      <c r="U3399">
        <f>IF(AND(OR(Dashboard!$D$4="Semua",D3399=Dashboard!$D$4),OR(Dashboard!$H$4="Semua",E3399=Dashboard!$H$4)),1,0)</f>
        <v>1</v>
      </c>
      <c r="V3399">
        <f>IF(U3399=1,IF(COUNTIFS($C$2:C3399,C3399,$U$2:U3399,1)=1,1,0),0)</f>
        <v>0</v>
      </c>
    </row>
    <row r="3400" spans="1:22" x14ac:dyDescent="0.35">
      <c r="A3400">
        <v>13399</v>
      </c>
      <c r="B3400" s="1">
        <v>47960</v>
      </c>
      <c r="C3400">
        <v>1573</v>
      </c>
      <c r="D3400" t="s">
        <v>73</v>
      </c>
      <c r="E3400" t="s">
        <v>74</v>
      </c>
      <c r="F3400">
        <v>5</v>
      </c>
      <c r="G3400" s="2">
        <v>308.83999999999997</v>
      </c>
      <c r="H3400">
        <v>0.26</v>
      </c>
      <c r="I3400" t="s">
        <v>64</v>
      </c>
      <c r="J3400">
        <v>2</v>
      </c>
      <c r="K3400">
        <v>2.2000000000000002</v>
      </c>
      <c r="L3400" s="2">
        <v>1142.71</v>
      </c>
      <c r="M3400">
        <v>2031</v>
      </c>
      <c r="N3400">
        <v>4</v>
      </c>
      <c r="O3400" t="s">
        <v>191</v>
      </c>
      <c r="P3400" s="2">
        <v>1544.2</v>
      </c>
      <c r="Q3400" s="2">
        <v>401.49</v>
      </c>
      <c r="R3400" t="s">
        <v>66</v>
      </c>
      <c r="S3400">
        <v>1</v>
      </c>
      <c r="T3400">
        <v>0</v>
      </c>
      <c r="U3400">
        <f>IF(AND(OR(Dashboard!$D$4="Semua",D3400=Dashboard!$D$4),OR(Dashboard!$H$4="Semua",E3400=Dashboard!$H$4)),1,0)</f>
        <v>1</v>
      </c>
      <c r="V3400">
        <f>IF(U3400=1,IF(COUNTIFS($C$2:C3400,C3400,$U$2:U3400,1)=1,1,0),0)</f>
        <v>0</v>
      </c>
    </row>
    <row r="3401" spans="1:22" x14ac:dyDescent="0.35">
      <c r="A3401">
        <v>13400</v>
      </c>
      <c r="B3401" s="1">
        <v>47961</v>
      </c>
      <c r="C3401">
        <v>1730</v>
      </c>
      <c r="D3401" t="s">
        <v>62</v>
      </c>
      <c r="E3401" t="s">
        <v>63</v>
      </c>
      <c r="F3401">
        <v>3</v>
      </c>
      <c r="G3401" s="2">
        <v>266.37</v>
      </c>
      <c r="H3401">
        <v>0.08</v>
      </c>
      <c r="I3401" t="s">
        <v>71</v>
      </c>
      <c r="J3401">
        <v>3</v>
      </c>
      <c r="K3401">
        <v>1.5</v>
      </c>
      <c r="L3401" s="2">
        <v>735.18</v>
      </c>
      <c r="M3401">
        <v>2031</v>
      </c>
      <c r="N3401">
        <v>4</v>
      </c>
      <c r="O3401" t="s">
        <v>191</v>
      </c>
      <c r="P3401" s="2">
        <v>799.11</v>
      </c>
      <c r="Q3401" s="2">
        <v>63.93</v>
      </c>
      <c r="R3401" t="s">
        <v>69</v>
      </c>
      <c r="S3401">
        <v>1</v>
      </c>
      <c r="T3401">
        <v>0</v>
      </c>
      <c r="U3401">
        <f>IF(AND(OR(Dashboard!$D$4="Semua",D3401=Dashboard!$D$4),OR(Dashboard!$H$4="Semua",E3401=Dashboard!$H$4)),1,0)</f>
        <v>1</v>
      </c>
      <c r="V3401">
        <f>IF(U3401=1,IF(COUNTIFS($C$2:C3401,C3401,$U$2:U3401,1)=1,1,0),0)</f>
        <v>0</v>
      </c>
    </row>
    <row r="3402" spans="1:22" x14ac:dyDescent="0.35">
      <c r="A3402">
        <v>13401</v>
      </c>
      <c r="B3402" s="1">
        <v>47962</v>
      </c>
      <c r="C3402">
        <v>1404</v>
      </c>
      <c r="D3402" t="s">
        <v>80</v>
      </c>
      <c r="E3402" t="s">
        <v>63</v>
      </c>
      <c r="F3402">
        <v>1</v>
      </c>
      <c r="G3402" s="2">
        <v>441.49</v>
      </c>
      <c r="H3402">
        <v>0.06</v>
      </c>
      <c r="I3402" t="s">
        <v>68</v>
      </c>
      <c r="J3402">
        <v>10</v>
      </c>
      <c r="K3402">
        <v>1.7</v>
      </c>
      <c r="L3402" s="2">
        <v>415</v>
      </c>
      <c r="M3402">
        <v>2031</v>
      </c>
      <c r="N3402">
        <v>4</v>
      </c>
      <c r="O3402" t="s">
        <v>191</v>
      </c>
      <c r="P3402" s="2">
        <v>441.49</v>
      </c>
      <c r="Q3402" s="2">
        <v>26.49</v>
      </c>
      <c r="R3402" t="s">
        <v>69</v>
      </c>
      <c r="S3402">
        <v>1</v>
      </c>
      <c r="T3402">
        <v>0</v>
      </c>
      <c r="U3402">
        <f>IF(AND(OR(Dashboard!$D$4="Semua",D3402=Dashboard!$D$4),OR(Dashboard!$H$4="Semua",E3402=Dashboard!$H$4)),1,0)</f>
        <v>1</v>
      </c>
      <c r="V3402">
        <f>IF(U3402=1,IF(COUNTIFS($C$2:C3402,C3402,$U$2:U3402,1)=1,1,0),0)</f>
        <v>0</v>
      </c>
    </row>
    <row r="3403" spans="1:22" x14ac:dyDescent="0.35">
      <c r="A3403">
        <v>13402</v>
      </c>
      <c r="B3403" s="1">
        <v>47963</v>
      </c>
      <c r="C3403">
        <v>1245</v>
      </c>
      <c r="D3403" t="s">
        <v>80</v>
      </c>
      <c r="E3403" t="s">
        <v>63</v>
      </c>
      <c r="F3403">
        <v>6</v>
      </c>
      <c r="G3403" s="2">
        <v>156.81</v>
      </c>
      <c r="H3403">
        <v>0.27</v>
      </c>
      <c r="I3403" t="s">
        <v>71</v>
      </c>
      <c r="J3403">
        <v>3</v>
      </c>
      <c r="K3403">
        <v>4.7</v>
      </c>
      <c r="L3403" s="2">
        <v>686.83</v>
      </c>
      <c r="M3403">
        <v>2031</v>
      </c>
      <c r="N3403">
        <v>4</v>
      </c>
      <c r="O3403" t="s">
        <v>191</v>
      </c>
      <c r="P3403" s="2">
        <v>940.86</v>
      </c>
      <c r="Q3403" s="2">
        <v>254.03</v>
      </c>
      <c r="R3403" t="s">
        <v>66</v>
      </c>
      <c r="S3403">
        <v>1</v>
      </c>
      <c r="T3403">
        <v>0</v>
      </c>
      <c r="U3403">
        <f>IF(AND(OR(Dashboard!$D$4="Semua",D3403=Dashboard!$D$4),OR(Dashboard!$H$4="Semua",E3403=Dashboard!$H$4)),1,0)</f>
        <v>1</v>
      </c>
      <c r="V3403">
        <f>IF(U3403=1,IF(COUNTIFS($C$2:C3403,C3403,$U$2:U3403,1)=1,1,0),0)</f>
        <v>0</v>
      </c>
    </row>
    <row r="3404" spans="1:22" x14ac:dyDescent="0.35">
      <c r="A3404">
        <v>13403</v>
      </c>
      <c r="B3404" s="1">
        <v>47964</v>
      </c>
      <c r="C3404">
        <v>1741</v>
      </c>
      <c r="D3404" t="s">
        <v>73</v>
      </c>
      <c r="E3404" t="s">
        <v>63</v>
      </c>
      <c r="F3404">
        <v>6</v>
      </c>
      <c r="G3404" s="2">
        <v>362.78</v>
      </c>
      <c r="H3404">
        <v>0.12</v>
      </c>
      <c r="I3404" t="s">
        <v>64</v>
      </c>
      <c r="J3404">
        <v>2</v>
      </c>
      <c r="K3404">
        <v>2.8</v>
      </c>
      <c r="L3404" s="2">
        <v>1915.48</v>
      </c>
      <c r="M3404">
        <v>2031</v>
      </c>
      <c r="N3404">
        <v>4</v>
      </c>
      <c r="O3404" t="s">
        <v>191</v>
      </c>
      <c r="P3404" s="2">
        <v>2176.6799999999998</v>
      </c>
      <c r="Q3404" s="2">
        <v>261.2</v>
      </c>
      <c r="R3404" t="s">
        <v>79</v>
      </c>
      <c r="S3404">
        <v>1</v>
      </c>
      <c r="T3404">
        <v>0</v>
      </c>
      <c r="U3404">
        <f>IF(AND(OR(Dashboard!$D$4="Semua",D3404=Dashboard!$D$4),OR(Dashboard!$H$4="Semua",E3404=Dashboard!$H$4)),1,0)</f>
        <v>1</v>
      </c>
      <c r="V3404">
        <f>IF(U3404=1,IF(COUNTIFS($C$2:C3404,C3404,$U$2:U3404,1)=1,1,0),0)</f>
        <v>1</v>
      </c>
    </row>
    <row r="3405" spans="1:22" x14ac:dyDescent="0.35">
      <c r="A3405">
        <v>13404</v>
      </c>
      <c r="B3405" s="1">
        <v>47965</v>
      </c>
      <c r="C3405">
        <v>1590</v>
      </c>
      <c r="D3405" t="s">
        <v>80</v>
      </c>
      <c r="E3405" t="s">
        <v>74</v>
      </c>
      <c r="F3405">
        <v>7</v>
      </c>
      <c r="G3405" s="2">
        <v>532.05999999999995</v>
      </c>
      <c r="H3405">
        <v>0.05</v>
      </c>
      <c r="I3405" t="s">
        <v>68</v>
      </c>
      <c r="J3405">
        <v>4</v>
      </c>
      <c r="K3405">
        <v>2.6</v>
      </c>
      <c r="L3405" s="2">
        <v>3538.2</v>
      </c>
      <c r="M3405">
        <v>2031</v>
      </c>
      <c r="N3405">
        <v>4</v>
      </c>
      <c r="O3405" t="s">
        <v>191</v>
      </c>
      <c r="P3405" s="2">
        <v>3724.42</v>
      </c>
      <c r="Q3405" s="2">
        <v>186.22</v>
      </c>
      <c r="R3405" t="s">
        <v>75</v>
      </c>
      <c r="S3405">
        <v>1</v>
      </c>
      <c r="T3405">
        <v>1</v>
      </c>
      <c r="U3405">
        <f>IF(AND(OR(Dashboard!$D$4="Semua",D3405=Dashboard!$D$4),OR(Dashboard!$H$4="Semua",E3405=Dashboard!$H$4)),1,0)</f>
        <v>1</v>
      </c>
      <c r="V3405">
        <f>IF(U3405=1,IF(COUNTIFS($C$2:C3405,C3405,$U$2:U3405,1)=1,1,0),0)</f>
        <v>0</v>
      </c>
    </row>
    <row r="3406" spans="1:22" x14ac:dyDescent="0.35">
      <c r="A3406">
        <v>13405</v>
      </c>
      <c r="B3406" s="1">
        <v>47966</v>
      </c>
      <c r="C3406">
        <v>1660</v>
      </c>
      <c r="D3406" t="s">
        <v>62</v>
      </c>
      <c r="E3406" t="s">
        <v>78</v>
      </c>
      <c r="F3406">
        <v>2</v>
      </c>
      <c r="G3406" s="2">
        <v>547.75</v>
      </c>
      <c r="H3406">
        <v>0.11</v>
      </c>
      <c r="I3406" t="s">
        <v>71</v>
      </c>
      <c r="J3406">
        <v>5</v>
      </c>
      <c r="K3406">
        <v>1.3</v>
      </c>
      <c r="L3406" s="2">
        <v>975</v>
      </c>
      <c r="M3406">
        <v>2031</v>
      </c>
      <c r="N3406">
        <v>4</v>
      </c>
      <c r="O3406" t="s">
        <v>191</v>
      </c>
      <c r="P3406" s="2">
        <v>1095.5</v>
      </c>
      <c r="Q3406" s="2">
        <v>120.5</v>
      </c>
      <c r="R3406" t="s">
        <v>79</v>
      </c>
      <c r="S3406">
        <v>1</v>
      </c>
      <c r="T3406">
        <v>0</v>
      </c>
      <c r="U3406">
        <f>IF(AND(OR(Dashboard!$D$4="Semua",D3406=Dashboard!$D$4),OR(Dashboard!$H$4="Semua",E3406=Dashboard!$H$4)),1,0)</f>
        <v>1</v>
      </c>
      <c r="V3406">
        <f>IF(U3406=1,IF(COUNTIFS($C$2:C3406,C3406,$U$2:U3406,1)=1,1,0),0)</f>
        <v>0</v>
      </c>
    </row>
    <row r="3407" spans="1:22" x14ac:dyDescent="0.35">
      <c r="A3407">
        <v>13406</v>
      </c>
      <c r="B3407" s="1">
        <v>47967</v>
      </c>
      <c r="C3407">
        <v>1649</v>
      </c>
      <c r="D3407" t="s">
        <v>73</v>
      </c>
      <c r="E3407" t="s">
        <v>70</v>
      </c>
      <c r="F3407">
        <v>2</v>
      </c>
      <c r="G3407" s="2">
        <v>575.89</v>
      </c>
      <c r="H3407">
        <v>0.13</v>
      </c>
      <c r="I3407" t="s">
        <v>68</v>
      </c>
      <c r="J3407">
        <v>8</v>
      </c>
      <c r="K3407">
        <v>3.9</v>
      </c>
      <c r="L3407" s="2">
        <v>1002.05</v>
      </c>
      <c r="M3407">
        <v>2031</v>
      </c>
      <c r="N3407">
        <v>4</v>
      </c>
      <c r="O3407" t="s">
        <v>191</v>
      </c>
      <c r="P3407" s="2">
        <v>1151.78</v>
      </c>
      <c r="Q3407" s="2">
        <v>149.72999999999999</v>
      </c>
      <c r="R3407" t="s">
        <v>79</v>
      </c>
      <c r="S3407">
        <v>1</v>
      </c>
      <c r="T3407">
        <v>0</v>
      </c>
      <c r="U3407">
        <f>IF(AND(OR(Dashboard!$D$4="Semua",D3407=Dashboard!$D$4),OR(Dashboard!$H$4="Semua",E3407=Dashboard!$H$4)),1,0)</f>
        <v>1</v>
      </c>
      <c r="V3407">
        <f>IF(U3407=1,IF(COUNTIFS($C$2:C3407,C3407,$U$2:U3407,1)=1,1,0),0)</f>
        <v>0</v>
      </c>
    </row>
    <row r="3408" spans="1:22" x14ac:dyDescent="0.35">
      <c r="A3408">
        <v>13407</v>
      </c>
      <c r="B3408" s="1">
        <v>47968</v>
      </c>
      <c r="C3408">
        <v>1470</v>
      </c>
      <c r="D3408" t="s">
        <v>62</v>
      </c>
      <c r="E3408" t="s">
        <v>70</v>
      </c>
      <c r="F3408">
        <v>1</v>
      </c>
      <c r="G3408" s="2">
        <v>467.36</v>
      </c>
      <c r="H3408">
        <v>0.34</v>
      </c>
      <c r="I3408" t="s">
        <v>68</v>
      </c>
      <c r="J3408">
        <v>6</v>
      </c>
      <c r="K3408">
        <v>3.8</v>
      </c>
      <c r="L3408" s="2">
        <v>308.45999999999998</v>
      </c>
      <c r="M3408">
        <v>2031</v>
      </c>
      <c r="N3408">
        <v>4</v>
      </c>
      <c r="O3408" t="s">
        <v>191</v>
      </c>
      <c r="P3408" s="2">
        <v>467.36</v>
      </c>
      <c r="Q3408" s="2">
        <v>158.9</v>
      </c>
      <c r="R3408" t="s">
        <v>72</v>
      </c>
      <c r="S3408">
        <v>1</v>
      </c>
      <c r="T3408">
        <v>0</v>
      </c>
      <c r="U3408">
        <f>IF(AND(OR(Dashboard!$D$4="Semua",D3408=Dashboard!$D$4),OR(Dashboard!$H$4="Semua",E3408=Dashboard!$H$4)),1,0)</f>
        <v>1</v>
      </c>
      <c r="V3408">
        <f>IF(U3408=1,IF(COUNTIFS($C$2:C3408,C3408,$U$2:U3408,1)=1,1,0),0)</f>
        <v>0</v>
      </c>
    </row>
    <row r="3409" spans="1:22" x14ac:dyDescent="0.35">
      <c r="A3409">
        <v>13408</v>
      </c>
      <c r="B3409" s="1">
        <v>47969</v>
      </c>
      <c r="C3409">
        <v>1825</v>
      </c>
      <c r="D3409" t="s">
        <v>73</v>
      </c>
      <c r="E3409" t="s">
        <v>74</v>
      </c>
      <c r="F3409">
        <v>1</v>
      </c>
      <c r="G3409" s="2">
        <v>545</v>
      </c>
      <c r="H3409">
        <v>0.24</v>
      </c>
      <c r="I3409" t="s">
        <v>64</v>
      </c>
      <c r="J3409">
        <v>9</v>
      </c>
      <c r="K3409">
        <v>2.5</v>
      </c>
      <c r="L3409" s="2">
        <v>414.2</v>
      </c>
      <c r="M3409">
        <v>2031</v>
      </c>
      <c r="N3409">
        <v>5</v>
      </c>
      <c r="O3409" t="s">
        <v>192</v>
      </c>
      <c r="P3409" s="2">
        <v>545</v>
      </c>
      <c r="Q3409" s="2">
        <v>130.80000000000001</v>
      </c>
      <c r="R3409" t="s">
        <v>77</v>
      </c>
      <c r="S3409">
        <v>1</v>
      </c>
      <c r="T3409">
        <v>0</v>
      </c>
      <c r="U3409">
        <f>IF(AND(OR(Dashboard!$D$4="Semua",D3409=Dashboard!$D$4),OR(Dashboard!$H$4="Semua",E3409=Dashboard!$H$4)),1,0)</f>
        <v>1</v>
      </c>
      <c r="V3409">
        <f>IF(U3409=1,IF(COUNTIFS($C$2:C3409,C3409,$U$2:U3409,1)=1,1,0),0)</f>
        <v>0</v>
      </c>
    </row>
    <row r="3410" spans="1:22" x14ac:dyDescent="0.35">
      <c r="A3410">
        <v>13409</v>
      </c>
      <c r="B3410" s="1">
        <v>47970</v>
      </c>
      <c r="C3410">
        <v>1887</v>
      </c>
      <c r="D3410" t="s">
        <v>73</v>
      </c>
      <c r="E3410" t="s">
        <v>70</v>
      </c>
      <c r="F3410">
        <v>3</v>
      </c>
      <c r="G3410" s="2">
        <v>152.19999999999999</v>
      </c>
      <c r="H3410">
        <v>0.19</v>
      </c>
      <c r="I3410" t="s">
        <v>68</v>
      </c>
      <c r="J3410">
        <v>3</v>
      </c>
      <c r="K3410">
        <v>3.8</v>
      </c>
      <c r="L3410" s="2">
        <v>369.85</v>
      </c>
      <c r="M3410">
        <v>2031</v>
      </c>
      <c r="N3410">
        <v>5</v>
      </c>
      <c r="O3410" t="s">
        <v>192</v>
      </c>
      <c r="P3410" s="2">
        <v>456.6</v>
      </c>
      <c r="Q3410" s="2">
        <v>86.75</v>
      </c>
      <c r="R3410" t="s">
        <v>76</v>
      </c>
      <c r="S3410">
        <v>1</v>
      </c>
      <c r="T3410">
        <v>0</v>
      </c>
      <c r="U3410">
        <f>IF(AND(OR(Dashboard!$D$4="Semua",D3410=Dashboard!$D$4),OR(Dashboard!$H$4="Semua",E3410=Dashboard!$H$4)),1,0)</f>
        <v>1</v>
      </c>
      <c r="V3410">
        <f>IF(U3410=1,IF(COUNTIFS($C$2:C3410,C3410,$U$2:U3410,1)=1,1,0),0)</f>
        <v>0</v>
      </c>
    </row>
    <row r="3411" spans="1:22" x14ac:dyDescent="0.35">
      <c r="A3411">
        <v>13410</v>
      </c>
      <c r="B3411" s="1">
        <v>47971</v>
      </c>
      <c r="C3411">
        <v>1422</v>
      </c>
      <c r="D3411" t="s">
        <v>67</v>
      </c>
      <c r="E3411" t="s">
        <v>63</v>
      </c>
      <c r="F3411">
        <v>1</v>
      </c>
      <c r="G3411" s="2">
        <v>130.58000000000001</v>
      </c>
      <c r="H3411">
        <v>0.34</v>
      </c>
      <c r="I3411" t="s">
        <v>68</v>
      </c>
      <c r="J3411">
        <v>10</v>
      </c>
      <c r="K3411">
        <v>2.5</v>
      </c>
      <c r="L3411" s="2">
        <v>86.18</v>
      </c>
      <c r="M3411">
        <v>2031</v>
      </c>
      <c r="N3411">
        <v>5</v>
      </c>
      <c r="O3411" t="s">
        <v>192</v>
      </c>
      <c r="P3411" s="2">
        <v>130.58000000000001</v>
      </c>
      <c r="Q3411" s="2">
        <v>44.4</v>
      </c>
      <c r="R3411" t="s">
        <v>72</v>
      </c>
      <c r="S3411">
        <v>1</v>
      </c>
      <c r="T3411">
        <v>0</v>
      </c>
      <c r="U3411">
        <f>IF(AND(OR(Dashboard!$D$4="Semua",D3411=Dashboard!$D$4),OR(Dashboard!$H$4="Semua",E3411=Dashboard!$H$4)),1,0)</f>
        <v>1</v>
      </c>
      <c r="V3411">
        <f>IF(U3411=1,IF(COUNTIFS($C$2:C3411,C3411,$U$2:U3411,1)=1,1,0),0)</f>
        <v>1</v>
      </c>
    </row>
    <row r="3412" spans="1:22" x14ac:dyDescent="0.35">
      <c r="A3412">
        <v>13411</v>
      </c>
      <c r="B3412" s="1">
        <v>47972</v>
      </c>
      <c r="C3412">
        <v>1900</v>
      </c>
      <c r="D3412" t="s">
        <v>67</v>
      </c>
      <c r="E3412" t="s">
        <v>78</v>
      </c>
      <c r="F3412">
        <v>7</v>
      </c>
      <c r="G3412" s="2">
        <v>18.8</v>
      </c>
      <c r="H3412">
        <v>0.32</v>
      </c>
      <c r="I3412" t="s">
        <v>71</v>
      </c>
      <c r="J3412">
        <v>9</v>
      </c>
      <c r="K3412">
        <v>1.3</v>
      </c>
      <c r="L3412" s="2">
        <v>89.49</v>
      </c>
      <c r="M3412">
        <v>2031</v>
      </c>
      <c r="N3412">
        <v>5</v>
      </c>
      <c r="O3412" t="s">
        <v>192</v>
      </c>
      <c r="P3412" s="2">
        <v>131.6</v>
      </c>
      <c r="Q3412" s="2">
        <v>42.11</v>
      </c>
      <c r="R3412" t="s">
        <v>72</v>
      </c>
      <c r="S3412">
        <v>1</v>
      </c>
      <c r="T3412">
        <v>0</v>
      </c>
      <c r="U3412">
        <f>IF(AND(OR(Dashboard!$D$4="Semua",D3412=Dashboard!$D$4),OR(Dashboard!$H$4="Semua",E3412=Dashboard!$H$4)),1,0)</f>
        <v>1</v>
      </c>
      <c r="V3412">
        <f>IF(U3412=1,IF(COUNTIFS($C$2:C3412,C3412,$U$2:U3412,1)=1,1,0),0)</f>
        <v>0</v>
      </c>
    </row>
    <row r="3413" spans="1:22" x14ac:dyDescent="0.35">
      <c r="A3413">
        <v>13412</v>
      </c>
      <c r="B3413" s="1">
        <v>47973</v>
      </c>
      <c r="C3413">
        <v>1064</v>
      </c>
      <c r="D3413" t="s">
        <v>67</v>
      </c>
      <c r="E3413" t="s">
        <v>74</v>
      </c>
      <c r="F3413">
        <v>3</v>
      </c>
      <c r="G3413" s="2">
        <v>428.5</v>
      </c>
      <c r="H3413">
        <v>0.18</v>
      </c>
      <c r="I3413" t="s">
        <v>68</v>
      </c>
      <c r="J3413">
        <v>11</v>
      </c>
      <c r="K3413">
        <v>4</v>
      </c>
      <c r="L3413" s="2">
        <v>1054.1099999999999</v>
      </c>
      <c r="M3413">
        <v>2031</v>
      </c>
      <c r="N3413">
        <v>5</v>
      </c>
      <c r="O3413" t="s">
        <v>192</v>
      </c>
      <c r="P3413" s="2">
        <v>1285.5</v>
      </c>
      <c r="Q3413" s="2">
        <v>231.39</v>
      </c>
      <c r="R3413" t="s">
        <v>76</v>
      </c>
      <c r="S3413">
        <v>1</v>
      </c>
      <c r="T3413">
        <v>0</v>
      </c>
      <c r="U3413">
        <f>IF(AND(OR(Dashboard!$D$4="Semua",D3413=Dashboard!$D$4),OR(Dashboard!$H$4="Semua",E3413=Dashboard!$H$4)),1,0)</f>
        <v>1</v>
      </c>
      <c r="V3413">
        <f>IF(U3413=1,IF(COUNTIFS($C$2:C3413,C3413,$U$2:U3413,1)=1,1,0),0)</f>
        <v>0</v>
      </c>
    </row>
    <row r="3414" spans="1:22" x14ac:dyDescent="0.35">
      <c r="A3414">
        <v>13413</v>
      </c>
      <c r="B3414" s="1">
        <v>47974</v>
      </c>
      <c r="C3414">
        <v>1012</v>
      </c>
      <c r="D3414" t="s">
        <v>73</v>
      </c>
      <c r="E3414" t="s">
        <v>78</v>
      </c>
      <c r="F3414">
        <v>5</v>
      </c>
      <c r="G3414" s="2">
        <v>563.41999999999996</v>
      </c>
      <c r="H3414">
        <v>0.32</v>
      </c>
      <c r="I3414" t="s">
        <v>68</v>
      </c>
      <c r="J3414">
        <v>11</v>
      </c>
      <c r="K3414">
        <v>4.9000000000000004</v>
      </c>
      <c r="L3414" s="2">
        <v>1915.63</v>
      </c>
      <c r="M3414">
        <v>2031</v>
      </c>
      <c r="N3414">
        <v>5</v>
      </c>
      <c r="O3414" t="s">
        <v>192</v>
      </c>
      <c r="P3414" s="2">
        <v>2817.1</v>
      </c>
      <c r="Q3414" s="2">
        <v>901.47</v>
      </c>
      <c r="R3414" t="s">
        <v>72</v>
      </c>
      <c r="S3414">
        <v>1</v>
      </c>
      <c r="T3414">
        <v>0</v>
      </c>
      <c r="U3414">
        <f>IF(AND(OR(Dashboard!$D$4="Semua",D3414=Dashboard!$D$4),OR(Dashboard!$H$4="Semua",E3414=Dashboard!$H$4)),1,0)</f>
        <v>1</v>
      </c>
      <c r="V3414">
        <f>IF(U3414=1,IF(COUNTIFS($C$2:C3414,C3414,$U$2:U3414,1)=1,1,0),0)</f>
        <v>0</v>
      </c>
    </row>
    <row r="3415" spans="1:22" x14ac:dyDescent="0.35">
      <c r="A3415">
        <v>13414</v>
      </c>
      <c r="B3415" s="1">
        <v>47975</v>
      </c>
      <c r="C3415">
        <v>1212</v>
      </c>
      <c r="D3415" t="s">
        <v>62</v>
      </c>
      <c r="E3415" t="s">
        <v>74</v>
      </c>
      <c r="F3415">
        <v>2</v>
      </c>
      <c r="G3415" s="2">
        <v>124.36</v>
      </c>
      <c r="H3415">
        <v>0.14000000000000001</v>
      </c>
      <c r="I3415" t="s">
        <v>71</v>
      </c>
      <c r="J3415">
        <v>4</v>
      </c>
      <c r="K3415">
        <v>3.6</v>
      </c>
      <c r="L3415" s="2">
        <v>213.9</v>
      </c>
      <c r="M3415">
        <v>2031</v>
      </c>
      <c r="N3415">
        <v>5</v>
      </c>
      <c r="O3415" t="s">
        <v>192</v>
      </c>
      <c r="P3415" s="2">
        <v>248.72</v>
      </c>
      <c r="Q3415" s="2">
        <v>34.82</v>
      </c>
      <c r="R3415" t="s">
        <v>79</v>
      </c>
      <c r="S3415">
        <v>1</v>
      </c>
      <c r="T3415">
        <v>0</v>
      </c>
      <c r="U3415">
        <f>IF(AND(OR(Dashboard!$D$4="Semua",D3415=Dashboard!$D$4),OR(Dashboard!$H$4="Semua",E3415=Dashboard!$H$4)),1,0)</f>
        <v>1</v>
      </c>
      <c r="V3415">
        <f>IF(U3415=1,IF(COUNTIFS($C$2:C3415,C3415,$U$2:U3415,1)=1,1,0),0)</f>
        <v>0</v>
      </c>
    </row>
    <row r="3416" spans="1:22" x14ac:dyDescent="0.35">
      <c r="A3416">
        <v>13415</v>
      </c>
      <c r="B3416" s="1">
        <v>47976</v>
      </c>
      <c r="C3416">
        <v>1985</v>
      </c>
      <c r="D3416" t="s">
        <v>73</v>
      </c>
      <c r="E3416" t="s">
        <v>74</v>
      </c>
      <c r="F3416">
        <v>2</v>
      </c>
      <c r="G3416" s="2">
        <v>387.61</v>
      </c>
      <c r="H3416">
        <v>0.08</v>
      </c>
      <c r="I3416" t="s">
        <v>68</v>
      </c>
      <c r="J3416">
        <v>8</v>
      </c>
      <c r="K3416">
        <v>2.1</v>
      </c>
      <c r="L3416" s="2">
        <v>713.2</v>
      </c>
      <c r="M3416">
        <v>2031</v>
      </c>
      <c r="N3416">
        <v>5</v>
      </c>
      <c r="O3416" t="s">
        <v>192</v>
      </c>
      <c r="P3416" s="2">
        <v>775.22</v>
      </c>
      <c r="Q3416" s="2">
        <v>62.02</v>
      </c>
      <c r="R3416" t="s">
        <v>69</v>
      </c>
      <c r="S3416">
        <v>1</v>
      </c>
      <c r="T3416">
        <v>0</v>
      </c>
      <c r="U3416">
        <f>IF(AND(OR(Dashboard!$D$4="Semua",D3416=Dashboard!$D$4),OR(Dashboard!$H$4="Semua",E3416=Dashboard!$H$4)),1,0)</f>
        <v>1</v>
      </c>
      <c r="V3416">
        <f>IF(U3416=1,IF(COUNTIFS($C$2:C3416,C3416,$U$2:U3416,1)=1,1,0),0)</f>
        <v>0</v>
      </c>
    </row>
    <row r="3417" spans="1:22" x14ac:dyDescent="0.35">
      <c r="A3417">
        <v>13416</v>
      </c>
      <c r="B3417" s="1">
        <v>47977</v>
      </c>
      <c r="C3417">
        <v>1241</v>
      </c>
      <c r="D3417" t="s">
        <v>73</v>
      </c>
      <c r="E3417" t="s">
        <v>74</v>
      </c>
      <c r="F3417">
        <v>6</v>
      </c>
      <c r="G3417" s="2">
        <v>451.68</v>
      </c>
      <c r="H3417">
        <v>0.08</v>
      </c>
      <c r="I3417" t="s">
        <v>68</v>
      </c>
      <c r="J3417">
        <v>10</v>
      </c>
      <c r="K3417">
        <v>2.1</v>
      </c>
      <c r="L3417" s="2">
        <v>2493.27</v>
      </c>
      <c r="M3417">
        <v>2031</v>
      </c>
      <c r="N3417">
        <v>5</v>
      </c>
      <c r="O3417" t="s">
        <v>192</v>
      </c>
      <c r="P3417" s="2">
        <v>2710.08</v>
      </c>
      <c r="Q3417" s="2">
        <v>216.81</v>
      </c>
      <c r="R3417" t="s">
        <v>69</v>
      </c>
      <c r="S3417">
        <v>1</v>
      </c>
      <c r="T3417">
        <v>0</v>
      </c>
      <c r="U3417">
        <f>IF(AND(OR(Dashboard!$D$4="Semua",D3417=Dashboard!$D$4),OR(Dashboard!$H$4="Semua",E3417=Dashboard!$H$4)),1,0)</f>
        <v>1</v>
      </c>
      <c r="V3417">
        <f>IF(U3417=1,IF(COUNTIFS($C$2:C3417,C3417,$U$2:U3417,1)=1,1,0),0)</f>
        <v>0</v>
      </c>
    </row>
    <row r="3418" spans="1:22" x14ac:dyDescent="0.35">
      <c r="A3418">
        <v>13417</v>
      </c>
      <c r="B3418" s="1">
        <v>47978</v>
      </c>
      <c r="C3418">
        <v>1492</v>
      </c>
      <c r="D3418" t="s">
        <v>73</v>
      </c>
      <c r="E3418" t="s">
        <v>74</v>
      </c>
      <c r="F3418">
        <v>6</v>
      </c>
      <c r="G3418" s="2">
        <v>557.65</v>
      </c>
      <c r="H3418">
        <v>0.23</v>
      </c>
      <c r="I3418" t="s">
        <v>68</v>
      </c>
      <c r="J3418">
        <v>7</v>
      </c>
      <c r="K3418">
        <v>4.7</v>
      </c>
      <c r="L3418" s="2">
        <v>2576.34</v>
      </c>
      <c r="M3418">
        <v>2031</v>
      </c>
      <c r="N3418">
        <v>5</v>
      </c>
      <c r="O3418" t="s">
        <v>192</v>
      </c>
      <c r="P3418" s="2">
        <v>3345.9</v>
      </c>
      <c r="Q3418" s="2">
        <v>769.56</v>
      </c>
      <c r="R3418" t="s">
        <v>77</v>
      </c>
      <c r="S3418">
        <v>1</v>
      </c>
      <c r="T3418">
        <v>0</v>
      </c>
      <c r="U3418">
        <f>IF(AND(OR(Dashboard!$D$4="Semua",D3418=Dashboard!$D$4),OR(Dashboard!$H$4="Semua",E3418=Dashboard!$H$4)),1,0)</f>
        <v>1</v>
      </c>
      <c r="V3418">
        <f>IF(U3418=1,IF(COUNTIFS($C$2:C3418,C3418,$U$2:U3418,1)=1,1,0),0)</f>
        <v>0</v>
      </c>
    </row>
    <row r="3419" spans="1:22" x14ac:dyDescent="0.35">
      <c r="A3419">
        <v>13418</v>
      </c>
      <c r="B3419" s="1">
        <v>47979</v>
      </c>
      <c r="C3419">
        <v>1212</v>
      </c>
      <c r="D3419" t="s">
        <v>67</v>
      </c>
      <c r="E3419" t="s">
        <v>78</v>
      </c>
      <c r="F3419">
        <v>7</v>
      </c>
      <c r="G3419" s="2">
        <v>393.41</v>
      </c>
      <c r="H3419">
        <v>0.18</v>
      </c>
      <c r="I3419" t="s">
        <v>71</v>
      </c>
      <c r="J3419">
        <v>7</v>
      </c>
      <c r="K3419">
        <v>2.2000000000000002</v>
      </c>
      <c r="L3419" s="2">
        <v>2258.17</v>
      </c>
      <c r="M3419">
        <v>2031</v>
      </c>
      <c r="N3419">
        <v>5</v>
      </c>
      <c r="O3419" t="s">
        <v>192</v>
      </c>
      <c r="P3419" s="2">
        <v>2753.87</v>
      </c>
      <c r="Q3419" s="2">
        <v>495.7</v>
      </c>
      <c r="R3419" t="s">
        <v>76</v>
      </c>
      <c r="S3419">
        <v>1</v>
      </c>
      <c r="T3419">
        <v>0</v>
      </c>
      <c r="U3419">
        <f>IF(AND(OR(Dashboard!$D$4="Semua",D3419=Dashboard!$D$4),OR(Dashboard!$H$4="Semua",E3419=Dashboard!$H$4)),1,0)</f>
        <v>1</v>
      </c>
      <c r="V3419">
        <f>IF(U3419=1,IF(COUNTIFS($C$2:C3419,C3419,$U$2:U3419,1)=1,1,0),0)</f>
        <v>0</v>
      </c>
    </row>
    <row r="3420" spans="1:22" x14ac:dyDescent="0.35">
      <c r="A3420">
        <v>13419</v>
      </c>
      <c r="B3420" s="1">
        <v>47980</v>
      </c>
      <c r="C3420">
        <v>1692</v>
      </c>
      <c r="D3420" t="s">
        <v>62</v>
      </c>
      <c r="E3420" t="s">
        <v>70</v>
      </c>
      <c r="F3420">
        <v>2</v>
      </c>
      <c r="G3420" s="2">
        <v>582.62</v>
      </c>
      <c r="H3420">
        <v>0.23</v>
      </c>
      <c r="I3420" t="s">
        <v>64</v>
      </c>
      <c r="J3420">
        <v>9</v>
      </c>
      <c r="K3420">
        <v>4.0999999999999996</v>
      </c>
      <c r="L3420" s="2">
        <v>897.23</v>
      </c>
      <c r="M3420">
        <v>2031</v>
      </c>
      <c r="N3420">
        <v>5</v>
      </c>
      <c r="O3420" t="s">
        <v>192</v>
      </c>
      <c r="P3420" s="2">
        <v>1165.24</v>
      </c>
      <c r="Q3420" s="2">
        <v>268.01</v>
      </c>
      <c r="R3420" t="s">
        <v>77</v>
      </c>
      <c r="S3420">
        <v>1</v>
      </c>
      <c r="T3420">
        <v>0</v>
      </c>
      <c r="U3420">
        <f>IF(AND(OR(Dashboard!$D$4="Semua",D3420=Dashboard!$D$4),OR(Dashboard!$H$4="Semua",E3420=Dashboard!$H$4)),1,0)</f>
        <v>1</v>
      </c>
      <c r="V3420">
        <f>IF(U3420=1,IF(COUNTIFS($C$2:C3420,C3420,$U$2:U3420,1)=1,1,0),0)</f>
        <v>0</v>
      </c>
    </row>
    <row r="3421" spans="1:22" x14ac:dyDescent="0.35">
      <c r="A3421">
        <v>13420</v>
      </c>
      <c r="B3421" s="1">
        <v>47981</v>
      </c>
      <c r="C3421">
        <v>1337</v>
      </c>
      <c r="D3421" t="s">
        <v>80</v>
      </c>
      <c r="E3421" t="s">
        <v>74</v>
      </c>
      <c r="F3421">
        <v>7</v>
      </c>
      <c r="G3421" s="2">
        <v>216.63</v>
      </c>
      <c r="H3421">
        <v>0.24</v>
      </c>
      <c r="I3421" t="s">
        <v>64</v>
      </c>
      <c r="J3421">
        <v>10</v>
      </c>
      <c r="K3421">
        <v>3.6</v>
      </c>
      <c r="L3421" s="2">
        <v>1152.47</v>
      </c>
      <c r="M3421">
        <v>2031</v>
      </c>
      <c r="N3421">
        <v>5</v>
      </c>
      <c r="O3421" t="s">
        <v>192</v>
      </c>
      <c r="P3421" s="2">
        <v>1516.41</v>
      </c>
      <c r="Q3421" s="2">
        <v>363.94</v>
      </c>
      <c r="R3421" t="s">
        <v>77</v>
      </c>
      <c r="S3421">
        <v>1</v>
      </c>
      <c r="T3421">
        <v>0</v>
      </c>
      <c r="U3421">
        <f>IF(AND(OR(Dashboard!$D$4="Semua",D3421=Dashboard!$D$4),OR(Dashboard!$H$4="Semua",E3421=Dashboard!$H$4)),1,0)</f>
        <v>1</v>
      </c>
      <c r="V3421">
        <f>IF(U3421=1,IF(COUNTIFS($C$2:C3421,C3421,$U$2:U3421,1)=1,1,0),0)</f>
        <v>0</v>
      </c>
    </row>
    <row r="3422" spans="1:22" x14ac:dyDescent="0.35">
      <c r="A3422">
        <v>13421</v>
      </c>
      <c r="B3422" s="1">
        <v>47982</v>
      </c>
      <c r="C3422">
        <v>1996</v>
      </c>
      <c r="D3422" t="s">
        <v>80</v>
      </c>
      <c r="E3422" t="s">
        <v>63</v>
      </c>
      <c r="F3422">
        <v>5</v>
      </c>
      <c r="G3422" s="2">
        <v>219.71</v>
      </c>
      <c r="H3422">
        <v>0.01</v>
      </c>
      <c r="I3422" t="s">
        <v>68</v>
      </c>
      <c r="J3422">
        <v>2</v>
      </c>
      <c r="K3422">
        <v>3.4</v>
      </c>
      <c r="L3422" s="2">
        <v>1087.56</v>
      </c>
      <c r="M3422">
        <v>2031</v>
      </c>
      <c r="N3422">
        <v>5</v>
      </c>
      <c r="O3422" t="s">
        <v>192</v>
      </c>
      <c r="P3422" s="2">
        <v>1098.55</v>
      </c>
      <c r="Q3422" s="2">
        <v>10.99</v>
      </c>
      <c r="R3422" t="s">
        <v>75</v>
      </c>
      <c r="S3422">
        <v>1</v>
      </c>
      <c r="T3422">
        <v>0</v>
      </c>
      <c r="U3422">
        <f>IF(AND(OR(Dashboard!$D$4="Semua",D3422=Dashboard!$D$4),OR(Dashboard!$H$4="Semua",E3422=Dashboard!$H$4)),1,0)</f>
        <v>1</v>
      </c>
      <c r="V3422">
        <f>IF(U3422=1,IF(COUNTIFS($C$2:C3422,C3422,$U$2:U3422,1)=1,1,0),0)</f>
        <v>0</v>
      </c>
    </row>
    <row r="3423" spans="1:22" x14ac:dyDescent="0.35">
      <c r="A3423">
        <v>13422</v>
      </c>
      <c r="B3423" s="1">
        <v>47983</v>
      </c>
      <c r="C3423">
        <v>1172</v>
      </c>
      <c r="D3423" t="s">
        <v>73</v>
      </c>
      <c r="E3423" t="s">
        <v>74</v>
      </c>
      <c r="F3423">
        <v>5</v>
      </c>
      <c r="G3423" s="2">
        <v>332.66</v>
      </c>
      <c r="H3423">
        <v>0.02</v>
      </c>
      <c r="I3423" t="s">
        <v>71</v>
      </c>
      <c r="J3423">
        <v>5</v>
      </c>
      <c r="K3423">
        <v>1.7</v>
      </c>
      <c r="L3423" s="2">
        <v>1630.03</v>
      </c>
      <c r="M3423">
        <v>2031</v>
      </c>
      <c r="N3423">
        <v>5</v>
      </c>
      <c r="O3423" t="s">
        <v>192</v>
      </c>
      <c r="P3423" s="2">
        <v>1663.3</v>
      </c>
      <c r="Q3423" s="2">
        <v>33.270000000000003</v>
      </c>
      <c r="R3423" t="s">
        <v>75</v>
      </c>
      <c r="S3423">
        <v>1</v>
      </c>
      <c r="T3423">
        <v>0</v>
      </c>
      <c r="U3423">
        <f>IF(AND(OR(Dashboard!$D$4="Semua",D3423=Dashboard!$D$4),OR(Dashboard!$H$4="Semua",E3423=Dashboard!$H$4)),1,0)</f>
        <v>1</v>
      </c>
      <c r="V3423">
        <f>IF(U3423=1,IF(COUNTIFS($C$2:C3423,C3423,$U$2:U3423,1)=1,1,0),0)</f>
        <v>0</v>
      </c>
    </row>
    <row r="3424" spans="1:22" x14ac:dyDescent="0.35">
      <c r="A3424">
        <v>13423</v>
      </c>
      <c r="B3424" s="1">
        <v>47984</v>
      </c>
      <c r="C3424">
        <v>1671</v>
      </c>
      <c r="D3424" t="s">
        <v>67</v>
      </c>
      <c r="E3424" t="s">
        <v>78</v>
      </c>
      <c r="F3424">
        <v>4</v>
      </c>
      <c r="G3424" s="2">
        <v>239.35</v>
      </c>
      <c r="H3424">
        <v>0.19</v>
      </c>
      <c r="I3424" t="s">
        <v>64</v>
      </c>
      <c r="J3424">
        <v>3</v>
      </c>
      <c r="K3424">
        <v>1.1000000000000001</v>
      </c>
      <c r="L3424" s="2">
        <v>775.49</v>
      </c>
      <c r="M3424">
        <v>2031</v>
      </c>
      <c r="N3424">
        <v>5</v>
      </c>
      <c r="O3424" t="s">
        <v>192</v>
      </c>
      <c r="P3424" s="2">
        <v>957.4</v>
      </c>
      <c r="Q3424" s="2">
        <v>181.91</v>
      </c>
      <c r="R3424" t="s">
        <v>76</v>
      </c>
      <c r="S3424">
        <v>1</v>
      </c>
      <c r="T3424">
        <v>0</v>
      </c>
      <c r="U3424">
        <f>IF(AND(OR(Dashboard!$D$4="Semua",D3424=Dashboard!$D$4),OR(Dashboard!$H$4="Semua",E3424=Dashboard!$H$4)),1,0)</f>
        <v>1</v>
      </c>
      <c r="V3424">
        <f>IF(U3424=1,IF(COUNTIFS($C$2:C3424,C3424,$U$2:U3424,1)=1,1,0),0)</f>
        <v>0</v>
      </c>
    </row>
    <row r="3425" spans="1:22" x14ac:dyDescent="0.35">
      <c r="A3425">
        <v>13424</v>
      </c>
      <c r="B3425" s="1">
        <v>47985</v>
      </c>
      <c r="C3425">
        <v>1163</v>
      </c>
      <c r="D3425" t="s">
        <v>67</v>
      </c>
      <c r="E3425" t="s">
        <v>74</v>
      </c>
      <c r="F3425">
        <v>3</v>
      </c>
      <c r="G3425" s="2">
        <v>15.83</v>
      </c>
      <c r="H3425">
        <v>7.0000000000000007E-2</v>
      </c>
      <c r="I3425" t="s">
        <v>68</v>
      </c>
      <c r="J3425">
        <v>7</v>
      </c>
      <c r="K3425">
        <v>3</v>
      </c>
      <c r="L3425" s="2">
        <v>44.17</v>
      </c>
      <c r="M3425">
        <v>2031</v>
      </c>
      <c r="N3425">
        <v>5</v>
      </c>
      <c r="O3425" t="s">
        <v>192</v>
      </c>
      <c r="P3425" s="2">
        <v>47.49</v>
      </c>
      <c r="Q3425" s="2">
        <v>3.32</v>
      </c>
      <c r="R3425" t="s">
        <v>69</v>
      </c>
      <c r="S3425">
        <v>1</v>
      </c>
      <c r="T3425">
        <v>0</v>
      </c>
      <c r="U3425">
        <f>IF(AND(OR(Dashboard!$D$4="Semua",D3425=Dashboard!$D$4),OR(Dashboard!$H$4="Semua",E3425=Dashboard!$H$4)),1,0)</f>
        <v>1</v>
      </c>
      <c r="V3425">
        <f>IF(U3425=1,IF(COUNTIFS($C$2:C3425,C3425,$U$2:U3425,1)=1,1,0),0)</f>
        <v>0</v>
      </c>
    </row>
    <row r="3426" spans="1:22" x14ac:dyDescent="0.35">
      <c r="A3426">
        <v>13425</v>
      </c>
      <c r="B3426" s="1">
        <v>47986</v>
      </c>
      <c r="C3426">
        <v>1464</v>
      </c>
      <c r="D3426" t="s">
        <v>67</v>
      </c>
      <c r="E3426" t="s">
        <v>63</v>
      </c>
      <c r="F3426">
        <v>6</v>
      </c>
      <c r="G3426" s="2">
        <v>443.09</v>
      </c>
      <c r="H3426">
        <v>0.22</v>
      </c>
      <c r="I3426" t="s">
        <v>64</v>
      </c>
      <c r="J3426">
        <v>3</v>
      </c>
      <c r="K3426">
        <v>5</v>
      </c>
      <c r="L3426" s="2">
        <v>2073.66</v>
      </c>
      <c r="M3426">
        <v>2031</v>
      </c>
      <c r="N3426">
        <v>5</v>
      </c>
      <c r="O3426" t="s">
        <v>192</v>
      </c>
      <c r="P3426" s="2">
        <v>2658.54</v>
      </c>
      <c r="Q3426" s="2">
        <v>584.88</v>
      </c>
      <c r="R3426" t="s">
        <v>77</v>
      </c>
      <c r="S3426">
        <v>1</v>
      </c>
      <c r="T3426">
        <v>0</v>
      </c>
      <c r="U3426">
        <f>IF(AND(OR(Dashboard!$D$4="Semua",D3426=Dashboard!$D$4),OR(Dashboard!$H$4="Semua",E3426=Dashboard!$H$4)),1,0)</f>
        <v>1</v>
      </c>
      <c r="V3426">
        <f>IF(U3426=1,IF(COUNTIFS($C$2:C3426,C3426,$U$2:U3426,1)=1,1,0),0)</f>
        <v>1</v>
      </c>
    </row>
    <row r="3427" spans="1:22" x14ac:dyDescent="0.35">
      <c r="A3427">
        <v>13426</v>
      </c>
      <c r="B3427" s="1">
        <v>47987</v>
      </c>
      <c r="C3427">
        <v>1994</v>
      </c>
      <c r="D3427" t="s">
        <v>73</v>
      </c>
      <c r="E3427" t="s">
        <v>78</v>
      </c>
      <c r="F3427">
        <v>3</v>
      </c>
      <c r="G3427" s="2">
        <v>454.75</v>
      </c>
      <c r="H3427">
        <v>0.19</v>
      </c>
      <c r="I3427" t="s">
        <v>64</v>
      </c>
      <c r="J3427">
        <v>5</v>
      </c>
      <c r="K3427">
        <v>1.8</v>
      </c>
      <c r="L3427" s="2">
        <v>1105.04</v>
      </c>
      <c r="M3427">
        <v>2031</v>
      </c>
      <c r="N3427">
        <v>5</v>
      </c>
      <c r="O3427" t="s">
        <v>192</v>
      </c>
      <c r="P3427" s="2">
        <v>1364.25</v>
      </c>
      <c r="Q3427" s="2">
        <v>259.20999999999998</v>
      </c>
      <c r="R3427" t="s">
        <v>76</v>
      </c>
      <c r="S3427">
        <v>1</v>
      </c>
      <c r="T3427">
        <v>0</v>
      </c>
      <c r="U3427">
        <f>IF(AND(OR(Dashboard!$D$4="Semua",D3427=Dashboard!$D$4),OR(Dashboard!$H$4="Semua",E3427=Dashboard!$H$4)),1,0)</f>
        <v>1</v>
      </c>
      <c r="V3427">
        <f>IF(U3427=1,IF(COUNTIFS($C$2:C3427,C3427,$U$2:U3427,1)=1,1,0),0)</f>
        <v>0</v>
      </c>
    </row>
    <row r="3428" spans="1:22" x14ac:dyDescent="0.35">
      <c r="A3428">
        <v>13427</v>
      </c>
      <c r="B3428" s="1">
        <v>47988</v>
      </c>
      <c r="C3428">
        <v>1496</v>
      </c>
      <c r="D3428" t="s">
        <v>80</v>
      </c>
      <c r="E3428" t="s">
        <v>74</v>
      </c>
      <c r="F3428">
        <v>6</v>
      </c>
      <c r="G3428" s="2">
        <v>451.98</v>
      </c>
      <c r="H3428">
        <v>0.21</v>
      </c>
      <c r="I3428" t="s">
        <v>68</v>
      </c>
      <c r="J3428">
        <v>5</v>
      </c>
      <c r="K3428">
        <v>3.1</v>
      </c>
      <c r="L3428" s="2">
        <v>2142.39</v>
      </c>
      <c r="M3428">
        <v>2031</v>
      </c>
      <c r="N3428">
        <v>5</v>
      </c>
      <c r="O3428" t="s">
        <v>192</v>
      </c>
      <c r="P3428" s="2">
        <v>2711.88</v>
      </c>
      <c r="Q3428" s="2">
        <v>569.49</v>
      </c>
      <c r="R3428" t="s">
        <v>77</v>
      </c>
      <c r="S3428">
        <v>1</v>
      </c>
      <c r="T3428">
        <v>0</v>
      </c>
      <c r="U3428">
        <f>IF(AND(OR(Dashboard!$D$4="Semua",D3428=Dashboard!$D$4),OR(Dashboard!$H$4="Semua",E3428=Dashboard!$H$4)),1,0)</f>
        <v>1</v>
      </c>
      <c r="V3428">
        <f>IF(U3428=1,IF(COUNTIFS($C$2:C3428,C3428,$U$2:U3428,1)=1,1,0),0)</f>
        <v>0</v>
      </c>
    </row>
    <row r="3429" spans="1:22" x14ac:dyDescent="0.35">
      <c r="A3429">
        <v>13428</v>
      </c>
      <c r="B3429" s="1">
        <v>47989</v>
      </c>
      <c r="C3429">
        <v>1699</v>
      </c>
      <c r="D3429" t="s">
        <v>67</v>
      </c>
      <c r="E3429" t="s">
        <v>63</v>
      </c>
      <c r="F3429">
        <v>4</v>
      </c>
      <c r="G3429" s="2">
        <v>216.84</v>
      </c>
      <c r="H3429">
        <v>0.11</v>
      </c>
      <c r="I3429" t="s">
        <v>68</v>
      </c>
      <c r="J3429">
        <v>2</v>
      </c>
      <c r="K3429">
        <v>3.7</v>
      </c>
      <c r="L3429" s="2">
        <v>771.95</v>
      </c>
      <c r="M3429">
        <v>2031</v>
      </c>
      <c r="N3429">
        <v>5</v>
      </c>
      <c r="O3429" t="s">
        <v>192</v>
      </c>
      <c r="P3429" s="2">
        <v>867.36</v>
      </c>
      <c r="Q3429" s="2">
        <v>95.41</v>
      </c>
      <c r="R3429" t="s">
        <v>79</v>
      </c>
      <c r="S3429">
        <v>1</v>
      </c>
      <c r="T3429">
        <v>0</v>
      </c>
      <c r="U3429">
        <f>IF(AND(OR(Dashboard!$D$4="Semua",D3429=Dashboard!$D$4),OR(Dashboard!$H$4="Semua",E3429=Dashboard!$H$4)),1,0)</f>
        <v>1</v>
      </c>
      <c r="V3429">
        <f>IF(U3429=1,IF(COUNTIFS($C$2:C3429,C3429,$U$2:U3429,1)=1,1,0),0)</f>
        <v>0</v>
      </c>
    </row>
    <row r="3430" spans="1:22" x14ac:dyDescent="0.35">
      <c r="A3430">
        <v>13429</v>
      </c>
      <c r="B3430" s="1">
        <v>47990</v>
      </c>
      <c r="C3430">
        <v>1394</v>
      </c>
      <c r="D3430" t="s">
        <v>80</v>
      </c>
      <c r="E3430" t="s">
        <v>78</v>
      </c>
      <c r="F3430">
        <v>2</v>
      </c>
      <c r="G3430" s="2">
        <v>320.54000000000002</v>
      </c>
      <c r="H3430">
        <v>0.22</v>
      </c>
      <c r="I3430" t="s">
        <v>68</v>
      </c>
      <c r="J3430">
        <v>11</v>
      </c>
      <c r="K3430">
        <v>2.9</v>
      </c>
      <c r="L3430" s="2">
        <v>500.04</v>
      </c>
      <c r="M3430">
        <v>2031</v>
      </c>
      <c r="N3430">
        <v>5</v>
      </c>
      <c r="O3430" t="s">
        <v>192</v>
      </c>
      <c r="P3430" s="2">
        <v>641.08000000000004</v>
      </c>
      <c r="Q3430" s="2">
        <v>141.04</v>
      </c>
      <c r="R3430" t="s">
        <v>77</v>
      </c>
      <c r="S3430">
        <v>1</v>
      </c>
      <c r="T3430">
        <v>0</v>
      </c>
      <c r="U3430">
        <f>IF(AND(OR(Dashboard!$D$4="Semua",D3430=Dashboard!$D$4),OR(Dashboard!$H$4="Semua",E3430=Dashboard!$H$4)),1,0)</f>
        <v>1</v>
      </c>
      <c r="V3430">
        <f>IF(U3430=1,IF(COUNTIFS($C$2:C3430,C3430,$U$2:U3430,1)=1,1,0),0)</f>
        <v>0</v>
      </c>
    </row>
    <row r="3431" spans="1:22" x14ac:dyDescent="0.35">
      <c r="A3431">
        <v>13430</v>
      </c>
      <c r="B3431" s="1">
        <v>47991</v>
      </c>
      <c r="C3431">
        <v>1702</v>
      </c>
      <c r="D3431" t="s">
        <v>67</v>
      </c>
      <c r="E3431" t="s">
        <v>74</v>
      </c>
      <c r="F3431">
        <v>7</v>
      </c>
      <c r="G3431" s="2">
        <v>225.58</v>
      </c>
      <c r="H3431">
        <v>0.28999999999999998</v>
      </c>
      <c r="I3431" t="s">
        <v>68</v>
      </c>
      <c r="J3431">
        <v>1</v>
      </c>
      <c r="K3431">
        <v>3</v>
      </c>
      <c r="L3431" s="2">
        <v>1121.1300000000001</v>
      </c>
      <c r="M3431">
        <v>2031</v>
      </c>
      <c r="N3431">
        <v>5</v>
      </c>
      <c r="O3431" t="s">
        <v>192</v>
      </c>
      <c r="P3431" s="2">
        <v>1579.06</v>
      </c>
      <c r="Q3431" s="2">
        <v>457.93</v>
      </c>
      <c r="R3431" t="s">
        <v>66</v>
      </c>
      <c r="S3431">
        <v>1</v>
      </c>
      <c r="T3431">
        <v>0</v>
      </c>
      <c r="U3431">
        <f>IF(AND(OR(Dashboard!$D$4="Semua",D3431=Dashboard!$D$4),OR(Dashboard!$H$4="Semua",E3431=Dashboard!$H$4)),1,0)</f>
        <v>1</v>
      </c>
      <c r="V3431">
        <f>IF(U3431=1,IF(COUNTIFS($C$2:C3431,C3431,$U$2:U3431,1)=1,1,0),0)</f>
        <v>0</v>
      </c>
    </row>
    <row r="3432" spans="1:22" x14ac:dyDescent="0.35">
      <c r="A3432">
        <v>13431</v>
      </c>
      <c r="B3432" s="1">
        <v>47992</v>
      </c>
      <c r="C3432">
        <v>1916</v>
      </c>
      <c r="D3432" t="s">
        <v>73</v>
      </c>
      <c r="E3432" t="s">
        <v>63</v>
      </c>
      <c r="F3432">
        <v>3</v>
      </c>
      <c r="G3432" s="2">
        <v>24.38</v>
      </c>
      <c r="H3432">
        <v>0.35</v>
      </c>
      <c r="I3432" t="s">
        <v>64</v>
      </c>
      <c r="J3432">
        <v>6</v>
      </c>
      <c r="K3432">
        <v>3.6</v>
      </c>
      <c r="L3432" s="2">
        <v>47.54</v>
      </c>
      <c r="M3432">
        <v>2031</v>
      </c>
      <c r="N3432">
        <v>5</v>
      </c>
      <c r="O3432" t="s">
        <v>192</v>
      </c>
      <c r="P3432" s="2">
        <v>73.14</v>
      </c>
      <c r="Q3432" s="2">
        <v>25.6</v>
      </c>
      <c r="R3432" t="s">
        <v>72</v>
      </c>
      <c r="S3432">
        <v>1</v>
      </c>
      <c r="T3432">
        <v>0</v>
      </c>
      <c r="U3432">
        <f>IF(AND(OR(Dashboard!$D$4="Semua",D3432=Dashboard!$D$4),OR(Dashboard!$H$4="Semua",E3432=Dashboard!$H$4)),1,0)</f>
        <v>1</v>
      </c>
      <c r="V3432">
        <f>IF(U3432=1,IF(COUNTIFS($C$2:C3432,C3432,$U$2:U3432,1)=1,1,0),0)</f>
        <v>0</v>
      </c>
    </row>
    <row r="3433" spans="1:22" x14ac:dyDescent="0.35">
      <c r="A3433">
        <v>13432</v>
      </c>
      <c r="B3433" s="1">
        <v>47993</v>
      </c>
      <c r="C3433">
        <v>1307</v>
      </c>
      <c r="D3433" t="s">
        <v>67</v>
      </c>
      <c r="E3433" t="s">
        <v>78</v>
      </c>
      <c r="F3433">
        <v>6</v>
      </c>
      <c r="G3433" s="2">
        <v>344.03</v>
      </c>
      <c r="H3433">
        <v>0.28999999999999998</v>
      </c>
      <c r="I3433" t="s">
        <v>64</v>
      </c>
      <c r="J3433">
        <v>1</v>
      </c>
      <c r="K3433">
        <v>4.3</v>
      </c>
      <c r="L3433" s="2">
        <v>1465.57</v>
      </c>
      <c r="M3433">
        <v>2031</v>
      </c>
      <c r="N3433">
        <v>5</v>
      </c>
      <c r="O3433" t="s">
        <v>192</v>
      </c>
      <c r="P3433" s="2">
        <v>2064.1799999999998</v>
      </c>
      <c r="Q3433" s="2">
        <v>598.61</v>
      </c>
      <c r="R3433" t="s">
        <v>66</v>
      </c>
      <c r="S3433">
        <v>1</v>
      </c>
      <c r="T3433">
        <v>0</v>
      </c>
      <c r="U3433">
        <f>IF(AND(OR(Dashboard!$D$4="Semua",D3433=Dashboard!$D$4),OR(Dashboard!$H$4="Semua",E3433=Dashboard!$H$4)),1,0)</f>
        <v>1</v>
      </c>
      <c r="V3433">
        <f>IF(U3433=1,IF(COUNTIFS($C$2:C3433,C3433,$U$2:U3433,1)=1,1,0),0)</f>
        <v>0</v>
      </c>
    </row>
    <row r="3434" spans="1:22" x14ac:dyDescent="0.35">
      <c r="A3434">
        <v>13433</v>
      </c>
      <c r="B3434" s="1">
        <v>47994</v>
      </c>
      <c r="C3434">
        <v>1767</v>
      </c>
      <c r="D3434" t="s">
        <v>73</v>
      </c>
      <c r="E3434" t="s">
        <v>74</v>
      </c>
      <c r="F3434">
        <v>3</v>
      </c>
      <c r="G3434" s="2">
        <v>87.4</v>
      </c>
      <c r="H3434">
        <v>0.2</v>
      </c>
      <c r="I3434" t="s">
        <v>68</v>
      </c>
      <c r="J3434">
        <v>9</v>
      </c>
      <c r="K3434">
        <v>2.2999999999999998</v>
      </c>
      <c r="L3434" s="2">
        <v>209.76</v>
      </c>
      <c r="M3434">
        <v>2031</v>
      </c>
      <c r="N3434">
        <v>5</v>
      </c>
      <c r="O3434" t="s">
        <v>192</v>
      </c>
      <c r="P3434" s="2">
        <v>262.2</v>
      </c>
      <c r="Q3434" s="2">
        <v>52.44</v>
      </c>
      <c r="R3434" t="s">
        <v>76</v>
      </c>
      <c r="S3434">
        <v>1</v>
      </c>
      <c r="T3434">
        <v>0</v>
      </c>
      <c r="U3434">
        <f>IF(AND(OR(Dashboard!$D$4="Semua",D3434=Dashboard!$D$4),OR(Dashboard!$H$4="Semua",E3434=Dashboard!$H$4)),1,0)</f>
        <v>1</v>
      </c>
      <c r="V3434">
        <f>IF(U3434=1,IF(COUNTIFS($C$2:C3434,C3434,$U$2:U3434,1)=1,1,0),0)</f>
        <v>0</v>
      </c>
    </row>
    <row r="3435" spans="1:22" x14ac:dyDescent="0.35">
      <c r="A3435">
        <v>13434</v>
      </c>
      <c r="B3435" s="1">
        <v>47995</v>
      </c>
      <c r="C3435">
        <v>1182</v>
      </c>
      <c r="D3435" t="s">
        <v>62</v>
      </c>
      <c r="E3435" t="s">
        <v>78</v>
      </c>
      <c r="F3435">
        <v>2</v>
      </c>
      <c r="G3435" s="2">
        <v>61.82</v>
      </c>
      <c r="H3435">
        <v>7.0000000000000007E-2</v>
      </c>
      <c r="I3435" t="s">
        <v>71</v>
      </c>
      <c r="J3435">
        <v>10</v>
      </c>
      <c r="K3435">
        <v>4.5999999999999996</v>
      </c>
      <c r="L3435" s="2">
        <v>114.99</v>
      </c>
      <c r="M3435">
        <v>2031</v>
      </c>
      <c r="N3435">
        <v>5</v>
      </c>
      <c r="O3435" t="s">
        <v>192</v>
      </c>
      <c r="P3435" s="2">
        <v>123.64</v>
      </c>
      <c r="Q3435" s="2">
        <v>8.65</v>
      </c>
      <c r="R3435" t="s">
        <v>69</v>
      </c>
      <c r="S3435">
        <v>1</v>
      </c>
      <c r="T3435">
        <v>0</v>
      </c>
      <c r="U3435">
        <f>IF(AND(OR(Dashboard!$D$4="Semua",D3435=Dashboard!$D$4),OR(Dashboard!$H$4="Semua",E3435=Dashboard!$H$4)),1,0)</f>
        <v>1</v>
      </c>
      <c r="V3435">
        <f>IF(U3435=1,IF(COUNTIFS($C$2:C3435,C3435,$U$2:U3435,1)=1,1,0),0)</f>
        <v>0</v>
      </c>
    </row>
    <row r="3436" spans="1:22" x14ac:dyDescent="0.35">
      <c r="A3436">
        <v>13435</v>
      </c>
      <c r="B3436" s="1">
        <v>47996</v>
      </c>
      <c r="C3436">
        <v>1628</v>
      </c>
      <c r="D3436" t="s">
        <v>67</v>
      </c>
      <c r="E3436" t="s">
        <v>63</v>
      </c>
      <c r="F3436">
        <v>7</v>
      </c>
      <c r="G3436" s="2">
        <v>456.97</v>
      </c>
      <c r="H3436">
        <v>0.24</v>
      </c>
      <c r="I3436" t="s">
        <v>71</v>
      </c>
      <c r="J3436">
        <v>5</v>
      </c>
      <c r="K3436">
        <v>2.9</v>
      </c>
      <c r="L3436" s="2">
        <v>2431.08</v>
      </c>
      <c r="M3436">
        <v>2031</v>
      </c>
      <c r="N3436">
        <v>5</v>
      </c>
      <c r="O3436" t="s">
        <v>192</v>
      </c>
      <c r="P3436" s="2">
        <v>3198.79</v>
      </c>
      <c r="Q3436" s="2">
        <v>767.71</v>
      </c>
      <c r="R3436" t="s">
        <v>77</v>
      </c>
      <c r="S3436">
        <v>1</v>
      </c>
      <c r="T3436">
        <v>0</v>
      </c>
      <c r="U3436">
        <f>IF(AND(OR(Dashboard!$D$4="Semua",D3436=Dashboard!$D$4),OR(Dashboard!$H$4="Semua",E3436=Dashboard!$H$4)),1,0)</f>
        <v>1</v>
      </c>
      <c r="V3436">
        <f>IF(U3436=1,IF(COUNTIFS($C$2:C3436,C3436,$U$2:U3436,1)=1,1,0),0)</f>
        <v>0</v>
      </c>
    </row>
    <row r="3437" spans="1:22" x14ac:dyDescent="0.35">
      <c r="A3437">
        <v>13436</v>
      </c>
      <c r="B3437" s="1">
        <v>47997</v>
      </c>
      <c r="C3437">
        <v>1793</v>
      </c>
      <c r="D3437" t="s">
        <v>73</v>
      </c>
      <c r="E3437" t="s">
        <v>74</v>
      </c>
      <c r="F3437">
        <v>1</v>
      </c>
      <c r="G3437" s="2">
        <v>20.56</v>
      </c>
      <c r="H3437">
        <v>0.33</v>
      </c>
      <c r="I3437" t="s">
        <v>68</v>
      </c>
      <c r="J3437">
        <v>1</v>
      </c>
      <c r="K3437">
        <v>3.6</v>
      </c>
      <c r="L3437" s="2">
        <v>13.78</v>
      </c>
      <c r="M3437">
        <v>2031</v>
      </c>
      <c r="N3437">
        <v>5</v>
      </c>
      <c r="O3437" t="s">
        <v>192</v>
      </c>
      <c r="P3437" s="2">
        <v>20.56</v>
      </c>
      <c r="Q3437" s="2">
        <v>6.78</v>
      </c>
      <c r="R3437" t="s">
        <v>72</v>
      </c>
      <c r="S3437">
        <v>1</v>
      </c>
      <c r="T3437">
        <v>0</v>
      </c>
      <c r="U3437">
        <f>IF(AND(OR(Dashboard!$D$4="Semua",D3437=Dashboard!$D$4),OR(Dashboard!$H$4="Semua",E3437=Dashboard!$H$4)),1,0)</f>
        <v>1</v>
      </c>
      <c r="V3437">
        <f>IF(U3437=1,IF(COUNTIFS($C$2:C3437,C3437,$U$2:U3437,1)=1,1,0),0)</f>
        <v>0</v>
      </c>
    </row>
    <row r="3438" spans="1:22" x14ac:dyDescent="0.35">
      <c r="A3438">
        <v>13437</v>
      </c>
      <c r="B3438" s="1">
        <v>47998</v>
      </c>
      <c r="C3438">
        <v>1509</v>
      </c>
      <c r="D3438" t="s">
        <v>62</v>
      </c>
      <c r="E3438" t="s">
        <v>74</v>
      </c>
      <c r="F3438">
        <v>6</v>
      </c>
      <c r="G3438" s="2">
        <v>576.02</v>
      </c>
      <c r="H3438">
        <v>7.0000000000000007E-2</v>
      </c>
      <c r="I3438" t="s">
        <v>71</v>
      </c>
      <c r="J3438">
        <v>8</v>
      </c>
      <c r="K3438">
        <v>1.4</v>
      </c>
      <c r="L3438" s="2">
        <v>3214.19</v>
      </c>
      <c r="M3438">
        <v>2031</v>
      </c>
      <c r="N3438">
        <v>5</v>
      </c>
      <c r="O3438" t="s">
        <v>192</v>
      </c>
      <c r="P3438" s="2">
        <v>3456.12</v>
      </c>
      <c r="Q3438" s="2">
        <v>241.93</v>
      </c>
      <c r="R3438" t="s">
        <v>69</v>
      </c>
      <c r="S3438">
        <v>1</v>
      </c>
      <c r="T3438">
        <v>0</v>
      </c>
      <c r="U3438">
        <f>IF(AND(OR(Dashboard!$D$4="Semua",D3438=Dashboard!$D$4),OR(Dashboard!$H$4="Semua",E3438=Dashboard!$H$4)),1,0)</f>
        <v>1</v>
      </c>
      <c r="V3438">
        <f>IF(U3438=1,IF(COUNTIFS($C$2:C3438,C3438,$U$2:U3438,1)=1,1,0),0)</f>
        <v>0</v>
      </c>
    </row>
    <row r="3439" spans="1:22" x14ac:dyDescent="0.35">
      <c r="A3439">
        <v>13438</v>
      </c>
      <c r="B3439" s="1">
        <v>47999</v>
      </c>
      <c r="C3439">
        <v>1707</v>
      </c>
      <c r="D3439" t="s">
        <v>67</v>
      </c>
      <c r="E3439" t="s">
        <v>74</v>
      </c>
      <c r="F3439">
        <v>1</v>
      </c>
      <c r="G3439" s="2">
        <v>316.42</v>
      </c>
      <c r="H3439">
        <v>0.09</v>
      </c>
      <c r="I3439" t="s">
        <v>64</v>
      </c>
      <c r="J3439">
        <v>1</v>
      </c>
      <c r="K3439">
        <v>3</v>
      </c>
      <c r="L3439" s="2">
        <v>287.94</v>
      </c>
      <c r="M3439">
        <v>2031</v>
      </c>
      <c r="N3439">
        <v>5</v>
      </c>
      <c r="O3439" t="s">
        <v>192</v>
      </c>
      <c r="P3439" s="2">
        <v>316.42</v>
      </c>
      <c r="Q3439" s="2">
        <v>28.48</v>
      </c>
      <c r="R3439" t="s">
        <v>69</v>
      </c>
      <c r="S3439">
        <v>1</v>
      </c>
      <c r="T3439">
        <v>0</v>
      </c>
      <c r="U3439">
        <f>IF(AND(OR(Dashboard!$D$4="Semua",D3439=Dashboard!$D$4),OR(Dashboard!$H$4="Semua",E3439=Dashboard!$H$4)),1,0)</f>
        <v>1</v>
      </c>
      <c r="V3439">
        <f>IF(U3439=1,IF(COUNTIFS($C$2:C3439,C3439,$U$2:U3439,1)=1,1,0),0)</f>
        <v>0</v>
      </c>
    </row>
    <row r="3440" spans="1:22" x14ac:dyDescent="0.35">
      <c r="A3440">
        <v>13439</v>
      </c>
      <c r="B3440" s="1">
        <v>48000</v>
      </c>
      <c r="C3440">
        <v>1545</v>
      </c>
      <c r="D3440" t="s">
        <v>73</v>
      </c>
      <c r="E3440" t="s">
        <v>63</v>
      </c>
      <c r="F3440">
        <v>4</v>
      </c>
      <c r="G3440" s="2">
        <v>590.05999999999995</v>
      </c>
      <c r="H3440">
        <v>0.05</v>
      </c>
      <c r="I3440" t="s">
        <v>68</v>
      </c>
      <c r="J3440">
        <v>4</v>
      </c>
      <c r="K3440">
        <v>1.1000000000000001</v>
      </c>
      <c r="L3440" s="2">
        <v>2242.23</v>
      </c>
      <c r="M3440">
        <v>2031</v>
      </c>
      <c r="N3440">
        <v>6</v>
      </c>
      <c r="O3440" t="s">
        <v>193</v>
      </c>
      <c r="P3440" s="2">
        <v>2360.2399999999998</v>
      </c>
      <c r="Q3440" s="2">
        <v>118.01</v>
      </c>
      <c r="R3440" t="s">
        <v>75</v>
      </c>
      <c r="S3440">
        <v>1</v>
      </c>
      <c r="T3440">
        <v>0</v>
      </c>
      <c r="U3440">
        <f>IF(AND(OR(Dashboard!$D$4="Semua",D3440=Dashboard!$D$4),OR(Dashboard!$H$4="Semua",E3440=Dashboard!$H$4)),1,0)</f>
        <v>1</v>
      </c>
      <c r="V3440">
        <f>IF(U3440=1,IF(COUNTIFS($C$2:C3440,C3440,$U$2:U3440,1)=1,1,0),0)</f>
        <v>0</v>
      </c>
    </row>
    <row r="3441" spans="1:22" x14ac:dyDescent="0.35">
      <c r="A3441">
        <v>13440</v>
      </c>
      <c r="B3441" s="1">
        <v>48001</v>
      </c>
      <c r="C3441">
        <v>1563</v>
      </c>
      <c r="D3441" t="s">
        <v>67</v>
      </c>
      <c r="E3441" t="s">
        <v>70</v>
      </c>
      <c r="F3441">
        <v>7</v>
      </c>
      <c r="G3441" s="2">
        <v>48.93</v>
      </c>
      <c r="H3441">
        <v>0.26</v>
      </c>
      <c r="I3441" t="s">
        <v>68</v>
      </c>
      <c r="J3441">
        <v>7</v>
      </c>
      <c r="K3441">
        <v>2.6</v>
      </c>
      <c r="L3441" s="2">
        <v>253.46</v>
      </c>
      <c r="M3441">
        <v>2031</v>
      </c>
      <c r="N3441">
        <v>6</v>
      </c>
      <c r="O3441" t="s">
        <v>193</v>
      </c>
      <c r="P3441" s="2">
        <v>342.51</v>
      </c>
      <c r="Q3441" s="2">
        <v>89.05</v>
      </c>
      <c r="R3441" t="s">
        <v>66</v>
      </c>
      <c r="S3441">
        <v>1</v>
      </c>
      <c r="T3441">
        <v>0</v>
      </c>
      <c r="U3441">
        <f>IF(AND(OR(Dashboard!$D$4="Semua",D3441=Dashboard!$D$4),OR(Dashboard!$H$4="Semua",E3441=Dashboard!$H$4)),1,0)</f>
        <v>1</v>
      </c>
      <c r="V3441">
        <f>IF(U3441=1,IF(COUNTIFS($C$2:C3441,C3441,$U$2:U3441,1)=1,1,0),0)</f>
        <v>0</v>
      </c>
    </row>
    <row r="3442" spans="1:22" x14ac:dyDescent="0.35">
      <c r="A3442">
        <v>13441</v>
      </c>
      <c r="B3442" s="1">
        <v>48002</v>
      </c>
      <c r="C3442">
        <v>1623</v>
      </c>
      <c r="D3442" t="s">
        <v>73</v>
      </c>
      <c r="E3442" t="s">
        <v>74</v>
      </c>
      <c r="F3442">
        <v>5</v>
      </c>
      <c r="G3442" s="2">
        <v>356.36</v>
      </c>
      <c r="H3442">
        <v>0.14000000000000001</v>
      </c>
      <c r="I3442" t="s">
        <v>68</v>
      </c>
      <c r="J3442">
        <v>4</v>
      </c>
      <c r="K3442">
        <v>1.2</v>
      </c>
      <c r="L3442" s="2">
        <v>1532.35</v>
      </c>
      <c r="M3442">
        <v>2031</v>
      </c>
      <c r="N3442">
        <v>6</v>
      </c>
      <c r="O3442" t="s">
        <v>193</v>
      </c>
      <c r="P3442" s="2">
        <v>1781.8</v>
      </c>
      <c r="Q3442" s="2">
        <v>249.45</v>
      </c>
      <c r="R3442" t="s">
        <v>79</v>
      </c>
      <c r="S3442">
        <v>1</v>
      </c>
      <c r="T3442">
        <v>0</v>
      </c>
      <c r="U3442">
        <f>IF(AND(OR(Dashboard!$D$4="Semua",D3442=Dashboard!$D$4),OR(Dashboard!$H$4="Semua",E3442=Dashboard!$H$4)),1,0)</f>
        <v>1</v>
      </c>
      <c r="V3442">
        <f>IF(U3442=1,IF(COUNTIFS($C$2:C3442,C3442,$U$2:U3442,1)=1,1,0),0)</f>
        <v>0</v>
      </c>
    </row>
    <row r="3443" spans="1:22" x14ac:dyDescent="0.35">
      <c r="A3443">
        <v>13442</v>
      </c>
      <c r="B3443" s="1">
        <v>48003</v>
      </c>
      <c r="C3443">
        <v>1763</v>
      </c>
      <c r="D3443" t="s">
        <v>80</v>
      </c>
      <c r="E3443" t="s">
        <v>63</v>
      </c>
      <c r="F3443">
        <v>3</v>
      </c>
      <c r="G3443" s="2">
        <v>219.36</v>
      </c>
      <c r="H3443">
        <v>0.02</v>
      </c>
      <c r="I3443" t="s">
        <v>68</v>
      </c>
      <c r="J3443">
        <v>5</v>
      </c>
      <c r="K3443">
        <v>4.5999999999999996</v>
      </c>
      <c r="L3443" s="2">
        <v>644.91999999999996</v>
      </c>
      <c r="M3443">
        <v>2031</v>
      </c>
      <c r="N3443">
        <v>6</v>
      </c>
      <c r="O3443" t="s">
        <v>193</v>
      </c>
      <c r="P3443" s="2">
        <v>658.08</v>
      </c>
      <c r="Q3443" s="2">
        <v>13.16</v>
      </c>
      <c r="R3443" t="s">
        <v>75</v>
      </c>
      <c r="S3443">
        <v>1</v>
      </c>
      <c r="T3443">
        <v>0</v>
      </c>
      <c r="U3443">
        <f>IF(AND(OR(Dashboard!$D$4="Semua",D3443=Dashboard!$D$4),OR(Dashboard!$H$4="Semua",E3443=Dashboard!$H$4)),1,0)</f>
        <v>1</v>
      </c>
      <c r="V3443">
        <f>IF(U3443=1,IF(COUNTIFS($C$2:C3443,C3443,$U$2:U3443,1)=1,1,0),0)</f>
        <v>0</v>
      </c>
    </row>
    <row r="3444" spans="1:22" x14ac:dyDescent="0.35">
      <c r="A3444">
        <v>13443</v>
      </c>
      <c r="B3444" s="1">
        <v>48004</v>
      </c>
      <c r="C3444">
        <v>1593</v>
      </c>
      <c r="D3444" t="s">
        <v>80</v>
      </c>
      <c r="E3444" t="s">
        <v>78</v>
      </c>
      <c r="F3444">
        <v>6</v>
      </c>
      <c r="G3444" s="2">
        <v>508.44</v>
      </c>
      <c r="H3444">
        <v>0.31</v>
      </c>
      <c r="I3444" t="s">
        <v>68</v>
      </c>
      <c r="J3444">
        <v>7</v>
      </c>
      <c r="K3444">
        <v>3.7</v>
      </c>
      <c r="L3444" s="2">
        <v>2104.94</v>
      </c>
      <c r="M3444">
        <v>2031</v>
      </c>
      <c r="N3444">
        <v>6</v>
      </c>
      <c r="O3444" t="s">
        <v>193</v>
      </c>
      <c r="P3444" s="2">
        <v>3050.64</v>
      </c>
      <c r="Q3444" s="2">
        <v>945.7</v>
      </c>
      <c r="R3444" t="s">
        <v>72</v>
      </c>
      <c r="S3444">
        <v>1</v>
      </c>
      <c r="T3444">
        <v>0</v>
      </c>
      <c r="U3444">
        <f>IF(AND(OR(Dashboard!$D$4="Semua",D3444=Dashboard!$D$4),OR(Dashboard!$H$4="Semua",E3444=Dashboard!$H$4)),1,0)</f>
        <v>1</v>
      </c>
      <c r="V3444">
        <f>IF(U3444=1,IF(COUNTIFS($C$2:C3444,C3444,$U$2:U3444,1)=1,1,0),0)</f>
        <v>0</v>
      </c>
    </row>
    <row r="3445" spans="1:22" x14ac:dyDescent="0.35">
      <c r="A3445">
        <v>13444</v>
      </c>
      <c r="B3445" s="1">
        <v>48005</v>
      </c>
      <c r="C3445">
        <v>1743</v>
      </c>
      <c r="D3445" t="s">
        <v>62</v>
      </c>
      <c r="E3445" t="s">
        <v>78</v>
      </c>
      <c r="F3445">
        <v>3</v>
      </c>
      <c r="G3445" s="2">
        <v>226.32</v>
      </c>
      <c r="H3445">
        <v>0.2</v>
      </c>
      <c r="I3445" t="s">
        <v>68</v>
      </c>
      <c r="J3445">
        <v>4</v>
      </c>
      <c r="K3445">
        <v>4.2</v>
      </c>
      <c r="L3445" s="2">
        <v>543.16999999999996</v>
      </c>
      <c r="M3445">
        <v>2031</v>
      </c>
      <c r="N3445">
        <v>6</v>
      </c>
      <c r="O3445" t="s">
        <v>193</v>
      </c>
      <c r="P3445" s="2">
        <v>678.96</v>
      </c>
      <c r="Q3445" s="2">
        <v>135.79</v>
      </c>
      <c r="R3445" t="s">
        <v>76</v>
      </c>
      <c r="S3445">
        <v>1</v>
      </c>
      <c r="T3445">
        <v>0</v>
      </c>
      <c r="U3445">
        <f>IF(AND(OR(Dashboard!$D$4="Semua",D3445=Dashboard!$D$4),OR(Dashboard!$H$4="Semua",E3445=Dashboard!$H$4)),1,0)</f>
        <v>1</v>
      </c>
      <c r="V3445">
        <f>IF(U3445=1,IF(COUNTIFS($C$2:C3445,C3445,$U$2:U3445,1)=1,1,0),0)</f>
        <v>0</v>
      </c>
    </row>
    <row r="3446" spans="1:22" x14ac:dyDescent="0.35">
      <c r="A3446">
        <v>13445</v>
      </c>
      <c r="B3446" s="1">
        <v>48006</v>
      </c>
      <c r="C3446">
        <v>1226</v>
      </c>
      <c r="D3446" t="s">
        <v>67</v>
      </c>
      <c r="E3446" t="s">
        <v>63</v>
      </c>
      <c r="F3446">
        <v>4</v>
      </c>
      <c r="G3446" s="2">
        <v>167.39</v>
      </c>
      <c r="H3446">
        <v>0.12</v>
      </c>
      <c r="I3446" t="s">
        <v>71</v>
      </c>
      <c r="J3446">
        <v>5</v>
      </c>
      <c r="K3446">
        <v>2.9</v>
      </c>
      <c r="L3446" s="2">
        <v>589.21</v>
      </c>
      <c r="M3446">
        <v>2031</v>
      </c>
      <c r="N3446">
        <v>6</v>
      </c>
      <c r="O3446" t="s">
        <v>193</v>
      </c>
      <c r="P3446" s="2">
        <v>669.56</v>
      </c>
      <c r="Q3446" s="2">
        <v>80.349999999999994</v>
      </c>
      <c r="R3446" t="s">
        <v>79</v>
      </c>
      <c r="S3446">
        <v>1</v>
      </c>
      <c r="T3446">
        <v>0</v>
      </c>
      <c r="U3446">
        <f>IF(AND(OR(Dashboard!$D$4="Semua",D3446=Dashboard!$D$4),OR(Dashboard!$H$4="Semua",E3446=Dashboard!$H$4)),1,0)</f>
        <v>1</v>
      </c>
      <c r="V3446">
        <f>IF(U3446=1,IF(COUNTIFS($C$2:C3446,C3446,$U$2:U3446,1)=1,1,0),0)</f>
        <v>0</v>
      </c>
    </row>
    <row r="3447" spans="1:22" x14ac:dyDescent="0.35">
      <c r="A3447">
        <v>13446</v>
      </c>
      <c r="B3447" s="1">
        <v>48007</v>
      </c>
      <c r="C3447">
        <v>1744</v>
      </c>
      <c r="D3447" t="s">
        <v>67</v>
      </c>
      <c r="E3447" t="s">
        <v>70</v>
      </c>
      <c r="F3447">
        <v>4</v>
      </c>
      <c r="G3447" s="2">
        <v>516.66999999999996</v>
      </c>
      <c r="H3447">
        <v>0.12</v>
      </c>
      <c r="I3447" t="s">
        <v>71</v>
      </c>
      <c r="J3447">
        <v>7</v>
      </c>
      <c r="K3447">
        <v>4.4000000000000004</v>
      </c>
      <c r="L3447" s="2">
        <v>1818.68</v>
      </c>
      <c r="M3447">
        <v>2031</v>
      </c>
      <c r="N3447">
        <v>6</v>
      </c>
      <c r="O3447" t="s">
        <v>193</v>
      </c>
      <c r="P3447" s="2">
        <v>2066.6799999999998</v>
      </c>
      <c r="Q3447" s="2">
        <v>248</v>
      </c>
      <c r="R3447" t="s">
        <v>79</v>
      </c>
      <c r="S3447">
        <v>1</v>
      </c>
      <c r="T3447">
        <v>0</v>
      </c>
      <c r="U3447">
        <f>IF(AND(OR(Dashboard!$D$4="Semua",D3447=Dashboard!$D$4),OR(Dashboard!$H$4="Semua",E3447=Dashboard!$H$4)),1,0)</f>
        <v>1</v>
      </c>
      <c r="V3447">
        <f>IF(U3447=1,IF(COUNTIFS($C$2:C3447,C3447,$U$2:U3447,1)=1,1,0),0)</f>
        <v>0</v>
      </c>
    </row>
    <row r="3448" spans="1:22" x14ac:dyDescent="0.35">
      <c r="A3448">
        <v>13447</v>
      </c>
      <c r="B3448" s="1">
        <v>48008</v>
      </c>
      <c r="C3448">
        <v>1732</v>
      </c>
      <c r="D3448" t="s">
        <v>80</v>
      </c>
      <c r="E3448" t="s">
        <v>63</v>
      </c>
      <c r="F3448">
        <v>3</v>
      </c>
      <c r="G3448" s="2">
        <v>234.17</v>
      </c>
      <c r="H3448">
        <v>0.1</v>
      </c>
      <c r="I3448" t="s">
        <v>68</v>
      </c>
      <c r="J3448">
        <v>1</v>
      </c>
      <c r="K3448">
        <v>4.5</v>
      </c>
      <c r="L3448" s="2">
        <v>632.26</v>
      </c>
      <c r="M3448">
        <v>2031</v>
      </c>
      <c r="N3448">
        <v>6</v>
      </c>
      <c r="O3448" t="s">
        <v>193</v>
      </c>
      <c r="P3448" s="2">
        <v>702.51</v>
      </c>
      <c r="Q3448" s="2">
        <v>70.25</v>
      </c>
      <c r="R3448" t="s">
        <v>69</v>
      </c>
      <c r="S3448">
        <v>1</v>
      </c>
      <c r="T3448">
        <v>0</v>
      </c>
      <c r="U3448">
        <f>IF(AND(OR(Dashboard!$D$4="Semua",D3448=Dashboard!$D$4),OR(Dashboard!$H$4="Semua",E3448=Dashboard!$H$4)),1,0)</f>
        <v>1</v>
      </c>
      <c r="V3448">
        <f>IF(U3448=1,IF(COUNTIFS($C$2:C3448,C3448,$U$2:U3448,1)=1,1,0),0)</f>
        <v>0</v>
      </c>
    </row>
    <row r="3449" spans="1:22" x14ac:dyDescent="0.35">
      <c r="A3449">
        <v>13448</v>
      </c>
      <c r="B3449" s="1">
        <v>48009</v>
      </c>
      <c r="C3449">
        <v>1435</v>
      </c>
      <c r="D3449" t="s">
        <v>73</v>
      </c>
      <c r="E3449" t="s">
        <v>78</v>
      </c>
      <c r="F3449">
        <v>6</v>
      </c>
      <c r="G3449" s="2">
        <v>24.85</v>
      </c>
      <c r="H3449">
        <v>0.16</v>
      </c>
      <c r="I3449" t="s">
        <v>68</v>
      </c>
      <c r="J3449">
        <v>3</v>
      </c>
      <c r="K3449">
        <v>2.4</v>
      </c>
      <c r="L3449" s="2">
        <v>125.24</v>
      </c>
      <c r="M3449">
        <v>2031</v>
      </c>
      <c r="N3449">
        <v>6</v>
      </c>
      <c r="O3449" t="s">
        <v>193</v>
      </c>
      <c r="P3449" s="2">
        <v>149.1</v>
      </c>
      <c r="Q3449" s="2">
        <v>23.86</v>
      </c>
      <c r="R3449" t="s">
        <v>76</v>
      </c>
      <c r="S3449">
        <v>1</v>
      </c>
      <c r="T3449">
        <v>0</v>
      </c>
      <c r="U3449">
        <f>IF(AND(OR(Dashboard!$D$4="Semua",D3449=Dashboard!$D$4),OR(Dashboard!$H$4="Semua",E3449=Dashboard!$H$4)),1,0)</f>
        <v>1</v>
      </c>
      <c r="V3449">
        <f>IF(U3449=1,IF(COUNTIFS($C$2:C3449,C3449,$U$2:U3449,1)=1,1,0),0)</f>
        <v>0</v>
      </c>
    </row>
    <row r="3450" spans="1:22" x14ac:dyDescent="0.35">
      <c r="A3450">
        <v>13449</v>
      </c>
      <c r="B3450" s="1">
        <v>48010</v>
      </c>
      <c r="C3450">
        <v>1924</v>
      </c>
      <c r="D3450" t="s">
        <v>67</v>
      </c>
      <c r="E3450" t="s">
        <v>78</v>
      </c>
      <c r="F3450">
        <v>7</v>
      </c>
      <c r="G3450" s="2">
        <v>243.32</v>
      </c>
      <c r="H3450">
        <v>0.12</v>
      </c>
      <c r="I3450" t="s">
        <v>64</v>
      </c>
      <c r="J3450">
        <v>1</v>
      </c>
      <c r="K3450">
        <v>2.5</v>
      </c>
      <c r="L3450" s="2">
        <v>1498.85</v>
      </c>
      <c r="M3450">
        <v>2031</v>
      </c>
      <c r="N3450">
        <v>6</v>
      </c>
      <c r="O3450" t="s">
        <v>193</v>
      </c>
      <c r="P3450" s="2">
        <v>1703.24</v>
      </c>
      <c r="Q3450" s="2">
        <v>204.39</v>
      </c>
      <c r="R3450" t="s">
        <v>79</v>
      </c>
      <c r="S3450">
        <v>1</v>
      </c>
      <c r="T3450">
        <v>0</v>
      </c>
      <c r="U3450">
        <f>IF(AND(OR(Dashboard!$D$4="Semua",D3450=Dashboard!$D$4),OR(Dashboard!$H$4="Semua",E3450=Dashboard!$H$4)),1,0)</f>
        <v>1</v>
      </c>
      <c r="V3450">
        <f>IF(U3450=1,IF(COUNTIFS($C$2:C3450,C3450,$U$2:U3450,1)=1,1,0),0)</f>
        <v>0</v>
      </c>
    </row>
    <row r="3451" spans="1:22" x14ac:dyDescent="0.35">
      <c r="A3451">
        <v>13450</v>
      </c>
      <c r="B3451" s="1">
        <v>48011</v>
      </c>
      <c r="C3451">
        <v>1421</v>
      </c>
      <c r="D3451" t="s">
        <v>67</v>
      </c>
      <c r="E3451" t="s">
        <v>74</v>
      </c>
      <c r="F3451">
        <v>2</v>
      </c>
      <c r="G3451" s="2">
        <v>397.9</v>
      </c>
      <c r="H3451">
        <v>0.19</v>
      </c>
      <c r="I3451" t="s">
        <v>64</v>
      </c>
      <c r="J3451">
        <v>3</v>
      </c>
      <c r="K3451">
        <v>3</v>
      </c>
      <c r="L3451" s="2">
        <v>644.6</v>
      </c>
      <c r="M3451">
        <v>2031</v>
      </c>
      <c r="N3451">
        <v>6</v>
      </c>
      <c r="O3451" t="s">
        <v>193</v>
      </c>
      <c r="P3451" s="2">
        <v>795.8</v>
      </c>
      <c r="Q3451" s="2">
        <v>151.19999999999999</v>
      </c>
      <c r="R3451" t="s">
        <v>76</v>
      </c>
      <c r="S3451">
        <v>1</v>
      </c>
      <c r="T3451">
        <v>0</v>
      </c>
      <c r="U3451">
        <f>IF(AND(OR(Dashboard!$D$4="Semua",D3451=Dashboard!$D$4),OR(Dashboard!$H$4="Semua",E3451=Dashboard!$H$4)),1,0)</f>
        <v>1</v>
      </c>
      <c r="V3451">
        <f>IF(U3451=1,IF(COUNTIFS($C$2:C3451,C3451,$U$2:U3451,1)=1,1,0),0)</f>
        <v>0</v>
      </c>
    </row>
    <row r="3452" spans="1:22" x14ac:dyDescent="0.35">
      <c r="A3452">
        <v>13451</v>
      </c>
      <c r="B3452" s="1">
        <v>48012</v>
      </c>
      <c r="C3452">
        <v>1553</v>
      </c>
      <c r="D3452" t="s">
        <v>73</v>
      </c>
      <c r="E3452" t="s">
        <v>70</v>
      </c>
      <c r="F3452">
        <v>7</v>
      </c>
      <c r="G3452" s="2">
        <v>163.80000000000001</v>
      </c>
      <c r="H3452">
        <v>0.27</v>
      </c>
      <c r="I3452" t="s">
        <v>68</v>
      </c>
      <c r="J3452">
        <v>11</v>
      </c>
      <c r="K3452">
        <v>1.2</v>
      </c>
      <c r="L3452" s="2">
        <v>837.02</v>
      </c>
      <c r="M3452">
        <v>2031</v>
      </c>
      <c r="N3452">
        <v>6</v>
      </c>
      <c r="O3452" t="s">
        <v>193</v>
      </c>
      <c r="P3452" s="2">
        <v>1146.5999999999999</v>
      </c>
      <c r="Q3452" s="2">
        <v>309.58</v>
      </c>
      <c r="R3452" t="s">
        <v>66</v>
      </c>
      <c r="S3452">
        <v>1</v>
      </c>
      <c r="T3452">
        <v>0</v>
      </c>
      <c r="U3452">
        <f>IF(AND(OR(Dashboard!$D$4="Semua",D3452=Dashboard!$D$4),OR(Dashboard!$H$4="Semua",E3452=Dashboard!$H$4)),1,0)</f>
        <v>1</v>
      </c>
      <c r="V3452">
        <f>IF(U3452=1,IF(COUNTIFS($C$2:C3452,C3452,$U$2:U3452,1)=1,1,0),0)</f>
        <v>0</v>
      </c>
    </row>
    <row r="3453" spans="1:22" x14ac:dyDescent="0.35">
      <c r="A3453">
        <v>13452</v>
      </c>
      <c r="B3453" s="1">
        <v>48013</v>
      </c>
      <c r="C3453">
        <v>1020</v>
      </c>
      <c r="D3453" t="s">
        <v>67</v>
      </c>
      <c r="E3453" t="s">
        <v>63</v>
      </c>
      <c r="F3453">
        <v>2</v>
      </c>
      <c r="G3453" s="2">
        <v>267.70999999999998</v>
      </c>
      <c r="H3453">
        <v>0.24</v>
      </c>
      <c r="I3453" t="s">
        <v>68</v>
      </c>
      <c r="J3453">
        <v>2</v>
      </c>
      <c r="K3453">
        <v>5</v>
      </c>
      <c r="L3453" s="2">
        <v>406.92</v>
      </c>
      <c r="M3453">
        <v>2031</v>
      </c>
      <c r="N3453">
        <v>6</v>
      </c>
      <c r="O3453" t="s">
        <v>193</v>
      </c>
      <c r="P3453" s="2">
        <v>535.41999999999996</v>
      </c>
      <c r="Q3453" s="2">
        <v>128.5</v>
      </c>
      <c r="R3453" t="s">
        <v>77</v>
      </c>
      <c r="S3453">
        <v>1</v>
      </c>
      <c r="T3453">
        <v>0</v>
      </c>
      <c r="U3453">
        <f>IF(AND(OR(Dashboard!$D$4="Semua",D3453=Dashboard!$D$4),OR(Dashboard!$H$4="Semua",E3453=Dashboard!$H$4)),1,0)</f>
        <v>1</v>
      </c>
      <c r="V3453">
        <f>IF(U3453=1,IF(COUNTIFS($C$2:C3453,C3453,$U$2:U3453,1)=1,1,0),0)</f>
        <v>0</v>
      </c>
    </row>
    <row r="3454" spans="1:22" x14ac:dyDescent="0.35">
      <c r="A3454">
        <v>13453</v>
      </c>
      <c r="B3454" s="1">
        <v>48014</v>
      </c>
      <c r="C3454">
        <v>1553</v>
      </c>
      <c r="D3454" t="s">
        <v>62</v>
      </c>
      <c r="E3454" t="s">
        <v>78</v>
      </c>
      <c r="F3454">
        <v>5</v>
      </c>
      <c r="G3454" s="2">
        <v>48.18</v>
      </c>
      <c r="H3454">
        <v>0.1</v>
      </c>
      <c r="I3454" t="s">
        <v>64</v>
      </c>
      <c r="J3454">
        <v>5</v>
      </c>
      <c r="K3454">
        <v>2.4</v>
      </c>
      <c r="L3454" s="2">
        <v>216.81</v>
      </c>
      <c r="M3454">
        <v>2031</v>
      </c>
      <c r="N3454">
        <v>6</v>
      </c>
      <c r="O3454" t="s">
        <v>193</v>
      </c>
      <c r="P3454" s="2">
        <v>240.9</v>
      </c>
      <c r="Q3454" s="2">
        <v>24.09</v>
      </c>
      <c r="R3454" t="s">
        <v>69</v>
      </c>
      <c r="S3454">
        <v>1</v>
      </c>
      <c r="T3454">
        <v>0</v>
      </c>
      <c r="U3454">
        <f>IF(AND(OR(Dashboard!$D$4="Semua",D3454=Dashboard!$D$4),OR(Dashboard!$H$4="Semua",E3454=Dashboard!$H$4)),1,0)</f>
        <v>1</v>
      </c>
      <c r="V3454">
        <f>IF(U3454=1,IF(COUNTIFS($C$2:C3454,C3454,$U$2:U3454,1)=1,1,0),0)</f>
        <v>0</v>
      </c>
    </row>
    <row r="3455" spans="1:22" x14ac:dyDescent="0.35">
      <c r="A3455">
        <v>13454</v>
      </c>
      <c r="B3455" s="1">
        <v>48015</v>
      </c>
      <c r="C3455">
        <v>1396</v>
      </c>
      <c r="D3455" t="s">
        <v>62</v>
      </c>
      <c r="E3455" t="s">
        <v>78</v>
      </c>
      <c r="F3455">
        <v>7</v>
      </c>
      <c r="G3455" s="2">
        <v>359.03</v>
      </c>
      <c r="H3455">
        <v>0.19</v>
      </c>
      <c r="I3455" t="s">
        <v>68</v>
      </c>
      <c r="J3455">
        <v>10</v>
      </c>
      <c r="K3455">
        <v>2.9</v>
      </c>
      <c r="L3455" s="2">
        <v>2035.7</v>
      </c>
      <c r="M3455">
        <v>2031</v>
      </c>
      <c r="N3455">
        <v>6</v>
      </c>
      <c r="O3455" t="s">
        <v>193</v>
      </c>
      <c r="P3455" s="2">
        <v>2513.21</v>
      </c>
      <c r="Q3455" s="2">
        <v>477.51</v>
      </c>
      <c r="R3455" t="s">
        <v>76</v>
      </c>
      <c r="S3455">
        <v>1</v>
      </c>
      <c r="T3455">
        <v>0</v>
      </c>
      <c r="U3455">
        <f>IF(AND(OR(Dashboard!$D$4="Semua",D3455=Dashboard!$D$4),OR(Dashboard!$H$4="Semua",E3455=Dashboard!$H$4)),1,0)</f>
        <v>1</v>
      </c>
      <c r="V3455">
        <f>IF(U3455=1,IF(COUNTIFS($C$2:C3455,C3455,$U$2:U3455,1)=1,1,0),0)</f>
        <v>0</v>
      </c>
    </row>
    <row r="3456" spans="1:22" x14ac:dyDescent="0.35">
      <c r="A3456">
        <v>13455</v>
      </c>
      <c r="B3456" s="1">
        <v>48016</v>
      </c>
      <c r="C3456">
        <v>1624</v>
      </c>
      <c r="D3456" t="s">
        <v>73</v>
      </c>
      <c r="E3456" t="s">
        <v>78</v>
      </c>
      <c r="F3456">
        <v>3</v>
      </c>
      <c r="G3456" s="2">
        <v>457.43</v>
      </c>
      <c r="H3456">
        <v>0.28999999999999998</v>
      </c>
      <c r="I3456" t="s">
        <v>68</v>
      </c>
      <c r="J3456">
        <v>5</v>
      </c>
      <c r="K3456">
        <v>4</v>
      </c>
      <c r="L3456" s="2">
        <v>974.33</v>
      </c>
      <c r="M3456">
        <v>2031</v>
      </c>
      <c r="N3456">
        <v>6</v>
      </c>
      <c r="O3456" t="s">
        <v>193</v>
      </c>
      <c r="P3456" s="2">
        <v>1372.29</v>
      </c>
      <c r="Q3456" s="2">
        <v>397.96</v>
      </c>
      <c r="R3456" t="s">
        <v>66</v>
      </c>
      <c r="S3456">
        <v>1</v>
      </c>
      <c r="T3456">
        <v>0</v>
      </c>
      <c r="U3456">
        <f>IF(AND(OR(Dashboard!$D$4="Semua",D3456=Dashboard!$D$4),OR(Dashboard!$H$4="Semua",E3456=Dashboard!$H$4)),1,0)</f>
        <v>1</v>
      </c>
      <c r="V3456">
        <f>IF(U3456=1,IF(COUNTIFS($C$2:C3456,C3456,$U$2:U3456,1)=1,1,0),0)</f>
        <v>0</v>
      </c>
    </row>
    <row r="3457" spans="1:22" x14ac:dyDescent="0.35">
      <c r="A3457">
        <v>13456</v>
      </c>
      <c r="B3457" s="1">
        <v>48017</v>
      </c>
      <c r="C3457">
        <v>1104</v>
      </c>
      <c r="D3457" t="s">
        <v>73</v>
      </c>
      <c r="E3457" t="s">
        <v>63</v>
      </c>
      <c r="F3457">
        <v>3</v>
      </c>
      <c r="G3457" s="2">
        <v>256.79000000000002</v>
      </c>
      <c r="H3457">
        <v>0.02</v>
      </c>
      <c r="I3457" t="s">
        <v>68</v>
      </c>
      <c r="J3457">
        <v>10</v>
      </c>
      <c r="K3457">
        <v>2.2000000000000002</v>
      </c>
      <c r="L3457" s="2">
        <v>754.96</v>
      </c>
      <c r="M3457">
        <v>2031</v>
      </c>
      <c r="N3457">
        <v>6</v>
      </c>
      <c r="O3457" t="s">
        <v>193</v>
      </c>
      <c r="P3457" s="2">
        <v>770.37</v>
      </c>
      <c r="Q3457" s="2">
        <v>15.41</v>
      </c>
      <c r="R3457" t="s">
        <v>75</v>
      </c>
      <c r="S3457">
        <v>1</v>
      </c>
      <c r="T3457">
        <v>0</v>
      </c>
      <c r="U3457">
        <f>IF(AND(OR(Dashboard!$D$4="Semua",D3457=Dashboard!$D$4),OR(Dashboard!$H$4="Semua",E3457=Dashboard!$H$4)),1,0)</f>
        <v>1</v>
      </c>
      <c r="V3457">
        <f>IF(U3457=1,IF(COUNTIFS($C$2:C3457,C3457,$U$2:U3457,1)=1,1,0),0)</f>
        <v>0</v>
      </c>
    </row>
    <row r="3458" spans="1:22" x14ac:dyDescent="0.35">
      <c r="A3458">
        <v>13457</v>
      </c>
      <c r="B3458" s="1">
        <v>48018</v>
      </c>
      <c r="C3458">
        <v>1191</v>
      </c>
      <c r="D3458" t="s">
        <v>73</v>
      </c>
      <c r="E3458" t="s">
        <v>63</v>
      </c>
      <c r="F3458">
        <v>6</v>
      </c>
      <c r="G3458" s="2">
        <v>260.83999999999997</v>
      </c>
      <c r="H3458">
        <v>0.03</v>
      </c>
      <c r="I3458" t="s">
        <v>68</v>
      </c>
      <c r="J3458">
        <v>9</v>
      </c>
      <c r="K3458">
        <v>1.8</v>
      </c>
      <c r="L3458" s="2">
        <v>1518.09</v>
      </c>
      <c r="M3458">
        <v>2031</v>
      </c>
      <c r="N3458">
        <v>6</v>
      </c>
      <c r="O3458" t="s">
        <v>193</v>
      </c>
      <c r="P3458" s="2">
        <v>1565.04</v>
      </c>
      <c r="Q3458" s="2">
        <v>46.95</v>
      </c>
      <c r="R3458" t="s">
        <v>75</v>
      </c>
      <c r="S3458">
        <v>1</v>
      </c>
      <c r="T3458">
        <v>0</v>
      </c>
      <c r="U3458">
        <f>IF(AND(OR(Dashboard!$D$4="Semua",D3458=Dashboard!$D$4),OR(Dashboard!$H$4="Semua",E3458=Dashboard!$H$4)),1,0)</f>
        <v>1</v>
      </c>
      <c r="V3458">
        <f>IF(U3458=1,IF(COUNTIFS($C$2:C3458,C3458,$U$2:U3458,1)=1,1,0),0)</f>
        <v>0</v>
      </c>
    </row>
    <row r="3459" spans="1:22" x14ac:dyDescent="0.35">
      <c r="A3459">
        <v>13458</v>
      </c>
      <c r="B3459" s="1">
        <v>48019</v>
      </c>
      <c r="C3459">
        <v>1016</v>
      </c>
      <c r="D3459" t="s">
        <v>62</v>
      </c>
      <c r="E3459" t="s">
        <v>70</v>
      </c>
      <c r="F3459">
        <v>3</v>
      </c>
      <c r="G3459" s="2">
        <v>66.650000000000006</v>
      </c>
      <c r="H3459">
        <v>0.19</v>
      </c>
      <c r="I3459" t="s">
        <v>68</v>
      </c>
      <c r="J3459">
        <v>8</v>
      </c>
      <c r="K3459">
        <v>1.5</v>
      </c>
      <c r="L3459" s="2">
        <v>161.96</v>
      </c>
      <c r="M3459">
        <v>2031</v>
      </c>
      <c r="N3459">
        <v>6</v>
      </c>
      <c r="O3459" t="s">
        <v>193</v>
      </c>
      <c r="P3459" s="2">
        <v>199.95</v>
      </c>
      <c r="Q3459" s="2">
        <v>37.99</v>
      </c>
      <c r="R3459" t="s">
        <v>76</v>
      </c>
      <c r="S3459">
        <v>1</v>
      </c>
      <c r="T3459">
        <v>0</v>
      </c>
      <c r="U3459">
        <f>IF(AND(OR(Dashboard!$D$4="Semua",D3459=Dashboard!$D$4),OR(Dashboard!$H$4="Semua",E3459=Dashboard!$H$4)),1,0)</f>
        <v>1</v>
      </c>
      <c r="V3459">
        <f>IF(U3459=1,IF(COUNTIFS($C$2:C3459,C3459,$U$2:U3459,1)=1,1,0),0)</f>
        <v>0</v>
      </c>
    </row>
    <row r="3460" spans="1:22" x14ac:dyDescent="0.35">
      <c r="A3460">
        <v>13459</v>
      </c>
      <c r="B3460" s="1">
        <v>48020</v>
      </c>
      <c r="C3460">
        <v>1119</v>
      </c>
      <c r="D3460" t="s">
        <v>73</v>
      </c>
      <c r="E3460" t="s">
        <v>74</v>
      </c>
      <c r="F3460">
        <v>6</v>
      </c>
      <c r="G3460" s="2">
        <v>133.13999999999999</v>
      </c>
      <c r="H3460">
        <v>0.22</v>
      </c>
      <c r="I3460" t="s">
        <v>68</v>
      </c>
      <c r="J3460">
        <v>3</v>
      </c>
      <c r="K3460">
        <v>3.1</v>
      </c>
      <c r="L3460" s="2">
        <v>623.1</v>
      </c>
      <c r="M3460">
        <v>2031</v>
      </c>
      <c r="N3460">
        <v>6</v>
      </c>
      <c r="O3460" t="s">
        <v>193</v>
      </c>
      <c r="P3460" s="2">
        <v>798.84</v>
      </c>
      <c r="Q3460" s="2">
        <v>175.74</v>
      </c>
      <c r="R3460" t="s">
        <v>77</v>
      </c>
      <c r="S3460">
        <v>1</v>
      </c>
      <c r="T3460">
        <v>0</v>
      </c>
      <c r="U3460">
        <f>IF(AND(OR(Dashboard!$D$4="Semua",D3460=Dashboard!$D$4),OR(Dashboard!$H$4="Semua",E3460=Dashboard!$H$4)),1,0)</f>
        <v>1</v>
      </c>
      <c r="V3460">
        <f>IF(U3460=1,IF(COUNTIFS($C$2:C3460,C3460,$U$2:U3460,1)=1,1,0),0)</f>
        <v>0</v>
      </c>
    </row>
    <row r="3461" spans="1:22" x14ac:dyDescent="0.35">
      <c r="A3461">
        <v>13460</v>
      </c>
      <c r="B3461" s="1">
        <v>48021</v>
      </c>
      <c r="C3461">
        <v>1392</v>
      </c>
      <c r="D3461" t="s">
        <v>80</v>
      </c>
      <c r="E3461" t="s">
        <v>74</v>
      </c>
      <c r="F3461">
        <v>3</v>
      </c>
      <c r="G3461" s="2">
        <v>105.49</v>
      </c>
      <c r="H3461">
        <v>7.0000000000000007E-2</v>
      </c>
      <c r="I3461" t="s">
        <v>71</v>
      </c>
      <c r="J3461">
        <v>1</v>
      </c>
      <c r="K3461">
        <v>1</v>
      </c>
      <c r="L3461" s="2">
        <v>294.32</v>
      </c>
      <c r="M3461">
        <v>2031</v>
      </c>
      <c r="N3461">
        <v>6</v>
      </c>
      <c r="O3461" t="s">
        <v>193</v>
      </c>
      <c r="P3461" s="2">
        <v>316.47000000000003</v>
      </c>
      <c r="Q3461" s="2">
        <v>22.15</v>
      </c>
      <c r="R3461" t="s">
        <v>69</v>
      </c>
      <c r="S3461">
        <v>1</v>
      </c>
      <c r="T3461">
        <v>0</v>
      </c>
      <c r="U3461">
        <f>IF(AND(OR(Dashboard!$D$4="Semua",D3461=Dashboard!$D$4),OR(Dashboard!$H$4="Semua",E3461=Dashboard!$H$4)),1,0)</f>
        <v>1</v>
      </c>
      <c r="V3461">
        <f>IF(U3461=1,IF(COUNTIFS($C$2:C3461,C3461,$U$2:U3461,1)=1,1,0),0)</f>
        <v>0</v>
      </c>
    </row>
    <row r="3462" spans="1:22" x14ac:dyDescent="0.35">
      <c r="A3462">
        <v>13461</v>
      </c>
      <c r="B3462" s="1">
        <v>48022</v>
      </c>
      <c r="C3462">
        <v>1424</v>
      </c>
      <c r="D3462" t="s">
        <v>73</v>
      </c>
      <c r="E3462" t="s">
        <v>74</v>
      </c>
      <c r="F3462">
        <v>4</v>
      </c>
      <c r="G3462" s="2">
        <v>296.79000000000002</v>
      </c>
      <c r="H3462">
        <v>0.26</v>
      </c>
      <c r="I3462" t="s">
        <v>64</v>
      </c>
      <c r="J3462">
        <v>5</v>
      </c>
      <c r="K3462">
        <v>3.8</v>
      </c>
      <c r="L3462" s="2">
        <v>878.5</v>
      </c>
      <c r="M3462">
        <v>2031</v>
      </c>
      <c r="N3462">
        <v>6</v>
      </c>
      <c r="O3462" t="s">
        <v>193</v>
      </c>
      <c r="P3462" s="2">
        <v>1187.1600000000001</v>
      </c>
      <c r="Q3462" s="2">
        <v>308.66000000000003</v>
      </c>
      <c r="R3462" t="s">
        <v>66</v>
      </c>
      <c r="S3462">
        <v>1</v>
      </c>
      <c r="T3462">
        <v>0</v>
      </c>
      <c r="U3462">
        <f>IF(AND(OR(Dashboard!$D$4="Semua",D3462=Dashboard!$D$4),OR(Dashboard!$H$4="Semua",E3462=Dashboard!$H$4)),1,0)</f>
        <v>1</v>
      </c>
      <c r="V3462">
        <f>IF(U3462=1,IF(COUNTIFS($C$2:C3462,C3462,$U$2:U3462,1)=1,1,0),0)</f>
        <v>0</v>
      </c>
    </row>
    <row r="3463" spans="1:22" x14ac:dyDescent="0.35">
      <c r="A3463">
        <v>13462</v>
      </c>
      <c r="B3463" s="1">
        <v>48023</v>
      </c>
      <c r="C3463">
        <v>1128</v>
      </c>
      <c r="D3463" t="s">
        <v>67</v>
      </c>
      <c r="E3463" t="s">
        <v>78</v>
      </c>
      <c r="F3463">
        <v>1</v>
      </c>
      <c r="G3463" s="2">
        <v>324.61</v>
      </c>
      <c r="H3463">
        <v>0.23</v>
      </c>
      <c r="I3463" t="s">
        <v>64</v>
      </c>
      <c r="J3463">
        <v>11</v>
      </c>
      <c r="K3463">
        <v>2.8</v>
      </c>
      <c r="L3463" s="2">
        <v>249.95</v>
      </c>
      <c r="M3463">
        <v>2031</v>
      </c>
      <c r="N3463">
        <v>6</v>
      </c>
      <c r="O3463" t="s">
        <v>193</v>
      </c>
      <c r="P3463" s="2">
        <v>324.61</v>
      </c>
      <c r="Q3463" s="2">
        <v>74.66</v>
      </c>
      <c r="R3463" t="s">
        <v>77</v>
      </c>
      <c r="S3463">
        <v>1</v>
      </c>
      <c r="T3463">
        <v>0</v>
      </c>
      <c r="U3463">
        <f>IF(AND(OR(Dashboard!$D$4="Semua",D3463=Dashboard!$D$4),OR(Dashboard!$H$4="Semua",E3463=Dashboard!$H$4)),1,0)</f>
        <v>1</v>
      </c>
      <c r="V3463">
        <f>IF(U3463=1,IF(COUNTIFS($C$2:C3463,C3463,$U$2:U3463,1)=1,1,0),0)</f>
        <v>0</v>
      </c>
    </row>
    <row r="3464" spans="1:22" x14ac:dyDescent="0.35">
      <c r="A3464">
        <v>13463</v>
      </c>
      <c r="B3464" s="1">
        <v>48024</v>
      </c>
      <c r="C3464">
        <v>1129</v>
      </c>
      <c r="D3464" t="s">
        <v>67</v>
      </c>
      <c r="E3464" t="s">
        <v>74</v>
      </c>
      <c r="F3464">
        <v>3</v>
      </c>
      <c r="G3464" s="2">
        <v>570.13</v>
      </c>
      <c r="H3464">
        <v>0.32</v>
      </c>
      <c r="I3464" t="s">
        <v>68</v>
      </c>
      <c r="J3464">
        <v>3</v>
      </c>
      <c r="K3464">
        <v>3.1</v>
      </c>
      <c r="L3464" s="2">
        <v>1163.07</v>
      </c>
      <c r="M3464">
        <v>2031</v>
      </c>
      <c r="N3464">
        <v>6</v>
      </c>
      <c r="O3464" t="s">
        <v>193</v>
      </c>
      <c r="P3464" s="2">
        <v>1710.39</v>
      </c>
      <c r="Q3464" s="2">
        <v>547.32000000000005</v>
      </c>
      <c r="R3464" t="s">
        <v>72</v>
      </c>
      <c r="S3464">
        <v>1</v>
      </c>
      <c r="T3464">
        <v>0</v>
      </c>
      <c r="U3464">
        <f>IF(AND(OR(Dashboard!$D$4="Semua",D3464=Dashboard!$D$4),OR(Dashboard!$H$4="Semua",E3464=Dashboard!$H$4)),1,0)</f>
        <v>1</v>
      </c>
      <c r="V3464">
        <f>IF(U3464=1,IF(COUNTIFS($C$2:C3464,C3464,$U$2:U3464,1)=1,1,0),0)</f>
        <v>0</v>
      </c>
    </row>
    <row r="3465" spans="1:22" x14ac:dyDescent="0.35">
      <c r="A3465">
        <v>13464</v>
      </c>
      <c r="B3465" s="1">
        <v>48025</v>
      </c>
      <c r="C3465">
        <v>1571</v>
      </c>
      <c r="D3465" t="s">
        <v>80</v>
      </c>
      <c r="E3465" t="s">
        <v>78</v>
      </c>
      <c r="F3465">
        <v>1</v>
      </c>
      <c r="G3465" s="2">
        <v>57.84</v>
      </c>
      <c r="H3465">
        <v>0.06</v>
      </c>
      <c r="I3465" t="s">
        <v>68</v>
      </c>
      <c r="J3465">
        <v>5</v>
      </c>
      <c r="K3465">
        <v>2.1</v>
      </c>
      <c r="L3465" s="2">
        <v>54.37</v>
      </c>
      <c r="M3465">
        <v>2031</v>
      </c>
      <c r="N3465">
        <v>6</v>
      </c>
      <c r="O3465" t="s">
        <v>193</v>
      </c>
      <c r="P3465" s="2">
        <v>57.84</v>
      </c>
      <c r="Q3465" s="2">
        <v>3.47</v>
      </c>
      <c r="R3465" t="s">
        <v>69</v>
      </c>
      <c r="S3465">
        <v>1</v>
      </c>
      <c r="T3465">
        <v>0</v>
      </c>
      <c r="U3465">
        <f>IF(AND(OR(Dashboard!$D$4="Semua",D3465=Dashboard!$D$4),OR(Dashboard!$H$4="Semua",E3465=Dashboard!$H$4)),1,0)</f>
        <v>1</v>
      </c>
      <c r="V3465">
        <f>IF(U3465=1,IF(COUNTIFS($C$2:C3465,C3465,$U$2:U3465,1)=1,1,0),0)</f>
        <v>0</v>
      </c>
    </row>
    <row r="3466" spans="1:22" x14ac:dyDescent="0.35">
      <c r="A3466">
        <v>13465</v>
      </c>
      <c r="B3466" s="1">
        <v>48026</v>
      </c>
      <c r="C3466">
        <v>1559</v>
      </c>
      <c r="D3466" t="s">
        <v>73</v>
      </c>
      <c r="E3466" t="s">
        <v>70</v>
      </c>
      <c r="F3466">
        <v>2</v>
      </c>
      <c r="G3466" s="2">
        <v>365.92</v>
      </c>
      <c r="H3466">
        <v>0.26</v>
      </c>
      <c r="I3466" t="s">
        <v>71</v>
      </c>
      <c r="J3466">
        <v>9</v>
      </c>
      <c r="K3466">
        <v>1.7</v>
      </c>
      <c r="L3466" s="2">
        <v>541.55999999999995</v>
      </c>
      <c r="M3466">
        <v>2031</v>
      </c>
      <c r="N3466">
        <v>6</v>
      </c>
      <c r="O3466" t="s">
        <v>193</v>
      </c>
      <c r="P3466" s="2">
        <v>731.84</v>
      </c>
      <c r="Q3466" s="2">
        <v>190.28</v>
      </c>
      <c r="R3466" t="s">
        <v>66</v>
      </c>
      <c r="S3466">
        <v>1</v>
      </c>
      <c r="T3466">
        <v>0</v>
      </c>
      <c r="U3466">
        <f>IF(AND(OR(Dashboard!$D$4="Semua",D3466=Dashboard!$D$4),OR(Dashboard!$H$4="Semua",E3466=Dashboard!$H$4)),1,0)</f>
        <v>1</v>
      </c>
      <c r="V3466">
        <f>IF(U3466=1,IF(COUNTIFS($C$2:C3466,C3466,$U$2:U3466,1)=1,1,0),0)</f>
        <v>0</v>
      </c>
    </row>
    <row r="3467" spans="1:22" x14ac:dyDescent="0.35">
      <c r="A3467">
        <v>13466</v>
      </c>
      <c r="B3467" s="1">
        <v>48027</v>
      </c>
      <c r="C3467">
        <v>1028</v>
      </c>
      <c r="D3467" t="s">
        <v>67</v>
      </c>
      <c r="E3467" t="s">
        <v>78</v>
      </c>
      <c r="F3467">
        <v>5</v>
      </c>
      <c r="G3467" s="2">
        <v>323</v>
      </c>
      <c r="H3467">
        <v>0.03</v>
      </c>
      <c r="I3467" t="s">
        <v>71</v>
      </c>
      <c r="J3467">
        <v>11</v>
      </c>
      <c r="K3467">
        <v>3.8</v>
      </c>
      <c r="L3467" s="2">
        <v>1566.55</v>
      </c>
      <c r="M3467">
        <v>2031</v>
      </c>
      <c r="N3467">
        <v>6</v>
      </c>
      <c r="O3467" t="s">
        <v>193</v>
      </c>
      <c r="P3467" s="2">
        <v>1615</v>
      </c>
      <c r="Q3467" s="2">
        <v>48.45</v>
      </c>
      <c r="R3467" t="s">
        <v>75</v>
      </c>
      <c r="S3467">
        <v>1</v>
      </c>
      <c r="T3467">
        <v>0</v>
      </c>
      <c r="U3467">
        <f>IF(AND(OR(Dashboard!$D$4="Semua",D3467=Dashboard!$D$4),OR(Dashboard!$H$4="Semua",E3467=Dashboard!$H$4)),1,0)</f>
        <v>1</v>
      </c>
      <c r="V3467">
        <f>IF(U3467=1,IF(COUNTIFS($C$2:C3467,C3467,$U$2:U3467,1)=1,1,0),0)</f>
        <v>0</v>
      </c>
    </row>
    <row r="3468" spans="1:22" x14ac:dyDescent="0.35">
      <c r="A3468">
        <v>13467</v>
      </c>
      <c r="B3468" s="1">
        <v>48028</v>
      </c>
      <c r="C3468">
        <v>1096</v>
      </c>
      <c r="D3468" t="s">
        <v>73</v>
      </c>
      <c r="E3468" t="s">
        <v>70</v>
      </c>
      <c r="F3468">
        <v>7</v>
      </c>
      <c r="G3468" s="2">
        <v>317</v>
      </c>
      <c r="H3468">
        <v>0.2</v>
      </c>
      <c r="I3468" t="s">
        <v>68</v>
      </c>
      <c r="J3468">
        <v>1</v>
      </c>
      <c r="K3468">
        <v>1.8</v>
      </c>
      <c r="L3468" s="2">
        <v>1775.2</v>
      </c>
      <c r="M3468">
        <v>2031</v>
      </c>
      <c r="N3468">
        <v>6</v>
      </c>
      <c r="O3468" t="s">
        <v>193</v>
      </c>
      <c r="P3468" s="2">
        <v>2219</v>
      </c>
      <c r="Q3468" s="2">
        <v>443.8</v>
      </c>
      <c r="R3468" t="s">
        <v>76</v>
      </c>
      <c r="S3468">
        <v>1</v>
      </c>
      <c r="T3468">
        <v>0</v>
      </c>
      <c r="U3468">
        <f>IF(AND(OR(Dashboard!$D$4="Semua",D3468=Dashboard!$D$4),OR(Dashboard!$H$4="Semua",E3468=Dashboard!$H$4)),1,0)</f>
        <v>1</v>
      </c>
      <c r="V3468">
        <f>IF(U3468=1,IF(COUNTIFS($C$2:C3468,C3468,$U$2:U3468,1)=1,1,0),0)</f>
        <v>0</v>
      </c>
    </row>
    <row r="3469" spans="1:22" x14ac:dyDescent="0.35">
      <c r="A3469">
        <v>13468</v>
      </c>
      <c r="B3469" s="1">
        <v>48029</v>
      </c>
      <c r="C3469">
        <v>1009</v>
      </c>
      <c r="D3469" t="s">
        <v>80</v>
      </c>
      <c r="E3469" t="s">
        <v>70</v>
      </c>
      <c r="F3469">
        <v>7</v>
      </c>
      <c r="G3469" s="2">
        <v>525.79999999999995</v>
      </c>
      <c r="H3469">
        <v>0.19</v>
      </c>
      <c r="I3469" t="s">
        <v>68</v>
      </c>
      <c r="J3469">
        <v>1</v>
      </c>
      <c r="K3469">
        <v>4.0999999999999996</v>
      </c>
      <c r="L3469" s="2">
        <v>2981.29</v>
      </c>
      <c r="M3469">
        <v>2031</v>
      </c>
      <c r="N3469">
        <v>6</v>
      </c>
      <c r="O3469" t="s">
        <v>193</v>
      </c>
      <c r="P3469" s="2">
        <v>3680.6</v>
      </c>
      <c r="Q3469" s="2">
        <v>699.31</v>
      </c>
      <c r="R3469" t="s">
        <v>76</v>
      </c>
      <c r="S3469">
        <v>1</v>
      </c>
      <c r="T3469">
        <v>0</v>
      </c>
      <c r="U3469">
        <f>IF(AND(OR(Dashboard!$D$4="Semua",D3469=Dashboard!$D$4),OR(Dashboard!$H$4="Semua",E3469=Dashboard!$H$4)),1,0)</f>
        <v>1</v>
      </c>
      <c r="V3469">
        <f>IF(U3469=1,IF(COUNTIFS($C$2:C3469,C3469,$U$2:U3469,1)=1,1,0),0)</f>
        <v>0</v>
      </c>
    </row>
    <row r="3470" spans="1:22" x14ac:dyDescent="0.35">
      <c r="A3470">
        <v>13469</v>
      </c>
      <c r="B3470" s="1">
        <v>48030</v>
      </c>
      <c r="C3470">
        <v>1241</v>
      </c>
      <c r="D3470" t="s">
        <v>62</v>
      </c>
      <c r="E3470" t="s">
        <v>74</v>
      </c>
      <c r="F3470">
        <v>2</v>
      </c>
      <c r="G3470" s="2">
        <v>135.24</v>
      </c>
      <c r="H3470">
        <v>0.14000000000000001</v>
      </c>
      <c r="I3470" t="s">
        <v>68</v>
      </c>
      <c r="J3470">
        <v>9</v>
      </c>
      <c r="K3470">
        <v>1.8</v>
      </c>
      <c r="L3470" s="2">
        <v>232.61</v>
      </c>
      <c r="M3470">
        <v>2031</v>
      </c>
      <c r="N3470">
        <v>7</v>
      </c>
      <c r="O3470" t="s">
        <v>194</v>
      </c>
      <c r="P3470" s="2">
        <v>270.48</v>
      </c>
      <c r="Q3470" s="2">
        <v>37.869999999999997</v>
      </c>
      <c r="R3470" t="s">
        <v>79</v>
      </c>
      <c r="S3470">
        <v>1</v>
      </c>
      <c r="T3470">
        <v>0</v>
      </c>
      <c r="U3470">
        <f>IF(AND(OR(Dashboard!$D$4="Semua",D3470=Dashboard!$D$4),OR(Dashboard!$H$4="Semua",E3470=Dashboard!$H$4)),1,0)</f>
        <v>1</v>
      </c>
      <c r="V3470">
        <f>IF(U3470=1,IF(COUNTIFS($C$2:C3470,C3470,$U$2:U3470,1)=1,1,0),0)</f>
        <v>0</v>
      </c>
    </row>
    <row r="3471" spans="1:22" x14ac:dyDescent="0.35">
      <c r="A3471">
        <v>13470</v>
      </c>
      <c r="B3471" s="1">
        <v>48031</v>
      </c>
      <c r="C3471">
        <v>1825</v>
      </c>
      <c r="D3471" t="s">
        <v>73</v>
      </c>
      <c r="E3471" t="s">
        <v>74</v>
      </c>
      <c r="F3471">
        <v>3</v>
      </c>
      <c r="G3471" s="2">
        <v>38.85</v>
      </c>
      <c r="H3471">
        <v>0.3</v>
      </c>
      <c r="I3471" t="s">
        <v>68</v>
      </c>
      <c r="J3471">
        <v>3</v>
      </c>
      <c r="K3471">
        <v>3.5</v>
      </c>
      <c r="L3471" s="2">
        <v>81.59</v>
      </c>
      <c r="M3471">
        <v>2031</v>
      </c>
      <c r="N3471">
        <v>7</v>
      </c>
      <c r="O3471" t="s">
        <v>194</v>
      </c>
      <c r="P3471" s="2">
        <v>116.55</v>
      </c>
      <c r="Q3471" s="2">
        <v>34.96</v>
      </c>
      <c r="R3471" t="s">
        <v>66</v>
      </c>
      <c r="S3471">
        <v>1</v>
      </c>
      <c r="T3471">
        <v>0</v>
      </c>
      <c r="U3471">
        <f>IF(AND(OR(Dashboard!$D$4="Semua",D3471=Dashboard!$D$4),OR(Dashboard!$H$4="Semua",E3471=Dashboard!$H$4)),1,0)</f>
        <v>1</v>
      </c>
      <c r="V3471">
        <f>IF(U3471=1,IF(COUNTIFS($C$2:C3471,C3471,$U$2:U3471,1)=1,1,0),0)</f>
        <v>0</v>
      </c>
    </row>
    <row r="3472" spans="1:22" x14ac:dyDescent="0.35">
      <c r="A3472">
        <v>13471</v>
      </c>
      <c r="B3472" s="1">
        <v>48032</v>
      </c>
      <c r="C3472">
        <v>1955</v>
      </c>
      <c r="D3472" t="s">
        <v>62</v>
      </c>
      <c r="E3472" t="s">
        <v>78</v>
      </c>
      <c r="F3472">
        <v>7</v>
      </c>
      <c r="G3472" s="2">
        <v>408.28</v>
      </c>
      <c r="H3472">
        <v>0</v>
      </c>
      <c r="I3472" t="s">
        <v>68</v>
      </c>
      <c r="J3472">
        <v>10</v>
      </c>
      <c r="K3472">
        <v>3.6</v>
      </c>
      <c r="L3472" s="2">
        <v>2857.96</v>
      </c>
      <c r="M3472">
        <v>2031</v>
      </c>
      <c r="N3472">
        <v>7</v>
      </c>
      <c r="O3472" t="s">
        <v>194</v>
      </c>
      <c r="P3472" s="2">
        <v>2857.96</v>
      </c>
      <c r="Q3472" s="2">
        <v>0</v>
      </c>
      <c r="R3472" t="s">
        <v>75</v>
      </c>
      <c r="S3472">
        <v>1</v>
      </c>
      <c r="T3472">
        <v>0</v>
      </c>
      <c r="U3472">
        <f>IF(AND(OR(Dashboard!$D$4="Semua",D3472=Dashboard!$D$4),OR(Dashboard!$H$4="Semua",E3472=Dashboard!$H$4)),1,0)</f>
        <v>1</v>
      </c>
      <c r="V3472">
        <f>IF(U3472=1,IF(COUNTIFS($C$2:C3472,C3472,$U$2:U3472,1)=1,1,0),0)</f>
        <v>0</v>
      </c>
    </row>
    <row r="3473" spans="1:22" x14ac:dyDescent="0.35">
      <c r="A3473">
        <v>13472</v>
      </c>
      <c r="B3473" s="1">
        <v>48033</v>
      </c>
      <c r="C3473">
        <v>1231</v>
      </c>
      <c r="D3473" t="s">
        <v>67</v>
      </c>
      <c r="E3473" t="s">
        <v>63</v>
      </c>
      <c r="F3473">
        <v>6</v>
      </c>
      <c r="G3473" s="2">
        <v>216.92</v>
      </c>
      <c r="H3473">
        <v>0.18</v>
      </c>
      <c r="I3473" t="s">
        <v>64</v>
      </c>
      <c r="J3473">
        <v>5</v>
      </c>
      <c r="K3473">
        <v>3</v>
      </c>
      <c r="L3473" s="2">
        <v>1067.25</v>
      </c>
      <c r="M3473">
        <v>2031</v>
      </c>
      <c r="N3473">
        <v>7</v>
      </c>
      <c r="O3473" t="s">
        <v>194</v>
      </c>
      <c r="P3473" s="2">
        <v>1301.52</v>
      </c>
      <c r="Q3473" s="2">
        <v>234.27</v>
      </c>
      <c r="R3473" t="s">
        <v>76</v>
      </c>
      <c r="S3473">
        <v>1</v>
      </c>
      <c r="T3473">
        <v>0</v>
      </c>
      <c r="U3473">
        <f>IF(AND(OR(Dashboard!$D$4="Semua",D3473=Dashboard!$D$4),OR(Dashboard!$H$4="Semua",E3473=Dashboard!$H$4)),1,0)</f>
        <v>1</v>
      </c>
      <c r="V3473">
        <f>IF(U3473=1,IF(COUNTIFS($C$2:C3473,C3473,$U$2:U3473,1)=1,1,0),0)</f>
        <v>1</v>
      </c>
    </row>
    <row r="3474" spans="1:22" x14ac:dyDescent="0.35">
      <c r="A3474">
        <v>13473</v>
      </c>
      <c r="B3474" s="1">
        <v>48034</v>
      </c>
      <c r="C3474">
        <v>1788</v>
      </c>
      <c r="D3474" t="s">
        <v>73</v>
      </c>
      <c r="E3474" t="s">
        <v>74</v>
      </c>
      <c r="F3474">
        <v>2</v>
      </c>
      <c r="G3474" s="2">
        <v>25.29</v>
      </c>
      <c r="H3474">
        <v>0.08</v>
      </c>
      <c r="I3474" t="s">
        <v>68</v>
      </c>
      <c r="J3474">
        <v>9</v>
      </c>
      <c r="K3474">
        <v>5</v>
      </c>
      <c r="L3474" s="2">
        <v>46.53</v>
      </c>
      <c r="M3474">
        <v>2031</v>
      </c>
      <c r="N3474">
        <v>7</v>
      </c>
      <c r="O3474" t="s">
        <v>194</v>
      </c>
      <c r="P3474" s="2">
        <v>50.58</v>
      </c>
      <c r="Q3474" s="2">
        <v>4.05</v>
      </c>
      <c r="R3474" t="s">
        <v>69</v>
      </c>
      <c r="S3474">
        <v>1</v>
      </c>
      <c r="T3474">
        <v>0</v>
      </c>
      <c r="U3474">
        <f>IF(AND(OR(Dashboard!$D$4="Semua",D3474=Dashboard!$D$4),OR(Dashboard!$H$4="Semua",E3474=Dashboard!$H$4)),1,0)</f>
        <v>1</v>
      </c>
      <c r="V3474">
        <f>IF(U3474=1,IF(COUNTIFS($C$2:C3474,C3474,$U$2:U3474,1)=1,1,0),0)</f>
        <v>0</v>
      </c>
    </row>
    <row r="3475" spans="1:22" x14ac:dyDescent="0.35">
      <c r="A3475">
        <v>13474</v>
      </c>
      <c r="B3475" s="1">
        <v>48035</v>
      </c>
      <c r="C3475">
        <v>1283</v>
      </c>
      <c r="D3475" t="s">
        <v>67</v>
      </c>
      <c r="E3475" t="s">
        <v>74</v>
      </c>
      <c r="F3475">
        <v>4</v>
      </c>
      <c r="G3475" s="2">
        <v>162.05000000000001</v>
      </c>
      <c r="H3475">
        <v>0.26</v>
      </c>
      <c r="I3475" t="s">
        <v>64</v>
      </c>
      <c r="J3475">
        <v>11</v>
      </c>
      <c r="K3475">
        <v>2.5</v>
      </c>
      <c r="L3475" s="2">
        <v>479.67</v>
      </c>
      <c r="M3475">
        <v>2031</v>
      </c>
      <c r="N3475">
        <v>7</v>
      </c>
      <c r="O3475" t="s">
        <v>194</v>
      </c>
      <c r="P3475" s="2">
        <v>648.20000000000005</v>
      </c>
      <c r="Q3475" s="2">
        <v>168.53</v>
      </c>
      <c r="R3475" t="s">
        <v>66</v>
      </c>
      <c r="S3475">
        <v>1</v>
      </c>
      <c r="T3475">
        <v>0</v>
      </c>
      <c r="U3475">
        <f>IF(AND(OR(Dashboard!$D$4="Semua",D3475=Dashboard!$D$4),OR(Dashboard!$H$4="Semua",E3475=Dashboard!$H$4)),1,0)</f>
        <v>1</v>
      </c>
      <c r="V3475">
        <f>IF(U3475=1,IF(COUNTIFS($C$2:C3475,C3475,$U$2:U3475,1)=1,1,0),0)</f>
        <v>0</v>
      </c>
    </row>
    <row r="3476" spans="1:22" x14ac:dyDescent="0.35">
      <c r="A3476">
        <v>13475</v>
      </c>
      <c r="B3476" s="1">
        <v>48036</v>
      </c>
      <c r="C3476">
        <v>1714</v>
      </c>
      <c r="D3476" t="s">
        <v>73</v>
      </c>
      <c r="E3476" t="s">
        <v>63</v>
      </c>
      <c r="F3476">
        <v>1</v>
      </c>
      <c r="G3476" s="2">
        <v>195.96</v>
      </c>
      <c r="H3476">
        <v>0.02</v>
      </c>
      <c r="I3476" t="s">
        <v>64</v>
      </c>
      <c r="J3476">
        <v>5</v>
      </c>
      <c r="K3476">
        <v>4.5</v>
      </c>
      <c r="L3476" s="2">
        <v>192.04</v>
      </c>
      <c r="M3476">
        <v>2031</v>
      </c>
      <c r="N3476">
        <v>7</v>
      </c>
      <c r="O3476" t="s">
        <v>194</v>
      </c>
      <c r="P3476" s="2">
        <v>195.96</v>
      </c>
      <c r="Q3476" s="2">
        <v>3.92</v>
      </c>
      <c r="R3476" t="s">
        <v>75</v>
      </c>
      <c r="S3476">
        <v>1</v>
      </c>
      <c r="T3476">
        <v>0</v>
      </c>
      <c r="U3476">
        <f>IF(AND(OR(Dashboard!$D$4="Semua",D3476=Dashboard!$D$4),OR(Dashboard!$H$4="Semua",E3476=Dashboard!$H$4)),1,0)</f>
        <v>1</v>
      </c>
      <c r="V3476">
        <f>IF(U3476=1,IF(COUNTIFS($C$2:C3476,C3476,$U$2:U3476,1)=1,1,0),0)</f>
        <v>0</v>
      </c>
    </row>
    <row r="3477" spans="1:22" x14ac:dyDescent="0.35">
      <c r="A3477">
        <v>13476</v>
      </c>
      <c r="B3477" s="1">
        <v>48037</v>
      </c>
      <c r="C3477">
        <v>1758</v>
      </c>
      <c r="D3477" t="s">
        <v>80</v>
      </c>
      <c r="E3477" t="s">
        <v>63</v>
      </c>
      <c r="F3477">
        <v>6</v>
      </c>
      <c r="G3477" s="2">
        <v>375.85</v>
      </c>
      <c r="H3477">
        <v>0.28999999999999998</v>
      </c>
      <c r="I3477" t="s">
        <v>68</v>
      </c>
      <c r="J3477">
        <v>3</v>
      </c>
      <c r="K3477">
        <v>1.7</v>
      </c>
      <c r="L3477" s="2">
        <v>1601.12</v>
      </c>
      <c r="M3477">
        <v>2031</v>
      </c>
      <c r="N3477">
        <v>7</v>
      </c>
      <c r="O3477" t="s">
        <v>194</v>
      </c>
      <c r="P3477" s="2">
        <v>2255.1</v>
      </c>
      <c r="Q3477" s="2">
        <v>653.98</v>
      </c>
      <c r="R3477" t="s">
        <v>66</v>
      </c>
      <c r="S3477">
        <v>1</v>
      </c>
      <c r="T3477">
        <v>0</v>
      </c>
      <c r="U3477">
        <f>IF(AND(OR(Dashboard!$D$4="Semua",D3477=Dashboard!$D$4),OR(Dashboard!$H$4="Semua",E3477=Dashboard!$H$4)),1,0)</f>
        <v>1</v>
      </c>
      <c r="V3477">
        <f>IF(U3477=1,IF(COUNTIFS($C$2:C3477,C3477,$U$2:U3477,1)=1,1,0),0)</f>
        <v>0</v>
      </c>
    </row>
    <row r="3478" spans="1:22" x14ac:dyDescent="0.35">
      <c r="A3478">
        <v>13477</v>
      </c>
      <c r="B3478" s="1">
        <v>48038</v>
      </c>
      <c r="C3478">
        <v>1801</v>
      </c>
      <c r="D3478" t="s">
        <v>80</v>
      </c>
      <c r="E3478" t="s">
        <v>74</v>
      </c>
      <c r="F3478">
        <v>7</v>
      </c>
      <c r="G3478" s="2">
        <v>115.96</v>
      </c>
      <c r="H3478">
        <v>0.28999999999999998</v>
      </c>
      <c r="I3478" t="s">
        <v>71</v>
      </c>
      <c r="J3478">
        <v>9</v>
      </c>
      <c r="K3478">
        <v>2.2999999999999998</v>
      </c>
      <c r="L3478" s="2">
        <v>576.32000000000005</v>
      </c>
      <c r="M3478">
        <v>2031</v>
      </c>
      <c r="N3478">
        <v>7</v>
      </c>
      <c r="O3478" t="s">
        <v>194</v>
      </c>
      <c r="P3478" s="2">
        <v>811.72</v>
      </c>
      <c r="Q3478" s="2">
        <v>235.4</v>
      </c>
      <c r="R3478" t="s">
        <v>66</v>
      </c>
      <c r="S3478">
        <v>1</v>
      </c>
      <c r="T3478">
        <v>0</v>
      </c>
      <c r="U3478">
        <f>IF(AND(OR(Dashboard!$D$4="Semua",D3478=Dashboard!$D$4),OR(Dashboard!$H$4="Semua",E3478=Dashboard!$H$4)),1,0)</f>
        <v>1</v>
      </c>
      <c r="V3478">
        <f>IF(U3478=1,IF(COUNTIFS($C$2:C3478,C3478,$U$2:U3478,1)=1,1,0),0)</f>
        <v>0</v>
      </c>
    </row>
    <row r="3479" spans="1:22" x14ac:dyDescent="0.35">
      <c r="A3479">
        <v>13478</v>
      </c>
      <c r="B3479" s="1">
        <v>48039</v>
      </c>
      <c r="C3479">
        <v>1775</v>
      </c>
      <c r="D3479" t="s">
        <v>73</v>
      </c>
      <c r="E3479" t="s">
        <v>63</v>
      </c>
      <c r="F3479">
        <v>6</v>
      </c>
      <c r="G3479" s="2">
        <v>256.64</v>
      </c>
      <c r="H3479">
        <v>0.28999999999999998</v>
      </c>
      <c r="I3479" t="s">
        <v>71</v>
      </c>
      <c r="J3479">
        <v>7</v>
      </c>
      <c r="K3479">
        <v>1.6</v>
      </c>
      <c r="L3479" s="2">
        <v>1093.29</v>
      </c>
      <c r="M3479">
        <v>2031</v>
      </c>
      <c r="N3479">
        <v>7</v>
      </c>
      <c r="O3479" t="s">
        <v>194</v>
      </c>
      <c r="P3479" s="2">
        <v>1539.84</v>
      </c>
      <c r="Q3479" s="2">
        <v>446.55</v>
      </c>
      <c r="R3479" t="s">
        <v>66</v>
      </c>
      <c r="S3479">
        <v>1</v>
      </c>
      <c r="T3479">
        <v>0</v>
      </c>
      <c r="U3479">
        <f>IF(AND(OR(Dashboard!$D$4="Semua",D3479=Dashboard!$D$4),OR(Dashboard!$H$4="Semua",E3479=Dashboard!$H$4)),1,0)</f>
        <v>1</v>
      </c>
      <c r="V3479">
        <f>IF(U3479=1,IF(COUNTIFS($C$2:C3479,C3479,$U$2:U3479,1)=1,1,0),0)</f>
        <v>0</v>
      </c>
    </row>
    <row r="3480" spans="1:22" x14ac:dyDescent="0.35">
      <c r="A3480">
        <v>13479</v>
      </c>
      <c r="B3480" s="1">
        <v>48040</v>
      </c>
      <c r="C3480">
        <v>1954</v>
      </c>
      <c r="D3480" t="s">
        <v>67</v>
      </c>
      <c r="E3480" t="s">
        <v>78</v>
      </c>
      <c r="F3480">
        <v>3</v>
      </c>
      <c r="G3480" s="2">
        <v>297.25</v>
      </c>
      <c r="H3480">
        <v>0.05</v>
      </c>
      <c r="I3480" t="s">
        <v>68</v>
      </c>
      <c r="J3480">
        <v>7</v>
      </c>
      <c r="K3480">
        <v>3.4</v>
      </c>
      <c r="L3480" s="2">
        <v>847.16</v>
      </c>
      <c r="M3480">
        <v>2031</v>
      </c>
      <c r="N3480">
        <v>7</v>
      </c>
      <c r="O3480" t="s">
        <v>194</v>
      </c>
      <c r="P3480" s="2">
        <v>891.75</v>
      </c>
      <c r="Q3480" s="2">
        <v>44.59</v>
      </c>
      <c r="R3480" t="s">
        <v>75</v>
      </c>
      <c r="S3480">
        <v>1</v>
      </c>
      <c r="T3480">
        <v>0</v>
      </c>
      <c r="U3480">
        <f>IF(AND(OR(Dashboard!$D$4="Semua",D3480=Dashboard!$D$4),OR(Dashboard!$H$4="Semua",E3480=Dashboard!$H$4)),1,0)</f>
        <v>1</v>
      </c>
      <c r="V3480">
        <f>IF(U3480=1,IF(COUNTIFS($C$2:C3480,C3480,$U$2:U3480,1)=1,1,0),0)</f>
        <v>0</v>
      </c>
    </row>
    <row r="3481" spans="1:22" x14ac:dyDescent="0.35">
      <c r="A3481">
        <v>13480</v>
      </c>
      <c r="B3481" s="1">
        <v>48041</v>
      </c>
      <c r="C3481">
        <v>1725</v>
      </c>
      <c r="D3481" t="s">
        <v>80</v>
      </c>
      <c r="E3481" t="s">
        <v>70</v>
      </c>
      <c r="F3481">
        <v>4</v>
      </c>
      <c r="G3481" s="2">
        <v>283.64999999999998</v>
      </c>
      <c r="H3481">
        <v>0.22</v>
      </c>
      <c r="I3481" t="s">
        <v>68</v>
      </c>
      <c r="J3481">
        <v>8</v>
      </c>
      <c r="K3481">
        <v>3.6</v>
      </c>
      <c r="L3481" s="2">
        <v>884.99</v>
      </c>
      <c r="M3481">
        <v>2031</v>
      </c>
      <c r="N3481">
        <v>7</v>
      </c>
      <c r="O3481" t="s">
        <v>194</v>
      </c>
      <c r="P3481" s="2">
        <v>1134.5999999999999</v>
      </c>
      <c r="Q3481" s="2">
        <v>249.61</v>
      </c>
      <c r="R3481" t="s">
        <v>77</v>
      </c>
      <c r="S3481">
        <v>1</v>
      </c>
      <c r="T3481">
        <v>0</v>
      </c>
      <c r="U3481">
        <f>IF(AND(OR(Dashboard!$D$4="Semua",D3481=Dashboard!$D$4),OR(Dashboard!$H$4="Semua",E3481=Dashboard!$H$4)),1,0)</f>
        <v>1</v>
      </c>
      <c r="V3481">
        <f>IF(U3481=1,IF(COUNTIFS($C$2:C3481,C3481,$U$2:U3481,1)=1,1,0),0)</f>
        <v>0</v>
      </c>
    </row>
    <row r="3482" spans="1:22" x14ac:dyDescent="0.35">
      <c r="A3482">
        <v>13481</v>
      </c>
      <c r="B3482" s="1">
        <v>48042</v>
      </c>
      <c r="C3482">
        <v>1199</v>
      </c>
      <c r="D3482" t="s">
        <v>62</v>
      </c>
      <c r="E3482" t="s">
        <v>70</v>
      </c>
      <c r="F3482">
        <v>1</v>
      </c>
      <c r="G3482" s="2">
        <v>584.76</v>
      </c>
      <c r="H3482">
        <v>0.01</v>
      </c>
      <c r="I3482" t="s">
        <v>71</v>
      </c>
      <c r="J3482">
        <v>11</v>
      </c>
      <c r="K3482">
        <v>2.8</v>
      </c>
      <c r="L3482" s="2">
        <v>578.91</v>
      </c>
      <c r="M3482">
        <v>2031</v>
      </c>
      <c r="N3482">
        <v>7</v>
      </c>
      <c r="O3482" t="s">
        <v>194</v>
      </c>
      <c r="P3482" s="2">
        <v>584.76</v>
      </c>
      <c r="Q3482" s="2">
        <v>5.85</v>
      </c>
      <c r="R3482" t="s">
        <v>75</v>
      </c>
      <c r="S3482">
        <v>1</v>
      </c>
      <c r="T3482">
        <v>0</v>
      </c>
      <c r="U3482">
        <f>IF(AND(OR(Dashboard!$D$4="Semua",D3482=Dashboard!$D$4),OR(Dashboard!$H$4="Semua",E3482=Dashboard!$H$4)),1,0)</f>
        <v>1</v>
      </c>
      <c r="V3482">
        <f>IF(U3482=1,IF(COUNTIFS($C$2:C3482,C3482,$U$2:U3482,1)=1,1,0),0)</f>
        <v>0</v>
      </c>
    </row>
    <row r="3483" spans="1:22" x14ac:dyDescent="0.35">
      <c r="A3483">
        <v>13482</v>
      </c>
      <c r="B3483" s="1">
        <v>48043</v>
      </c>
      <c r="C3483">
        <v>1944</v>
      </c>
      <c r="D3483" t="s">
        <v>67</v>
      </c>
      <c r="E3483" t="s">
        <v>74</v>
      </c>
      <c r="F3483">
        <v>4</v>
      </c>
      <c r="G3483" s="2">
        <v>41.62</v>
      </c>
      <c r="H3483">
        <v>0.3</v>
      </c>
      <c r="I3483" t="s">
        <v>71</v>
      </c>
      <c r="J3483">
        <v>5</v>
      </c>
      <c r="K3483">
        <v>3.9</v>
      </c>
      <c r="L3483" s="2">
        <v>116.54</v>
      </c>
      <c r="M3483">
        <v>2031</v>
      </c>
      <c r="N3483">
        <v>7</v>
      </c>
      <c r="O3483" t="s">
        <v>194</v>
      </c>
      <c r="P3483" s="2">
        <v>166.48</v>
      </c>
      <c r="Q3483" s="2">
        <v>49.94</v>
      </c>
      <c r="R3483" t="s">
        <v>66</v>
      </c>
      <c r="S3483">
        <v>1</v>
      </c>
      <c r="T3483">
        <v>0</v>
      </c>
      <c r="U3483">
        <f>IF(AND(OR(Dashboard!$D$4="Semua",D3483=Dashboard!$D$4),OR(Dashboard!$H$4="Semua",E3483=Dashboard!$H$4)),1,0)</f>
        <v>1</v>
      </c>
      <c r="V3483">
        <f>IF(U3483=1,IF(COUNTIFS($C$2:C3483,C3483,$U$2:U3483,1)=1,1,0),0)</f>
        <v>0</v>
      </c>
    </row>
    <row r="3484" spans="1:22" x14ac:dyDescent="0.35">
      <c r="A3484">
        <v>13483</v>
      </c>
      <c r="B3484" s="1">
        <v>48044</v>
      </c>
      <c r="C3484">
        <v>1078</v>
      </c>
      <c r="D3484" t="s">
        <v>62</v>
      </c>
      <c r="E3484" t="s">
        <v>74</v>
      </c>
      <c r="F3484">
        <v>2</v>
      </c>
      <c r="G3484" s="2">
        <v>571.32000000000005</v>
      </c>
      <c r="H3484">
        <v>0.25</v>
      </c>
      <c r="I3484" t="s">
        <v>71</v>
      </c>
      <c r="J3484">
        <v>2</v>
      </c>
      <c r="K3484">
        <v>4.5</v>
      </c>
      <c r="L3484" s="2">
        <v>856.98</v>
      </c>
      <c r="M3484">
        <v>2031</v>
      </c>
      <c r="N3484">
        <v>7</v>
      </c>
      <c r="O3484" t="s">
        <v>194</v>
      </c>
      <c r="P3484" s="2">
        <v>1142.6400000000001</v>
      </c>
      <c r="Q3484" s="2">
        <v>285.66000000000003</v>
      </c>
      <c r="R3484" t="s">
        <v>77</v>
      </c>
      <c r="S3484">
        <v>1</v>
      </c>
      <c r="T3484">
        <v>0</v>
      </c>
      <c r="U3484">
        <f>IF(AND(OR(Dashboard!$D$4="Semua",D3484=Dashboard!$D$4),OR(Dashboard!$H$4="Semua",E3484=Dashboard!$H$4)),1,0)</f>
        <v>1</v>
      </c>
      <c r="V3484">
        <f>IF(U3484=1,IF(COUNTIFS($C$2:C3484,C3484,$U$2:U3484,1)=1,1,0),0)</f>
        <v>0</v>
      </c>
    </row>
    <row r="3485" spans="1:22" x14ac:dyDescent="0.35">
      <c r="A3485">
        <v>13484</v>
      </c>
      <c r="B3485" s="1">
        <v>48045</v>
      </c>
      <c r="C3485">
        <v>1912</v>
      </c>
      <c r="D3485" t="s">
        <v>67</v>
      </c>
      <c r="E3485" t="s">
        <v>78</v>
      </c>
      <c r="F3485">
        <v>3</v>
      </c>
      <c r="G3485" s="2">
        <v>355.43</v>
      </c>
      <c r="H3485">
        <v>0.19</v>
      </c>
      <c r="I3485" t="s">
        <v>71</v>
      </c>
      <c r="J3485">
        <v>11</v>
      </c>
      <c r="K3485">
        <v>4.0999999999999996</v>
      </c>
      <c r="L3485" s="2">
        <v>863.69</v>
      </c>
      <c r="M3485">
        <v>2031</v>
      </c>
      <c r="N3485">
        <v>7</v>
      </c>
      <c r="O3485" t="s">
        <v>194</v>
      </c>
      <c r="P3485" s="2">
        <v>1066.29</v>
      </c>
      <c r="Q3485" s="2">
        <v>202.6</v>
      </c>
      <c r="R3485" t="s">
        <v>76</v>
      </c>
      <c r="S3485">
        <v>1</v>
      </c>
      <c r="T3485">
        <v>0</v>
      </c>
      <c r="U3485">
        <f>IF(AND(OR(Dashboard!$D$4="Semua",D3485=Dashboard!$D$4),OR(Dashboard!$H$4="Semua",E3485=Dashboard!$H$4)),1,0)</f>
        <v>1</v>
      </c>
      <c r="V3485">
        <f>IF(U3485=1,IF(COUNTIFS($C$2:C3485,C3485,$U$2:U3485,1)=1,1,0),0)</f>
        <v>0</v>
      </c>
    </row>
    <row r="3486" spans="1:22" x14ac:dyDescent="0.35">
      <c r="A3486">
        <v>13485</v>
      </c>
      <c r="B3486" s="1">
        <v>48046</v>
      </c>
      <c r="C3486">
        <v>1955</v>
      </c>
      <c r="D3486" t="s">
        <v>67</v>
      </c>
      <c r="E3486" t="s">
        <v>63</v>
      </c>
      <c r="F3486">
        <v>6</v>
      </c>
      <c r="G3486" s="2">
        <v>480.5</v>
      </c>
      <c r="H3486">
        <v>0.26</v>
      </c>
      <c r="I3486" t="s">
        <v>68</v>
      </c>
      <c r="J3486">
        <v>9</v>
      </c>
      <c r="K3486">
        <v>2</v>
      </c>
      <c r="L3486" s="2">
        <v>2133.42</v>
      </c>
      <c r="M3486">
        <v>2031</v>
      </c>
      <c r="N3486">
        <v>7</v>
      </c>
      <c r="O3486" t="s">
        <v>194</v>
      </c>
      <c r="P3486" s="2">
        <v>2883</v>
      </c>
      <c r="Q3486" s="2">
        <v>749.58</v>
      </c>
      <c r="R3486" t="s">
        <v>66</v>
      </c>
      <c r="S3486">
        <v>1</v>
      </c>
      <c r="T3486">
        <v>0</v>
      </c>
      <c r="U3486">
        <f>IF(AND(OR(Dashboard!$D$4="Semua",D3486=Dashboard!$D$4),OR(Dashboard!$H$4="Semua",E3486=Dashboard!$H$4)),1,0)</f>
        <v>1</v>
      </c>
      <c r="V3486">
        <f>IF(U3486=1,IF(COUNTIFS($C$2:C3486,C3486,$U$2:U3486,1)=1,1,0),0)</f>
        <v>0</v>
      </c>
    </row>
    <row r="3487" spans="1:22" x14ac:dyDescent="0.35">
      <c r="A3487">
        <v>13486</v>
      </c>
      <c r="B3487" s="1">
        <v>48047</v>
      </c>
      <c r="C3487">
        <v>1854</v>
      </c>
      <c r="D3487" t="s">
        <v>80</v>
      </c>
      <c r="E3487" t="s">
        <v>74</v>
      </c>
      <c r="F3487">
        <v>6</v>
      </c>
      <c r="G3487" s="2">
        <v>266.77999999999997</v>
      </c>
      <c r="H3487">
        <v>0.03</v>
      </c>
      <c r="I3487" t="s">
        <v>71</v>
      </c>
      <c r="J3487">
        <v>3</v>
      </c>
      <c r="K3487">
        <v>2.2999999999999998</v>
      </c>
      <c r="L3487" s="2">
        <v>1552.66</v>
      </c>
      <c r="M3487">
        <v>2031</v>
      </c>
      <c r="N3487">
        <v>7</v>
      </c>
      <c r="O3487" t="s">
        <v>194</v>
      </c>
      <c r="P3487" s="2">
        <v>1600.68</v>
      </c>
      <c r="Q3487" s="2">
        <v>48.02</v>
      </c>
      <c r="R3487" t="s">
        <v>75</v>
      </c>
      <c r="S3487">
        <v>1</v>
      </c>
      <c r="T3487">
        <v>0</v>
      </c>
      <c r="U3487">
        <f>IF(AND(OR(Dashboard!$D$4="Semua",D3487=Dashboard!$D$4),OR(Dashboard!$H$4="Semua",E3487=Dashboard!$H$4)),1,0)</f>
        <v>1</v>
      </c>
      <c r="V3487">
        <f>IF(U3487=1,IF(COUNTIFS($C$2:C3487,C3487,$U$2:U3487,1)=1,1,0),0)</f>
        <v>0</v>
      </c>
    </row>
    <row r="3488" spans="1:22" x14ac:dyDescent="0.35">
      <c r="A3488">
        <v>13487</v>
      </c>
      <c r="B3488" s="1">
        <v>48048</v>
      </c>
      <c r="C3488">
        <v>1855</v>
      </c>
      <c r="D3488" t="s">
        <v>67</v>
      </c>
      <c r="E3488" t="s">
        <v>70</v>
      </c>
      <c r="F3488">
        <v>2</v>
      </c>
      <c r="G3488" s="2">
        <v>280.5</v>
      </c>
      <c r="H3488">
        <v>0.19</v>
      </c>
      <c r="I3488" t="s">
        <v>68</v>
      </c>
      <c r="J3488">
        <v>11</v>
      </c>
      <c r="K3488">
        <v>2.5</v>
      </c>
      <c r="L3488" s="2">
        <v>454.41</v>
      </c>
      <c r="M3488">
        <v>2031</v>
      </c>
      <c r="N3488">
        <v>7</v>
      </c>
      <c r="O3488" t="s">
        <v>194</v>
      </c>
      <c r="P3488" s="2">
        <v>561</v>
      </c>
      <c r="Q3488" s="2">
        <v>106.59</v>
      </c>
      <c r="R3488" t="s">
        <v>76</v>
      </c>
      <c r="S3488">
        <v>1</v>
      </c>
      <c r="T3488">
        <v>0</v>
      </c>
      <c r="U3488">
        <f>IF(AND(OR(Dashboard!$D$4="Semua",D3488=Dashboard!$D$4),OR(Dashboard!$H$4="Semua",E3488=Dashboard!$H$4)),1,0)</f>
        <v>1</v>
      </c>
      <c r="V3488">
        <f>IF(U3488=1,IF(COUNTIFS($C$2:C3488,C3488,$U$2:U3488,1)=1,1,0),0)</f>
        <v>0</v>
      </c>
    </row>
    <row r="3489" spans="1:22" x14ac:dyDescent="0.35">
      <c r="A3489">
        <v>13488</v>
      </c>
      <c r="B3489" s="1">
        <v>48049</v>
      </c>
      <c r="C3489">
        <v>1172</v>
      </c>
      <c r="D3489" t="s">
        <v>67</v>
      </c>
      <c r="E3489" t="s">
        <v>78</v>
      </c>
      <c r="F3489">
        <v>6</v>
      </c>
      <c r="G3489" s="2">
        <v>529.41</v>
      </c>
      <c r="H3489">
        <v>0.1</v>
      </c>
      <c r="I3489" t="s">
        <v>71</v>
      </c>
      <c r="J3489">
        <v>2</v>
      </c>
      <c r="K3489">
        <v>1.8</v>
      </c>
      <c r="L3489" s="2">
        <v>2858.81</v>
      </c>
      <c r="M3489">
        <v>2031</v>
      </c>
      <c r="N3489">
        <v>7</v>
      </c>
      <c r="O3489" t="s">
        <v>194</v>
      </c>
      <c r="P3489" s="2">
        <v>3176.46</v>
      </c>
      <c r="Q3489" s="2">
        <v>317.64999999999998</v>
      </c>
      <c r="R3489" t="s">
        <v>69</v>
      </c>
      <c r="S3489">
        <v>1</v>
      </c>
      <c r="T3489">
        <v>0</v>
      </c>
      <c r="U3489">
        <f>IF(AND(OR(Dashboard!$D$4="Semua",D3489=Dashboard!$D$4),OR(Dashboard!$H$4="Semua",E3489=Dashboard!$H$4)),1,0)</f>
        <v>1</v>
      </c>
      <c r="V3489">
        <f>IF(U3489=1,IF(COUNTIFS($C$2:C3489,C3489,$U$2:U3489,1)=1,1,0),0)</f>
        <v>0</v>
      </c>
    </row>
    <row r="3490" spans="1:22" x14ac:dyDescent="0.35">
      <c r="A3490">
        <v>13489</v>
      </c>
      <c r="B3490" s="1">
        <v>48050</v>
      </c>
      <c r="C3490">
        <v>1466</v>
      </c>
      <c r="D3490" t="s">
        <v>67</v>
      </c>
      <c r="E3490" t="s">
        <v>78</v>
      </c>
      <c r="F3490">
        <v>5</v>
      </c>
      <c r="G3490" s="2">
        <v>539.12</v>
      </c>
      <c r="H3490">
        <v>0.34</v>
      </c>
      <c r="I3490" t="s">
        <v>64</v>
      </c>
      <c r="J3490">
        <v>10</v>
      </c>
      <c r="K3490">
        <v>2.4</v>
      </c>
      <c r="L3490" s="2">
        <v>1779.1</v>
      </c>
      <c r="M3490">
        <v>2031</v>
      </c>
      <c r="N3490">
        <v>7</v>
      </c>
      <c r="O3490" t="s">
        <v>194</v>
      </c>
      <c r="P3490" s="2">
        <v>2695.6</v>
      </c>
      <c r="Q3490" s="2">
        <v>916.5</v>
      </c>
      <c r="R3490" t="s">
        <v>72</v>
      </c>
      <c r="S3490">
        <v>1</v>
      </c>
      <c r="T3490">
        <v>0</v>
      </c>
      <c r="U3490">
        <f>IF(AND(OR(Dashboard!$D$4="Semua",D3490=Dashboard!$D$4),OR(Dashboard!$H$4="Semua",E3490=Dashboard!$H$4)),1,0)</f>
        <v>1</v>
      </c>
      <c r="V3490">
        <f>IF(U3490=1,IF(COUNTIFS($C$2:C3490,C3490,$U$2:U3490,1)=1,1,0),0)</f>
        <v>0</v>
      </c>
    </row>
    <row r="3491" spans="1:22" x14ac:dyDescent="0.35">
      <c r="A3491">
        <v>13490</v>
      </c>
      <c r="B3491" s="1">
        <v>48051</v>
      </c>
      <c r="C3491">
        <v>1580</v>
      </c>
      <c r="D3491" t="s">
        <v>80</v>
      </c>
      <c r="E3491" t="s">
        <v>63</v>
      </c>
      <c r="F3491">
        <v>3</v>
      </c>
      <c r="G3491" s="2">
        <v>154.63</v>
      </c>
      <c r="H3491">
        <v>0.3</v>
      </c>
      <c r="I3491" t="s">
        <v>71</v>
      </c>
      <c r="J3491">
        <v>10</v>
      </c>
      <c r="K3491">
        <v>2</v>
      </c>
      <c r="L3491" s="2">
        <v>324.72000000000003</v>
      </c>
      <c r="M3491">
        <v>2031</v>
      </c>
      <c r="N3491">
        <v>7</v>
      </c>
      <c r="O3491" t="s">
        <v>194</v>
      </c>
      <c r="P3491" s="2">
        <v>463.89</v>
      </c>
      <c r="Q3491" s="2">
        <v>139.16999999999999</v>
      </c>
      <c r="R3491" t="s">
        <v>66</v>
      </c>
      <c r="S3491">
        <v>1</v>
      </c>
      <c r="T3491">
        <v>0</v>
      </c>
      <c r="U3491">
        <f>IF(AND(OR(Dashboard!$D$4="Semua",D3491=Dashboard!$D$4),OR(Dashboard!$H$4="Semua",E3491=Dashboard!$H$4)),1,0)</f>
        <v>1</v>
      </c>
      <c r="V3491">
        <f>IF(U3491=1,IF(COUNTIFS($C$2:C3491,C3491,$U$2:U3491,1)=1,1,0),0)</f>
        <v>0</v>
      </c>
    </row>
    <row r="3492" spans="1:22" x14ac:dyDescent="0.35">
      <c r="A3492">
        <v>13491</v>
      </c>
      <c r="B3492" s="1">
        <v>48052</v>
      </c>
      <c r="C3492">
        <v>1415</v>
      </c>
      <c r="D3492" t="s">
        <v>80</v>
      </c>
      <c r="E3492" t="s">
        <v>74</v>
      </c>
      <c r="F3492">
        <v>2</v>
      </c>
      <c r="G3492" s="2">
        <v>131.56</v>
      </c>
      <c r="H3492">
        <v>0.26</v>
      </c>
      <c r="I3492" t="s">
        <v>71</v>
      </c>
      <c r="J3492">
        <v>5</v>
      </c>
      <c r="K3492">
        <v>5</v>
      </c>
      <c r="L3492" s="2">
        <v>194.71</v>
      </c>
      <c r="M3492">
        <v>2031</v>
      </c>
      <c r="N3492">
        <v>7</v>
      </c>
      <c r="O3492" t="s">
        <v>194</v>
      </c>
      <c r="P3492" s="2">
        <v>263.12</v>
      </c>
      <c r="Q3492" s="2">
        <v>68.41</v>
      </c>
      <c r="R3492" t="s">
        <v>66</v>
      </c>
      <c r="S3492">
        <v>1</v>
      </c>
      <c r="T3492">
        <v>0</v>
      </c>
      <c r="U3492">
        <f>IF(AND(OR(Dashboard!$D$4="Semua",D3492=Dashboard!$D$4),OR(Dashboard!$H$4="Semua",E3492=Dashboard!$H$4)),1,0)</f>
        <v>1</v>
      </c>
      <c r="V3492">
        <f>IF(U3492=1,IF(COUNTIFS($C$2:C3492,C3492,$U$2:U3492,1)=1,1,0),0)</f>
        <v>0</v>
      </c>
    </row>
    <row r="3493" spans="1:22" x14ac:dyDescent="0.35">
      <c r="A3493">
        <v>13492</v>
      </c>
      <c r="B3493" s="1">
        <v>48053</v>
      </c>
      <c r="C3493">
        <v>1939</v>
      </c>
      <c r="D3493" t="s">
        <v>67</v>
      </c>
      <c r="E3493" t="s">
        <v>74</v>
      </c>
      <c r="F3493">
        <v>3</v>
      </c>
      <c r="G3493" s="2">
        <v>305.3</v>
      </c>
      <c r="H3493">
        <v>0.33</v>
      </c>
      <c r="I3493" t="s">
        <v>71</v>
      </c>
      <c r="J3493">
        <v>8</v>
      </c>
      <c r="K3493">
        <v>4.0999999999999996</v>
      </c>
      <c r="L3493" s="2">
        <v>613.65</v>
      </c>
      <c r="M3493">
        <v>2031</v>
      </c>
      <c r="N3493">
        <v>7</v>
      </c>
      <c r="O3493" t="s">
        <v>194</v>
      </c>
      <c r="P3493" s="2">
        <v>915.9</v>
      </c>
      <c r="Q3493" s="2">
        <v>302.25</v>
      </c>
      <c r="R3493" t="s">
        <v>72</v>
      </c>
      <c r="S3493">
        <v>1</v>
      </c>
      <c r="T3493">
        <v>0</v>
      </c>
      <c r="U3493">
        <f>IF(AND(OR(Dashboard!$D$4="Semua",D3493=Dashboard!$D$4),OR(Dashboard!$H$4="Semua",E3493=Dashboard!$H$4)),1,0)</f>
        <v>1</v>
      </c>
      <c r="V3493">
        <f>IF(U3493=1,IF(COUNTIFS($C$2:C3493,C3493,$U$2:U3493,1)=1,1,0),0)</f>
        <v>0</v>
      </c>
    </row>
    <row r="3494" spans="1:22" x14ac:dyDescent="0.35">
      <c r="A3494">
        <v>13493</v>
      </c>
      <c r="B3494" s="1">
        <v>48054</v>
      </c>
      <c r="C3494">
        <v>1448</v>
      </c>
      <c r="D3494" t="s">
        <v>73</v>
      </c>
      <c r="E3494" t="s">
        <v>78</v>
      </c>
      <c r="F3494">
        <v>1</v>
      </c>
      <c r="G3494" s="2">
        <v>541.66</v>
      </c>
      <c r="H3494">
        <v>0.12</v>
      </c>
      <c r="I3494" t="s">
        <v>71</v>
      </c>
      <c r="J3494">
        <v>3</v>
      </c>
      <c r="K3494">
        <v>4.4000000000000004</v>
      </c>
      <c r="L3494" s="2">
        <v>476.66</v>
      </c>
      <c r="M3494">
        <v>2031</v>
      </c>
      <c r="N3494">
        <v>7</v>
      </c>
      <c r="O3494" t="s">
        <v>194</v>
      </c>
      <c r="P3494" s="2">
        <v>541.66</v>
      </c>
      <c r="Q3494" s="2">
        <v>65</v>
      </c>
      <c r="R3494" t="s">
        <v>79</v>
      </c>
      <c r="S3494">
        <v>1</v>
      </c>
      <c r="T3494">
        <v>0</v>
      </c>
      <c r="U3494">
        <f>IF(AND(OR(Dashboard!$D$4="Semua",D3494=Dashboard!$D$4),OR(Dashboard!$H$4="Semua",E3494=Dashboard!$H$4)),1,0)</f>
        <v>1</v>
      </c>
      <c r="V3494">
        <f>IF(U3494=1,IF(COUNTIFS($C$2:C3494,C3494,$U$2:U3494,1)=1,1,0),0)</f>
        <v>0</v>
      </c>
    </row>
    <row r="3495" spans="1:22" x14ac:dyDescent="0.35">
      <c r="A3495">
        <v>13494</v>
      </c>
      <c r="B3495" s="1">
        <v>48055</v>
      </c>
      <c r="C3495">
        <v>1086</v>
      </c>
      <c r="D3495" t="s">
        <v>67</v>
      </c>
      <c r="E3495" t="s">
        <v>70</v>
      </c>
      <c r="F3495">
        <v>3</v>
      </c>
      <c r="G3495" s="2">
        <v>203.58</v>
      </c>
      <c r="H3495">
        <v>0.32</v>
      </c>
      <c r="I3495" t="s">
        <v>71</v>
      </c>
      <c r="J3495">
        <v>6</v>
      </c>
      <c r="K3495">
        <v>4.7</v>
      </c>
      <c r="L3495" s="2">
        <v>415.3</v>
      </c>
      <c r="M3495">
        <v>2031</v>
      </c>
      <c r="N3495">
        <v>7</v>
      </c>
      <c r="O3495" t="s">
        <v>194</v>
      </c>
      <c r="P3495" s="2">
        <v>610.74</v>
      </c>
      <c r="Q3495" s="2">
        <v>195.44</v>
      </c>
      <c r="R3495" t="s">
        <v>72</v>
      </c>
      <c r="S3495">
        <v>1</v>
      </c>
      <c r="T3495">
        <v>0</v>
      </c>
      <c r="U3495">
        <f>IF(AND(OR(Dashboard!$D$4="Semua",D3495=Dashboard!$D$4),OR(Dashboard!$H$4="Semua",E3495=Dashboard!$H$4)),1,0)</f>
        <v>1</v>
      </c>
      <c r="V3495">
        <f>IF(U3495=1,IF(COUNTIFS($C$2:C3495,C3495,$U$2:U3495,1)=1,1,0),0)</f>
        <v>0</v>
      </c>
    </row>
    <row r="3496" spans="1:22" x14ac:dyDescent="0.35">
      <c r="A3496">
        <v>13495</v>
      </c>
      <c r="B3496" s="1">
        <v>48056</v>
      </c>
      <c r="C3496">
        <v>1100</v>
      </c>
      <c r="D3496" t="s">
        <v>67</v>
      </c>
      <c r="E3496" t="s">
        <v>74</v>
      </c>
      <c r="F3496">
        <v>3</v>
      </c>
      <c r="G3496" s="2">
        <v>396.43</v>
      </c>
      <c r="H3496">
        <v>0.11</v>
      </c>
      <c r="I3496" t="s">
        <v>68</v>
      </c>
      <c r="J3496">
        <v>9</v>
      </c>
      <c r="K3496">
        <v>3.7</v>
      </c>
      <c r="L3496" s="2">
        <v>1058.47</v>
      </c>
      <c r="M3496">
        <v>2031</v>
      </c>
      <c r="N3496">
        <v>7</v>
      </c>
      <c r="O3496" t="s">
        <v>194</v>
      </c>
      <c r="P3496" s="2">
        <v>1189.29</v>
      </c>
      <c r="Q3496" s="2">
        <v>130.82</v>
      </c>
      <c r="R3496" t="s">
        <v>79</v>
      </c>
      <c r="S3496">
        <v>1</v>
      </c>
      <c r="T3496">
        <v>0</v>
      </c>
      <c r="U3496">
        <f>IF(AND(OR(Dashboard!$D$4="Semua",D3496=Dashboard!$D$4),OR(Dashboard!$H$4="Semua",E3496=Dashboard!$H$4)),1,0)</f>
        <v>1</v>
      </c>
      <c r="V3496">
        <f>IF(U3496=1,IF(COUNTIFS($C$2:C3496,C3496,$U$2:U3496,1)=1,1,0),0)</f>
        <v>0</v>
      </c>
    </row>
    <row r="3497" spans="1:22" x14ac:dyDescent="0.35">
      <c r="A3497">
        <v>13496</v>
      </c>
      <c r="B3497" s="1">
        <v>48057</v>
      </c>
      <c r="C3497">
        <v>1007</v>
      </c>
      <c r="D3497" t="s">
        <v>73</v>
      </c>
      <c r="E3497" t="s">
        <v>70</v>
      </c>
      <c r="F3497">
        <v>1</v>
      </c>
      <c r="G3497" s="2">
        <v>429.27</v>
      </c>
      <c r="H3497">
        <v>0.26</v>
      </c>
      <c r="I3497" t="s">
        <v>64</v>
      </c>
      <c r="J3497">
        <v>2</v>
      </c>
      <c r="K3497">
        <v>1.7</v>
      </c>
      <c r="L3497" s="2">
        <v>317.66000000000003</v>
      </c>
      <c r="M3497">
        <v>2031</v>
      </c>
      <c r="N3497">
        <v>7</v>
      </c>
      <c r="O3497" t="s">
        <v>194</v>
      </c>
      <c r="P3497" s="2">
        <v>429.27</v>
      </c>
      <c r="Q3497" s="2">
        <v>111.61</v>
      </c>
      <c r="R3497" t="s">
        <v>66</v>
      </c>
      <c r="S3497">
        <v>1</v>
      </c>
      <c r="T3497">
        <v>0</v>
      </c>
      <c r="U3497">
        <f>IF(AND(OR(Dashboard!$D$4="Semua",D3497=Dashboard!$D$4),OR(Dashboard!$H$4="Semua",E3497=Dashboard!$H$4)),1,0)</f>
        <v>1</v>
      </c>
      <c r="V3497">
        <f>IF(U3497=1,IF(COUNTIFS($C$2:C3497,C3497,$U$2:U3497,1)=1,1,0),0)</f>
        <v>0</v>
      </c>
    </row>
    <row r="3498" spans="1:22" x14ac:dyDescent="0.35">
      <c r="A3498">
        <v>13497</v>
      </c>
      <c r="B3498" s="1">
        <v>48058</v>
      </c>
      <c r="C3498">
        <v>1844</v>
      </c>
      <c r="D3498" t="s">
        <v>80</v>
      </c>
      <c r="E3498" t="s">
        <v>78</v>
      </c>
      <c r="F3498">
        <v>2</v>
      </c>
      <c r="G3498" s="2">
        <v>470.52</v>
      </c>
      <c r="H3498">
        <v>0.26</v>
      </c>
      <c r="I3498" t="s">
        <v>68</v>
      </c>
      <c r="J3498">
        <v>8</v>
      </c>
      <c r="K3498">
        <v>4</v>
      </c>
      <c r="L3498" s="2">
        <v>696.37</v>
      </c>
      <c r="M3498">
        <v>2031</v>
      </c>
      <c r="N3498">
        <v>7</v>
      </c>
      <c r="O3498" t="s">
        <v>194</v>
      </c>
      <c r="P3498" s="2">
        <v>941.04</v>
      </c>
      <c r="Q3498" s="2">
        <v>244.67</v>
      </c>
      <c r="R3498" t="s">
        <v>66</v>
      </c>
      <c r="S3498">
        <v>1</v>
      </c>
      <c r="T3498">
        <v>0</v>
      </c>
      <c r="U3498">
        <f>IF(AND(OR(Dashboard!$D$4="Semua",D3498=Dashboard!$D$4),OR(Dashboard!$H$4="Semua",E3498=Dashboard!$H$4)),1,0)</f>
        <v>1</v>
      </c>
      <c r="V3498">
        <f>IF(U3498=1,IF(COUNTIFS($C$2:C3498,C3498,$U$2:U3498,1)=1,1,0),0)</f>
        <v>0</v>
      </c>
    </row>
    <row r="3499" spans="1:22" x14ac:dyDescent="0.35">
      <c r="A3499">
        <v>13498</v>
      </c>
      <c r="B3499" s="1">
        <v>48059</v>
      </c>
      <c r="C3499">
        <v>1199</v>
      </c>
      <c r="D3499" t="s">
        <v>67</v>
      </c>
      <c r="E3499" t="s">
        <v>74</v>
      </c>
      <c r="F3499">
        <v>3</v>
      </c>
      <c r="G3499" s="2">
        <v>344.9</v>
      </c>
      <c r="H3499">
        <v>0.01</v>
      </c>
      <c r="I3499" t="s">
        <v>68</v>
      </c>
      <c r="J3499">
        <v>10</v>
      </c>
      <c r="K3499">
        <v>1.1000000000000001</v>
      </c>
      <c r="L3499" s="2">
        <v>1024.3499999999999</v>
      </c>
      <c r="M3499">
        <v>2031</v>
      </c>
      <c r="N3499">
        <v>7</v>
      </c>
      <c r="O3499" t="s">
        <v>194</v>
      </c>
      <c r="P3499" s="2">
        <v>1034.7</v>
      </c>
      <c r="Q3499" s="2">
        <v>10.35</v>
      </c>
      <c r="R3499" t="s">
        <v>75</v>
      </c>
      <c r="S3499">
        <v>1</v>
      </c>
      <c r="T3499">
        <v>0</v>
      </c>
      <c r="U3499">
        <f>IF(AND(OR(Dashboard!$D$4="Semua",D3499=Dashboard!$D$4),OR(Dashboard!$H$4="Semua",E3499=Dashboard!$H$4)),1,0)</f>
        <v>1</v>
      </c>
      <c r="V3499">
        <f>IF(U3499=1,IF(COUNTIFS($C$2:C3499,C3499,$U$2:U3499,1)=1,1,0),0)</f>
        <v>0</v>
      </c>
    </row>
    <row r="3500" spans="1:22" x14ac:dyDescent="0.35">
      <c r="A3500">
        <v>13499</v>
      </c>
      <c r="B3500" s="1">
        <v>48060</v>
      </c>
      <c r="C3500">
        <v>1504</v>
      </c>
      <c r="D3500" t="s">
        <v>73</v>
      </c>
      <c r="E3500" t="s">
        <v>70</v>
      </c>
      <c r="F3500">
        <v>4</v>
      </c>
      <c r="G3500" s="2">
        <v>250.44</v>
      </c>
      <c r="H3500">
        <v>0.13</v>
      </c>
      <c r="I3500" t="s">
        <v>68</v>
      </c>
      <c r="J3500">
        <v>7</v>
      </c>
      <c r="K3500">
        <v>1.5</v>
      </c>
      <c r="L3500" s="2">
        <v>871.53</v>
      </c>
      <c r="M3500">
        <v>2031</v>
      </c>
      <c r="N3500">
        <v>7</v>
      </c>
      <c r="O3500" t="s">
        <v>194</v>
      </c>
      <c r="P3500" s="2">
        <v>1001.76</v>
      </c>
      <c r="Q3500" s="2">
        <v>130.22999999999999</v>
      </c>
      <c r="R3500" t="s">
        <v>79</v>
      </c>
      <c r="S3500">
        <v>1</v>
      </c>
      <c r="T3500">
        <v>0</v>
      </c>
      <c r="U3500">
        <f>IF(AND(OR(Dashboard!$D$4="Semua",D3500=Dashboard!$D$4),OR(Dashboard!$H$4="Semua",E3500=Dashboard!$H$4)),1,0)</f>
        <v>1</v>
      </c>
      <c r="V3500">
        <f>IF(U3500=1,IF(COUNTIFS($C$2:C3500,C3500,$U$2:U3500,1)=1,1,0),0)</f>
        <v>0</v>
      </c>
    </row>
    <row r="3501" spans="1:22" x14ac:dyDescent="0.35">
      <c r="A3501">
        <v>13500</v>
      </c>
      <c r="B3501" s="1">
        <v>48061</v>
      </c>
      <c r="C3501">
        <v>1086</v>
      </c>
      <c r="D3501" t="s">
        <v>73</v>
      </c>
      <c r="E3501" t="s">
        <v>78</v>
      </c>
      <c r="F3501">
        <v>3</v>
      </c>
      <c r="G3501" s="2">
        <v>580.70000000000005</v>
      </c>
      <c r="H3501">
        <v>0.01</v>
      </c>
      <c r="I3501" t="s">
        <v>68</v>
      </c>
      <c r="J3501">
        <v>3</v>
      </c>
      <c r="K3501">
        <v>1.1000000000000001</v>
      </c>
      <c r="L3501" s="2">
        <v>1724.68</v>
      </c>
      <c r="M3501">
        <v>2031</v>
      </c>
      <c r="N3501">
        <v>8</v>
      </c>
      <c r="O3501" t="s">
        <v>195</v>
      </c>
      <c r="P3501" s="2">
        <v>1742.1</v>
      </c>
      <c r="Q3501" s="2">
        <v>17.420000000000002</v>
      </c>
      <c r="R3501" t="s">
        <v>75</v>
      </c>
      <c r="S3501">
        <v>1</v>
      </c>
      <c r="T3501">
        <v>0</v>
      </c>
      <c r="U3501">
        <f>IF(AND(OR(Dashboard!$D$4="Semua",D3501=Dashboard!$D$4),OR(Dashboard!$H$4="Semua",E3501=Dashboard!$H$4)),1,0)</f>
        <v>1</v>
      </c>
      <c r="V3501">
        <f>IF(U3501=1,IF(COUNTIFS($C$2:C3501,C3501,$U$2:U3501,1)=1,1,0),0)</f>
        <v>0</v>
      </c>
    </row>
    <row r="3502" spans="1:22" x14ac:dyDescent="0.35">
      <c r="A3502">
        <v>13501</v>
      </c>
      <c r="B3502" s="1">
        <v>48062</v>
      </c>
      <c r="C3502">
        <v>1042</v>
      </c>
      <c r="D3502" t="s">
        <v>73</v>
      </c>
      <c r="E3502" t="s">
        <v>70</v>
      </c>
      <c r="F3502">
        <v>2</v>
      </c>
      <c r="G3502" s="2">
        <v>372.63</v>
      </c>
      <c r="H3502">
        <v>0.35</v>
      </c>
      <c r="I3502" t="s">
        <v>71</v>
      </c>
      <c r="J3502">
        <v>1</v>
      </c>
      <c r="K3502">
        <v>1.5</v>
      </c>
      <c r="L3502" s="2">
        <v>484.42</v>
      </c>
      <c r="M3502">
        <v>2031</v>
      </c>
      <c r="N3502">
        <v>8</v>
      </c>
      <c r="O3502" t="s">
        <v>195</v>
      </c>
      <c r="P3502" s="2">
        <v>745.26</v>
      </c>
      <c r="Q3502" s="2">
        <v>260.83999999999997</v>
      </c>
      <c r="R3502" t="s">
        <v>72</v>
      </c>
      <c r="S3502">
        <v>1</v>
      </c>
      <c r="T3502">
        <v>0</v>
      </c>
      <c r="U3502">
        <f>IF(AND(OR(Dashboard!$D$4="Semua",D3502=Dashboard!$D$4),OR(Dashboard!$H$4="Semua",E3502=Dashboard!$H$4)),1,0)</f>
        <v>1</v>
      </c>
      <c r="V3502">
        <f>IF(U3502=1,IF(COUNTIFS($C$2:C3502,C3502,$U$2:U3502,1)=1,1,0),0)</f>
        <v>0</v>
      </c>
    </row>
    <row r="3503" spans="1:22" x14ac:dyDescent="0.35">
      <c r="A3503">
        <v>13502</v>
      </c>
      <c r="B3503" s="1">
        <v>48063</v>
      </c>
      <c r="C3503">
        <v>1384</v>
      </c>
      <c r="D3503" t="s">
        <v>62</v>
      </c>
      <c r="E3503" t="s">
        <v>74</v>
      </c>
      <c r="F3503">
        <v>6</v>
      </c>
      <c r="G3503" s="2">
        <v>441.21</v>
      </c>
      <c r="H3503">
        <v>0.04</v>
      </c>
      <c r="I3503" t="s">
        <v>68</v>
      </c>
      <c r="J3503">
        <v>6</v>
      </c>
      <c r="K3503">
        <v>4</v>
      </c>
      <c r="L3503" s="2">
        <v>2541.37</v>
      </c>
      <c r="M3503">
        <v>2031</v>
      </c>
      <c r="N3503">
        <v>8</v>
      </c>
      <c r="O3503" t="s">
        <v>195</v>
      </c>
      <c r="P3503" s="2">
        <v>2647.26</v>
      </c>
      <c r="Q3503" s="2">
        <v>105.89</v>
      </c>
      <c r="R3503" t="s">
        <v>75</v>
      </c>
      <c r="S3503">
        <v>1</v>
      </c>
      <c r="T3503">
        <v>0</v>
      </c>
      <c r="U3503">
        <f>IF(AND(OR(Dashboard!$D$4="Semua",D3503=Dashboard!$D$4),OR(Dashboard!$H$4="Semua",E3503=Dashboard!$H$4)),1,0)</f>
        <v>1</v>
      </c>
      <c r="V3503">
        <f>IF(U3503=1,IF(COUNTIFS($C$2:C3503,C3503,$U$2:U3503,1)=1,1,0),0)</f>
        <v>0</v>
      </c>
    </row>
    <row r="3504" spans="1:22" x14ac:dyDescent="0.35">
      <c r="A3504">
        <v>13503</v>
      </c>
      <c r="B3504" s="1">
        <v>48064</v>
      </c>
      <c r="C3504">
        <v>1620</v>
      </c>
      <c r="D3504" t="s">
        <v>73</v>
      </c>
      <c r="E3504" t="s">
        <v>63</v>
      </c>
      <c r="F3504">
        <v>7</v>
      </c>
      <c r="G3504" s="2">
        <v>216.81</v>
      </c>
      <c r="H3504">
        <v>0.19</v>
      </c>
      <c r="I3504" t="s">
        <v>64</v>
      </c>
      <c r="J3504">
        <v>2</v>
      </c>
      <c r="K3504">
        <v>4.5</v>
      </c>
      <c r="L3504" s="2">
        <v>1229.31</v>
      </c>
      <c r="M3504">
        <v>2031</v>
      </c>
      <c r="N3504">
        <v>8</v>
      </c>
      <c r="O3504" t="s">
        <v>195</v>
      </c>
      <c r="P3504" s="2">
        <v>1517.67</v>
      </c>
      <c r="Q3504" s="2">
        <v>288.36</v>
      </c>
      <c r="R3504" t="s">
        <v>76</v>
      </c>
      <c r="S3504">
        <v>1</v>
      </c>
      <c r="T3504">
        <v>0</v>
      </c>
      <c r="U3504">
        <f>IF(AND(OR(Dashboard!$D$4="Semua",D3504=Dashboard!$D$4),OR(Dashboard!$H$4="Semua",E3504=Dashboard!$H$4)),1,0)</f>
        <v>1</v>
      </c>
      <c r="V3504">
        <f>IF(U3504=1,IF(COUNTIFS($C$2:C3504,C3504,$U$2:U3504,1)=1,1,0),0)</f>
        <v>0</v>
      </c>
    </row>
    <row r="3505" spans="1:22" x14ac:dyDescent="0.35">
      <c r="A3505">
        <v>13504</v>
      </c>
      <c r="B3505" s="1">
        <v>48065</v>
      </c>
      <c r="C3505">
        <v>1434</v>
      </c>
      <c r="D3505" t="s">
        <v>73</v>
      </c>
      <c r="E3505" t="s">
        <v>70</v>
      </c>
      <c r="F3505">
        <v>1</v>
      </c>
      <c r="G3505" s="2">
        <v>406.92</v>
      </c>
      <c r="H3505">
        <v>0.28000000000000003</v>
      </c>
      <c r="I3505" t="s">
        <v>68</v>
      </c>
      <c r="J3505">
        <v>3</v>
      </c>
      <c r="K3505">
        <v>2.1</v>
      </c>
      <c r="L3505" s="2">
        <v>292.98</v>
      </c>
      <c r="M3505">
        <v>2031</v>
      </c>
      <c r="N3505">
        <v>8</v>
      </c>
      <c r="O3505" t="s">
        <v>195</v>
      </c>
      <c r="P3505" s="2">
        <v>406.92</v>
      </c>
      <c r="Q3505" s="2">
        <v>113.94</v>
      </c>
      <c r="R3505" t="s">
        <v>66</v>
      </c>
      <c r="S3505">
        <v>1</v>
      </c>
      <c r="T3505">
        <v>0</v>
      </c>
      <c r="U3505">
        <f>IF(AND(OR(Dashboard!$D$4="Semua",D3505=Dashboard!$D$4),OR(Dashboard!$H$4="Semua",E3505=Dashboard!$H$4)),1,0)</f>
        <v>1</v>
      </c>
      <c r="V3505">
        <f>IF(U3505=1,IF(COUNTIFS($C$2:C3505,C3505,$U$2:U3505,1)=1,1,0),0)</f>
        <v>0</v>
      </c>
    </row>
    <row r="3506" spans="1:22" x14ac:dyDescent="0.35">
      <c r="A3506">
        <v>13505</v>
      </c>
      <c r="B3506" s="1">
        <v>48066</v>
      </c>
      <c r="C3506">
        <v>1407</v>
      </c>
      <c r="D3506" t="s">
        <v>67</v>
      </c>
      <c r="E3506" t="s">
        <v>63</v>
      </c>
      <c r="F3506">
        <v>6</v>
      </c>
      <c r="G3506" s="2">
        <v>165.81</v>
      </c>
      <c r="H3506">
        <v>7.0000000000000007E-2</v>
      </c>
      <c r="I3506" t="s">
        <v>68</v>
      </c>
      <c r="J3506">
        <v>5</v>
      </c>
      <c r="K3506">
        <v>1.5</v>
      </c>
      <c r="L3506" s="2">
        <v>925.22</v>
      </c>
      <c r="M3506">
        <v>2031</v>
      </c>
      <c r="N3506">
        <v>8</v>
      </c>
      <c r="O3506" t="s">
        <v>195</v>
      </c>
      <c r="P3506" s="2">
        <v>994.86</v>
      </c>
      <c r="Q3506" s="2">
        <v>69.64</v>
      </c>
      <c r="R3506" t="s">
        <v>69</v>
      </c>
      <c r="S3506">
        <v>1</v>
      </c>
      <c r="T3506">
        <v>0</v>
      </c>
      <c r="U3506">
        <f>IF(AND(OR(Dashboard!$D$4="Semua",D3506=Dashboard!$D$4),OR(Dashboard!$H$4="Semua",E3506=Dashboard!$H$4)),1,0)</f>
        <v>1</v>
      </c>
      <c r="V3506">
        <f>IF(U3506=1,IF(COUNTIFS($C$2:C3506,C3506,$U$2:U3506,1)=1,1,0),0)</f>
        <v>0</v>
      </c>
    </row>
    <row r="3507" spans="1:22" x14ac:dyDescent="0.35">
      <c r="A3507">
        <v>13506</v>
      </c>
      <c r="B3507" s="1">
        <v>48067</v>
      </c>
      <c r="C3507">
        <v>1482</v>
      </c>
      <c r="D3507" t="s">
        <v>73</v>
      </c>
      <c r="E3507" t="s">
        <v>74</v>
      </c>
      <c r="F3507">
        <v>2</v>
      </c>
      <c r="G3507" s="2">
        <v>158.38</v>
      </c>
      <c r="H3507">
        <v>0.17</v>
      </c>
      <c r="I3507" t="s">
        <v>68</v>
      </c>
      <c r="J3507">
        <v>11</v>
      </c>
      <c r="K3507">
        <v>2.1</v>
      </c>
      <c r="L3507" s="2">
        <v>262.91000000000003</v>
      </c>
      <c r="M3507">
        <v>2031</v>
      </c>
      <c r="N3507">
        <v>8</v>
      </c>
      <c r="O3507" t="s">
        <v>195</v>
      </c>
      <c r="P3507" s="2">
        <v>316.76</v>
      </c>
      <c r="Q3507" s="2">
        <v>53.85</v>
      </c>
      <c r="R3507" t="s">
        <v>76</v>
      </c>
      <c r="S3507">
        <v>1</v>
      </c>
      <c r="T3507">
        <v>0</v>
      </c>
      <c r="U3507">
        <f>IF(AND(OR(Dashboard!$D$4="Semua",D3507=Dashboard!$D$4),OR(Dashboard!$H$4="Semua",E3507=Dashboard!$H$4)),1,0)</f>
        <v>1</v>
      </c>
      <c r="V3507">
        <f>IF(U3507=1,IF(COUNTIFS($C$2:C3507,C3507,$U$2:U3507,1)=1,1,0),0)</f>
        <v>0</v>
      </c>
    </row>
    <row r="3508" spans="1:22" x14ac:dyDescent="0.35">
      <c r="A3508">
        <v>13507</v>
      </c>
      <c r="B3508" s="1">
        <v>48068</v>
      </c>
      <c r="C3508">
        <v>1663</v>
      </c>
      <c r="D3508" t="s">
        <v>73</v>
      </c>
      <c r="E3508" t="s">
        <v>63</v>
      </c>
      <c r="F3508">
        <v>5</v>
      </c>
      <c r="G3508" s="2">
        <v>433.11</v>
      </c>
      <c r="H3508">
        <v>0.21</v>
      </c>
      <c r="I3508" t="s">
        <v>71</v>
      </c>
      <c r="J3508">
        <v>8</v>
      </c>
      <c r="K3508">
        <v>3.6</v>
      </c>
      <c r="L3508" s="2">
        <v>1710.78</v>
      </c>
      <c r="M3508">
        <v>2031</v>
      </c>
      <c r="N3508">
        <v>8</v>
      </c>
      <c r="O3508" t="s">
        <v>195</v>
      </c>
      <c r="P3508" s="2">
        <v>2165.5500000000002</v>
      </c>
      <c r="Q3508" s="2">
        <v>454.77</v>
      </c>
      <c r="R3508" t="s">
        <v>77</v>
      </c>
      <c r="S3508">
        <v>1</v>
      </c>
      <c r="T3508">
        <v>0</v>
      </c>
      <c r="U3508">
        <f>IF(AND(OR(Dashboard!$D$4="Semua",D3508=Dashboard!$D$4),OR(Dashboard!$H$4="Semua",E3508=Dashboard!$H$4)),1,0)</f>
        <v>1</v>
      </c>
      <c r="V3508">
        <f>IF(U3508=1,IF(COUNTIFS($C$2:C3508,C3508,$U$2:U3508,1)=1,1,0),0)</f>
        <v>0</v>
      </c>
    </row>
    <row r="3509" spans="1:22" x14ac:dyDescent="0.35">
      <c r="A3509">
        <v>13508</v>
      </c>
      <c r="B3509" s="1">
        <v>48069</v>
      </c>
      <c r="C3509">
        <v>1016</v>
      </c>
      <c r="D3509" t="s">
        <v>73</v>
      </c>
      <c r="E3509" t="s">
        <v>78</v>
      </c>
      <c r="F3509">
        <v>7</v>
      </c>
      <c r="G3509" s="2">
        <v>320.02</v>
      </c>
      <c r="H3509">
        <v>0.06</v>
      </c>
      <c r="I3509" t="s">
        <v>64</v>
      </c>
      <c r="J3509">
        <v>2</v>
      </c>
      <c r="K3509">
        <v>2.4</v>
      </c>
      <c r="L3509" s="2">
        <v>2105.73</v>
      </c>
      <c r="M3509">
        <v>2031</v>
      </c>
      <c r="N3509">
        <v>8</v>
      </c>
      <c r="O3509" t="s">
        <v>195</v>
      </c>
      <c r="P3509" s="2">
        <v>2240.14</v>
      </c>
      <c r="Q3509" s="2">
        <v>134.41</v>
      </c>
      <c r="R3509" t="s">
        <v>69</v>
      </c>
      <c r="S3509">
        <v>1</v>
      </c>
      <c r="T3509">
        <v>0</v>
      </c>
      <c r="U3509">
        <f>IF(AND(OR(Dashboard!$D$4="Semua",D3509=Dashboard!$D$4),OR(Dashboard!$H$4="Semua",E3509=Dashboard!$H$4)),1,0)</f>
        <v>1</v>
      </c>
      <c r="V3509">
        <f>IF(U3509=1,IF(COUNTIFS($C$2:C3509,C3509,$U$2:U3509,1)=1,1,0),0)</f>
        <v>0</v>
      </c>
    </row>
    <row r="3510" spans="1:22" x14ac:dyDescent="0.35">
      <c r="A3510">
        <v>13509</v>
      </c>
      <c r="B3510" s="1">
        <v>48070</v>
      </c>
      <c r="C3510">
        <v>1644</v>
      </c>
      <c r="D3510" t="s">
        <v>67</v>
      </c>
      <c r="E3510" t="s">
        <v>63</v>
      </c>
      <c r="F3510">
        <v>6</v>
      </c>
      <c r="G3510" s="2">
        <v>414.72</v>
      </c>
      <c r="H3510">
        <v>0.27</v>
      </c>
      <c r="I3510" t="s">
        <v>71</v>
      </c>
      <c r="J3510">
        <v>6</v>
      </c>
      <c r="K3510">
        <v>4.8</v>
      </c>
      <c r="L3510" s="2">
        <v>1816.47</v>
      </c>
      <c r="M3510">
        <v>2031</v>
      </c>
      <c r="N3510">
        <v>8</v>
      </c>
      <c r="O3510" t="s">
        <v>195</v>
      </c>
      <c r="P3510" s="2">
        <v>2488.3200000000002</v>
      </c>
      <c r="Q3510" s="2">
        <v>671.85</v>
      </c>
      <c r="R3510" t="s">
        <v>66</v>
      </c>
      <c r="S3510">
        <v>1</v>
      </c>
      <c r="T3510">
        <v>0</v>
      </c>
      <c r="U3510">
        <f>IF(AND(OR(Dashboard!$D$4="Semua",D3510=Dashboard!$D$4),OR(Dashboard!$H$4="Semua",E3510=Dashboard!$H$4)),1,0)</f>
        <v>1</v>
      </c>
      <c r="V3510">
        <f>IF(U3510=1,IF(COUNTIFS($C$2:C3510,C3510,$U$2:U3510,1)=1,1,0),0)</f>
        <v>0</v>
      </c>
    </row>
    <row r="3511" spans="1:22" x14ac:dyDescent="0.35">
      <c r="A3511">
        <v>13510</v>
      </c>
      <c r="B3511" s="1">
        <v>48071</v>
      </c>
      <c r="C3511">
        <v>1147</v>
      </c>
      <c r="D3511" t="s">
        <v>67</v>
      </c>
      <c r="E3511" t="s">
        <v>70</v>
      </c>
      <c r="F3511">
        <v>3</v>
      </c>
      <c r="G3511" s="2">
        <v>172.62</v>
      </c>
      <c r="H3511">
        <v>0.1</v>
      </c>
      <c r="I3511" t="s">
        <v>68</v>
      </c>
      <c r="J3511">
        <v>1</v>
      </c>
      <c r="K3511">
        <v>1.5</v>
      </c>
      <c r="L3511" s="2">
        <v>466.07</v>
      </c>
      <c r="M3511">
        <v>2031</v>
      </c>
      <c r="N3511">
        <v>8</v>
      </c>
      <c r="O3511" t="s">
        <v>195</v>
      </c>
      <c r="P3511" s="2">
        <v>517.86</v>
      </c>
      <c r="Q3511" s="2">
        <v>51.79</v>
      </c>
      <c r="R3511" t="s">
        <v>69</v>
      </c>
      <c r="S3511">
        <v>1</v>
      </c>
      <c r="T3511">
        <v>0</v>
      </c>
      <c r="U3511">
        <f>IF(AND(OR(Dashboard!$D$4="Semua",D3511=Dashboard!$D$4),OR(Dashboard!$H$4="Semua",E3511=Dashboard!$H$4)),1,0)</f>
        <v>1</v>
      </c>
      <c r="V3511">
        <f>IF(U3511=1,IF(COUNTIFS($C$2:C3511,C3511,$U$2:U3511,1)=1,1,0),0)</f>
        <v>0</v>
      </c>
    </row>
    <row r="3512" spans="1:22" x14ac:dyDescent="0.35">
      <c r="A3512">
        <v>13511</v>
      </c>
      <c r="B3512" s="1">
        <v>48072</v>
      </c>
      <c r="C3512">
        <v>1276</v>
      </c>
      <c r="D3512" t="s">
        <v>67</v>
      </c>
      <c r="E3512" t="s">
        <v>70</v>
      </c>
      <c r="F3512">
        <v>7</v>
      </c>
      <c r="G3512" s="2">
        <v>365.25</v>
      </c>
      <c r="H3512">
        <v>7.0000000000000007E-2</v>
      </c>
      <c r="I3512" t="s">
        <v>64</v>
      </c>
      <c r="J3512">
        <v>7</v>
      </c>
      <c r="K3512">
        <v>5</v>
      </c>
      <c r="L3512" s="2">
        <v>2377.7800000000002</v>
      </c>
      <c r="M3512">
        <v>2031</v>
      </c>
      <c r="N3512">
        <v>8</v>
      </c>
      <c r="O3512" t="s">
        <v>195</v>
      </c>
      <c r="P3512" s="2">
        <v>2556.75</v>
      </c>
      <c r="Q3512" s="2">
        <v>178.97</v>
      </c>
      <c r="R3512" t="s">
        <v>69</v>
      </c>
      <c r="S3512">
        <v>1</v>
      </c>
      <c r="T3512">
        <v>0</v>
      </c>
      <c r="U3512">
        <f>IF(AND(OR(Dashboard!$D$4="Semua",D3512=Dashboard!$D$4),OR(Dashboard!$H$4="Semua",E3512=Dashboard!$H$4)),1,0)</f>
        <v>1</v>
      </c>
      <c r="V3512">
        <f>IF(U3512=1,IF(COUNTIFS($C$2:C3512,C3512,$U$2:U3512,1)=1,1,0),0)</f>
        <v>0</v>
      </c>
    </row>
    <row r="3513" spans="1:22" x14ac:dyDescent="0.35">
      <c r="A3513">
        <v>13512</v>
      </c>
      <c r="B3513" s="1">
        <v>48073</v>
      </c>
      <c r="C3513">
        <v>1231</v>
      </c>
      <c r="D3513" t="s">
        <v>67</v>
      </c>
      <c r="E3513" t="s">
        <v>63</v>
      </c>
      <c r="F3513">
        <v>3</v>
      </c>
      <c r="G3513" s="2">
        <v>274.7</v>
      </c>
      <c r="H3513">
        <v>0.2</v>
      </c>
      <c r="I3513" t="s">
        <v>68</v>
      </c>
      <c r="J3513">
        <v>4</v>
      </c>
      <c r="K3513">
        <v>1</v>
      </c>
      <c r="L3513" s="2">
        <v>659.28</v>
      </c>
      <c r="M3513">
        <v>2031</v>
      </c>
      <c r="N3513">
        <v>8</v>
      </c>
      <c r="O3513" t="s">
        <v>195</v>
      </c>
      <c r="P3513" s="2">
        <v>824.1</v>
      </c>
      <c r="Q3513" s="2">
        <v>164.82</v>
      </c>
      <c r="R3513" t="s">
        <v>76</v>
      </c>
      <c r="S3513">
        <v>1</v>
      </c>
      <c r="T3513">
        <v>0</v>
      </c>
      <c r="U3513">
        <f>IF(AND(OR(Dashboard!$D$4="Semua",D3513=Dashboard!$D$4),OR(Dashboard!$H$4="Semua",E3513=Dashboard!$H$4)),1,0)</f>
        <v>1</v>
      </c>
      <c r="V3513">
        <f>IF(U3513=1,IF(COUNTIFS($C$2:C3513,C3513,$U$2:U3513,1)=1,1,0),0)</f>
        <v>0</v>
      </c>
    </row>
    <row r="3514" spans="1:22" x14ac:dyDescent="0.35">
      <c r="A3514">
        <v>13513</v>
      </c>
      <c r="B3514" s="1">
        <v>48074</v>
      </c>
      <c r="C3514">
        <v>1825</v>
      </c>
      <c r="D3514" t="s">
        <v>62</v>
      </c>
      <c r="E3514" t="s">
        <v>78</v>
      </c>
      <c r="F3514">
        <v>1</v>
      </c>
      <c r="G3514" s="2">
        <v>364.22</v>
      </c>
      <c r="H3514">
        <v>0.14000000000000001</v>
      </c>
      <c r="I3514" t="s">
        <v>71</v>
      </c>
      <c r="J3514">
        <v>1</v>
      </c>
      <c r="K3514">
        <v>2.8</v>
      </c>
      <c r="L3514" s="2">
        <v>313.23</v>
      </c>
      <c r="M3514">
        <v>2031</v>
      </c>
      <c r="N3514">
        <v>8</v>
      </c>
      <c r="O3514" t="s">
        <v>195</v>
      </c>
      <c r="P3514" s="2">
        <v>364.22</v>
      </c>
      <c r="Q3514" s="2">
        <v>50.99</v>
      </c>
      <c r="R3514" t="s">
        <v>79</v>
      </c>
      <c r="S3514">
        <v>1</v>
      </c>
      <c r="T3514">
        <v>0</v>
      </c>
      <c r="U3514">
        <f>IF(AND(OR(Dashboard!$D$4="Semua",D3514=Dashboard!$D$4),OR(Dashboard!$H$4="Semua",E3514=Dashboard!$H$4)),1,0)</f>
        <v>1</v>
      </c>
      <c r="V3514">
        <f>IF(U3514=1,IF(COUNTIFS($C$2:C3514,C3514,$U$2:U3514,1)=1,1,0),0)</f>
        <v>0</v>
      </c>
    </row>
    <row r="3515" spans="1:22" x14ac:dyDescent="0.35">
      <c r="A3515">
        <v>13514</v>
      </c>
      <c r="B3515" s="1">
        <v>48075</v>
      </c>
      <c r="C3515">
        <v>1926</v>
      </c>
      <c r="D3515" t="s">
        <v>67</v>
      </c>
      <c r="E3515" t="s">
        <v>74</v>
      </c>
      <c r="F3515">
        <v>3</v>
      </c>
      <c r="G3515" s="2">
        <v>185.16</v>
      </c>
      <c r="H3515">
        <v>0.32</v>
      </c>
      <c r="I3515" t="s">
        <v>68</v>
      </c>
      <c r="J3515">
        <v>9</v>
      </c>
      <c r="K3515">
        <v>2</v>
      </c>
      <c r="L3515" s="2">
        <v>377.73</v>
      </c>
      <c r="M3515">
        <v>2031</v>
      </c>
      <c r="N3515">
        <v>8</v>
      </c>
      <c r="O3515" t="s">
        <v>195</v>
      </c>
      <c r="P3515" s="2">
        <v>555.48</v>
      </c>
      <c r="Q3515" s="2">
        <v>177.75</v>
      </c>
      <c r="R3515" t="s">
        <v>72</v>
      </c>
      <c r="S3515">
        <v>1</v>
      </c>
      <c r="T3515">
        <v>0</v>
      </c>
      <c r="U3515">
        <f>IF(AND(OR(Dashboard!$D$4="Semua",D3515=Dashboard!$D$4),OR(Dashboard!$H$4="Semua",E3515=Dashboard!$H$4)),1,0)</f>
        <v>1</v>
      </c>
      <c r="V3515">
        <f>IF(U3515=1,IF(COUNTIFS($C$2:C3515,C3515,$U$2:U3515,1)=1,1,0),0)</f>
        <v>0</v>
      </c>
    </row>
    <row r="3516" spans="1:22" x14ac:dyDescent="0.35">
      <c r="A3516">
        <v>13515</v>
      </c>
      <c r="B3516" s="1">
        <v>48076</v>
      </c>
      <c r="C3516">
        <v>1365</v>
      </c>
      <c r="D3516" t="s">
        <v>73</v>
      </c>
      <c r="E3516" t="s">
        <v>63</v>
      </c>
      <c r="F3516">
        <v>7</v>
      </c>
      <c r="G3516" s="2">
        <v>433.54</v>
      </c>
      <c r="H3516">
        <v>0.31</v>
      </c>
      <c r="I3516" t="s">
        <v>68</v>
      </c>
      <c r="J3516">
        <v>9</v>
      </c>
      <c r="K3516">
        <v>3.3</v>
      </c>
      <c r="L3516" s="2">
        <v>2094</v>
      </c>
      <c r="M3516">
        <v>2031</v>
      </c>
      <c r="N3516">
        <v>8</v>
      </c>
      <c r="O3516" t="s">
        <v>195</v>
      </c>
      <c r="P3516" s="2">
        <v>3034.78</v>
      </c>
      <c r="Q3516" s="2">
        <v>940.78</v>
      </c>
      <c r="R3516" t="s">
        <v>72</v>
      </c>
      <c r="S3516">
        <v>1</v>
      </c>
      <c r="T3516">
        <v>0</v>
      </c>
      <c r="U3516">
        <f>IF(AND(OR(Dashboard!$D$4="Semua",D3516=Dashboard!$D$4),OR(Dashboard!$H$4="Semua",E3516=Dashboard!$H$4)),1,0)</f>
        <v>1</v>
      </c>
      <c r="V3516">
        <f>IF(U3516=1,IF(COUNTIFS($C$2:C3516,C3516,$U$2:U3516,1)=1,1,0),0)</f>
        <v>0</v>
      </c>
    </row>
    <row r="3517" spans="1:22" x14ac:dyDescent="0.35">
      <c r="A3517">
        <v>13516</v>
      </c>
      <c r="B3517" s="1">
        <v>48077</v>
      </c>
      <c r="C3517">
        <v>1227</v>
      </c>
      <c r="D3517" t="s">
        <v>73</v>
      </c>
      <c r="E3517" t="s">
        <v>70</v>
      </c>
      <c r="F3517">
        <v>4</v>
      </c>
      <c r="G3517" s="2">
        <v>486.47</v>
      </c>
      <c r="H3517">
        <v>0.17</v>
      </c>
      <c r="I3517" t="s">
        <v>68</v>
      </c>
      <c r="J3517">
        <v>11</v>
      </c>
      <c r="K3517">
        <v>1.4</v>
      </c>
      <c r="L3517" s="2">
        <v>1615.08</v>
      </c>
      <c r="M3517">
        <v>2031</v>
      </c>
      <c r="N3517">
        <v>8</v>
      </c>
      <c r="O3517" t="s">
        <v>195</v>
      </c>
      <c r="P3517" s="2">
        <v>1945.88</v>
      </c>
      <c r="Q3517" s="2">
        <v>330.8</v>
      </c>
      <c r="R3517" t="s">
        <v>76</v>
      </c>
      <c r="S3517">
        <v>1</v>
      </c>
      <c r="T3517">
        <v>0</v>
      </c>
      <c r="U3517">
        <f>IF(AND(OR(Dashboard!$D$4="Semua",D3517=Dashboard!$D$4),OR(Dashboard!$H$4="Semua",E3517=Dashboard!$H$4)),1,0)</f>
        <v>1</v>
      </c>
      <c r="V3517">
        <f>IF(U3517=1,IF(COUNTIFS($C$2:C3517,C3517,$U$2:U3517,1)=1,1,0),0)</f>
        <v>0</v>
      </c>
    </row>
    <row r="3518" spans="1:22" x14ac:dyDescent="0.35">
      <c r="A3518">
        <v>13517</v>
      </c>
      <c r="B3518" s="1">
        <v>48078</v>
      </c>
      <c r="C3518">
        <v>1650</v>
      </c>
      <c r="D3518" t="s">
        <v>67</v>
      </c>
      <c r="E3518" t="s">
        <v>70</v>
      </c>
      <c r="F3518">
        <v>4</v>
      </c>
      <c r="G3518" s="2">
        <v>167.05</v>
      </c>
      <c r="H3518">
        <v>0.13</v>
      </c>
      <c r="I3518" t="s">
        <v>68</v>
      </c>
      <c r="J3518">
        <v>3</v>
      </c>
      <c r="K3518">
        <v>4.5</v>
      </c>
      <c r="L3518" s="2">
        <v>581.33000000000004</v>
      </c>
      <c r="M3518">
        <v>2031</v>
      </c>
      <c r="N3518">
        <v>8</v>
      </c>
      <c r="O3518" t="s">
        <v>195</v>
      </c>
      <c r="P3518" s="2">
        <v>668.2</v>
      </c>
      <c r="Q3518" s="2">
        <v>86.87</v>
      </c>
      <c r="R3518" t="s">
        <v>79</v>
      </c>
      <c r="S3518">
        <v>1</v>
      </c>
      <c r="T3518">
        <v>0</v>
      </c>
      <c r="U3518">
        <f>IF(AND(OR(Dashboard!$D$4="Semua",D3518=Dashboard!$D$4),OR(Dashboard!$H$4="Semua",E3518=Dashboard!$H$4)),1,0)</f>
        <v>1</v>
      </c>
      <c r="V3518">
        <f>IF(U3518=1,IF(COUNTIFS($C$2:C3518,C3518,$U$2:U3518,1)=1,1,0),0)</f>
        <v>1</v>
      </c>
    </row>
    <row r="3519" spans="1:22" x14ac:dyDescent="0.35">
      <c r="A3519">
        <v>13518</v>
      </c>
      <c r="B3519" s="1">
        <v>48079</v>
      </c>
      <c r="C3519">
        <v>1435</v>
      </c>
      <c r="D3519" t="s">
        <v>80</v>
      </c>
      <c r="E3519" t="s">
        <v>63</v>
      </c>
      <c r="F3519">
        <v>6</v>
      </c>
      <c r="G3519" s="2">
        <v>190.86</v>
      </c>
      <c r="H3519">
        <v>0.11</v>
      </c>
      <c r="I3519" t="s">
        <v>64</v>
      </c>
      <c r="J3519">
        <v>6</v>
      </c>
      <c r="K3519">
        <v>1.5</v>
      </c>
      <c r="L3519" s="2">
        <v>1019.19</v>
      </c>
      <c r="M3519">
        <v>2031</v>
      </c>
      <c r="N3519">
        <v>8</v>
      </c>
      <c r="O3519" t="s">
        <v>195</v>
      </c>
      <c r="P3519" s="2">
        <v>1145.1600000000001</v>
      </c>
      <c r="Q3519" s="2">
        <v>125.97</v>
      </c>
      <c r="R3519" t="s">
        <v>79</v>
      </c>
      <c r="S3519">
        <v>1</v>
      </c>
      <c r="T3519">
        <v>0</v>
      </c>
      <c r="U3519">
        <f>IF(AND(OR(Dashboard!$D$4="Semua",D3519=Dashboard!$D$4),OR(Dashboard!$H$4="Semua",E3519=Dashboard!$H$4)),1,0)</f>
        <v>1</v>
      </c>
      <c r="V3519">
        <f>IF(U3519=1,IF(COUNTIFS($C$2:C3519,C3519,$U$2:U3519,1)=1,1,0),0)</f>
        <v>0</v>
      </c>
    </row>
    <row r="3520" spans="1:22" x14ac:dyDescent="0.35">
      <c r="A3520">
        <v>13519</v>
      </c>
      <c r="B3520" s="1">
        <v>48080</v>
      </c>
      <c r="C3520">
        <v>1398</v>
      </c>
      <c r="D3520" t="s">
        <v>73</v>
      </c>
      <c r="E3520" t="s">
        <v>63</v>
      </c>
      <c r="F3520">
        <v>2</v>
      </c>
      <c r="G3520" s="2">
        <v>401.78</v>
      </c>
      <c r="H3520">
        <v>0.09</v>
      </c>
      <c r="I3520" t="s">
        <v>71</v>
      </c>
      <c r="J3520">
        <v>7</v>
      </c>
      <c r="K3520">
        <v>3.3</v>
      </c>
      <c r="L3520" s="2">
        <v>731.24</v>
      </c>
      <c r="M3520">
        <v>2031</v>
      </c>
      <c r="N3520">
        <v>8</v>
      </c>
      <c r="O3520" t="s">
        <v>195</v>
      </c>
      <c r="P3520" s="2">
        <v>803.56</v>
      </c>
      <c r="Q3520" s="2">
        <v>72.319999999999993</v>
      </c>
      <c r="R3520" t="s">
        <v>69</v>
      </c>
      <c r="S3520">
        <v>1</v>
      </c>
      <c r="T3520">
        <v>0</v>
      </c>
      <c r="U3520">
        <f>IF(AND(OR(Dashboard!$D$4="Semua",D3520=Dashboard!$D$4),OR(Dashboard!$H$4="Semua",E3520=Dashboard!$H$4)),1,0)</f>
        <v>1</v>
      </c>
      <c r="V3520">
        <f>IF(U3520=1,IF(COUNTIFS($C$2:C3520,C3520,$U$2:U3520,1)=1,1,0),0)</f>
        <v>0</v>
      </c>
    </row>
    <row r="3521" spans="1:22" x14ac:dyDescent="0.35">
      <c r="A3521">
        <v>13520</v>
      </c>
      <c r="B3521" s="1">
        <v>48081</v>
      </c>
      <c r="C3521">
        <v>1210</v>
      </c>
      <c r="D3521" t="s">
        <v>80</v>
      </c>
      <c r="E3521" t="s">
        <v>63</v>
      </c>
      <c r="F3521">
        <v>1</v>
      </c>
      <c r="G3521" s="2">
        <v>421.92</v>
      </c>
      <c r="H3521">
        <v>0.19</v>
      </c>
      <c r="I3521" t="s">
        <v>64</v>
      </c>
      <c r="J3521">
        <v>4</v>
      </c>
      <c r="K3521">
        <v>1.1000000000000001</v>
      </c>
      <c r="L3521" s="2">
        <v>341.76</v>
      </c>
      <c r="M3521">
        <v>2031</v>
      </c>
      <c r="N3521">
        <v>8</v>
      </c>
      <c r="O3521" t="s">
        <v>195</v>
      </c>
      <c r="P3521" s="2">
        <v>421.92</v>
      </c>
      <c r="Q3521" s="2">
        <v>80.16</v>
      </c>
      <c r="R3521" t="s">
        <v>76</v>
      </c>
      <c r="S3521">
        <v>1</v>
      </c>
      <c r="T3521">
        <v>0</v>
      </c>
      <c r="U3521">
        <f>IF(AND(OR(Dashboard!$D$4="Semua",D3521=Dashboard!$D$4),OR(Dashboard!$H$4="Semua",E3521=Dashboard!$H$4)),1,0)</f>
        <v>1</v>
      </c>
      <c r="V3521">
        <f>IF(U3521=1,IF(COUNTIFS($C$2:C3521,C3521,$U$2:U3521,1)=1,1,0),0)</f>
        <v>1</v>
      </c>
    </row>
    <row r="3522" spans="1:22" x14ac:dyDescent="0.35">
      <c r="A3522">
        <v>13521</v>
      </c>
      <c r="B3522" s="1">
        <v>48082</v>
      </c>
      <c r="C3522">
        <v>1390</v>
      </c>
      <c r="D3522" t="s">
        <v>73</v>
      </c>
      <c r="E3522" t="s">
        <v>74</v>
      </c>
      <c r="F3522">
        <v>5</v>
      </c>
      <c r="G3522" s="2">
        <v>426.9</v>
      </c>
      <c r="H3522">
        <v>0.28000000000000003</v>
      </c>
      <c r="I3522" t="s">
        <v>71</v>
      </c>
      <c r="J3522">
        <v>6</v>
      </c>
      <c r="K3522">
        <v>2.2000000000000002</v>
      </c>
      <c r="L3522" s="2">
        <v>1536.84</v>
      </c>
      <c r="M3522">
        <v>2031</v>
      </c>
      <c r="N3522">
        <v>8</v>
      </c>
      <c r="O3522" t="s">
        <v>195</v>
      </c>
      <c r="P3522" s="2">
        <v>2134.5</v>
      </c>
      <c r="Q3522" s="2">
        <v>597.66</v>
      </c>
      <c r="R3522" t="s">
        <v>66</v>
      </c>
      <c r="S3522">
        <v>1</v>
      </c>
      <c r="T3522">
        <v>0</v>
      </c>
      <c r="U3522">
        <f>IF(AND(OR(Dashboard!$D$4="Semua",D3522=Dashboard!$D$4),OR(Dashboard!$H$4="Semua",E3522=Dashboard!$H$4)),1,0)</f>
        <v>1</v>
      </c>
      <c r="V3522">
        <f>IF(U3522=1,IF(COUNTIFS($C$2:C3522,C3522,$U$2:U3522,1)=1,1,0),0)</f>
        <v>0</v>
      </c>
    </row>
    <row r="3523" spans="1:22" x14ac:dyDescent="0.35">
      <c r="A3523">
        <v>13522</v>
      </c>
      <c r="B3523" s="1">
        <v>48083</v>
      </c>
      <c r="C3523">
        <v>1498</v>
      </c>
      <c r="D3523" t="s">
        <v>67</v>
      </c>
      <c r="E3523" t="s">
        <v>70</v>
      </c>
      <c r="F3523">
        <v>6</v>
      </c>
      <c r="G3523" s="2">
        <v>414.38</v>
      </c>
      <c r="H3523">
        <v>0.11</v>
      </c>
      <c r="I3523" t="s">
        <v>71</v>
      </c>
      <c r="J3523">
        <v>9</v>
      </c>
      <c r="K3523">
        <v>1.6</v>
      </c>
      <c r="L3523" s="2">
        <v>2212.79</v>
      </c>
      <c r="M3523">
        <v>2031</v>
      </c>
      <c r="N3523">
        <v>8</v>
      </c>
      <c r="O3523" t="s">
        <v>195</v>
      </c>
      <c r="P3523" s="2">
        <v>2486.2800000000002</v>
      </c>
      <c r="Q3523" s="2">
        <v>273.49</v>
      </c>
      <c r="R3523" t="s">
        <v>79</v>
      </c>
      <c r="S3523">
        <v>1</v>
      </c>
      <c r="T3523">
        <v>0</v>
      </c>
      <c r="U3523">
        <f>IF(AND(OR(Dashboard!$D$4="Semua",D3523=Dashboard!$D$4),OR(Dashboard!$H$4="Semua",E3523=Dashboard!$H$4)),1,0)</f>
        <v>1</v>
      </c>
      <c r="V3523">
        <f>IF(U3523=1,IF(COUNTIFS($C$2:C3523,C3523,$U$2:U3523,1)=1,1,0),0)</f>
        <v>0</v>
      </c>
    </row>
    <row r="3524" spans="1:22" x14ac:dyDescent="0.35">
      <c r="A3524">
        <v>13523</v>
      </c>
      <c r="B3524" s="1">
        <v>48084</v>
      </c>
      <c r="C3524">
        <v>1539</v>
      </c>
      <c r="D3524" t="s">
        <v>80</v>
      </c>
      <c r="E3524" t="s">
        <v>70</v>
      </c>
      <c r="F3524">
        <v>2</v>
      </c>
      <c r="G3524" s="2">
        <v>244.79</v>
      </c>
      <c r="H3524">
        <v>7.0000000000000007E-2</v>
      </c>
      <c r="I3524" t="s">
        <v>71</v>
      </c>
      <c r="J3524">
        <v>10</v>
      </c>
      <c r="K3524">
        <v>4.9000000000000004</v>
      </c>
      <c r="L3524" s="2">
        <v>455.31</v>
      </c>
      <c r="M3524">
        <v>2031</v>
      </c>
      <c r="N3524">
        <v>8</v>
      </c>
      <c r="O3524" t="s">
        <v>195</v>
      </c>
      <c r="P3524" s="2">
        <v>489.58</v>
      </c>
      <c r="Q3524" s="2">
        <v>34.270000000000003</v>
      </c>
      <c r="R3524" t="s">
        <v>69</v>
      </c>
      <c r="S3524">
        <v>1</v>
      </c>
      <c r="T3524">
        <v>0</v>
      </c>
      <c r="U3524">
        <f>IF(AND(OR(Dashboard!$D$4="Semua",D3524=Dashboard!$D$4),OR(Dashboard!$H$4="Semua",E3524=Dashboard!$H$4)),1,0)</f>
        <v>1</v>
      </c>
      <c r="V3524">
        <f>IF(U3524=1,IF(COUNTIFS($C$2:C3524,C3524,$U$2:U3524,1)=1,1,0),0)</f>
        <v>0</v>
      </c>
    </row>
    <row r="3525" spans="1:22" x14ac:dyDescent="0.35">
      <c r="A3525">
        <v>13524</v>
      </c>
      <c r="B3525" s="1">
        <v>48085</v>
      </c>
      <c r="C3525">
        <v>1562</v>
      </c>
      <c r="D3525" t="s">
        <v>73</v>
      </c>
      <c r="E3525" t="s">
        <v>70</v>
      </c>
      <c r="F3525">
        <v>1</v>
      </c>
      <c r="G3525" s="2">
        <v>245.99</v>
      </c>
      <c r="H3525">
        <v>0.17</v>
      </c>
      <c r="I3525" t="s">
        <v>64</v>
      </c>
      <c r="J3525">
        <v>6</v>
      </c>
      <c r="K3525">
        <v>1</v>
      </c>
      <c r="L3525" s="2">
        <v>204.17</v>
      </c>
      <c r="M3525">
        <v>2031</v>
      </c>
      <c r="N3525">
        <v>8</v>
      </c>
      <c r="O3525" t="s">
        <v>195</v>
      </c>
      <c r="P3525" s="2">
        <v>245.99</v>
      </c>
      <c r="Q3525" s="2">
        <v>41.82</v>
      </c>
      <c r="R3525" t="s">
        <v>76</v>
      </c>
      <c r="S3525">
        <v>1</v>
      </c>
      <c r="T3525">
        <v>0</v>
      </c>
      <c r="U3525">
        <f>IF(AND(OR(Dashboard!$D$4="Semua",D3525=Dashboard!$D$4),OR(Dashboard!$H$4="Semua",E3525=Dashboard!$H$4)),1,0)</f>
        <v>1</v>
      </c>
      <c r="V3525">
        <f>IF(U3525=1,IF(COUNTIFS($C$2:C3525,C3525,$U$2:U3525,1)=1,1,0),0)</f>
        <v>0</v>
      </c>
    </row>
    <row r="3526" spans="1:22" x14ac:dyDescent="0.35">
      <c r="A3526">
        <v>13525</v>
      </c>
      <c r="B3526" s="1">
        <v>48086</v>
      </c>
      <c r="C3526">
        <v>1490</v>
      </c>
      <c r="D3526" t="s">
        <v>67</v>
      </c>
      <c r="E3526" t="s">
        <v>74</v>
      </c>
      <c r="F3526">
        <v>7</v>
      </c>
      <c r="G3526" s="2">
        <v>164.07</v>
      </c>
      <c r="H3526">
        <v>0.02</v>
      </c>
      <c r="I3526" t="s">
        <v>68</v>
      </c>
      <c r="J3526">
        <v>7</v>
      </c>
      <c r="K3526">
        <v>2.4</v>
      </c>
      <c r="L3526" s="2">
        <v>1125.52</v>
      </c>
      <c r="M3526">
        <v>2031</v>
      </c>
      <c r="N3526">
        <v>8</v>
      </c>
      <c r="O3526" t="s">
        <v>195</v>
      </c>
      <c r="P3526" s="2">
        <v>1148.49</v>
      </c>
      <c r="Q3526" s="2">
        <v>22.97</v>
      </c>
      <c r="R3526" t="s">
        <v>75</v>
      </c>
      <c r="S3526">
        <v>1</v>
      </c>
      <c r="T3526">
        <v>0</v>
      </c>
      <c r="U3526">
        <f>IF(AND(OR(Dashboard!$D$4="Semua",D3526=Dashboard!$D$4),OR(Dashboard!$H$4="Semua",E3526=Dashboard!$H$4)),1,0)</f>
        <v>1</v>
      </c>
      <c r="V3526">
        <f>IF(U3526=1,IF(COUNTIFS($C$2:C3526,C3526,$U$2:U3526,1)=1,1,0),0)</f>
        <v>0</v>
      </c>
    </row>
    <row r="3527" spans="1:22" x14ac:dyDescent="0.35">
      <c r="A3527">
        <v>13526</v>
      </c>
      <c r="B3527" s="1">
        <v>48087</v>
      </c>
      <c r="C3527">
        <v>1441</v>
      </c>
      <c r="D3527" t="s">
        <v>73</v>
      </c>
      <c r="E3527" t="s">
        <v>78</v>
      </c>
      <c r="F3527">
        <v>1</v>
      </c>
      <c r="G3527" s="2">
        <v>106.75</v>
      </c>
      <c r="H3527">
        <v>0.25</v>
      </c>
      <c r="I3527" t="s">
        <v>68</v>
      </c>
      <c r="J3527">
        <v>6</v>
      </c>
      <c r="K3527">
        <v>2.2000000000000002</v>
      </c>
      <c r="L3527" s="2">
        <v>80.06</v>
      </c>
      <c r="M3527">
        <v>2031</v>
      </c>
      <c r="N3527">
        <v>8</v>
      </c>
      <c r="O3527" t="s">
        <v>195</v>
      </c>
      <c r="P3527" s="2">
        <v>106.75</v>
      </c>
      <c r="Q3527" s="2">
        <v>26.69</v>
      </c>
      <c r="R3527" t="s">
        <v>77</v>
      </c>
      <c r="S3527">
        <v>1</v>
      </c>
      <c r="T3527">
        <v>0</v>
      </c>
      <c r="U3527">
        <f>IF(AND(OR(Dashboard!$D$4="Semua",D3527=Dashboard!$D$4),OR(Dashboard!$H$4="Semua",E3527=Dashboard!$H$4)),1,0)</f>
        <v>1</v>
      </c>
      <c r="V3527">
        <f>IF(U3527=1,IF(COUNTIFS($C$2:C3527,C3527,$U$2:U3527,1)=1,1,0),0)</f>
        <v>0</v>
      </c>
    </row>
    <row r="3528" spans="1:22" x14ac:dyDescent="0.35">
      <c r="A3528">
        <v>13527</v>
      </c>
      <c r="B3528" s="1">
        <v>48088</v>
      </c>
      <c r="C3528">
        <v>1260</v>
      </c>
      <c r="D3528" t="s">
        <v>80</v>
      </c>
      <c r="E3528" t="s">
        <v>70</v>
      </c>
      <c r="F3528">
        <v>7</v>
      </c>
      <c r="G3528" s="2">
        <v>420.16</v>
      </c>
      <c r="H3528">
        <v>0.18</v>
      </c>
      <c r="I3528" t="s">
        <v>71</v>
      </c>
      <c r="J3528">
        <v>7</v>
      </c>
      <c r="K3528">
        <v>3.6</v>
      </c>
      <c r="L3528" s="2">
        <v>2411.7199999999998</v>
      </c>
      <c r="M3528">
        <v>2031</v>
      </c>
      <c r="N3528">
        <v>8</v>
      </c>
      <c r="O3528" t="s">
        <v>195</v>
      </c>
      <c r="P3528" s="2">
        <v>2941.12</v>
      </c>
      <c r="Q3528" s="2">
        <v>529.4</v>
      </c>
      <c r="R3528" t="s">
        <v>76</v>
      </c>
      <c r="S3528">
        <v>1</v>
      </c>
      <c r="T3528">
        <v>0</v>
      </c>
      <c r="U3528">
        <f>IF(AND(OR(Dashboard!$D$4="Semua",D3528=Dashboard!$D$4),OR(Dashboard!$H$4="Semua",E3528=Dashboard!$H$4)),1,0)</f>
        <v>1</v>
      </c>
      <c r="V3528">
        <f>IF(U3528=1,IF(COUNTIFS($C$2:C3528,C3528,$U$2:U3528,1)=1,1,0),0)</f>
        <v>0</v>
      </c>
    </row>
    <row r="3529" spans="1:22" x14ac:dyDescent="0.35">
      <c r="A3529">
        <v>13528</v>
      </c>
      <c r="B3529" s="1">
        <v>48089</v>
      </c>
      <c r="C3529">
        <v>1772</v>
      </c>
      <c r="D3529" t="s">
        <v>73</v>
      </c>
      <c r="E3529" t="s">
        <v>70</v>
      </c>
      <c r="F3529">
        <v>6</v>
      </c>
      <c r="G3529" s="2">
        <v>69.52</v>
      </c>
      <c r="H3529">
        <v>0.17</v>
      </c>
      <c r="I3529" t="s">
        <v>64</v>
      </c>
      <c r="J3529">
        <v>1</v>
      </c>
      <c r="K3529">
        <v>1.2</v>
      </c>
      <c r="L3529" s="2">
        <v>346.21</v>
      </c>
      <c r="M3529">
        <v>2031</v>
      </c>
      <c r="N3529">
        <v>8</v>
      </c>
      <c r="O3529" t="s">
        <v>195</v>
      </c>
      <c r="P3529" s="2">
        <v>417.12</v>
      </c>
      <c r="Q3529" s="2">
        <v>70.91</v>
      </c>
      <c r="R3529" t="s">
        <v>76</v>
      </c>
      <c r="S3529">
        <v>1</v>
      </c>
      <c r="T3529">
        <v>0</v>
      </c>
      <c r="U3529">
        <f>IF(AND(OR(Dashboard!$D$4="Semua",D3529=Dashboard!$D$4),OR(Dashboard!$H$4="Semua",E3529=Dashboard!$H$4)),1,0)</f>
        <v>1</v>
      </c>
      <c r="V3529">
        <f>IF(U3529=1,IF(COUNTIFS($C$2:C3529,C3529,$U$2:U3529,1)=1,1,0),0)</f>
        <v>0</v>
      </c>
    </row>
    <row r="3530" spans="1:22" x14ac:dyDescent="0.35">
      <c r="A3530">
        <v>13529</v>
      </c>
      <c r="B3530" s="1">
        <v>48090</v>
      </c>
      <c r="C3530">
        <v>1349</v>
      </c>
      <c r="D3530" t="s">
        <v>62</v>
      </c>
      <c r="E3530" t="s">
        <v>78</v>
      </c>
      <c r="F3530">
        <v>2</v>
      </c>
      <c r="G3530" s="2">
        <v>563.61</v>
      </c>
      <c r="H3530">
        <v>0.11</v>
      </c>
      <c r="I3530" t="s">
        <v>64</v>
      </c>
      <c r="J3530">
        <v>6</v>
      </c>
      <c r="K3530">
        <v>4.2</v>
      </c>
      <c r="L3530" s="2">
        <v>1003.23</v>
      </c>
      <c r="M3530">
        <v>2031</v>
      </c>
      <c r="N3530">
        <v>8</v>
      </c>
      <c r="O3530" t="s">
        <v>195</v>
      </c>
      <c r="P3530" s="2">
        <v>1127.22</v>
      </c>
      <c r="Q3530" s="2">
        <v>123.99</v>
      </c>
      <c r="R3530" t="s">
        <v>79</v>
      </c>
      <c r="S3530">
        <v>1</v>
      </c>
      <c r="T3530">
        <v>0</v>
      </c>
      <c r="U3530">
        <f>IF(AND(OR(Dashboard!$D$4="Semua",D3530=Dashboard!$D$4),OR(Dashboard!$H$4="Semua",E3530=Dashboard!$H$4)),1,0)</f>
        <v>1</v>
      </c>
      <c r="V3530">
        <f>IF(U3530=1,IF(COUNTIFS($C$2:C3530,C3530,$U$2:U3530,1)=1,1,0),0)</f>
        <v>0</v>
      </c>
    </row>
    <row r="3531" spans="1:22" x14ac:dyDescent="0.35">
      <c r="A3531">
        <v>13530</v>
      </c>
      <c r="B3531" s="1">
        <v>48091</v>
      </c>
      <c r="C3531">
        <v>1351</v>
      </c>
      <c r="D3531" t="s">
        <v>73</v>
      </c>
      <c r="E3531" t="s">
        <v>74</v>
      </c>
      <c r="F3531">
        <v>2</v>
      </c>
      <c r="G3531" s="2">
        <v>498.61</v>
      </c>
      <c r="H3531">
        <v>0.32</v>
      </c>
      <c r="I3531" t="s">
        <v>71</v>
      </c>
      <c r="J3531">
        <v>9</v>
      </c>
      <c r="K3531">
        <v>2.9</v>
      </c>
      <c r="L3531" s="2">
        <v>678.11</v>
      </c>
      <c r="M3531">
        <v>2031</v>
      </c>
      <c r="N3531">
        <v>8</v>
      </c>
      <c r="O3531" t="s">
        <v>195</v>
      </c>
      <c r="P3531" s="2">
        <v>997.22</v>
      </c>
      <c r="Q3531" s="2">
        <v>319.11</v>
      </c>
      <c r="R3531" t="s">
        <v>72</v>
      </c>
      <c r="S3531">
        <v>1</v>
      </c>
      <c r="T3531">
        <v>0</v>
      </c>
      <c r="U3531">
        <f>IF(AND(OR(Dashboard!$D$4="Semua",D3531=Dashboard!$D$4),OR(Dashboard!$H$4="Semua",E3531=Dashboard!$H$4)),1,0)</f>
        <v>1</v>
      </c>
      <c r="V3531">
        <f>IF(U3531=1,IF(COUNTIFS($C$2:C3531,C3531,$U$2:U3531,1)=1,1,0),0)</f>
        <v>0</v>
      </c>
    </row>
    <row r="3532" spans="1:22" x14ac:dyDescent="0.35">
      <c r="A3532">
        <v>13531</v>
      </c>
      <c r="B3532" s="1">
        <v>48092</v>
      </c>
      <c r="C3532">
        <v>1519</v>
      </c>
      <c r="D3532" t="s">
        <v>62</v>
      </c>
      <c r="E3532" t="s">
        <v>78</v>
      </c>
      <c r="F3532">
        <v>3</v>
      </c>
      <c r="G3532" s="2">
        <v>516.64</v>
      </c>
      <c r="H3532">
        <v>0.03</v>
      </c>
      <c r="I3532" t="s">
        <v>68</v>
      </c>
      <c r="J3532">
        <v>11</v>
      </c>
      <c r="K3532">
        <v>2.8</v>
      </c>
      <c r="L3532" s="2">
        <v>1503.42</v>
      </c>
      <c r="M3532">
        <v>2031</v>
      </c>
      <c r="N3532">
        <v>9</v>
      </c>
      <c r="O3532" t="s">
        <v>196</v>
      </c>
      <c r="P3532" s="2">
        <v>1549.92</v>
      </c>
      <c r="Q3532" s="2">
        <v>46.5</v>
      </c>
      <c r="R3532" t="s">
        <v>75</v>
      </c>
      <c r="S3532">
        <v>1</v>
      </c>
      <c r="T3532">
        <v>0</v>
      </c>
      <c r="U3532">
        <f>IF(AND(OR(Dashboard!$D$4="Semua",D3532=Dashboard!$D$4),OR(Dashboard!$H$4="Semua",E3532=Dashboard!$H$4)),1,0)</f>
        <v>1</v>
      </c>
      <c r="V3532">
        <f>IF(U3532=1,IF(COUNTIFS($C$2:C3532,C3532,$U$2:U3532,1)=1,1,0),0)</f>
        <v>0</v>
      </c>
    </row>
    <row r="3533" spans="1:22" x14ac:dyDescent="0.35">
      <c r="A3533">
        <v>13532</v>
      </c>
      <c r="B3533" s="1">
        <v>48093</v>
      </c>
      <c r="C3533">
        <v>1319</v>
      </c>
      <c r="D3533" t="s">
        <v>67</v>
      </c>
      <c r="E3533" t="s">
        <v>78</v>
      </c>
      <c r="F3533">
        <v>5</v>
      </c>
      <c r="G3533" s="2">
        <v>545.4</v>
      </c>
      <c r="H3533">
        <v>0.3</v>
      </c>
      <c r="I3533" t="s">
        <v>68</v>
      </c>
      <c r="J3533">
        <v>3</v>
      </c>
      <c r="K3533">
        <v>1.9</v>
      </c>
      <c r="L3533" s="2">
        <v>1908.9</v>
      </c>
      <c r="M3533">
        <v>2031</v>
      </c>
      <c r="N3533">
        <v>9</v>
      </c>
      <c r="O3533" t="s">
        <v>196</v>
      </c>
      <c r="P3533" s="2">
        <v>2727</v>
      </c>
      <c r="Q3533" s="2">
        <v>818.1</v>
      </c>
      <c r="R3533" t="s">
        <v>66</v>
      </c>
      <c r="S3533">
        <v>1</v>
      </c>
      <c r="T3533">
        <v>0</v>
      </c>
      <c r="U3533">
        <f>IF(AND(OR(Dashboard!$D$4="Semua",D3533=Dashboard!$D$4),OR(Dashboard!$H$4="Semua",E3533=Dashboard!$H$4)),1,0)</f>
        <v>1</v>
      </c>
      <c r="V3533">
        <f>IF(U3533=1,IF(COUNTIFS($C$2:C3533,C3533,$U$2:U3533,1)=1,1,0),0)</f>
        <v>0</v>
      </c>
    </row>
    <row r="3534" spans="1:22" x14ac:dyDescent="0.35">
      <c r="A3534">
        <v>13533</v>
      </c>
      <c r="B3534" s="1">
        <v>48094</v>
      </c>
      <c r="C3534">
        <v>1137</v>
      </c>
      <c r="D3534" t="s">
        <v>80</v>
      </c>
      <c r="E3534" t="s">
        <v>78</v>
      </c>
      <c r="F3534">
        <v>4</v>
      </c>
      <c r="G3534" s="2">
        <v>254.03</v>
      </c>
      <c r="H3534">
        <v>0.13</v>
      </c>
      <c r="I3534" t="s">
        <v>64</v>
      </c>
      <c r="J3534">
        <v>6</v>
      </c>
      <c r="K3534">
        <v>3</v>
      </c>
      <c r="L3534" s="2">
        <v>884.02</v>
      </c>
      <c r="M3534">
        <v>2031</v>
      </c>
      <c r="N3534">
        <v>9</v>
      </c>
      <c r="O3534" t="s">
        <v>196</v>
      </c>
      <c r="P3534" s="2">
        <v>1016.12</v>
      </c>
      <c r="Q3534" s="2">
        <v>132.1</v>
      </c>
      <c r="R3534" t="s">
        <v>79</v>
      </c>
      <c r="S3534">
        <v>1</v>
      </c>
      <c r="T3534">
        <v>0</v>
      </c>
      <c r="U3534">
        <f>IF(AND(OR(Dashboard!$D$4="Semua",D3534=Dashboard!$D$4),OR(Dashboard!$H$4="Semua",E3534=Dashboard!$H$4)),1,0)</f>
        <v>1</v>
      </c>
      <c r="V3534">
        <f>IF(U3534=1,IF(COUNTIFS($C$2:C3534,C3534,$U$2:U3534,1)=1,1,0),0)</f>
        <v>0</v>
      </c>
    </row>
    <row r="3535" spans="1:22" x14ac:dyDescent="0.35">
      <c r="A3535">
        <v>13534</v>
      </c>
      <c r="B3535" s="1">
        <v>48095</v>
      </c>
      <c r="C3535">
        <v>1549</v>
      </c>
      <c r="D3535" t="s">
        <v>73</v>
      </c>
      <c r="E3535" t="s">
        <v>78</v>
      </c>
      <c r="F3535">
        <v>3</v>
      </c>
      <c r="G3535" s="2">
        <v>510.32</v>
      </c>
      <c r="H3535">
        <v>0.31</v>
      </c>
      <c r="I3535" t="s">
        <v>68</v>
      </c>
      <c r="J3535">
        <v>4</v>
      </c>
      <c r="K3535">
        <v>2.5</v>
      </c>
      <c r="L3535" s="2">
        <v>1056.3599999999999</v>
      </c>
      <c r="M3535">
        <v>2031</v>
      </c>
      <c r="N3535">
        <v>9</v>
      </c>
      <c r="O3535" t="s">
        <v>196</v>
      </c>
      <c r="P3535" s="2">
        <v>1530.96</v>
      </c>
      <c r="Q3535" s="2">
        <v>474.6</v>
      </c>
      <c r="R3535" t="s">
        <v>72</v>
      </c>
      <c r="S3535">
        <v>1</v>
      </c>
      <c r="T3535">
        <v>0</v>
      </c>
      <c r="U3535">
        <f>IF(AND(OR(Dashboard!$D$4="Semua",D3535=Dashboard!$D$4),OR(Dashboard!$H$4="Semua",E3535=Dashboard!$H$4)),1,0)</f>
        <v>1</v>
      </c>
      <c r="V3535">
        <f>IF(U3535=1,IF(COUNTIFS($C$2:C3535,C3535,$U$2:U3535,1)=1,1,0),0)</f>
        <v>0</v>
      </c>
    </row>
    <row r="3536" spans="1:22" x14ac:dyDescent="0.35">
      <c r="A3536">
        <v>13535</v>
      </c>
      <c r="B3536" s="1">
        <v>48096</v>
      </c>
      <c r="C3536">
        <v>1622</v>
      </c>
      <c r="D3536" t="s">
        <v>62</v>
      </c>
      <c r="E3536" t="s">
        <v>74</v>
      </c>
      <c r="F3536">
        <v>1</v>
      </c>
      <c r="G3536" s="2">
        <v>107.47</v>
      </c>
      <c r="H3536">
        <v>0.26</v>
      </c>
      <c r="I3536" t="s">
        <v>68</v>
      </c>
      <c r="J3536">
        <v>7</v>
      </c>
      <c r="K3536">
        <v>2</v>
      </c>
      <c r="L3536" s="2">
        <v>79.53</v>
      </c>
      <c r="M3536">
        <v>2031</v>
      </c>
      <c r="N3536">
        <v>9</v>
      </c>
      <c r="O3536" t="s">
        <v>196</v>
      </c>
      <c r="P3536" s="2">
        <v>107.47</v>
      </c>
      <c r="Q3536" s="2">
        <v>27.94</v>
      </c>
      <c r="R3536" t="s">
        <v>66</v>
      </c>
      <c r="S3536">
        <v>1</v>
      </c>
      <c r="T3536">
        <v>0</v>
      </c>
      <c r="U3536">
        <f>IF(AND(OR(Dashboard!$D$4="Semua",D3536=Dashboard!$D$4),OR(Dashboard!$H$4="Semua",E3536=Dashboard!$H$4)),1,0)</f>
        <v>1</v>
      </c>
      <c r="V3536">
        <f>IF(U3536=1,IF(COUNTIFS($C$2:C3536,C3536,$U$2:U3536,1)=1,1,0),0)</f>
        <v>0</v>
      </c>
    </row>
    <row r="3537" spans="1:22" x14ac:dyDescent="0.35">
      <c r="A3537">
        <v>13536</v>
      </c>
      <c r="B3537" s="1">
        <v>48097</v>
      </c>
      <c r="C3537">
        <v>1991</v>
      </c>
      <c r="D3537" t="s">
        <v>73</v>
      </c>
      <c r="E3537" t="s">
        <v>74</v>
      </c>
      <c r="F3537">
        <v>5</v>
      </c>
      <c r="G3537" s="2">
        <v>27.66</v>
      </c>
      <c r="H3537">
        <v>0.04</v>
      </c>
      <c r="I3537" t="s">
        <v>64</v>
      </c>
      <c r="J3537">
        <v>7</v>
      </c>
      <c r="K3537">
        <v>1.7</v>
      </c>
      <c r="L3537" s="2">
        <v>132.77000000000001</v>
      </c>
      <c r="M3537">
        <v>2031</v>
      </c>
      <c r="N3537">
        <v>9</v>
      </c>
      <c r="O3537" t="s">
        <v>196</v>
      </c>
      <c r="P3537" s="2">
        <v>138.30000000000001</v>
      </c>
      <c r="Q3537" s="2">
        <v>5.53</v>
      </c>
      <c r="R3537" t="s">
        <v>75</v>
      </c>
      <c r="S3537">
        <v>1</v>
      </c>
      <c r="T3537">
        <v>0</v>
      </c>
      <c r="U3537">
        <f>IF(AND(OR(Dashboard!$D$4="Semua",D3537=Dashboard!$D$4),OR(Dashboard!$H$4="Semua",E3537=Dashboard!$H$4)),1,0)</f>
        <v>1</v>
      </c>
      <c r="V3537">
        <f>IF(U3537=1,IF(COUNTIFS($C$2:C3537,C3537,$U$2:U3537,1)=1,1,0),0)</f>
        <v>0</v>
      </c>
    </row>
    <row r="3538" spans="1:22" x14ac:dyDescent="0.35">
      <c r="A3538">
        <v>13537</v>
      </c>
      <c r="B3538" s="1">
        <v>48098</v>
      </c>
      <c r="C3538">
        <v>1367</v>
      </c>
      <c r="D3538" t="s">
        <v>73</v>
      </c>
      <c r="E3538" t="s">
        <v>78</v>
      </c>
      <c r="F3538">
        <v>5</v>
      </c>
      <c r="G3538" s="2">
        <v>474.16</v>
      </c>
      <c r="H3538">
        <v>0.28999999999999998</v>
      </c>
      <c r="I3538" t="s">
        <v>68</v>
      </c>
      <c r="J3538">
        <v>9</v>
      </c>
      <c r="K3538">
        <v>3.9</v>
      </c>
      <c r="L3538" s="2">
        <v>1683.27</v>
      </c>
      <c r="M3538">
        <v>2031</v>
      </c>
      <c r="N3538">
        <v>9</v>
      </c>
      <c r="O3538" t="s">
        <v>196</v>
      </c>
      <c r="P3538" s="2">
        <v>2370.8000000000002</v>
      </c>
      <c r="Q3538" s="2">
        <v>687.53</v>
      </c>
      <c r="R3538" t="s">
        <v>66</v>
      </c>
      <c r="S3538">
        <v>1</v>
      </c>
      <c r="T3538">
        <v>0</v>
      </c>
      <c r="U3538">
        <f>IF(AND(OR(Dashboard!$D$4="Semua",D3538=Dashboard!$D$4),OR(Dashboard!$H$4="Semua",E3538=Dashboard!$H$4)),1,0)</f>
        <v>1</v>
      </c>
      <c r="V3538">
        <f>IF(U3538=1,IF(COUNTIFS($C$2:C3538,C3538,$U$2:U3538,1)=1,1,0),0)</f>
        <v>1</v>
      </c>
    </row>
    <row r="3539" spans="1:22" x14ac:dyDescent="0.35">
      <c r="A3539">
        <v>13538</v>
      </c>
      <c r="B3539" s="1">
        <v>48099</v>
      </c>
      <c r="C3539">
        <v>1219</v>
      </c>
      <c r="D3539" t="s">
        <v>67</v>
      </c>
      <c r="E3539" t="s">
        <v>63</v>
      </c>
      <c r="F3539">
        <v>2</v>
      </c>
      <c r="G3539" s="2">
        <v>58.76</v>
      </c>
      <c r="H3539">
        <v>0.24</v>
      </c>
      <c r="I3539" t="s">
        <v>71</v>
      </c>
      <c r="J3539">
        <v>4</v>
      </c>
      <c r="K3539">
        <v>1.6</v>
      </c>
      <c r="L3539" s="2">
        <v>89.32</v>
      </c>
      <c r="M3539">
        <v>2031</v>
      </c>
      <c r="N3539">
        <v>9</v>
      </c>
      <c r="O3539" t="s">
        <v>196</v>
      </c>
      <c r="P3539" s="2">
        <v>117.52</v>
      </c>
      <c r="Q3539" s="2">
        <v>28.2</v>
      </c>
      <c r="R3539" t="s">
        <v>77</v>
      </c>
      <c r="S3539">
        <v>1</v>
      </c>
      <c r="T3539">
        <v>0</v>
      </c>
      <c r="U3539">
        <f>IF(AND(OR(Dashboard!$D$4="Semua",D3539=Dashboard!$D$4),OR(Dashboard!$H$4="Semua",E3539=Dashboard!$H$4)),1,0)</f>
        <v>1</v>
      </c>
      <c r="V3539">
        <f>IF(U3539=1,IF(COUNTIFS($C$2:C3539,C3539,$U$2:U3539,1)=1,1,0),0)</f>
        <v>0</v>
      </c>
    </row>
    <row r="3540" spans="1:22" x14ac:dyDescent="0.35">
      <c r="A3540">
        <v>13539</v>
      </c>
      <c r="B3540" s="1">
        <v>48100</v>
      </c>
      <c r="C3540">
        <v>1336</v>
      </c>
      <c r="D3540" t="s">
        <v>73</v>
      </c>
      <c r="E3540" t="s">
        <v>63</v>
      </c>
      <c r="F3540">
        <v>5</v>
      </c>
      <c r="G3540" s="2">
        <v>593.29</v>
      </c>
      <c r="H3540">
        <v>0.01</v>
      </c>
      <c r="I3540" t="s">
        <v>71</v>
      </c>
      <c r="J3540">
        <v>8</v>
      </c>
      <c r="K3540">
        <v>1.7</v>
      </c>
      <c r="L3540" s="2">
        <v>2936.79</v>
      </c>
      <c r="M3540">
        <v>2031</v>
      </c>
      <c r="N3540">
        <v>9</v>
      </c>
      <c r="O3540" t="s">
        <v>196</v>
      </c>
      <c r="P3540" s="2">
        <v>2966.45</v>
      </c>
      <c r="Q3540" s="2">
        <v>29.66</v>
      </c>
      <c r="R3540" t="s">
        <v>75</v>
      </c>
      <c r="S3540">
        <v>1</v>
      </c>
      <c r="T3540">
        <v>0</v>
      </c>
      <c r="U3540">
        <f>IF(AND(OR(Dashboard!$D$4="Semua",D3540=Dashboard!$D$4),OR(Dashboard!$H$4="Semua",E3540=Dashboard!$H$4)),1,0)</f>
        <v>1</v>
      </c>
      <c r="V3540">
        <f>IF(U3540=1,IF(COUNTIFS($C$2:C3540,C3540,$U$2:U3540,1)=1,1,0),0)</f>
        <v>0</v>
      </c>
    </row>
    <row r="3541" spans="1:22" x14ac:dyDescent="0.35">
      <c r="A3541">
        <v>13540</v>
      </c>
      <c r="B3541" s="1">
        <v>48101</v>
      </c>
      <c r="C3541">
        <v>1222</v>
      </c>
      <c r="D3541" t="s">
        <v>73</v>
      </c>
      <c r="E3541" t="s">
        <v>63</v>
      </c>
      <c r="F3541">
        <v>6</v>
      </c>
      <c r="G3541" s="2">
        <v>409.76</v>
      </c>
      <c r="H3541">
        <v>0.05</v>
      </c>
      <c r="I3541" t="s">
        <v>68</v>
      </c>
      <c r="J3541">
        <v>8</v>
      </c>
      <c r="K3541">
        <v>3.3</v>
      </c>
      <c r="L3541" s="2">
        <v>2335.63</v>
      </c>
      <c r="M3541">
        <v>2031</v>
      </c>
      <c r="N3541">
        <v>9</v>
      </c>
      <c r="O3541" t="s">
        <v>196</v>
      </c>
      <c r="P3541" s="2">
        <v>2458.56</v>
      </c>
      <c r="Q3541" s="2">
        <v>122.93</v>
      </c>
      <c r="R3541" t="s">
        <v>75</v>
      </c>
      <c r="S3541">
        <v>1</v>
      </c>
      <c r="T3541">
        <v>0</v>
      </c>
      <c r="U3541">
        <f>IF(AND(OR(Dashboard!$D$4="Semua",D3541=Dashboard!$D$4),OR(Dashboard!$H$4="Semua",E3541=Dashboard!$H$4)),1,0)</f>
        <v>1</v>
      </c>
      <c r="V3541">
        <f>IF(U3541=1,IF(COUNTIFS($C$2:C3541,C3541,$U$2:U3541,1)=1,1,0),0)</f>
        <v>0</v>
      </c>
    </row>
    <row r="3542" spans="1:22" x14ac:dyDescent="0.35">
      <c r="A3542">
        <v>13541</v>
      </c>
      <c r="B3542" s="1">
        <v>48102</v>
      </c>
      <c r="C3542">
        <v>1647</v>
      </c>
      <c r="D3542" t="s">
        <v>62</v>
      </c>
      <c r="E3542" t="s">
        <v>63</v>
      </c>
      <c r="F3542">
        <v>5</v>
      </c>
      <c r="G3542" s="2">
        <v>455.77</v>
      </c>
      <c r="H3542">
        <v>0.22</v>
      </c>
      <c r="I3542" t="s">
        <v>68</v>
      </c>
      <c r="J3542">
        <v>8</v>
      </c>
      <c r="K3542">
        <v>1.9</v>
      </c>
      <c r="L3542" s="2">
        <v>1777.5</v>
      </c>
      <c r="M3542">
        <v>2031</v>
      </c>
      <c r="N3542">
        <v>9</v>
      </c>
      <c r="O3542" t="s">
        <v>196</v>
      </c>
      <c r="P3542" s="2">
        <v>2278.85</v>
      </c>
      <c r="Q3542" s="2">
        <v>501.35</v>
      </c>
      <c r="R3542" t="s">
        <v>77</v>
      </c>
      <c r="S3542">
        <v>1</v>
      </c>
      <c r="T3542">
        <v>0</v>
      </c>
      <c r="U3542">
        <f>IF(AND(OR(Dashboard!$D$4="Semua",D3542=Dashboard!$D$4),OR(Dashboard!$H$4="Semua",E3542=Dashboard!$H$4)),1,0)</f>
        <v>1</v>
      </c>
      <c r="V3542">
        <f>IF(U3542=1,IF(COUNTIFS($C$2:C3542,C3542,$U$2:U3542,1)=1,1,0),0)</f>
        <v>0</v>
      </c>
    </row>
    <row r="3543" spans="1:22" x14ac:dyDescent="0.35">
      <c r="A3543">
        <v>13542</v>
      </c>
      <c r="B3543" s="1">
        <v>48103</v>
      </c>
      <c r="C3543">
        <v>1767</v>
      </c>
      <c r="D3543" t="s">
        <v>62</v>
      </c>
      <c r="E3543" t="s">
        <v>70</v>
      </c>
      <c r="F3543">
        <v>1</v>
      </c>
      <c r="G3543" s="2">
        <v>158.80000000000001</v>
      </c>
      <c r="H3543">
        <v>0.23</v>
      </c>
      <c r="I3543" t="s">
        <v>68</v>
      </c>
      <c r="J3543">
        <v>8</v>
      </c>
      <c r="K3543">
        <v>2.8</v>
      </c>
      <c r="L3543" s="2">
        <v>122.28</v>
      </c>
      <c r="M3543">
        <v>2031</v>
      </c>
      <c r="N3543">
        <v>9</v>
      </c>
      <c r="O3543" t="s">
        <v>196</v>
      </c>
      <c r="P3543" s="2">
        <v>158.80000000000001</v>
      </c>
      <c r="Q3543" s="2">
        <v>36.520000000000003</v>
      </c>
      <c r="R3543" t="s">
        <v>77</v>
      </c>
      <c r="S3543">
        <v>1</v>
      </c>
      <c r="T3543">
        <v>0</v>
      </c>
      <c r="U3543">
        <f>IF(AND(OR(Dashboard!$D$4="Semua",D3543=Dashboard!$D$4),OR(Dashboard!$H$4="Semua",E3543=Dashboard!$H$4)),1,0)</f>
        <v>1</v>
      </c>
      <c r="V3543">
        <f>IF(U3543=1,IF(COUNTIFS($C$2:C3543,C3543,$U$2:U3543,1)=1,1,0),0)</f>
        <v>0</v>
      </c>
    </row>
    <row r="3544" spans="1:22" x14ac:dyDescent="0.35">
      <c r="A3544">
        <v>13543</v>
      </c>
      <c r="B3544" s="1">
        <v>48104</v>
      </c>
      <c r="C3544">
        <v>1359</v>
      </c>
      <c r="D3544" t="s">
        <v>67</v>
      </c>
      <c r="E3544" t="s">
        <v>74</v>
      </c>
      <c r="F3544">
        <v>6</v>
      </c>
      <c r="G3544" s="2">
        <v>409.21</v>
      </c>
      <c r="H3544">
        <v>0.26</v>
      </c>
      <c r="I3544" t="s">
        <v>71</v>
      </c>
      <c r="J3544">
        <v>6</v>
      </c>
      <c r="K3544">
        <v>3.2</v>
      </c>
      <c r="L3544" s="2">
        <v>1816.89</v>
      </c>
      <c r="M3544">
        <v>2031</v>
      </c>
      <c r="N3544">
        <v>9</v>
      </c>
      <c r="O3544" t="s">
        <v>196</v>
      </c>
      <c r="P3544" s="2">
        <v>2455.2600000000002</v>
      </c>
      <c r="Q3544" s="2">
        <v>638.37</v>
      </c>
      <c r="R3544" t="s">
        <v>66</v>
      </c>
      <c r="S3544">
        <v>1</v>
      </c>
      <c r="T3544">
        <v>0</v>
      </c>
      <c r="U3544">
        <f>IF(AND(OR(Dashboard!$D$4="Semua",D3544=Dashboard!$D$4),OR(Dashboard!$H$4="Semua",E3544=Dashboard!$H$4)),1,0)</f>
        <v>1</v>
      </c>
      <c r="V3544">
        <f>IF(U3544=1,IF(COUNTIFS($C$2:C3544,C3544,$U$2:U3544,1)=1,1,0),0)</f>
        <v>0</v>
      </c>
    </row>
    <row r="3545" spans="1:22" x14ac:dyDescent="0.35">
      <c r="A3545">
        <v>13544</v>
      </c>
      <c r="B3545" s="1">
        <v>48105</v>
      </c>
      <c r="C3545">
        <v>1920</v>
      </c>
      <c r="D3545" t="s">
        <v>62</v>
      </c>
      <c r="E3545" t="s">
        <v>74</v>
      </c>
      <c r="F3545">
        <v>6</v>
      </c>
      <c r="G3545" s="2">
        <v>40.28</v>
      </c>
      <c r="H3545">
        <v>0.25</v>
      </c>
      <c r="I3545" t="s">
        <v>71</v>
      </c>
      <c r="J3545">
        <v>8</v>
      </c>
      <c r="K3545">
        <v>2.1</v>
      </c>
      <c r="L3545" s="2">
        <v>181.26</v>
      </c>
      <c r="M3545">
        <v>2031</v>
      </c>
      <c r="N3545">
        <v>9</v>
      </c>
      <c r="O3545" t="s">
        <v>196</v>
      </c>
      <c r="P3545" s="2">
        <v>241.68</v>
      </c>
      <c r="Q3545" s="2">
        <v>60.42</v>
      </c>
      <c r="R3545" t="s">
        <v>77</v>
      </c>
      <c r="S3545">
        <v>1</v>
      </c>
      <c r="T3545">
        <v>0</v>
      </c>
      <c r="U3545">
        <f>IF(AND(OR(Dashboard!$D$4="Semua",D3545=Dashboard!$D$4),OR(Dashboard!$H$4="Semua",E3545=Dashboard!$H$4)),1,0)</f>
        <v>1</v>
      </c>
      <c r="V3545">
        <f>IF(U3545=1,IF(COUNTIFS($C$2:C3545,C3545,$U$2:U3545,1)=1,1,0),0)</f>
        <v>0</v>
      </c>
    </row>
    <row r="3546" spans="1:22" x14ac:dyDescent="0.35">
      <c r="A3546">
        <v>13545</v>
      </c>
      <c r="B3546" s="1">
        <v>48106</v>
      </c>
      <c r="C3546">
        <v>1328</v>
      </c>
      <c r="D3546" t="s">
        <v>67</v>
      </c>
      <c r="E3546" t="s">
        <v>78</v>
      </c>
      <c r="F3546">
        <v>3</v>
      </c>
      <c r="G3546" s="2">
        <v>505.13</v>
      </c>
      <c r="H3546">
        <v>0.23</v>
      </c>
      <c r="I3546" t="s">
        <v>68</v>
      </c>
      <c r="J3546">
        <v>6</v>
      </c>
      <c r="K3546">
        <v>2.4</v>
      </c>
      <c r="L3546" s="2">
        <v>1166.8499999999999</v>
      </c>
      <c r="M3546">
        <v>2031</v>
      </c>
      <c r="N3546">
        <v>9</v>
      </c>
      <c r="O3546" t="s">
        <v>196</v>
      </c>
      <c r="P3546" s="2">
        <v>1515.39</v>
      </c>
      <c r="Q3546" s="2">
        <v>348.54</v>
      </c>
      <c r="R3546" t="s">
        <v>77</v>
      </c>
      <c r="S3546">
        <v>1</v>
      </c>
      <c r="T3546">
        <v>0</v>
      </c>
      <c r="U3546">
        <f>IF(AND(OR(Dashboard!$D$4="Semua",D3546=Dashboard!$D$4),OR(Dashboard!$H$4="Semua",E3546=Dashboard!$H$4)),1,0)</f>
        <v>1</v>
      </c>
      <c r="V3546">
        <f>IF(U3546=1,IF(COUNTIFS($C$2:C3546,C3546,$U$2:U3546,1)=1,1,0),0)</f>
        <v>0</v>
      </c>
    </row>
    <row r="3547" spans="1:22" x14ac:dyDescent="0.35">
      <c r="A3547">
        <v>13546</v>
      </c>
      <c r="B3547" s="1">
        <v>48107</v>
      </c>
      <c r="C3547">
        <v>1961</v>
      </c>
      <c r="D3547" t="s">
        <v>73</v>
      </c>
      <c r="E3547" t="s">
        <v>70</v>
      </c>
      <c r="F3547">
        <v>5</v>
      </c>
      <c r="G3547" s="2">
        <v>114.23</v>
      </c>
      <c r="H3547">
        <v>0.27</v>
      </c>
      <c r="I3547" t="s">
        <v>64</v>
      </c>
      <c r="J3547">
        <v>10</v>
      </c>
      <c r="K3547">
        <v>1.8</v>
      </c>
      <c r="L3547" s="2">
        <v>416.94</v>
      </c>
      <c r="M3547">
        <v>2031</v>
      </c>
      <c r="N3547">
        <v>9</v>
      </c>
      <c r="O3547" t="s">
        <v>196</v>
      </c>
      <c r="P3547" s="2">
        <v>571.15</v>
      </c>
      <c r="Q3547" s="2">
        <v>154.21</v>
      </c>
      <c r="R3547" t="s">
        <v>66</v>
      </c>
      <c r="S3547">
        <v>1</v>
      </c>
      <c r="T3547">
        <v>0</v>
      </c>
      <c r="U3547">
        <f>IF(AND(OR(Dashboard!$D$4="Semua",D3547=Dashboard!$D$4),OR(Dashboard!$H$4="Semua",E3547=Dashboard!$H$4)),1,0)</f>
        <v>1</v>
      </c>
      <c r="V3547">
        <f>IF(U3547=1,IF(COUNTIFS($C$2:C3547,C3547,$U$2:U3547,1)=1,1,0),0)</f>
        <v>0</v>
      </c>
    </row>
    <row r="3548" spans="1:22" x14ac:dyDescent="0.35">
      <c r="A3548">
        <v>13547</v>
      </c>
      <c r="B3548" s="1">
        <v>48108</v>
      </c>
      <c r="C3548">
        <v>1462</v>
      </c>
      <c r="D3548" t="s">
        <v>80</v>
      </c>
      <c r="E3548" t="s">
        <v>78</v>
      </c>
      <c r="F3548">
        <v>2</v>
      </c>
      <c r="G3548" s="2">
        <v>422.95</v>
      </c>
      <c r="H3548">
        <v>0.2</v>
      </c>
      <c r="I3548" t="s">
        <v>68</v>
      </c>
      <c r="J3548">
        <v>2</v>
      </c>
      <c r="K3548">
        <v>2.8</v>
      </c>
      <c r="L3548" s="2">
        <v>676.72</v>
      </c>
      <c r="M3548">
        <v>2031</v>
      </c>
      <c r="N3548">
        <v>9</v>
      </c>
      <c r="O3548" t="s">
        <v>196</v>
      </c>
      <c r="P3548" s="2">
        <v>845.9</v>
      </c>
      <c r="Q3548" s="2">
        <v>169.18</v>
      </c>
      <c r="R3548" t="s">
        <v>76</v>
      </c>
      <c r="S3548">
        <v>1</v>
      </c>
      <c r="T3548">
        <v>0</v>
      </c>
      <c r="U3548">
        <f>IF(AND(OR(Dashboard!$D$4="Semua",D3548=Dashboard!$D$4),OR(Dashboard!$H$4="Semua",E3548=Dashboard!$H$4)),1,0)</f>
        <v>1</v>
      </c>
      <c r="V3548">
        <f>IF(U3548=1,IF(COUNTIFS($C$2:C3548,C3548,$U$2:U3548,1)=1,1,0),0)</f>
        <v>0</v>
      </c>
    </row>
    <row r="3549" spans="1:22" x14ac:dyDescent="0.35">
      <c r="A3549">
        <v>13548</v>
      </c>
      <c r="B3549" s="1">
        <v>48109</v>
      </c>
      <c r="C3549">
        <v>1945</v>
      </c>
      <c r="D3549" t="s">
        <v>80</v>
      </c>
      <c r="E3549" t="s">
        <v>78</v>
      </c>
      <c r="F3549">
        <v>7</v>
      </c>
      <c r="G3549" s="2">
        <v>146.32</v>
      </c>
      <c r="H3549">
        <v>0.09</v>
      </c>
      <c r="I3549" t="s">
        <v>68</v>
      </c>
      <c r="J3549">
        <v>3</v>
      </c>
      <c r="K3549">
        <v>5</v>
      </c>
      <c r="L3549" s="2">
        <v>932.06</v>
      </c>
      <c r="M3549">
        <v>2031</v>
      </c>
      <c r="N3549">
        <v>9</v>
      </c>
      <c r="O3549" t="s">
        <v>196</v>
      </c>
      <c r="P3549" s="2">
        <v>1024.24</v>
      </c>
      <c r="Q3549" s="2">
        <v>92.18</v>
      </c>
      <c r="R3549" t="s">
        <v>69</v>
      </c>
      <c r="S3549">
        <v>1</v>
      </c>
      <c r="T3549">
        <v>0</v>
      </c>
      <c r="U3549">
        <f>IF(AND(OR(Dashboard!$D$4="Semua",D3549=Dashboard!$D$4),OR(Dashboard!$H$4="Semua",E3549=Dashboard!$H$4)),1,0)</f>
        <v>1</v>
      </c>
      <c r="V3549">
        <f>IF(U3549=1,IF(COUNTIFS($C$2:C3549,C3549,$U$2:U3549,1)=1,1,0),0)</f>
        <v>0</v>
      </c>
    </row>
    <row r="3550" spans="1:22" x14ac:dyDescent="0.35">
      <c r="A3550">
        <v>13549</v>
      </c>
      <c r="B3550" s="1">
        <v>48110</v>
      </c>
      <c r="C3550">
        <v>1962</v>
      </c>
      <c r="D3550" t="s">
        <v>62</v>
      </c>
      <c r="E3550" t="s">
        <v>74</v>
      </c>
      <c r="F3550">
        <v>3</v>
      </c>
      <c r="G3550" s="2">
        <v>55.05</v>
      </c>
      <c r="H3550">
        <v>0.32</v>
      </c>
      <c r="I3550" t="s">
        <v>68</v>
      </c>
      <c r="J3550">
        <v>6</v>
      </c>
      <c r="K3550">
        <v>2.5</v>
      </c>
      <c r="L3550" s="2">
        <v>112.3</v>
      </c>
      <c r="M3550">
        <v>2031</v>
      </c>
      <c r="N3550">
        <v>9</v>
      </c>
      <c r="O3550" t="s">
        <v>196</v>
      </c>
      <c r="P3550" s="2">
        <v>165.15</v>
      </c>
      <c r="Q3550" s="2">
        <v>52.85</v>
      </c>
      <c r="R3550" t="s">
        <v>72</v>
      </c>
      <c r="S3550">
        <v>1</v>
      </c>
      <c r="T3550">
        <v>0</v>
      </c>
      <c r="U3550">
        <f>IF(AND(OR(Dashboard!$D$4="Semua",D3550=Dashboard!$D$4),OR(Dashboard!$H$4="Semua",E3550=Dashboard!$H$4)),1,0)</f>
        <v>1</v>
      </c>
      <c r="V3550">
        <f>IF(U3550=1,IF(COUNTIFS($C$2:C3550,C3550,$U$2:U3550,1)=1,1,0),0)</f>
        <v>0</v>
      </c>
    </row>
    <row r="3551" spans="1:22" x14ac:dyDescent="0.35">
      <c r="A3551">
        <v>13550</v>
      </c>
      <c r="B3551" s="1">
        <v>48111</v>
      </c>
      <c r="C3551">
        <v>1560</v>
      </c>
      <c r="D3551" t="s">
        <v>73</v>
      </c>
      <c r="E3551" t="s">
        <v>70</v>
      </c>
      <c r="F3551">
        <v>2</v>
      </c>
      <c r="G3551" s="2">
        <v>296.67</v>
      </c>
      <c r="H3551">
        <v>0.01</v>
      </c>
      <c r="I3551" t="s">
        <v>68</v>
      </c>
      <c r="J3551">
        <v>7</v>
      </c>
      <c r="K3551">
        <v>3.6</v>
      </c>
      <c r="L3551" s="2">
        <v>587.41</v>
      </c>
      <c r="M3551">
        <v>2031</v>
      </c>
      <c r="N3551">
        <v>9</v>
      </c>
      <c r="O3551" t="s">
        <v>196</v>
      </c>
      <c r="P3551" s="2">
        <v>593.34</v>
      </c>
      <c r="Q3551" s="2">
        <v>5.93</v>
      </c>
      <c r="R3551" t="s">
        <v>75</v>
      </c>
      <c r="S3551">
        <v>1</v>
      </c>
      <c r="T3551">
        <v>0</v>
      </c>
      <c r="U3551">
        <f>IF(AND(OR(Dashboard!$D$4="Semua",D3551=Dashboard!$D$4),OR(Dashboard!$H$4="Semua",E3551=Dashboard!$H$4)),1,0)</f>
        <v>1</v>
      </c>
      <c r="V3551">
        <f>IF(U3551=1,IF(COUNTIFS($C$2:C3551,C3551,$U$2:U3551,1)=1,1,0),0)</f>
        <v>0</v>
      </c>
    </row>
    <row r="3552" spans="1:22" x14ac:dyDescent="0.35">
      <c r="A3552">
        <v>13551</v>
      </c>
      <c r="B3552" s="1">
        <v>48112</v>
      </c>
      <c r="C3552">
        <v>1803</v>
      </c>
      <c r="D3552" t="s">
        <v>80</v>
      </c>
      <c r="E3552" t="s">
        <v>63</v>
      </c>
      <c r="F3552">
        <v>5</v>
      </c>
      <c r="G3552" s="2">
        <v>114.03</v>
      </c>
      <c r="H3552">
        <v>0.13</v>
      </c>
      <c r="I3552" t="s">
        <v>64</v>
      </c>
      <c r="J3552">
        <v>4</v>
      </c>
      <c r="K3552">
        <v>3.5</v>
      </c>
      <c r="L3552" s="2">
        <v>496.03</v>
      </c>
      <c r="M3552">
        <v>2031</v>
      </c>
      <c r="N3552">
        <v>9</v>
      </c>
      <c r="O3552" t="s">
        <v>196</v>
      </c>
      <c r="P3552" s="2">
        <v>570.15</v>
      </c>
      <c r="Q3552" s="2">
        <v>74.12</v>
      </c>
      <c r="R3552" t="s">
        <v>79</v>
      </c>
      <c r="S3552">
        <v>1</v>
      </c>
      <c r="T3552">
        <v>0</v>
      </c>
      <c r="U3552">
        <f>IF(AND(OR(Dashboard!$D$4="Semua",D3552=Dashboard!$D$4),OR(Dashboard!$H$4="Semua",E3552=Dashboard!$H$4)),1,0)</f>
        <v>1</v>
      </c>
      <c r="V3552">
        <f>IF(U3552=1,IF(COUNTIFS($C$2:C3552,C3552,$U$2:U3552,1)=1,1,0),0)</f>
        <v>0</v>
      </c>
    </row>
    <row r="3553" spans="1:22" x14ac:dyDescent="0.35">
      <c r="A3553">
        <v>13552</v>
      </c>
      <c r="B3553" s="1">
        <v>48113</v>
      </c>
      <c r="C3553">
        <v>1381</v>
      </c>
      <c r="D3553" t="s">
        <v>73</v>
      </c>
      <c r="E3553" t="s">
        <v>74</v>
      </c>
      <c r="F3553">
        <v>3</v>
      </c>
      <c r="G3553" s="2">
        <v>441.72</v>
      </c>
      <c r="H3553">
        <v>0.26</v>
      </c>
      <c r="I3553" t="s">
        <v>68</v>
      </c>
      <c r="J3553">
        <v>1</v>
      </c>
      <c r="K3553">
        <v>4.0999999999999996</v>
      </c>
      <c r="L3553" s="2">
        <v>980.62</v>
      </c>
      <c r="M3553">
        <v>2031</v>
      </c>
      <c r="N3553">
        <v>9</v>
      </c>
      <c r="O3553" t="s">
        <v>196</v>
      </c>
      <c r="P3553" s="2">
        <v>1325.16</v>
      </c>
      <c r="Q3553" s="2">
        <v>344.54</v>
      </c>
      <c r="R3553" t="s">
        <v>66</v>
      </c>
      <c r="S3553">
        <v>1</v>
      </c>
      <c r="T3553">
        <v>0</v>
      </c>
      <c r="U3553">
        <f>IF(AND(OR(Dashboard!$D$4="Semua",D3553=Dashboard!$D$4),OR(Dashboard!$H$4="Semua",E3553=Dashboard!$H$4)),1,0)</f>
        <v>1</v>
      </c>
      <c r="V3553">
        <f>IF(U3553=1,IF(COUNTIFS($C$2:C3553,C3553,$U$2:U3553,1)=1,1,0),0)</f>
        <v>0</v>
      </c>
    </row>
    <row r="3554" spans="1:22" x14ac:dyDescent="0.35">
      <c r="A3554">
        <v>13553</v>
      </c>
      <c r="B3554" s="1">
        <v>48114</v>
      </c>
      <c r="C3554">
        <v>1835</v>
      </c>
      <c r="D3554" t="s">
        <v>73</v>
      </c>
      <c r="E3554" t="s">
        <v>70</v>
      </c>
      <c r="F3554">
        <v>5</v>
      </c>
      <c r="G3554" s="2">
        <v>153.97999999999999</v>
      </c>
      <c r="H3554">
        <v>0.15</v>
      </c>
      <c r="I3554" t="s">
        <v>68</v>
      </c>
      <c r="J3554">
        <v>4</v>
      </c>
      <c r="K3554">
        <v>3.8</v>
      </c>
      <c r="L3554" s="2">
        <v>654.41999999999996</v>
      </c>
      <c r="M3554">
        <v>2031</v>
      </c>
      <c r="N3554">
        <v>9</v>
      </c>
      <c r="O3554" t="s">
        <v>196</v>
      </c>
      <c r="P3554" s="2">
        <v>769.9</v>
      </c>
      <c r="Q3554" s="2">
        <v>115.48</v>
      </c>
      <c r="R3554" t="s">
        <v>79</v>
      </c>
      <c r="S3554">
        <v>1</v>
      </c>
      <c r="T3554">
        <v>0</v>
      </c>
      <c r="U3554">
        <f>IF(AND(OR(Dashboard!$D$4="Semua",D3554=Dashboard!$D$4),OR(Dashboard!$H$4="Semua",E3554=Dashboard!$H$4)),1,0)</f>
        <v>1</v>
      </c>
      <c r="V3554">
        <f>IF(U3554=1,IF(COUNTIFS($C$2:C3554,C3554,$U$2:U3554,1)=1,1,0),0)</f>
        <v>0</v>
      </c>
    </row>
    <row r="3555" spans="1:22" x14ac:dyDescent="0.35">
      <c r="A3555">
        <v>13554</v>
      </c>
      <c r="B3555" s="1">
        <v>48115</v>
      </c>
      <c r="C3555">
        <v>1589</v>
      </c>
      <c r="D3555" t="s">
        <v>73</v>
      </c>
      <c r="E3555" t="s">
        <v>70</v>
      </c>
      <c r="F3555">
        <v>1</v>
      </c>
      <c r="G3555" s="2">
        <v>215.35</v>
      </c>
      <c r="H3555">
        <v>0.01</v>
      </c>
      <c r="I3555" t="s">
        <v>64</v>
      </c>
      <c r="J3555">
        <v>6</v>
      </c>
      <c r="K3555">
        <v>1</v>
      </c>
      <c r="L3555" s="2">
        <v>213.2</v>
      </c>
      <c r="M3555">
        <v>2031</v>
      </c>
      <c r="N3555">
        <v>9</v>
      </c>
      <c r="O3555" t="s">
        <v>196</v>
      </c>
      <c r="P3555" s="2">
        <v>215.35</v>
      </c>
      <c r="Q3555" s="2">
        <v>2.15</v>
      </c>
      <c r="R3555" t="s">
        <v>75</v>
      </c>
      <c r="S3555">
        <v>1</v>
      </c>
      <c r="T3555">
        <v>0</v>
      </c>
      <c r="U3555">
        <f>IF(AND(OR(Dashboard!$D$4="Semua",D3555=Dashboard!$D$4),OR(Dashboard!$H$4="Semua",E3555=Dashboard!$H$4)),1,0)</f>
        <v>1</v>
      </c>
      <c r="V3555">
        <f>IF(U3555=1,IF(COUNTIFS($C$2:C3555,C3555,$U$2:U3555,1)=1,1,0),0)</f>
        <v>0</v>
      </c>
    </row>
    <row r="3556" spans="1:22" x14ac:dyDescent="0.35">
      <c r="A3556">
        <v>13555</v>
      </c>
      <c r="B3556" s="1">
        <v>48116</v>
      </c>
      <c r="C3556">
        <v>1616</v>
      </c>
      <c r="D3556" t="s">
        <v>62</v>
      </c>
      <c r="E3556" t="s">
        <v>74</v>
      </c>
      <c r="F3556">
        <v>3</v>
      </c>
      <c r="G3556" s="2">
        <v>346.95</v>
      </c>
      <c r="H3556">
        <v>0.02</v>
      </c>
      <c r="I3556" t="s">
        <v>71</v>
      </c>
      <c r="J3556">
        <v>8</v>
      </c>
      <c r="K3556">
        <v>2.2000000000000002</v>
      </c>
      <c r="L3556" s="2">
        <v>1020.03</v>
      </c>
      <c r="M3556">
        <v>2031</v>
      </c>
      <c r="N3556">
        <v>9</v>
      </c>
      <c r="O3556" t="s">
        <v>196</v>
      </c>
      <c r="P3556" s="2">
        <v>1040.8499999999999</v>
      </c>
      <c r="Q3556" s="2">
        <v>20.82</v>
      </c>
      <c r="R3556" t="s">
        <v>75</v>
      </c>
      <c r="S3556">
        <v>1</v>
      </c>
      <c r="T3556">
        <v>0</v>
      </c>
      <c r="U3556">
        <f>IF(AND(OR(Dashboard!$D$4="Semua",D3556=Dashboard!$D$4),OR(Dashboard!$H$4="Semua",E3556=Dashboard!$H$4)),1,0)</f>
        <v>1</v>
      </c>
      <c r="V3556">
        <f>IF(U3556=1,IF(COUNTIFS($C$2:C3556,C3556,$U$2:U3556,1)=1,1,0),0)</f>
        <v>0</v>
      </c>
    </row>
    <row r="3557" spans="1:22" x14ac:dyDescent="0.35">
      <c r="A3557">
        <v>13556</v>
      </c>
      <c r="B3557" s="1">
        <v>48117</v>
      </c>
      <c r="C3557">
        <v>1168</v>
      </c>
      <c r="D3557" t="s">
        <v>80</v>
      </c>
      <c r="E3557" t="s">
        <v>74</v>
      </c>
      <c r="F3557">
        <v>2</v>
      </c>
      <c r="G3557" s="2">
        <v>181.71</v>
      </c>
      <c r="H3557">
        <v>0.23</v>
      </c>
      <c r="I3557" t="s">
        <v>68</v>
      </c>
      <c r="J3557">
        <v>4</v>
      </c>
      <c r="K3557">
        <v>4.5</v>
      </c>
      <c r="L3557" s="2">
        <v>279.83</v>
      </c>
      <c r="M3557">
        <v>2031</v>
      </c>
      <c r="N3557">
        <v>9</v>
      </c>
      <c r="O3557" t="s">
        <v>196</v>
      </c>
      <c r="P3557" s="2">
        <v>363.42</v>
      </c>
      <c r="Q3557" s="2">
        <v>83.59</v>
      </c>
      <c r="R3557" t="s">
        <v>77</v>
      </c>
      <c r="S3557">
        <v>1</v>
      </c>
      <c r="T3557">
        <v>0</v>
      </c>
      <c r="U3557">
        <f>IF(AND(OR(Dashboard!$D$4="Semua",D3557=Dashboard!$D$4),OR(Dashboard!$H$4="Semua",E3557=Dashboard!$H$4)),1,0)</f>
        <v>1</v>
      </c>
      <c r="V3557">
        <f>IF(U3557=1,IF(COUNTIFS($C$2:C3557,C3557,$U$2:U3557,1)=1,1,0),0)</f>
        <v>1</v>
      </c>
    </row>
    <row r="3558" spans="1:22" x14ac:dyDescent="0.35">
      <c r="A3558">
        <v>13557</v>
      </c>
      <c r="B3558" s="1">
        <v>48118</v>
      </c>
      <c r="C3558">
        <v>1216</v>
      </c>
      <c r="D3558" t="s">
        <v>80</v>
      </c>
      <c r="E3558" t="s">
        <v>78</v>
      </c>
      <c r="F3558">
        <v>1</v>
      </c>
      <c r="G3558" s="2">
        <v>236.12</v>
      </c>
      <c r="H3558">
        <v>0.34</v>
      </c>
      <c r="I3558" t="s">
        <v>64</v>
      </c>
      <c r="J3558">
        <v>10</v>
      </c>
      <c r="K3558">
        <v>3.2</v>
      </c>
      <c r="L3558" s="2">
        <v>155.84</v>
      </c>
      <c r="M3558">
        <v>2031</v>
      </c>
      <c r="N3558">
        <v>9</v>
      </c>
      <c r="O3558" t="s">
        <v>196</v>
      </c>
      <c r="P3558" s="2">
        <v>236.12</v>
      </c>
      <c r="Q3558" s="2">
        <v>80.28</v>
      </c>
      <c r="R3558" t="s">
        <v>72</v>
      </c>
      <c r="S3558">
        <v>1</v>
      </c>
      <c r="T3558">
        <v>0</v>
      </c>
      <c r="U3558">
        <f>IF(AND(OR(Dashboard!$D$4="Semua",D3558=Dashboard!$D$4),OR(Dashboard!$H$4="Semua",E3558=Dashboard!$H$4)),1,0)</f>
        <v>1</v>
      </c>
      <c r="V3558">
        <f>IF(U3558=1,IF(COUNTIFS($C$2:C3558,C3558,$U$2:U3558,1)=1,1,0),0)</f>
        <v>0</v>
      </c>
    </row>
    <row r="3559" spans="1:22" x14ac:dyDescent="0.35">
      <c r="A3559">
        <v>13558</v>
      </c>
      <c r="B3559" s="1">
        <v>48119</v>
      </c>
      <c r="C3559">
        <v>1377</v>
      </c>
      <c r="D3559" t="s">
        <v>67</v>
      </c>
      <c r="E3559" t="s">
        <v>78</v>
      </c>
      <c r="F3559">
        <v>4</v>
      </c>
      <c r="G3559" s="2">
        <v>492.14</v>
      </c>
      <c r="H3559">
        <v>0.19</v>
      </c>
      <c r="I3559" t="s">
        <v>71</v>
      </c>
      <c r="J3559">
        <v>1</v>
      </c>
      <c r="K3559">
        <v>1.4</v>
      </c>
      <c r="L3559" s="2">
        <v>1594.53</v>
      </c>
      <c r="M3559">
        <v>2031</v>
      </c>
      <c r="N3559">
        <v>9</v>
      </c>
      <c r="O3559" t="s">
        <v>196</v>
      </c>
      <c r="P3559" s="2">
        <v>1968.56</v>
      </c>
      <c r="Q3559" s="2">
        <v>374.03</v>
      </c>
      <c r="R3559" t="s">
        <v>76</v>
      </c>
      <c r="S3559">
        <v>1</v>
      </c>
      <c r="T3559">
        <v>0</v>
      </c>
      <c r="U3559">
        <f>IF(AND(OR(Dashboard!$D$4="Semua",D3559=Dashboard!$D$4),OR(Dashboard!$H$4="Semua",E3559=Dashboard!$H$4)),1,0)</f>
        <v>1</v>
      </c>
      <c r="V3559">
        <f>IF(U3559=1,IF(COUNTIFS($C$2:C3559,C3559,$U$2:U3559,1)=1,1,0),0)</f>
        <v>0</v>
      </c>
    </row>
    <row r="3560" spans="1:22" x14ac:dyDescent="0.35">
      <c r="A3560">
        <v>13559</v>
      </c>
      <c r="B3560" s="1">
        <v>48120</v>
      </c>
      <c r="C3560">
        <v>1118</v>
      </c>
      <c r="D3560" t="s">
        <v>73</v>
      </c>
      <c r="E3560" t="s">
        <v>78</v>
      </c>
      <c r="F3560">
        <v>2</v>
      </c>
      <c r="G3560" s="2">
        <v>119.84</v>
      </c>
      <c r="H3560">
        <v>0.18</v>
      </c>
      <c r="I3560" t="s">
        <v>68</v>
      </c>
      <c r="J3560">
        <v>5</v>
      </c>
      <c r="K3560">
        <v>2.1</v>
      </c>
      <c r="L3560" s="2">
        <v>196.54</v>
      </c>
      <c r="M3560">
        <v>2031</v>
      </c>
      <c r="N3560">
        <v>9</v>
      </c>
      <c r="O3560" t="s">
        <v>196</v>
      </c>
      <c r="P3560" s="2">
        <v>239.68</v>
      </c>
      <c r="Q3560" s="2">
        <v>43.14</v>
      </c>
      <c r="R3560" t="s">
        <v>76</v>
      </c>
      <c r="S3560">
        <v>1</v>
      </c>
      <c r="T3560">
        <v>0</v>
      </c>
      <c r="U3560">
        <f>IF(AND(OR(Dashboard!$D$4="Semua",D3560=Dashboard!$D$4),OR(Dashboard!$H$4="Semua",E3560=Dashboard!$H$4)),1,0)</f>
        <v>1</v>
      </c>
      <c r="V3560">
        <f>IF(U3560=1,IF(COUNTIFS($C$2:C3560,C3560,$U$2:U3560,1)=1,1,0),0)</f>
        <v>0</v>
      </c>
    </row>
    <row r="3561" spans="1:22" x14ac:dyDescent="0.35">
      <c r="A3561">
        <v>13560</v>
      </c>
      <c r="B3561" s="1">
        <v>48121</v>
      </c>
      <c r="C3561">
        <v>1189</v>
      </c>
      <c r="D3561" t="s">
        <v>73</v>
      </c>
      <c r="E3561" t="s">
        <v>63</v>
      </c>
      <c r="F3561">
        <v>7</v>
      </c>
      <c r="G3561" s="2">
        <v>63.09</v>
      </c>
      <c r="H3561">
        <v>0.11</v>
      </c>
      <c r="I3561" t="s">
        <v>71</v>
      </c>
      <c r="J3561">
        <v>7</v>
      </c>
      <c r="K3561">
        <v>2.1</v>
      </c>
      <c r="L3561" s="2">
        <v>393.05</v>
      </c>
      <c r="M3561">
        <v>2031</v>
      </c>
      <c r="N3561">
        <v>9</v>
      </c>
      <c r="O3561" t="s">
        <v>196</v>
      </c>
      <c r="P3561" s="2">
        <v>441.63</v>
      </c>
      <c r="Q3561" s="2">
        <v>48.58</v>
      </c>
      <c r="R3561" t="s">
        <v>79</v>
      </c>
      <c r="S3561">
        <v>1</v>
      </c>
      <c r="T3561">
        <v>0</v>
      </c>
      <c r="U3561">
        <f>IF(AND(OR(Dashboard!$D$4="Semua",D3561=Dashboard!$D$4),OR(Dashboard!$H$4="Semua",E3561=Dashboard!$H$4)),1,0)</f>
        <v>1</v>
      </c>
      <c r="V3561">
        <f>IF(U3561=1,IF(COUNTIFS($C$2:C3561,C3561,$U$2:U3561,1)=1,1,0),0)</f>
        <v>0</v>
      </c>
    </row>
    <row r="3562" spans="1:22" x14ac:dyDescent="0.35">
      <c r="A3562">
        <v>13561</v>
      </c>
      <c r="B3562" s="1">
        <v>48122</v>
      </c>
      <c r="C3562">
        <v>1766</v>
      </c>
      <c r="D3562" t="s">
        <v>73</v>
      </c>
      <c r="E3562" t="s">
        <v>74</v>
      </c>
      <c r="F3562">
        <v>5</v>
      </c>
      <c r="G3562" s="2">
        <v>207.09</v>
      </c>
      <c r="H3562">
        <v>0.09</v>
      </c>
      <c r="I3562" t="s">
        <v>64</v>
      </c>
      <c r="J3562">
        <v>6</v>
      </c>
      <c r="K3562">
        <v>4.5</v>
      </c>
      <c r="L3562" s="2">
        <v>942.26</v>
      </c>
      <c r="M3562">
        <v>2031</v>
      </c>
      <c r="N3562">
        <v>10</v>
      </c>
      <c r="O3562" t="s">
        <v>197</v>
      </c>
      <c r="P3562" s="2">
        <v>1035.45</v>
      </c>
      <c r="Q3562" s="2">
        <v>93.19</v>
      </c>
      <c r="R3562" t="s">
        <v>69</v>
      </c>
      <c r="S3562">
        <v>1</v>
      </c>
      <c r="T3562">
        <v>0</v>
      </c>
      <c r="U3562">
        <f>IF(AND(OR(Dashboard!$D$4="Semua",D3562=Dashboard!$D$4),OR(Dashboard!$H$4="Semua",E3562=Dashboard!$H$4)),1,0)</f>
        <v>1</v>
      </c>
      <c r="V3562">
        <f>IF(U3562=1,IF(COUNTIFS($C$2:C3562,C3562,$U$2:U3562,1)=1,1,0),0)</f>
        <v>0</v>
      </c>
    </row>
    <row r="3563" spans="1:22" x14ac:dyDescent="0.35">
      <c r="A3563">
        <v>13562</v>
      </c>
      <c r="B3563" s="1">
        <v>48123</v>
      </c>
      <c r="C3563">
        <v>1369</v>
      </c>
      <c r="D3563" t="s">
        <v>67</v>
      </c>
      <c r="E3563" t="s">
        <v>70</v>
      </c>
      <c r="F3563">
        <v>2</v>
      </c>
      <c r="G3563" s="2">
        <v>263.26</v>
      </c>
      <c r="H3563">
        <v>0.01</v>
      </c>
      <c r="I3563" t="s">
        <v>71</v>
      </c>
      <c r="J3563">
        <v>3</v>
      </c>
      <c r="K3563">
        <v>3.2</v>
      </c>
      <c r="L3563" s="2">
        <v>521.25</v>
      </c>
      <c r="M3563">
        <v>2031</v>
      </c>
      <c r="N3563">
        <v>10</v>
      </c>
      <c r="O3563" t="s">
        <v>197</v>
      </c>
      <c r="P3563" s="2">
        <v>526.52</v>
      </c>
      <c r="Q3563" s="2">
        <v>5.27</v>
      </c>
      <c r="R3563" t="s">
        <v>75</v>
      </c>
      <c r="S3563">
        <v>1</v>
      </c>
      <c r="T3563">
        <v>0</v>
      </c>
      <c r="U3563">
        <f>IF(AND(OR(Dashboard!$D$4="Semua",D3563=Dashboard!$D$4),OR(Dashboard!$H$4="Semua",E3563=Dashboard!$H$4)),1,0)</f>
        <v>1</v>
      </c>
      <c r="V3563">
        <f>IF(U3563=1,IF(COUNTIFS($C$2:C3563,C3563,$U$2:U3563,1)=1,1,0),0)</f>
        <v>0</v>
      </c>
    </row>
    <row r="3564" spans="1:22" x14ac:dyDescent="0.35">
      <c r="A3564">
        <v>13563</v>
      </c>
      <c r="B3564" s="1">
        <v>48124</v>
      </c>
      <c r="C3564">
        <v>1777</v>
      </c>
      <c r="D3564" t="s">
        <v>80</v>
      </c>
      <c r="E3564" t="s">
        <v>74</v>
      </c>
      <c r="F3564">
        <v>4</v>
      </c>
      <c r="G3564" s="2">
        <v>332.46</v>
      </c>
      <c r="H3564">
        <v>0.1</v>
      </c>
      <c r="I3564" t="s">
        <v>71</v>
      </c>
      <c r="J3564">
        <v>7</v>
      </c>
      <c r="K3564">
        <v>3.4</v>
      </c>
      <c r="L3564" s="2">
        <v>1196.8599999999999</v>
      </c>
      <c r="M3564">
        <v>2031</v>
      </c>
      <c r="N3564">
        <v>10</v>
      </c>
      <c r="O3564" t="s">
        <v>197</v>
      </c>
      <c r="P3564" s="2">
        <v>1329.84</v>
      </c>
      <c r="Q3564" s="2">
        <v>132.97999999999999</v>
      </c>
      <c r="R3564" t="s">
        <v>69</v>
      </c>
      <c r="S3564">
        <v>1</v>
      </c>
      <c r="T3564">
        <v>0</v>
      </c>
      <c r="U3564">
        <f>IF(AND(OR(Dashboard!$D$4="Semua",D3564=Dashboard!$D$4),OR(Dashboard!$H$4="Semua",E3564=Dashboard!$H$4)),1,0)</f>
        <v>1</v>
      </c>
      <c r="V3564">
        <f>IF(U3564=1,IF(COUNTIFS($C$2:C3564,C3564,$U$2:U3564,1)=1,1,0),0)</f>
        <v>0</v>
      </c>
    </row>
    <row r="3565" spans="1:22" x14ac:dyDescent="0.35">
      <c r="A3565">
        <v>13564</v>
      </c>
      <c r="B3565" s="1">
        <v>48125</v>
      </c>
      <c r="C3565">
        <v>1148</v>
      </c>
      <c r="D3565" t="s">
        <v>67</v>
      </c>
      <c r="E3565" t="s">
        <v>70</v>
      </c>
      <c r="F3565">
        <v>2</v>
      </c>
      <c r="G3565" s="2">
        <v>232.87</v>
      </c>
      <c r="H3565">
        <v>0.16</v>
      </c>
      <c r="I3565" t="s">
        <v>64</v>
      </c>
      <c r="J3565">
        <v>4</v>
      </c>
      <c r="K3565">
        <v>2.5</v>
      </c>
      <c r="L3565" s="2">
        <v>391.22</v>
      </c>
      <c r="M3565">
        <v>2031</v>
      </c>
      <c r="N3565">
        <v>10</v>
      </c>
      <c r="O3565" t="s">
        <v>197</v>
      </c>
      <c r="P3565" s="2">
        <v>465.74</v>
      </c>
      <c r="Q3565" s="2">
        <v>74.52</v>
      </c>
      <c r="R3565" t="s">
        <v>76</v>
      </c>
      <c r="S3565">
        <v>1</v>
      </c>
      <c r="T3565">
        <v>0</v>
      </c>
      <c r="U3565">
        <f>IF(AND(OR(Dashboard!$D$4="Semua",D3565=Dashboard!$D$4),OR(Dashboard!$H$4="Semua",E3565=Dashboard!$H$4)),1,0)</f>
        <v>1</v>
      </c>
      <c r="V3565">
        <f>IF(U3565=1,IF(COUNTIFS($C$2:C3565,C3565,$U$2:U3565,1)=1,1,0),0)</f>
        <v>0</v>
      </c>
    </row>
    <row r="3566" spans="1:22" x14ac:dyDescent="0.35">
      <c r="A3566">
        <v>13565</v>
      </c>
      <c r="B3566" s="1">
        <v>48126</v>
      </c>
      <c r="C3566">
        <v>1675</v>
      </c>
      <c r="D3566" t="s">
        <v>73</v>
      </c>
      <c r="E3566" t="s">
        <v>63</v>
      </c>
      <c r="F3566">
        <v>1</v>
      </c>
      <c r="G3566" s="2">
        <v>477.1</v>
      </c>
      <c r="H3566">
        <v>7.0000000000000007E-2</v>
      </c>
      <c r="I3566" t="s">
        <v>71</v>
      </c>
      <c r="J3566">
        <v>5</v>
      </c>
      <c r="K3566">
        <v>1.2</v>
      </c>
      <c r="L3566" s="2">
        <v>443.7</v>
      </c>
      <c r="M3566">
        <v>2031</v>
      </c>
      <c r="N3566">
        <v>10</v>
      </c>
      <c r="O3566" t="s">
        <v>197</v>
      </c>
      <c r="P3566" s="2">
        <v>477.1</v>
      </c>
      <c r="Q3566" s="2">
        <v>33.4</v>
      </c>
      <c r="R3566" t="s">
        <v>69</v>
      </c>
      <c r="S3566">
        <v>1</v>
      </c>
      <c r="T3566">
        <v>0</v>
      </c>
      <c r="U3566">
        <f>IF(AND(OR(Dashboard!$D$4="Semua",D3566=Dashboard!$D$4),OR(Dashboard!$H$4="Semua",E3566=Dashboard!$H$4)),1,0)</f>
        <v>1</v>
      </c>
      <c r="V3566">
        <f>IF(U3566=1,IF(COUNTIFS($C$2:C3566,C3566,$U$2:U3566,1)=1,1,0),0)</f>
        <v>0</v>
      </c>
    </row>
    <row r="3567" spans="1:22" x14ac:dyDescent="0.35">
      <c r="A3567">
        <v>13566</v>
      </c>
      <c r="B3567" s="1">
        <v>48127</v>
      </c>
      <c r="C3567">
        <v>1651</v>
      </c>
      <c r="D3567" t="s">
        <v>73</v>
      </c>
      <c r="E3567" t="s">
        <v>74</v>
      </c>
      <c r="F3567">
        <v>6</v>
      </c>
      <c r="G3567" s="2">
        <v>38</v>
      </c>
      <c r="H3567">
        <v>0.03</v>
      </c>
      <c r="I3567" t="s">
        <v>68</v>
      </c>
      <c r="J3567">
        <v>11</v>
      </c>
      <c r="K3567">
        <v>1.3</v>
      </c>
      <c r="L3567" s="2">
        <v>221.16</v>
      </c>
      <c r="M3567">
        <v>2031</v>
      </c>
      <c r="N3567">
        <v>10</v>
      </c>
      <c r="O3567" t="s">
        <v>197</v>
      </c>
      <c r="P3567" s="2">
        <v>228</v>
      </c>
      <c r="Q3567" s="2">
        <v>6.84</v>
      </c>
      <c r="R3567" t="s">
        <v>75</v>
      </c>
      <c r="S3567">
        <v>1</v>
      </c>
      <c r="T3567">
        <v>0</v>
      </c>
      <c r="U3567">
        <f>IF(AND(OR(Dashboard!$D$4="Semua",D3567=Dashboard!$D$4),OR(Dashboard!$H$4="Semua",E3567=Dashboard!$H$4)),1,0)</f>
        <v>1</v>
      </c>
      <c r="V3567">
        <f>IF(U3567=1,IF(COUNTIFS($C$2:C3567,C3567,$U$2:U3567,1)=1,1,0),0)</f>
        <v>0</v>
      </c>
    </row>
    <row r="3568" spans="1:22" x14ac:dyDescent="0.35">
      <c r="A3568">
        <v>13567</v>
      </c>
      <c r="B3568" s="1">
        <v>48128</v>
      </c>
      <c r="C3568">
        <v>1858</v>
      </c>
      <c r="D3568" t="s">
        <v>73</v>
      </c>
      <c r="E3568" t="s">
        <v>70</v>
      </c>
      <c r="F3568">
        <v>2</v>
      </c>
      <c r="G3568" s="2">
        <v>267.58</v>
      </c>
      <c r="H3568">
        <v>0.25</v>
      </c>
      <c r="I3568" t="s">
        <v>68</v>
      </c>
      <c r="J3568">
        <v>7</v>
      </c>
      <c r="K3568">
        <v>2.7</v>
      </c>
      <c r="L3568" s="2">
        <v>401.37</v>
      </c>
      <c r="M3568">
        <v>2031</v>
      </c>
      <c r="N3568">
        <v>10</v>
      </c>
      <c r="O3568" t="s">
        <v>197</v>
      </c>
      <c r="P3568" s="2">
        <v>535.16</v>
      </c>
      <c r="Q3568" s="2">
        <v>133.79</v>
      </c>
      <c r="R3568" t="s">
        <v>77</v>
      </c>
      <c r="S3568">
        <v>1</v>
      </c>
      <c r="T3568">
        <v>0</v>
      </c>
      <c r="U3568">
        <f>IF(AND(OR(Dashboard!$D$4="Semua",D3568=Dashboard!$D$4),OR(Dashboard!$H$4="Semua",E3568=Dashboard!$H$4)),1,0)</f>
        <v>1</v>
      </c>
      <c r="V3568">
        <f>IF(U3568=1,IF(COUNTIFS($C$2:C3568,C3568,$U$2:U3568,1)=1,1,0),0)</f>
        <v>0</v>
      </c>
    </row>
    <row r="3569" spans="1:22" x14ac:dyDescent="0.35">
      <c r="A3569">
        <v>13568</v>
      </c>
      <c r="B3569" s="1">
        <v>48129</v>
      </c>
      <c r="C3569">
        <v>1487</v>
      </c>
      <c r="D3569" t="s">
        <v>67</v>
      </c>
      <c r="E3569" t="s">
        <v>70</v>
      </c>
      <c r="F3569">
        <v>3</v>
      </c>
      <c r="G3569" s="2">
        <v>238.62</v>
      </c>
      <c r="H3569">
        <v>0.31</v>
      </c>
      <c r="I3569" t="s">
        <v>71</v>
      </c>
      <c r="J3569">
        <v>2</v>
      </c>
      <c r="K3569">
        <v>1.7</v>
      </c>
      <c r="L3569" s="2">
        <v>493.94</v>
      </c>
      <c r="M3569">
        <v>2031</v>
      </c>
      <c r="N3569">
        <v>10</v>
      </c>
      <c r="O3569" t="s">
        <v>197</v>
      </c>
      <c r="P3569" s="2">
        <v>715.86</v>
      </c>
      <c r="Q3569" s="2">
        <v>221.92</v>
      </c>
      <c r="R3569" t="s">
        <v>72</v>
      </c>
      <c r="S3569">
        <v>1</v>
      </c>
      <c r="T3569">
        <v>0</v>
      </c>
      <c r="U3569">
        <f>IF(AND(OR(Dashboard!$D$4="Semua",D3569=Dashboard!$D$4),OR(Dashboard!$H$4="Semua",E3569=Dashboard!$H$4)),1,0)</f>
        <v>1</v>
      </c>
      <c r="V3569">
        <f>IF(U3569=1,IF(COUNTIFS($C$2:C3569,C3569,$U$2:U3569,1)=1,1,0),0)</f>
        <v>0</v>
      </c>
    </row>
    <row r="3570" spans="1:22" x14ac:dyDescent="0.35">
      <c r="A3570">
        <v>13569</v>
      </c>
      <c r="B3570" s="1">
        <v>48130</v>
      </c>
      <c r="C3570">
        <v>1769</v>
      </c>
      <c r="D3570" t="s">
        <v>62</v>
      </c>
      <c r="E3570" t="s">
        <v>78</v>
      </c>
      <c r="F3570">
        <v>7</v>
      </c>
      <c r="G3570" s="2">
        <v>393.83</v>
      </c>
      <c r="H3570">
        <v>0.33</v>
      </c>
      <c r="I3570" t="s">
        <v>68</v>
      </c>
      <c r="J3570">
        <v>4</v>
      </c>
      <c r="K3570">
        <v>1.4</v>
      </c>
      <c r="L3570" s="2">
        <v>1847.06</v>
      </c>
      <c r="M3570">
        <v>2031</v>
      </c>
      <c r="N3570">
        <v>10</v>
      </c>
      <c r="O3570" t="s">
        <v>197</v>
      </c>
      <c r="P3570" s="2">
        <v>2756.81</v>
      </c>
      <c r="Q3570" s="2">
        <v>909.75</v>
      </c>
      <c r="R3570" t="s">
        <v>72</v>
      </c>
      <c r="S3570">
        <v>1</v>
      </c>
      <c r="T3570">
        <v>0</v>
      </c>
      <c r="U3570">
        <f>IF(AND(OR(Dashboard!$D$4="Semua",D3570=Dashboard!$D$4),OR(Dashboard!$H$4="Semua",E3570=Dashboard!$H$4)),1,0)</f>
        <v>1</v>
      </c>
      <c r="V3570">
        <f>IF(U3570=1,IF(COUNTIFS($C$2:C3570,C3570,$U$2:U3570,1)=1,1,0),0)</f>
        <v>0</v>
      </c>
    </row>
    <row r="3571" spans="1:22" x14ac:dyDescent="0.35">
      <c r="A3571">
        <v>13570</v>
      </c>
      <c r="B3571" s="1">
        <v>48131</v>
      </c>
      <c r="C3571">
        <v>1373</v>
      </c>
      <c r="D3571" t="s">
        <v>67</v>
      </c>
      <c r="E3571" t="s">
        <v>63</v>
      </c>
      <c r="F3571">
        <v>4</v>
      </c>
      <c r="G3571" s="2">
        <v>580.27</v>
      </c>
      <c r="H3571">
        <v>0.22</v>
      </c>
      <c r="I3571" t="s">
        <v>64</v>
      </c>
      <c r="J3571">
        <v>4</v>
      </c>
      <c r="K3571">
        <v>2</v>
      </c>
      <c r="L3571" s="2">
        <v>1810.44</v>
      </c>
      <c r="M3571">
        <v>2031</v>
      </c>
      <c r="N3571">
        <v>10</v>
      </c>
      <c r="O3571" t="s">
        <v>197</v>
      </c>
      <c r="P3571" s="2">
        <v>2321.08</v>
      </c>
      <c r="Q3571" s="2">
        <v>510.64</v>
      </c>
      <c r="R3571" t="s">
        <v>77</v>
      </c>
      <c r="S3571">
        <v>1</v>
      </c>
      <c r="T3571">
        <v>0</v>
      </c>
      <c r="U3571">
        <f>IF(AND(OR(Dashboard!$D$4="Semua",D3571=Dashboard!$D$4),OR(Dashboard!$H$4="Semua",E3571=Dashboard!$H$4)),1,0)</f>
        <v>1</v>
      </c>
      <c r="V3571">
        <f>IF(U3571=1,IF(COUNTIFS($C$2:C3571,C3571,$U$2:U3571,1)=1,1,0),0)</f>
        <v>0</v>
      </c>
    </row>
    <row r="3572" spans="1:22" x14ac:dyDescent="0.35">
      <c r="A3572">
        <v>13571</v>
      </c>
      <c r="B3572" s="1">
        <v>48132</v>
      </c>
      <c r="C3572">
        <v>1780</v>
      </c>
      <c r="D3572" t="s">
        <v>80</v>
      </c>
      <c r="E3572" t="s">
        <v>74</v>
      </c>
      <c r="F3572">
        <v>2</v>
      </c>
      <c r="G3572" s="2">
        <v>313.57</v>
      </c>
      <c r="H3572">
        <v>0.02</v>
      </c>
      <c r="I3572" t="s">
        <v>68</v>
      </c>
      <c r="J3572">
        <v>6</v>
      </c>
      <c r="K3572">
        <v>4</v>
      </c>
      <c r="L3572" s="2">
        <v>614.6</v>
      </c>
      <c r="M3572">
        <v>2031</v>
      </c>
      <c r="N3572">
        <v>10</v>
      </c>
      <c r="O3572" t="s">
        <v>197</v>
      </c>
      <c r="P3572" s="2">
        <v>627.14</v>
      </c>
      <c r="Q3572" s="2">
        <v>12.54</v>
      </c>
      <c r="R3572" t="s">
        <v>75</v>
      </c>
      <c r="S3572">
        <v>1</v>
      </c>
      <c r="T3572">
        <v>0</v>
      </c>
      <c r="U3572">
        <f>IF(AND(OR(Dashboard!$D$4="Semua",D3572=Dashboard!$D$4),OR(Dashboard!$H$4="Semua",E3572=Dashboard!$H$4)),1,0)</f>
        <v>1</v>
      </c>
      <c r="V3572">
        <f>IF(U3572=1,IF(COUNTIFS($C$2:C3572,C3572,$U$2:U3572,1)=1,1,0),0)</f>
        <v>0</v>
      </c>
    </row>
    <row r="3573" spans="1:22" x14ac:dyDescent="0.35">
      <c r="A3573">
        <v>13572</v>
      </c>
      <c r="B3573" s="1">
        <v>48133</v>
      </c>
      <c r="C3573">
        <v>1692</v>
      </c>
      <c r="D3573" t="s">
        <v>67</v>
      </c>
      <c r="E3573" t="s">
        <v>78</v>
      </c>
      <c r="F3573">
        <v>4</v>
      </c>
      <c r="G3573" s="2">
        <v>592.32000000000005</v>
      </c>
      <c r="H3573">
        <v>0.26</v>
      </c>
      <c r="I3573" t="s">
        <v>71</v>
      </c>
      <c r="J3573">
        <v>11</v>
      </c>
      <c r="K3573">
        <v>1.3</v>
      </c>
      <c r="L3573" s="2">
        <v>1753.27</v>
      </c>
      <c r="M3573">
        <v>2031</v>
      </c>
      <c r="N3573">
        <v>10</v>
      </c>
      <c r="O3573" t="s">
        <v>197</v>
      </c>
      <c r="P3573" s="2">
        <v>2369.2800000000002</v>
      </c>
      <c r="Q3573" s="2">
        <v>616.01</v>
      </c>
      <c r="R3573" t="s">
        <v>66</v>
      </c>
      <c r="S3573">
        <v>1</v>
      </c>
      <c r="T3573">
        <v>0</v>
      </c>
      <c r="U3573">
        <f>IF(AND(OR(Dashboard!$D$4="Semua",D3573=Dashboard!$D$4),OR(Dashboard!$H$4="Semua",E3573=Dashboard!$H$4)),1,0)</f>
        <v>1</v>
      </c>
      <c r="V3573">
        <f>IF(U3573=1,IF(COUNTIFS($C$2:C3573,C3573,$U$2:U3573,1)=1,1,0),0)</f>
        <v>0</v>
      </c>
    </row>
    <row r="3574" spans="1:22" x14ac:dyDescent="0.35">
      <c r="A3574">
        <v>13573</v>
      </c>
      <c r="B3574" s="1">
        <v>48134</v>
      </c>
      <c r="C3574">
        <v>1159</v>
      </c>
      <c r="D3574" t="s">
        <v>67</v>
      </c>
      <c r="E3574" t="s">
        <v>63</v>
      </c>
      <c r="F3574">
        <v>6</v>
      </c>
      <c r="G3574" s="2">
        <v>191.82</v>
      </c>
      <c r="H3574">
        <v>0.04</v>
      </c>
      <c r="I3574" t="s">
        <v>71</v>
      </c>
      <c r="J3574">
        <v>7</v>
      </c>
      <c r="K3574">
        <v>2.8</v>
      </c>
      <c r="L3574" s="2">
        <v>1104.8800000000001</v>
      </c>
      <c r="M3574">
        <v>2031</v>
      </c>
      <c r="N3574">
        <v>10</v>
      </c>
      <c r="O3574" t="s">
        <v>197</v>
      </c>
      <c r="P3574" s="2">
        <v>1150.92</v>
      </c>
      <c r="Q3574" s="2">
        <v>46.04</v>
      </c>
      <c r="R3574" t="s">
        <v>75</v>
      </c>
      <c r="S3574">
        <v>1</v>
      </c>
      <c r="T3574">
        <v>0</v>
      </c>
      <c r="U3574">
        <f>IF(AND(OR(Dashboard!$D$4="Semua",D3574=Dashboard!$D$4),OR(Dashboard!$H$4="Semua",E3574=Dashboard!$H$4)),1,0)</f>
        <v>1</v>
      </c>
      <c r="V3574">
        <f>IF(U3574=1,IF(COUNTIFS($C$2:C3574,C3574,$U$2:U3574,1)=1,1,0),0)</f>
        <v>0</v>
      </c>
    </row>
    <row r="3575" spans="1:22" x14ac:dyDescent="0.35">
      <c r="A3575">
        <v>13574</v>
      </c>
      <c r="B3575" s="1">
        <v>48135</v>
      </c>
      <c r="C3575">
        <v>1350</v>
      </c>
      <c r="D3575" t="s">
        <v>73</v>
      </c>
      <c r="E3575" t="s">
        <v>78</v>
      </c>
      <c r="F3575">
        <v>1</v>
      </c>
      <c r="G3575" s="2">
        <v>33.06</v>
      </c>
      <c r="H3575">
        <v>0.23</v>
      </c>
      <c r="I3575" t="s">
        <v>71</v>
      </c>
      <c r="J3575">
        <v>4</v>
      </c>
      <c r="K3575">
        <v>4.3</v>
      </c>
      <c r="L3575" s="2">
        <v>25.46</v>
      </c>
      <c r="M3575">
        <v>2031</v>
      </c>
      <c r="N3575">
        <v>10</v>
      </c>
      <c r="O3575" t="s">
        <v>197</v>
      </c>
      <c r="P3575" s="2">
        <v>33.06</v>
      </c>
      <c r="Q3575" s="2">
        <v>7.6</v>
      </c>
      <c r="R3575" t="s">
        <v>77</v>
      </c>
      <c r="S3575">
        <v>1</v>
      </c>
      <c r="T3575">
        <v>0</v>
      </c>
      <c r="U3575">
        <f>IF(AND(OR(Dashboard!$D$4="Semua",D3575=Dashboard!$D$4),OR(Dashboard!$H$4="Semua",E3575=Dashboard!$H$4)),1,0)</f>
        <v>1</v>
      </c>
      <c r="V3575">
        <f>IF(U3575=1,IF(COUNTIFS($C$2:C3575,C3575,$U$2:U3575,1)=1,1,0),0)</f>
        <v>0</v>
      </c>
    </row>
    <row r="3576" spans="1:22" x14ac:dyDescent="0.35">
      <c r="A3576">
        <v>13575</v>
      </c>
      <c r="B3576" s="1">
        <v>48136</v>
      </c>
      <c r="C3576">
        <v>1911</v>
      </c>
      <c r="D3576" t="s">
        <v>62</v>
      </c>
      <c r="E3576" t="s">
        <v>74</v>
      </c>
      <c r="F3576">
        <v>3</v>
      </c>
      <c r="G3576" s="2">
        <v>111.91</v>
      </c>
      <c r="H3576">
        <v>0.27</v>
      </c>
      <c r="I3576" t="s">
        <v>68</v>
      </c>
      <c r="J3576">
        <v>10</v>
      </c>
      <c r="K3576">
        <v>2.1</v>
      </c>
      <c r="L3576" s="2">
        <v>245.08</v>
      </c>
      <c r="M3576">
        <v>2031</v>
      </c>
      <c r="N3576">
        <v>10</v>
      </c>
      <c r="O3576" t="s">
        <v>197</v>
      </c>
      <c r="P3576" s="2">
        <v>335.73</v>
      </c>
      <c r="Q3576" s="2">
        <v>90.65</v>
      </c>
      <c r="R3576" t="s">
        <v>66</v>
      </c>
      <c r="S3576">
        <v>1</v>
      </c>
      <c r="T3576">
        <v>0</v>
      </c>
      <c r="U3576">
        <f>IF(AND(OR(Dashboard!$D$4="Semua",D3576=Dashboard!$D$4),OR(Dashboard!$H$4="Semua",E3576=Dashboard!$H$4)),1,0)</f>
        <v>1</v>
      </c>
      <c r="V3576">
        <f>IF(U3576=1,IF(COUNTIFS($C$2:C3576,C3576,$U$2:U3576,1)=1,1,0),0)</f>
        <v>0</v>
      </c>
    </row>
    <row r="3577" spans="1:22" x14ac:dyDescent="0.35">
      <c r="A3577">
        <v>13576</v>
      </c>
      <c r="B3577" s="1">
        <v>48137</v>
      </c>
      <c r="C3577">
        <v>1287</v>
      </c>
      <c r="D3577" t="s">
        <v>80</v>
      </c>
      <c r="E3577" t="s">
        <v>70</v>
      </c>
      <c r="F3577">
        <v>5</v>
      </c>
      <c r="G3577" s="2">
        <v>246.15</v>
      </c>
      <c r="H3577">
        <v>0.25</v>
      </c>
      <c r="I3577" t="s">
        <v>68</v>
      </c>
      <c r="J3577">
        <v>1</v>
      </c>
      <c r="K3577">
        <v>2.2000000000000002</v>
      </c>
      <c r="L3577" s="2">
        <v>923.06</v>
      </c>
      <c r="M3577">
        <v>2031</v>
      </c>
      <c r="N3577">
        <v>10</v>
      </c>
      <c r="O3577" t="s">
        <v>197</v>
      </c>
      <c r="P3577" s="2">
        <v>1230.75</v>
      </c>
      <c r="Q3577" s="2">
        <v>307.69</v>
      </c>
      <c r="R3577" t="s">
        <v>77</v>
      </c>
      <c r="S3577">
        <v>1</v>
      </c>
      <c r="T3577">
        <v>0</v>
      </c>
      <c r="U3577">
        <f>IF(AND(OR(Dashboard!$D$4="Semua",D3577=Dashboard!$D$4),OR(Dashboard!$H$4="Semua",E3577=Dashboard!$H$4)),1,0)</f>
        <v>1</v>
      </c>
      <c r="V3577">
        <f>IF(U3577=1,IF(COUNTIFS($C$2:C3577,C3577,$U$2:U3577,1)=1,1,0),0)</f>
        <v>0</v>
      </c>
    </row>
    <row r="3578" spans="1:22" x14ac:dyDescent="0.35">
      <c r="A3578">
        <v>13577</v>
      </c>
      <c r="B3578" s="1">
        <v>48138</v>
      </c>
      <c r="C3578">
        <v>1287</v>
      </c>
      <c r="D3578" t="s">
        <v>73</v>
      </c>
      <c r="E3578" t="s">
        <v>74</v>
      </c>
      <c r="F3578">
        <v>2</v>
      </c>
      <c r="G3578" s="2">
        <v>200.06</v>
      </c>
      <c r="H3578">
        <v>0.33</v>
      </c>
      <c r="I3578" t="s">
        <v>71</v>
      </c>
      <c r="J3578">
        <v>1</v>
      </c>
      <c r="K3578">
        <v>4.5</v>
      </c>
      <c r="L3578" s="2">
        <v>268.08</v>
      </c>
      <c r="M3578">
        <v>2031</v>
      </c>
      <c r="N3578">
        <v>10</v>
      </c>
      <c r="O3578" t="s">
        <v>197</v>
      </c>
      <c r="P3578" s="2">
        <v>400.12</v>
      </c>
      <c r="Q3578" s="2">
        <v>132.04</v>
      </c>
      <c r="R3578" t="s">
        <v>72</v>
      </c>
      <c r="S3578">
        <v>1</v>
      </c>
      <c r="T3578">
        <v>0</v>
      </c>
      <c r="U3578">
        <f>IF(AND(OR(Dashboard!$D$4="Semua",D3578=Dashboard!$D$4),OR(Dashboard!$H$4="Semua",E3578=Dashboard!$H$4)),1,0)</f>
        <v>1</v>
      </c>
      <c r="V3578">
        <f>IF(U3578=1,IF(COUNTIFS($C$2:C3578,C3578,$U$2:U3578,1)=1,1,0),0)</f>
        <v>0</v>
      </c>
    </row>
    <row r="3579" spans="1:22" x14ac:dyDescent="0.35">
      <c r="A3579">
        <v>13578</v>
      </c>
      <c r="B3579" s="1">
        <v>48139</v>
      </c>
      <c r="C3579">
        <v>1891</v>
      </c>
      <c r="D3579" t="s">
        <v>67</v>
      </c>
      <c r="E3579" t="s">
        <v>63</v>
      </c>
      <c r="F3579">
        <v>1</v>
      </c>
      <c r="G3579" s="2">
        <v>71.78</v>
      </c>
      <c r="H3579">
        <v>0.26</v>
      </c>
      <c r="I3579" t="s">
        <v>64</v>
      </c>
      <c r="J3579">
        <v>5</v>
      </c>
      <c r="K3579">
        <v>3.6</v>
      </c>
      <c r="L3579" s="2">
        <v>53.12</v>
      </c>
      <c r="M3579">
        <v>2031</v>
      </c>
      <c r="N3579">
        <v>10</v>
      </c>
      <c r="O3579" t="s">
        <v>197</v>
      </c>
      <c r="P3579" s="2">
        <v>71.78</v>
      </c>
      <c r="Q3579" s="2">
        <v>18.66</v>
      </c>
      <c r="R3579" t="s">
        <v>66</v>
      </c>
      <c r="S3579">
        <v>1</v>
      </c>
      <c r="T3579">
        <v>0</v>
      </c>
      <c r="U3579">
        <f>IF(AND(OR(Dashboard!$D$4="Semua",D3579=Dashboard!$D$4),OR(Dashboard!$H$4="Semua",E3579=Dashboard!$H$4)),1,0)</f>
        <v>1</v>
      </c>
      <c r="V3579">
        <f>IF(U3579=1,IF(COUNTIFS($C$2:C3579,C3579,$U$2:U3579,1)=1,1,0),0)</f>
        <v>0</v>
      </c>
    </row>
    <row r="3580" spans="1:22" x14ac:dyDescent="0.35">
      <c r="A3580">
        <v>13579</v>
      </c>
      <c r="B3580" s="1">
        <v>48140</v>
      </c>
      <c r="C3580">
        <v>1225</v>
      </c>
      <c r="D3580" t="s">
        <v>67</v>
      </c>
      <c r="E3580" t="s">
        <v>74</v>
      </c>
      <c r="F3580">
        <v>4</v>
      </c>
      <c r="G3580" s="2">
        <v>268.11</v>
      </c>
      <c r="H3580">
        <v>0.24</v>
      </c>
      <c r="I3580" t="s">
        <v>71</v>
      </c>
      <c r="J3580">
        <v>1</v>
      </c>
      <c r="K3580">
        <v>4.2</v>
      </c>
      <c r="L3580" s="2">
        <v>815.05</v>
      </c>
      <c r="M3580">
        <v>2031</v>
      </c>
      <c r="N3580">
        <v>10</v>
      </c>
      <c r="O3580" t="s">
        <v>197</v>
      </c>
      <c r="P3580" s="2">
        <v>1072.44</v>
      </c>
      <c r="Q3580" s="2">
        <v>257.39</v>
      </c>
      <c r="R3580" t="s">
        <v>77</v>
      </c>
      <c r="S3580">
        <v>1</v>
      </c>
      <c r="T3580">
        <v>0</v>
      </c>
      <c r="U3580">
        <f>IF(AND(OR(Dashboard!$D$4="Semua",D3580=Dashboard!$D$4),OR(Dashboard!$H$4="Semua",E3580=Dashboard!$H$4)),1,0)</f>
        <v>1</v>
      </c>
      <c r="V3580">
        <f>IF(U3580=1,IF(COUNTIFS($C$2:C3580,C3580,$U$2:U3580,1)=1,1,0),0)</f>
        <v>0</v>
      </c>
    </row>
    <row r="3581" spans="1:22" x14ac:dyDescent="0.35">
      <c r="A3581">
        <v>13580</v>
      </c>
      <c r="B3581" s="1">
        <v>48141</v>
      </c>
      <c r="C3581">
        <v>1522</v>
      </c>
      <c r="D3581" t="s">
        <v>67</v>
      </c>
      <c r="E3581" t="s">
        <v>63</v>
      </c>
      <c r="F3581">
        <v>6</v>
      </c>
      <c r="G3581" s="2">
        <v>212.8</v>
      </c>
      <c r="H3581">
        <v>0.09</v>
      </c>
      <c r="I3581" t="s">
        <v>68</v>
      </c>
      <c r="J3581">
        <v>3</v>
      </c>
      <c r="K3581">
        <v>2.2000000000000002</v>
      </c>
      <c r="L3581" s="2">
        <v>1161.8900000000001</v>
      </c>
      <c r="M3581">
        <v>2031</v>
      </c>
      <c r="N3581">
        <v>10</v>
      </c>
      <c r="O3581" t="s">
        <v>197</v>
      </c>
      <c r="P3581" s="2">
        <v>1276.8</v>
      </c>
      <c r="Q3581" s="2">
        <v>114.91</v>
      </c>
      <c r="R3581" t="s">
        <v>69</v>
      </c>
      <c r="S3581">
        <v>1</v>
      </c>
      <c r="T3581">
        <v>0</v>
      </c>
      <c r="U3581">
        <f>IF(AND(OR(Dashboard!$D$4="Semua",D3581=Dashboard!$D$4),OR(Dashboard!$H$4="Semua",E3581=Dashboard!$H$4)),1,0)</f>
        <v>1</v>
      </c>
      <c r="V3581">
        <f>IF(U3581=1,IF(COUNTIFS($C$2:C3581,C3581,$U$2:U3581,1)=1,1,0),0)</f>
        <v>0</v>
      </c>
    </row>
    <row r="3582" spans="1:22" x14ac:dyDescent="0.35">
      <c r="A3582">
        <v>13581</v>
      </c>
      <c r="B3582" s="1">
        <v>48142</v>
      </c>
      <c r="C3582">
        <v>1521</v>
      </c>
      <c r="D3582" t="s">
        <v>62</v>
      </c>
      <c r="E3582" t="s">
        <v>78</v>
      </c>
      <c r="F3582">
        <v>7</v>
      </c>
      <c r="G3582" s="2">
        <v>86.73</v>
      </c>
      <c r="H3582">
        <v>0.32</v>
      </c>
      <c r="I3582" t="s">
        <v>68</v>
      </c>
      <c r="J3582">
        <v>9</v>
      </c>
      <c r="K3582">
        <v>5</v>
      </c>
      <c r="L3582" s="2">
        <v>412.83</v>
      </c>
      <c r="M3582">
        <v>2031</v>
      </c>
      <c r="N3582">
        <v>10</v>
      </c>
      <c r="O3582" t="s">
        <v>197</v>
      </c>
      <c r="P3582" s="2">
        <v>607.11</v>
      </c>
      <c r="Q3582" s="2">
        <v>194.28</v>
      </c>
      <c r="R3582" t="s">
        <v>72</v>
      </c>
      <c r="S3582">
        <v>1</v>
      </c>
      <c r="T3582">
        <v>0</v>
      </c>
      <c r="U3582">
        <f>IF(AND(OR(Dashboard!$D$4="Semua",D3582=Dashboard!$D$4),OR(Dashboard!$H$4="Semua",E3582=Dashboard!$H$4)),1,0)</f>
        <v>1</v>
      </c>
      <c r="V3582">
        <f>IF(U3582=1,IF(COUNTIFS($C$2:C3582,C3582,$U$2:U3582,1)=1,1,0),0)</f>
        <v>0</v>
      </c>
    </row>
    <row r="3583" spans="1:22" x14ac:dyDescent="0.35">
      <c r="A3583">
        <v>13582</v>
      </c>
      <c r="B3583" s="1">
        <v>48143</v>
      </c>
      <c r="C3583">
        <v>1782</v>
      </c>
      <c r="D3583" t="s">
        <v>67</v>
      </c>
      <c r="E3583" t="s">
        <v>63</v>
      </c>
      <c r="F3583">
        <v>4</v>
      </c>
      <c r="G3583" s="2">
        <v>188.23</v>
      </c>
      <c r="H3583">
        <v>0.06</v>
      </c>
      <c r="I3583" t="s">
        <v>64</v>
      </c>
      <c r="J3583">
        <v>3</v>
      </c>
      <c r="K3583">
        <v>1.6</v>
      </c>
      <c r="L3583" s="2">
        <v>707.74</v>
      </c>
      <c r="M3583">
        <v>2031</v>
      </c>
      <c r="N3583">
        <v>10</v>
      </c>
      <c r="O3583" t="s">
        <v>197</v>
      </c>
      <c r="P3583" s="2">
        <v>752.92</v>
      </c>
      <c r="Q3583" s="2">
        <v>45.18</v>
      </c>
      <c r="R3583" t="s">
        <v>69</v>
      </c>
      <c r="S3583">
        <v>1</v>
      </c>
      <c r="T3583">
        <v>0</v>
      </c>
      <c r="U3583">
        <f>IF(AND(OR(Dashboard!$D$4="Semua",D3583=Dashboard!$D$4),OR(Dashboard!$H$4="Semua",E3583=Dashboard!$H$4)),1,0)</f>
        <v>1</v>
      </c>
      <c r="V3583">
        <f>IF(U3583=1,IF(COUNTIFS($C$2:C3583,C3583,$U$2:U3583,1)=1,1,0),0)</f>
        <v>0</v>
      </c>
    </row>
    <row r="3584" spans="1:22" x14ac:dyDescent="0.35">
      <c r="A3584">
        <v>13583</v>
      </c>
      <c r="B3584" s="1">
        <v>48144</v>
      </c>
      <c r="C3584">
        <v>1272</v>
      </c>
      <c r="D3584" t="s">
        <v>67</v>
      </c>
      <c r="E3584" t="s">
        <v>70</v>
      </c>
      <c r="F3584">
        <v>7</v>
      </c>
      <c r="G3584" s="2">
        <v>533.57000000000005</v>
      </c>
      <c r="H3584">
        <v>0.32</v>
      </c>
      <c r="I3584" t="s">
        <v>64</v>
      </c>
      <c r="J3584">
        <v>3</v>
      </c>
      <c r="K3584">
        <v>4.8</v>
      </c>
      <c r="L3584" s="2">
        <v>2539.79</v>
      </c>
      <c r="M3584">
        <v>2031</v>
      </c>
      <c r="N3584">
        <v>10</v>
      </c>
      <c r="O3584" t="s">
        <v>197</v>
      </c>
      <c r="P3584" s="2">
        <v>3734.99</v>
      </c>
      <c r="Q3584" s="2">
        <v>1195.2</v>
      </c>
      <c r="R3584" t="s">
        <v>72</v>
      </c>
      <c r="S3584">
        <v>1</v>
      </c>
      <c r="T3584">
        <v>0</v>
      </c>
      <c r="U3584">
        <f>IF(AND(OR(Dashboard!$D$4="Semua",D3584=Dashboard!$D$4),OR(Dashboard!$H$4="Semua",E3584=Dashboard!$H$4)),1,0)</f>
        <v>1</v>
      </c>
      <c r="V3584">
        <f>IF(U3584=1,IF(COUNTIFS($C$2:C3584,C3584,$U$2:U3584,1)=1,1,0),0)</f>
        <v>0</v>
      </c>
    </row>
    <row r="3585" spans="1:22" x14ac:dyDescent="0.35">
      <c r="A3585">
        <v>13584</v>
      </c>
      <c r="B3585" s="1">
        <v>48145</v>
      </c>
      <c r="C3585">
        <v>1935</v>
      </c>
      <c r="D3585" t="s">
        <v>73</v>
      </c>
      <c r="E3585" t="s">
        <v>70</v>
      </c>
      <c r="F3585">
        <v>6</v>
      </c>
      <c r="G3585" s="2">
        <v>191.7</v>
      </c>
      <c r="H3585">
        <v>0.11</v>
      </c>
      <c r="I3585" t="s">
        <v>68</v>
      </c>
      <c r="J3585">
        <v>9</v>
      </c>
      <c r="K3585">
        <v>4.5999999999999996</v>
      </c>
      <c r="L3585" s="2">
        <v>1023.68</v>
      </c>
      <c r="M3585">
        <v>2031</v>
      </c>
      <c r="N3585">
        <v>10</v>
      </c>
      <c r="O3585" t="s">
        <v>197</v>
      </c>
      <c r="P3585" s="2">
        <v>1150.2</v>
      </c>
      <c r="Q3585" s="2">
        <v>126.52</v>
      </c>
      <c r="R3585" t="s">
        <v>79</v>
      </c>
      <c r="S3585">
        <v>1</v>
      </c>
      <c r="T3585">
        <v>0</v>
      </c>
      <c r="U3585">
        <f>IF(AND(OR(Dashboard!$D$4="Semua",D3585=Dashboard!$D$4),OR(Dashboard!$H$4="Semua",E3585=Dashboard!$H$4)),1,0)</f>
        <v>1</v>
      </c>
      <c r="V3585">
        <f>IF(U3585=1,IF(COUNTIFS($C$2:C3585,C3585,$U$2:U3585,1)=1,1,0),0)</f>
        <v>0</v>
      </c>
    </row>
    <row r="3586" spans="1:22" x14ac:dyDescent="0.35">
      <c r="A3586">
        <v>13585</v>
      </c>
      <c r="B3586" s="1">
        <v>48146</v>
      </c>
      <c r="C3586">
        <v>1401</v>
      </c>
      <c r="D3586" t="s">
        <v>73</v>
      </c>
      <c r="E3586" t="s">
        <v>70</v>
      </c>
      <c r="F3586">
        <v>7</v>
      </c>
      <c r="G3586" s="2">
        <v>432.66</v>
      </c>
      <c r="H3586">
        <v>0.05</v>
      </c>
      <c r="I3586" t="s">
        <v>71</v>
      </c>
      <c r="J3586">
        <v>5</v>
      </c>
      <c r="K3586">
        <v>3.2</v>
      </c>
      <c r="L3586" s="2">
        <v>2877.19</v>
      </c>
      <c r="M3586">
        <v>2031</v>
      </c>
      <c r="N3586">
        <v>10</v>
      </c>
      <c r="O3586" t="s">
        <v>197</v>
      </c>
      <c r="P3586" s="2">
        <v>3028.62</v>
      </c>
      <c r="Q3586" s="2">
        <v>151.43</v>
      </c>
      <c r="R3586" t="s">
        <v>75</v>
      </c>
      <c r="S3586">
        <v>1</v>
      </c>
      <c r="T3586">
        <v>0</v>
      </c>
      <c r="U3586">
        <f>IF(AND(OR(Dashboard!$D$4="Semua",D3586=Dashboard!$D$4),OR(Dashboard!$H$4="Semua",E3586=Dashboard!$H$4)),1,0)</f>
        <v>1</v>
      </c>
      <c r="V3586">
        <f>IF(U3586=1,IF(COUNTIFS($C$2:C3586,C3586,$U$2:U3586,1)=1,1,0),0)</f>
        <v>0</v>
      </c>
    </row>
    <row r="3587" spans="1:22" x14ac:dyDescent="0.35">
      <c r="A3587">
        <v>13586</v>
      </c>
      <c r="B3587" s="1">
        <v>48147</v>
      </c>
      <c r="C3587">
        <v>1182</v>
      </c>
      <c r="D3587" t="s">
        <v>73</v>
      </c>
      <c r="E3587" t="s">
        <v>78</v>
      </c>
      <c r="F3587">
        <v>6</v>
      </c>
      <c r="G3587" s="2">
        <v>373.05</v>
      </c>
      <c r="H3587">
        <v>0.28999999999999998</v>
      </c>
      <c r="I3587" t="s">
        <v>68</v>
      </c>
      <c r="J3587">
        <v>8</v>
      </c>
      <c r="K3587">
        <v>3.3</v>
      </c>
      <c r="L3587" s="2">
        <v>1589.19</v>
      </c>
      <c r="M3587">
        <v>2031</v>
      </c>
      <c r="N3587">
        <v>10</v>
      </c>
      <c r="O3587" t="s">
        <v>197</v>
      </c>
      <c r="P3587" s="2">
        <v>2238.3000000000002</v>
      </c>
      <c r="Q3587" s="2">
        <v>649.11</v>
      </c>
      <c r="R3587" t="s">
        <v>66</v>
      </c>
      <c r="S3587">
        <v>1</v>
      </c>
      <c r="T3587">
        <v>0</v>
      </c>
      <c r="U3587">
        <f>IF(AND(OR(Dashboard!$D$4="Semua",D3587=Dashboard!$D$4),OR(Dashboard!$H$4="Semua",E3587=Dashboard!$H$4)),1,0)</f>
        <v>1</v>
      </c>
      <c r="V3587">
        <f>IF(U3587=1,IF(COUNTIFS($C$2:C3587,C3587,$U$2:U3587,1)=1,1,0),0)</f>
        <v>0</v>
      </c>
    </row>
    <row r="3588" spans="1:22" x14ac:dyDescent="0.35">
      <c r="A3588">
        <v>13587</v>
      </c>
      <c r="B3588" s="1">
        <v>48148</v>
      </c>
      <c r="C3588">
        <v>1968</v>
      </c>
      <c r="D3588" t="s">
        <v>73</v>
      </c>
      <c r="E3588" t="s">
        <v>63</v>
      </c>
      <c r="F3588">
        <v>1</v>
      </c>
      <c r="G3588" s="2">
        <v>264.89999999999998</v>
      </c>
      <c r="H3588">
        <v>0</v>
      </c>
      <c r="I3588" t="s">
        <v>71</v>
      </c>
      <c r="J3588">
        <v>10</v>
      </c>
      <c r="K3588">
        <v>4.0999999999999996</v>
      </c>
      <c r="L3588" s="2">
        <v>264.89999999999998</v>
      </c>
      <c r="M3588">
        <v>2031</v>
      </c>
      <c r="N3588">
        <v>10</v>
      </c>
      <c r="O3588" t="s">
        <v>197</v>
      </c>
      <c r="P3588" s="2">
        <v>264.89999999999998</v>
      </c>
      <c r="Q3588" s="2">
        <v>0</v>
      </c>
      <c r="R3588" t="s">
        <v>75</v>
      </c>
      <c r="S3588">
        <v>1</v>
      </c>
      <c r="T3588">
        <v>0</v>
      </c>
      <c r="U3588">
        <f>IF(AND(OR(Dashboard!$D$4="Semua",D3588=Dashboard!$D$4),OR(Dashboard!$H$4="Semua",E3588=Dashboard!$H$4)),1,0)</f>
        <v>1</v>
      </c>
      <c r="V3588">
        <f>IF(U3588=1,IF(COUNTIFS($C$2:C3588,C3588,$U$2:U3588,1)=1,1,0),0)</f>
        <v>0</v>
      </c>
    </row>
    <row r="3589" spans="1:22" x14ac:dyDescent="0.35">
      <c r="A3589">
        <v>13588</v>
      </c>
      <c r="B3589" s="1">
        <v>48149</v>
      </c>
      <c r="C3589">
        <v>1664</v>
      </c>
      <c r="D3589" t="s">
        <v>80</v>
      </c>
      <c r="E3589" t="s">
        <v>78</v>
      </c>
      <c r="F3589">
        <v>2</v>
      </c>
      <c r="G3589" s="2">
        <v>154.83000000000001</v>
      </c>
      <c r="H3589">
        <v>0.28999999999999998</v>
      </c>
      <c r="I3589" t="s">
        <v>64</v>
      </c>
      <c r="J3589">
        <v>9</v>
      </c>
      <c r="K3589">
        <v>2.2000000000000002</v>
      </c>
      <c r="L3589" s="2">
        <v>219.86</v>
      </c>
      <c r="M3589">
        <v>2031</v>
      </c>
      <c r="N3589">
        <v>10</v>
      </c>
      <c r="O3589" t="s">
        <v>197</v>
      </c>
      <c r="P3589" s="2">
        <v>309.66000000000003</v>
      </c>
      <c r="Q3589" s="2">
        <v>89.8</v>
      </c>
      <c r="R3589" t="s">
        <v>66</v>
      </c>
      <c r="S3589">
        <v>1</v>
      </c>
      <c r="T3589">
        <v>0</v>
      </c>
      <c r="U3589">
        <f>IF(AND(OR(Dashboard!$D$4="Semua",D3589=Dashboard!$D$4),OR(Dashboard!$H$4="Semua",E3589=Dashboard!$H$4)),1,0)</f>
        <v>1</v>
      </c>
      <c r="V3589">
        <f>IF(U3589=1,IF(COUNTIFS($C$2:C3589,C3589,$U$2:U3589,1)=1,1,0),0)</f>
        <v>0</v>
      </c>
    </row>
    <row r="3590" spans="1:22" x14ac:dyDescent="0.35">
      <c r="A3590">
        <v>13589</v>
      </c>
      <c r="B3590" s="1">
        <v>48150</v>
      </c>
      <c r="C3590">
        <v>1487</v>
      </c>
      <c r="D3590" t="s">
        <v>80</v>
      </c>
      <c r="E3590" t="s">
        <v>74</v>
      </c>
      <c r="F3590">
        <v>5</v>
      </c>
      <c r="G3590" s="2">
        <v>230.87</v>
      </c>
      <c r="H3590">
        <v>0.09</v>
      </c>
      <c r="I3590" t="s">
        <v>68</v>
      </c>
      <c r="J3590">
        <v>6</v>
      </c>
      <c r="K3590">
        <v>3.1</v>
      </c>
      <c r="L3590" s="2">
        <v>1050.46</v>
      </c>
      <c r="M3590">
        <v>2031</v>
      </c>
      <c r="N3590">
        <v>10</v>
      </c>
      <c r="O3590" t="s">
        <v>197</v>
      </c>
      <c r="P3590" s="2">
        <v>1154.3499999999999</v>
      </c>
      <c r="Q3590" s="2">
        <v>103.89</v>
      </c>
      <c r="R3590" t="s">
        <v>69</v>
      </c>
      <c r="S3590">
        <v>1</v>
      </c>
      <c r="T3590">
        <v>0</v>
      </c>
      <c r="U3590">
        <f>IF(AND(OR(Dashboard!$D$4="Semua",D3590=Dashboard!$D$4),OR(Dashboard!$H$4="Semua",E3590=Dashboard!$H$4)),1,0)</f>
        <v>1</v>
      </c>
      <c r="V3590">
        <f>IF(U3590=1,IF(COUNTIFS($C$2:C3590,C3590,$U$2:U3590,1)=1,1,0),0)</f>
        <v>0</v>
      </c>
    </row>
    <row r="3591" spans="1:22" x14ac:dyDescent="0.35">
      <c r="A3591">
        <v>13590</v>
      </c>
      <c r="B3591" s="1">
        <v>48151</v>
      </c>
      <c r="C3591">
        <v>1826</v>
      </c>
      <c r="D3591" t="s">
        <v>73</v>
      </c>
      <c r="E3591" t="s">
        <v>74</v>
      </c>
      <c r="F3591">
        <v>2</v>
      </c>
      <c r="G3591" s="2">
        <v>361.38</v>
      </c>
      <c r="H3591">
        <v>0.31</v>
      </c>
      <c r="I3591" t="s">
        <v>71</v>
      </c>
      <c r="J3591">
        <v>7</v>
      </c>
      <c r="K3591">
        <v>4.5999999999999996</v>
      </c>
      <c r="L3591" s="2">
        <v>498.7</v>
      </c>
      <c r="M3591">
        <v>2031</v>
      </c>
      <c r="N3591">
        <v>10</v>
      </c>
      <c r="O3591" t="s">
        <v>197</v>
      </c>
      <c r="P3591" s="2">
        <v>722.76</v>
      </c>
      <c r="Q3591" s="2">
        <v>224.06</v>
      </c>
      <c r="R3591" t="s">
        <v>72</v>
      </c>
      <c r="S3591">
        <v>1</v>
      </c>
      <c r="T3591">
        <v>0</v>
      </c>
      <c r="U3591">
        <f>IF(AND(OR(Dashboard!$D$4="Semua",D3591=Dashboard!$D$4),OR(Dashboard!$H$4="Semua",E3591=Dashboard!$H$4)),1,0)</f>
        <v>1</v>
      </c>
      <c r="V3591">
        <f>IF(U3591=1,IF(COUNTIFS($C$2:C3591,C3591,$U$2:U3591,1)=1,1,0),0)</f>
        <v>0</v>
      </c>
    </row>
    <row r="3592" spans="1:22" x14ac:dyDescent="0.35">
      <c r="A3592">
        <v>13591</v>
      </c>
      <c r="B3592" s="1">
        <v>48152</v>
      </c>
      <c r="C3592">
        <v>1845</v>
      </c>
      <c r="D3592" t="s">
        <v>80</v>
      </c>
      <c r="E3592" t="s">
        <v>74</v>
      </c>
      <c r="F3592">
        <v>3</v>
      </c>
      <c r="G3592" s="2">
        <v>220.19</v>
      </c>
      <c r="H3592">
        <v>0.24</v>
      </c>
      <c r="I3592" t="s">
        <v>68</v>
      </c>
      <c r="J3592">
        <v>7</v>
      </c>
      <c r="K3592">
        <v>1.3</v>
      </c>
      <c r="L3592" s="2">
        <v>502.03</v>
      </c>
      <c r="M3592">
        <v>2031</v>
      </c>
      <c r="N3592">
        <v>10</v>
      </c>
      <c r="O3592" t="s">
        <v>197</v>
      </c>
      <c r="P3592" s="2">
        <v>660.57</v>
      </c>
      <c r="Q3592" s="2">
        <v>158.54</v>
      </c>
      <c r="R3592" t="s">
        <v>77</v>
      </c>
      <c r="S3592">
        <v>1</v>
      </c>
      <c r="T3592">
        <v>0</v>
      </c>
      <c r="U3592">
        <f>IF(AND(OR(Dashboard!$D$4="Semua",D3592=Dashboard!$D$4),OR(Dashboard!$H$4="Semua",E3592=Dashboard!$H$4)),1,0)</f>
        <v>1</v>
      </c>
      <c r="V3592">
        <f>IF(U3592=1,IF(COUNTIFS($C$2:C3592,C3592,$U$2:U3592,1)=1,1,0),0)</f>
        <v>0</v>
      </c>
    </row>
    <row r="3593" spans="1:22" x14ac:dyDescent="0.35">
      <c r="A3593">
        <v>13592</v>
      </c>
      <c r="B3593" s="1">
        <v>48153</v>
      </c>
      <c r="C3593">
        <v>1123</v>
      </c>
      <c r="D3593" t="s">
        <v>73</v>
      </c>
      <c r="E3593" t="s">
        <v>74</v>
      </c>
      <c r="F3593">
        <v>2</v>
      </c>
      <c r="G3593" s="2">
        <v>140.71</v>
      </c>
      <c r="H3593">
        <v>0.23</v>
      </c>
      <c r="I3593" t="s">
        <v>68</v>
      </c>
      <c r="J3593">
        <v>7</v>
      </c>
      <c r="K3593">
        <v>4.5999999999999996</v>
      </c>
      <c r="L3593" s="2">
        <v>216.69</v>
      </c>
      <c r="M3593">
        <v>2031</v>
      </c>
      <c r="N3593">
        <v>11</v>
      </c>
      <c r="O3593" t="s">
        <v>198</v>
      </c>
      <c r="P3593" s="2">
        <v>281.42</v>
      </c>
      <c r="Q3593" s="2">
        <v>64.73</v>
      </c>
      <c r="R3593" t="s">
        <v>77</v>
      </c>
      <c r="S3593">
        <v>1</v>
      </c>
      <c r="T3593">
        <v>0</v>
      </c>
      <c r="U3593">
        <f>IF(AND(OR(Dashboard!$D$4="Semua",D3593=Dashboard!$D$4),OR(Dashboard!$H$4="Semua",E3593=Dashboard!$H$4)),1,0)</f>
        <v>1</v>
      </c>
      <c r="V3593">
        <f>IF(U3593=1,IF(COUNTIFS($C$2:C3593,C3593,$U$2:U3593,1)=1,1,0),0)</f>
        <v>0</v>
      </c>
    </row>
    <row r="3594" spans="1:22" x14ac:dyDescent="0.35">
      <c r="A3594">
        <v>13593</v>
      </c>
      <c r="B3594" s="1">
        <v>48154</v>
      </c>
      <c r="C3594">
        <v>1984</v>
      </c>
      <c r="D3594" t="s">
        <v>73</v>
      </c>
      <c r="E3594" t="s">
        <v>70</v>
      </c>
      <c r="F3594">
        <v>6</v>
      </c>
      <c r="G3594" s="2">
        <v>83.13</v>
      </c>
      <c r="H3594">
        <v>0.13</v>
      </c>
      <c r="I3594" t="s">
        <v>71</v>
      </c>
      <c r="J3594">
        <v>4</v>
      </c>
      <c r="K3594">
        <v>3.9</v>
      </c>
      <c r="L3594" s="2">
        <v>433.94</v>
      </c>
      <c r="M3594">
        <v>2031</v>
      </c>
      <c r="N3594">
        <v>11</v>
      </c>
      <c r="O3594" t="s">
        <v>198</v>
      </c>
      <c r="P3594" s="2">
        <v>498.78</v>
      </c>
      <c r="Q3594" s="2">
        <v>64.84</v>
      </c>
      <c r="R3594" t="s">
        <v>79</v>
      </c>
      <c r="S3594">
        <v>1</v>
      </c>
      <c r="T3594">
        <v>0</v>
      </c>
      <c r="U3594">
        <f>IF(AND(OR(Dashboard!$D$4="Semua",D3594=Dashboard!$D$4),OR(Dashboard!$H$4="Semua",E3594=Dashboard!$H$4)),1,0)</f>
        <v>1</v>
      </c>
      <c r="V3594">
        <f>IF(U3594=1,IF(COUNTIFS($C$2:C3594,C3594,$U$2:U3594,1)=1,1,0),0)</f>
        <v>0</v>
      </c>
    </row>
    <row r="3595" spans="1:22" x14ac:dyDescent="0.35">
      <c r="A3595">
        <v>13594</v>
      </c>
      <c r="B3595" s="1">
        <v>48155</v>
      </c>
      <c r="C3595">
        <v>1625</v>
      </c>
      <c r="D3595" t="s">
        <v>73</v>
      </c>
      <c r="E3595" t="s">
        <v>63</v>
      </c>
      <c r="F3595">
        <v>6</v>
      </c>
      <c r="G3595" s="2">
        <v>529.66</v>
      </c>
      <c r="H3595">
        <v>0.02</v>
      </c>
      <c r="I3595" t="s">
        <v>68</v>
      </c>
      <c r="J3595">
        <v>2</v>
      </c>
      <c r="K3595">
        <v>4.0999999999999996</v>
      </c>
      <c r="L3595" s="2">
        <v>3114.4</v>
      </c>
      <c r="M3595">
        <v>2031</v>
      </c>
      <c r="N3595">
        <v>11</v>
      </c>
      <c r="O3595" t="s">
        <v>198</v>
      </c>
      <c r="P3595" s="2">
        <v>3177.96</v>
      </c>
      <c r="Q3595" s="2">
        <v>63.56</v>
      </c>
      <c r="R3595" t="s">
        <v>75</v>
      </c>
      <c r="S3595">
        <v>1</v>
      </c>
      <c r="T3595">
        <v>0</v>
      </c>
      <c r="U3595">
        <f>IF(AND(OR(Dashboard!$D$4="Semua",D3595=Dashboard!$D$4),OR(Dashboard!$H$4="Semua",E3595=Dashboard!$H$4)),1,0)</f>
        <v>1</v>
      </c>
      <c r="V3595">
        <f>IF(U3595=1,IF(COUNTIFS($C$2:C3595,C3595,$U$2:U3595,1)=1,1,0),0)</f>
        <v>0</v>
      </c>
    </row>
    <row r="3596" spans="1:22" x14ac:dyDescent="0.35">
      <c r="A3596">
        <v>13595</v>
      </c>
      <c r="B3596" s="1">
        <v>48156</v>
      </c>
      <c r="C3596">
        <v>1789</v>
      </c>
      <c r="D3596" t="s">
        <v>67</v>
      </c>
      <c r="E3596" t="s">
        <v>70</v>
      </c>
      <c r="F3596">
        <v>3</v>
      </c>
      <c r="G3596" s="2">
        <v>272.58</v>
      </c>
      <c r="H3596">
        <v>0.28999999999999998</v>
      </c>
      <c r="I3596" t="s">
        <v>71</v>
      </c>
      <c r="J3596">
        <v>2</v>
      </c>
      <c r="K3596">
        <v>1.3</v>
      </c>
      <c r="L3596" s="2">
        <v>580.6</v>
      </c>
      <c r="M3596">
        <v>2031</v>
      </c>
      <c r="N3596">
        <v>11</v>
      </c>
      <c r="O3596" t="s">
        <v>198</v>
      </c>
      <c r="P3596" s="2">
        <v>817.74</v>
      </c>
      <c r="Q3596" s="2">
        <v>237.14</v>
      </c>
      <c r="R3596" t="s">
        <v>66</v>
      </c>
      <c r="S3596">
        <v>1</v>
      </c>
      <c r="T3596">
        <v>0</v>
      </c>
      <c r="U3596">
        <f>IF(AND(OR(Dashboard!$D$4="Semua",D3596=Dashboard!$D$4),OR(Dashboard!$H$4="Semua",E3596=Dashboard!$H$4)),1,0)</f>
        <v>1</v>
      </c>
      <c r="V3596">
        <f>IF(U3596=1,IF(COUNTIFS($C$2:C3596,C3596,$U$2:U3596,1)=1,1,0),0)</f>
        <v>0</v>
      </c>
    </row>
    <row r="3597" spans="1:22" x14ac:dyDescent="0.35">
      <c r="A3597">
        <v>13596</v>
      </c>
      <c r="B3597" s="1">
        <v>48157</v>
      </c>
      <c r="C3597">
        <v>1413</v>
      </c>
      <c r="D3597" t="s">
        <v>73</v>
      </c>
      <c r="E3597" t="s">
        <v>63</v>
      </c>
      <c r="F3597">
        <v>4</v>
      </c>
      <c r="G3597" s="2">
        <v>380.75</v>
      </c>
      <c r="H3597">
        <v>0.06</v>
      </c>
      <c r="I3597" t="s">
        <v>68</v>
      </c>
      <c r="J3597">
        <v>7</v>
      </c>
      <c r="K3597">
        <v>1.8</v>
      </c>
      <c r="L3597" s="2">
        <v>1431.62</v>
      </c>
      <c r="M3597">
        <v>2031</v>
      </c>
      <c r="N3597">
        <v>11</v>
      </c>
      <c r="O3597" t="s">
        <v>198</v>
      </c>
      <c r="P3597" s="2">
        <v>1523</v>
      </c>
      <c r="Q3597" s="2">
        <v>91.38</v>
      </c>
      <c r="R3597" t="s">
        <v>69</v>
      </c>
      <c r="S3597">
        <v>1</v>
      </c>
      <c r="T3597">
        <v>0</v>
      </c>
      <c r="U3597">
        <f>IF(AND(OR(Dashboard!$D$4="Semua",D3597=Dashboard!$D$4),OR(Dashboard!$H$4="Semua",E3597=Dashboard!$H$4)),1,0)</f>
        <v>1</v>
      </c>
      <c r="V3597">
        <f>IF(U3597=1,IF(COUNTIFS($C$2:C3597,C3597,$U$2:U3597,1)=1,1,0),0)</f>
        <v>0</v>
      </c>
    </row>
    <row r="3598" spans="1:22" x14ac:dyDescent="0.35">
      <c r="A3598">
        <v>13597</v>
      </c>
      <c r="B3598" s="1">
        <v>48158</v>
      </c>
      <c r="C3598">
        <v>1979</v>
      </c>
      <c r="D3598" t="s">
        <v>67</v>
      </c>
      <c r="E3598" t="s">
        <v>63</v>
      </c>
      <c r="F3598">
        <v>6</v>
      </c>
      <c r="G3598" s="2">
        <v>301.89</v>
      </c>
      <c r="H3598">
        <v>0.13</v>
      </c>
      <c r="I3598" t="s">
        <v>71</v>
      </c>
      <c r="J3598">
        <v>10</v>
      </c>
      <c r="K3598">
        <v>4.7</v>
      </c>
      <c r="L3598" s="2">
        <v>1575.87</v>
      </c>
      <c r="M3598">
        <v>2031</v>
      </c>
      <c r="N3598">
        <v>11</v>
      </c>
      <c r="O3598" t="s">
        <v>198</v>
      </c>
      <c r="P3598" s="2">
        <v>1811.34</v>
      </c>
      <c r="Q3598" s="2">
        <v>235.47</v>
      </c>
      <c r="R3598" t="s">
        <v>79</v>
      </c>
      <c r="S3598">
        <v>1</v>
      </c>
      <c r="T3598">
        <v>0</v>
      </c>
      <c r="U3598">
        <f>IF(AND(OR(Dashboard!$D$4="Semua",D3598=Dashboard!$D$4),OR(Dashboard!$H$4="Semua",E3598=Dashboard!$H$4)),1,0)</f>
        <v>1</v>
      </c>
      <c r="V3598">
        <f>IF(U3598=1,IF(COUNTIFS($C$2:C3598,C3598,$U$2:U3598,1)=1,1,0),0)</f>
        <v>0</v>
      </c>
    </row>
    <row r="3599" spans="1:22" x14ac:dyDescent="0.35">
      <c r="A3599">
        <v>13598</v>
      </c>
      <c r="B3599" s="1">
        <v>48159</v>
      </c>
      <c r="C3599">
        <v>1724</v>
      </c>
      <c r="D3599" t="s">
        <v>67</v>
      </c>
      <c r="E3599" t="s">
        <v>78</v>
      </c>
      <c r="F3599">
        <v>3</v>
      </c>
      <c r="G3599" s="2">
        <v>525.45000000000005</v>
      </c>
      <c r="H3599">
        <v>0.21</v>
      </c>
      <c r="I3599" t="s">
        <v>68</v>
      </c>
      <c r="J3599">
        <v>7</v>
      </c>
      <c r="K3599">
        <v>1.5</v>
      </c>
      <c r="L3599" s="2">
        <v>1245.32</v>
      </c>
      <c r="M3599">
        <v>2031</v>
      </c>
      <c r="N3599">
        <v>11</v>
      </c>
      <c r="O3599" t="s">
        <v>198</v>
      </c>
      <c r="P3599" s="2">
        <v>1576.35</v>
      </c>
      <c r="Q3599" s="2">
        <v>331.03</v>
      </c>
      <c r="R3599" t="s">
        <v>77</v>
      </c>
      <c r="S3599">
        <v>1</v>
      </c>
      <c r="T3599">
        <v>0</v>
      </c>
      <c r="U3599">
        <f>IF(AND(OR(Dashboard!$D$4="Semua",D3599=Dashboard!$D$4),OR(Dashboard!$H$4="Semua",E3599=Dashboard!$H$4)),1,0)</f>
        <v>1</v>
      </c>
      <c r="V3599">
        <f>IF(U3599=1,IF(COUNTIFS($C$2:C3599,C3599,$U$2:U3599,1)=1,1,0),0)</f>
        <v>0</v>
      </c>
    </row>
    <row r="3600" spans="1:22" x14ac:dyDescent="0.35">
      <c r="A3600">
        <v>13599</v>
      </c>
      <c r="B3600" s="1">
        <v>48160</v>
      </c>
      <c r="C3600">
        <v>1171</v>
      </c>
      <c r="D3600" t="s">
        <v>62</v>
      </c>
      <c r="E3600" t="s">
        <v>74</v>
      </c>
      <c r="F3600">
        <v>6</v>
      </c>
      <c r="G3600" s="2">
        <v>334.96</v>
      </c>
      <c r="H3600">
        <v>0.17</v>
      </c>
      <c r="I3600" t="s">
        <v>71</v>
      </c>
      <c r="J3600">
        <v>10</v>
      </c>
      <c r="K3600">
        <v>3.5</v>
      </c>
      <c r="L3600" s="2">
        <v>1668.1</v>
      </c>
      <c r="M3600">
        <v>2031</v>
      </c>
      <c r="N3600">
        <v>11</v>
      </c>
      <c r="O3600" t="s">
        <v>198</v>
      </c>
      <c r="P3600" s="2">
        <v>2009.76</v>
      </c>
      <c r="Q3600" s="2">
        <v>341.66</v>
      </c>
      <c r="R3600" t="s">
        <v>76</v>
      </c>
      <c r="S3600">
        <v>1</v>
      </c>
      <c r="T3600">
        <v>0</v>
      </c>
      <c r="U3600">
        <f>IF(AND(OR(Dashboard!$D$4="Semua",D3600=Dashboard!$D$4),OR(Dashboard!$H$4="Semua",E3600=Dashboard!$H$4)),1,0)</f>
        <v>1</v>
      </c>
      <c r="V3600">
        <f>IF(U3600=1,IF(COUNTIFS($C$2:C3600,C3600,$U$2:U3600,1)=1,1,0),0)</f>
        <v>0</v>
      </c>
    </row>
    <row r="3601" spans="1:22" x14ac:dyDescent="0.35">
      <c r="A3601">
        <v>13600</v>
      </c>
      <c r="B3601" s="1">
        <v>48161</v>
      </c>
      <c r="C3601">
        <v>1287</v>
      </c>
      <c r="D3601" t="s">
        <v>73</v>
      </c>
      <c r="E3601" t="s">
        <v>63</v>
      </c>
      <c r="F3601">
        <v>5</v>
      </c>
      <c r="G3601" s="2">
        <v>296.26</v>
      </c>
      <c r="H3601">
        <v>7.0000000000000007E-2</v>
      </c>
      <c r="I3601" t="s">
        <v>71</v>
      </c>
      <c r="J3601">
        <v>7</v>
      </c>
      <c r="K3601">
        <v>4.0999999999999996</v>
      </c>
      <c r="L3601" s="2">
        <v>1377.61</v>
      </c>
      <c r="M3601">
        <v>2031</v>
      </c>
      <c r="N3601">
        <v>11</v>
      </c>
      <c r="O3601" t="s">
        <v>198</v>
      </c>
      <c r="P3601" s="2">
        <v>1481.3</v>
      </c>
      <c r="Q3601" s="2">
        <v>103.69</v>
      </c>
      <c r="R3601" t="s">
        <v>69</v>
      </c>
      <c r="S3601">
        <v>1</v>
      </c>
      <c r="T3601">
        <v>0</v>
      </c>
      <c r="U3601">
        <f>IF(AND(OR(Dashboard!$D$4="Semua",D3601=Dashboard!$D$4),OR(Dashboard!$H$4="Semua",E3601=Dashboard!$H$4)),1,0)</f>
        <v>1</v>
      </c>
      <c r="V3601">
        <f>IF(U3601=1,IF(COUNTIFS($C$2:C3601,C3601,$U$2:U3601,1)=1,1,0),0)</f>
        <v>0</v>
      </c>
    </row>
    <row r="3602" spans="1:22" x14ac:dyDescent="0.35">
      <c r="A3602">
        <v>13601</v>
      </c>
      <c r="B3602" s="1">
        <v>48162</v>
      </c>
      <c r="C3602">
        <v>1434</v>
      </c>
      <c r="D3602" t="s">
        <v>73</v>
      </c>
      <c r="E3602" t="s">
        <v>74</v>
      </c>
      <c r="F3602">
        <v>6</v>
      </c>
      <c r="G3602" s="2">
        <v>555.89</v>
      </c>
      <c r="H3602">
        <v>0.05</v>
      </c>
      <c r="I3602" t="s">
        <v>64</v>
      </c>
      <c r="J3602">
        <v>8</v>
      </c>
      <c r="K3602">
        <v>1.9</v>
      </c>
      <c r="L3602" s="2">
        <v>3168.57</v>
      </c>
      <c r="M3602">
        <v>2031</v>
      </c>
      <c r="N3602">
        <v>11</v>
      </c>
      <c r="O3602" t="s">
        <v>198</v>
      </c>
      <c r="P3602" s="2">
        <v>3335.34</v>
      </c>
      <c r="Q3602" s="2">
        <v>166.77</v>
      </c>
      <c r="R3602" t="s">
        <v>75</v>
      </c>
      <c r="S3602">
        <v>1</v>
      </c>
      <c r="T3602">
        <v>0</v>
      </c>
      <c r="U3602">
        <f>IF(AND(OR(Dashboard!$D$4="Semua",D3602=Dashboard!$D$4),OR(Dashboard!$H$4="Semua",E3602=Dashboard!$H$4)),1,0)</f>
        <v>1</v>
      </c>
      <c r="V3602">
        <f>IF(U3602=1,IF(COUNTIFS($C$2:C3602,C3602,$U$2:U3602,1)=1,1,0),0)</f>
        <v>0</v>
      </c>
    </row>
    <row r="3603" spans="1:22" x14ac:dyDescent="0.35">
      <c r="A3603">
        <v>13602</v>
      </c>
      <c r="B3603" s="1">
        <v>48163</v>
      </c>
      <c r="C3603">
        <v>1685</v>
      </c>
      <c r="D3603" t="s">
        <v>73</v>
      </c>
      <c r="E3603" t="s">
        <v>74</v>
      </c>
      <c r="F3603">
        <v>1</v>
      </c>
      <c r="G3603" s="2">
        <v>436.02</v>
      </c>
      <c r="H3603">
        <v>0.04</v>
      </c>
      <c r="I3603" t="s">
        <v>64</v>
      </c>
      <c r="J3603">
        <v>3</v>
      </c>
      <c r="K3603">
        <v>3.8</v>
      </c>
      <c r="L3603" s="2">
        <v>418.58</v>
      </c>
      <c r="M3603">
        <v>2031</v>
      </c>
      <c r="N3603">
        <v>11</v>
      </c>
      <c r="O3603" t="s">
        <v>198</v>
      </c>
      <c r="P3603" s="2">
        <v>436.02</v>
      </c>
      <c r="Q3603" s="2">
        <v>17.440000000000001</v>
      </c>
      <c r="R3603" t="s">
        <v>75</v>
      </c>
      <c r="S3603">
        <v>1</v>
      </c>
      <c r="T3603">
        <v>0</v>
      </c>
      <c r="U3603">
        <f>IF(AND(OR(Dashboard!$D$4="Semua",D3603=Dashboard!$D$4),OR(Dashboard!$H$4="Semua",E3603=Dashboard!$H$4)),1,0)</f>
        <v>1</v>
      </c>
      <c r="V3603">
        <f>IF(U3603=1,IF(COUNTIFS($C$2:C3603,C3603,$U$2:U3603,1)=1,1,0),0)</f>
        <v>0</v>
      </c>
    </row>
    <row r="3604" spans="1:22" x14ac:dyDescent="0.35">
      <c r="A3604">
        <v>13603</v>
      </c>
      <c r="B3604" s="1">
        <v>48164</v>
      </c>
      <c r="C3604">
        <v>1112</v>
      </c>
      <c r="D3604" t="s">
        <v>67</v>
      </c>
      <c r="E3604" t="s">
        <v>74</v>
      </c>
      <c r="F3604">
        <v>3</v>
      </c>
      <c r="G3604" s="2">
        <v>80.260000000000005</v>
      </c>
      <c r="H3604">
        <v>0.3</v>
      </c>
      <c r="I3604" t="s">
        <v>68</v>
      </c>
      <c r="J3604">
        <v>11</v>
      </c>
      <c r="K3604">
        <v>1.3</v>
      </c>
      <c r="L3604" s="2">
        <v>168.55</v>
      </c>
      <c r="M3604">
        <v>2031</v>
      </c>
      <c r="N3604">
        <v>11</v>
      </c>
      <c r="O3604" t="s">
        <v>198</v>
      </c>
      <c r="P3604" s="2">
        <v>240.78</v>
      </c>
      <c r="Q3604" s="2">
        <v>72.23</v>
      </c>
      <c r="R3604" t="s">
        <v>66</v>
      </c>
      <c r="S3604">
        <v>1</v>
      </c>
      <c r="T3604">
        <v>0</v>
      </c>
      <c r="U3604">
        <f>IF(AND(OR(Dashboard!$D$4="Semua",D3604=Dashboard!$D$4),OR(Dashboard!$H$4="Semua",E3604=Dashboard!$H$4)),1,0)</f>
        <v>1</v>
      </c>
      <c r="V3604">
        <f>IF(U3604=1,IF(COUNTIFS($C$2:C3604,C3604,$U$2:U3604,1)=1,1,0),0)</f>
        <v>0</v>
      </c>
    </row>
    <row r="3605" spans="1:22" x14ac:dyDescent="0.35">
      <c r="A3605">
        <v>13604</v>
      </c>
      <c r="B3605" s="1">
        <v>48165</v>
      </c>
      <c r="C3605">
        <v>1887</v>
      </c>
      <c r="D3605" t="s">
        <v>73</v>
      </c>
      <c r="E3605" t="s">
        <v>70</v>
      </c>
      <c r="F3605">
        <v>7</v>
      </c>
      <c r="G3605" s="2">
        <v>118.96</v>
      </c>
      <c r="H3605">
        <v>0.01</v>
      </c>
      <c r="I3605" t="s">
        <v>68</v>
      </c>
      <c r="J3605">
        <v>5</v>
      </c>
      <c r="K3605">
        <v>3</v>
      </c>
      <c r="L3605" s="2">
        <v>824.39</v>
      </c>
      <c r="M3605">
        <v>2031</v>
      </c>
      <c r="N3605">
        <v>11</v>
      </c>
      <c r="O3605" t="s">
        <v>198</v>
      </c>
      <c r="P3605" s="2">
        <v>832.72</v>
      </c>
      <c r="Q3605" s="2">
        <v>8.33</v>
      </c>
      <c r="R3605" t="s">
        <v>75</v>
      </c>
      <c r="S3605">
        <v>1</v>
      </c>
      <c r="T3605">
        <v>0</v>
      </c>
      <c r="U3605">
        <f>IF(AND(OR(Dashboard!$D$4="Semua",D3605=Dashboard!$D$4),OR(Dashboard!$H$4="Semua",E3605=Dashboard!$H$4)),1,0)</f>
        <v>1</v>
      </c>
      <c r="V3605">
        <f>IF(U3605=1,IF(COUNTIFS($C$2:C3605,C3605,$U$2:U3605,1)=1,1,0),0)</f>
        <v>0</v>
      </c>
    </row>
    <row r="3606" spans="1:22" x14ac:dyDescent="0.35">
      <c r="A3606">
        <v>13605</v>
      </c>
      <c r="B3606" s="1">
        <v>48166</v>
      </c>
      <c r="C3606">
        <v>1916</v>
      </c>
      <c r="D3606" t="s">
        <v>80</v>
      </c>
      <c r="E3606" t="s">
        <v>74</v>
      </c>
      <c r="F3606">
        <v>2</v>
      </c>
      <c r="G3606" s="2">
        <v>475.47</v>
      </c>
      <c r="H3606">
        <v>0.34</v>
      </c>
      <c r="I3606" t="s">
        <v>71</v>
      </c>
      <c r="J3606">
        <v>6</v>
      </c>
      <c r="K3606">
        <v>2.2999999999999998</v>
      </c>
      <c r="L3606" s="2">
        <v>627.62</v>
      </c>
      <c r="M3606">
        <v>2031</v>
      </c>
      <c r="N3606">
        <v>11</v>
      </c>
      <c r="O3606" t="s">
        <v>198</v>
      </c>
      <c r="P3606" s="2">
        <v>950.94</v>
      </c>
      <c r="Q3606" s="2">
        <v>323.32</v>
      </c>
      <c r="R3606" t="s">
        <v>72</v>
      </c>
      <c r="S3606">
        <v>1</v>
      </c>
      <c r="T3606">
        <v>0</v>
      </c>
      <c r="U3606">
        <f>IF(AND(OR(Dashboard!$D$4="Semua",D3606=Dashboard!$D$4),OR(Dashboard!$H$4="Semua",E3606=Dashboard!$H$4)),1,0)</f>
        <v>1</v>
      </c>
      <c r="V3606">
        <f>IF(U3606=1,IF(COUNTIFS($C$2:C3606,C3606,$U$2:U3606,1)=1,1,0),0)</f>
        <v>0</v>
      </c>
    </row>
    <row r="3607" spans="1:22" x14ac:dyDescent="0.35">
      <c r="A3607">
        <v>13606</v>
      </c>
      <c r="B3607" s="1">
        <v>48167</v>
      </c>
      <c r="C3607">
        <v>1994</v>
      </c>
      <c r="D3607" t="s">
        <v>67</v>
      </c>
      <c r="E3607" t="s">
        <v>63</v>
      </c>
      <c r="F3607">
        <v>3</v>
      </c>
      <c r="G3607" s="2">
        <v>503.97</v>
      </c>
      <c r="H3607">
        <v>7.0000000000000007E-2</v>
      </c>
      <c r="I3607" t="s">
        <v>71</v>
      </c>
      <c r="J3607">
        <v>8</v>
      </c>
      <c r="K3607">
        <v>3.6</v>
      </c>
      <c r="L3607" s="2">
        <v>1406.08</v>
      </c>
      <c r="M3607">
        <v>2031</v>
      </c>
      <c r="N3607">
        <v>11</v>
      </c>
      <c r="O3607" t="s">
        <v>198</v>
      </c>
      <c r="P3607" s="2">
        <v>1511.91</v>
      </c>
      <c r="Q3607" s="2">
        <v>105.83</v>
      </c>
      <c r="R3607" t="s">
        <v>69</v>
      </c>
      <c r="S3607">
        <v>1</v>
      </c>
      <c r="T3607">
        <v>0</v>
      </c>
      <c r="U3607">
        <f>IF(AND(OR(Dashboard!$D$4="Semua",D3607=Dashboard!$D$4),OR(Dashboard!$H$4="Semua",E3607=Dashboard!$H$4)),1,0)</f>
        <v>1</v>
      </c>
      <c r="V3607">
        <f>IF(U3607=1,IF(COUNTIFS($C$2:C3607,C3607,$U$2:U3607,1)=1,1,0),0)</f>
        <v>0</v>
      </c>
    </row>
    <row r="3608" spans="1:22" x14ac:dyDescent="0.35">
      <c r="A3608">
        <v>13607</v>
      </c>
      <c r="B3608" s="1">
        <v>48168</v>
      </c>
      <c r="C3608">
        <v>1121</v>
      </c>
      <c r="D3608" t="s">
        <v>67</v>
      </c>
      <c r="E3608" t="s">
        <v>70</v>
      </c>
      <c r="F3608">
        <v>4</v>
      </c>
      <c r="G3608" s="2">
        <v>333.94</v>
      </c>
      <c r="H3608">
        <v>0.04</v>
      </c>
      <c r="I3608" t="s">
        <v>68</v>
      </c>
      <c r="J3608">
        <v>8</v>
      </c>
      <c r="K3608">
        <v>4.5999999999999996</v>
      </c>
      <c r="L3608" s="2">
        <v>1282.33</v>
      </c>
      <c r="M3608">
        <v>2031</v>
      </c>
      <c r="N3608">
        <v>11</v>
      </c>
      <c r="O3608" t="s">
        <v>198</v>
      </c>
      <c r="P3608" s="2">
        <v>1335.76</v>
      </c>
      <c r="Q3608" s="2">
        <v>53.43</v>
      </c>
      <c r="R3608" t="s">
        <v>75</v>
      </c>
      <c r="S3608">
        <v>1</v>
      </c>
      <c r="T3608">
        <v>0</v>
      </c>
      <c r="U3608">
        <f>IF(AND(OR(Dashboard!$D$4="Semua",D3608=Dashboard!$D$4),OR(Dashboard!$H$4="Semua",E3608=Dashboard!$H$4)),1,0)</f>
        <v>1</v>
      </c>
      <c r="V3608">
        <f>IF(U3608=1,IF(COUNTIFS($C$2:C3608,C3608,$U$2:U3608,1)=1,1,0),0)</f>
        <v>0</v>
      </c>
    </row>
    <row r="3609" spans="1:22" x14ac:dyDescent="0.35">
      <c r="A3609">
        <v>13608</v>
      </c>
      <c r="B3609" s="1">
        <v>48169</v>
      </c>
      <c r="C3609">
        <v>1543</v>
      </c>
      <c r="D3609" t="s">
        <v>67</v>
      </c>
      <c r="E3609" t="s">
        <v>74</v>
      </c>
      <c r="F3609">
        <v>6</v>
      </c>
      <c r="G3609" s="2">
        <v>339.36</v>
      </c>
      <c r="H3609">
        <v>0.2</v>
      </c>
      <c r="I3609" t="s">
        <v>68</v>
      </c>
      <c r="J3609">
        <v>10</v>
      </c>
      <c r="K3609">
        <v>1.5</v>
      </c>
      <c r="L3609" s="2">
        <v>1628.93</v>
      </c>
      <c r="M3609">
        <v>2031</v>
      </c>
      <c r="N3609">
        <v>11</v>
      </c>
      <c r="O3609" t="s">
        <v>198</v>
      </c>
      <c r="P3609" s="2">
        <v>2036.16</v>
      </c>
      <c r="Q3609" s="2">
        <v>407.23</v>
      </c>
      <c r="R3609" t="s">
        <v>76</v>
      </c>
      <c r="S3609">
        <v>1</v>
      </c>
      <c r="T3609">
        <v>0</v>
      </c>
      <c r="U3609">
        <f>IF(AND(OR(Dashboard!$D$4="Semua",D3609=Dashboard!$D$4),OR(Dashboard!$H$4="Semua",E3609=Dashboard!$H$4)),1,0)</f>
        <v>1</v>
      </c>
      <c r="V3609">
        <f>IF(U3609=1,IF(COUNTIFS($C$2:C3609,C3609,$U$2:U3609,1)=1,1,0),0)</f>
        <v>0</v>
      </c>
    </row>
    <row r="3610" spans="1:22" x14ac:dyDescent="0.35">
      <c r="A3610">
        <v>13609</v>
      </c>
      <c r="B3610" s="1">
        <v>48170</v>
      </c>
      <c r="C3610">
        <v>1221</v>
      </c>
      <c r="D3610" t="s">
        <v>73</v>
      </c>
      <c r="E3610" t="s">
        <v>78</v>
      </c>
      <c r="F3610">
        <v>3</v>
      </c>
      <c r="G3610" s="2">
        <v>384.68</v>
      </c>
      <c r="H3610">
        <v>0.03</v>
      </c>
      <c r="I3610" t="s">
        <v>71</v>
      </c>
      <c r="J3610">
        <v>3</v>
      </c>
      <c r="K3610">
        <v>2.8</v>
      </c>
      <c r="L3610" s="2">
        <v>1119.42</v>
      </c>
      <c r="M3610">
        <v>2031</v>
      </c>
      <c r="N3610">
        <v>11</v>
      </c>
      <c r="O3610" t="s">
        <v>198</v>
      </c>
      <c r="P3610" s="2">
        <v>1154.04</v>
      </c>
      <c r="Q3610" s="2">
        <v>34.619999999999997</v>
      </c>
      <c r="R3610" t="s">
        <v>75</v>
      </c>
      <c r="S3610">
        <v>1</v>
      </c>
      <c r="T3610">
        <v>0</v>
      </c>
      <c r="U3610">
        <f>IF(AND(OR(Dashboard!$D$4="Semua",D3610=Dashboard!$D$4),OR(Dashboard!$H$4="Semua",E3610=Dashboard!$H$4)),1,0)</f>
        <v>1</v>
      </c>
      <c r="V3610">
        <f>IF(U3610=1,IF(COUNTIFS($C$2:C3610,C3610,$U$2:U3610,1)=1,1,0),0)</f>
        <v>0</v>
      </c>
    </row>
    <row r="3611" spans="1:22" x14ac:dyDescent="0.35">
      <c r="A3611">
        <v>13610</v>
      </c>
      <c r="B3611" s="1">
        <v>48171</v>
      </c>
      <c r="C3611">
        <v>1630</v>
      </c>
      <c r="D3611" t="s">
        <v>73</v>
      </c>
      <c r="E3611" t="s">
        <v>74</v>
      </c>
      <c r="F3611">
        <v>5</v>
      </c>
      <c r="G3611" s="2">
        <v>271.88</v>
      </c>
      <c r="H3611">
        <v>0.21</v>
      </c>
      <c r="I3611" t="s">
        <v>64</v>
      </c>
      <c r="J3611">
        <v>4</v>
      </c>
      <c r="K3611">
        <v>2.7</v>
      </c>
      <c r="L3611" s="2">
        <v>1073.93</v>
      </c>
      <c r="M3611">
        <v>2031</v>
      </c>
      <c r="N3611">
        <v>11</v>
      </c>
      <c r="O3611" t="s">
        <v>198</v>
      </c>
      <c r="P3611" s="2">
        <v>1359.4</v>
      </c>
      <c r="Q3611" s="2">
        <v>285.47000000000003</v>
      </c>
      <c r="R3611" t="s">
        <v>77</v>
      </c>
      <c r="S3611">
        <v>1</v>
      </c>
      <c r="T3611">
        <v>0</v>
      </c>
      <c r="U3611">
        <f>IF(AND(OR(Dashboard!$D$4="Semua",D3611=Dashboard!$D$4),OR(Dashboard!$H$4="Semua",E3611=Dashboard!$H$4)),1,0)</f>
        <v>1</v>
      </c>
      <c r="V3611">
        <f>IF(U3611=1,IF(COUNTIFS($C$2:C3611,C3611,$U$2:U3611,1)=1,1,0),0)</f>
        <v>0</v>
      </c>
    </row>
    <row r="3612" spans="1:22" x14ac:dyDescent="0.35">
      <c r="A3612">
        <v>13611</v>
      </c>
      <c r="B3612" s="1">
        <v>48172</v>
      </c>
      <c r="C3612">
        <v>1038</v>
      </c>
      <c r="D3612" t="s">
        <v>73</v>
      </c>
      <c r="E3612" t="s">
        <v>74</v>
      </c>
      <c r="F3612">
        <v>3</v>
      </c>
      <c r="G3612" s="2">
        <v>412.92</v>
      </c>
      <c r="H3612">
        <v>0.3</v>
      </c>
      <c r="I3612" t="s">
        <v>64</v>
      </c>
      <c r="J3612">
        <v>6</v>
      </c>
      <c r="K3612">
        <v>2.2999999999999998</v>
      </c>
      <c r="L3612" s="2">
        <v>867.13</v>
      </c>
      <c r="M3612">
        <v>2031</v>
      </c>
      <c r="N3612">
        <v>11</v>
      </c>
      <c r="O3612" t="s">
        <v>198</v>
      </c>
      <c r="P3612" s="2">
        <v>1238.76</v>
      </c>
      <c r="Q3612" s="2">
        <v>371.63</v>
      </c>
      <c r="R3612" t="s">
        <v>66</v>
      </c>
      <c r="S3612">
        <v>1</v>
      </c>
      <c r="T3612">
        <v>0</v>
      </c>
      <c r="U3612">
        <f>IF(AND(OR(Dashboard!$D$4="Semua",D3612=Dashboard!$D$4),OR(Dashboard!$H$4="Semua",E3612=Dashboard!$H$4)),1,0)</f>
        <v>1</v>
      </c>
      <c r="V3612">
        <f>IF(U3612=1,IF(COUNTIFS($C$2:C3612,C3612,$U$2:U3612,1)=1,1,0),0)</f>
        <v>0</v>
      </c>
    </row>
    <row r="3613" spans="1:22" x14ac:dyDescent="0.35">
      <c r="A3613">
        <v>13612</v>
      </c>
      <c r="B3613" s="1">
        <v>48173</v>
      </c>
      <c r="C3613">
        <v>1496</v>
      </c>
      <c r="D3613" t="s">
        <v>67</v>
      </c>
      <c r="E3613" t="s">
        <v>70</v>
      </c>
      <c r="F3613">
        <v>5</v>
      </c>
      <c r="G3613" s="2">
        <v>78.459999999999994</v>
      </c>
      <c r="H3613">
        <v>0.02</v>
      </c>
      <c r="I3613" t="s">
        <v>68</v>
      </c>
      <c r="J3613">
        <v>4</v>
      </c>
      <c r="K3613">
        <v>2.9</v>
      </c>
      <c r="L3613" s="2">
        <v>384.45</v>
      </c>
      <c r="M3613">
        <v>2031</v>
      </c>
      <c r="N3613">
        <v>11</v>
      </c>
      <c r="O3613" t="s">
        <v>198</v>
      </c>
      <c r="P3613" s="2">
        <v>392.3</v>
      </c>
      <c r="Q3613" s="2">
        <v>7.85</v>
      </c>
      <c r="R3613" t="s">
        <v>75</v>
      </c>
      <c r="S3613">
        <v>1</v>
      </c>
      <c r="T3613">
        <v>0</v>
      </c>
      <c r="U3613">
        <f>IF(AND(OR(Dashboard!$D$4="Semua",D3613=Dashboard!$D$4),OR(Dashboard!$H$4="Semua",E3613=Dashboard!$H$4)),1,0)</f>
        <v>1</v>
      </c>
      <c r="V3613">
        <f>IF(U3613=1,IF(COUNTIFS($C$2:C3613,C3613,$U$2:U3613,1)=1,1,0),0)</f>
        <v>0</v>
      </c>
    </row>
    <row r="3614" spans="1:22" x14ac:dyDescent="0.35">
      <c r="A3614">
        <v>13613</v>
      </c>
      <c r="B3614" s="1">
        <v>48174</v>
      </c>
      <c r="C3614">
        <v>1779</v>
      </c>
      <c r="D3614" t="s">
        <v>73</v>
      </c>
      <c r="E3614" t="s">
        <v>63</v>
      </c>
      <c r="F3614">
        <v>6</v>
      </c>
      <c r="G3614" s="2">
        <v>577.35</v>
      </c>
      <c r="H3614">
        <v>0.28000000000000003</v>
      </c>
      <c r="I3614" t="s">
        <v>68</v>
      </c>
      <c r="J3614">
        <v>10</v>
      </c>
      <c r="K3614">
        <v>4.5</v>
      </c>
      <c r="L3614" s="2">
        <v>2494.15</v>
      </c>
      <c r="M3614">
        <v>2031</v>
      </c>
      <c r="N3614">
        <v>11</v>
      </c>
      <c r="O3614" t="s">
        <v>198</v>
      </c>
      <c r="P3614" s="2">
        <v>3464.1</v>
      </c>
      <c r="Q3614" s="2">
        <v>969.95</v>
      </c>
      <c r="R3614" t="s">
        <v>66</v>
      </c>
      <c r="S3614">
        <v>1</v>
      </c>
      <c r="T3614">
        <v>0</v>
      </c>
      <c r="U3614">
        <f>IF(AND(OR(Dashboard!$D$4="Semua",D3614=Dashboard!$D$4),OR(Dashboard!$H$4="Semua",E3614=Dashboard!$H$4)),1,0)</f>
        <v>1</v>
      </c>
      <c r="V3614">
        <f>IF(U3614=1,IF(COUNTIFS($C$2:C3614,C3614,$U$2:U3614,1)=1,1,0),0)</f>
        <v>0</v>
      </c>
    </row>
    <row r="3615" spans="1:22" x14ac:dyDescent="0.35">
      <c r="A3615">
        <v>13614</v>
      </c>
      <c r="B3615" s="1">
        <v>48175</v>
      </c>
      <c r="C3615">
        <v>1232</v>
      </c>
      <c r="D3615" t="s">
        <v>73</v>
      </c>
      <c r="E3615" t="s">
        <v>74</v>
      </c>
      <c r="F3615">
        <v>2</v>
      </c>
      <c r="G3615" s="2">
        <v>453.84</v>
      </c>
      <c r="H3615">
        <v>0.14000000000000001</v>
      </c>
      <c r="I3615" t="s">
        <v>68</v>
      </c>
      <c r="J3615">
        <v>4</v>
      </c>
      <c r="K3615">
        <v>4.9000000000000004</v>
      </c>
      <c r="L3615" s="2">
        <v>780.6</v>
      </c>
      <c r="M3615">
        <v>2031</v>
      </c>
      <c r="N3615">
        <v>11</v>
      </c>
      <c r="O3615" t="s">
        <v>198</v>
      </c>
      <c r="P3615" s="2">
        <v>907.68</v>
      </c>
      <c r="Q3615" s="2">
        <v>127.08</v>
      </c>
      <c r="R3615" t="s">
        <v>79</v>
      </c>
      <c r="S3615">
        <v>1</v>
      </c>
      <c r="T3615">
        <v>0</v>
      </c>
      <c r="U3615">
        <f>IF(AND(OR(Dashboard!$D$4="Semua",D3615=Dashboard!$D$4),OR(Dashboard!$H$4="Semua",E3615=Dashboard!$H$4)),1,0)</f>
        <v>1</v>
      </c>
      <c r="V3615">
        <f>IF(U3615=1,IF(COUNTIFS($C$2:C3615,C3615,$U$2:U3615,1)=1,1,0),0)</f>
        <v>0</v>
      </c>
    </row>
    <row r="3616" spans="1:22" x14ac:dyDescent="0.35">
      <c r="A3616">
        <v>13615</v>
      </c>
      <c r="B3616" s="1">
        <v>48176</v>
      </c>
      <c r="C3616">
        <v>1942</v>
      </c>
      <c r="D3616" t="s">
        <v>62</v>
      </c>
      <c r="E3616" t="s">
        <v>70</v>
      </c>
      <c r="F3616">
        <v>6</v>
      </c>
      <c r="G3616" s="2">
        <v>384.24</v>
      </c>
      <c r="H3616">
        <v>0.06</v>
      </c>
      <c r="I3616" t="s">
        <v>71</v>
      </c>
      <c r="J3616">
        <v>5</v>
      </c>
      <c r="K3616">
        <v>1</v>
      </c>
      <c r="L3616" s="2">
        <v>2167.11</v>
      </c>
      <c r="M3616">
        <v>2031</v>
      </c>
      <c r="N3616">
        <v>11</v>
      </c>
      <c r="O3616" t="s">
        <v>198</v>
      </c>
      <c r="P3616" s="2">
        <v>2305.44</v>
      </c>
      <c r="Q3616" s="2">
        <v>138.33000000000001</v>
      </c>
      <c r="R3616" t="s">
        <v>69</v>
      </c>
      <c r="S3616">
        <v>1</v>
      </c>
      <c r="T3616">
        <v>0</v>
      </c>
      <c r="U3616">
        <f>IF(AND(OR(Dashboard!$D$4="Semua",D3616=Dashboard!$D$4),OR(Dashboard!$H$4="Semua",E3616=Dashboard!$H$4)),1,0)</f>
        <v>1</v>
      </c>
      <c r="V3616">
        <f>IF(U3616=1,IF(COUNTIFS($C$2:C3616,C3616,$U$2:U3616,1)=1,1,0),0)</f>
        <v>0</v>
      </c>
    </row>
    <row r="3617" spans="1:22" x14ac:dyDescent="0.35">
      <c r="A3617">
        <v>13616</v>
      </c>
      <c r="B3617" s="1">
        <v>48177</v>
      </c>
      <c r="C3617">
        <v>1529</v>
      </c>
      <c r="D3617" t="s">
        <v>73</v>
      </c>
      <c r="E3617" t="s">
        <v>70</v>
      </c>
      <c r="F3617">
        <v>4</v>
      </c>
      <c r="G3617" s="2">
        <v>200.05</v>
      </c>
      <c r="H3617">
        <v>0.06</v>
      </c>
      <c r="I3617" t="s">
        <v>71</v>
      </c>
      <c r="J3617">
        <v>10</v>
      </c>
      <c r="K3617">
        <v>4</v>
      </c>
      <c r="L3617" s="2">
        <v>752.19</v>
      </c>
      <c r="M3617">
        <v>2031</v>
      </c>
      <c r="N3617">
        <v>11</v>
      </c>
      <c r="O3617" t="s">
        <v>198</v>
      </c>
      <c r="P3617" s="2">
        <v>800.2</v>
      </c>
      <c r="Q3617" s="2">
        <v>48.01</v>
      </c>
      <c r="R3617" t="s">
        <v>69</v>
      </c>
      <c r="S3617">
        <v>1</v>
      </c>
      <c r="T3617">
        <v>0</v>
      </c>
      <c r="U3617">
        <f>IF(AND(OR(Dashboard!$D$4="Semua",D3617=Dashboard!$D$4),OR(Dashboard!$H$4="Semua",E3617=Dashboard!$H$4)),1,0)</f>
        <v>1</v>
      </c>
      <c r="V3617">
        <f>IF(U3617=1,IF(COUNTIFS($C$2:C3617,C3617,$U$2:U3617,1)=1,1,0),0)</f>
        <v>0</v>
      </c>
    </row>
    <row r="3618" spans="1:22" x14ac:dyDescent="0.35">
      <c r="A3618">
        <v>13617</v>
      </c>
      <c r="B3618" s="1">
        <v>48178</v>
      </c>
      <c r="C3618">
        <v>1148</v>
      </c>
      <c r="D3618" t="s">
        <v>80</v>
      </c>
      <c r="E3618" t="s">
        <v>63</v>
      </c>
      <c r="F3618">
        <v>1</v>
      </c>
      <c r="G3618" s="2">
        <v>109.16</v>
      </c>
      <c r="H3618">
        <v>0.32</v>
      </c>
      <c r="I3618" t="s">
        <v>71</v>
      </c>
      <c r="J3618">
        <v>7</v>
      </c>
      <c r="K3618">
        <v>3.5</v>
      </c>
      <c r="L3618" s="2">
        <v>74.23</v>
      </c>
      <c r="M3618">
        <v>2031</v>
      </c>
      <c r="N3618">
        <v>11</v>
      </c>
      <c r="O3618" t="s">
        <v>198</v>
      </c>
      <c r="P3618" s="2">
        <v>109.16</v>
      </c>
      <c r="Q3618" s="2">
        <v>34.93</v>
      </c>
      <c r="R3618" t="s">
        <v>72</v>
      </c>
      <c r="S3618">
        <v>1</v>
      </c>
      <c r="T3618">
        <v>0</v>
      </c>
      <c r="U3618">
        <f>IF(AND(OR(Dashboard!$D$4="Semua",D3618=Dashboard!$D$4),OR(Dashboard!$H$4="Semua",E3618=Dashboard!$H$4)),1,0)</f>
        <v>1</v>
      </c>
      <c r="V3618">
        <f>IF(U3618=1,IF(COUNTIFS($C$2:C3618,C3618,$U$2:U3618,1)=1,1,0),0)</f>
        <v>0</v>
      </c>
    </row>
    <row r="3619" spans="1:22" x14ac:dyDescent="0.35">
      <c r="A3619">
        <v>13618</v>
      </c>
      <c r="B3619" s="1">
        <v>48179</v>
      </c>
      <c r="C3619">
        <v>1396</v>
      </c>
      <c r="D3619" t="s">
        <v>80</v>
      </c>
      <c r="E3619" t="s">
        <v>70</v>
      </c>
      <c r="F3619">
        <v>2</v>
      </c>
      <c r="G3619" s="2">
        <v>254.47</v>
      </c>
      <c r="H3619">
        <v>0.04</v>
      </c>
      <c r="I3619" t="s">
        <v>71</v>
      </c>
      <c r="J3619">
        <v>2</v>
      </c>
      <c r="K3619">
        <v>5</v>
      </c>
      <c r="L3619" s="2">
        <v>488.58</v>
      </c>
      <c r="M3619">
        <v>2031</v>
      </c>
      <c r="N3619">
        <v>11</v>
      </c>
      <c r="O3619" t="s">
        <v>198</v>
      </c>
      <c r="P3619" s="2">
        <v>508.94</v>
      </c>
      <c r="Q3619" s="2">
        <v>20.36</v>
      </c>
      <c r="R3619" t="s">
        <v>75</v>
      </c>
      <c r="S3619">
        <v>1</v>
      </c>
      <c r="T3619">
        <v>0</v>
      </c>
      <c r="U3619">
        <f>IF(AND(OR(Dashboard!$D$4="Semua",D3619=Dashboard!$D$4),OR(Dashboard!$H$4="Semua",E3619=Dashboard!$H$4)),1,0)</f>
        <v>1</v>
      </c>
      <c r="V3619">
        <f>IF(U3619=1,IF(COUNTIFS($C$2:C3619,C3619,$U$2:U3619,1)=1,1,0),0)</f>
        <v>0</v>
      </c>
    </row>
    <row r="3620" spans="1:22" x14ac:dyDescent="0.35">
      <c r="A3620">
        <v>13619</v>
      </c>
      <c r="B3620" s="1">
        <v>48180</v>
      </c>
      <c r="C3620">
        <v>1660</v>
      </c>
      <c r="D3620" t="s">
        <v>73</v>
      </c>
      <c r="E3620" t="s">
        <v>63</v>
      </c>
      <c r="F3620">
        <v>2</v>
      </c>
      <c r="G3620" s="2">
        <v>402.02</v>
      </c>
      <c r="H3620">
        <v>0.3</v>
      </c>
      <c r="I3620" t="s">
        <v>68</v>
      </c>
      <c r="J3620">
        <v>2</v>
      </c>
      <c r="K3620">
        <v>1.4</v>
      </c>
      <c r="L3620" s="2">
        <v>562.83000000000004</v>
      </c>
      <c r="M3620">
        <v>2031</v>
      </c>
      <c r="N3620">
        <v>11</v>
      </c>
      <c r="O3620" t="s">
        <v>198</v>
      </c>
      <c r="P3620" s="2">
        <v>804.04</v>
      </c>
      <c r="Q3620" s="2">
        <v>241.21</v>
      </c>
      <c r="R3620" t="s">
        <v>66</v>
      </c>
      <c r="S3620">
        <v>1</v>
      </c>
      <c r="T3620">
        <v>0</v>
      </c>
      <c r="U3620">
        <f>IF(AND(OR(Dashboard!$D$4="Semua",D3620=Dashboard!$D$4),OR(Dashboard!$H$4="Semua",E3620=Dashboard!$H$4)),1,0)</f>
        <v>1</v>
      </c>
      <c r="V3620">
        <f>IF(U3620=1,IF(COUNTIFS($C$2:C3620,C3620,$U$2:U3620,1)=1,1,0),0)</f>
        <v>0</v>
      </c>
    </row>
    <row r="3621" spans="1:22" x14ac:dyDescent="0.35">
      <c r="A3621">
        <v>13620</v>
      </c>
      <c r="B3621" s="1">
        <v>48181</v>
      </c>
      <c r="C3621">
        <v>1637</v>
      </c>
      <c r="D3621" t="s">
        <v>73</v>
      </c>
      <c r="E3621" t="s">
        <v>78</v>
      </c>
      <c r="F3621">
        <v>1</v>
      </c>
      <c r="G3621" s="2">
        <v>385.72</v>
      </c>
      <c r="H3621">
        <v>0.19</v>
      </c>
      <c r="I3621" t="s">
        <v>68</v>
      </c>
      <c r="J3621">
        <v>10</v>
      </c>
      <c r="K3621">
        <v>4.2</v>
      </c>
      <c r="L3621" s="2">
        <v>312.43</v>
      </c>
      <c r="M3621">
        <v>2031</v>
      </c>
      <c r="N3621">
        <v>11</v>
      </c>
      <c r="O3621" t="s">
        <v>198</v>
      </c>
      <c r="P3621" s="2">
        <v>385.72</v>
      </c>
      <c r="Q3621" s="2">
        <v>73.290000000000006</v>
      </c>
      <c r="R3621" t="s">
        <v>76</v>
      </c>
      <c r="S3621">
        <v>1</v>
      </c>
      <c r="T3621">
        <v>0</v>
      </c>
      <c r="U3621">
        <f>IF(AND(OR(Dashboard!$D$4="Semua",D3621=Dashboard!$D$4),OR(Dashboard!$H$4="Semua",E3621=Dashboard!$H$4)),1,0)</f>
        <v>1</v>
      </c>
      <c r="V3621">
        <f>IF(U3621=1,IF(COUNTIFS($C$2:C3621,C3621,$U$2:U3621,1)=1,1,0),0)</f>
        <v>0</v>
      </c>
    </row>
    <row r="3622" spans="1:22" x14ac:dyDescent="0.35">
      <c r="A3622">
        <v>13621</v>
      </c>
      <c r="B3622" s="1">
        <v>48182</v>
      </c>
      <c r="C3622">
        <v>1903</v>
      </c>
      <c r="D3622" t="s">
        <v>73</v>
      </c>
      <c r="E3622" t="s">
        <v>74</v>
      </c>
      <c r="F3622">
        <v>3</v>
      </c>
      <c r="G3622" s="2">
        <v>238.85</v>
      </c>
      <c r="H3622">
        <v>0.01</v>
      </c>
      <c r="I3622" t="s">
        <v>64</v>
      </c>
      <c r="J3622">
        <v>9</v>
      </c>
      <c r="K3622">
        <v>4.7</v>
      </c>
      <c r="L3622" s="2">
        <v>709.38</v>
      </c>
      <c r="M3622">
        <v>2031</v>
      </c>
      <c r="N3622">
        <v>11</v>
      </c>
      <c r="O3622" t="s">
        <v>198</v>
      </c>
      <c r="P3622" s="2">
        <v>716.55</v>
      </c>
      <c r="Q3622" s="2">
        <v>7.17</v>
      </c>
      <c r="R3622" t="s">
        <v>75</v>
      </c>
      <c r="S3622">
        <v>1</v>
      </c>
      <c r="T3622">
        <v>0</v>
      </c>
      <c r="U3622">
        <f>IF(AND(OR(Dashboard!$D$4="Semua",D3622=Dashboard!$D$4),OR(Dashboard!$H$4="Semua",E3622=Dashboard!$H$4)),1,0)</f>
        <v>1</v>
      </c>
      <c r="V3622">
        <f>IF(U3622=1,IF(COUNTIFS($C$2:C3622,C3622,$U$2:U3622,1)=1,1,0),0)</f>
        <v>0</v>
      </c>
    </row>
    <row r="3623" spans="1:22" x14ac:dyDescent="0.35">
      <c r="A3623">
        <v>13622</v>
      </c>
      <c r="B3623" s="1">
        <v>48183</v>
      </c>
      <c r="C3623">
        <v>1301</v>
      </c>
      <c r="D3623" t="s">
        <v>80</v>
      </c>
      <c r="E3623" t="s">
        <v>70</v>
      </c>
      <c r="F3623">
        <v>6</v>
      </c>
      <c r="G3623" s="2">
        <v>373.77</v>
      </c>
      <c r="H3623">
        <v>0.16</v>
      </c>
      <c r="I3623" t="s">
        <v>68</v>
      </c>
      <c r="J3623">
        <v>4</v>
      </c>
      <c r="K3623">
        <v>4.5999999999999996</v>
      </c>
      <c r="L3623" s="2">
        <v>1883.8</v>
      </c>
      <c r="M3623">
        <v>2031</v>
      </c>
      <c r="N3623">
        <v>12</v>
      </c>
      <c r="O3623" t="s">
        <v>199</v>
      </c>
      <c r="P3623" s="2">
        <v>2242.62</v>
      </c>
      <c r="Q3623" s="2">
        <v>358.82</v>
      </c>
      <c r="R3623" t="s">
        <v>76</v>
      </c>
      <c r="S3623">
        <v>1</v>
      </c>
      <c r="T3623">
        <v>0</v>
      </c>
      <c r="U3623">
        <f>IF(AND(OR(Dashboard!$D$4="Semua",D3623=Dashboard!$D$4),OR(Dashboard!$H$4="Semua",E3623=Dashboard!$H$4)),1,0)</f>
        <v>1</v>
      </c>
      <c r="V3623">
        <f>IF(U3623=1,IF(COUNTIFS($C$2:C3623,C3623,$U$2:U3623,1)=1,1,0),0)</f>
        <v>0</v>
      </c>
    </row>
    <row r="3624" spans="1:22" x14ac:dyDescent="0.35">
      <c r="A3624">
        <v>13623</v>
      </c>
      <c r="B3624" s="1">
        <v>48184</v>
      </c>
      <c r="C3624">
        <v>1359</v>
      </c>
      <c r="D3624" t="s">
        <v>67</v>
      </c>
      <c r="E3624" t="s">
        <v>78</v>
      </c>
      <c r="F3624">
        <v>3</v>
      </c>
      <c r="G3624" s="2">
        <v>491.04</v>
      </c>
      <c r="H3624">
        <v>0.28999999999999998</v>
      </c>
      <c r="I3624" t="s">
        <v>68</v>
      </c>
      <c r="J3624">
        <v>5</v>
      </c>
      <c r="K3624">
        <v>3.2</v>
      </c>
      <c r="L3624" s="2">
        <v>1045.92</v>
      </c>
      <c r="M3624">
        <v>2031</v>
      </c>
      <c r="N3624">
        <v>12</v>
      </c>
      <c r="O3624" t="s">
        <v>199</v>
      </c>
      <c r="P3624" s="2">
        <v>1473.12</v>
      </c>
      <c r="Q3624" s="2">
        <v>427.2</v>
      </c>
      <c r="R3624" t="s">
        <v>66</v>
      </c>
      <c r="S3624">
        <v>1</v>
      </c>
      <c r="T3624">
        <v>0</v>
      </c>
      <c r="U3624">
        <f>IF(AND(OR(Dashboard!$D$4="Semua",D3624=Dashboard!$D$4),OR(Dashboard!$H$4="Semua",E3624=Dashboard!$H$4)),1,0)</f>
        <v>1</v>
      </c>
      <c r="V3624">
        <f>IF(U3624=1,IF(COUNTIFS($C$2:C3624,C3624,$U$2:U3624,1)=1,1,0),0)</f>
        <v>0</v>
      </c>
    </row>
    <row r="3625" spans="1:22" x14ac:dyDescent="0.35">
      <c r="A3625">
        <v>13624</v>
      </c>
      <c r="B3625" s="1">
        <v>48185</v>
      </c>
      <c r="C3625">
        <v>1237</v>
      </c>
      <c r="D3625" t="s">
        <v>80</v>
      </c>
      <c r="E3625" t="s">
        <v>70</v>
      </c>
      <c r="F3625">
        <v>3</v>
      </c>
      <c r="G3625" s="2">
        <v>30.38</v>
      </c>
      <c r="H3625">
        <v>0.25</v>
      </c>
      <c r="I3625" t="s">
        <v>71</v>
      </c>
      <c r="J3625">
        <v>3</v>
      </c>
      <c r="K3625">
        <v>2.2999999999999998</v>
      </c>
      <c r="L3625" s="2">
        <v>68.36</v>
      </c>
      <c r="M3625">
        <v>2031</v>
      </c>
      <c r="N3625">
        <v>12</v>
      </c>
      <c r="O3625" t="s">
        <v>199</v>
      </c>
      <c r="P3625" s="2">
        <v>91.14</v>
      </c>
      <c r="Q3625" s="2">
        <v>22.78</v>
      </c>
      <c r="R3625" t="s">
        <v>77</v>
      </c>
      <c r="S3625">
        <v>1</v>
      </c>
      <c r="T3625">
        <v>0</v>
      </c>
      <c r="U3625">
        <f>IF(AND(OR(Dashboard!$D$4="Semua",D3625=Dashboard!$D$4),OR(Dashboard!$H$4="Semua",E3625=Dashboard!$H$4)),1,0)</f>
        <v>1</v>
      </c>
      <c r="V3625">
        <f>IF(U3625=1,IF(COUNTIFS($C$2:C3625,C3625,$U$2:U3625,1)=1,1,0),0)</f>
        <v>0</v>
      </c>
    </row>
    <row r="3626" spans="1:22" x14ac:dyDescent="0.35">
      <c r="A3626">
        <v>13625</v>
      </c>
      <c r="B3626" s="1">
        <v>48186</v>
      </c>
      <c r="C3626">
        <v>1646</v>
      </c>
      <c r="D3626" t="s">
        <v>62</v>
      </c>
      <c r="E3626" t="s">
        <v>70</v>
      </c>
      <c r="F3626">
        <v>6</v>
      </c>
      <c r="G3626" s="2">
        <v>278.61</v>
      </c>
      <c r="H3626">
        <v>0.17</v>
      </c>
      <c r="I3626" t="s">
        <v>71</v>
      </c>
      <c r="J3626">
        <v>2</v>
      </c>
      <c r="K3626">
        <v>3.6</v>
      </c>
      <c r="L3626" s="2">
        <v>1387.48</v>
      </c>
      <c r="M3626">
        <v>2031</v>
      </c>
      <c r="N3626">
        <v>12</v>
      </c>
      <c r="O3626" t="s">
        <v>199</v>
      </c>
      <c r="P3626" s="2">
        <v>1671.66</v>
      </c>
      <c r="Q3626" s="2">
        <v>284.18</v>
      </c>
      <c r="R3626" t="s">
        <v>76</v>
      </c>
      <c r="S3626">
        <v>1</v>
      </c>
      <c r="T3626">
        <v>0</v>
      </c>
      <c r="U3626">
        <f>IF(AND(OR(Dashboard!$D$4="Semua",D3626=Dashboard!$D$4),OR(Dashboard!$H$4="Semua",E3626=Dashboard!$H$4)),1,0)</f>
        <v>1</v>
      </c>
      <c r="V3626">
        <f>IF(U3626=1,IF(COUNTIFS($C$2:C3626,C3626,$U$2:U3626,1)=1,1,0),0)</f>
        <v>0</v>
      </c>
    </row>
    <row r="3627" spans="1:22" x14ac:dyDescent="0.35">
      <c r="A3627">
        <v>13626</v>
      </c>
      <c r="B3627" s="1">
        <v>48187</v>
      </c>
      <c r="C3627">
        <v>1662</v>
      </c>
      <c r="D3627" t="s">
        <v>80</v>
      </c>
      <c r="E3627" t="s">
        <v>78</v>
      </c>
      <c r="F3627">
        <v>4</v>
      </c>
      <c r="G3627" s="2">
        <v>458.75</v>
      </c>
      <c r="H3627">
        <v>0.3</v>
      </c>
      <c r="I3627" t="s">
        <v>64</v>
      </c>
      <c r="J3627">
        <v>10</v>
      </c>
      <c r="K3627">
        <v>2.2000000000000002</v>
      </c>
      <c r="L3627" s="2">
        <v>1284.5</v>
      </c>
      <c r="M3627">
        <v>2031</v>
      </c>
      <c r="N3627">
        <v>12</v>
      </c>
      <c r="O3627" t="s">
        <v>199</v>
      </c>
      <c r="P3627" s="2">
        <v>1835</v>
      </c>
      <c r="Q3627" s="2">
        <v>550.5</v>
      </c>
      <c r="R3627" t="s">
        <v>66</v>
      </c>
      <c r="S3627">
        <v>1</v>
      </c>
      <c r="T3627">
        <v>0</v>
      </c>
      <c r="U3627">
        <f>IF(AND(OR(Dashboard!$D$4="Semua",D3627=Dashboard!$D$4),OR(Dashboard!$H$4="Semua",E3627=Dashboard!$H$4)),1,0)</f>
        <v>1</v>
      </c>
      <c r="V3627">
        <f>IF(U3627=1,IF(COUNTIFS($C$2:C3627,C3627,$U$2:U3627,1)=1,1,0),0)</f>
        <v>0</v>
      </c>
    </row>
    <row r="3628" spans="1:22" x14ac:dyDescent="0.35">
      <c r="A3628">
        <v>13627</v>
      </c>
      <c r="B3628" s="1">
        <v>48188</v>
      </c>
      <c r="C3628">
        <v>1235</v>
      </c>
      <c r="D3628" t="s">
        <v>73</v>
      </c>
      <c r="E3628" t="s">
        <v>70</v>
      </c>
      <c r="F3628">
        <v>2</v>
      </c>
      <c r="G3628" s="2">
        <v>334.49</v>
      </c>
      <c r="H3628">
        <v>0.04</v>
      </c>
      <c r="I3628" t="s">
        <v>68</v>
      </c>
      <c r="J3628">
        <v>8</v>
      </c>
      <c r="K3628">
        <v>2.6</v>
      </c>
      <c r="L3628" s="2">
        <v>642.22</v>
      </c>
      <c r="M3628">
        <v>2031</v>
      </c>
      <c r="N3628">
        <v>12</v>
      </c>
      <c r="O3628" t="s">
        <v>199</v>
      </c>
      <c r="P3628" s="2">
        <v>668.98</v>
      </c>
      <c r="Q3628" s="2">
        <v>26.76</v>
      </c>
      <c r="R3628" t="s">
        <v>75</v>
      </c>
      <c r="S3628">
        <v>1</v>
      </c>
      <c r="T3628">
        <v>0</v>
      </c>
      <c r="U3628">
        <f>IF(AND(OR(Dashboard!$D$4="Semua",D3628=Dashboard!$D$4),OR(Dashboard!$H$4="Semua",E3628=Dashboard!$H$4)),1,0)</f>
        <v>1</v>
      </c>
      <c r="V3628">
        <f>IF(U3628=1,IF(COUNTIFS($C$2:C3628,C3628,$U$2:U3628,1)=1,1,0),0)</f>
        <v>0</v>
      </c>
    </row>
    <row r="3629" spans="1:22" x14ac:dyDescent="0.35">
      <c r="A3629">
        <v>13628</v>
      </c>
      <c r="B3629" s="1">
        <v>48189</v>
      </c>
      <c r="C3629">
        <v>1735</v>
      </c>
      <c r="D3629" t="s">
        <v>73</v>
      </c>
      <c r="E3629" t="s">
        <v>70</v>
      </c>
      <c r="F3629">
        <v>5</v>
      </c>
      <c r="G3629" s="2">
        <v>396.11</v>
      </c>
      <c r="H3629">
        <v>0.32</v>
      </c>
      <c r="I3629" t="s">
        <v>71</v>
      </c>
      <c r="J3629">
        <v>4</v>
      </c>
      <c r="K3629">
        <v>2.8</v>
      </c>
      <c r="L3629" s="2">
        <v>1346.77</v>
      </c>
      <c r="M3629">
        <v>2031</v>
      </c>
      <c r="N3629">
        <v>12</v>
      </c>
      <c r="O3629" t="s">
        <v>199</v>
      </c>
      <c r="P3629" s="2">
        <v>1980.55</v>
      </c>
      <c r="Q3629" s="2">
        <v>633.78</v>
      </c>
      <c r="R3629" t="s">
        <v>72</v>
      </c>
      <c r="S3629">
        <v>1</v>
      </c>
      <c r="T3629">
        <v>0</v>
      </c>
      <c r="U3629">
        <f>IF(AND(OR(Dashboard!$D$4="Semua",D3629=Dashboard!$D$4),OR(Dashboard!$H$4="Semua",E3629=Dashboard!$H$4)),1,0)</f>
        <v>1</v>
      </c>
      <c r="V3629">
        <f>IF(U3629=1,IF(COUNTIFS($C$2:C3629,C3629,$U$2:U3629,1)=1,1,0),0)</f>
        <v>0</v>
      </c>
    </row>
    <row r="3630" spans="1:22" x14ac:dyDescent="0.35">
      <c r="A3630">
        <v>13629</v>
      </c>
      <c r="B3630" s="1">
        <v>48190</v>
      </c>
      <c r="C3630">
        <v>1202</v>
      </c>
      <c r="D3630" t="s">
        <v>80</v>
      </c>
      <c r="E3630" t="s">
        <v>78</v>
      </c>
      <c r="F3630">
        <v>1</v>
      </c>
      <c r="G3630" s="2">
        <v>317.26</v>
      </c>
      <c r="H3630">
        <v>0.3</v>
      </c>
      <c r="I3630" t="s">
        <v>71</v>
      </c>
      <c r="J3630">
        <v>1</v>
      </c>
      <c r="K3630">
        <v>2.2000000000000002</v>
      </c>
      <c r="L3630" s="2">
        <v>222.08</v>
      </c>
      <c r="M3630">
        <v>2031</v>
      </c>
      <c r="N3630">
        <v>12</v>
      </c>
      <c r="O3630" t="s">
        <v>199</v>
      </c>
      <c r="P3630" s="2">
        <v>317.26</v>
      </c>
      <c r="Q3630" s="2">
        <v>95.18</v>
      </c>
      <c r="R3630" t="s">
        <v>66</v>
      </c>
      <c r="S3630">
        <v>1</v>
      </c>
      <c r="T3630">
        <v>0</v>
      </c>
      <c r="U3630">
        <f>IF(AND(OR(Dashboard!$D$4="Semua",D3630=Dashboard!$D$4),OR(Dashboard!$H$4="Semua",E3630=Dashboard!$H$4)),1,0)</f>
        <v>1</v>
      </c>
      <c r="V3630">
        <f>IF(U3630=1,IF(COUNTIFS($C$2:C3630,C3630,$U$2:U3630,1)=1,1,0),0)</f>
        <v>0</v>
      </c>
    </row>
    <row r="3631" spans="1:22" x14ac:dyDescent="0.35">
      <c r="A3631">
        <v>13630</v>
      </c>
      <c r="B3631" s="1">
        <v>48191</v>
      </c>
      <c r="C3631">
        <v>1255</v>
      </c>
      <c r="D3631" t="s">
        <v>73</v>
      </c>
      <c r="E3631" t="s">
        <v>70</v>
      </c>
      <c r="F3631">
        <v>2</v>
      </c>
      <c r="G3631" s="2">
        <v>595.25</v>
      </c>
      <c r="H3631">
        <v>0.25</v>
      </c>
      <c r="I3631" t="s">
        <v>64</v>
      </c>
      <c r="J3631">
        <v>6</v>
      </c>
      <c r="K3631">
        <v>2.4</v>
      </c>
      <c r="L3631" s="2">
        <v>892.88</v>
      </c>
      <c r="M3631">
        <v>2031</v>
      </c>
      <c r="N3631">
        <v>12</v>
      </c>
      <c r="O3631" t="s">
        <v>199</v>
      </c>
      <c r="P3631" s="2">
        <v>1190.5</v>
      </c>
      <c r="Q3631" s="2">
        <v>297.62</v>
      </c>
      <c r="R3631" t="s">
        <v>77</v>
      </c>
      <c r="S3631">
        <v>1</v>
      </c>
      <c r="T3631">
        <v>0</v>
      </c>
      <c r="U3631">
        <f>IF(AND(OR(Dashboard!$D$4="Semua",D3631=Dashboard!$D$4),OR(Dashboard!$H$4="Semua",E3631=Dashboard!$H$4)),1,0)</f>
        <v>1</v>
      </c>
      <c r="V3631">
        <f>IF(U3631=1,IF(COUNTIFS($C$2:C3631,C3631,$U$2:U3631,1)=1,1,0),0)</f>
        <v>0</v>
      </c>
    </row>
    <row r="3632" spans="1:22" x14ac:dyDescent="0.35">
      <c r="A3632">
        <v>13631</v>
      </c>
      <c r="B3632" s="1">
        <v>48192</v>
      </c>
      <c r="C3632">
        <v>1597</v>
      </c>
      <c r="D3632" t="s">
        <v>73</v>
      </c>
      <c r="E3632" t="s">
        <v>63</v>
      </c>
      <c r="F3632">
        <v>3</v>
      </c>
      <c r="G3632" s="2">
        <v>46.95</v>
      </c>
      <c r="H3632">
        <v>0.28999999999999998</v>
      </c>
      <c r="I3632" t="s">
        <v>71</v>
      </c>
      <c r="J3632">
        <v>6</v>
      </c>
      <c r="K3632">
        <v>1</v>
      </c>
      <c r="L3632" s="2">
        <v>100</v>
      </c>
      <c r="M3632">
        <v>2031</v>
      </c>
      <c r="N3632">
        <v>12</v>
      </c>
      <c r="O3632" t="s">
        <v>199</v>
      </c>
      <c r="P3632" s="2">
        <v>140.85</v>
      </c>
      <c r="Q3632" s="2">
        <v>40.85</v>
      </c>
      <c r="R3632" t="s">
        <v>66</v>
      </c>
      <c r="S3632">
        <v>1</v>
      </c>
      <c r="T3632">
        <v>0</v>
      </c>
      <c r="U3632">
        <f>IF(AND(OR(Dashboard!$D$4="Semua",D3632=Dashboard!$D$4),OR(Dashboard!$H$4="Semua",E3632=Dashboard!$H$4)),1,0)</f>
        <v>1</v>
      </c>
      <c r="V3632">
        <f>IF(U3632=1,IF(COUNTIFS($C$2:C3632,C3632,$U$2:U3632,1)=1,1,0),0)</f>
        <v>0</v>
      </c>
    </row>
    <row r="3633" spans="1:22" x14ac:dyDescent="0.35">
      <c r="A3633">
        <v>13632</v>
      </c>
      <c r="B3633" s="1">
        <v>48193</v>
      </c>
      <c r="C3633">
        <v>1661</v>
      </c>
      <c r="D3633" t="s">
        <v>80</v>
      </c>
      <c r="E3633" t="s">
        <v>70</v>
      </c>
      <c r="F3633">
        <v>1</v>
      </c>
      <c r="G3633" s="2">
        <v>302.26</v>
      </c>
      <c r="H3633">
        <v>0.19</v>
      </c>
      <c r="I3633" t="s">
        <v>64</v>
      </c>
      <c r="J3633">
        <v>2</v>
      </c>
      <c r="K3633">
        <v>2.2000000000000002</v>
      </c>
      <c r="L3633" s="2">
        <v>244.83</v>
      </c>
      <c r="M3633">
        <v>2031</v>
      </c>
      <c r="N3633">
        <v>12</v>
      </c>
      <c r="O3633" t="s">
        <v>199</v>
      </c>
      <c r="P3633" s="2">
        <v>302.26</v>
      </c>
      <c r="Q3633" s="2">
        <v>57.43</v>
      </c>
      <c r="R3633" t="s">
        <v>76</v>
      </c>
      <c r="S3633">
        <v>1</v>
      </c>
      <c r="T3633">
        <v>0</v>
      </c>
      <c r="U3633">
        <f>IF(AND(OR(Dashboard!$D$4="Semua",D3633=Dashboard!$D$4),OR(Dashboard!$H$4="Semua",E3633=Dashboard!$H$4)),1,0)</f>
        <v>1</v>
      </c>
      <c r="V3633">
        <f>IF(U3633=1,IF(COUNTIFS($C$2:C3633,C3633,$U$2:U3633,1)=1,1,0),0)</f>
        <v>0</v>
      </c>
    </row>
    <row r="3634" spans="1:22" x14ac:dyDescent="0.35">
      <c r="A3634">
        <v>13633</v>
      </c>
      <c r="B3634" s="1">
        <v>48194</v>
      </c>
      <c r="C3634">
        <v>1234</v>
      </c>
      <c r="D3634" t="s">
        <v>67</v>
      </c>
      <c r="E3634" t="s">
        <v>74</v>
      </c>
      <c r="F3634">
        <v>5</v>
      </c>
      <c r="G3634" s="2">
        <v>68.48</v>
      </c>
      <c r="H3634">
        <v>0.24</v>
      </c>
      <c r="I3634" t="s">
        <v>68</v>
      </c>
      <c r="J3634">
        <v>2</v>
      </c>
      <c r="K3634">
        <v>2.9</v>
      </c>
      <c r="L3634" s="2">
        <v>260.22000000000003</v>
      </c>
      <c r="M3634">
        <v>2031</v>
      </c>
      <c r="N3634">
        <v>12</v>
      </c>
      <c r="O3634" t="s">
        <v>199</v>
      </c>
      <c r="P3634" s="2">
        <v>342.4</v>
      </c>
      <c r="Q3634" s="2">
        <v>82.18</v>
      </c>
      <c r="R3634" t="s">
        <v>77</v>
      </c>
      <c r="S3634">
        <v>1</v>
      </c>
      <c r="T3634">
        <v>0</v>
      </c>
      <c r="U3634">
        <f>IF(AND(OR(Dashboard!$D$4="Semua",D3634=Dashboard!$D$4),OR(Dashboard!$H$4="Semua",E3634=Dashboard!$H$4)),1,0)</f>
        <v>1</v>
      </c>
      <c r="V3634">
        <f>IF(U3634=1,IF(COUNTIFS($C$2:C3634,C3634,$U$2:U3634,1)=1,1,0),0)</f>
        <v>0</v>
      </c>
    </row>
    <row r="3635" spans="1:22" x14ac:dyDescent="0.35">
      <c r="A3635">
        <v>13634</v>
      </c>
      <c r="B3635" s="1">
        <v>48195</v>
      </c>
      <c r="C3635">
        <v>1344</v>
      </c>
      <c r="D3635" t="s">
        <v>62</v>
      </c>
      <c r="E3635" t="s">
        <v>70</v>
      </c>
      <c r="F3635">
        <v>2</v>
      </c>
      <c r="G3635" s="2">
        <v>108.47</v>
      </c>
      <c r="H3635">
        <v>0.2</v>
      </c>
      <c r="I3635" t="s">
        <v>71</v>
      </c>
      <c r="J3635">
        <v>8</v>
      </c>
      <c r="K3635">
        <v>1.7</v>
      </c>
      <c r="L3635" s="2">
        <v>173.55</v>
      </c>
      <c r="M3635">
        <v>2031</v>
      </c>
      <c r="N3635">
        <v>12</v>
      </c>
      <c r="O3635" t="s">
        <v>199</v>
      </c>
      <c r="P3635" s="2">
        <v>216.94</v>
      </c>
      <c r="Q3635" s="2">
        <v>43.39</v>
      </c>
      <c r="R3635" t="s">
        <v>76</v>
      </c>
      <c r="S3635">
        <v>1</v>
      </c>
      <c r="T3635">
        <v>0</v>
      </c>
      <c r="U3635">
        <f>IF(AND(OR(Dashboard!$D$4="Semua",D3635=Dashboard!$D$4),OR(Dashboard!$H$4="Semua",E3635=Dashboard!$H$4)),1,0)</f>
        <v>1</v>
      </c>
      <c r="V3635">
        <f>IF(U3635=1,IF(COUNTIFS($C$2:C3635,C3635,$U$2:U3635,1)=1,1,0),0)</f>
        <v>0</v>
      </c>
    </row>
    <row r="3636" spans="1:22" x14ac:dyDescent="0.35">
      <c r="A3636">
        <v>13635</v>
      </c>
      <c r="B3636" s="1">
        <v>48196</v>
      </c>
      <c r="C3636">
        <v>1533</v>
      </c>
      <c r="D3636" t="s">
        <v>80</v>
      </c>
      <c r="E3636" t="s">
        <v>74</v>
      </c>
      <c r="F3636">
        <v>2</v>
      </c>
      <c r="G3636" s="2">
        <v>239.08</v>
      </c>
      <c r="H3636">
        <v>0.12</v>
      </c>
      <c r="I3636" t="s">
        <v>68</v>
      </c>
      <c r="J3636">
        <v>11</v>
      </c>
      <c r="K3636">
        <v>4.2</v>
      </c>
      <c r="L3636" s="2">
        <v>420.78</v>
      </c>
      <c r="M3636">
        <v>2031</v>
      </c>
      <c r="N3636">
        <v>12</v>
      </c>
      <c r="O3636" t="s">
        <v>199</v>
      </c>
      <c r="P3636" s="2">
        <v>478.16</v>
      </c>
      <c r="Q3636" s="2">
        <v>57.38</v>
      </c>
      <c r="R3636" t="s">
        <v>79</v>
      </c>
      <c r="S3636">
        <v>1</v>
      </c>
      <c r="T3636">
        <v>0</v>
      </c>
      <c r="U3636">
        <f>IF(AND(OR(Dashboard!$D$4="Semua",D3636=Dashboard!$D$4),OR(Dashboard!$H$4="Semua",E3636=Dashboard!$H$4)),1,0)</f>
        <v>1</v>
      </c>
      <c r="V3636">
        <f>IF(U3636=1,IF(COUNTIFS($C$2:C3636,C3636,$U$2:U3636,1)=1,1,0),0)</f>
        <v>0</v>
      </c>
    </row>
    <row r="3637" spans="1:22" x14ac:dyDescent="0.35">
      <c r="A3637">
        <v>13636</v>
      </c>
      <c r="B3637" s="1">
        <v>48197</v>
      </c>
      <c r="C3637">
        <v>1859</v>
      </c>
      <c r="D3637" t="s">
        <v>73</v>
      </c>
      <c r="E3637" t="s">
        <v>74</v>
      </c>
      <c r="F3637">
        <v>4</v>
      </c>
      <c r="G3637" s="2">
        <v>105.99</v>
      </c>
      <c r="H3637">
        <v>0.2</v>
      </c>
      <c r="I3637" t="s">
        <v>68</v>
      </c>
      <c r="J3637">
        <v>7</v>
      </c>
      <c r="K3637">
        <v>3.2</v>
      </c>
      <c r="L3637" s="2">
        <v>339.17</v>
      </c>
      <c r="M3637">
        <v>2031</v>
      </c>
      <c r="N3637">
        <v>12</v>
      </c>
      <c r="O3637" t="s">
        <v>199</v>
      </c>
      <c r="P3637" s="2">
        <v>423.96</v>
      </c>
      <c r="Q3637" s="2">
        <v>84.79</v>
      </c>
      <c r="R3637" t="s">
        <v>76</v>
      </c>
      <c r="S3637">
        <v>1</v>
      </c>
      <c r="T3637">
        <v>0</v>
      </c>
      <c r="U3637">
        <f>IF(AND(OR(Dashboard!$D$4="Semua",D3637=Dashboard!$D$4),OR(Dashboard!$H$4="Semua",E3637=Dashboard!$H$4)),1,0)</f>
        <v>1</v>
      </c>
      <c r="V3637">
        <f>IF(U3637=1,IF(COUNTIFS($C$2:C3637,C3637,$U$2:U3637,1)=1,1,0),0)</f>
        <v>0</v>
      </c>
    </row>
    <row r="3638" spans="1:22" x14ac:dyDescent="0.35">
      <c r="A3638">
        <v>13637</v>
      </c>
      <c r="B3638" s="1">
        <v>48198</v>
      </c>
      <c r="C3638">
        <v>1796</v>
      </c>
      <c r="D3638" t="s">
        <v>62</v>
      </c>
      <c r="E3638" t="s">
        <v>70</v>
      </c>
      <c r="F3638">
        <v>2</v>
      </c>
      <c r="G3638" s="2">
        <v>578.76</v>
      </c>
      <c r="H3638">
        <v>0.09</v>
      </c>
      <c r="I3638" t="s">
        <v>68</v>
      </c>
      <c r="J3638">
        <v>2</v>
      </c>
      <c r="K3638">
        <v>4.2</v>
      </c>
      <c r="L3638" s="2">
        <v>1053.3399999999999</v>
      </c>
      <c r="M3638">
        <v>2031</v>
      </c>
      <c r="N3638">
        <v>12</v>
      </c>
      <c r="O3638" t="s">
        <v>199</v>
      </c>
      <c r="P3638" s="2">
        <v>1157.52</v>
      </c>
      <c r="Q3638" s="2">
        <v>104.18</v>
      </c>
      <c r="R3638" t="s">
        <v>69</v>
      </c>
      <c r="S3638">
        <v>1</v>
      </c>
      <c r="T3638">
        <v>0</v>
      </c>
      <c r="U3638">
        <f>IF(AND(OR(Dashboard!$D$4="Semua",D3638=Dashboard!$D$4),OR(Dashboard!$H$4="Semua",E3638=Dashboard!$H$4)),1,0)</f>
        <v>1</v>
      </c>
      <c r="V3638">
        <f>IF(U3638=1,IF(COUNTIFS($C$2:C3638,C3638,$U$2:U3638,1)=1,1,0),0)</f>
        <v>0</v>
      </c>
    </row>
    <row r="3639" spans="1:22" x14ac:dyDescent="0.35">
      <c r="A3639">
        <v>13638</v>
      </c>
      <c r="B3639" s="1">
        <v>48199</v>
      </c>
      <c r="C3639">
        <v>1780</v>
      </c>
      <c r="D3639" t="s">
        <v>73</v>
      </c>
      <c r="E3639" t="s">
        <v>78</v>
      </c>
      <c r="F3639">
        <v>2</v>
      </c>
      <c r="G3639" s="2">
        <v>568.87</v>
      </c>
      <c r="H3639">
        <v>0.15</v>
      </c>
      <c r="I3639" t="s">
        <v>71</v>
      </c>
      <c r="J3639">
        <v>10</v>
      </c>
      <c r="K3639">
        <v>1.5</v>
      </c>
      <c r="L3639" s="2">
        <v>967.08</v>
      </c>
      <c r="M3639">
        <v>2031</v>
      </c>
      <c r="N3639">
        <v>12</v>
      </c>
      <c r="O3639" t="s">
        <v>199</v>
      </c>
      <c r="P3639" s="2">
        <v>1137.74</v>
      </c>
      <c r="Q3639" s="2">
        <v>170.66</v>
      </c>
      <c r="R3639" t="s">
        <v>79</v>
      </c>
      <c r="S3639">
        <v>1</v>
      </c>
      <c r="T3639">
        <v>0</v>
      </c>
      <c r="U3639">
        <f>IF(AND(OR(Dashboard!$D$4="Semua",D3639=Dashboard!$D$4),OR(Dashboard!$H$4="Semua",E3639=Dashboard!$H$4)),1,0)</f>
        <v>1</v>
      </c>
      <c r="V3639">
        <f>IF(U3639=1,IF(COUNTIFS($C$2:C3639,C3639,$U$2:U3639,1)=1,1,0),0)</f>
        <v>0</v>
      </c>
    </row>
    <row r="3640" spans="1:22" x14ac:dyDescent="0.35">
      <c r="A3640">
        <v>13639</v>
      </c>
      <c r="B3640" s="1">
        <v>48200</v>
      </c>
      <c r="C3640">
        <v>1465</v>
      </c>
      <c r="D3640" t="s">
        <v>73</v>
      </c>
      <c r="E3640" t="s">
        <v>63</v>
      </c>
      <c r="F3640">
        <v>5</v>
      </c>
      <c r="G3640" s="2">
        <v>211.62</v>
      </c>
      <c r="H3640">
        <v>0.1</v>
      </c>
      <c r="I3640" t="s">
        <v>68</v>
      </c>
      <c r="J3640">
        <v>1</v>
      </c>
      <c r="K3640">
        <v>4.3</v>
      </c>
      <c r="L3640" s="2">
        <v>952.29</v>
      </c>
      <c r="M3640">
        <v>2031</v>
      </c>
      <c r="N3640">
        <v>12</v>
      </c>
      <c r="O3640" t="s">
        <v>199</v>
      </c>
      <c r="P3640" s="2">
        <v>1058.0999999999999</v>
      </c>
      <c r="Q3640" s="2">
        <v>105.81</v>
      </c>
      <c r="R3640" t="s">
        <v>69</v>
      </c>
      <c r="S3640">
        <v>1</v>
      </c>
      <c r="T3640">
        <v>0</v>
      </c>
      <c r="U3640">
        <f>IF(AND(OR(Dashboard!$D$4="Semua",D3640=Dashboard!$D$4),OR(Dashboard!$H$4="Semua",E3640=Dashboard!$H$4)),1,0)</f>
        <v>1</v>
      </c>
      <c r="V3640">
        <f>IF(U3640=1,IF(COUNTIFS($C$2:C3640,C3640,$U$2:U3640,1)=1,1,0),0)</f>
        <v>0</v>
      </c>
    </row>
    <row r="3641" spans="1:22" x14ac:dyDescent="0.35">
      <c r="A3641">
        <v>13640</v>
      </c>
      <c r="B3641" s="1">
        <v>48201</v>
      </c>
      <c r="C3641">
        <v>1769</v>
      </c>
      <c r="D3641" t="s">
        <v>67</v>
      </c>
      <c r="E3641" t="s">
        <v>63</v>
      </c>
      <c r="F3641">
        <v>5</v>
      </c>
      <c r="G3641" s="2">
        <v>389.25</v>
      </c>
      <c r="H3641">
        <v>0.04</v>
      </c>
      <c r="I3641" t="s">
        <v>64</v>
      </c>
      <c r="J3641">
        <v>11</v>
      </c>
      <c r="K3641">
        <v>4.8</v>
      </c>
      <c r="L3641" s="2">
        <v>1868.4</v>
      </c>
      <c r="M3641">
        <v>2031</v>
      </c>
      <c r="N3641">
        <v>12</v>
      </c>
      <c r="O3641" t="s">
        <v>199</v>
      </c>
      <c r="P3641" s="2">
        <v>1946.25</v>
      </c>
      <c r="Q3641" s="2">
        <v>77.849999999999994</v>
      </c>
      <c r="R3641" t="s">
        <v>75</v>
      </c>
      <c r="S3641">
        <v>1</v>
      </c>
      <c r="T3641">
        <v>0</v>
      </c>
      <c r="U3641">
        <f>IF(AND(OR(Dashboard!$D$4="Semua",D3641=Dashboard!$D$4),OR(Dashboard!$H$4="Semua",E3641=Dashboard!$H$4)),1,0)</f>
        <v>1</v>
      </c>
      <c r="V3641">
        <f>IF(U3641=1,IF(COUNTIFS($C$2:C3641,C3641,$U$2:U3641,1)=1,1,0),0)</f>
        <v>0</v>
      </c>
    </row>
    <row r="3642" spans="1:22" x14ac:dyDescent="0.35">
      <c r="A3642">
        <v>13641</v>
      </c>
      <c r="B3642" s="1">
        <v>48202</v>
      </c>
      <c r="C3642">
        <v>1540</v>
      </c>
      <c r="D3642" t="s">
        <v>73</v>
      </c>
      <c r="E3642" t="s">
        <v>70</v>
      </c>
      <c r="F3642">
        <v>1</v>
      </c>
      <c r="G3642" s="2">
        <v>327.25</v>
      </c>
      <c r="H3642">
        <v>0.11</v>
      </c>
      <c r="I3642" t="s">
        <v>71</v>
      </c>
      <c r="J3642">
        <v>8</v>
      </c>
      <c r="K3642">
        <v>2.4</v>
      </c>
      <c r="L3642" s="2">
        <v>291.25</v>
      </c>
      <c r="M3642">
        <v>2031</v>
      </c>
      <c r="N3642">
        <v>12</v>
      </c>
      <c r="O3642" t="s">
        <v>199</v>
      </c>
      <c r="P3642" s="2">
        <v>327.25</v>
      </c>
      <c r="Q3642" s="2">
        <v>36</v>
      </c>
      <c r="R3642" t="s">
        <v>79</v>
      </c>
      <c r="S3642">
        <v>1</v>
      </c>
      <c r="T3642">
        <v>0</v>
      </c>
      <c r="U3642">
        <f>IF(AND(OR(Dashboard!$D$4="Semua",D3642=Dashboard!$D$4),OR(Dashboard!$H$4="Semua",E3642=Dashboard!$H$4)),1,0)</f>
        <v>1</v>
      </c>
      <c r="V3642">
        <f>IF(U3642=1,IF(COUNTIFS($C$2:C3642,C3642,$U$2:U3642,1)=1,1,0),0)</f>
        <v>0</v>
      </c>
    </row>
    <row r="3643" spans="1:22" x14ac:dyDescent="0.35">
      <c r="A3643">
        <v>13642</v>
      </c>
      <c r="B3643" s="1">
        <v>48203</v>
      </c>
      <c r="C3643">
        <v>1212</v>
      </c>
      <c r="D3643" t="s">
        <v>67</v>
      </c>
      <c r="E3643" t="s">
        <v>78</v>
      </c>
      <c r="F3643">
        <v>3</v>
      </c>
      <c r="G3643" s="2">
        <v>492.12</v>
      </c>
      <c r="H3643">
        <v>0.3</v>
      </c>
      <c r="I3643" t="s">
        <v>68</v>
      </c>
      <c r="J3643">
        <v>10</v>
      </c>
      <c r="K3643">
        <v>2.1</v>
      </c>
      <c r="L3643" s="2">
        <v>1033.45</v>
      </c>
      <c r="M3643">
        <v>2031</v>
      </c>
      <c r="N3643">
        <v>12</v>
      </c>
      <c r="O3643" t="s">
        <v>199</v>
      </c>
      <c r="P3643" s="2">
        <v>1476.36</v>
      </c>
      <c r="Q3643" s="2">
        <v>442.91</v>
      </c>
      <c r="R3643" t="s">
        <v>66</v>
      </c>
      <c r="S3643">
        <v>1</v>
      </c>
      <c r="T3643">
        <v>0</v>
      </c>
      <c r="U3643">
        <f>IF(AND(OR(Dashboard!$D$4="Semua",D3643=Dashboard!$D$4),OR(Dashboard!$H$4="Semua",E3643=Dashboard!$H$4)),1,0)</f>
        <v>1</v>
      </c>
      <c r="V3643">
        <f>IF(U3643=1,IF(COUNTIFS($C$2:C3643,C3643,$U$2:U3643,1)=1,1,0),0)</f>
        <v>0</v>
      </c>
    </row>
    <row r="3644" spans="1:22" x14ac:dyDescent="0.35">
      <c r="A3644">
        <v>13643</v>
      </c>
      <c r="B3644" s="1">
        <v>48204</v>
      </c>
      <c r="C3644">
        <v>1462</v>
      </c>
      <c r="D3644" t="s">
        <v>73</v>
      </c>
      <c r="E3644" t="s">
        <v>78</v>
      </c>
      <c r="F3644">
        <v>5</v>
      </c>
      <c r="G3644" s="2">
        <v>382.06</v>
      </c>
      <c r="H3644">
        <v>0.13</v>
      </c>
      <c r="I3644" t="s">
        <v>71</v>
      </c>
      <c r="J3644">
        <v>2</v>
      </c>
      <c r="K3644">
        <v>3.6</v>
      </c>
      <c r="L3644" s="2">
        <v>1661.96</v>
      </c>
      <c r="M3644">
        <v>2031</v>
      </c>
      <c r="N3644">
        <v>12</v>
      </c>
      <c r="O3644" t="s">
        <v>199</v>
      </c>
      <c r="P3644" s="2">
        <v>1910.3</v>
      </c>
      <c r="Q3644" s="2">
        <v>248.34</v>
      </c>
      <c r="R3644" t="s">
        <v>79</v>
      </c>
      <c r="S3644">
        <v>1</v>
      </c>
      <c r="T3644">
        <v>0</v>
      </c>
      <c r="U3644">
        <f>IF(AND(OR(Dashboard!$D$4="Semua",D3644=Dashboard!$D$4),OR(Dashboard!$H$4="Semua",E3644=Dashboard!$H$4)),1,0)</f>
        <v>1</v>
      </c>
      <c r="V3644">
        <f>IF(U3644=1,IF(COUNTIFS($C$2:C3644,C3644,$U$2:U3644,1)=1,1,0),0)</f>
        <v>0</v>
      </c>
    </row>
    <row r="3645" spans="1:22" x14ac:dyDescent="0.35">
      <c r="A3645">
        <v>13644</v>
      </c>
      <c r="B3645" s="1">
        <v>48205</v>
      </c>
      <c r="C3645">
        <v>1435</v>
      </c>
      <c r="D3645" t="s">
        <v>67</v>
      </c>
      <c r="E3645" t="s">
        <v>63</v>
      </c>
      <c r="F3645">
        <v>1</v>
      </c>
      <c r="G3645" s="2">
        <v>15.15</v>
      </c>
      <c r="H3645">
        <v>0.26</v>
      </c>
      <c r="I3645" t="s">
        <v>68</v>
      </c>
      <c r="J3645">
        <v>5</v>
      </c>
      <c r="K3645">
        <v>3.5</v>
      </c>
      <c r="L3645" s="2">
        <v>11.21</v>
      </c>
      <c r="M3645">
        <v>2031</v>
      </c>
      <c r="N3645">
        <v>12</v>
      </c>
      <c r="O3645" t="s">
        <v>199</v>
      </c>
      <c r="P3645" s="2">
        <v>15.15</v>
      </c>
      <c r="Q3645" s="2">
        <v>3.94</v>
      </c>
      <c r="R3645" t="s">
        <v>66</v>
      </c>
      <c r="S3645">
        <v>1</v>
      </c>
      <c r="T3645">
        <v>0</v>
      </c>
      <c r="U3645">
        <f>IF(AND(OR(Dashboard!$D$4="Semua",D3645=Dashboard!$D$4),OR(Dashboard!$H$4="Semua",E3645=Dashboard!$H$4)),1,0)</f>
        <v>1</v>
      </c>
      <c r="V3645">
        <f>IF(U3645=1,IF(COUNTIFS($C$2:C3645,C3645,$U$2:U3645,1)=1,1,0),0)</f>
        <v>0</v>
      </c>
    </row>
    <row r="3646" spans="1:22" x14ac:dyDescent="0.35">
      <c r="A3646">
        <v>13645</v>
      </c>
      <c r="B3646" s="1">
        <v>48206</v>
      </c>
      <c r="C3646">
        <v>1282</v>
      </c>
      <c r="D3646" t="s">
        <v>67</v>
      </c>
      <c r="E3646" t="s">
        <v>78</v>
      </c>
      <c r="F3646">
        <v>2</v>
      </c>
      <c r="G3646" s="2">
        <v>461.46</v>
      </c>
      <c r="H3646">
        <v>0.06</v>
      </c>
      <c r="I3646" t="s">
        <v>68</v>
      </c>
      <c r="J3646">
        <v>6</v>
      </c>
      <c r="K3646">
        <v>1.4</v>
      </c>
      <c r="L3646" s="2">
        <v>867.54</v>
      </c>
      <c r="M3646">
        <v>2031</v>
      </c>
      <c r="N3646">
        <v>12</v>
      </c>
      <c r="O3646" t="s">
        <v>199</v>
      </c>
      <c r="P3646" s="2">
        <v>922.92</v>
      </c>
      <c r="Q3646" s="2">
        <v>55.38</v>
      </c>
      <c r="R3646" t="s">
        <v>69</v>
      </c>
      <c r="S3646">
        <v>1</v>
      </c>
      <c r="T3646">
        <v>0</v>
      </c>
      <c r="U3646">
        <f>IF(AND(OR(Dashboard!$D$4="Semua",D3646=Dashboard!$D$4),OR(Dashboard!$H$4="Semua",E3646=Dashboard!$H$4)),1,0)</f>
        <v>1</v>
      </c>
      <c r="V3646">
        <f>IF(U3646=1,IF(COUNTIFS($C$2:C3646,C3646,$U$2:U3646,1)=1,1,0),0)</f>
        <v>0</v>
      </c>
    </row>
    <row r="3647" spans="1:22" x14ac:dyDescent="0.35">
      <c r="A3647">
        <v>13646</v>
      </c>
      <c r="B3647" s="1">
        <v>48207</v>
      </c>
      <c r="C3647">
        <v>1561</v>
      </c>
      <c r="D3647" t="s">
        <v>80</v>
      </c>
      <c r="E3647" t="s">
        <v>70</v>
      </c>
      <c r="F3647">
        <v>1</v>
      </c>
      <c r="G3647" s="2">
        <v>451.91</v>
      </c>
      <c r="H3647">
        <v>0.15</v>
      </c>
      <c r="I3647" t="s">
        <v>71</v>
      </c>
      <c r="J3647">
        <v>10</v>
      </c>
      <c r="K3647">
        <v>4.7</v>
      </c>
      <c r="L3647" s="2">
        <v>384.12</v>
      </c>
      <c r="M3647">
        <v>2031</v>
      </c>
      <c r="N3647">
        <v>12</v>
      </c>
      <c r="O3647" t="s">
        <v>199</v>
      </c>
      <c r="P3647" s="2">
        <v>451.91</v>
      </c>
      <c r="Q3647" s="2">
        <v>67.790000000000006</v>
      </c>
      <c r="R3647" t="s">
        <v>79</v>
      </c>
      <c r="S3647">
        <v>1</v>
      </c>
      <c r="T3647">
        <v>0</v>
      </c>
      <c r="U3647">
        <f>IF(AND(OR(Dashboard!$D$4="Semua",D3647=Dashboard!$D$4),OR(Dashboard!$H$4="Semua",E3647=Dashboard!$H$4)),1,0)</f>
        <v>1</v>
      </c>
      <c r="V3647">
        <f>IF(U3647=1,IF(COUNTIFS($C$2:C3647,C3647,$U$2:U3647,1)=1,1,0),0)</f>
        <v>0</v>
      </c>
    </row>
    <row r="3648" spans="1:22" x14ac:dyDescent="0.35">
      <c r="A3648">
        <v>13647</v>
      </c>
      <c r="B3648" s="1">
        <v>48208</v>
      </c>
      <c r="C3648">
        <v>1606</v>
      </c>
      <c r="D3648" t="s">
        <v>80</v>
      </c>
      <c r="E3648" t="s">
        <v>70</v>
      </c>
      <c r="F3648">
        <v>1</v>
      </c>
      <c r="G3648" s="2">
        <v>313.19</v>
      </c>
      <c r="H3648">
        <v>0.04</v>
      </c>
      <c r="I3648" t="s">
        <v>64</v>
      </c>
      <c r="J3648">
        <v>1</v>
      </c>
      <c r="K3648">
        <v>2.9</v>
      </c>
      <c r="L3648" s="2">
        <v>300.66000000000003</v>
      </c>
      <c r="M3648">
        <v>2031</v>
      </c>
      <c r="N3648">
        <v>12</v>
      </c>
      <c r="O3648" t="s">
        <v>199</v>
      </c>
      <c r="P3648" s="2">
        <v>313.19</v>
      </c>
      <c r="Q3648" s="2">
        <v>12.53</v>
      </c>
      <c r="R3648" t="s">
        <v>75</v>
      </c>
      <c r="S3648">
        <v>1</v>
      </c>
      <c r="T3648">
        <v>0</v>
      </c>
      <c r="U3648">
        <f>IF(AND(OR(Dashboard!$D$4="Semua",D3648=Dashboard!$D$4),OR(Dashboard!$H$4="Semua",E3648=Dashboard!$H$4)),1,0)</f>
        <v>1</v>
      </c>
      <c r="V3648">
        <f>IF(U3648=1,IF(COUNTIFS($C$2:C3648,C3648,$U$2:U3648,1)=1,1,0),0)</f>
        <v>0</v>
      </c>
    </row>
    <row r="3649" spans="1:22" x14ac:dyDescent="0.35">
      <c r="A3649">
        <v>13648</v>
      </c>
      <c r="B3649" s="1">
        <v>48209</v>
      </c>
      <c r="C3649">
        <v>1462</v>
      </c>
      <c r="D3649" t="s">
        <v>73</v>
      </c>
      <c r="E3649" t="s">
        <v>78</v>
      </c>
      <c r="F3649">
        <v>1</v>
      </c>
      <c r="G3649" s="2">
        <v>543.21</v>
      </c>
      <c r="H3649">
        <v>0.05</v>
      </c>
      <c r="I3649" t="s">
        <v>71</v>
      </c>
      <c r="J3649">
        <v>2</v>
      </c>
      <c r="K3649">
        <v>4.0999999999999996</v>
      </c>
      <c r="L3649" s="2">
        <v>516.04999999999995</v>
      </c>
      <c r="M3649">
        <v>2031</v>
      </c>
      <c r="N3649">
        <v>12</v>
      </c>
      <c r="O3649" t="s">
        <v>199</v>
      </c>
      <c r="P3649" s="2">
        <v>543.21</v>
      </c>
      <c r="Q3649" s="2">
        <v>27.16</v>
      </c>
      <c r="R3649" t="s">
        <v>75</v>
      </c>
      <c r="S3649">
        <v>1</v>
      </c>
      <c r="T3649">
        <v>0</v>
      </c>
      <c r="U3649">
        <f>IF(AND(OR(Dashboard!$D$4="Semua",D3649=Dashboard!$D$4),OR(Dashboard!$H$4="Semua",E3649=Dashboard!$H$4)),1,0)</f>
        <v>1</v>
      </c>
      <c r="V3649">
        <f>IF(U3649=1,IF(COUNTIFS($C$2:C3649,C3649,$U$2:U3649,1)=1,1,0),0)</f>
        <v>0</v>
      </c>
    </row>
    <row r="3650" spans="1:22" x14ac:dyDescent="0.35">
      <c r="A3650">
        <v>13649</v>
      </c>
      <c r="B3650" s="1">
        <v>48210</v>
      </c>
      <c r="C3650">
        <v>1406</v>
      </c>
      <c r="D3650" t="s">
        <v>67</v>
      </c>
      <c r="E3650" t="s">
        <v>70</v>
      </c>
      <c r="F3650">
        <v>6</v>
      </c>
      <c r="G3650" s="2">
        <v>546.44000000000005</v>
      </c>
      <c r="H3650">
        <v>0.22</v>
      </c>
      <c r="I3650" t="s">
        <v>64</v>
      </c>
      <c r="J3650">
        <v>10</v>
      </c>
      <c r="K3650">
        <v>2.4</v>
      </c>
      <c r="L3650" s="2">
        <v>2557.34</v>
      </c>
      <c r="M3650">
        <v>2031</v>
      </c>
      <c r="N3650">
        <v>12</v>
      </c>
      <c r="O3650" t="s">
        <v>199</v>
      </c>
      <c r="P3650" s="2">
        <v>3278.64</v>
      </c>
      <c r="Q3650" s="2">
        <v>721.3</v>
      </c>
      <c r="R3650" t="s">
        <v>77</v>
      </c>
      <c r="S3650">
        <v>1</v>
      </c>
      <c r="T3650">
        <v>0</v>
      </c>
      <c r="U3650">
        <f>IF(AND(OR(Dashboard!$D$4="Semua",D3650=Dashboard!$D$4),OR(Dashboard!$H$4="Semua",E3650=Dashboard!$H$4)),1,0)</f>
        <v>1</v>
      </c>
      <c r="V3650">
        <f>IF(U3650=1,IF(COUNTIFS($C$2:C3650,C3650,$U$2:U3650,1)=1,1,0),0)</f>
        <v>0</v>
      </c>
    </row>
    <row r="3651" spans="1:22" x14ac:dyDescent="0.35">
      <c r="A3651">
        <v>13650</v>
      </c>
      <c r="B3651" s="1">
        <v>48211</v>
      </c>
      <c r="C3651">
        <v>1087</v>
      </c>
      <c r="D3651" t="s">
        <v>67</v>
      </c>
      <c r="E3651" t="s">
        <v>74</v>
      </c>
      <c r="F3651">
        <v>1</v>
      </c>
      <c r="G3651" s="2">
        <v>321.49</v>
      </c>
      <c r="H3651">
        <v>0.21</v>
      </c>
      <c r="I3651" t="s">
        <v>71</v>
      </c>
      <c r="J3651">
        <v>4</v>
      </c>
      <c r="K3651">
        <v>2</v>
      </c>
      <c r="L3651" s="2">
        <v>253.98</v>
      </c>
      <c r="M3651">
        <v>2031</v>
      </c>
      <c r="N3651">
        <v>12</v>
      </c>
      <c r="O3651" t="s">
        <v>199</v>
      </c>
      <c r="P3651" s="2">
        <v>321.49</v>
      </c>
      <c r="Q3651" s="2">
        <v>67.510000000000005</v>
      </c>
      <c r="R3651" t="s">
        <v>77</v>
      </c>
      <c r="S3651">
        <v>1</v>
      </c>
      <c r="T3651">
        <v>0</v>
      </c>
      <c r="U3651">
        <f>IF(AND(OR(Dashboard!$D$4="Semua",D3651=Dashboard!$D$4),OR(Dashboard!$H$4="Semua",E3651=Dashboard!$H$4)),1,0)</f>
        <v>1</v>
      </c>
      <c r="V3651">
        <f>IF(U3651=1,IF(COUNTIFS($C$2:C3651,C3651,$U$2:U3651,1)=1,1,0),0)</f>
        <v>0</v>
      </c>
    </row>
    <row r="3652" spans="1:22" x14ac:dyDescent="0.35">
      <c r="A3652">
        <v>13651</v>
      </c>
      <c r="B3652" s="1">
        <v>48212</v>
      </c>
      <c r="C3652">
        <v>1043</v>
      </c>
      <c r="D3652" t="s">
        <v>73</v>
      </c>
      <c r="E3652" t="s">
        <v>63</v>
      </c>
      <c r="F3652">
        <v>5</v>
      </c>
      <c r="G3652" s="2">
        <v>370.67</v>
      </c>
      <c r="H3652">
        <v>7.0000000000000007E-2</v>
      </c>
      <c r="I3652" t="s">
        <v>68</v>
      </c>
      <c r="J3652">
        <v>2</v>
      </c>
      <c r="K3652">
        <v>1.4</v>
      </c>
      <c r="L3652" s="2">
        <v>1723.62</v>
      </c>
      <c r="M3652">
        <v>2031</v>
      </c>
      <c r="N3652">
        <v>12</v>
      </c>
      <c r="O3652" t="s">
        <v>199</v>
      </c>
      <c r="P3652" s="2">
        <v>1853.35</v>
      </c>
      <c r="Q3652" s="2">
        <v>129.72999999999999</v>
      </c>
      <c r="R3652" t="s">
        <v>69</v>
      </c>
      <c r="S3652">
        <v>1</v>
      </c>
      <c r="T3652">
        <v>0</v>
      </c>
      <c r="U3652">
        <f>IF(AND(OR(Dashboard!$D$4="Semua",D3652=Dashboard!$D$4),OR(Dashboard!$H$4="Semua",E3652=Dashboard!$H$4)),1,0)</f>
        <v>1</v>
      </c>
      <c r="V3652">
        <f>IF(U3652=1,IF(COUNTIFS($C$2:C3652,C3652,$U$2:U3652,1)=1,1,0),0)</f>
        <v>0</v>
      </c>
    </row>
    <row r="3653" spans="1:22" x14ac:dyDescent="0.35">
      <c r="A3653">
        <v>13652</v>
      </c>
      <c r="B3653" s="1">
        <v>48213</v>
      </c>
      <c r="C3653">
        <v>1460</v>
      </c>
      <c r="D3653" t="s">
        <v>80</v>
      </c>
      <c r="E3653" t="s">
        <v>70</v>
      </c>
      <c r="F3653">
        <v>7</v>
      </c>
      <c r="G3653" s="2">
        <v>597.97</v>
      </c>
      <c r="H3653">
        <v>0.17</v>
      </c>
      <c r="I3653" t="s">
        <v>71</v>
      </c>
      <c r="J3653">
        <v>11</v>
      </c>
      <c r="K3653">
        <v>2.1</v>
      </c>
      <c r="L3653" s="2">
        <v>3474.21</v>
      </c>
      <c r="M3653">
        <v>2031</v>
      </c>
      <c r="N3653">
        <v>12</v>
      </c>
      <c r="O3653" t="s">
        <v>199</v>
      </c>
      <c r="P3653" s="2">
        <v>4185.79</v>
      </c>
      <c r="Q3653" s="2">
        <v>711.58</v>
      </c>
      <c r="R3653" t="s">
        <v>76</v>
      </c>
      <c r="S3653">
        <v>1</v>
      </c>
      <c r="T3653">
        <v>1</v>
      </c>
      <c r="U3653">
        <f>IF(AND(OR(Dashboard!$D$4="Semua",D3653=Dashboard!$D$4),OR(Dashboard!$H$4="Semua",E3653=Dashboard!$H$4)),1,0)</f>
        <v>1</v>
      </c>
      <c r="V3653">
        <f>IF(U3653=1,IF(COUNTIFS($C$2:C3653,C3653,$U$2:U3653,1)=1,1,0),0)</f>
        <v>0</v>
      </c>
    </row>
    <row r="3654" spans="1:22" x14ac:dyDescent="0.35">
      <c r="A3654">
        <v>13653</v>
      </c>
      <c r="B3654" s="1">
        <v>48214</v>
      </c>
      <c r="C3654">
        <v>1277</v>
      </c>
      <c r="D3654" t="s">
        <v>80</v>
      </c>
      <c r="E3654" t="s">
        <v>78</v>
      </c>
      <c r="F3654">
        <v>7</v>
      </c>
      <c r="G3654" s="2">
        <v>189.81</v>
      </c>
      <c r="H3654">
        <v>0.3</v>
      </c>
      <c r="I3654" t="s">
        <v>71</v>
      </c>
      <c r="J3654">
        <v>6</v>
      </c>
      <c r="K3654">
        <v>5</v>
      </c>
      <c r="L3654" s="2">
        <v>930.07</v>
      </c>
      <c r="M3654">
        <v>2032</v>
      </c>
      <c r="N3654">
        <v>1</v>
      </c>
      <c r="O3654" t="s">
        <v>200</v>
      </c>
      <c r="P3654" s="2">
        <v>1328.67</v>
      </c>
      <c r="Q3654" s="2">
        <v>398.6</v>
      </c>
      <c r="R3654" t="s">
        <v>66</v>
      </c>
      <c r="S3654">
        <v>1</v>
      </c>
      <c r="T3654">
        <v>0</v>
      </c>
      <c r="U3654">
        <f>IF(AND(OR(Dashboard!$D$4="Semua",D3654=Dashboard!$D$4),OR(Dashboard!$H$4="Semua",E3654=Dashboard!$H$4)),1,0)</f>
        <v>1</v>
      </c>
      <c r="V3654">
        <f>IF(U3654=1,IF(COUNTIFS($C$2:C3654,C3654,$U$2:U3654,1)=1,1,0),0)</f>
        <v>0</v>
      </c>
    </row>
    <row r="3655" spans="1:22" x14ac:dyDescent="0.35">
      <c r="A3655">
        <v>13654</v>
      </c>
      <c r="B3655" s="1">
        <v>48215</v>
      </c>
      <c r="C3655">
        <v>1682</v>
      </c>
      <c r="D3655" t="s">
        <v>73</v>
      </c>
      <c r="E3655" t="s">
        <v>63</v>
      </c>
      <c r="F3655">
        <v>7</v>
      </c>
      <c r="G3655" s="2">
        <v>204.9</v>
      </c>
      <c r="H3655">
        <v>0.06</v>
      </c>
      <c r="I3655" t="s">
        <v>68</v>
      </c>
      <c r="J3655">
        <v>4</v>
      </c>
      <c r="K3655">
        <v>3.6</v>
      </c>
      <c r="L3655" s="2">
        <v>1348.24</v>
      </c>
      <c r="M3655">
        <v>2032</v>
      </c>
      <c r="N3655">
        <v>1</v>
      </c>
      <c r="O3655" t="s">
        <v>200</v>
      </c>
      <c r="P3655" s="2">
        <v>1434.3</v>
      </c>
      <c r="Q3655" s="2">
        <v>86.06</v>
      </c>
      <c r="R3655" t="s">
        <v>69</v>
      </c>
      <c r="S3655">
        <v>1</v>
      </c>
      <c r="T3655">
        <v>0</v>
      </c>
      <c r="U3655">
        <f>IF(AND(OR(Dashboard!$D$4="Semua",D3655=Dashboard!$D$4),OR(Dashboard!$H$4="Semua",E3655=Dashboard!$H$4)),1,0)</f>
        <v>1</v>
      </c>
      <c r="V3655">
        <f>IF(U3655=1,IF(COUNTIFS($C$2:C3655,C3655,$U$2:U3655,1)=1,1,0),0)</f>
        <v>0</v>
      </c>
    </row>
    <row r="3656" spans="1:22" x14ac:dyDescent="0.35">
      <c r="A3656">
        <v>13655</v>
      </c>
      <c r="B3656" s="1">
        <v>48216</v>
      </c>
      <c r="C3656">
        <v>1420</v>
      </c>
      <c r="D3656" t="s">
        <v>67</v>
      </c>
      <c r="E3656" t="s">
        <v>70</v>
      </c>
      <c r="F3656">
        <v>7</v>
      </c>
      <c r="G3656" s="2">
        <v>121.92</v>
      </c>
      <c r="H3656">
        <v>0.01</v>
      </c>
      <c r="I3656" t="s">
        <v>64</v>
      </c>
      <c r="J3656">
        <v>11</v>
      </c>
      <c r="K3656">
        <v>4.2</v>
      </c>
      <c r="L3656" s="2">
        <v>844.91</v>
      </c>
      <c r="M3656">
        <v>2032</v>
      </c>
      <c r="N3656">
        <v>1</v>
      </c>
      <c r="O3656" t="s">
        <v>200</v>
      </c>
      <c r="P3656" s="2">
        <v>853.44</v>
      </c>
      <c r="Q3656" s="2">
        <v>8.5299999999999994</v>
      </c>
      <c r="R3656" t="s">
        <v>75</v>
      </c>
      <c r="S3656">
        <v>1</v>
      </c>
      <c r="T3656">
        <v>0</v>
      </c>
      <c r="U3656">
        <f>IF(AND(OR(Dashboard!$D$4="Semua",D3656=Dashboard!$D$4),OR(Dashboard!$H$4="Semua",E3656=Dashboard!$H$4)),1,0)</f>
        <v>1</v>
      </c>
      <c r="V3656">
        <f>IF(U3656=1,IF(COUNTIFS($C$2:C3656,C3656,$U$2:U3656,1)=1,1,0),0)</f>
        <v>1</v>
      </c>
    </row>
    <row r="3657" spans="1:22" x14ac:dyDescent="0.35">
      <c r="A3657">
        <v>13656</v>
      </c>
      <c r="B3657" s="1">
        <v>48217</v>
      </c>
      <c r="C3657">
        <v>1700</v>
      </c>
      <c r="D3657" t="s">
        <v>73</v>
      </c>
      <c r="E3657" t="s">
        <v>63</v>
      </c>
      <c r="F3657">
        <v>6</v>
      </c>
      <c r="G3657" s="2">
        <v>539.08000000000004</v>
      </c>
      <c r="H3657">
        <v>0.23</v>
      </c>
      <c r="I3657" t="s">
        <v>71</v>
      </c>
      <c r="J3657">
        <v>3</v>
      </c>
      <c r="K3657">
        <v>4.8</v>
      </c>
      <c r="L3657" s="2">
        <v>2490.5500000000002</v>
      </c>
      <c r="M3657">
        <v>2032</v>
      </c>
      <c r="N3657">
        <v>1</v>
      </c>
      <c r="O3657" t="s">
        <v>200</v>
      </c>
      <c r="P3657" s="2">
        <v>3234.48</v>
      </c>
      <c r="Q3657" s="2">
        <v>743.93</v>
      </c>
      <c r="R3657" t="s">
        <v>77</v>
      </c>
      <c r="S3657">
        <v>1</v>
      </c>
      <c r="T3657">
        <v>0</v>
      </c>
      <c r="U3657">
        <f>IF(AND(OR(Dashboard!$D$4="Semua",D3657=Dashboard!$D$4),OR(Dashboard!$H$4="Semua",E3657=Dashboard!$H$4)),1,0)</f>
        <v>1</v>
      </c>
      <c r="V3657">
        <f>IF(U3657=1,IF(COUNTIFS($C$2:C3657,C3657,$U$2:U3657,1)=1,1,0),0)</f>
        <v>0</v>
      </c>
    </row>
    <row r="3658" spans="1:22" x14ac:dyDescent="0.35">
      <c r="A3658">
        <v>13657</v>
      </c>
      <c r="B3658" s="1">
        <v>48218</v>
      </c>
      <c r="C3658">
        <v>1352</v>
      </c>
      <c r="D3658" t="s">
        <v>67</v>
      </c>
      <c r="E3658" t="s">
        <v>78</v>
      </c>
      <c r="F3658">
        <v>3</v>
      </c>
      <c r="G3658" s="2">
        <v>450.53</v>
      </c>
      <c r="H3658">
        <v>0.02</v>
      </c>
      <c r="I3658" t="s">
        <v>68</v>
      </c>
      <c r="J3658">
        <v>6</v>
      </c>
      <c r="K3658">
        <v>1.3</v>
      </c>
      <c r="L3658" s="2">
        <v>1324.56</v>
      </c>
      <c r="M3658">
        <v>2032</v>
      </c>
      <c r="N3658">
        <v>1</v>
      </c>
      <c r="O3658" t="s">
        <v>200</v>
      </c>
      <c r="P3658" s="2">
        <v>1351.59</v>
      </c>
      <c r="Q3658" s="2">
        <v>27.03</v>
      </c>
      <c r="R3658" t="s">
        <v>75</v>
      </c>
      <c r="S3658">
        <v>1</v>
      </c>
      <c r="T3658">
        <v>0</v>
      </c>
      <c r="U3658">
        <f>IF(AND(OR(Dashboard!$D$4="Semua",D3658=Dashboard!$D$4),OR(Dashboard!$H$4="Semua",E3658=Dashboard!$H$4)),1,0)</f>
        <v>1</v>
      </c>
      <c r="V3658">
        <f>IF(U3658=1,IF(COUNTIFS($C$2:C3658,C3658,$U$2:U3658,1)=1,1,0),0)</f>
        <v>0</v>
      </c>
    </row>
    <row r="3659" spans="1:22" x14ac:dyDescent="0.35">
      <c r="A3659">
        <v>13658</v>
      </c>
      <c r="B3659" s="1">
        <v>48219</v>
      </c>
      <c r="C3659">
        <v>1695</v>
      </c>
      <c r="D3659" t="s">
        <v>73</v>
      </c>
      <c r="E3659" t="s">
        <v>74</v>
      </c>
      <c r="F3659">
        <v>1</v>
      </c>
      <c r="G3659" s="2">
        <v>76.8</v>
      </c>
      <c r="H3659">
        <v>0.34</v>
      </c>
      <c r="I3659" t="s">
        <v>64</v>
      </c>
      <c r="J3659">
        <v>9</v>
      </c>
      <c r="K3659">
        <v>1.7</v>
      </c>
      <c r="L3659" s="2">
        <v>50.69</v>
      </c>
      <c r="M3659">
        <v>2032</v>
      </c>
      <c r="N3659">
        <v>1</v>
      </c>
      <c r="O3659" t="s">
        <v>200</v>
      </c>
      <c r="P3659" s="2">
        <v>76.8</v>
      </c>
      <c r="Q3659" s="2">
        <v>26.11</v>
      </c>
      <c r="R3659" t="s">
        <v>72</v>
      </c>
      <c r="S3659">
        <v>1</v>
      </c>
      <c r="T3659">
        <v>0</v>
      </c>
      <c r="U3659">
        <f>IF(AND(OR(Dashboard!$D$4="Semua",D3659=Dashboard!$D$4),OR(Dashboard!$H$4="Semua",E3659=Dashboard!$H$4)),1,0)</f>
        <v>1</v>
      </c>
      <c r="V3659">
        <f>IF(U3659=1,IF(COUNTIFS($C$2:C3659,C3659,$U$2:U3659,1)=1,1,0),0)</f>
        <v>0</v>
      </c>
    </row>
    <row r="3660" spans="1:22" x14ac:dyDescent="0.35">
      <c r="A3660">
        <v>13659</v>
      </c>
      <c r="B3660" s="1">
        <v>48220</v>
      </c>
      <c r="C3660">
        <v>1514</v>
      </c>
      <c r="D3660" t="s">
        <v>62</v>
      </c>
      <c r="E3660" t="s">
        <v>74</v>
      </c>
      <c r="F3660">
        <v>4</v>
      </c>
      <c r="G3660" s="2">
        <v>589.33000000000004</v>
      </c>
      <c r="H3660">
        <v>0.21</v>
      </c>
      <c r="I3660" t="s">
        <v>68</v>
      </c>
      <c r="J3660">
        <v>8</v>
      </c>
      <c r="K3660">
        <v>4.7</v>
      </c>
      <c r="L3660" s="2">
        <v>1862.28</v>
      </c>
      <c r="M3660">
        <v>2032</v>
      </c>
      <c r="N3660">
        <v>1</v>
      </c>
      <c r="O3660" t="s">
        <v>200</v>
      </c>
      <c r="P3660" s="2">
        <v>2357.3200000000002</v>
      </c>
      <c r="Q3660" s="2">
        <v>495.04</v>
      </c>
      <c r="R3660" t="s">
        <v>77</v>
      </c>
      <c r="S3660">
        <v>1</v>
      </c>
      <c r="T3660">
        <v>0</v>
      </c>
      <c r="U3660">
        <f>IF(AND(OR(Dashboard!$D$4="Semua",D3660=Dashboard!$D$4),OR(Dashboard!$H$4="Semua",E3660=Dashboard!$H$4)),1,0)</f>
        <v>1</v>
      </c>
      <c r="V3660">
        <f>IF(U3660=1,IF(COUNTIFS($C$2:C3660,C3660,$U$2:U3660,1)=1,1,0),0)</f>
        <v>0</v>
      </c>
    </row>
    <row r="3661" spans="1:22" x14ac:dyDescent="0.35">
      <c r="A3661">
        <v>13660</v>
      </c>
      <c r="B3661" s="1">
        <v>48221</v>
      </c>
      <c r="C3661">
        <v>1702</v>
      </c>
      <c r="D3661" t="s">
        <v>80</v>
      </c>
      <c r="E3661" t="s">
        <v>70</v>
      </c>
      <c r="F3661">
        <v>7</v>
      </c>
      <c r="G3661" s="2">
        <v>442.61</v>
      </c>
      <c r="H3661">
        <v>0.16</v>
      </c>
      <c r="I3661" t="s">
        <v>64</v>
      </c>
      <c r="J3661">
        <v>2</v>
      </c>
      <c r="K3661">
        <v>3.3</v>
      </c>
      <c r="L3661" s="2">
        <v>2602.5500000000002</v>
      </c>
      <c r="M3661">
        <v>2032</v>
      </c>
      <c r="N3661">
        <v>1</v>
      </c>
      <c r="O3661" t="s">
        <v>200</v>
      </c>
      <c r="P3661" s="2">
        <v>3098.27</v>
      </c>
      <c r="Q3661" s="2">
        <v>495.72</v>
      </c>
      <c r="R3661" t="s">
        <v>76</v>
      </c>
      <c r="S3661">
        <v>1</v>
      </c>
      <c r="T3661">
        <v>0</v>
      </c>
      <c r="U3661">
        <f>IF(AND(OR(Dashboard!$D$4="Semua",D3661=Dashboard!$D$4),OR(Dashboard!$H$4="Semua",E3661=Dashboard!$H$4)),1,0)</f>
        <v>1</v>
      </c>
      <c r="V3661">
        <f>IF(U3661=1,IF(COUNTIFS($C$2:C3661,C3661,$U$2:U3661,1)=1,1,0),0)</f>
        <v>0</v>
      </c>
    </row>
    <row r="3662" spans="1:22" x14ac:dyDescent="0.35">
      <c r="A3662">
        <v>13661</v>
      </c>
      <c r="B3662" s="1">
        <v>48222</v>
      </c>
      <c r="C3662">
        <v>1629</v>
      </c>
      <c r="D3662" t="s">
        <v>67</v>
      </c>
      <c r="E3662" t="s">
        <v>74</v>
      </c>
      <c r="F3662">
        <v>2</v>
      </c>
      <c r="G3662" s="2">
        <v>512.55999999999995</v>
      </c>
      <c r="H3662">
        <v>0.15</v>
      </c>
      <c r="I3662" t="s">
        <v>68</v>
      </c>
      <c r="J3662">
        <v>3</v>
      </c>
      <c r="K3662">
        <v>3.5</v>
      </c>
      <c r="L3662" s="2">
        <v>871.35</v>
      </c>
      <c r="M3662">
        <v>2032</v>
      </c>
      <c r="N3662">
        <v>1</v>
      </c>
      <c r="O3662" t="s">
        <v>200</v>
      </c>
      <c r="P3662" s="2">
        <v>1025.1199999999999</v>
      </c>
      <c r="Q3662" s="2">
        <v>153.77000000000001</v>
      </c>
      <c r="R3662" t="s">
        <v>79</v>
      </c>
      <c r="S3662">
        <v>1</v>
      </c>
      <c r="T3662">
        <v>0</v>
      </c>
      <c r="U3662">
        <f>IF(AND(OR(Dashboard!$D$4="Semua",D3662=Dashboard!$D$4),OR(Dashboard!$H$4="Semua",E3662=Dashboard!$H$4)),1,0)</f>
        <v>1</v>
      </c>
      <c r="V3662">
        <f>IF(U3662=1,IF(COUNTIFS($C$2:C3662,C3662,$U$2:U3662,1)=1,1,0),0)</f>
        <v>0</v>
      </c>
    </row>
    <row r="3663" spans="1:22" x14ac:dyDescent="0.35">
      <c r="A3663">
        <v>13662</v>
      </c>
      <c r="B3663" s="1">
        <v>48223</v>
      </c>
      <c r="C3663">
        <v>1018</v>
      </c>
      <c r="D3663" t="s">
        <v>67</v>
      </c>
      <c r="E3663" t="s">
        <v>70</v>
      </c>
      <c r="F3663">
        <v>7</v>
      </c>
      <c r="G3663" s="2">
        <v>43.17</v>
      </c>
      <c r="H3663">
        <v>0.2</v>
      </c>
      <c r="I3663" t="s">
        <v>71</v>
      </c>
      <c r="J3663">
        <v>2</v>
      </c>
      <c r="K3663">
        <v>2.7</v>
      </c>
      <c r="L3663" s="2">
        <v>241.75</v>
      </c>
      <c r="M3663">
        <v>2032</v>
      </c>
      <c r="N3663">
        <v>1</v>
      </c>
      <c r="O3663" t="s">
        <v>200</v>
      </c>
      <c r="P3663" s="2">
        <v>302.19</v>
      </c>
      <c r="Q3663" s="2">
        <v>60.44</v>
      </c>
      <c r="R3663" t="s">
        <v>76</v>
      </c>
      <c r="S3663">
        <v>1</v>
      </c>
      <c r="T3663">
        <v>0</v>
      </c>
      <c r="U3663">
        <f>IF(AND(OR(Dashboard!$D$4="Semua",D3663=Dashboard!$D$4),OR(Dashboard!$H$4="Semua",E3663=Dashboard!$H$4)),1,0)</f>
        <v>1</v>
      </c>
      <c r="V3663">
        <f>IF(U3663=1,IF(COUNTIFS($C$2:C3663,C3663,$U$2:U3663,1)=1,1,0),0)</f>
        <v>0</v>
      </c>
    </row>
    <row r="3664" spans="1:22" x14ac:dyDescent="0.35">
      <c r="A3664">
        <v>13663</v>
      </c>
      <c r="B3664" s="1">
        <v>48224</v>
      </c>
      <c r="C3664">
        <v>1022</v>
      </c>
      <c r="D3664" t="s">
        <v>62</v>
      </c>
      <c r="E3664" t="s">
        <v>63</v>
      </c>
      <c r="F3664">
        <v>7</v>
      </c>
      <c r="G3664" s="2">
        <v>310.39999999999998</v>
      </c>
      <c r="H3664">
        <v>0.03</v>
      </c>
      <c r="I3664" t="s">
        <v>71</v>
      </c>
      <c r="J3664">
        <v>10</v>
      </c>
      <c r="K3664">
        <v>4.3</v>
      </c>
      <c r="L3664" s="2">
        <v>2107.62</v>
      </c>
      <c r="M3664">
        <v>2032</v>
      </c>
      <c r="N3664">
        <v>1</v>
      </c>
      <c r="O3664" t="s">
        <v>200</v>
      </c>
      <c r="P3664" s="2">
        <v>2172.8000000000002</v>
      </c>
      <c r="Q3664" s="2">
        <v>65.180000000000007</v>
      </c>
      <c r="R3664" t="s">
        <v>75</v>
      </c>
      <c r="S3664">
        <v>1</v>
      </c>
      <c r="T3664">
        <v>0</v>
      </c>
      <c r="U3664">
        <f>IF(AND(OR(Dashboard!$D$4="Semua",D3664=Dashboard!$D$4),OR(Dashboard!$H$4="Semua",E3664=Dashboard!$H$4)),1,0)</f>
        <v>1</v>
      </c>
      <c r="V3664">
        <f>IF(U3664=1,IF(COUNTIFS($C$2:C3664,C3664,$U$2:U3664,1)=1,1,0),0)</f>
        <v>0</v>
      </c>
    </row>
    <row r="3665" spans="1:22" x14ac:dyDescent="0.35">
      <c r="A3665">
        <v>13664</v>
      </c>
      <c r="B3665" s="1">
        <v>48225</v>
      </c>
      <c r="C3665">
        <v>1412</v>
      </c>
      <c r="D3665" t="s">
        <v>67</v>
      </c>
      <c r="E3665" t="s">
        <v>70</v>
      </c>
      <c r="F3665">
        <v>2</v>
      </c>
      <c r="G3665" s="2">
        <v>423.68</v>
      </c>
      <c r="H3665">
        <v>0.33</v>
      </c>
      <c r="I3665" t="s">
        <v>71</v>
      </c>
      <c r="J3665">
        <v>7</v>
      </c>
      <c r="K3665">
        <v>3.1</v>
      </c>
      <c r="L3665" s="2">
        <v>567.73</v>
      </c>
      <c r="M3665">
        <v>2032</v>
      </c>
      <c r="N3665">
        <v>1</v>
      </c>
      <c r="O3665" t="s">
        <v>200</v>
      </c>
      <c r="P3665" s="2">
        <v>847.36</v>
      </c>
      <c r="Q3665" s="2">
        <v>279.63</v>
      </c>
      <c r="R3665" t="s">
        <v>72</v>
      </c>
      <c r="S3665">
        <v>1</v>
      </c>
      <c r="T3665">
        <v>0</v>
      </c>
      <c r="U3665">
        <f>IF(AND(OR(Dashboard!$D$4="Semua",D3665=Dashboard!$D$4),OR(Dashboard!$H$4="Semua",E3665=Dashboard!$H$4)),1,0)</f>
        <v>1</v>
      </c>
      <c r="V3665">
        <f>IF(U3665=1,IF(COUNTIFS($C$2:C3665,C3665,$U$2:U3665,1)=1,1,0),0)</f>
        <v>0</v>
      </c>
    </row>
    <row r="3666" spans="1:22" x14ac:dyDescent="0.35">
      <c r="A3666">
        <v>13665</v>
      </c>
      <c r="B3666" s="1">
        <v>48226</v>
      </c>
      <c r="C3666">
        <v>1029</v>
      </c>
      <c r="D3666" t="s">
        <v>73</v>
      </c>
      <c r="E3666" t="s">
        <v>70</v>
      </c>
      <c r="F3666">
        <v>6</v>
      </c>
      <c r="G3666" s="2">
        <v>332.62</v>
      </c>
      <c r="H3666">
        <v>0.22</v>
      </c>
      <c r="I3666" t="s">
        <v>68</v>
      </c>
      <c r="J3666">
        <v>9</v>
      </c>
      <c r="K3666">
        <v>4.3</v>
      </c>
      <c r="L3666" s="2">
        <v>1556.66</v>
      </c>
      <c r="M3666">
        <v>2032</v>
      </c>
      <c r="N3666">
        <v>1</v>
      </c>
      <c r="O3666" t="s">
        <v>200</v>
      </c>
      <c r="P3666" s="2">
        <v>1995.72</v>
      </c>
      <c r="Q3666" s="2">
        <v>439.06</v>
      </c>
      <c r="R3666" t="s">
        <v>77</v>
      </c>
      <c r="S3666">
        <v>1</v>
      </c>
      <c r="T3666">
        <v>0</v>
      </c>
      <c r="U3666">
        <f>IF(AND(OR(Dashboard!$D$4="Semua",D3666=Dashboard!$D$4),OR(Dashboard!$H$4="Semua",E3666=Dashboard!$H$4)),1,0)</f>
        <v>1</v>
      </c>
      <c r="V3666">
        <f>IF(U3666=1,IF(COUNTIFS($C$2:C3666,C3666,$U$2:U3666,1)=1,1,0),0)</f>
        <v>1</v>
      </c>
    </row>
    <row r="3667" spans="1:22" x14ac:dyDescent="0.35">
      <c r="A3667">
        <v>13666</v>
      </c>
      <c r="B3667" s="1">
        <v>48227</v>
      </c>
      <c r="C3667">
        <v>1806</v>
      </c>
      <c r="D3667" t="s">
        <v>67</v>
      </c>
      <c r="E3667" t="s">
        <v>70</v>
      </c>
      <c r="F3667">
        <v>2</v>
      </c>
      <c r="G3667" s="2">
        <v>404.99</v>
      </c>
      <c r="H3667">
        <v>0.06</v>
      </c>
      <c r="I3667" t="s">
        <v>68</v>
      </c>
      <c r="J3667">
        <v>1</v>
      </c>
      <c r="K3667">
        <v>5</v>
      </c>
      <c r="L3667" s="2">
        <v>761.38</v>
      </c>
      <c r="M3667">
        <v>2032</v>
      </c>
      <c r="N3667">
        <v>1</v>
      </c>
      <c r="O3667" t="s">
        <v>200</v>
      </c>
      <c r="P3667" s="2">
        <v>809.98</v>
      </c>
      <c r="Q3667" s="2">
        <v>48.6</v>
      </c>
      <c r="R3667" t="s">
        <v>69</v>
      </c>
      <c r="S3667">
        <v>1</v>
      </c>
      <c r="T3667">
        <v>0</v>
      </c>
      <c r="U3667">
        <f>IF(AND(OR(Dashboard!$D$4="Semua",D3667=Dashboard!$D$4),OR(Dashboard!$H$4="Semua",E3667=Dashboard!$H$4)),1,0)</f>
        <v>1</v>
      </c>
      <c r="V3667">
        <f>IF(U3667=1,IF(COUNTIFS($C$2:C3667,C3667,$U$2:U3667,1)=1,1,0),0)</f>
        <v>0</v>
      </c>
    </row>
    <row r="3668" spans="1:22" x14ac:dyDescent="0.35">
      <c r="A3668">
        <v>13667</v>
      </c>
      <c r="B3668" s="1">
        <v>48228</v>
      </c>
      <c r="C3668">
        <v>1107</v>
      </c>
      <c r="D3668" t="s">
        <v>80</v>
      </c>
      <c r="E3668" t="s">
        <v>74</v>
      </c>
      <c r="F3668">
        <v>2</v>
      </c>
      <c r="G3668" s="2">
        <v>493.46</v>
      </c>
      <c r="H3668">
        <v>0.2</v>
      </c>
      <c r="I3668" t="s">
        <v>68</v>
      </c>
      <c r="J3668">
        <v>11</v>
      </c>
      <c r="K3668">
        <v>3.6</v>
      </c>
      <c r="L3668" s="2">
        <v>789.54</v>
      </c>
      <c r="M3668">
        <v>2032</v>
      </c>
      <c r="N3668">
        <v>1</v>
      </c>
      <c r="O3668" t="s">
        <v>200</v>
      </c>
      <c r="P3668" s="2">
        <v>986.92</v>
      </c>
      <c r="Q3668" s="2">
        <v>197.38</v>
      </c>
      <c r="R3668" t="s">
        <v>76</v>
      </c>
      <c r="S3668">
        <v>1</v>
      </c>
      <c r="T3668">
        <v>0</v>
      </c>
      <c r="U3668">
        <f>IF(AND(OR(Dashboard!$D$4="Semua",D3668=Dashboard!$D$4),OR(Dashboard!$H$4="Semua",E3668=Dashboard!$H$4)),1,0)</f>
        <v>1</v>
      </c>
      <c r="V3668">
        <f>IF(U3668=1,IF(COUNTIFS($C$2:C3668,C3668,$U$2:U3668,1)=1,1,0),0)</f>
        <v>0</v>
      </c>
    </row>
    <row r="3669" spans="1:22" x14ac:dyDescent="0.35">
      <c r="A3669">
        <v>13668</v>
      </c>
      <c r="B3669" s="1">
        <v>48229</v>
      </c>
      <c r="C3669">
        <v>1366</v>
      </c>
      <c r="D3669" t="s">
        <v>67</v>
      </c>
      <c r="E3669" t="s">
        <v>70</v>
      </c>
      <c r="F3669">
        <v>6</v>
      </c>
      <c r="G3669" s="2">
        <v>233.99</v>
      </c>
      <c r="H3669">
        <v>0.05</v>
      </c>
      <c r="I3669" t="s">
        <v>64</v>
      </c>
      <c r="J3669">
        <v>3</v>
      </c>
      <c r="K3669">
        <v>3.1</v>
      </c>
      <c r="L3669" s="2">
        <v>1333.74</v>
      </c>
      <c r="M3669">
        <v>2032</v>
      </c>
      <c r="N3669">
        <v>1</v>
      </c>
      <c r="O3669" t="s">
        <v>200</v>
      </c>
      <c r="P3669" s="2">
        <v>1403.94</v>
      </c>
      <c r="Q3669" s="2">
        <v>70.2</v>
      </c>
      <c r="R3669" t="s">
        <v>75</v>
      </c>
      <c r="S3669">
        <v>1</v>
      </c>
      <c r="T3669">
        <v>0</v>
      </c>
      <c r="U3669">
        <f>IF(AND(OR(Dashboard!$D$4="Semua",D3669=Dashboard!$D$4),OR(Dashboard!$H$4="Semua",E3669=Dashboard!$H$4)),1,0)</f>
        <v>1</v>
      </c>
      <c r="V3669">
        <f>IF(U3669=1,IF(COUNTIFS($C$2:C3669,C3669,$U$2:U3669,1)=1,1,0),0)</f>
        <v>0</v>
      </c>
    </row>
    <row r="3670" spans="1:22" x14ac:dyDescent="0.35">
      <c r="A3670">
        <v>13669</v>
      </c>
      <c r="B3670" s="1">
        <v>48230</v>
      </c>
      <c r="C3670">
        <v>1280</v>
      </c>
      <c r="D3670" t="s">
        <v>80</v>
      </c>
      <c r="E3670" t="s">
        <v>78</v>
      </c>
      <c r="F3670">
        <v>2</v>
      </c>
      <c r="G3670" s="2">
        <v>511.47</v>
      </c>
      <c r="H3670">
        <v>0.01</v>
      </c>
      <c r="I3670" t="s">
        <v>68</v>
      </c>
      <c r="J3670">
        <v>6</v>
      </c>
      <c r="K3670">
        <v>2.5</v>
      </c>
      <c r="L3670" s="2">
        <v>1012.71</v>
      </c>
      <c r="M3670">
        <v>2032</v>
      </c>
      <c r="N3670">
        <v>1</v>
      </c>
      <c r="O3670" t="s">
        <v>200</v>
      </c>
      <c r="P3670" s="2">
        <v>1022.94</v>
      </c>
      <c r="Q3670" s="2">
        <v>10.23</v>
      </c>
      <c r="R3670" t="s">
        <v>75</v>
      </c>
      <c r="S3670">
        <v>1</v>
      </c>
      <c r="T3670">
        <v>0</v>
      </c>
      <c r="U3670">
        <f>IF(AND(OR(Dashboard!$D$4="Semua",D3670=Dashboard!$D$4),OR(Dashboard!$H$4="Semua",E3670=Dashboard!$H$4)),1,0)</f>
        <v>1</v>
      </c>
      <c r="V3670">
        <f>IF(U3670=1,IF(COUNTIFS($C$2:C3670,C3670,$U$2:U3670,1)=1,1,0),0)</f>
        <v>0</v>
      </c>
    </row>
    <row r="3671" spans="1:22" x14ac:dyDescent="0.35">
      <c r="A3671">
        <v>13670</v>
      </c>
      <c r="B3671" s="1">
        <v>48231</v>
      </c>
      <c r="C3671">
        <v>1127</v>
      </c>
      <c r="D3671" t="s">
        <v>62</v>
      </c>
      <c r="E3671" t="s">
        <v>70</v>
      </c>
      <c r="F3671">
        <v>1</v>
      </c>
      <c r="G3671" s="2">
        <v>110.31</v>
      </c>
      <c r="H3671">
        <v>0.22</v>
      </c>
      <c r="I3671" t="s">
        <v>71</v>
      </c>
      <c r="J3671">
        <v>4</v>
      </c>
      <c r="K3671">
        <v>1.8</v>
      </c>
      <c r="L3671" s="2">
        <v>86.04</v>
      </c>
      <c r="M3671">
        <v>2032</v>
      </c>
      <c r="N3671">
        <v>1</v>
      </c>
      <c r="O3671" t="s">
        <v>200</v>
      </c>
      <c r="P3671" s="2">
        <v>110.31</v>
      </c>
      <c r="Q3671" s="2">
        <v>24.27</v>
      </c>
      <c r="R3671" t="s">
        <v>77</v>
      </c>
      <c r="S3671">
        <v>1</v>
      </c>
      <c r="T3671">
        <v>0</v>
      </c>
      <c r="U3671">
        <f>IF(AND(OR(Dashboard!$D$4="Semua",D3671=Dashboard!$D$4),OR(Dashboard!$H$4="Semua",E3671=Dashboard!$H$4)),1,0)</f>
        <v>1</v>
      </c>
      <c r="V3671">
        <f>IF(U3671=1,IF(COUNTIFS($C$2:C3671,C3671,$U$2:U3671,1)=1,1,0),0)</f>
        <v>0</v>
      </c>
    </row>
    <row r="3672" spans="1:22" x14ac:dyDescent="0.35">
      <c r="A3672">
        <v>13671</v>
      </c>
      <c r="B3672" s="1">
        <v>48232</v>
      </c>
      <c r="C3672">
        <v>1228</v>
      </c>
      <c r="D3672" t="s">
        <v>62</v>
      </c>
      <c r="E3672" t="s">
        <v>63</v>
      </c>
      <c r="F3672">
        <v>7</v>
      </c>
      <c r="G3672" s="2">
        <v>173.47</v>
      </c>
      <c r="H3672">
        <v>0.23</v>
      </c>
      <c r="I3672" t="s">
        <v>64</v>
      </c>
      <c r="J3672">
        <v>10</v>
      </c>
      <c r="K3672">
        <v>3.6</v>
      </c>
      <c r="L3672" s="2">
        <v>935</v>
      </c>
      <c r="M3672">
        <v>2032</v>
      </c>
      <c r="N3672">
        <v>1</v>
      </c>
      <c r="O3672" t="s">
        <v>200</v>
      </c>
      <c r="P3672" s="2">
        <v>1214.29</v>
      </c>
      <c r="Q3672" s="2">
        <v>279.29000000000002</v>
      </c>
      <c r="R3672" t="s">
        <v>77</v>
      </c>
      <c r="S3672">
        <v>1</v>
      </c>
      <c r="T3672">
        <v>0</v>
      </c>
      <c r="U3672">
        <f>IF(AND(OR(Dashboard!$D$4="Semua",D3672=Dashboard!$D$4),OR(Dashboard!$H$4="Semua",E3672=Dashboard!$H$4)),1,0)</f>
        <v>1</v>
      </c>
      <c r="V3672">
        <f>IF(U3672=1,IF(COUNTIFS($C$2:C3672,C3672,$U$2:U3672,1)=1,1,0),0)</f>
        <v>0</v>
      </c>
    </row>
    <row r="3673" spans="1:22" x14ac:dyDescent="0.35">
      <c r="A3673">
        <v>13672</v>
      </c>
      <c r="B3673" s="1">
        <v>48233</v>
      </c>
      <c r="C3673">
        <v>1110</v>
      </c>
      <c r="D3673" t="s">
        <v>62</v>
      </c>
      <c r="E3673" t="s">
        <v>78</v>
      </c>
      <c r="F3673">
        <v>3</v>
      </c>
      <c r="G3673" s="2">
        <v>40.36</v>
      </c>
      <c r="H3673">
        <v>0.2</v>
      </c>
      <c r="I3673" t="s">
        <v>64</v>
      </c>
      <c r="J3673">
        <v>10</v>
      </c>
      <c r="K3673">
        <v>1.3</v>
      </c>
      <c r="L3673" s="2">
        <v>96.86</v>
      </c>
      <c r="M3673">
        <v>2032</v>
      </c>
      <c r="N3673">
        <v>1</v>
      </c>
      <c r="O3673" t="s">
        <v>200</v>
      </c>
      <c r="P3673" s="2">
        <v>121.08</v>
      </c>
      <c r="Q3673" s="2">
        <v>24.22</v>
      </c>
      <c r="R3673" t="s">
        <v>76</v>
      </c>
      <c r="S3673">
        <v>1</v>
      </c>
      <c r="T3673">
        <v>0</v>
      </c>
      <c r="U3673">
        <f>IF(AND(OR(Dashboard!$D$4="Semua",D3673=Dashboard!$D$4),OR(Dashboard!$H$4="Semua",E3673=Dashboard!$H$4)),1,0)</f>
        <v>1</v>
      </c>
      <c r="V3673">
        <f>IF(U3673=1,IF(COUNTIFS($C$2:C3673,C3673,$U$2:U3673,1)=1,1,0),0)</f>
        <v>0</v>
      </c>
    </row>
    <row r="3674" spans="1:22" x14ac:dyDescent="0.35">
      <c r="A3674">
        <v>13673</v>
      </c>
      <c r="B3674" s="1">
        <v>48234</v>
      </c>
      <c r="C3674">
        <v>1135</v>
      </c>
      <c r="D3674" t="s">
        <v>73</v>
      </c>
      <c r="E3674" t="s">
        <v>63</v>
      </c>
      <c r="F3674">
        <v>6</v>
      </c>
      <c r="G3674" s="2">
        <v>228.19</v>
      </c>
      <c r="H3674">
        <v>0.06</v>
      </c>
      <c r="I3674" t="s">
        <v>68</v>
      </c>
      <c r="J3674">
        <v>1</v>
      </c>
      <c r="K3674">
        <v>4.8</v>
      </c>
      <c r="L3674" s="2">
        <v>1286.99</v>
      </c>
      <c r="M3674">
        <v>2032</v>
      </c>
      <c r="N3674">
        <v>1</v>
      </c>
      <c r="O3674" t="s">
        <v>200</v>
      </c>
      <c r="P3674" s="2">
        <v>1369.14</v>
      </c>
      <c r="Q3674" s="2">
        <v>82.15</v>
      </c>
      <c r="R3674" t="s">
        <v>69</v>
      </c>
      <c r="S3674">
        <v>1</v>
      </c>
      <c r="T3674">
        <v>0</v>
      </c>
      <c r="U3674">
        <f>IF(AND(OR(Dashboard!$D$4="Semua",D3674=Dashboard!$D$4),OR(Dashboard!$H$4="Semua",E3674=Dashboard!$H$4)),1,0)</f>
        <v>1</v>
      </c>
      <c r="V3674">
        <f>IF(U3674=1,IF(COUNTIFS($C$2:C3674,C3674,$U$2:U3674,1)=1,1,0),0)</f>
        <v>1</v>
      </c>
    </row>
    <row r="3675" spans="1:22" x14ac:dyDescent="0.35">
      <c r="A3675">
        <v>13674</v>
      </c>
      <c r="B3675" s="1">
        <v>48235</v>
      </c>
      <c r="C3675">
        <v>1361</v>
      </c>
      <c r="D3675" t="s">
        <v>67</v>
      </c>
      <c r="E3675" t="s">
        <v>63</v>
      </c>
      <c r="F3675">
        <v>4</v>
      </c>
      <c r="G3675" s="2">
        <v>237.25</v>
      </c>
      <c r="H3675">
        <v>0.21</v>
      </c>
      <c r="I3675" t="s">
        <v>64</v>
      </c>
      <c r="J3675">
        <v>9</v>
      </c>
      <c r="K3675">
        <v>3.6</v>
      </c>
      <c r="L3675" s="2">
        <v>749.71</v>
      </c>
      <c r="M3675">
        <v>2032</v>
      </c>
      <c r="N3675">
        <v>1</v>
      </c>
      <c r="O3675" t="s">
        <v>200</v>
      </c>
      <c r="P3675" s="2">
        <v>949</v>
      </c>
      <c r="Q3675" s="2">
        <v>199.29</v>
      </c>
      <c r="R3675" t="s">
        <v>77</v>
      </c>
      <c r="S3675">
        <v>1</v>
      </c>
      <c r="T3675">
        <v>0</v>
      </c>
      <c r="U3675">
        <f>IF(AND(OR(Dashboard!$D$4="Semua",D3675=Dashboard!$D$4),OR(Dashboard!$H$4="Semua",E3675=Dashboard!$H$4)),1,0)</f>
        <v>1</v>
      </c>
      <c r="V3675">
        <f>IF(U3675=1,IF(COUNTIFS($C$2:C3675,C3675,$U$2:U3675,1)=1,1,0),0)</f>
        <v>0</v>
      </c>
    </row>
    <row r="3676" spans="1:22" x14ac:dyDescent="0.35">
      <c r="A3676">
        <v>13675</v>
      </c>
      <c r="B3676" s="1">
        <v>48236</v>
      </c>
      <c r="C3676">
        <v>1185</v>
      </c>
      <c r="D3676" t="s">
        <v>80</v>
      </c>
      <c r="E3676" t="s">
        <v>63</v>
      </c>
      <c r="F3676">
        <v>6</v>
      </c>
      <c r="G3676" s="2">
        <v>486.08</v>
      </c>
      <c r="H3676">
        <v>0.02</v>
      </c>
      <c r="I3676" t="s">
        <v>68</v>
      </c>
      <c r="J3676">
        <v>7</v>
      </c>
      <c r="K3676">
        <v>4.8</v>
      </c>
      <c r="L3676" s="2">
        <v>2858.15</v>
      </c>
      <c r="M3676">
        <v>2032</v>
      </c>
      <c r="N3676">
        <v>1</v>
      </c>
      <c r="O3676" t="s">
        <v>200</v>
      </c>
      <c r="P3676" s="2">
        <v>2916.48</v>
      </c>
      <c r="Q3676" s="2">
        <v>58.33</v>
      </c>
      <c r="R3676" t="s">
        <v>75</v>
      </c>
      <c r="S3676">
        <v>1</v>
      </c>
      <c r="T3676">
        <v>0</v>
      </c>
      <c r="U3676">
        <f>IF(AND(OR(Dashboard!$D$4="Semua",D3676=Dashboard!$D$4),OR(Dashboard!$H$4="Semua",E3676=Dashboard!$H$4)),1,0)</f>
        <v>1</v>
      </c>
      <c r="V3676">
        <f>IF(U3676=1,IF(COUNTIFS($C$2:C3676,C3676,$U$2:U3676,1)=1,1,0),0)</f>
        <v>0</v>
      </c>
    </row>
    <row r="3677" spans="1:22" x14ac:dyDescent="0.35">
      <c r="A3677">
        <v>13676</v>
      </c>
      <c r="B3677" s="1">
        <v>48237</v>
      </c>
      <c r="C3677">
        <v>1655</v>
      </c>
      <c r="D3677" t="s">
        <v>80</v>
      </c>
      <c r="E3677" t="s">
        <v>78</v>
      </c>
      <c r="F3677">
        <v>5</v>
      </c>
      <c r="G3677" s="2">
        <v>397.08</v>
      </c>
      <c r="H3677">
        <v>0.21</v>
      </c>
      <c r="I3677" t="s">
        <v>71</v>
      </c>
      <c r="J3677">
        <v>11</v>
      </c>
      <c r="K3677">
        <v>2.1</v>
      </c>
      <c r="L3677" s="2">
        <v>1568.47</v>
      </c>
      <c r="M3677">
        <v>2032</v>
      </c>
      <c r="N3677">
        <v>1</v>
      </c>
      <c r="O3677" t="s">
        <v>200</v>
      </c>
      <c r="P3677" s="2">
        <v>1985.4</v>
      </c>
      <c r="Q3677" s="2">
        <v>416.93</v>
      </c>
      <c r="R3677" t="s">
        <v>77</v>
      </c>
      <c r="S3677">
        <v>1</v>
      </c>
      <c r="T3677">
        <v>0</v>
      </c>
      <c r="U3677">
        <f>IF(AND(OR(Dashboard!$D$4="Semua",D3677=Dashboard!$D$4),OR(Dashboard!$H$4="Semua",E3677=Dashboard!$H$4)),1,0)</f>
        <v>1</v>
      </c>
      <c r="V3677">
        <f>IF(U3677=1,IF(COUNTIFS($C$2:C3677,C3677,$U$2:U3677,1)=1,1,0),0)</f>
        <v>0</v>
      </c>
    </row>
    <row r="3678" spans="1:22" x14ac:dyDescent="0.35">
      <c r="A3678">
        <v>13677</v>
      </c>
      <c r="B3678" s="1">
        <v>48238</v>
      </c>
      <c r="C3678">
        <v>1583</v>
      </c>
      <c r="D3678" t="s">
        <v>67</v>
      </c>
      <c r="E3678" t="s">
        <v>78</v>
      </c>
      <c r="F3678">
        <v>4</v>
      </c>
      <c r="G3678" s="2">
        <v>270.48</v>
      </c>
      <c r="H3678">
        <v>0.19</v>
      </c>
      <c r="I3678" t="s">
        <v>71</v>
      </c>
      <c r="J3678">
        <v>7</v>
      </c>
      <c r="K3678">
        <v>4.8</v>
      </c>
      <c r="L3678" s="2">
        <v>876.36</v>
      </c>
      <c r="M3678">
        <v>2032</v>
      </c>
      <c r="N3678">
        <v>1</v>
      </c>
      <c r="O3678" t="s">
        <v>200</v>
      </c>
      <c r="P3678" s="2">
        <v>1081.92</v>
      </c>
      <c r="Q3678" s="2">
        <v>205.56</v>
      </c>
      <c r="R3678" t="s">
        <v>76</v>
      </c>
      <c r="S3678">
        <v>1</v>
      </c>
      <c r="T3678">
        <v>0</v>
      </c>
      <c r="U3678">
        <f>IF(AND(OR(Dashboard!$D$4="Semua",D3678=Dashboard!$D$4),OR(Dashboard!$H$4="Semua",E3678=Dashboard!$H$4)),1,0)</f>
        <v>1</v>
      </c>
      <c r="V3678">
        <f>IF(U3678=1,IF(COUNTIFS($C$2:C3678,C3678,$U$2:U3678,1)=1,1,0),0)</f>
        <v>0</v>
      </c>
    </row>
    <row r="3679" spans="1:22" x14ac:dyDescent="0.35">
      <c r="A3679">
        <v>13678</v>
      </c>
      <c r="B3679" s="1">
        <v>48239</v>
      </c>
      <c r="C3679">
        <v>1128</v>
      </c>
      <c r="D3679" t="s">
        <v>73</v>
      </c>
      <c r="E3679" t="s">
        <v>74</v>
      </c>
      <c r="F3679">
        <v>5</v>
      </c>
      <c r="G3679" s="2">
        <v>396.49</v>
      </c>
      <c r="H3679">
        <v>0.23</v>
      </c>
      <c r="I3679" t="s">
        <v>68</v>
      </c>
      <c r="J3679">
        <v>1</v>
      </c>
      <c r="K3679">
        <v>3.4</v>
      </c>
      <c r="L3679" s="2">
        <v>1526.49</v>
      </c>
      <c r="M3679">
        <v>2032</v>
      </c>
      <c r="N3679">
        <v>1</v>
      </c>
      <c r="O3679" t="s">
        <v>200</v>
      </c>
      <c r="P3679" s="2">
        <v>1982.45</v>
      </c>
      <c r="Q3679" s="2">
        <v>455.96</v>
      </c>
      <c r="R3679" t="s">
        <v>77</v>
      </c>
      <c r="S3679">
        <v>1</v>
      </c>
      <c r="T3679">
        <v>0</v>
      </c>
      <c r="U3679">
        <f>IF(AND(OR(Dashboard!$D$4="Semua",D3679=Dashboard!$D$4),OR(Dashboard!$H$4="Semua",E3679=Dashboard!$H$4)),1,0)</f>
        <v>1</v>
      </c>
      <c r="V3679">
        <f>IF(U3679=1,IF(COUNTIFS($C$2:C3679,C3679,$U$2:U3679,1)=1,1,0),0)</f>
        <v>0</v>
      </c>
    </row>
    <row r="3680" spans="1:22" x14ac:dyDescent="0.35">
      <c r="A3680">
        <v>13679</v>
      </c>
      <c r="B3680" s="1">
        <v>48240</v>
      </c>
      <c r="C3680">
        <v>1875</v>
      </c>
      <c r="D3680" t="s">
        <v>80</v>
      </c>
      <c r="E3680" t="s">
        <v>78</v>
      </c>
      <c r="F3680">
        <v>6</v>
      </c>
      <c r="G3680" s="2">
        <v>45.88</v>
      </c>
      <c r="H3680">
        <v>0.31</v>
      </c>
      <c r="I3680" t="s">
        <v>68</v>
      </c>
      <c r="J3680">
        <v>9</v>
      </c>
      <c r="K3680">
        <v>4.2</v>
      </c>
      <c r="L3680" s="2">
        <v>189.94</v>
      </c>
      <c r="M3680">
        <v>2032</v>
      </c>
      <c r="N3680">
        <v>1</v>
      </c>
      <c r="O3680" t="s">
        <v>200</v>
      </c>
      <c r="P3680" s="2">
        <v>275.27999999999997</v>
      </c>
      <c r="Q3680" s="2">
        <v>85.34</v>
      </c>
      <c r="R3680" t="s">
        <v>72</v>
      </c>
      <c r="S3680">
        <v>1</v>
      </c>
      <c r="T3680">
        <v>0</v>
      </c>
      <c r="U3680">
        <f>IF(AND(OR(Dashboard!$D$4="Semua",D3680=Dashboard!$D$4),OR(Dashboard!$H$4="Semua",E3680=Dashboard!$H$4)),1,0)</f>
        <v>1</v>
      </c>
      <c r="V3680">
        <f>IF(U3680=1,IF(COUNTIFS($C$2:C3680,C3680,$U$2:U3680,1)=1,1,0),0)</f>
        <v>0</v>
      </c>
    </row>
    <row r="3681" spans="1:22" x14ac:dyDescent="0.35">
      <c r="A3681">
        <v>13680</v>
      </c>
      <c r="B3681" s="1">
        <v>48241</v>
      </c>
      <c r="C3681">
        <v>1260</v>
      </c>
      <c r="D3681" t="s">
        <v>80</v>
      </c>
      <c r="E3681" t="s">
        <v>70</v>
      </c>
      <c r="F3681">
        <v>5</v>
      </c>
      <c r="G3681" s="2">
        <v>120.46</v>
      </c>
      <c r="H3681">
        <v>0.3</v>
      </c>
      <c r="I3681" t="s">
        <v>71</v>
      </c>
      <c r="J3681">
        <v>8</v>
      </c>
      <c r="K3681">
        <v>1.7</v>
      </c>
      <c r="L3681" s="2">
        <v>421.61</v>
      </c>
      <c r="M3681">
        <v>2032</v>
      </c>
      <c r="N3681">
        <v>1</v>
      </c>
      <c r="O3681" t="s">
        <v>200</v>
      </c>
      <c r="P3681" s="2">
        <v>602.29999999999995</v>
      </c>
      <c r="Q3681" s="2">
        <v>180.69</v>
      </c>
      <c r="R3681" t="s">
        <v>66</v>
      </c>
      <c r="S3681">
        <v>1</v>
      </c>
      <c r="T3681">
        <v>0</v>
      </c>
      <c r="U3681">
        <f>IF(AND(OR(Dashboard!$D$4="Semua",D3681=Dashboard!$D$4),OR(Dashboard!$H$4="Semua",E3681=Dashboard!$H$4)),1,0)</f>
        <v>1</v>
      </c>
      <c r="V3681">
        <f>IF(U3681=1,IF(COUNTIFS($C$2:C3681,C3681,$U$2:U3681,1)=1,1,0),0)</f>
        <v>0</v>
      </c>
    </row>
    <row r="3682" spans="1:22" x14ac:dyDescent="0.35">
      <c r="A3682">
        <v>13681</v>
      </c>
      <c r="B3682" s="1">
        <v>48242</v>
      </c>
      <c r="C3682">
        <v>1514</v>
      </c>
      <c r="D3682" t="s">
        <v>73</v>
      </c>
      <c r="E3682" t="s">
        <v>63</v>
      </c>
      <c r="F3682">
        <v>4</v>
      </c>
      <c r="G3682" s="2">
        <v>381.76</v>
      </c>
      <c r="H3682">
        <v>0.34</v>
      </c>
      <c r="I3682" t="s">
        <v>68</v>
      </c>
      <c r="J3682">
        <v>11</v>
      </c>
      <c r="K3682">
        <v>3</v>
      </c>
      <c r="L3682" s="2">
        <v>1007.85</v>
      </c>
      <c r="M3682">
        <v>2032</v>
      </c>
      <c r="N3682">
        <v>1</v>
      </c>
      <c r="O3682" t="s">
        <v>200</v>
      </c>
      <c r="P3682" s="2">
        <v>1527.04</v>
      </c>
      <c r="Q3682" s="2">
        <v>519.19000000000005</v>
      </c>
      <c r="R3682" t="s">
        <v>72</v>
      </c>
      <c r="S3682">
        <v>1</v>
      </c>
      <c r="T3682">
        <v>0</v>
      </c>
      <c r="U3682">
        <f>IF(AND(OR(Dashboard!$D$4="Semua",D3682=Dashboard!$D$4),OR(Dashboard!$H$4="Semua",E3682=Dashboard!$H$4)),1,0)</f>
        <v>1</v>
      </c>
      <c r="V3682">
        <f>IF(U3682=1,IF(COUNTIFS($C$2:C3682,C3682,$U$2:U3682,1)=1,1,0),0)</f>
        <v>0</v>
      </c>
    </row>
    <row r="3683" spans="1:22" x14ac:dyDescent="0.35">
      <c r="A3683">
        <v>13682</v>
      </c>
      <c r="B3683" s="1">
        <v>48243</v>
      </c>
      <c r="C3683">
        <v>1448</v>
      </c>
      <c r="D3683" t="s">
        <v>67</v>
      </c>
      <c r="E3683" t="s">
        <v>74</v>
      </c>
      <c r="F3683">
        <v>1</v>
      </c>
      <c r="G3683" s="2">
        <v>390.2</v>
      </c>
      <c r="H3683">
        <v>0.34</v>
      </c>
      <c r="I3683" t="s">
        <v>64</v>
      </c>
      <c r="J3683">
        <v>10</v>
      </c>
      <c r="K3683">
        <v>3.3</v>
      </c>
      <c r="L3683" s="2">
        <v>257.52999999999997</v>
      </c>
      <c r="M3683">
        <v>2032</v>
      </c>
      <c r="N3683">
        <v>1</v>
      </c>
      <c r="O3683" t="s">
        <v>200</v>
      </c>
      <c r="P3683" s="2">
        <v>390.2</v>
      </c>
      <c r="Q3683" s="2">
        <v>132.66999999999999</v>
      </c>
      <c r="R3683" t="s">
        <v>72</v>
      </c>
      <c r="S3683">
        <v>1</v>
      </c>
      <c r="T3683">
        <v>0</v>
      </c>
      <c r="U3683">
        <f>IF(AND(OR(Dashboard!$D$4="Semua",D3683=Dashboard!$D$4),OR(Dashboard!$H$4="Semua",E3683=Dashboard!$H$4)),1,0)</f>
        <v>1</v>
      </c>
      <c r="V3683">
        <f>IF(U3683=1,IF(COUNTIFS($C$2:C3683,C3683,$U$2:U3683,1)=1,1,0),0)</f>
        <v>0</v>
      </c>
    </row>
    <row r="3684" spans="1:22" x14ac:dyDescent="0.35">
      <c r="A3684">
        <v>13683</v>
      </c>
      <c r="B3684" s="1">
        <v>48244</v>
      </c>
      <c r="C3684">
        <v>1899</v>
      </c>
      <c r="D3684" t="s">
        <v>73</v>
      </c>
      <c r="E3684" t="s">
        <v>78</v>
      </c>
      <c r="F3684">
        <v>6</v>
      </c>
      <c r="G3684" s="2">
        <v>467.87</v>
      </c>
      <c r="H3684">
        <v>0.27</v>
      </c>
      <c r="I3684" t="s">
        <v>68</v>
      </c>
      <c r="J3684">
        <v>5</v>
      </c>
      <c r="K3684">
        <v>2.6</v>
      </c>
      <c r="L3684" s="2">
        <v>2049.27</v>
      </c>
      <c r="M3684">
        <v>2032</v>
      </c>
      <c r="N3684">
        <v>1</v>
      </c>
      <c r="O3684" t="s">
        <v>200</v>
      </c>
      <c r="P3684" s="2">
        <v>2807.22</v>
      </c>
      <c r="Q3684" s="2">
        <v>757.95</v>
      </c>
      <c r="R3684" t="s">
        <v>66</v>
      </c>
      <c r="S3684">
        <v>1</v>
      </c>
      <c r="T3684">
        <v>0</v>
      </c>
      <c r="U3684">
        <f>IF(AND(OR(Dashboard!$D$4="Semua",D3684=Dashboard!$D$4),OR(Dashboard!$H$4="Semua",E3684=Dashboard!$H$4)),1,0)</f>
        <v>1</v>
      </c>
      <c r="V3684">
        <f>IF(U3684=1,IF(COUNTIFS($C$2:C3684,C3684,$U$2:U3684,1)=1,1,0),0)</f>
        <v>0</v>
      </c>
    </row>
    <row r="3685" spans="1:22" x14ac:dyDescent="0.35">
      <c r="A3685">
        <v>13684</v>
      </c>
      <c r="B3685" s="1">
        <v>48245</v>
      </c>
      <c r="C3685">
        <v>1103</v>
      </c>
      <c r="D3685" t="s">
        <v>73</v>
      </c>
      <c r="E3685" t="s">
        <v>63</v>
      </c>
      <c r="F3685">
        <v>6</v>
      </c>
      <c r="G3685" s="2">
        <v>250.75</v>
      </c>
      <c r="H3685">
        <v>0.33</v>
      </c>
      <c r="I3685" t="s">
        <v>64</v>
      </c>
      <c r="J3685">
        <v>4</v>
      </c>
      <c r="K3685">
        <v>2</v>
      </c>
      <c r="L3685" s="2">
        <v>1008.01</v>
      </c>
      <c r="M3685">
        <v>2032</v>
      </c>
      <c r="N3685">
        <v>2</v>
      </c>
      <c r="O3685" t="s">
        <v>201</v>
      </c>
      <c r="P3685" s="2">
        <v>1504.5</v>
      </c>
      <c r="Q3685" s="2">
        <v>496.49</v>
      </c>
      <c r="R3685" t="s">
        <v>72</v>
      </c>
      <c r="S3685">
        <v>1</v>
      </c>
      <c r="T3685">
        <v>0</v>
      </c>
      <c r="U3685">
        <f>IF(AND(OR(Dashboard!$D$4="Semua",D3685=Dashboard!$D$4),OR(Dashboard!$H$4="Semua",E3685=Dashboard!$H$4)),1,0)</f>
        <v>1</v>
      </c>
      <c r="V3685">
        <f>IF(U3685=1,IF(COUNTIFS($C$2:C3685,C3685,$U$2:U3685,1)=1,1,0),0)</f>
        <v>0</v>
      </c>
    </row>
    <row r="3686" spans="1:22" x14ac:dyDescent="0.35">
      <c r="A3686">
        <v>13685</v>
      </c>
      <c r="B3686" s="1">
        <v>48246</v>
      </c>
      <c r="C3686">
        <v>1482</v>
      </c>
      <c r="D3686" t="s">
        <v>73</v>
      </c>
      <c r="E3686" t="s">
        <v>78</v>
      </c>
      <c r="F3686">
        <v>2</v>
      </c>
      <c r="G3686" s="2">
        <v>437.69</v>
      </c>
      <c r="H3686">
        <v>0.3</v>
      </c>
      <c r="I3686" t="s">
        <v>71</v>
      </c>
      <c r="J3686">
        <v>1</v>
      </c>
      <c r="K3686">
        <v>4.5999999999999996</v>
      </c>
      <c r="L3686" s="2">
        <v>612.77</v>
      </c>
      <c r="M3686">
        <v>2032</v>
      </c>
      <c r="N3686">
        <v>2</v>
      </c>
      <c r="O3686" t="s">
        <v>201</v>
      </c>
      <c r="P3686" s="2">
        <v>875.38</v>
      </c>
      <c r="Q3686" s="2">
        <v>262.61</v>
      </c>
      <c r="R3686" t="s">
        <v>66</v>
      </c>
      <c r="S3686">
        <v>1</v>
      </c>
      <c r="T3686">
        <v>0</v>
      </c>
      <c r="U3686">
        <f>IF(AND(OR(Dashboard!$D$4="Semua",D3686=Dashboard!$D$4),OR(Dashboard!$H$4="Semua",E3686=Dashboard!$H$4)),1,0)</f>
        <v>1</v>
      </c>
      <c r="V3686">
        <f>IF(U3686=1,IF(COUNTIFS($C$2:C3686,C3686,$U$2:U3686,1)=1,1,0),0)</f>
        <v>0</v>
      </c>
    </row>
    <row r="3687" spans="1:22" x14ac:dyDescent="0.35">
      <c r="A3687">
        <v>13686</v>
      </c>
      <c r="B3687" s="1">
        <v>48247</v>
      </c>
      <c r="C3687">
        <v>1223</v>
      </c>
      <c r="D3687" t="s">
        <v>67</v>
      </c>
      <c r="E3687" t="s">
        <v>74</v>
      </c>
      <c r="F3687">
        <v>6</v>
      </c>
      <c r="G3687" s="2">
        <v>415.13</v>
      </c>
      <c r="H3687">
        <v>0.25</v>
      </c>
      <c r="I3687" t="s">
        <v>64</v>
      </c>
      <c r="J3687">
        <v>9</v>
      </c>
      <c r="K3687">
        <v>1.3</v>
      </c>
      <c r="L3687" s="2">
        <v>1868.08</v>
      </c>
      <c r="M3687">
        <v>2032</v>
      </c>
      <c r="N3687">
        <v>2</v>
      </c>
      <c r="O3687" t="s">
        <v>201</v>
      </c>
      <c r="P3687" s="2">
        <v>2490.7800000000002</v>
      </c>
      <c r="Q3687" s="2">
        <v>622.70000000000005</v>
      </c>
      <c r="R3687" t="s">
        <v>77</v>
      </c>
      <c r="S3687">
        <v>1</v>
      </c>
      <c r="T3687">
        <v>0</v>
      </c>
      <c r="U3687">
        <f>IF(AND(OR(Dashboard!$D$4="Semua",D3687=Dashboard!$D$4),OR(Dashboard!$H$4="Semua",E3687=Dashboard!$H$4)),1,0)</f>
        <v>1</v>
      </c>
      <c r="V3687">
        <f>IF(U3687=1,IF(COUNTIFS($C$2:C3687,C3687,$U$2:U3687,1)=1,1,0),0)</f>
        <v>0</v>
      </c>
    </row>
    <row r="3688" spans="1:22" x14ac:dyDescent="0.35">
      <c r="A3688">
        <v>13687</v>
      </c>
      <c r="B3688" s="1">
        <v>48248</v>
      </c>
      <c r="C3688">
        <v>1831</v>
      </c>
      <c r="D3688" t="s">
        <v>67</v>
      </c>
      <c r="E3688" t="s">
        <v>78</v>
      </c>
      <c r="F3688">
        <v>7</v>
      </c>
      <c r="G3688" s="2">
        <v>578.59</v>
      </c>
      <c r="H3688">
        <v>0.03</v>
      </c>
      <c r="I3688" t="s">
        <v>71</v>
      </c>
      <c r="J3688">
        <v>8</v>
      </c>
      <c r="K3688">
        <v>1.6</v>
      </c>
      <c r="L3688" s="2">
        <v>3928.63</v>
      </c>
      <c r="M3688">
        <v>2032</v>
      </c>
      <c r="N3688">
        <v>2</v>
      </c>
      <c r="O3688" t="s">
        <v>201</v>
      </c>
      <c r="P3688" s="2">
        <v>4050.13</v>
      </c>
      <c r="Q3688" s="2">
        <v>121.5</v>
      </c>
      <c r="R3688" t="s">
        <v>75</v>
      </c>
      <c r="S3688">
        <v>1</v>
      </c>
      <c r="T3688">
        <v>1</v>
      </c>
      <c r="U3688">
        <f>IF(AND(OR(Dashboard!$D$4="Semua",D3688=Dashboard!$D$4),OR(Dashboard!$H$4="Semua",E3688=Dashboard!$H$4)),1,0)</f>
        <v>1</v>
      </c>
      <c r="V3688">
        <f>IF(U3688=1,IF(COUNTIFS($C$2:C3688,C3688,$U$2:U3688,1)=1,1,0),0)</f>
        <v>0</v>
      </c>
    </row>
    <row r="3689" spans="1:22" x14ac:dyDescent="0.35">
      <c r="A3689">
        <v>13688</v>
      </c>
      <c r="B3689" s="1">
        <v>48249</v>
      </c>
      <c r="C3689">
        <v>1873</v>
      </c>
      <c r="D3689" t="s">
        <v>67</v>
      </c>
      <c r="E3689" t="s">
        <v>78</v>
      </c>
      <c r="F3689">
        <v>7</v>
      </c>
      <c r="G3689" s="2">
        <v>140.85</v>
      </c>
      <c r="H3689">
        <v>0.02</v>
      </c>
      <c r="I3689" t="s">
        <v>64</v>
      </c>
      <c r="J3689">
        <v>2</v>
      </c>
      <c r="K3689">
        <v>2.2999999999999998</v>
      </c>
      <c r="L3689" s="2">
        <v>966.23</v>
      </c>
      <c r="M3689">
        <v>2032</v>
      </c>
      <c r="N3689">
        <v>2</v>
      </c>
      <c r="O3689" t="s">
        <v>201</v>
      </c>
      <c r="P3689" s="2">
        <v>985.95</v>
      </c>
      <c r="Q3689" s="2">
        <v>19.72</v>
      </c>
      <c r="R3689" t="s">
        <v>75</v>
      </c>
      <c r="S3689">
        <v>1</v>
      </c>
      <c r="T3689">
        <v>0</v>
      </c>
      <c r="U3689">
        <f>IF(AND(OR(Dashboard!$D$4="Semua",D3689=Dashboard!$D$4),OR(Dashboard!$H$4="Semua",E3689=Dashboard!$H$4)),1,0)</f>
        <v>1</v>
      </c>
      <c r="V3689">
        <f>IF(U3689=1,IF(COUNTIFS($C$2:C3689,C3689,$U$2:U3689,1)=1,1,0),0)</f>
        <v>0</v>
      </c>
    </row>
    <row r="3690" spans="1:22" x14ac:dyDescent="0.35">
      <c r="A3690">
        <v>13689</v>
      </c>
      <c r="B3690" s="1">
        <v>48250</v>
      </c>
      <c r="C3690">
        <v>1865</v>
      </c>
      <c r="D3690" t="s">
        <v>80</v>
      </c>
      <c r="E3690" t="s">
        <v>63</v>
      </c>
      <c r="F3690">
        <v>6</v>
      </c>
      <c r="G3690" s="2">
        <v>337.73</v>
      </c>
      <c r="H3690">
        <v>0.28999999999999998</v>
      </c>
      <c r="I3690" t="s">
        <v>68</v>
      </c>
      <c r="J3690">
        <v>4</v>
      </c>
      <c r="K3690">
        <v>4.7</v>
      </c>
      <c r="L3690" s="2">
        <v>1438.73</v>
      </c>
      <c r="M3690">
        <v>2032</v>
      </c>
      <c r="N3690">
        <v>2</v>
      </c>
      <c r="O3690" t="s">
        <v>201</v>
      </c>
      <c r="P3690" s="2">
        <v>2026.38</v>
      </c>
      <c r="Q3690" s="2">
        <v>587.65</v>
      </c>
      <c r="R3690" t="s">
        <v>66</v>
      </c>
      <c r="S3690">
        <v>1</v>
      </c>
      <c r="T3690">
        <v>0</v>
      </c>
      <c r="U3690">
        <f>IF(AND(OR(Dashboard!$D$4="Semua",D3690=Dashboard!$D$4),OR(Dashboard!$H$4="Semua",E3690=Dashboard!$H$4)),1,0)</f>
        <v>1</v>
      </c>
      <c r="V3690">
        <f>IF(U3690=1,IF(COUNTIFS($C$2:C3690,C3690,$U$2:U3690,1)=1,1,0),0)</f>
        <v>0</v>
      </c>
    </row>
    <row r="3691" spans="1:22" x14ac:dyDescent="0.35">
      <c r="A3691">
        <v>13690</v>
      </c>
      <c r="B3691" s="1">
        <v>48251</v>
      </c>
      <c r="C3691">
        <v>1490</v>
      </c>
      <c r="D3691" t="s">
        <v>80</v>
      </c>
      <c r="E3691" t="s">
        <v>70</v>
      </c>
      <c r="F3691">
        <v>1</v>
      </c>
      <c r="G3691" s="2">
        <v>367.03</v>
      </c>
      <c r="H3691">
        <v>0.17</v>
      </c>
      <c r="I3691" t="s">
        <v>71</v>
      </c>
      <c r="J3691">
        <v>4</v>
      </c>
      <c r="K3691">
        <v>3.3</v>
      </c>
      <c r="L3691" s="2">
        <v>304.63</v>
      </c>
      <c r="M3691">
        <v>2032</v>
      </c>
      <c r="N3691">
        <v>2</v>
      </c>
      <c r="O3691" t="s">
        <v>201</v>
      </c>
      <c r="P3691" s="2">
        <v>367.03</v>
      </c>
      <c r="Q3691" s="2">
        <v>62.4</v>
      </c>
      <c r="R3691" t="s">
        <v>76</v>
      </c>
      <c r="S3691">
        <v>1</v>
      </c>
      <c r="T3691">
        <v>0</v>
      </c>
      <c r="U3691">
        <f>IF(AND(OR(Dashboard!$D$4="Semua",D3691=Dashboard!$D$4),OR(Dashboard!$H$4="Semua",E3691=Dashboard!$H$4)),1,0)</f>
        <v>1</v>
      </c>
      <c r="V3691">
        <f>IF(U3691=1,IF(COUNTIFS($C$2:C3691,C3691,$U$2:U3691,1)=1,1,0),0)</f>
        <v>0</v>
      </c>
    </row>
    <row r="3692" spans="1:22" x14ac:dyDescent="0.35">
      <c r="A3692">
        <v>13691</v>
      </c>
      <c r="B3692" s="1">
        <v>48252</v>
      </c>
      <c r="C3692">
        <v>1472</v>
      </c>
      <c r="D3692" t="s">
        <v>73</v>
      </c>
      <c r="E3692" t="s">
        <v>78</v>
      </c>
      <c r="F3692">
        <v>2</v>
      </c>
      <c r="G3692" s="2">
        <v>599.21</v>
      </c>
      <c r="H3692">
        <v>0.28999999999999998</v>
      </c>
      <c r="I3692" t="s">
        <v>68</v>
      </c>
      <c r="J3692">
        <v>7</v>
      </c>
      <c r="K3692">
        <v>2.5</v>
      </c>
      <c r="L3692" s="2">
        <v>850.88</v>
      </c>
      <c r="M3692">
        <v>2032</v>
      </c>
      <c r="N3692">
        <v>2</v>
      </c>
      <c r="O3692" t="s">
        <v>201</v>
      </c>
      <c r="P3692" s="2">
        <v>1198.42</v>
      </c>
      <c r="Q3692" s="2">
        <v>347.54</v>
      </c>
      <c r="R3692" t="s">
        <v>66</v>
      </c>
      <c r="S3692">
        <v>1</v>
      </c>
      <c r="T3692">
        <v>0</v>
      </c>
      <c r="U3692">
        <f>IF(AND(OR(Dashboard!$D$4="Semua",D3692=Dashboard!$D$4),OR(Dashboard!$H$4="Semua",E3692=Dashboard!$H$4)),1,0)</f>
        <v>1</v>
      </c>
      <c r="V3692">
        <f>IF(U3692=1,IF(COUNTIFS($C$2:C3692,C3692,$U$2:U3692,1)=1,1,0),0)</f>
        <v>0</v>
      </c>
    </row>
    <row r="3693" spans="1:22" x14ac:dyDescent="0.35">
      <c r="A3693">
        <v>13692</v>
      </c>
      <c r="B3693" s="1">
        <v>48253</v>
      </c>
      <c r="C3693">
        <v>1009</v>
      </c>
      <c r="D3693" t="s">
        <v>73</v>
      </c>
      <c r="E3693" t="s">
        <v>74</v>
      </c>
      <c r="F3693">
        <v>3</v>
      </c>
      <c r="G3693" s="2">
        <v>132.69</v>
      </c>
      <c r="H3693">
        <v>0.11</v>
      </c>
      <c r="I3693" t="s">
        <v>68</v>
      </c>
      <c r="J3693">
        <v>3</v>
      </c>
      <c r="K3693">
        <v>2.6</v>
      </c>
      <c r="L3693" s="2">
        <v>354.28</v>
      </c>
      <c r="M3693">
        <v>2032</v>
      </c>
      <c r="N3693">
        <v>2</v>
      </c>
      <c r="O3693" t="s">
        <v>201</v>
      </c>
      <c r="P3693" s="2">
        <v>398.07</v>
      </c>
      <c r="Q3693" s="2">
        <v>43.79</v>
      </c>
      <c r="R3693" t="s">
        <v>79</v>
      </c>
      <c r="S3693">
        <v>1</v>
      </c>
      <c r="T3693">
        <v>0</v>
      </c>
      <c r="U3693">
        <f>IF(AND(OR(Dashboard!$D$4="Semua",D3693=Dashboard!$D$4),OR(Dashboard!$H$4="Semua",E3693=Dashboard!$H$4)),1,0)</f>
        <v>1</v>
      </c>
      <c r="V3693">
        <f>IF(U3693=1,IF(COUNTIFS($C$2:C3693,C3693,$U$2:U3693,1)=1,1,0),0)</f>
        <v>0</v>
      </c>
    </row>
    <row r="3694" spans="1:22" x14ac:dyDescent="0.35">
      <c r="A3694">
        <v>13693</v>
      </c>
      <c r="B3694" s="1">
        <v>48254</v>
      </c>
      <c r="C3694">
        <v>1404</v>
      </c>
      <c r="D3694" t="s">
        <v>62</v>
      </c>
      <c r="E3694" t="s">
        <v>78</v>
      </c>
      <c r="F3694">
        <v>5</v>
      </c>
      <c r="G3694" s="2">
        <v>321.08</v>
      </c>
      <c r="H3694">
        <v>0.14000000000000001</v>
      </c>
      <c r="I3694" t="s">
        <v>71</v>
      </c>
      <c r="J3694">
        <v>8</v>
      </c>
      <c r="K3694">
        <v>4.4000000000000004</v>
      </c>
      <c r="L3694" s="2">
        <v>1380.64</v>
      </c>
      <c r="M3694">
        <v>2032</v>
      </c>
      <c r="N3694">
        <v>2</v>
      </c>
      <c r="O3694" t="s">
        <v>201</v>
      </c>
      <c r="P3694" s="2">
        <v>1605.4</v>
      </c>
      <c r="Q3694" s="2">
        <v>224.76</v>
      </c>
      <c r="R3694" t="s">
        <v>79</v>
      </c>
      <c r="S3694">
        <v>1</v>
      </c>
      <c r="T3694">
        <v>0</v>
      </c>
      <c r="U3694">
        <f>IF(AND(OR(Dashboard!$D$4="Semua",D3694=Dashboard!$D$4),OR(Dashboard!$H$4="Semua",E3694=Dashboard!$H$4)),1,0)</f>
        <v>1</v>
      </c>
      <c r="V3694">
        <f>IF(U3694=1,IF(COUNTIFS($C$2:C3694,C3694,$U$2:U3694,1)=1,1,0),0)</f>
        <v>0</v>
      </c>
    </row>
    <row r="3695" spans="1:22" x14ac:dyDescent="0.35">
      <c r="A3695">
        <v>13694</v>
      </c>
      <c r="B3695" s="1">
        <v>48255</v>
      </c>
      <c r="C3695">
        <v>1895</v>
      </c>
      <c r="D3695" t="s">
        <v>73</v>
      </c>
      <c r="E3695" t="s">
        <v>78</v>
      </c>
      <c r="F3695">
        <v>4</v>
      </c>
      <c r="G3695" s="2">
        <v>217.52</v>
      </c>
      <c r="H3695">
        <v>0.25</v>
      </c>
      <c r="I3695" t="s">
        <v>71</v>
      </c>
      <c r="J3695">
        <v>11</v>
      </c>
      <c r="K3695">
        <v>1.1000000000000001</v>
      </c>
      <c r="L3695" s="2">
        <v>652.55999999999995</v>
      </c>
      <c r="M3695">
        <v>2032</v>
      </c>
      <c r="N3695">
        <v>2</v>
      </c>
      <c r="O3695" t="s">
        <v>201</v>
      </c>
      <c r="P3695" s="2">
        <v>870.08</v>
      </c>
      <c r="Q3695" s="2">
        <v>217.52</v>
      </c>
      <c r="R3695" t="s">
        <v>77</v>
      </c>
      <c r="S3695">
        <v>1</v>
      </c>
      <c r="T3695">
        <v>0</v>
      </c>
      <c r="U3695">
        <f>IF(AND(OR(Dashboard!$D$4="Semua",D3695=Dashboard!$D$4),OR(Dashboard!$H$4="Semua",E3695=Dashboard!$H$4)),1,0)</f>
        <v>1</v>
      </c>
      <c r="V3695">
        <f>IF(U3695=1,IF(COUNTIFS($C$2:C3695,C3695,$U$2:U3695,1)=1,1,0),0)</f>
        <v>0</v>
      </c>
    </row>
    <row r="3696" spans="1:22" x14ac:dyDescent="0.35">
      <c r="A3696">
        <v>13695</v>
      </c>
      <c r="B3696" s="1">
        <v>48256</v>
      </c>
      <c r="C3696">
        <v>1301</v>
      </c>
      <c r="D3696" t="s">
        <v>62</v>
      </c>
      <c r="E3696" t="s">
        <v>70</v>
      </c>
      <c r="F3696">
        <v>3</v>
      </c>
      <c r="G3696" s="2">
        <v>322.64999999999998</v>
      </c>
      <c r="H3696">
        <v>0.32</v>
      </c>
      <c r="I3696" t="s">
        <v>68</v>
      </c>
      <c r="J3696">
        <v>7</v>
      </c>
      <c r="K3696">
        <v>1</v>
      </c>
      <c r="L3696" s="2">
        <v>658.21</v>
      </c>
      <c r="M3696">
        <v>2032</v>
      </c>
      <c r="N3696">
        <v>2</v>
      </c>
      <c r="O3696" t="s">
        <v>201</v>
      </c>
      <c r="P3696" s="2">
        <v>967.95</v>
      </c>
      <c r="Q3696" s="2">
        <v>309.74</v>
      </c>
      <c r="R3696" t="s">
        <v>72</v>
      </c>
      <c r="S3696">
        <v>1</v>
      </c>
      <c r="T3696">
        <v>0</v>
      </c>
      <c r="U3696">
        <f>IF(AND(OR(Dashboard!$D$4="Semua",D3696=Dashboard!$D$4),OR(Dashboard!$H$4="Semua",E3696=Dashboard!$H$4)),1,0)</f>
        <v>1</v>
      </c>
      <c r="V3696">
        <f>IF(U3696=1,IF(COUNTIFS($C$2:C3696,C3696,$U$2:U3696,1)=1,1,0),0)</f>
        <v>0</v>
      </c>
    </row>
    <row r="3697" spans="1:22" x14ac:dyDescent="0.35">
      <c r="A3697">
        <v>13696</v>
      </c>
      <c r="B3697" s="1">
        <v>48257</v>
      </c>
      <c r="C3697">
        <v>1230</v>
      </c>
      <c r="D3697" t="s">
        <v>80</v>
      </c>
      <c r="E3697" t="s">
        <v>63</v>
      </c>
      <c r="F3697">
        <v>2</v>
      </c>
      <c r="G3697" s="2">
        <v>150.80000000000001</v>
      </c>
      <c r="H3697">
        <v>0.03</v>
      </c>
      <c r="I3697" t="s">
        <v>71</v>
      </c>
      <c r="J3697">
        <v>10</v>
      </c>
      <c r="K3697">
        <v>1.2</v>
      </c>
      <c r="L3697" s="2">
        <v>292.55</v>
      </c>
      <c r="M3697">
        <v>2032</v>
      </c>
      <c r="N3697">
        <v>2</v>
      </c>
      <c r="O3697" t="s">
        <v>201</v>
      </c>
      <c r="P3697" s="2">
        <v>301.60000000000002</v>
      </c>
      <c r="Q3697" s="2">
        <v>9.0500000000000007</v>
      </c>
      <c r="R3697" t="s">
        <v>75</v>
      </c>
      <c r="S3697">
        <v>1</v>
      </c>
      <c r="T3697">
        <v>0</v>
      </c>
      <c r="U3697">
        <f>IF(AND(OR(Dashboard!$D$4="Semua",D3697=Dashboard!$D$4),OR(Dashboard!$H$4="Semua",E3697=Dashboard!$H$4)),1,0)</f>
        <v>1</v>
      </c>
      <c r="V3697">
        <f>IF(U3697=1,IF(COUNTIFS($C$2:C3697,C3697,$U$2:U3697,1)=1,1,0),0)</f>
        <v>0</v>
      </c>
    </row>
    <row r="3698" spans="1:22" x14ac:dyDescent="0.35">
      <c r="A3698">
        <v>13697</v>
      </c>
      <c r="B3698" s="1">
        <v>48258</v>
      </c>
      <c r="C3698">
        <v>1730</v>
      </c>
      <c r="D3698" t="s">
        <v>67</v>
      </c>
      <c r="E3698" t="s">
        <v>74</v>
      </c>
      <c r="F3698">
        <v>7</v>
      </c>
      <c r="G3698" s="2">
        <v>42.85</v>
      </c>
      <c r="H3698">
        <v>0.3</v>
      </c>
      <c r="I3698" t="s">
        <v>71</v>
      </c>
      <c r="J3698">
        <v>4</v>
      </c>
      <c r="K3698">
        <v>2.9</v>
      </c>
      <c r="L3698" s="2">
        <v>209.96</v>
      </c>
      <c r="M3698">
        <v>2032</v>
      </c>
      <c r="N3698">
        <v>2</v>
      </c>
      <c r="O3698" t="s">
        <v>201</v>
      </c>
      <c r="P3698" s="2">
        <v>299.95</v>
      </c>
      <c r="Q3698" s="2">
        <v>89.99</v>
      </c>
      <c r="R3698" t="s">
        <v>66</v>
      </c>
      <c r="S3698">
        <v>1</v>
      </c>
      <c r="T3698">
        <v>0</v>
      </c>
      <c r="U3698">
        <f>IF(AND(OR(Dashboard!$D$4="Semua",D3698=Dashboard!$D$4),OR(Dashboard!$H$4="Semua",E3698=Dashboard!$H$4)),1,0)</f>
        <v>1</v>
      </c>
      <c r="V3698">
        <f>IF(U3698=1,IF(COUNTIFS($C$2:C3698,C3698,$U$2:U3698,1)=1,1,0),0)</f>
        <v>0</v>
      </c>
    </row>
    <row r="3699" spans="1:22" x14ac:dyDescent="0.35">
      <c r="A3699">
        <v>13698</v>
      </c>
      <c r="B3699" s="1">
        <v>48259</v>
      </c>
      <c r="C3699">
        <v>1922</v>
      </c>
      <c r="D3699" t="s">
        <v>62</v>
      </c>
      <c r="E3699" t="s">
        <v>63</v>
      </c>
      <c r="F3699">
        <v>7</v>
      </c>
      <c r="G3699" s="2">
        <v>349.95</v>
      </c>
      <c r="H3699">
        <v>0.28000000000000003</v>
      </c>
      <c r="I3699" t="s">
        <v>68</v>
      </c>
      <c r="J3699">
        <v>9</v>
      </c>
      <c r="K3699">
        <v>3.3</v>
      </c>
      <c r="L3699" s="2">
        <v>1763.75</v>
      </c>
      <c r="M3699">
        <v>2032</v>
      </c>
      <c r="N3699">
        <v>2</v>
      </c>
      <c r="O3699" t="s">
        <v>201</v>
      </c>
      <c r="P3699" s="2">
        <v>2449.65</v>
      </c>
      <c r="Q3699" s="2">
        <v>685.9</v>
      </c>
      <c r="R3699" t="s">
        <v>66</v>
      </c>
      <c r="S3699">
        <v>1</v>
      </c>
      <c r="T3699">
        <v>0</v>
      </c>
      <c r="U3699">
        <f>IF(AND(OR(Dashboard!$D$4="Semua",D3699=Dashboard!$D$4),OR(Dashboard!$H$4="Semua",E3699=Dashboard!$H$4)),1,0)</f>
        <v>1</v>
      </c>
      <c r="V3699">
        <f>IF(U3699=1,IF(COUNTIFS($C$2:C3699,C3699,$U$2:U3699,1)=1,1,0),0)</f>
        <v>0</v>
      </c>
    </row>
    <row r="3700" spans="1:22" x14ac:dyDescent="0.35">
      <c r="A3700">
        <v>13699</v>
      </c>
      <c r="B3700" s="1">
        <v>48260</v>
      </c>
      <c r="C3700">
        <v>1065</v>
      </c>
      <c r="D3700" t="s">
        <v>73</v>
      </c>
      <c r="E3700" t="s">
        <v>63</v>
      </c>
      <c r="F3700">
        <v>7</v>
      </c>
      <c r="G3700" s="2">
        <v>211.47</v>
      </c>
      <c r="H3700">
        <v>0.11</v>
      </c>
      <c r="I3700" t="s">
        <v>71</v>
      </c>
      <c r="J3700">
        <v>6</v>
      </c>
      <c r="K3700">
        <v>3.5</v>
      </c>
      <c r="L3700" s="2">
        <v>1317.46</v>
      </c>
      <c r="M3700">
        <v>2032</v>
      </c>
      <c r="N3700">
        <v>2</v>
      </c>
      <c r="O3700" t="s">
        <v>201</v>
      </c>
      <c r="P3700" s="2">
        <v>1480.29</v>
      </c>
      <c r="Q3700" s="2">
        <v>162.83000000000001</v>
      </c>
      <c r="R3700" t="s">
        <v>79</v>
      </c>
      <c r="S3700">
        <v>1</v>
      </c>
      <c r="T3700">
        <v>0</v>
      </c>
      <c r="U3700">
        <f>IF(AND(OR(Dashboard!$D$4="Semua",D3700=Dashboard!$D$4),OR(Dashboard!$H$4="Semua",E3700=Dashboard!$H$4)),1,0)</f>
        <v>1</v>
      </c>
      <c r="V3700">
        <f>IF(U3700=1,IF(COUNTIFS($C$2:C3700,C3700,$U$2:U3700,1)=1,1,0),0)</f>
        <v>0</v>
      </c>
    </row>
    <row r="3701" spans="1:22" x14ac:dyDescent="0.35">
      <c r="A3701">
        <v>13700</v>
      </c>
      <c r="B3701" s="1">
        <v>48261</v>
      </c>
      <c r="C3701">
        <v>1936</v>
      </c>
      <c r="D3701" t="s">
        <v>73</v>
      </c>
      <c r="E3701" t="s">
        <v>63</v>
      </c>
      <c r="F3701">
        <v>1</v>
      </c>
      <c r="G3701" s="2">
        <v>121.44</v>
      </c>
      <c r="H3701">
        <v>0.12</v>
      </c>
      <c r="I3701" t="s">
        <v>71</v>
      </c>
      <c r="J3701">
        <v>3</v>
      </c>
      <c r="K3701">
        <v>3.9</v>
      </c>
      <c r="L3701" s="2">
        <v>106.87</v>
      </c>
      <c r="M3701">
        <v>2032</v>
      </c>
      <c r="N3701">
        <v>2</v>
      </c>
      <c r="O3701" t="s">
        <v>201</v>
      </c>
      <c r="P3701" s="2">
        <v>121.44</v>
      </c>
      <c r="Q3701" s="2">
        <v>14.57</v>
      </c>
      <c r="R3701" t="s">
        <v>79</v>
      </c>
      <c r="S3701">
        <v>1</v>
      </c>
      <c r="T3701">
        <v>0</v>
      </c>
      <c r="U3701">
        <f>IF(AND(OR(Dashboard!$D$4="Semua",D3701=Dashboard!$D$4),OR(Dashboard!$H$4="Semua",E3701=Dashboard!$H$4)),1,0)</f>
        <v>1</v>
      </c>
      <c r="V3701">
        <f>IF(U3701=1,IF(COUNTIFS($C$2:C3701,C3701,$U$2:U3701,1)=1,1,0),0)</f>
        <v>0</v>
      </c>
    </row>
    <row r="3702" spans="1:22" x14ac:dyDescent="0.35">
      <c r="A3702">
        <v>13701</v>
      </c>
      <c r="B3702" s="1">
        <v>48262</v>
      </c>
      <c r="C3702">
        <v>1111</v>
      </c>
      <c r="D3702" t="s">
        <v>67</v>
      </c>
      <c r="E3702" t="s">
        <v>78</v>
      </c>
      <c r="F3702">
        <v>7</v>
      </c>
      <c r="G3702" s="2">
        <v>204.5</v>
      </c>
      <c r="H3702">
        <v>0.02</v>
      </c>
      <c r="I3702" t="s">
        <v>68</v>
      </c>
      <c r="J3702">
        <v>7</v>
      </c>
      <c r="K3702">
        <v>1.8</v>
      </c>
      <c r="L3702" s="2">
        <v>1402.87</v>
      </c>
      <c r="M3702">
        <v>2032</v>
      </c>
      <c r="N3702">
        <v>2</v>
      </c>
      <c r="O3702" t="s">
        <v>201</v>
      </c>
      <c r="P3702" s="2">
        <v>1431.5</v>
      </c>
      <c r="Q3702" s="2">
        <v>28.63</v>
      </c>
      <c r="R3702" t="s">
        <v>75</v>
      </c>
      <c r="S3702">
        <v>1</v>
      </c>
      <c r="T3702">
        <v>0</v>
      </c>
      <c r="U3702">
        <f>IF(AND(OR(Dashboard!$D$4="Semua",D3702=Dashboard!$D$4),OR(Dashboard!$H$4="Semua",E3702=Dashboard!$H$4)),1,0)</f>
        <v>1</v>
      </c>
      <c r="V3702">
        <f>IF(U3702=1,IF(COUNTIFS($C$2:C3702,C3702,$U$2:U3702,1)=1,1,0),0)</f>
        <v>0</v>
      </c>
    </row>
    <row r="3703" spans="1:22" x14ac:dyDescent="0.35">
      <c r="A3703">
        <v>13702</v>
      </c>
      <c r="B3703" s="1">
        <v>48263</v>
      </c>
      <c r="C3703">
        <v>1012</v>
      </c>
      <c r="D3703" t="s">
        <v>67</v>
      </c>
      <c r="E3703" t="s">
        <v>70</v>
      </c>
      <c r="F3703">
        <v>4</v>
      </c>
      <c r="G3703" s="2">
        <v>43.83</v>
      </c>
      <c r="H3703">
        <v>0.01</v>
      </c>
      <c r="I3703" t="s">
        <v>71</v>
      </c>
      <c r="J3703">
        <v>6</v>
      </c>
      <c r="K3703">
        <v>2</v>
      </c>
      <c r="L3703" s="2">
        <v>173.57</v>
      </c>
      <c r="M3703">
        <v>2032</v>
      </c>
      <c r="N3703">
        <v>2</v>
      </c>
      <c r="O3703" t="s">
        <v>201</v>
      </c>
      <c r="P3703" s="2">
        <v>175.32</v>
      </c>
      <c r="Q3703" s="2">
        <v>1.75</v>
      </c>
      <c r="R3703" t="s">
        <v>75</v>
      </c>
      <c r="S3703">
        <v>1</v>
      </c>
      <c r="T3703">
        <v>0</v>
      </c>
      <c r="U3703">
        <f>IF(AND(OR(Dashboard!$D$4="Semua",D3703=Dashboard!$D$4),OR(Dashboard!$H$4="Semua",E3703=Dashboard!$H$4)),1,0)</f>
        <v>1</v>
      </c>
      <c r="V3703">
        <f>IF(U3703=1,IF(COUNTIFS($C$2:C3703,C3703,$U$2:U3703,1)=1,1,0),0)</f>
        <v>0</v>
      </c>
    </row>
    <row r="3704" spans="1:22" x14ac:dyDescent="0.35">
      <c r="A3704">
        <v>13703</v>
      </c>
      <c r="B3704" s="1">
        <v>48264</v>
      </c>
      <c r="C3704">
        <v>1392</v>
      </c>
      <c r="D3704" t="s">
        <v>62</v>
      </c>
      <c r="E3704" t="s">
        <v>78</v>
      </c>
      <c r="F3704">
        <v>5</v>
      </c>
      <c r="G3704" s="2">
        <v>571.01</v>
      </c>
      <c r="H3704">
        <v>0.17</v>
      </c>
      <c r="I3704" t="s">
        <v>71</v>
      </c>
      <c r="J3704">
        <v>8</v>
      </c>
      <c r="K3704">
        <v>2</v>
      </c>
      <c r="L3704" s="2">
        <v>2369.69</v>
      </c>
      <c r="M3704">
        <v>2032</v>
      </c>
      <c r="N3704">
        <v>2</v>
      </c>
      <c r="O3704" t="s">
        <v>201</v>
      </c>
      <c r="P3704" s="2">
        <v>2855.05</v>
      </c>
      <c r="Q3704" s="2">
        <v>485.36</v>
      </c>
      <c r="R3704" t="s">
        <v>76</v>
      </c>
      <c r="S3704">
        <v>1</v>
      </c>
      <c r="T3704">
        <v>0</v>
      </c>
      <c r="U3704">
        <f>IF(AND(OR(Dashboard!$D$4="Semua",D3704=Dashboard!$D$4),OR(Dashboard!$H$4="Semua",E3704=Dashboard!$H$4)),1,0)</f>
        <v>1</v>
      </c>
      <c r="V3704">
        <f>IF(U3704=1,IF(COUNTIFS($C$2:C3704,C3704,$U$2:U3704,1)=1,1,0),0)</f>
        <v>0</v>
      </c>
    </row>
    <row r="3705" spans="1:22" x14ac:dyDescent="0.35">
      <c r="A3705">
        <v>13704</v>
      </c>
      <c r="B3705" s="1">
        <v>48265</v>
      </c>
      <c r="C3705">
        <v>1499</v>
      </c>
      <c r="D3705" t="s">
        <v>73</v>
      </c>
      <c r="E3705" t="s">
        <v>74</v>
      </c>
      <c r="F3705">
        <v>6</v>
      </c>
      <c r="G3705" s="2">
        <v>354.97</v>
      </c>
      <c r="H3705">
        <v>0.03</v>
      </c>
      <c r="I3705" t="s">
        <v>64</v>
      </c>
      <c r="J3705">
        <v>5</v>
      </c>
      <c r="K3705">
        <v>1.6</v>
      </c>
      <c r="L3705" s="2">
        <v>2065.9299999999998</v>
      </c>
      <c r="M3705">
        <v>2032</v>
      </c>
      <c r="N3705">
        <v>2</v>
      </c>
      <c r="O3705" t="s">
        <v>201</v>
      </c>
      <c r="P3705" s="2">
        <v>2129.8200000000002</v>
      </c>
      <c r="Q3705" s="2">
        <v>63.89</v>
      </c>
      <c r="R3705" t="s">
        <v>75</v>
      </c>
      <c r="S3705">
        <v>1</v>
      </c>
      <c r="T3705">
        <v>0</v>
      </c>
      <c r="U3705">
        <f>IF(AND(OR(Dashboard!$D$4="Semua",D3705=Dashboard!$D$4),OR(Dashboard!$H$4="Semua",E3705=Dashboard!$H$4)),1,0)</f>
        <v>1</v>
      </c>
      <c r="V3705">
        <f>IF(U3705=1,IF(COUNTIFS($C$2:C3705,C3705,$U$2:U3705,1)=1,1,0),0)</f>
        <v>0</v>
      </c>
    </row>
    <row r="3706" spans="1:22" x14ac:dyDescent="0.35">
      <c r="A3706">
        <v>13705</v>
      </c>
      <c r="B3706" s="1">
        <v>48266</v>
      </c>
      <c r="C3706">
        <v>1931</v>
      </c>
      <c r="D3706" t="s">
        <v>67</v>
      </c>
      <c r="E3706" t="s">
        <v>70</v>
      </c>
      <c r="F3706">
        <v>6</v>
      </c>
      <c r="G3706" s="2">
        <v>491.64</v>
      </c>
      <c r="H3706">
        <v>7.0000000000000007E-2</v>
      </c>
      <c r="I3706" t="s">
        <v>68</v>
      </c>
      <c r="J3706">
        <v>6</v>
      </c>
      <c r="K3706">
        <v>2</v>
      </c>
      <c r="L3706" s="2">
        <v>2743.35</v>
      </c>
      <c r="M3706">
        <v>2032</v>
      </c>
      <c r="N3706">
        <v>2</v>
      </c>
      <c r="O3706" t="s">
        <v>201</v>
      </c>
      <c r="P3706" s="2">
        <v>2949.84</v>
      </c>
      <c r="Q3706" s="2">
        <v>206.49</v>
      </c>
      <c r="R3706" t="s">
        <v>69</v>
      </c>
      <c r="S3706">
        <v>1</v>
      </c>
      <c r="T3706">
        <v>0</v>
      </c>
      <c r="U3706">
        <f>IF(AND(OR(Dashboard!$D$4="Semua",D3706=Dashboard!$D$4),OR(Dashboard!$H$4="Semua",E3706=Dashboard!$H$4)),1,0)</f>
        <v>1</v>
      </c>
      <c r="V3706">
        <f>IF(U3706=1,IF(COUNTIFS($C$2:C3706,C3706,$U$2:U3706,1)=1,1,0),0)</f>
        <v>0</v>
      </c>
    </row>
    <row r="3707" spans="1:22" x14ac:dyDescent="0.35">
      <c r="A3707">
        <v>13706</v>
      </c>
      <c r="B3707" s="1">
        <v>48267</v>
      </c>
      <c r="C3707">
        <v>1597</v>
      </c>
      <c r="D3707" t="s">
        <v>67</v>
      </c>
      <c r="E3707" t="s">
        <v>63</v>
      </c>
      <c r="F3707">
        <v>3</v>
      </c>
      <c r="G3707" s="2">
        <v>262.52</v>
      </c>
      <c r="H3707">
        <v>0.3</v>
      </c>
      <c r="I3707" t="s">
        <v>64</v>
      </c>
      <c r="J3707">
        <v>1</v>
      </c>
      <c r="K3707">
        <v>3.5</v>
      </c>
      <c r="L3707" s="2">
        <v>551.29</v>
      </c>
      <c r="M3707">
        <v>2032</v>
      </c>
      <c r="N3707">
        <v>2</v>
      </c>
      <c r="O3707" t="s">
        <v>201</v>
      </c>
      <c r="P3707" s="2">
        <v>787.56</v>
      </c>
      <c r="Q3707" s="2">
        <v>236.27</v>
      </c>
      <c r="R3707" t="s">
        <v>66</v>
      </c>
      <c r="S3707">
        <v>1</v>
      </c>
      <c r="T3707">
        <v>0</v>
      </c>
      <c r="U3707">
        <f>IF(AND(OR(Dashboard!$D$4="Semua",D3707=Dashboard!$D$4),OR(Dashboard!$H$4="Semua",E3707=Dashboard!$H$4)),1,0)</f>
        <v>1</v>
      </c>
      <c r="V3707">
        <f>IF(U3707=1,IF(COUNTIFS($C$2:C3707,C3707,$U$2:U3707,1)=1,1,0),0)</f>
        <v>0</v>
      </c>
    </row>
    <row r="3708" spans="1:22" x14ac:dyDescent="0.35">
      <c r="A3708">
        <v>13707</v>
      </c>
      <c r="B3708" s="1">
        <v>48268</v>
      </c>
      <c r="C3708">
        <v>1233</v>
      </c>
      <c r="D3708" t="s">
        <v>80</v>
      </c>
      <c r="E3708" t="s">
        <v>70</v>
      </c>
      <c r="F3708">
        <v>5</v>
      </c>
      <c r="G3708" s="2">
        <v>543.44000000000005</v>
      </c>
      <c r="H3708">
        <v>0.2</v>
      </c>
      <c r="I3708" t="s">
        <v>68</v>
      </c>
      <c r="J3708">
        <v>8</v>
      </c>
      <c r="K3708">
        <v>2.5</v>
      </c>
      <c r="L3708" s="2">
        <v>2173.7600000000002</v>
      </c>
      <c r="M3708">
        <v>2032</v>
      </c>
      <c r="N3708">
        <v>2</v>
      </c>
      <c r="O3708" t="s">
        <v>201</v>
      </c>
      <c r="P3708" s="2">
        <v>2717.2</v>
      </c>
      <c r="Q3708" s="2">
        <v>543.44000000000005</v>
      </c>
      <c r="R3708" t="s">
        <v>76</v>
      </c>
      <c r="S3708">
        <v>1</v>
      </c>
      <c r="T3708">
        <v>0</v>
      </c>
      <c r="U3708">
        <f>IF(AND(OR(Dashboard!$D$4="Semua",D3708=Dashboard!$D$4),OR(Dashboard!$H$4="Semua",E3708=Dashboard!$H$4)),1,0)</f>
        <v>1</v>
      </c>
      <c r="V3708">
        <f>IF(U3708=1,IF(COUNTIFS($C$2:C3708,C3708,$U$2:U3708,1)=1,1,0),0)</f>
        <v>0</v>
      </c>
    </row>
    <row r="3709" spans="1:22" x14ac:dyDescent="0.35">
      <c r="A3709">
        <v>13708</v>
      </c>
      <c r="B3709" s="1">
        <v>48269</v>
      </c>
      <c r="C3709">
        <v>1601</v>
      </c>
      <c r="D3709" t="s">
        <v>73</v>
      </c>
      <c r="E3709" t="s">
        <v>74</v>
      </c>
      <c r="F3709">
        <v>2</v>
      </c>
      <c r="G3709" s="2">
        <v>297.74</v>
      </c>
      <c r="H3709">
        <v>0.22</v>
      </c>
      <c r="I3709" t="s">
        <v>68</v>
      </c>
      <c r="J3709">
        <v>1</v>
      </c>
      <c r="K3709">
        <v>4.0999999999999996</v>
      </c>
      <c r="L3709" s="2">
        <v>464.47</v>
      </c>
      <c r="M3709">
        <v>2032</v>
      </c>
      <c r="N3709">
        <v>2</v>
      </c>
      <c r="O3709" t="s">
        <v>201</v>
      </c>
      <c r="P3709" s="2">
        <v>595.48</v>
      </c>
      <c r="Q3709" s="2">
        <v>131.01</v>
      </c>
      <c r="R3709" t="s">
        <v>77</v>
      </c>
      <c r="S3709">
        <v>1</v>
      </c>
      <c r="T3709">
        <v>0</v>
      </c>
      <c r="U3709">
        <f>IF(AND(OR(Dashboard!$D$4="Semua",D3709=Dashboard!$D$4),OR(Dashboard!$H$4="Semua",E3709=Dashboard!$H$4)),1,0)</f>
        <v>1</v>
      </c>
      <c r="V3709">
        <f>IF(U3709=1,IF(COUNTIFS($C$2:C3709,C3709,$U$2:U3709,1)=1,1,0),0)</f>
        <v>0</v>
      </c>
    </row>
    <row r="3710" spans="1:22" x14ac:dyDescent="0.35">
      <c r="A3710">
        <v>13709</v>
      </c>
      <c r="B3710" s="1">
        <v>48270</v>
      </c>
      <c r="C3710">
        <v>1313</v>
      </c>
      <c r="D3710" t="s">
        <v>67</v>
      </c>
      <c r="E3710" t="s">
        <v>78</v>
      </c>
      <c r="F3710">
        <v>5</v>
      </c>
      <c r="G3710" s="2">
        <v>350.76</v>
      </c>
      <c r="H3710">
        <v>7.0000000000000007E-2</v>
      </c>
      <c r="I3710" t="s">
        <v>68</v>
      </c>
      <c r="J3710">
        <v>3</v>
      </c>
      <c r="K3710">
        <v>3.1</v>
      </c>
      <c r="L3710" s="2">
        <v>1631.03</v>
      </c>
      <c r="M3710">
        <v>2032</v>
      </c>
      <c r="N3710">
        <v>2</v>
      </c>
      <c r="O3710" t="s">
        <v>201</v>
      </c>
      <c r="P3710" s="2">
        <v>1753.8</v>
      </c>
      <c r="Q3710" s="2">
        <v>122.77</v>
      </c>
      <c r="R3710" t="s">
        <v>69</v>
      </c>
      <c r="S3710">
        <v>1</v>
      </c>
      <c r="T3710">
        <v>0</v>
      </c>
      <c r="U3710">
        <f>IF(AND(OR(Dashboard!$D$4="Semua",D3710=Dashboard!$D$4),OR(Dashboard!$H$4="Semua",E3710=Dashboard!$H$4)),1,0)</f>
        <v>1</v>
      </c>
      <c r="V3710">
        <f>IF(U3710=1,IF(COUNTIFS($C$2:C3710,C3710,$U$2:U3710,1)=1,1,0),0)</f>
        <v>0</v>
      </c>
    </row>
    <row r="3711" spans="1:22" x14ac:dyDescent="0.35">
      <c r="A3711">
        <v>13710</v>
      </c>
      <c r="B3711" s="1">
        <v>48271</v>
      </c>
      <c r="C3711">
        <v>1565</v>
      </c>
      <c r="D3711" t="s">
        <v>80</v>
      </c>
      <c r="E3711" t="s">
        <v>78</v>
      </c>
      <c r="F3711">
        <v>1</v>
      </c>
      <c r="G3711" s="2">
        <v>302.7</v>
      </c>
      <c r="H3711">
        <v>0.28999999999999998</v>
      </c>
      <c r="I3711" t="s">
        <v>64</v>
      </c>
      <c r="J3711">
        <v>2</v>
      </c>
      <c r="K3711">
        <v>1.8</v>
      </c>
      <c r="L3711" s="2">
        <v>214.92</v>
      </c>
      <c r="M3711">
        <v>2032</v>
      </c>
      <c r="N3711">
        <v>2</v>
      </c>
      <c r="O3711" t="s">
        <v>201</v>
      </c>
      <c r="P3711" s="2">
        <v>302.7</v>
      </c>
      <c r="Q3711" s="2">
        <v>87.78</v>
      </c>
      <c r="R3711" t="s">
        <v>66</v>
      </c>
      <c r="S3711">
        <v>1</v>
      </c>
      <c r="T3711">
        <v>0</v>
      </c>
      <c r="U3711">
        <f>IF(AND(OR(Dashboard!$D$4="Semua",D3711=Dashboard!$D$4),OR(Dashboard!$H$4="Semua",E3711=Dashboard!$H$4)),1,0)</f>
        <v>1</v>
      </c>
      <c r="V3711">
        <f>IF(U3711=1,IF(COUNTIFS($C$2:C3711,C3711,$U$2:U3711,1)=1,1,0),0)</f>
        <v>0</v>
      </c>
    </row>
    <row r="3712" spans="1:22" x14ac:dyDescent="0.35">
      <c r="A3712">
        <v>13711</v>
      </c>
      <c r="B3712" s="1">
        <v>48272</v>
      </c>
      <c r="C3712">
        <v>1011</v>
      </c>
      <c r="D3712" t="s">
        <v>73</v>
      </c>
      <c r="E3712" t="s">
        <v>63</v>
      </c>
      <c r="F3712">
        <v>3</v>
      </c>
      <c r="G3712" s="2">
        <v>443.97</v>
      </c>
      <c r="H3712">
        <v>0.3</v>
      </c>
      <c r="I3712" t="s">
        <v>71</v>
      </c>
      <c r="J3712">
        <v>6</v>
      </c>
      <c r="K3712">
        <v>2.9</v>
      </c>
      <c r="L3712" s="2">
        <v>932.34</v>
      </c>
      <c r="M3712">
        <v>2032</v>
      </c>
      <c r="N3712">
        <v>2</v>
      </c>
      <c r="O3712" t="s">
        <v>201</v>
      </c>
      <c r="P3712" s="2">
        <v>1331.91</v>
      </c>
      <c r="Q3712" s="2">
        <v>399.57</v>
      </c>
      <c r="R3712" t="s">
        <v>66</v>
      </c>
      <c r="S3712">
        <v>1</v>
      </c>
      <c r="T3712">
        <v>0</v>
      </c>
      <c r="U3712">
        <f>IF(AND(OR(Dashboard!$D$4="Semua",D3712=Dashboard!$D$4),OR(Dashboard!$H$4="Semua",E3712=Dashboard!$H$4)),1,0)</f>
        <v>1</v>
      </c>
      <c r="V3712">
        <f>IF(U3712=1,IF(COUNTIFS($C$2:C3712,C3712,$U$2:U3712,1)=1,1,0),0)</f>
        <v>0</v>
      </c>
    </row>
    <row r="3713" spans="1:22" x14ac:dyDescent="0.35">
      <c r="A3713">
        <v>13712</v>
      </c>
      <c r="B3713" s="1">
        <v>48273</v>
      </c>
      <c r="C3713">
        <v>1208</v>
      </c>
      <c r="D3713" t="s">
        <v>80</v>
      </c>
      <c r="E3713" t="s">
        <v>78</v>
      </c>
      <c r="F3713">
        <v>3</v>
      </c>
      <c r="G3713" s="2">
        <v>346.49</v>
      </c>
      <c r="H3713">
        <v>0.18</v>
      </c>
      <c r="I3713" t="s">
        <v>68</v>
      </c>
      <c r="J3713">
        <v>8</v>
      </c>
      <c r="K3713">
        <v>3.4</v>
      </c>
      <c r="L3713" s="2">
        <v>852.37</v>
      </c>
      <c r="M3713">
        <v>2032</v>
      </c>
      <c r="N3713">
        <v>2</v>
      </c>
      <c r="O3713" t="s">
        <v>201</v>
      </c>
      <c r="P3713" s="2">
        <v>1039.47</v>
      </c>
      <c r="Q3713" s="2">
        <v>187.1</v>
      </c>
      <c r="R3713" t="s">
        <v>76</v>
      </c>
      <c r="S3713">
        <v>1</v>
      </c>
      <c r="T3713">
        <v>0</v>
      </c>
      <c r="U3713">
        <f>IF(AND(OR(Dashboard!$D$4="Semua",D3713=Dashboard!$D$4),OR(Dashboard!$H$4="Semua",E3713=Dashboard!$H$4)),1,0)</f>
        <v>1</v>
      </c>
      <c r="V3713">
        <f>IF(U3713=1,IF(COUNTIFS($C$2:C3713,C3713,$U$2:U3713,1)=1,1,0),0)</f>
        <v>0</v>
      </c>
    </row>
    <row r="3714" spans="1:22" x14ac:dyDescent="0.35">
      <c r="A3714">
        <v>13713</v>
      </c>
      <c r="B3714" s="1">
        <v>48274</v>
      </c>
      <c r="C3714">
        <v>1973</v>
      </c>
      <c r="D3714" t="s">
        <v>67</v>
      </c>
      <c r="E3714" t="s">
        <v>78</v>
      </c>
      <c r="F3714">
        <v>1</v>
      </c>
      <c r="G3714" s="2">
        <v>173.89</v>
      </c>
      <c r="H3714">
        <v>0.32</v>
      </c>
      <c r="I3714" t="s">
        <v>68</v>
      </c>
      <c r="J3714">
        <v>8</v>
      </c>
      <c r="K3714">
        <v>4.5</v>
      </c>
      <c r="L3714" s="2">
        <v>118.25</v>
      </c>
      <c r="M3714">
        <v>2032</v>
      </c>
      <c r="N3714">
        <v>3</v>
      </c>
      <c r="O3714" t="s">
        <v>202</v>
      </c>
      <c r="P3714" s="2">
        <v>173.89</v>
      </c>
      <c r="Q3714" s="2">
        <v>55.64</v>
      </c>
      <c r="R3714" t="s">
        <v>72</v>
      </c>
      <c r="S3714">
        <v>1</v>
      </c>
      <c r="T3714">
        <v>0</v>
      </c>
      <c r="U3714">
        <f>IF(AND(OR(Dashboard!$D$4="Semua",D3714=Dashboard!$D$4),OR(Dashboard!$H$4="Semua",E3714=Dashboard!$H$4)),1,0)</f>
        <v>1</v>
      </c>
      <c r="V3714">
        <f>IF(U3714=1,IF(COUNTIFS($C$2:C3714,C3714,$U$2:U3714,1)=1,1,0),0)</f>
        <v>0</v>
      </c>
    </row>
    <row r="3715" spans="1:22" x14ac:dyDescent="0.35">
      <c r="A3715">
        <v>13714</v>
      </c>
      <c r="B3715" s="1">
        <v>48275</v>
      </c>
      <c r="C3715">
        <v>1013</v>
      </c>
      <c r="D3715" t="s">
        <v>80</v>
      </c>
      <c r="E3715" t="s">
        <v>74</v>
      </c>
      <c r="F3715">
        <v>5</v>
      </c>
      <c r="G3715" s="2">
        <v>100.14</v>
      </c>
      <c r="H3715">
        <v>0.3</v>
      </c>
      <c r="I3715" t="s">
        <v>68</v>
      </c>
      <c r="J3715">
        <v>7</v>
      </c>
      <c r="K3715">
        <v>4.3</v>
      </c>
      <c r="L3715" s="2">
        <v>350.49</v>
      </c>
      <c r="M3715">
        <v>2032</v>
      </c>
      <c r="N3715">
        <v>3</v>
      </c>
      <c r="O3715" t="s">
        <v>202</v>
      </c>
      <c r="P3715" s="2">
        <v>500.7</v>
      </c>
      <c r="Q3715" s="2">
        <v>150.21</v>
      </c>
      <c r="R3715" t="s">
        <v>66</v>
      </c>
      <c r="S3715">
        <v>1</v>
      </c>
      <c r="T3715">
        <v>0</v>
      </c>
      <c r="U3715">
        <f>IF(AND(OR(Dashboard!$D$4="Semua",D3715=Dashboard!$D$4),OR(Dashboard!$H$4="Semua",E3715=Dashboard!$H$4)),1,0)</f>
        <v>1</v>
      </c>
      <c r="V3715">
        <f>IF(U3715=1,IF(COUNTIFS($C$2:C3715,C3715,$U$2:U3715,1)=1,1,0),0)</f>
        <v>0</v>
      </c>
    </row>
    <row r="3716" spans="1:22" x14ac:dyDescent="0.35">
      <c r="A3716">
        <v>13715</v>
      </c>
      <c r="B3716" s="1">
        <v>48276</v>
      </c>
      <c r="C3716">
        <v>1632</v>
      </c>
      <c r="D3716" t="s">
        <v>80</v>
      </c>
      <c r="E3716" t="s">
        <v>70</v>
      </c>
      <c r="F3716">
        <v>7</v>
      </c>
      <c r="G3716" s="2">
        <v>369.58</v>
      </c>
      <c r="H3716">
        <v>0.26</v>
      </c>
      <c r="I3716" t="s">
        <v>68</v>
      </c>
      <c r="J3716">
        <v>7</v>
      </c>
      <c r="K3716">
        <v>2.7</v>
      </c>
      <c r="L3716" s="2">
        <v>1914.42</v>
      </c>
      <c r="M3716">
        <v>2032</v>
      </c>
      <c r="N3716">
        <v>3</v>
      </c>
      <c r="O3716" t="s">
        <v>202</v>
      </c>
      <c r="P3716" s="2">
        <v>2587.06</v>
      </c>
      <c r="Q3716" s="2">
        <v>672.64</v>
      </c>
      <c r="R3716" t="s">
        <v>66</v>
      </c>
      <c r="S3716">
        <v>1</v>
      </c>
      <c r="T3716">
        <v>0</v>
      </c>
      <c r="U3716">
        <f>IF(AND(OR(Dashboard!$D$4="Semua",D3716=Dashboard!$D$4),OR(Dashboard!$H$4="Semua",E3716=Dashboard!$H$4)),1,0)</f>
        <v>1</v>
      </c>
      <c r="V3716">
        <f>IF(U3716=1,IF(COUNTIFS($C$2:C3716,C3716,$U$2:U3716,1)=1,1,0),0)</f>
        <v>0</v>
      </c>
    </row>
    <row r="3717" spans="1:22" x14ac:dyDescent="0.35">
      <c r="A3717">
        <v>13716</v>
      </c>
      <c r="B3717" s="1">
        <v>48277</v>
      </c>
      <c r="C3717">
        <v>1417</v>
      </c>
      <c r="D3717" t="s">
        <v>73</v>
      </c>
      <c r="E3717" t="s">
        <v>78</v>
      </c>
      <c r="F3717">
        <v>1</v>
      </c>
      <c r="G3717" s="2">
        <v>301.17</v>
      </c>
      <c r="H3717">
        <v>0.26</v>
      </c>
      <c r="I3717" t="s">
        <v>71</v>
      </c>
      <c r="J3717">
        <v>8</v>
      </c>
      <c r="K3717">
        <v>3.6</v>
      </c>
      <c r="L3717" s="2">
        <v>222.87</v>
      </c>
      <c r="M3717">
        <v>2032</v>
      </c>
      <c r="N3717">
        <v>3</v>
      </c>
      <c r="O3717" t="s">
        <v>202</v>
      </c>
      <c r="P3717" s="2">
        <v>301.17</v>
      </c>
      <c r="Q3717" s="2">
        <v>78.3</v>
      </c>
      <c r="R3717" t="s">
        <v>66</v>
      </c>
      <c r="S3717">
        <v>1</v>
      </c>
      <c r="T3717">
        <v>0</v>
      </c>
      <c r="U3717">
        <f>IF(AND(OR(Dashboard!$D$4="Semua",D3717=Dashboard!$D$4),OR(Dashboard!$H$4="Semua",E3717=Dashboard!$H$4)),1,0)</f>
        <v>1</v>
      </c>
      <c r="V3717">
        <f>IF(U3717=1,IF(COUNTIFS($C$2:C3717,C3717,$U$2:U3717,1)=1,1,0),0)</f>
        <v>0</v>
      </c>
    </row>
    <row r="3718" spans="1:22" x14ac:dyDescent="0.35">
      <c r="A3718">
        <v>13717</v>
      </c>
      <c r="B3718" s="1">
        <v>48278</v>
      </c>
      <c r="C3718">
        <v>1436</v>
      </c>
      <c r="D3718" t="s">
        <v>67</v>
      </c>
      <c r="E3718" t="s">
        <v>74</v>
      </c>
      <c r="F3718">
        <v>7</v>
      </c>
      <c r="G3718" s="2">
        <v>71.150000000000006</v>
      </c>
      <c r="H3718">
        <v>0.04</v>
      </c>
      <c r="I3718" t="s">
        <v>71</v>
      </c>
      <c r="J3718">
        <v>5</v>
      </c>
      <c r="K3718">
        <v>2.2000000000000002</v>
      </c>
      <c r="L3718" s="2">
        <v>478.13</v>
      </c>
      <c r="M3718">
        <v>2032</v>
      </c>
      <c r="N3718">
        <v>3</v>
      </c>
      <c r="O3718" t="s">
        <v>202</v>
      </c>
      <c r="P3718" s="2">
        <v>498.05</v>
      </c>
      <c r="Q3718" s="2">
        <v>19.920000000000002</v>
      </c>
      <c r="R3718" t="s">
        <v>75</v>
      </c>
      <c r="S3718">
        <v>1</v>
      </c>
      <c r="T3718">
        <v>0</v>
      </c>
      <c r="U3718">
        <f>IF(AND(OR(Dashboard!$D$4="Semua",D3718=Dashboard!$D$4),OR(Dashboard!$H$4="Semua",E3718=Dashboard!$H$4)),1,0)</f>
        <v>1</v>
      </c>
      <c r="V3718">
        <f>IF(U3718=1,IF(COUNTIFS($C$2:C3718,C3718,$U$2:U3718,1)=1,1,0),0)</f>
        <v>0</v>
      </c>
    </row>
    <row r="3719" spans="1:22" x14ac:dyDescent="0.35">
      <c r="A3719">
        <v>13718</v>
      </c>
      <c r="B3719" s="1">
        <v>48279</v>
      </c>
      <c r="C3719">
        <v>1376</v>
      </c>
      <c r="D3719" t="s">
        <v>62</v>
      </c>
      <c r="E3719" t="s">
        <v>74</v>
      </c>
      <c r="F3719">
        <v>4</v>
      </c>
      <c r="G3719" s="2">
        <v>246.44</v>
      </c>
      <c r="H3719">
        <v>0.09</v>
      </c>
      <c r="I3719" t="s">
        <v>64</v>
      </c>
      <c r="J3719">
        <v>3</v>
      </c>
      <c r="K3719">
        <v>3.5</v>
      </c>
      <c r="L3719" s="2">
        <v>897.04</v>
      </c>
      <c r="M3719">
        <v>2032</v>
      </c>
      <c r="N3719">
        <v>3</v>
      </c>
      <c r="O3719" t="s">
        <v>202</v>
      </c>
      <c r="P3719" s="2">
        <v>985.76</v>
      </c>
      <c r="Q3719" s="2">
        <v>88.72</v>
      </c>
      <c r="R3719" t="s">
        <v>69</v>
      </c>
      <c r="S3719">
        <v>1</v>
      </c>
      <c r="T3719">
        <v>0</v>
      </c>
      <c r="U3719">
        <f>IF(AND(OR(Dashboard!$D$4="Semua",D3719=Dashboard!$D$4),OR(Dashboard!$H$4="Semua",E3719=Dashboard!$H$4)),1,0)</f>
        <v>1</v>
      </c>
      <c r="V3719">
        <f>IF(U3719=1,IF(COUNTIFS($C$2:C3719,C3719,$U$2:U3719,1)=1,1,0),0)</f>
        <v>0</v>
      </c>
    </row>
    <row r="3720" spans="1:22" x14ac:dyDescent="0.35">
      <c r="A3720">
        <v>13719</v>
      </c>
      <c r="B3720" s="1">
        <v>48280</v>
      </c>
      <c r="C3720">
        <v>1019</v>
      </c>
      <c r="D3720" t="s">
        <v>67</v>
      </c>
      <c r="E3720" t="s">
        <v>63</v>
      </c>
      <c r="F3720">
        <v>1</v>
      </c>
      <c r="G3720" s="2">
        <v>316.14</v>
      </c>
      <c r="H3720">
        <v>0.02</v>
      </c>
      <c r="I3720" t="s">
        <v>64</v>
      </c>
      <c r="J3720">
        <v>2</v>
      </c>
      <c r="K3720">
        <v>4.7</v>
      </c>
      <c r="L3720" s="2">
        <v>309.82</v>
      </c>
      <c r="M3720">
        <v>2032</v>
      </c>
      <c r="N3720">
        <v>3</v>
      </c>
      <c r="O3720" t="s">
        <v>202</v>
      </c>
      <c r="P3720" s="2">
        <v>316.14</v>
      </c>
      <c r="Q3720" s="2">
        <v>6.32</v>
      </c>
      <c r="R3720" t="s">
        <v>75</v>
      </c>
      <c r="S3720">
        <v>1</v>
      </c>
      <c r="T3720">
        <v>0</v>
      </c>
      <c r="U3720">
        <f>IF(AND(OR(Dashboard!$D$4="Semua",D3720=Dashboard!$D$4),OR(Dashboard!$H$4="Semua",E3720=Dashboard!$H$4)),1,0)</f>
        <v>1</v>
      </c>
      <c r="V3720">
        <f>IF(U3720=1,IF(COUNTIFS($C$2:C3720,C3720,$U$2:U3720,1)=1,1,0),0)</f>
        <v>0</v>
      </c>
    </row>
    <row r="3721" spans="1:22" x14ac:dyDescent="0.35">
      <c r="A3721">
        <v>13720</v>
      </c>
      <c r="B3721" s="1">
        <v>48281</v>
      </c>
      <c r="C3721">
        <v>1586</v>
      </c>
      <c r="D3721" t="s">
        <v>62</v>
      </c>
      <c r="E3721" t="s">
        <v>74</v>
      </c>
      <c r="F3721">
        <v>7</v>
      </c>
      <c r="G3721" s="2">
        <v>498.73</v>
      </c>
      <c r="H3721">
        <v>0</v>
      </c>
      <c r="I3721" t="s">
        <v>71</v>
      </c>
      <c r="J3721">
        <v>3</v>
      </c>
      <c r="K3721">
        <v>3.5</v>
      </c>
      <c r="L3721" s="2">
        <v>3491.11</v>
      </c>
      <c r="M3721">
        <v>2032</v>
      </c>
      <c r="N3721">
        <v>3</v>
      </c>
      <c r="O3721" t="s">
        <v>202</v>
      </c>
      <c r="P3721" s="2">
        <v>3491.11</v>
      </c>
      <c r="Q3721" s="2">
        <v>0</v>
      </c>
      <c r="R3721" t="s">
        <v>75</v>
      </c>
      <c r="S3721">
        <v>1</v>
      </c>
      <c r="T3721">
        <v>1</v>
      </c>
      <c r="U3721">
        <f>IF(AND(OR(Dashboard!$D$4="Semua",D3721=Dashboard!$D$4),OR(Dashboard!$H$4="Semua",E3721=Dashboard!$H$4)),1,0)</f>
        <v>1</v>
      </c>
      <c r="V3721">
        <f>IF(U3721=1,IF(COUNTIFS($C$2:C3721,C3721,$U$2:U3721,1)=1,1,0),0)</f>
        <v>0</v>
      </c>
    </row>
    <row r="3722" spans="1:22" x14ac:dyDescent="0.35">
      <c r="A3722">
        <v>13721</v>
      </c>
      <c r="B3722" s="1">
        <v>48282</v>
      </c>
      <c r="C3722">
        <v>1911</v>
      </c>
      <c r="D3722" t="s">
        <v>67</v>
      </c>
      <c r="E3722" t="s">
        <v>63</v>
      </c>
      <c r="F3722">
        <v>5</v>
      </c>
      <c r="G3722" s="2">
        <v>59.52</v>
      </c>
      <c r="H3722">
        <v>0.06</v>
      </c>
      <c r="I3722" t="s">
        <v>68</v>
      </c>
      <c r="J3722">
        <v>11</v>
      </c>
      <c r="K3722">
        <v>2.2000000000000002</v>
      </c>
      <c r="L3722" s="2">
        <v>279.74</v>
      </c>
      <c r="M3722">
        <v>2032</v>
      </c>
      <c r="N3722">
        <v>3</v>
      </c>
      <c r="O3722" t="s">
        <v>202</v>
      </c>
      <c r="P3722" s="2">
        <v>297.60000000000002</v>
      </c>
      <c r="Q3722" s="2">
        <v>17.86</v>
      </c>
      <c r="R3722" t="s">
        <v>69</v>
      </c>
      <c r="S3722">
        <v>1</v>
      </c>
      <c r="T3722">
        <v>0</v>
      </c>
      <c r="U3722">
        <f>IF(AND(OR(Dashboard!$D$4="Semua",D3722=Dashboard!$D$4),OR(Dashboard!$H$4="Semua",E3722=Dashboard!$H$4)),1,0)</f>
        <v>1</v>
      </c>
      <c r="V3722">
        <f>IF(U3722=1,IF(COUNTIFS($C$2:C3722,C3722,$U$2:U3722,1)=1,1,0),0)</f>
        <v>0</v>
      </c>
    </row>
    <row r="3723" spans="1:22" x14ac:dyDescent="0.35">
      <c r="A3723">
        <v>13722</v>
      </c>
      <c r="B3723" s="1">
        <v>48283</v>
      </c>
      <c r="C3723">
        <v>1754</v>
      </c>
      <c r="D3723" t="s">
        <v>73</v>
      </c>
      <c r="E3723" t="s">
        <v>78</v>
      </c>
      <c r="F3723">
        <v>7</v>
      </c>
      <c r="G3723" s="2">
        <v>218.87</v>
      </c>
      <c r="H3723">
        <v>0.31</v>
      </c>
      <c r="I3723" t="s">
        <v>68</v>
      </c>
      <c r="J3723">
        <v>11</v>
      </c>
      <c r="K3723">
        <v>3.6</v>
      </c>
      <c r="L3723" s="2">
        <v>1057.1400000000001</v>
      </c>
      <c r="M3723">
        <v>2032</v>
      </c>
      <c r="N3723">
        <v>3</v>
      </c>
      <c r="O3723" t="s">
        <v>202</v>
      </c>
      <c r="P3723" s="2">
        <v>1532.09</v>
      </c>
      <c r="Q3723" s="2">
        <v>474.95</v>
      </c>
      <c r="R3723" t="s">
        <v>72</v>
      </c>
      <c r="S3723">
        <v>1</v>
      </c>
      <c r="T3723">
        <v>0</v>
      </c>
      <c r="U3723">
        <f>IF(AND(OR(Dashboard!$D$4="Semua",D3723=Dashboard!$D$4),OR(Dashboard!$H$4="Semua",E3723=Dashboard!$H$4)),1,0)</f>
        <v>1</v>
      </c>
      <c r="V3723">
        <f>IF(U3723=1,IF(COUNTIFS($C$2:C3723,C3723,$U$2:U3723,1)=1,1,0),0)</f>
        <v>0</v>
      </c>
    </row>
    <row r="3724" spans="1:22" x14ac:dyDescent="0.35">
      <c r="A3724">
        <v>13723</v>
      </c>
      <c r="B3724" s="1">
        <v>48284</v>
      </c>
      <c r="C3724">
        <v>1734</v>
      </c>
      <c r="D3724" t="s">
        <v>67</v>
      </c>
      <c r="E3724" t="s">
        <v>63</v>
      </c>
      <c r="F3724">
        <v>1</v>
      </c>
      <c r="G3724" s="2">
        <v>496.25</v>
      </c>
      <c r="H3724">
        <v>0.08</v>
      </c>
      <c r="I3724" t="s">
        <v>71</v>
      </c>
      <c r="J3724">
        <v>3</v>
      </c>
      <c r="K3724">
        <v>4.5999999999999996</v>
      </c>
      <c r="L3724" s="2">
        <v>456.55</v>
      </c>
      <c r="M3724">
        <v>2032</v>
      </c>
      <c r="N3724">
        <v>3</v>
      </c>
      <c r="O3724" t="s">
        <v>202</v>
      </c>
      <c r="P3724" s="2">
        <v>496.25</v>
      </c>
      <c r="Q3724" s="2">
        <v>39.700000000000003</v>
      </c>
      <c r="R3724" t="s">
        <v>69</v>
      </c>
      <c r="S3724">
        <v>1</v>
      </c>
      <c r="T3724">
        <v>0</v>
      </c>
      <c r="U3724">
        <f>IF(AND(OR(Dashboard!$D$4="Semua",D3724=Dashboard!$D$4),OR(Dashboard!$H$4="Semua",E3724=Dashboard!$H$4)),1,0)</f>
        <v>1</v>
      </c>
      <c r="V3724">
        <f>IF(U3724=1,IF(COUNTIFS($C$2:C3724,C3724,$U$2:U3724,1)=1,1,0),0)</f>
        <v>0</v>
      </c>
    </row>
    <row r="3725" spans="1:22" x14ac:dyDescent="0.35">
      <c r="A3725">
        <v>13724</v>
      </c>
      <c r="B3725" s="1">
        <v>48285</v>
      </c>
      <c r="C3725">
        <v>1069</v>
      </c>
      <c r="D3725" t="s">
        <v>62</v>
      </c>
      <c r="E3725" t="s">
        <v>74</v>
      </c>
      <c r="F3725">
        <v>2</v>
      </c>
      <c r="G3725" s="2">
        <v>394.33</v>
      </c>
      <c r="H3725">
        <v>0.34</v>
      </c>
      <c r="I3725" t="s">
        <v>71</v>
      </c>
      <c r="J3725">
        <v>7</v>
      </c>
      <c r="K3725">
        <v>1.5</v>
      </c>
      <c r="L3725" s="2">
        <v>520.52</v>
      </c>
      <c r="M3725">
        <v>2032</v>
      </c>
      <c r="N3725">
        <v>3</v>
      </c>
      <c r="O3725" t="s">
        <v>202</v>
      </c>
      <c r="P3725" s="2">
        <v>788.66</v>
      </c>
      <c r="Q3725" s="2">
        <v>268.14</v>
      </c>
      <c r="R3725" t="s">
        <v>72</v>
      </c>
      <c r="S3725">
        <v>1</v>
      </c>
      <c r="T3725">
        <v>0</v>
      </c>
      <c r="U3725">
        <f>IF(AND(OR(Dashboard!$D$4="Semua",D3725=Dashboard!$D$4),OR(Dashboard!$H$4="Semua",E3725=Dashboard!$H$4)),1,0)</f>
        <v>1</v>
      </c>
      <c r="V3725">
        <f>IF(U3725=1,IF(COUNTIFS($C$2:C3725,C3725,$U$2:U3725,1)=1,1,0),0)</f>
        <v>0</v>
      </c>
    </row>
    <row r="3726" spans="1:22" x14ac:dyDescent="0.35">
      <c r="A3726">
        <v>13725</v>
      </c>
      <c r="B3726" s="1">
        <v>48286</v>
      </c>
      <c r="C3726">
        <v>1823</v>
      </c>
      <c r="D3726" t="s">
        <v>73</v>
      </c>
      <c r="E3726" t="s">
        <v>70</v>
      </c>
      <c r="F3726">
        <v>6</v>
      </c>
      <c r="G3726" s="2">
        <v>184.63</v>
      </c>
      <c r="H3726">
        <v>0.21</v>
      </c>
      <c r="I3726" t="s">
        <v>71</v>
      </c>
      <c r="J3726">
        <v>1</v>
      </c>
      <c r="K3726">
        <v>2.9</v>
      </c>
      <c r="L3726" s="2">
        <v>875.15</v>
      </c>
      <c r="M3726">
        <v>2032</v>
      </c>
      <c r="N3726">
        <v>3</v>
      </c>
      <c r="O3726" t="s">
        <v>202</v>
      </c>
      <c r="P3726" s="2">
        <v>1107.78</v>
      </c>
      <c r="Q3726" s="2">
        <v>232.63</v>
      </c>
      <c r="R3726" t="s">
        <v>77</v>
      </c>
      <c r="S3726">
        <v>1</v>
      </c>
      <c r="T3726">
        <v>0</v>
      </c>
      <c r="U3726">
        <f>IF(AND(OR(Dashboard!$D$4="Semua",D3726=Dashboard!$D$4),OR(Dashboard!$H$4="Semua",E3726=Dashboard!$H$4)),1,0)</f>
        <v>1</v>
      </c>
      <c r="V3726">
        <f>IF(U3726=1,IF(COUNTIFS($C$2:C3726,C3726,$U$2:U3726,1)=1,1,0),0)</f>
        <v>0</v>
      </c>
    </row>
    <row r="3727" spans="1:22" x14ac:dyDescent="0.35">
      <c r="A3727">
        <v>13726</v>
      </c>
      <c r="B3727" s="1">
        <v>48287</v>
      </c>
      <c r="C3727">
        <v>1210</v>
      </c>
      <c r="D3727" t="s">
        <v>62</v>
      </c>
      <c r="E3727" t="s">
        <v>70</v>
      </c>
      <c r="F3727">
        <v>1</v>
      </c>
      <c r="G3727" s="2">
        <v>509.52</v>
      </c>
      <c r="H3727">
        <v>0.08</v>
      </c>
      <c r="I3727" t="s">
        <v>64</v>
      </c>
      <c r="J3727">
        <v>7</v>
      </c>
      <c r="K3727">
        <v>2.2999999999999998</v>
      </c>
      <c r="L3727" s="2">
        <v>468.76</v>
      </c>
      <c r="M3727">
        <v>2032</v>
      </c>
      <c r="N3727">
        <v>3</v>
      </c>
      <c r="O3727" t="s">
        <v>202</v>
      </c>
      <c r="P3727" s="2">
        <v>509.52</v>
      </c>
      <c r="Q3727" s="2">
        <v>40.76</v>
      </c>
      <c r="R3727" t="s">
        <v>69</v>
      </c>
      <c r="S3727">
        <v>1</v>
      </c>
      <c r="T3727">
        <v>0</v>
      </c>
      <c r="U3727">
        <f>IF(AND(OR(Dashboard!$D$4="Semua",D3727=Dashboard!$D$4),OR(Dashboard!$H$4="Semua",E3727=Dashboard!$H$4)),1,0)</f>
        <v>1</v>
      </c>
      <c r="V3727">
        <f>IF(U3727=1,IF(COUNTIFS($C$2:C3727,C3727,$U$2:U3727,1)=1,1,0),0)</f>
        <v>0</v>
      </c>
    </row>
    <row r="3728" spans="1:22" x14ac:dyDescent="0.35">
      <c r="A3728">
        <v>13727</v>
      </c>
      <c r="B3728" s="1">
        <v>48288</v>
      </c>
      <c r="C3728">
        <v>1100</v>
      </c>
      <c r="D3728" t="s">
        <v>62</v>
      </c>
      <c r="E3728" t="s">
        <v>78</v>
      </c>
      <c r="F3728">
        <v>6</v>
      </c>
      <c r="G3728" s="2">
        <v>303.58</v>
      </c>
      <c r="H3728">
        <v>0.17</v>
      </c>
      <c r="I3728" t="s">
        <v>64</v>
      </c>
      <c r="J3728">
        <v>6</v>
      </c>
      <c r="K3728">
        <v>2</v>
      </c>
      <c r="L3728" s="2">
        <v>1511.83</v>
      </c>
      <c r="M3728">
        <v>2032</v>
      </c>
      <c r="N3728">
        <v>3</v>
      </c>
      <c r="O3728" t="s">
        <v>202</v>
      </c>
      <c r="P3728" s="2">
        <v>1821.48</v>
      </c>
      <c r="Q3728" s="2">
        <v>309.64999999999998</v>
      </c>
      <c r="R3728" t="s">
        <v>76</v>
      </c>
      <c r="S3728">
        <v>1</v>
      </c>
      <c r="T3728">
        <v>0</v>
      </c>
      <c r="U3728">
        <f>IF(AND(OR(Dashboard!$D$4="Semua",D3728=Dashboard!$D$4),OR(Dashboard!$H$4="Semua",E3728=Dashboard!$H$4)),1,0)</f>
        <v>1</v>
      </c>
      <c r="V3728">
        <f>IF(U3728=1,IF(COUNTIFS($C$2:C3728,C3728,$U$2:U3728,1)=1,1,0),0)</f>
        <v>0</v>
      </c>
    </row>
    <row r="3729" spans="1:22" x14ac:dyDescent="0.35">
      <c r="A3729">
        <v>13728</v>
      </c>
      <c r="B3729" s="1">
        <v>48289</v>
      </c>
      <c r="C3729">
        <v>1697</v>
      </c>
      <c r="D3729" t="s">
        <v>67</v>
      </c>
      <c r="E3729" t="s">
        <v>78</v>
      </c>
      <c r="F3729">
        <v>1</v>
      </c>
      <c r="G3729" s="2">
        <v>306.54000000000002</v>
      </c>
      <c r="H3729">
        <v>0.08</v>
      </c>
      <c r="I3729" t="s">
        <v>68</v>
      </c>
      <c r="J3729">
        <v>11</v>
      </c>
      <c r="K3729">
        <v>2.6</v>
      </c>
      <c r="L3729" s="2">
        <v>282.02</v>
      </c>
      <c r="M3729">
        <v>2032</v>
      </c>
      <c r="N3729">
        <v>3</v>
      </c>
      <c r="O3729" t="s">
        <v>202</v>
      </c>
      <c r="P3729" s="2">
        <v>306.54000000000002</v>
      </c>
      <c r="Q3729" s="2">
        <v>24.52</v>
      </c>
      <c r="R3729" t="s">
        <v>69</v>
      </c>
      <c r="S3729">
        <v>1</v>
      </c>
      <c r="T3729">
        <v>0</v>
      </c>
      <c r="U3729">
        <f>IF(AND(OR(Dashboard!$D$4="Semua",D3729=Dashboard!$D$4),OR(Dashboard!$H$4="Semua",E3729=Dashboard!$H$4)),1,0)</f>
        <v>1</v>
      </c>
      <c r="V3729">
        <f>IF(U3729=1,IF(COUNTIFS($C$2:C3729,C3729,$U$2:U3729,1)=1,1,0),0)</f>
        <v>0</v>
      </c>
    </row>
    <row r="3730" spans="1:22" x14ac:dyDescent="0.35">
      <c r="A3730">
        <v>13729</v>
      </c>
      <c r="B3730" s="1">
        <v>48290</v>
      </c>
      <c r="C3730">
        <v>1131</v>
      </c>
      <c r="D3730" t="s">
        <v>73</v>
      </c>
      <c r="E3730" t="s">
        <v>70</v>
      </c>
      <c r="F3730">
        <v>5</v>
      </c>
      <c r="G3730" s="2">
        <v>586.29999999999995</v>
      </c>
      <c r="H3730">
        <v>0.34</v>
      </c>
      <c r="I3730" t="s">
        <v>68</v>
      </c>
      <c r="J3730">
        <v>10</v>
      </c>
      <c r="K3730">
        <v>2.6</v>
      </c>
      <c r="L3730" s="2">
        <v>1934.79</v>
      </c>
      <c r="M3730">
        <v>2032</v>
      </c>
      <c r="N3730">
        <v>3</v>
      </c>
      <c r="O3730" t="s">
        <v>202</v>
      </c>
      <c r="P3730" s="2">
        <v>2931.5</v>
      </c>
      <c r="Q3730" s="2">
        <v>996.71</v>
      </c>
      <c r="R3730" t="s">
        <v>72</v>
      </c>
      <c r="S3730">
        <v>1</v>
      </c>
      <c r="T3730">
        <v>0</v>
      </c>
      <c r="U3730">
        <f>IF(AND(OR(Dashboard!$D$4="Semua",D3730=Dashboard!$D$4),OR(Dashboard!$H$4="Semua",E3730=Dashboard!$H$4)),1,0)</f>
        <v>1</v>
      </c>
      <c r="V3730">
        <f>IF(U3730=1,IF(COUNTIFS($C$2:C3730,C3730,$U$2:U3730,1)=1,1,0),0)</f>
        <v>0</v>
      </c>
    </row>
    <row r="3731" spans="1:22" x14ac:dyDescent="0.35">
      <c r="A3731">
        <v>13730</v>
      </c>
      <c r="B3731" s="1">
        <v>48291</v>
      </c>
      <c r="C3731">
        <v>1622</v>
      </c>
      <c r="D3731" t="s">
        <v>80</v>
      </c>
      <c r="E3731" t="s">
        <v>63</v>
      </c>
      <c r="F3731">
        <v>4</v>
      </c>
      <c r="G3731" s="2">
        <v>569.05999999999995</v>
      </c>
      <c r="H3731">
        <v>0.3</v>
      </c>
      <c r="I3731" t="s">
        <v>64</v>
      </c>
      <c r="J3731">
        <v>2</v>
      </c>
      <c r="K3731">
        <v>1.8</v>
      </c>
      <c r="L3731" s="2">
        <v>1593.37</v>
      </c>
      <c r="M3731">
        <v>2032</v>
      </c>
      <c r="N3731">
        <v>3</v>
      </c>
      <c r="O3731" t="s">
        <v>202</v>
      </c>
      <c r="P3731" s="2">
        <v>2276.2399999999998</v>
      </c>
      <c r="Q3731" s="2">
        <v>682.87</v>
      </c>
      <c r="R3731" t="s">
        <v>66</v>
      </c>
      <c r="S3731">
        <v>1</v>
      </c>
      <c r="T3731">
        <v>0</v>
      </c>
      <c r="U3731">
        <f>IF(AND(OR(Dashboard!$D$4="Semua",D3731=Dashboard!$D$4),OR(Dashboard!$H$4="Semua",E3731=Dashboard!$H$4)),1,0)</f>
        <v>1</v>
      </c>
      <c r="V3731">
        <f>IF(U3731=1,IF(COUNTIFS($C$2:C3731,C3731,$U$2:U3731,1)=1,1,0),0)</f>
        <v>0</v>
      </c>
    </row>
    <row r="3732" spans="1:22" x14ac:dyDescent="0.35">
      <c r="A3732">
        <v>13731</v>
      </c>
      <c r="B3732" s="1">
        <v>48292</v>
      </c>
      <c r="C3732">
        <v>1380</v>
      </c>
      <c r="D3732" t="s">
        <v>73</v>
      </c>
      <c r="E3732" t="s">
        <v>78</v>
      </c>
      <c r="F3732">
        <v>4</v>
      </c>
      <c r="G3732" s="2">
        <v>224.74</v>
      </c>
      <c r="H3732">
        <v>0.01</v>
      </c>
      <c r="I3732" t="s">
        <v>64</v>
      </c>
      <c r="J3732">
        <v>10</v>
      </c>
      <c r="K3732">
        <v>2.6</v>
      </c>
      <c r="L3732" s="2">
        <v>889.97</v>
      </c>
      <c r="M3732">
        <v>2032</v>
      </c>
      <c r="N3732">
        <v>3</v>
      </c>
      <c r="O3732" t="s">
        <v>202</v>
      </c>
      <c r="P3732" s="2">
        <v>898.96</v>
      </c>
      <c r="Q3732" s="2">
        <v>8.99</v>
      </c>
      <c r="R3732" t="s">
        <v>75</v>
      </c>
      <c r="S3732">
        <v>1</v>
      </c>
      <c r="T3732">
        <v>0</v>
      </c>
      <c r="U3732">
        <f>IF(AND(OR(Dashboard!$D$4="Semua",D3732=Dashboard!$D$4),OR(Dashboard!$H$4="Semua",E3732=Dashboard!$H$4)),1,0)</f>
        <v>1</v>
      </c>
      <c r="V3732">
        <f>IF(U3732=1,IF(COUNTIFS($C$2:C3732,C3732,$U$2:U3732,1)=1,1,0),0)</f>
        <v>0</v>
      </c>
    </row>
    <row r="3733" spans="1:22" x14ac:dyDescent="0.35">
      <c r="A3733">
        <v>13732</v>
      </c>
      <c r="B3733" s="1">
        <v>48293</v>
      </c>
      <c r="C3733">
        <v>1131</v>
      </c>
      <c r="D3733" t="s">
        <v>80</v>
      </c>
      <c r="E3733" t="s">
        <v>74</v>
      </c>
      <c r="F3733">
        <v>6</v>
      </c>
      <c r="G3733" s="2">
        <v>97.24</v>
      </c>
      <c r="H3733">
        <v>0.33</v>
      </c>
      <c r="I3733" t="s">
        <v>68</v>
      </c>
      <c r="J3733">
        <v>1</v>
      </c>
      <c r="K3733">
        <v>3.5</v>
      </c>
      <c r="L3733" s="2">
        <v>390.9</v>
      </c>
      <c r="M3733">
        <v>2032</v>
      </c>
      <c r="N3733">
        <v>3</v>
      </c>
      <c r="O3733" t="s">
        <v>202</v>
      </c>
      <c r="P3733" s="2">
        <v>583.44000000000005</v>
      </c>
      <c r="Q3733" s="2">
        <v>192.54</v>
      </c>
      <c r="R3733" t="s">
        <v>72</v>
      </c>
      <c r="S3733">
        <v>1</v>
      </c>
      <c r="T3733">
        <v>0</v>
      </c>
      <c r="U3733">
        <f>IF(AND(OR(Dashboard!$D$4="Semua",D3733=Dashboard!$D$4),OR(Dashboard!$H$4="Semua",E3733=Dashboard!$H$4)),1,0)</f>
        <v>1</v>
      </c>
      <c r="V3733">
        <f>IF(U3733=1,IF(COUNTIFS($C$2:C3733,C3733,$U$2:U3733,1)=1,1,0),0)</f>
        <v>0</v>
      </c>
    </row>
    <row r="3734" spans="1:22" x14ac:dyDescent="0.35">
      <c r="A3734">
        <v>13733</v>
      </c>
      <c r="B3734" s="1">
        <v>48294</v>
      </c>
      <c r="C3734">
        <v>1019</v>
      </c>
      <c r="D3734" t="s">
        <v>67</v>
      </c>
      <c r="E3734" t="s">
        <v>78</v>
      </c>
      <c r="F3734">
        <v>5</v>
      </c>
      <c r="G3734" s="2">
        <v>205.52</v>
      </c>
      <c r="H3734">
        <v>0.25</v>
      </c>
      <c r="I3734" t="s">
        <v>71</v>
      </c>
      <c r="J3734">
        <v>9</v>
      </c>
      <c r="K3734">
        <v>1.1000000000000001</v>
      </c>
      <c r="L3734" s="2">
        <v>770.7</v>
      </c>
      <c r="M3734">
        <v>2032</v>
      </c>
      <c r="N3734">
        <v>3</v>
      </c>
      <c r="O3734" t="s">
        <v>202</v>
      </c>
      <c r="P3734" s="2">
        <v>1027.5999999999999</v>
      </c>
      <c r="Q3734" s="2">
        <v>256.89999999999998</v>
      </c>
      <c r="R3734" t="s">
        <v>77</v>
      </c>
      <c r="S3734">
        <v>1</v>
      </c>
      <c r="T3734">
        <v>0</v>
      </c>
      <c r="U3734">
        <f>IF(AND(OR(Dashboard!$D$4="Semua",D3734=Dashboard!$D$4),OR(Dashboard!$H$4="Semua",E3734=Dashboard!$H$4)),1,0)</f>
        <v>1</v>
      </c>
      <c r="V3734">
        <f>IF(U3734=1,IF(COUNTIFS($C$2:C3734,C3734,$U$2:U3734,1)=1,1,0),0)</f>
        <v>0</v>
      </c>
    </row>
    <row r="3735" spans="1:22" x14ac:dyDescent="0.35">
      <c r="A3735">
        <v>13734</v>
      </c>
      <c r="B3735" s="1">
        <v>48295</v>
      </c>
      <c r="C3735">
        <v>1905</v>
      </c>
      <c r="D3735" t="s">
        <v>67</v>
      </c>
      <c r="E3735" t="s">
        <v>63</v>
      </c>
      <c r="F3735">
        <v>7</v>
      </c>
      <c r="G3735" s="2">
        <v>32.83</v>
      </c>
      <c r="H3735">
        <v>0.03</v>
      </c>
      <c r="I3735" t="s">
        <v>71</v>
      </c>
      <c r="J3735">
        <v>2</v>
      </c>
      <c r="K3735">
        <v>5</v>
      </c>
      <c r="L3735" s="2">
        <v>222.92</v>
      </c>
      <c r="M3735">
        <v>2032</v>
      </c>
      <c r="N3735">
        <v>3</v>
      </c>
      <c r="O3735" t="s">
        <v>202</v>
      </c>
      <c r="P3735" s="2">
        <v>229.81</v>
      </c>
      <c r="Q3735" s="2">
        <v>6.89</v>
      </c>
      <c r="R3735" t="s">
        <v>75</v>
      </c>
      <c r="S3735">
        <v>1</v>
      </c>
      <c r="T3735">
        <v>0</v>
      </c>
      <c r="U3735">
        <f>IF(AND(OR(Dashboard!$D$4="Semua",D3735=Dashboard!$D$4),OR(Dashboard!$H$4="Semua",E3735=Dashboard!$H$4)),1,0)</f>
        <v>1</v>
      </c>
      <c r="V3735">
        <f>IF(U3735=1,IF(COUNTIFS($C$2:C3735,C3735,$U$2:U3735,1)=1,1,0),0)</f>
        <v>0</v>
      </c>
    </row>
    <row r="3736" spans="1:22" x14ac:dyDescent="0.35">
      <c r="A3736">
        <v>13735</v>
      </c>
      <c r="B3736" s="1">
        <v>48296</v>
      </c>
      <c r="C3736">
        <v>1535</v>
      </c>
      <c r="D3736" t="s">
        <v>80</v>
      </c>
      <c r="E3736" t="s">
        <v>78</v>
      </c>
      <c r="F3736">
        <v>5</v>
      </c>
      <c r="G3736" s="2">
        <v>27.15</v>
      </c>
      <c r="H3736">
        <v>0.23</v>
      </c>
      <c r="I3736" t="s">
        <v>71</v>
      </c>
      <c r="J3736">
        <v>4</v>
      </c>
      <c r="K3736">
        <v>2.2000000000000002</v>
      </c>
      <c r="L3736" s="2">
        <v>104.53</v>
      </c>
      <c r="M3736">
        <v>2032</v>
      </c>
      <c r="N3736">
        <v>3</v>
      </c>
      <c r="O3736" t="s">
        <v>202</v>
      </c>
      <c r="P3736" s="2">
        <v>135.75</v>
      </c>
      <c r="Q3736" s="2">
        <v>31.22</v>
      </c>
      <c r="R3736" t="s">
        <v>77</v>
      </c>
      <c r="S3736">
        <v>1</v>
      </c>
      <c r="T3736">
        <v>0</v>
      </c>
      <c r="U3736">
        <f>IF(AND(OR(Dashboard!$D$4="Semua",D3736=Dashboard!$D$4),OR(Dashboard!$H$4="Semua",E3736=Dashboard!$H$4)),1,0)</f>
        <v>1</v>
      </c>
      <c r="V3736">
        <f>IF(U3736=1,IF(COUNTIFS($C$2:C3736,C3736,$U$2:U3736,1)=1,1,0),0)</f>
        <v>0</v>
      </c>
    </row>
    <row r="3737" spans="1:22" x14ac:dyDescent="0.35">
      <c r="A3737">
        <v>13736</v>
      </c>
      <c r="B3737" s="1">
        <v>48297</v>
      </c>
      <c r="C3737">
        <v>1226</v>
      </c>
      <c r="D3737" t="s">
        <v>67</v>
      </c>
      <c r="E3737" t="s">
        <v>74</v>
      </c>
      <c r="F3737">
        <v>5</v>
      </c>
      <c r="G3737" s="2">
        <v>246.38</v>
      </c>
      <c r="H3737">
        <v>0.23</v>
      </c>
      <c r="I3737" t="s">
        <v>68</v>
      </c>
      <c r="J3737">
        <v>9</v>
      </c>
      <c r="K3737">
        <v>3.5</v>
      </c>
      <c r="L3737" s="2">
        <v>948.56</v>
      </c>
      <c r="M3737">
        <v>2032</v>
      </c>
      <c r="N3737">
        <v>3</v>
      </c>
      <c r="O3737" t="s">
        <v>202</v>
      </c>
      <c r="P3737" s="2">
        <v>1231.9000000000001</v>
      </c>
      <c r="Q3737" s="2">
        <v>283.33999999999997</v>
      </c>
      <c r="R3737" t="s">
        <v>77</v>
      </c>
      <c r="S3737">
        <v>1</v>
      </c>
      <c r="T3737">
        <v>0</v>
      </c>
      <c r="U3737">
        <f>IF(AND(OR(Dashboard!$D$4="Semua",D3737=Dashboard!$D$4),OR(Dashboard!$H$4="Semua",E3737=Dashboard!$H$4)),1,0)</f>
        <v>1</v>
      </c>
      <c r="V3737">
        <f>IF(U3737=1,IF(COUNTIFS($C$2:C3737,C3737,$U$2:U3737,1)=1,1,0),0)</f>
        <v>0</v>
      </c>
    </row>
    <row r="3738" spans="1:22" x14ac:dyDescent="0.35">
      <c r="A3738">
        <v>13737</v>
      </c>
      <c r="B3738" s="1">
        <v>48298</v>
      </c>
      <c r="C3738">
        <v>1153</v>
      </c>
      <c r="D3738" t="s">
        <v>67</v>
      </c>
      <c r="E3738" t="s">
        <v>74</v>
      </c>
      <c r="F3738">
        <v>2</v>
      </c>
      <c r="G3738" s="2">
        <v>565.5</v>
      </c>
      <c r="H3738">
        <v>0.08</v>
      </c>
      <c r="I3738" t="s">
        <v>64</v>
      </c>
      <c r="J3738">
        <v>9</v>
      </c>
      <c r="K3738">
        <v>2.1</v>
      </c>
      <c r="L3738" s="2">
        <v>1040.52</v>
      </c>
      <c r="M3738">
        <v>2032</v>
      </c>
      <c r="N3738">
        <v>3</v>
      </c>
      <c r="O3738" t="s">
        <v>202</v>
      </c>
      <c r="P3738" s="2">
        <v>1131</v>
      </c>
      <c r="Q3738" s="2">
        <v>90.48</v>
      </c>
      <c r="R3738" t="s">
        <v>69</v>
      </c>
      <c r="S3738">
        <v>1</v>
      </c>
      <c r="T3738">
        <v>0</v>
      </c>
      <c r="U3738">
        <f>IF(AND(OR(Dashboard!$D$4="Semua",D3738=Dashboard!$D$4),OR(Dashboard!$H$4="Semua",E3738=Dashboard!$H$4)),1,0)</f>
        <v>1</v>
      </c>
      <c r="V3738">
        <f>IF(U3738=1,IF(COUNTIFS($C$2:C3738,C3738,$U$2:U3738,1)=1,1,0),0)</f>
        <v>0</v>
      </c>
    </row>
    <row r="3739" spans="1:22" x14ac:dyDescent="0.35">
      <c r="A3739">
        <v>13738</v>
      </c>
      <c r="B3739" s="1">
        <v>48299</v>
      </c>
      <c r="C3739">
        <v>1804</v>
      </c>
      <c r="D3739" t="s">
        <v>67</v>
      </c>
      <c r="E3739" t="s">
        <v>74</v>
      </c>
      <c r="F3739">
        <v>3</v>
      </c>
      <c r="G3739" s="2">
        <v>524.74</v>
      </c>
      <c r="H3739">
        <v>0.27</v>
      </c>
      <c r="I3739" t="s">
        <v>71</v>
      </c>
      <c r="J3739">
        <v>11</v>
      </c>
      <c r="K3739">
        <v>2.6</v>
      </c>
      <c r="L3739" s="2">
        <v>1149.18</v>
      </c>
      <c r="M3739">
        <v>2032</v>
      </c>
      <c r="N3739">
        <v>3</v>
      </c>
      <c r="O3739" t="s">
        <v>202</v>
      </c>
      <c r="P3739" s="2">
        <v>1574.22</v>
      </c>
      <c r="Q3739" s="2">
        <v>425.04</v>
      </c>
      <c r="R3739" t="s">
        <v>66</v>
      </c>
      <c r="S3739">
        <v>1</v>
      </c>
      <c r="T3739">
        <v>0</v>
      </c>
      <c r="U3739">
        <f>IF(AND(OR(Dashboard!$D$4="Semua",D3739=Dashboard!$D$4),OR(Dashboard!$H$4="Semua",E3739=Dashboard!$H$4)),1,0)</f>
        <v>1</v>
      </c>
      <c r="V3739">
        <f>IF(U3739=1,IF(COUNTIFS($C$2:C3739,C3739,$U$2:U3739,1)=1,1,0),0)</f>
        <v>0</v>
      </c>
    </row>
    <row r="3740" spans="1:22" x14ac:dyDescent="0.35">
      <c r="A3740">
        <v>13739</v>
      </c>
      <c r="B3740" s="1">
        <v>48300</v>
      </c>
      <c r="C3740">
        <v>1741</v>
      </c>
      <c r="D3740" t="s">
        <v>67</v>
      </c>
      <c r="E3740" t="s">
        <v>63</v>
      </c>
      <c r="F3740">
        <v>1</v>
      </c>
      <c r="G3740" s="2">
        <v>314.19</v>
      </c>
      <c r="H3740">
        <v>0.03</v>
      </c>
      <c r="I3740" t="s">
        <v>68</v>
      </c>
      <c r="J3740">
        <v>1</v>
      </c>
      <c r="K3740">
        <v>3.2</v>
      </c>
      <c r="L3740" s="2">
        <v>304.76</v>
      </c>
      <c r="M3740">
        <v>2032</v>
      </c>
      <c r="N3740">
        <v>3</v>
      </c>
      <c r="O3740" t="s">
        <v>202</v>
      </c>
      <c r="P3740" s="2">
        <v>314.19</v>
      </c>
      <c r="Q3740" s="2">
        <v>9.43</v>
      </c>
      <c r="R3740" t="s">
        <v>75</v>
      </c>
      <c r="S3740">
        <v>1</v>
      </c>
      <c r="T3740">
        <v>0</v>
      </c>
      <c r="U3740">
        <f>IF(AND(OR(Dashboard!$D$4="Semua",D3740=Dashboard!$D$4),OR(Dashboard!$H$4="Semua",E3740=Dashboard!$H$4)),1,0)</f>
        <v>1</v>
      </c>
      <c r="V3740">
        <f>IF(U3740=1,IF(COUNTIFS($C$2:C3740,C3740,$U$2:U3740,1)=1,1,0),0)</f>
        <v>0</v>
      </c>
    </row>
    <row r="3741" spans="1:22" x14ac:dyDescent="0.35">
      <c r="A3741">
        <v>13740</v>
      </c>
      <c r="B3741" s="1">
        <v>48301</v>
      </c>
      <c r="C3741">
        <v>1468</v>
      </c>
      <c r="D3741" t="s">
        <v>67</v>
      </c>
      <c r="E3741" t="s">
        <v>63</v>
      </c>
      <c r="F3741">
        <v>5</v>
      </c>
      <c r="G3741" s="2">
        <v>345.66</v>
      </c>
      <c r="H3741">
        <v>0.17</v>
      </c>
      <c r="I3741" t="s">
        <v>71</v>
      </c>
      <c r="J3741">
        <v>2</v>
      </c>
      <c r="K3741">
        <v>3.4</v>
      </c>
      <c r="L3741" s="2">
        <v>1434.49</v>
      </c>
      <c r="M3741">
        <v>2032</v>
      </c>
      <c r="N3741">
        <v>3</v>
      </c>
      <c r="O3741" t="s">
        <v>202</v>
      </c>
      <c r="P3741" s="2">
        <v>1728.3</v>
      </c>
      <c r="Q3741" s="2">
        <v>293.81</v>
      </c>
      <c r="R3741" t="s">
        <v>76</v>
      </c>
      <c r="S3741">
        <v>1</v>
      </c>
      <c r="T3741">
        <v>0</v>
      </c>
      <c r="U3741">
        <f>IF(AND(OR(Dashboard!$D$4="Semua",D3741=Dashboard!$D$4),OR(Dashboard!$H$4="Semua",E3741=Dashboard!$H$4)),1,0)</f>
        <v>1</v>
      </c>
      <c r="V3741">
        <f>IF(U3741=1,IF(COUNTIFS($C$2:C3741,C3741,$U$2:U3741,1)=1,1,0),0)</f>
        <v>0</v>
      </c>
    </row>
    <row r="3742" spans="1:22" x14ac:dyDescent="0.35">
      <c r="A3742">
        <v>13741</v>
      </c>
      <c r="B3742" s="1">
        <v>48302</v>
      </c>
      <c r="C3742">
        <v>1821</v>
      </c>
      <c r="D3742" t="s">
        <v>80</v>
      </c>
      <c r="E3742" t="s">
        <v>74</v>
      </c>
      <c r="F3742">
        <v>5</v>
      </c>
      <c r="G3742" s="2">
        <v>18.47</v>
      </c>
      <c r="H3742">
        <v>0</v>
      </c>
      <c r="I3742" t="s">
        <v>71</v>
      </c>
      <c r="J3742">
        <v>2</v>
      </c>
      <c r="K3742">
        <v>4.0999999999999996</v>
      </c>
      <c r="L3742" s="2">
        <v>92.35</v>
      </c>
      <c r="M3742">
        <v>2032</v>
      </c>
      <c r="N3742">
        <v>3</v>
      </c>
      <c r="O3742" t="s">
        <v>202</v>
      </c>
      <c r="P3742" s="2">
        <v>92.35</v>
      </c>
      <c r="Q3742" s="2">
        <v>0</v>
      </c>
      <c r="R3742" t="s">
        <v>75</v>
      </c>
      <c r="S3742">
        <v>1</v>
      </c>
      <c r="T3742">
        <v>0</v>
      </c>
      <c r="U3742">
        <f>IF(AND(OR(Dashboard!$D$4="Semua",D3742=Dashboard!$D$4),OR(Dashboard!$H$4="Semua",E3742=Dashboard!$H$4)),1,0)</f>
        <v>1</v>
      </c>
      <c r="V3742">
        <f>IF(U3742=1,IF(COUNTIFS($C$2:C3742,C3742,$U$2:U3742,1)=1,1,0),0)</f>
        <v>0</v>
      </c>
    </row>
    <row r="3743" spans="1:22" x14ac:dyDescent="0.35">
      <c r="A3743">
        <v>13742</v>
      </c>
      <c r="B3743" s="1">
        <v>48303</v>
      </c>
      <c r="C3743">
        <v>1999</v>
      </c>
      <c r="D3743" t="s">
        <v>67</v>
      </c>
      <c r="E3743" t="s">
        <v>74</v>
      </c>
      <c r="F3743">
        <v>5</v>
      </c>
      <c r="G3743" s="2">
        <v>141.07</v>
      </c>
      <c r="H3743">
        <v>0.34</v>
      </c>
      <c r="I3743" t="s">
        <v>64</v>
      </c>
      <c r="J3743">
        <v>2</v>
      </c>
      <c r="K3743">
        <v>4.2</v>
      </c>
      <c r="L3743" s="2">
        <v>465.53</v>
      </c>
      <c r="M3743">
        <v>2032</v>
      </c>
      <c r="N3743">
        <v>3</v>
      </c>
      <c r="O3743" t="s">
        <v>202</v>
      </c>
      <c r="P3743" s="2">
        <v>705.35</v>
      </c>
      <c r="Q3743" s="2">
        <v>239.82</v>
      </c>
      <c r="R3743" t="s">
        <v>72</v>
      </c>
      <c r="S3743">
        <v>1</v>
      </c>
      <c r="T3743">
        <v>0</v>
      </c>
      <c r="U3743">
        <f>IF(AND(OR(Dashboard!$D$4="Semua",D3743=Dashboard!$D$4),OR(Dashboard!$H$4="Semua",E3743=Dashboard!$H$4)),1,0)</f>
        <v>1</v>
      </c>
      <c r="V3743">
        <f>IF(U3743=1,IF(COUNTIFS($C$2:C3743,C3743,$U$2:U3743,1)=1,1,0),0)</f>
        <v>1</v>
      </c>
    </row>
    <row r="3744" spans="1:22" x14ac:dyDescent="0.35">
      <c r="A3744">
        <v>13743</v>
      </c>
      <c r="B3744" s="1">
        <v>48304</v>
      </c>
      <c r="C3744">
        <v>1870</v>
      </c>
      <c r="D3744" t="s">
        <v>67</v>
      </c>
      <c r="E3744" t="s">
        <v>63</v>
      </c>
      <c r="F3744">
        <v>4</v>
      </c>
      <c r="G3744" s="2">
        <v>29.49</v>
      </c>
      <c r="H3744">
        <v>0.26</v>
      </c>
      <c r="I3744" t="s">
        <v>68</v>
      </c>
      <c r="J3744">
        <v>8</v>
      </c>
      <c r="K3744">
        <v>3.1</v>
      </c>
      <c r="L3744" s="2">
        <v>87.29</v>
      </c>
      <c r="M3744">
        <v>2032</v>
      </c>
      <c r="N3744">
        <v>3</v>
      </c>
      <c r="O3744" t="s">
        <v>202</v>
      </c>
      <c r="P3744" s="2">
        <v>117.96</v>
      </c>
      <c r="Q3744" s="2">
        <v>30.67</v>
      </c>
      <c r="R3744" t="s">
        <v>66</v>
      </c>
      <c r="S3744">
        <v>1</v>
      </c>
      <c r="T3744">
        <v>0</v>
      </c>
      <c r="U3744">
        <f>IF(AND(OR(Dashboard!$D$4="Semua",D3744=Dashboard!$D$4),OR(Dashboard!$H$4="Semua",E3744=Dashboard!$H$4)),1,0)</f>
        <v>1</v>
      </c>
      <c r="V3744">
        <f>IF(U3744=1,IF(COUNTIFS($C$2:C3744,C3744,$U$2:U3744,1)=1,1,0),0)</f>
        <v>0</v>
      </c>
    </row>
    <row r="3745" spans="1:22" x14ac:dyDescent="0.35">
      <c r="A3745">
        <v>13744</v>
      </c>
      <c r="B3745" s="1">
        <v>48305</v>
      </c>
      <c r="C3745">
        <v>1404</v>
      </c>
      <c r="D3745" t="s">
        <v>80</v>
      </c>
      <c r="E3745" t="s">
        <v>63</v>
      </c>
      <c r="F3745">
        <v>5</v>
      </c>
      <c r="G3745" s="2">
        <v>456.41</v>
      </c>
      <c r="H3745">
        <v>0.06</v>
      </c>
      <c r="I3745" t="s">
        <v>64</v>
      </c>
      <c r="J3745">
        <v>8</v>
      </c>
      <c r="K3745">
        <v>1.3</v>
      </c>
      <c r="L3745" s="2">
        <v>2145.13</v>
      </c>
      <c r="M3745">
        <v>2032</v>
      </c>
      <c r="N3745">
        <v>4</v>
      </c>
      <c r="O3745" t="s">
        <v>203</v>
      </c>
      <c r="P3745" s="2">
        <v>2282.0500000000002</v>
      </c>
      <c r="Q3745" s="2">
        <v>136.91999999999999</v>
      </c>
      <c r="R3745" t="s">
        <v>69</v>
      </c>
      <c r="S3745">
        <v>1</v>
      </c>
      <c r="T3745">
        <v>0</v>
      </c>
      <c r="U3745">
        <f>IF(AND(OR(Dashboard!$D$4="Semua",D3745=Dashboard!$D$4),OR(Dashboard!$H$4="Semua",E3745=Dashboard!$H$4)),1,0)</f>
        <v>1</v>
      </c>
      <c r="V3745">
        <f>IF(U3745=1,IF(COUNTIFS($C$2:C3745,C3745,$U$2:U3745,1)=1,1,0),0)</f>
        <v>0</v>
      </c>
    </row>
    <row r="3746" spans="1:22" x14ac:dyDescent="0.35">
      <c r="A3746">
        <v>13745</v>
      </c>
      <c r="B3746" s="1">
        <v>48306</v>
      </c>
      <c r="C3746">
        <v>1201</v>
      </c>
      <c r="D3746" t="s">
        <v>73</v>
      </c>
      <c r="E3746" t="s">
        <v>63</v>
      </c>
      <c r="F3746">
        <v>1</v>
      </c>
      <c r="G3746" s="2">
        <v>100.2</v>
      </c>
      <c r="H3746">
        <v>0.12</v>
      </c>
      <c r="I3746" t="s">
        <v>68</v>
      </c>
      <c r="J3746">
        <v>10</v>
      </c>
      <c r="K3746">
        <v>3.2</v>
      </c>
      <c r="L3746" s="2">
        <v>88.18</v>
      </c>
      <c r="M3746">
        <v>2032</v>
      </c>
      <c r="N3746">
        <v>4</v>
      </c>
      <c r="O3746" t="s">
        <v>203</v>
      </c>
      <c r="P3746" s="2">
        <v>100.2</v>
      </c>
      <c r="Q3746" s="2">
        <v>12.02</v>
      </c>
      <c r="R3746" t="s">
        <v>79</v>
      </c>
      <c r="S3746">
        <v>1</v>
      </c>
      <c r="T3746">
        <v>0</v>
      </c>
      <c r="U3746">
        <f>IF(AND(OR(Dashboard!$D$4="Semua",D3746=Dashboard!$D$4),OR(Dashboard!$H$4="Semua",E3746=Dashboard!$H$4)),1,0)</f>
        <v>1</v>
      </c>
      <c r="V3746">
        <f>IF(U3746=1,IF(COUNTIFS($C$2:C3746,C3746,$U$2:U3746,1)=1,1,0),0)</f>
        <v>0</v>
      </c>
    </row>
    <row r="3747" spans="1:22" x14ac:dyDescent="0.35">
      <c r="A3747">
        <v>13746</v>
      </c>
      <c r="B3747" s="1">
        <v>48307</v>
      </c>
      <c r="C3747">
        <v>1037</v>
      </c>
      <c r="D3747" t="s">
        <v>73</v>
      </c>
      <c r="E3747" t="s">
        <v>70</v>
      </c>
      <c r="F3747">
        <v>7</v>
      </c>
      <c r="G3747" s="2">
        <v>523.39</v>
      </c>
      <c r="H3747">
        <v>0.06</v>
      </c>
      <c r="I3747" t="s">
        <v>71</v>
      </c>
      <c r="J3747">
        <v>8</v>
      </c>
      <c r="K3747">
        <v>2.9</v>
      </c>
      <c r="L3747" s="2">
        <v>3443.91</v>
      </c>
      <c r="M3747">
        <v>2032</v>
      </c>
      <c r="N3747">
        <v>4</v>
      </c>
      <c r="O3747" t="s">
        <v>203</v>
      </c>
      <c r="P3747" s="2">
        <v>3663.73</v>
      </c>
      <c r="Q3747" s="2">
        <v>219.82</v>
      </c>
      <c r="R3747" t="s">
        <v>69</v>
      </c>
      <c r="S3747">
        <v>1</v>
      </c>
      <c r="T3747">
        <v>1</v>
      </c>
      <c r="U3747">
        <f>IF(AND(OR(Dashboard!$D$4="Semua",D3747=Dashboard!$D$4),OR(Dashboard!$H$4="Semua",E3747=Dashboard!$H$4)),1,0)</f>
        <v>1</v>
      </c>
      <c r="V3747">
        <f>IF(U3747=1,IF(COUNTIFS($C$2:C3747,C3747,$U$2:U3747,1)=1,1,0),0)</f>
        <v>0</v>
      </c>
    </row>
    <row r="3748" spans="1:22" x14ac:dyDescent="0.35">
      <c r="A3748">
        <v>13747</v>
      </c>
      <c r="B3748" s="1">
        <v>48308</v>
      </c>
      <c r="C3748">
        <v>1941</v>
      </c>
      <c r="D3748" t="s">
        <v>62</v>
      </c>
      <c r="E3748" t="s">
        <v>63</v>
      </c>
      <c r="F3748">
        <v>7</v>
      </c>
      <c r="G3748" s="2">
        <v>391.34</v>
      </c>
      <c r="H3748">
        <v>0.27</v>
      </c>
      <c r="I3748" t="s">
        <v>71</v>
      </c>
      <c r="J3748">
        <v>4</v>
      </c>
      <c r="K3748">
        <v>1.9</v>
      </c>
      <c r="L3748" s="2">
        <v>1999.75</v>
      </c>
      <c r="M3748">
        <v>2032</v>
      </c>
      <c r="N3748">
        <v>4</v>
      </c>
      <c r="O3748" t="s">
        <v>203</v>
      </c>
      <c r="P3748" s="2">
        <v>2739.38</v>
      </c>
      <c r="Q3748" s="2">
        <v>739.63</v>
      </c>
      <c r="R3748" t="s">
        <v>66</v>
      </c>
      <c r="S3748">
        <v>1</v>
      </c>
      <c r="T3748">
        <v>0</v>
      </c>
      <c r="U3748">
        <f>IF(AND(OR(Dashboard!$D$4="Semua",D3748=Dashboard!$D$4),OR(Dashboard!$H$4="Semua",E3748=Dashboard!$H$4)),1,0)</f>
        <v>1</v>
      </c>
      <c r="V3748">
        <f>IF(U3748=1,IF(COUNTIFS($C$2:C3748,C3748,$U$2:U3748,1)=1,1,0),0)</f>
        <v>0</v>
      </c>
    </row>
    <row r="3749" spans="1:22" x14ac:dyDescent="0.35">
      <c r="A3749">
        <v>13748</v>
      </c>
      <c r="B3749" s="1">
        <v>48309</v>
      </c>
      <c r="C3749">
        <v>1771</v>
      </c>
      <c r="D3749" t="s">
        <v>80</v>
      </c>
      <c r="E3749" t="s">
        <v>74</v>
      </c>
      <c r="F3749">
        <v>5</v>
      </c>
      <c r="G3749" s="2">
        <v>149.21</v>
      </c>
      <c r="H3749">
        <v>0.02</v>
      </c>
      <c r="I3749" t="s">
        <v>68</v>
      </c>
      <c r="J3749">
        <v>8</v>
      </c>
      <c r="K3749">
        <v>1</v>
      </c>
      <c r="L3749" s="2">
        <v>731.13</v>
      </c>
      <c r="M3749">
        <v>2032</v>
      </c>
      <c r="N3749">
        <v>4</v>
      </c>
      <c r="O3749" t="s">
        <v>203</v>
      </c>
      <c r="P3749" s="2">
        <v>746.05</v>
      </c>
      <c r="Q3749" s="2">
        <v>14.92</v>
      </c>
      <c r="R3749" t="s">
        <v>75</v>
      </c>
      <c r="S3749">
        <v>1</v>
      </c>
      <c r="T3749">
        <v>0</v>
      </c>
      <c r="U3749">
        <f>IF(AND(OR(Dashboard!$D$4="Semua",D3749=Dashboard!$D$4),OR(Dashboard!$H$4="Semua",E3749=Dashboard!$H$4)),1,0)</f>
        <v>1</v>
      </c>
      <c r="V3749">
        <f>IF(U3749=1,IF(COUNTIFS($C$2:C3749,C3749,$U$2:U3749,1)=1,1,0),0)</f>
        <v>0</v>
      </c>
    </row>
    <row r="3750" spans="1:22" x14ac:dyDescent="0.35">
      <c r="A3750">
        <v>13749</v>
      </c>
      <c r="B3750" s="1">
        <v>48310</v>
      </c>
      <c r="C3750">
        <v>1187</v>
      </c>
      <c r="D3750" t="s">
        <v>67</v>
      </c>
      <c r="E3750" t="s">
        <v>70</v>
      </c>
      <c r="F3750">
        <v>1</v>
      </c>
      <c r="G3750" s="2">
        <v>107.27</v>
      </c>
      <c r="H3750">
        <v>0.28999999999999998</v>
      </c>
      <c r="I3750" t="s">
        <v>71</v>
      </c>
      <c r="J3750">
        <v>7</v>
      </c>
      <c r="K3750">
        <v>2.2999999999999998</v>
      </c>
      <c r="L3750" s="2">
        <v>76.16</v>
      </c>
      <c r="M3750">
        <v>2032</v>
      </c>
      <c r="N3750">
        <v>4</v>
      </c>
      <c r="O3750" t="s">
        <v>203</v>
      </c>
      <c r="P3750" s="2">
        <v>107.27</v>
      </c>
      <c r="Q3750" s="2">
        <v>31.11</v>
      </c>
      <c r="R3750" t="s">
        <v>66</v>
      </c>
      <c r="S3750">
        <v>1</v>
      </c>
      <c r="T3750">
        <v>0</v>
      </c>
      <c r="U3750">
        <f>IF(AND(OR(Dashboard!$D$4="Semua",D3750=Dashboard!$D$4),OR(Dashboard!$H$4="Semua",E3750=Dashboard!$H$4)),1,0)</f>
        <v>1</v>
      </c>
      <c r="V3750">
        <f>IF(U3750=1,IF(COUNTIFS($C$2:C3750,C3750,$U$2:U3750,1)=1,1,0),0)</f>
        <v>0</v>
      </c>
    </row>
    <row r="3751" spans="1:22" x14ac:dyDescent="0.35">
      <c r="A3751">
        <v>13750</v>
      </c>
      <c r="B3751" s="1">
        <v>48311</v>
      </c>
      <c r="C3751">
        <v>1056</v>
      </c>
      <c r="D3751" t="s">
        <v>67</v>
      </c>
      <c r="E3751" t="s">
        <v>63</v>
      </c>
      <c r="F3751">
        <v>2</v>
      </c>
      <c r="G3751" s="2">
        <v>382.16</v>
      </c>
      <c r="H3751">
        <v>0.33</v>
      </c>
      <c r="I3751" t="s">
        <v>64</v>
      </c>
      <c r="J3751">
        <v>8</v>
      </c>
      <c r="K3751">
        <v>2</v>
      </c>
      <c r="L3751" s="2">
        <v>512.09</v>
      </c>
      <c r="M3751">
        <v>2032</v>
      </c>
      <c r="N3751">
        <v>4</v>
      </c>
      <c r="O3751" t="s">
        <v>203</v>
      </c>
      <c r="P3751" s="2">
        <v>764.32</v>
      </c>
      <c r="Q3751" s="2">
        <v>252.23</v>
      </c>
      <c r="R3751" t="s">
        <v>72</v>
      </c>
      <c r="S3751">
        <v>1</v>
      </c>
      <c r="T3751">
        <v>0</v>
      </c>
      <c r="U3751">
        <f>IF(AND(OR(Dashboard!$D$4="Semua",D3751=Dashboard!$D$4),OR(Dashboard!$H$4="Semua",E3751=Dashboard!$H$4)),1,0)</f>
        <v>1</v>
      </c>
      <c r="V3751">
        <f>IF(U3751=1,IF(COUNTIFS($C$2:C3751,C3751,$U$2:U3751,1)=1,1,0),0)</f>
        <v>1</v>
      </c>
    </row>
    <row r="3752" spans="1:22" x14ac:dyDescent="0.35">
      <c r="A3752">
        <v>13751</v>
      </c>
      <c r="B3752" s="1">
        <v>48312</v>
      </c>
      <c r="C3752">
        <v>1940</v>
      </c>
      <c r="D3752" t="s">
        <v>73</v>
      </c>
      <c r="E3752" t="s">
        <v>74</v>
      </c>
      <c r="F3752">
        <v>7</v>
      </c>
      <c r="G3752" s="2">
        <v>541.99</v>
      </c>
      <c r="H3752">
        <v>0.24</v>
      </c>
      <c r="I3752" t="s">
        <v>71</v>
      </c>
      <c r="J3752">
        <v>1</v>
      </c>
      <c r="K3752">
        <v>2.9</v>
      </c>
      <c r="L3752" s="2">
        <v>2883.39</v>
      </c>
      <c r="M3752">
        <v>2032</v>
      </c>
      <c r="N3752">
        <v>4</v>
      </c>
      <c r="O3752" t="s">
        <v>203</v>
      </c>
      <c r="P3752" s="2">
        <v>3793.93</v>
      </c>
      <c r="Q3752" s="2">
        <v>910.54</v>
      </c>
      <c r="R3752" t="s">
        <v>77</v>
      </c>
      <c r="S3752">
        <v>1</v>
      </c>
      <c r="T3752">
        <v>0</v>
      </c>
      <c r="U3752">
        <f>IF(AND(OR(Dashboard!$D$4="Semua",D3752=Dashboard!$D$4),OR(Dashboard!$H$4="Semua",E3752=Dashboard!$H$4)),1,0)</f>
        <v>1</v>
      </c>
      <c r="V3752">
        <f>IF(U3752=1,IF(COUNTIFS($C$2:C3752,C3752,$U$2:U3752,1)=1,1,0),0)</f>
        <v>1</v>
      </c>
    </row>
    <row r="3753" spans="1:22" x14ac:dyDescent="0.35">
      <c r="A3753">
        <v>13752</v>
      </c>
      <c r="B3753" s="1">
        <v>48313</v>
      </c>
      <c r="C3753">
        <v>1019</v>
      </c>
      <c r="D3753" t="s">
        <v>67</v>
      </c>
      <c r="E3753" t="s">
        <v>78</v>
      </c>
      <c r="F3753">
        <v>3</v>
      </c>
      <c r="G3753" s="2">
        <v>435.24</v>
      </c>
      <c r="H3753">
        <v>7.0000000000000007E-2</v>
      </c>
      <c r="I3753" t="s">
        <v>71</v>
      </c>
      <c r="J3753">
        <v>3</v>
      </c>
      <c r="K3753">
        <v>4</v>
      </c>
      <c r="L3753" s="2">
        <v>1214.32</v>
      </c>
      <c r="M3753">
        <v>2032</v>
      </c>
      <c r="N3753">
        <v>4</v>
      </c>
      <c r="O3753" t="s">
        <v>203</v>
      </c>
      <c r="P3753" s="2">
        <v>1305.72</v>
      </c>
      <c r="Q3753" s="2">
        <v>91.4</v>
      </c>
      <c r="R3753" t="s">
        <v>69</v>
      </c>
      <c r="S3753">
        <v>1</v>
      </c>
      <c r="T3753">
        <v>0</v>
      </c>
      <c r="U3753">
        <f>IF(AND(OR(Dashboard!$D$4="Semua",D3753=Dashboard!$D$4),OR(Dashboard!$H$4="Semua",E3753=Dashboard!$H$4)),1,0)</f>
        <v>1</v>
      </c>
      <c r="V3753">
        <f>IF(U3753=1,IF(COUNTIFS($C$2:C3753,C3753,$U$2:U3753,1)=1,1,0),0)</f>
        <v>0</v>
      </c>
    </row>
    <row r="3754" spans="1:22" x14ac:dyDescent="0.35">
      <c r="A3754">
        <v>13753</v>
      </c>
      <c r="B3754" s="1">
        <v>48314</v>
      </c>
      <c r="C3754">
        <v>1272</v>
      </c>
      <c r="D3754" t="s">
        <v>67</v>
      </c>
      <c r="E3754" t="s">
        <v>70</v>
      </c>
      <c r="F3754">
        <v>4</v>
      </c>
      <c r="G3754" s="2">
        <v>218.9</v>
      </c>
      <c r="H3754">
        <v>0.13</v>
      </c>
      <c r="I3754" t="s">
        <v>68</v>
      </c>
      <c r="J3754">
        <v>10</v>
      </c>
      <c r="K3754">
        <v>2.8</v>
      </c>
      <c r="L3754" s="2">
        <v>761.77</v>
      </c>
      <c r="M3754">
        <v>2032</v>
      </c>
      <c r="N3754">
        <v>4</v>
      </c>
      <c r="O3754" t="s">
        <v>203</v>
      </c>
      <c r="P3754" s="2">
        <v>875.6</v>
      </c>
      <c r="Q3754" s="2">
        <v>113.83</v>
      </c>
      <c r="R3754" t="s">
        <v>79</v>
      </c>
      <c r="S3754">
        <v>1</v>
      </c>
      <c r="T3754">
        <v>0</v>
      </c>
      <c r="U3754">
        <f>IF(AND(OR(Dashboard!$D$4="Semua",D3754=Dashboard!$D$4),OR(Dashboard!$H$4="Semua",E3754=Dashboard!$H$4)),1,0)</f>
        <v>1</v>
      </c>
      <c r="V3754">
        <f>IF(U3754=1,IF(COUNTIFS($C$2:C3754,C3754,$U$2:U3754,1)=1,1,0),0)</f>
        <v>0</v>
      </c>
    </row>
    <row r="3755" spans="1:22" x14ac:dyDescent="0.35">
      <c r="A3755">
        <v>13754</v>
      </c>
      <c r="B3755" s="1">
        <v>48315</v>
      </c>
      <c r="C3755">
        <v>1118</v>
      </c>
      <c r="D3755" t="s">
        <v>67</v>
      </c>
      <c r="E3755" t="s">
        <v>74</v>
      </c>
      <c r="F3755">
        <v>1</v>
      </c>
      <c r="G3755" s="2">
        <v>358.62</v>
      </c>
      <c r="H3755">
        <v>0.17</v>
      </c>
      <c r="I3755" t="s">
        <v>68</v>
      </c>
      <c r="J3755">
        <v>6</v>
      </c>
      <c r="K3755">
        <v>4.8</v>
      </c>
      <c r="L3755" s="2">
        <v>297.64999999999998</v>
      </c>
      <c r="M3755">
        <v>2032</v>
      </c>
      <c r="N3755">
        <v>4</v>
      </c>
      <c r="O3755" t="s">
        <v>203</v>
      </c>
      <c r="P3755" s="2">
        <v>358.62</v>
      </c>
      <c r="Q3755" s="2">
        <v>60.97</v>
      </c>
      <c r="R3755" t="s">
        <v>76</v>
      </c>
      <c r="S3755">
        <v>1</v>
      </c>
      <c r="T3755">
        <v>0</v>
      </c>
      <c r="U3755">
        <f>IF(AND(OR(Dashboard!$D$4="Semua",D3755=Dashboard!$D$4),OR(Dashboard!$H$4="Semua",E3755=Dashboard!$H$4)),1,0)</f>
        <v>1</v>
      </c>
      <c r="V3755">
        <f>IF(U3755=1,IF(COUNTIFS($C$2:C3755,C3755,$U$2:U3755,1)=1,1,0),0)</f>
        <v>0</v>
      </c>
    </row>
    <row r="3756" spans="1:22" x14ac:dyDescent="0.35">
      <c r="A3756">
        <v>13755</v>
      </c>
      <c r="B3756" s="1">
        <v>48316</v>
      </c>
      <c r="C3756">
        <v>1582</v>
      </c>
      <c r="D3756" t="s">
        <v>67</v>
      </c>
      <c r="E3756" t="s">
        <v>78</v>
      </c>
      <c r="F3756">
        <v>7</v>
      </c>
      <c r="G3756" s="2">
        <v>196.8</v>
      </c>
      <c r="H3756">
        <v>0.21</v>
      </c>
      <c r="I3756" t="s">
        <v>68</v>
      </c>
      <c r="J3756">
        <v>1</v>
      </c>
      <c r="K3756">
        <v>1.9</v>
      </c>
      <c r="L3756" s="2">
        <v>1088.3</v>
      </c>
      <c r="M3756">
        <v>2032</v>
      </c>
      <c r="N3756">
        <v>4</v>
      </c>
      <c r="O3756" t="s">
        <v>203</v>
      </c>
      <c r="P3756" s="2">
        <v>1377.6</v>
      </c>
      <c r="Q3756" s="2">
        <v>289.3</v>
      </c>
      <c r="R3756" t="s">
        <v>77</v>
      </c>
      <c r="S3756">
        <v>1</v>
      </c>
      <c r="T3756">
        <v>0</v>
      </c>
      <c r="U3756">
        <f>IF(AND(OR(Dashboard!$D$4="Semua",D3756=Dashboard!$D$4),OR(Dashboard!$H$4="Semua",E3756=Dashboard!$H$4)),1,0)</f>
        <v>1</v>
      </c>
      <c r="V3756">
        <f>IF(U3756=1,IF(COUNTIFS($C$2:C3756,C3756,$U$2:U3756,1)=1,1,0),0)</f>
        <v>0</v>
      </c>
    </row>
    <row r="3757" spans="1:22" x14ac:dyDescent="0.35">
      <c r="A3757">
        <v>13756</v>
      </c>
      <c r="B3757" s="1">
        <v>48317</v>
      </c>
      <c r="C3757">
        <v>1515</v>
      </c>
      <c r="D3757" t="s">
        <v>73</v>
      </c>
      <c r="E3757" t="s">
        <v>74</v>
      </c>
      <c r="F3757">
        <v>7</v>
      </c>
      <c r="G3757" s="2">
        <v>599.5</v>
      </c>
      <c r="H3757">
        <v>0.23</v>
      </c>
      <c r="I3757" t="s">
        <v>64</v>
      </c>
      <c r="J3757">
        <v>4</v>
      </c>
      <c r="K3757">
        <v>1.9</v>
      </c>
      <c r="L3757" s="2">
        <v>3231.3</v>
      </c>
      <c r="M3757">
        <v>2032</v>
      </c>
      <c r="N3757">
        <v>4</v>
      </c>
      <c r="O3757" t="s">
        <v>203</v>
      </c>
      <c r="P3757" s="2">
        <v>4196.5</v>
      </c>
      <c r="Q3757" s="2">
        <v>965.2</v>
      </c>
      <c r="R3757" t="s">
        <v>77</v>
      </c>
      <c r="S3757">
        <v>1</v>
      </c>
      <c r="T3757">
        <v>0</v>
      </c>
      <c r="U3757">
        <f>IF(AND(OR(Dashboard!$D$4="Semua",D3757=Dashboard!$D$4),OR(Dashboard!$H$4="Semua",E3757=Dashboard!$H$4)),1,0)</f>
        <v>1</v>
      </c>
      <c r="V3757">
        <f>IF(U3757=1,IF(COUNTIFS($C$2:C3757,C3757,$U$2:U3757,1)=1,1,0),0)</f>
        <v>0</v>
      </c>
    </row>
    <row r="3758" spans="1:22" x14ac:dyDescent="0.35">
      <c r="A3758">
        <v>13757</v>
      </c>
      <c r="B3758" s="1">
        <v>48318</v>
      </c>
      <c r="C3758">
        <v>1220</v>
      </c>
      <c r="D3758" t="s">
        <v>73</v>
      </c>
      <c r="E3758" t="s">
        <v>63</v>
      </c>
      <c r="F3758">
        <v>6</v>
      </c>
      <c r="G3758" s="2">
        <v>453.07</v>
      </c>
      <c r="H3758">
        <v>0.19</v>
      </c>
      <c r="I3758" t="s">
        <v>71</v>
      </c>
      <c r="J3758">
        <v>9</v>
      </c>
      <c r="K3758">
        <v>3.4</v>
      </c>
      <c r="L3758" s="2">
        <v>2201.92</v>
      </c>
      <c r="M3758">
        <v>2032</v>
      </c>
      <c r="N3758">
        <v>4</v>
      </c>
      <c r="O3758" t="s">
        <v>203</v>
      </c>
      <c r="P3758" s="2">
        <v>2718.42</v>
      </c>
      <c r="Q3758" s="2">
        <v>516.5</v>
      </c>
      <c r="R3758" t="s">
        <v>76</v>
      </c>
      <c r="S3758">
        <v>1</v>
      </c>
      <c r="T3758">
        <v>0</v>
      </c>
      <c r="U3758">
        <f>IF(AND(OR(Dashboard!$D$4="Semua",D3758=Dashboard!$D$4),OR(Dashboard!$H$4="Semua",E3758=Dashboard!$H$4)),1,0)</f>
        <v>1</v>
      </c>
      <c r="V3758">
        <f>IF(U3758=1,IF(COUNTIFS($C$2:C3758,C3758,$U$2:U3758,1)=1,1,0),0)</f>
        <v>0</v>
      </c>
    </row>
    <row r="3759" spans="1:22" x14ac:dyDescent="0.35">
      <c r="A3759">
        <v>13758</v>
      </c>
      <c r="B3759" s="1">
        <v>48319</v>
      </c>
      <c r="C3759">
        <v>1525</v>
      </c>
      <c r="D3759" t="s">
        <v>62</v>
      </c>
      <c r="E3759" t="s">
        <v>63</v>
      </c>
      <c r="F3759">
        <v>2</v>
      </c>
      <c r="G3759" s="2">
        <v>374.41</v>
      </c>
      <c r="H3759">
        <v>0.12</v>
      </c>
      <c r="I3759" t="s">
        <v>64</v>
      </c>
      <c r="J3759">
        <v>7</v>
      </c>
      <c r="K3759">
        <v>4.5999999999999996</v>
      </c>
      <c r="L3759" s="2">
        <v>658.96</v>
      </c>
      <c r="M3759">
        <v>2032</v>
      </c>
      <c r="N3759">
        <v>4</v>
      </c>
      <c r="O3759" t="s">
        <v>203</v>
      </c>
      <c r="P3759" s="2">
        <v>748.82</v>
      </c>
      <c r="Q3759" s="2">
        <v>89.86</v>
      </c>
      <c r="R3759" t="s">
        <v>79</v>
      </c>
      <c r="S3759">
        <v>1</v>
      </c>
      <c r="T3759">
        <v>0</v>
      </c>
      <c r="U3759">
        <f>IF(AND(OR(Dashboard!$D$4="Semua",D3759=Dashboard!$D$4),OR(Dashboard!$H$4="Semua",E3759=Dashboard!$H$4)),1,0)</f>
        <v>1</v>
      </c>
      <c r="V3759">
        <f>IF(U3759=1,IF(COUNTIFS($C$2:C3759,C3759,$U$2:U3759,1)=1,1,0),0)</f>
        <v>0</v>
      </c>
    </row>
    <row r="3760" spans="1:22" x14ac:dyDescent="0.35">
      <c r="A3760">
        <v>13759</v>
      </c>
      <c r="B3760" s="1">
        <v>48320</v>
      </c>
      <c r="C3760">
        <v>1514</v>
      </c>
      <c r="D3760" t="s">
        <v>67</v>
      </c>
      <c r="E3760" t="s">
        <v>78</v>
      </c>
      <c r="F3760">
        <v>3</v>
      </c>
      <c r="G3760" s="2">
        <v>262.61</v>
      </c>
      <c r="H3760">
        <v>0.31</v>
      </c>
      <c r="I3760" t="s">
        <v>68</v>
      </c>
      <c r="J3760">
        <v>1</v>
      </c>
      <c r="K3760">
        <v>3.7</v>
      </c>
      <c r="L3760" s="2">
        <v>543.6</v>
      </c>
      <c r="M3760">
        <v>2032</v>
      </c>
      <c r="N3760">
        <v>4</v>
      </c>
      <c r="O3760" t="s">
        <v>203</v>
      </c>
      <c r="P3760" s="2">
        <v>787.83</v>
      </c>
      <c r="Q3760" s="2">
        <v>244.23</v>
      </c>
      <c r="R3760" t="s">
        <v>72</v>
      </c>
      <c r="S3760">
        <v>1</v>
      </c>
      <c r="T3760">
        <v>0</v>
      </c>
      <c r="U3760">
        <f>IF(AND(OR(Dashboard!$D$4="Semua",D3760=Dashboard!$D$4),OR(Dashboard!$H$4="Semua",E3760=Dashboard!$H$4)),1,0)</f>
        <v>1</v>
      </c>
      <c r="V3760">
        <f>IF(U3760=1,IF(COUNTIFS($C$2:C3760,C3760,$U$2:U3760,1)=1,1,0),0)</f>
        <v>0</v>
      </c>
    </row>
    <row r="3761" spans="1:22" x14ac:dyDescent="0.35">
      <c r="A3761">
        <v>13760</v>
      </c>
      <c r="B3761" s="1">
        <v>48321</v>
      </c>
      <c r="C3761">
        <v>1727</v>
      </c>
      <c r="D3761" t="s">
        <v>67</v>
      </c>
      <c r="E3761" t="s">
        <v>63</v>
      </c>
      <c r="F3761">
        <v>3</v>
      </c>
      <c r="G3761" s="2">
        <v>376.62</v>
      </c>
      <c r="H3761">
        <v>0.03</v>
      </c>
      <c r="I3761" t="s">
        <v>71</v>
      </c>
      <c r="J3761">
        <v>6</v>
      </c>
      <c r="K3761">
        <v>3.7</v>
      </c>
      <c r="L3761" s="2">
        <v>1095.96</v>
      </c>
      <c r="M3761">
        <v>2032</v>
      </c>
      <c r="N3761">
        <v>4</v>
      </c>
      <c r="O3761" t="s">
        <v>203</v>
      </c>
      <c r="P3761" s="2">
        <v>1129.8599999999999</v>
      </c>
      <c r="Q3761" s="2">
        <v>33.9</v>
      </c>
      <c r="R3761" t="s">
        <v>75</v>
      </c>
      <c r="S3761">
        <v>1</v>
      </c>
      <c r="T3761">
        <v>0</v>
      </c>
      <c r="U3761">
        <f>IF(AND(OR(Dashboard!$D$4="Semua",D3761=Dashboard!$D$4),OR(Dashboard!$H$4="Semua",E3761=Dashboard!$H$4)),1,0)</f>
        <v>1</v>
      </c>
      <c r="V3761">
        <f>IF(U3761=1,IF(COUNTIFS($C$2:C3761,C3761,$U$2:U3761,1)=1,1,0),0)</f>
        <v>0</v>
      </c>
    </row>
    <row r="3762" spans="1:22" x14ac:dyDescent="0.35">
      <c r="A3762">
        <v>13761</v>
      </c>
      <c r="B3762" s="1">
        <v>48322</v>
      </c>
      <c r="C3762">
        <v>1740</v>
      </c>
      <c r="D3762" t="s">
        <v>73</v>
      </c>
      <c r="E3762" t="s">
        <v>74</v>
      </c>
      <c r="F3762">
        <v>3</v>
      </c>
      <c r="G3762" s="2">
        <v>214.85</v>
      </c>
      <c r="H3762">
        <v>0.16</v>
      </c>
      <c r="I3762" t="s">
        <v>68</v>
      </c>
      <c r="J3762">
        <v>6</v>
      </c>
      <c r="K3762">
        <v>4.2</v>
      </c>
      <c r="L3762" s="2">
        <v>541.41999999999996</v>
      </c>
      <c r="M3762">
        <v>2032</v>
      </c>
      <c r="N3762">
        <v>4</v>
      </c>
      <c r="O3762" t="s">
        <v>203</v>
      </c>
      <c r="P3762" s="2">
        <v>644.54999999999995</v>
      </c>
      <c r="Q3762" s="2">
        <v>103.13</v>
      </c>
      <c r="R3762" t="s">
        <v>76</v>
      </c>
      <c r="S3762">
        <v>1</v>
      </c>
      <c r="T3762">
        <v>0</v>
      </c>
      <c r="U3762">
        <f>IF(AND(OR(Dashboard!$D$4="Semua",D3762=Dashboard!$D$4),OR(Dashboard!$H$4="Semua",E3762=Dashboard!$H$4)),1,0)</f>
        <v>1</v>
      </c>
      <c r="V3762">
        <f>IF(U3762=1,IF(COUNTIFS($C$2:C3762,C3762,$U$2:U3762,1)=1,1,0),0)</f>
        <v>0</v>
      </c>
    </row>
    <row r="3763" spans="1:22" x14ac:dyDescent="0.35">
      <c r="A3763">
        <v>13762</v>
      </c>
      <c r="B3763" s="1">
        <v>48323</v>
      </c>
      <c r="C3763">
        <v>1335</v>
      </c>
      <c r="D3763" t="s">
        <v>73</v>
      </c>
      <c r="E3763" t="s">
        <v>78</v>
      </c>
      <c r="F3763">
        <v>1</v>
      </c>
      <c r="G3763" s="2">
        <v>31.89</v>
      </c>
      <c r="H3763">
        <v>0.27</v>
      </c>
      <c r="I3763" t="s">
        <v>71</v>
      </c>
      <c r="J3763">
        <v>2</v>
      </c>
      <c r="K3763">
        <v>3.7</v>
      </c>
      <c r="L3763" s="2">
        <v>23.28</v>
      </c>
      <c r="M3763">
        <v>2032</v>
      </c>
      <c r="N3763">
        <v>4</v>
      </c>
      <c r="O3763" t="s">
        <v>203</v>
      </c>
      <c r="P3763" s="2">
        <v>31.89</v>
      </c>
      <c r="Q3763" s="2">
        <v>8.61</v>
      </c>
      <c r="R3763" t="s">
        <v>66</v>
      </c>
      <c r="S3763">
        <v>1</v>
      </c>
      <c r="T3763">
        <v>0</v>
      </c>
      <c r="U3763">
        <f>IF(AND(OR(Dashboard!$D$4="Semua",D3763=Dashboard!$D$4),OR(Dashboard!$H$4="Semua",E3763=Dashboard!$H$4)),1,0)</f>
        <v>1</v>
      </c>
      <c r="V3763">
        <f>IF(U3763=1,IF(COUNTIFS($C$2:C3763,C3763,$U$2:U3763,1)=1,1,0),0)</f>
        <v>0</v>
      </c>
    </row>
    <row r="3764" spans="1:22" x14ac:dyDescent="0.35">
      <c r="A3764">
        <v>13763</v>
      </c>
      <c r="B3764" s="1">
        <v>48324</v>
      </c>
      <c r="C3764">
        <v>1697</v>
      </c>
      <c r="D3764" t="s">
        <v>80</v>
      </c>
      <c r="E3764" t="s">
        <v>74</v>
      </c>
      <c r="F3764">
        <v>2</v>
      </c>
      <c r="G3764" s="2">
        <v>246.13</v>
      </c>
      <c r="H3764">
        <v>0.02</v>
      </c>
      <c r="I3764" t="s">
        <v>68</v>
      </c>
      <c r="J3764">
        <v>6</v>
      </c>
      <c r="K3764">
        <v>4</v>
      </c>
      <c r="L3764" s="2">
        <v>482.41</v>
      </c>
      <c r="M3764">
        <v>2032</v>
      </c>
      <c r="N3764">
        <v>4</v>
      </c>
      <c r="O3764" t="s">
        <v>203</v>
      </c>
      <c r="P3764" s="2">
        <v>492.26</v>
      </c>
      <c r="Q3764" s="2">
        <v>9.85</v>
      </c>
      <c r="R3764" t="s">
        <v>75</v>
      </c>
      <c r="S3764">
        <v>1</v>
      </c>
      <c r="T3764">
        <v>0</v>
      </c>
      <c r="U3764">
        <f>IF(AND(OR(Dashboard!$D$4="Semua",D3764=Dashboard!$D$4),OR(Dashboard!$H$4="Semua",E3764=Dashboard!$H$4)),1,0)</f>
        <v>1</v>
      </c>
      <c r="V3764">
        <f>IF(U3764=1,IF(COUNTIFS($C$2:C3764,C3764,$U$2:U3764,1)=1,1,0),0)</f>
        <v>0</v>
      </c>
    </row>
    <row r="3765" spans="1:22" x14ac:dyDescent="0.35">
      <c r="A3765">
        <v>13764</v>
      </c>
      <c r="B3765" s="1">
        <v>48325</v>
      </c>
      <c r="C3765">
        <v>1054</v>
      </c>
      <c r="D3765" t="s">
        <v>67</v>
      </c>
      <c r="E3765" t="s">
        <v>74</v>
      </c>
      <c r="F3765">
        <v>5</v>
      </c>
      <c r="G3765" s="2">
        <v>559.33000000000004</v>
      </c>
      <c r="H3765">
        <v>0.25</v>
      </c>
      <c r="I3765" t="s">
        <v>68</v>
      </c>
      <c r="J3765">
        <v>10</v>
      </c>
      <c r="K3765">
        <v>4.5</v>
      </c>
      <c r="L3765" s="2">
        <v>2097.4899999999998</v>
      </c>
      <c r="M3765">
        <v>2032</v>
      </c>
      <c r="N3765">
        <v>4</v>
      </c>
      <c r="O3765" t="s">
        <v>203</v>
      </c>
      <c r="P3765" s="2">
        <v>2796.65</v>
      </c>
      <c r="Q3765" s="2">
        <v>699.16</v>
      </c>
      <c r="R3765" t="s">
        <v>77</v>
      </c>
      <c r="S3765">
        <v>1</v>
      </c>
      <c r="T3765">
        <v>0</v>
      </c>
      <c r="U3765">
        <f>IF(AND(OR(Dashboard!$D$4="Semua",D3765=Dashboard!$D$4),OR(Dashboard!$H$4="Semua",E3765=Dashboard!$H$4)),1,0)</f>
        <v>1</v>
      </c>
      <c r="V3765">
        <f>IF(U3765=1,IF(COUNTIFS($C$2:C3765,C3765,$U$2:U3765,1)=1,1,0),0)</f>
        <v>0</v>
      </c>
    </row>
    <row r="3766" spans="1:22" x14ac:dyDescent="0.35">
      <c r="A3766">
        <v>13765</v>
      </c>
      <c r="B3766" s="1">
        <v>48326</v>
      </c>
      <c r="C3766">
        <v>1499</v>
      </c>
      <c r="D3766" t="s">
        <v>67</v>
      </c>
      <c r="E3766" t="s">
        <v>74</v>
      </c>
      <c r="F3766">
        <v>6</v>
      </c>
      <c r="G3766" s="2">
        <v>381.39</v>
      </c>
      <c r="H3766">
        <v>0.28999999999999998</v>
      </c>
      <c r="I3766" t="s">
        <v>71</v>
      </c>
      <c r="J3766">
        <v>2</v>
      </c>
      <c r="K3766">
        <v>1</v>
      </c>
      <c r="L3766" s="2">
        <v>1624.72</v>
      </c>
      <c r="M3766">
        <v>2032</v>
      </c>
      <c r="N3766">
        <v>4</v>
      </c>
      <c r="O3766" t="s">
        <v>203</v>
      </c>
      <c r="P3766" s="2">
        <v>2288.34</v>
      </c>
      <c r="Q3766" s="2">
        <v>663.62</v>
      </c>
      <c r="R3766" t="s">
        <v>66</v>
      </c>
      <c r="S3766">
        <v>1</v>
      </c>
      <c r="T3766">
        <v>0</v>
      </c>
      <c r="U3766">
        <f>IF(AND(OR(Dashboard!$D$4="Semua",D3766=Dashboard!$D$4),OR(Dashboard!$H$4="Semua",E3766=Dashboard!$H$4)),1,0)</f>
        <v>1</v>
      </c>
      <c r="V3766">
        <f>IF(U3766=1,IF(COUNTIFS($C$2:C3766,C3766,$U$2:U3766,1)=1,1,0),0)</f>
        <v>0</v>
      </c>
    </row>
    <row r="3767" spans="1:22" x14ac:dyDescent="0.35">
      <c r="A3767">
        <v>13766</v>
      </c>
      <c r="B3767" s="1">
        <v>48327</v>
      </c>
      <c r="C3767">
        <v>1899</v>
      </c>
      <c r="D3767" t="s">
        <v>73</v>
      </c>
      <c r="E3767" t="s">
        <v>63</v>
      </c>
      <c r="F3767">
        <v>2</v>
      </c>
      <c r="G3767" s="2">
        <v>64.11</v>
      </c>
      <c r="H3767">
        <v>0.23</v>
      </c>
      <c r="I3767" t="s">
        <v>68</v>
      </c>
      <c r="J3767">
        <v>8</v>
      </c>
      <c r="K3767">
        <v>4.5</v>
      </c>
      <c r="L3767" s="2">
        <v>98.73</v>
      </c>
      <c r="M3767">
        <v>2032</v>
      </c>
      <c r="N3767">
        <v>4</v>
      </c>
      <c r="O3767" t="s">
        <v>203</v>
      </c>
      <c r="P3767" s="2">
        <v>128.22</v>
      </c>
      <c r="Q3767" s="2">
        <v>29.49</v>
      </c>
      <c r="R3767" t="s">
        <v>77</v>
      </c>
      <c r="S3767">
        <v>1</v>
      </c>
      <c r="T3767">
        <v>0</v>
      </c>
      <c r="U3767">
        <f>IF(AND(OR(Dashboard!$D$4="Semua",D3767=Dashboard!$D$4),OR(Dashboard!$H$4="Semua",E3767=Dashboard!$H$4)),1,0)</f>
        <v>1</v>
      </c>
      <c r="V3767">
        <f>IF(U3767=1,IF(COUNTIFS($C$2:C3767,C3767,$U$2:U3767,1)=1,1,0),0)</f>
        <v>0</v>
      </c>
    </row>
    <row r="3768" spans="1:22" x14ac:dyDescent="0.35">
      <c r="A3768">
        <v>13767</v>
      </c>
      <c r="B3768" s="1">
        <v>48328</v>
      </c>
      <c r="C3768">
        <v>1887</v>
      </c>
      <c r="D3768" t="s">
        <v>80</v>
      </c>
      <c r="E3768" t="s">
        <v>63</v>
      </c>
      <c r="F3768">
        <v>2</v>
      </c>
      <c r="G3768" s="2">
        <v>532.72</v>
      </c>
      <c r="H3768">
        <v>0</v>
      </c>
      <c r="I3768" t="s">
        <v>71</v>
      </c>
      <c r="J3768">
        <v>7</v>
      </c>
      <c r="K3768">
        <v>1.9</v>
      </c>
      <c r="L3768" s="2">
        <v>1065.44</v>
      </c>
      <c r="M3768">
        <v>2032</v>
      </c>
      <c r="N3768">
        <v>4</v>
      </c>
      <c r="O3768" t="s">
        <v>203</v>
      </c>
      <c r="P3768" s="2">
        <v>1065.44</v>
      </c>
      <c r="Q3768" s="2">
        <v>0</v>
      </c>
      <c r="R3768" t="s">
        <v>75</v>
      </c>
      <c r="S3768">
        <v>1</v>
      </c>
      <c r="T3768">
        <v>0</v>
      </c>
      <c r="U3768">
        <f>IF(AND(OR(Dashboard!$D$4="Semua",D3768=Dashboard!$D$4),OR(Dashboard!$H$4="Semua",E3768=Dashboard!$H$4)),1,0)</f>
        <v>1</v>
      </c>
      <c r="V3768">
        <f>IF(U3768=1,IF(COUNTIFS($C$2:C3768,C3768,$U$2:U3768,1)=1,1,0),0)</f>
        <v>0</v>
      </c>
    </row>
    <row r="3769" spans="1:22" x14ac:dyDescent="0.35">
      <c r="A3769">
        <v>13768</v>
      </c>
      <c r="B3769" s="1">
        <v>48329</v>
      </c>
      <c r="C3769">
        <v>1765</v>
      </c>
      <c r="D3769" t="s">
        <v>73</v>
      </c>
      <c r="E3769" t="s">
        <v>74</v>
      </c>
      <c r="F3769">
        <v>7</v>
      </c>
      <c r="G3769" s="2">
        <v>172.29</v>
      </c>
      <c r="H3769">
        <v>0.06</v>
      </c>
      <c r="I3769" t="s">
        <v>71</v>
      </c>
      <c r="J3769">
        <v>6</v>
      </c>
      <c r="K3769">
        <v>4.5999999999999996</v>
      </c>
      <c r="L3769" s="2">
        <v>1133.67</v>
      </c>
      <c r="M3769">
        <v>2032</v>
      </c>
      <c r="N3769">
        <v>4</v>
      </c>
      <c r="O3769" t="s">
        <v>203</v>
      </c>
      <c r="P3769" s="2">
        <v>1206.03</v>
      </c>
      <c r="Q3769" s="2">
        <v>72.36</v>
      </c>
      <c r="R3769" t="s">
        <v>69</v>
      </c>
      <c r="S3769">
        <v>1</v>
      </c>
      <c r="T3769">
        <v>0</v>
      </c>
      <c r="U3769">
        <f>IF(AND(OR(Dashboard!$D$4="Semua",D3769=Dashboard!$D$4),OR(Dashboard!$H$4="Semua",E3769=Dashboard!$H$4)),1,0)</f>
        <v>1</v>
      </c>
      <c r="V3769">
        <f>IF(U3769=1,IF(COUNTIFS($C$2:C3769,C3769,$U$2:U3769,1)=1,1,0),0)</f>
        <v>1</v>
      </c>
    </row>
    <row r="3770" spans="1:22" x14ac:dyDescent="0.35">
      <c r="A3770">
        <v>13769</v>
      </c>
      <c r="B3770" s="1">
        <v>48330</v>
      </c>
      <c r="C3770">
        <v>1535</v>
      </c>
      <c r="D3770" t="s">
        <v>73</v>
      </c>
      <c r="E3770" t="s">
        <v>70</v>
      </c>
      <c r="F3770">
        <v>2</v>
      </c>
      <c r="G3770" s="2">
        <v>157.61000000000001</v>
      </c>
      <c r="H3770">
        <v>0.12</v>
      </c>
      <c r="I3770" t="s">
        <v>71</v>
      </c>
      <c r="J3770">
        <v>10</v>
      </c>
      <c r="K3770">
        <v>2.1</v>
      </c>
      <c r="L3770" s="2">
        <v>277.39</v>
      </c>
      <c r="M3770">
        <v>2032</v>
      </c>
      <c r="N3770">
        <v>4</v>
      </c>
      <c r="O3770" t="s">
        <v>203</v>
      </c>
      <c r="P3770" s="2">
        <v>315.22000000000003</v>
      </c>
      <c r="Q3770" s="2">
        <v>37.83</v>
      </c>
      <c r="R3770" t="s">
        <v>79</v>
      </c>
      <c r="S3770">
        <v>1</v>
      </c>
      <c r="T3770">
        <v>0</v>
      </c>
      <c r="U3770">
        <f>IF(AND(OR(Dashboard!$D$4="Semua",D3770=Dashboard!$D$4),OR(Dashboard!$H$4="Semua",E3770=Dashboard!$H$4)),1,0)</f>
        <v>1</v>
      </c>
      <c r="V3770">
        <f>IF(U3770=1,IF(COUNTIFS($C$2:C3770,C3770,$U$2:U3770,1)=1,1,0),0)</f>
        <v>0</v>
      </c>
    </row>
    <row r="3771" spans="1:22" x14ac:dyDescent="0.35">
      <c r="A3771">
        <v>13770</v>
      </c>
      <c r="B3771" s="1">
        <v>48331</v>
      </c>
      <c r="C3771">
        <v>1161</v>
      </c>
      <c r="D3771" t="s">
        <v>67</v>
      </c>
      <c r="E3771" t="s">
        <v>74</v>
      </c>
      <c r="F3771">
        <v>1</v>
      </c>
      <c r="G3771" s="2">
        <v>188.8</v>
      </c>
      <c r="H3771">
        <v>0.08</v>
      </c>
      <c r="I3771" t="s">
        <v>64</v>
      </c>
      <c r="J3771">
        <v>6</v>
      </c>
      <c r="K3771">
        <v>2.8</v>
      </c>
      <c r="L3771" s="2">
        <v>173.7</v>
      </c>
      <c r="M3771">
        <v>2032</v>
      </c>
      <c r="N3771">
        <v>4</v>
      </c>
      <c r="O3771" t="s">
        <v>203</v>
      </c>
      <c r="P3771" s="2">
        <v>188.8</v>
      </c>
      <c r="Q3771" s="2">
        <v>15.1</v>
      </c>
      <c r="R3771" t="s">
        <v>69</v>
      </c>
      <c r="S3771">
        <v>1</v>
      </c>
      <c r="T3771">
        <v>0</v>
      </c>
      <c r="U3771">
        <f>IF(AND(OR(Dashboard!$D$4="Semua",D3771=Dashboard!$D$4),OR(Dashboard!$H$4="Semua",E3771=Dashboard!$H$4)),1,0)</f>
        <v>1</v>
      </c>
      <c r="V3771">
        <f>IF(U3771=1,IF(COUNTIFS($C$2:C3771,C3771,$U$2:U3771,1)=1,1,0),0)</f>
        <v>0</v>
      </c>
    </row>
    <row r="3772" spans="1:22" x14ac:dyDescent="0.35">
      <c r="A3772">
        <v>13771</v>
      </c>
      <c r="B3772" s="1">
        <v>48332</v>
      </c>
      <c r="C3772">
        <v>1669</v>
      </c>
      <c r="D3772" t="s">
        <v>73</v>
      </c>
      <c r="E3772" t="s">
        <v>74</v>
      </c>
      <c r="F3772">
        <v>6</v>
      </c>
      <c r="G3772" s="2">
        <v>352.66</v>
      </c>
      <c r="H3772">
        <v>0.34</v>
      </c>
      <c r="I3772" t="s">
        <v>68</v>
      </c>
      <c r="J3772">
        <v>9</v>
      </c>
      <c r="K3772">
        <v>4.7</v>
      </c>
      <c r="L3772" s="2">
        <v>1396.53</v>
      </c>
      <c r="M3772">
        <v>2032</v>
      </c>
      <c r="N3772">
        <v>4</v>
      </c>
      <c r="O3772" t="s">
        <v>203</v>
      </c>
      <c r="P3772" s="2">
        <v>2115.96</v>
      </c>
      <c r="Q3772" s="2">
        <v>719.43</v>
      </c>
      <c r="R3772" t="s">
        <v>72</v>
      </c>
      <c r="S3772">
        <v>1</v>
      </c>
      <c r="T3772">
        <v>0</v>
      </c>
      <c r="U3772">
        <f>IF(AND(OR(Dashboard!$D$4="Semua",D3772=Dashboard!$D$4),OR(Dashboard!$H$4="Semua",E3772=Dashboard!$H$4)),1,0)</f>
        <v>1</v>
      </c>
      <c r="V3772">
        <f>IF(U3772=1,IF(COUNTIFS($C$2:C3772,C3772,$U$2:U3772,1)=1,1,0),0)</f>
        <v>0</v>
      </c>
    </row>
    <row r="3773" spans="1:22" x14ac:dyDescent="0.35">
      <c r="A3773">
        <v>13772</v>
      </c>
      <c r="B3773" s="1">
        <v>48333</v>
      </c>
      <c r="C3773">
        <v>1593</v>
      </c>
      <c r="D3773" t="s">
        <v>73</v>
      </c>
      <c r="E3773" t="s">
        <v>78</v>
      </c>
      <c r="F3773">
        <v>1</v>
      </c>
      <c r="G3773" s="2">
        <v>333.64</v>
      </c>
      <c r="H3773">
        <v>0.23</v>
      </c>
      <c r="I3773" t="s">
        <v>71</v>
      </c>
      <c r="J3773">
        <v>9</v>
      </c>
      <c r="K3773">
        <v>1.4</v>
      </c>
      <c r="L3773" s="2">
        <v>256.89999999999998</v>
      </c>
      <c r="M3773">
        <v>2032</v>
      </c>
      <c r="N3773">
        <v>4</v>
      </c>
      <c r="O3773" t="s">
        <v>203</v>
      </c>
      <c r="P3773" s="2">
        <v>333.64</v>
      </c>
      <c r="Q3773" s="2">
        <v>76.739999999999995</v>
      </c>
      <c r="R3773" t="s">
        <v>77</v>
      </c>
      <c r="S3773">
        <v>1</v>
      </c>
      <c r="T3773">
        <v>0</v>
      </c>
      <c r="U3773">
        <f>IF(AND(OR(Dashboard!$D$4="Semua",D3773=Dashboard!$D$4),OR(Dashboard!$H$4="Semua",E3773=Dashboard!$H$4)),1,0)</f>
        <v>1</v>
      </c>
      <c r="V3773">
        <f>IF(U3773=1,IF(COUNTIFS($C$2:C3773,C3773,$U$2:U3773,1)=1,1,0),0)</f>
        <v>0</v>
      </c>
    </row>
    <row r="3774" spans="1:22" x14ac:dyDescent="0.35">
      <c r="A3774">
        <v>13773</v>
      </c>
      <c r="B3774" s="1">
        <v>48334</v>
      </c>
      <c r="C3774">
        <v>1914</v>
      </c>
      <c r="D3774" t="s">
        <v>67</v>
      </c>
      <c r="E3774" t="s">
        <v>74</v>
      </c>
      <c r="F3774">
        <v>6</v>
      </c>
      <c r="G3774" s="2">
        <v>302.48</v>
      </c>
      <c r="H3774">
        <v>0.1</v>
      </c>
      <c r="I3774" t="s">
        <v>64</v>
      </c>
      <c r="J3774">
        <v>10</v>
      </c>
      <c r="K3774">
        <v>4</v>
      </c>
      <c r="L3774" s="2">
        <v>1633.39</v>
      </c>
      <c r="M3774">
        <v>2032</v>
      </c>
      <c r="N3774">
        <v>4</v>
      </c>
      <c r="O3774" t="s">
        <v>203</v>
      </c>
      <c r="P3774" s="2">
        <v>1814.88</v>
      </c>
      <c r="Q3774" s="2">
        <v>181.49</v>
      </c>
      <c r="R3774" t="s">
        <v>69</v>
      </c>
      <c r="S3774">
        <v>1</v>
      </c>
      <c r="T3774">
        <v>0</v>
      </c>
      <c r="U3774">
        <f>IF(AND(OR(Dashboard!$D$4="Semua",D3774=Dashboard!$D$4),OR(Dashboard!$H$4="Semua",E3774=Dashboard!$H$4)),1,0)</f>
        <v>1</v>
      </c>
      <c r="V3774">
        <f>IF(U3774=1,IF(COUNTIFS($C$2:C3774,C3774,$U$2:U3774,1)=1,1,0),0)</f>
        <v>0</v>
      </c>
    </row>
    <row r="3775" spans="1:22" x14ac:dyDescent="0.35">
      <c r="A3775">
        <v>13774</v>
      </c>
      <c r="B3775" s="1">
        <v>48335</v>
      </c>
      <c r="C3775">
        <v>1158</v>
      </c>
      <c r="D3775" t="s">
        <v>80</v>
      </c>
      <c r="E3775" t="s">
        <v>63</v>
      </c>
      <c r="F3775">
        <v>6</v>
      </c>
      <c r="G3775" s="2">
        <v>434.76</v>
      </c>
      <c r="H3775">
        <v>0.33</v>
      </c>
      <c r="I3775" t="s">
        <v>71</v>
      </c>
      <c r="J3775">
        <v>10</v>
      </c>
      <c r="K3775">
        <v>2.6</v>
      </c>
      <c r="L3775" s="2">
        <v>1747.74</v>
      </c>
      <c r="M3775">
        <v>2032</v>
      </c>
      <c r="N3775">
        <v>5</v>
      </c>
      <c r="O3775" t="s">
        <v>204</v>
      </c>
      <c r="P3775" s="2">
        <v>2608.56</v>
      </c>
      <c r="Q3775" s="2">
        <v>860.82</v>
      </c>
      <c r="R3775" t="s">
        <v>72</v>
      </c>
      <c r="S3775">
        <v>1</v>
      </c>
      <c r="T3775">
        <v>0</v>
      </c>
      <c r="U3775">
        <f>IF(AND(OR(Dashboard!$D$4="Semua",D3775=Dashboard!$D$4),OR(Dashboard!$H$4="Semua",E3775=Dashboard!$H$4)),1,0)</f>
        <v>1</v>
      </c>
      <c r="V3775">
        <f>IF(U3775=1,IF(COUNTIFS($C$2:C3775,C3775,$U$2:U3775,1)=1,1,0),0)</f>
        <v>0</v>
      </c>
    </row>
    <row r="3776" spans="1:22" x14ac:dyDescent="0.35">
      <c r="A3776">
        <v>13775</v>
      </c>
      <c r="B3776" s="1">
        <v>48336</v>
      </c>
      <c r="C3776">
        <v>1187</v>
      </c>
      <c r="D3776" t="s">
        <v>80</v>
      </c>
      <c r="E3776" t="s">
        <v>78</v>
      </c>
      <c r="F3776">
        <v>7</v>
      </c>
      <c r="G3776" s="2">
        <v>200.17</v>
      </c>
      <c r="H3776">
        <v>0.26</v>
      </c>
      <c r="I3776" t="s">
        <v>68</v>
      </c>
      <c r="J3776">
        <v>2</v>
      </c>
      <c r="K3776">
        <v>1.1000000000000001</v>
      </c>
      <c r="L3776" s="2">
        <v>1036.8800000000001</v>
      </c>
      <c r="M3776">
        <v>2032</v>
      </c>
      <c r="N3776">
        <v>5</v>
      </c>
      <c r="O3776" t="s">
        <v>204</v>
      </c>
      <c r="P3776" s="2">
        <v>1401.19</v>
      </c>
      <c r="Q3776" s="2">
        <v>364.31</v>
      </c>
      <c r="R3776" t="s">
        <v>66</v>
      </c>
      <c r="S3776">
        <v>1</v>
      </c>
      <c r="T3776">
        <v>0</v>
      </c>
      <c r="U3776">
        <f>IF(AND(OR(Dashboard!$D$4="Semua",D3776=Dashboard!$D$4),OR(Dashboard!$H$4="Semua",E3776=Dashboard!$H$4)),1,0)</f>
        <v>1</v>
      </c>
      <c r="V3776">
        <f>IF(U3776=1,IF(COUNTIFS($C$2:C3776,C3776,$U$2:U3776,1)=1,1,0),0)</f>
        <v>0</v>
      </c>
    </row>
    <row r="3777" spans="1:22" x14ac:dyDescent="0.35">
      <c r="A3777">
        <v>13776</v>
      </c>
      <c r="B3777" s="1">
        <v>48337</v>
      </c>
      <c r="C3777">
        <v>1059</v>
      </c>
      <c r="D3777" t="s">
        <v>67</v>
      </c>
      <c r="E3777" t="s">
        <v>70</v>
      </c>
      <c r="F3777">
        <v>1</v>
      </c>
      <c r="G3777" s="2">
        <v>472.51</v>
      </c>
      <c r="H3777">
        <v>0.1</v>
      </c>
      <c r="I3777" t="s">
        <v>64</v>
      </c>
      <c r="J3777">
        <v>3</v>
      </c>
      <c r="K3777">
        <v>4.8</v>
      </c>
      <c r="L3777" s="2">
        <v>425.26</v>
      </c>
      <c r="M3777">
        <v>2032</v>
      </c>
      <c r="N3777">
        <v>5</v>
      </c>
      <c r="O3777" t="s">
        <v>204</v>
      </c>
      <c r="P3777" s="2">
        <v>472.51</v>
      </c>
      <c r="Q3777" s="2">
        <v>47.25</v>
      </c>
      <c r="R3777" t="s">
        <v>69</v>
      </c>
      <c r="S3777">
        <v>1</v>
      </c>
      <c r="T3777">
        <v>0</v>
      </c>
      <c r="U3777">
        <f>IF(AND(OR(Dashboard!$D$4="Semua",D3777=Dashboard!$D$4),OR(Dashboard!$H$4="Semua",E3777=Dashboard!$H$4)),1,0)</f>
        <v>1</v>
      </c>
      <c r="V3777">
        <f>IF(U3777=1,IF(COUNTIFS($C$2:C3777,C3777,$U$2:U3777,1)=1,1,0),0)</f>
        <v>0</v>
      </c>
    </row>
    <row r="3778" spans="1:22" x14ac:dyDescent="0.35">
      <c r="A3778">
        <v>13777</v>
      </c>
      <c r="B3778" s="1">
        <v>48338</v>
      </c>
      <c r="C3778">
        <v>1914</v>
      </c>
      <c r="D3778" t="s">
        <v>73</v>
      </c>
      <c r="E3778" t="s">
        <v>78</v>
      </c>
      <c r="F3778">
        <v>6</v>
      </c>
      <c r="G3778" s="2">
        <v>117.56</v>
      </c>
      <c r="H3778">
        <v>0.13</v>
      </c>
      <c r="I3778" t="s">
        <v>68</v>
      </c>
      <c r="J3778">
        <v>10</v>
      </c>
      <c r="K3778">
        <v>1.5</v>
      </c>
      <c r="L3778" s="2">
        <v>613.66</v>
      </c>
      <c r="M3778">
        <v>2032</v>
      </c>
      <c r="N3778">
        <v>5</v>
      </c>
      <c r="O3778" t="s">
        <v>204</v>
      </c>
      <c r="P3778" s="2">
        <v>705.36</v>
      </c>
      <c r="Q3778" s="2">
        <v>91.7</v>
      </c>
      <c r="R3778" t="s">
        <v>79</v>
      </c>
      <c r="S3778">
        <v>1</v>
      </c>
      <c r="T3778">
        <v>0</v>
      </c>
      <c r="U3778">
        <f>IF(AND(OR(Dashboard!$D$4="Semua",D3778=Dashboard!$D$4),OR(Dashboard!$H$4="Semua",E3778=Dashboard!$H$4)),1,0)</f>
        <v>1</v>
      </c>
      <c r="V3778">
        <f>IF(U3778=1,IF(COUNTIFS($C$2:C3778,C3778,$U$2:U3778,1)=1,1,0),0)</f>
        <v>0</v>
      </c>
    </row>
    <row r="3779" spans="1:22" x14ac:dyDescent="0.35">
      <c r="A3779">
        <v>13778</v>
      </c>
      <c r="B3779" s="1">
        <v>48339</v>
      </c>
      <c r="C3779">
        <v>1816</v>
      </c>
      <c r="D3779" t="s">
        <v>73</v>
      </c>
      <c r="E3779" t="s">
        <v>70</v>
      </c>
      <c r="F3779">
        <v>2</v>
      </c>
      <c r="G3779" s="2">
        <v>472.83</v>
      </c>
      <c r="H3779">
        <v>7.0000000000000007E-2</v>
      </c>
      <c r="I3779" t="s">
        <v>68</v>
      </c>
      <c r="J3779">
        <v>7</v>
      </c>
      <c r="K3779">
        <v>4.0999999999999996</v>
      </c>
      <c r="L3779" s="2">
        <v>879.46</v>
      </c>
      <c r="M3779">
        <v>2032</v>
      </c>
      <c r="N3779">
        <v>5</v>
      </c>
      <c r="O3779" t="s">
        <v>204</v>
      </c>
      <c r="P3779" s="2">
        <v>945.66</v>
      </c>
      <c r="Q3779" s="2">
        <v>66.2</v>
      </c>
      <c r="R3779" t="s">
        <v>69</v>
      </c>
      <c r="S3779">
        <v>1</v>
      </c>
      <c r="T3779">
        <v>0</v>
      </c>
      <c r="U3779">
        <f>IF(AND(OR(Dashboard!$D$4="Semua",D3779=Dashboard!$D$4),OR(Dashboard!$H$4="Semua",E3779=Dashboard!$H$4)),1,0)</f>
        <v>1</v>
      </c>
      <c r="V3779">
        <f>IF(U3779=1,IF(COUNTIFS($C$2:C3779,C3779,$U$2:U3779,1)=1,1,0),0)</f>
        <v>0</v>
      </c>
    </row>
    <row r="3780" spans="1:22" x14ac:dyDescent="0.35">
      <c r="A3780">
        <v>13779</v>
      </c>
      <c r="B3780" s="1">
        <v>48340</v>
      </c>
      <c r="C3780">
        <v>1318</v>
      </c>
      <c r="D3780" t="s">
        <v>62</v>
      </c>
      <c r="E3780" t="s">
        <v>78</v>
      </c>
      <c r="F3780">
        <v>1</v>
      </c>
      <c r="G3780" s="2">
        <v>403.33</v>
      </c>
      <c r="H3780">
        <v>0.34</v>
      </c>
      <c r="I3780" t="s">
        <v>68</v>
      </c>
      <c r="J3780">
        <v>11</v>
      </c>
      <c r="K3780">
        <v>2.5</v>
      </c>
      <c r="L3780" s="2">
        <v>266.2</v>
      </c>
      <c r="M3780">
        <v>2032</v>
      </c>
      <c r="N3780">
        <v>5</v>
      </c>
      <c r="O3780" t="s">
        <v>204</v>
      </c>
      <c r="P3780" s="2">
        <v>403.33</v>
      </c>
      <c r="Q3780" s="2">
        <v>137.13</v>
      </c>
      <c r="R3780" t="s">
        <v>72</v>
      </c>
      <c r="S3780">
        <v>1</v>
      </c>
      <c r="T3780">
        <v>0</v>
      </c>
      <c r="U3780">
        <f>IF(AND(OR(Dashboard!$D$4="Semua",D3780=Dashboard!$D$4),OR(Dashboard!$H$4="Semua",E3780=Dashboard!$H$4)),1,0)</f>
        <v>1</v>
      </c>
      <c r="V3780">
        <f>IF(U3780=1,IF(COUNTIFS($C$2:C3780,C3780,$U$2:U3780,1)=1,1,0),0)</f>
        <v>0</v>
      </c>
    </row>
    <row r="3781" spans="1:22" x14ac:dyDescent="0.35">
      <c r="A3781">
        <v>13780</v>
      </c>
      <c r="B3781" s="1">
        <v>48341</v>
      </c>
      <c r="C3781">
        <v>1877</v>
      </c>
      <c r="D3781" t="s">
        <v>67</v>
      </c>
      <c r="E3781" t="s">
        <v>78</v>
      </c>
      <c r="F3781">
        <v>6</v>
      </c>
      <c r="G3781" s="2">
        <v>414.68</v>
      </c>
      <c r="H3781">
        <v>0.18</v>
      </c>
      <c r="I3781" t="s">
        <v>68</v>
      </c>
      <c r="J3781">
        <v>10</v>
      </c>
      <c r="K3781">
        <v>4.2</v>
      </c>
      <c r="L3781" s="2">
        <v>2040.23</v>
      </c>
      <c r="M3781">
        <v>2032</v>
      </c>
      <c r="N3781">
        <v>5</v>
      </c>
      <c r="O3781" t="s">
        <v>204</v>
      </c>
      <c r="P3781" s="2">
        <v>2488.08</v>
      </c>
      <c r="Q3781" s="2">
        <v>447.85</v>
      </c>
      <c r="R3781" t="s">
        <v>76</v>
      </c>
      <c r="S3781">
        <v>1</v>
      </c>
      <c r="T3781">
        <v>0</v>
      </c>
      <c r="U3781">
        <f>IF(AND(OR(Dashboard!$D$4="Semua",D3781=Dashboard!$D$4),OR(Dashboard!$H$4="Semua",E3781=Dashboard!$H$4)),1,0)</f>
        <v>1</v>
      </c>
      <c r="V3781">
        <f>IF(U3781=1,IF(COUNTIFS($C$2:C3781,C3781,$U$2:U3781,1)=1,1,0),0)</f>
        <v>0</v>
      </c>
    </row>
    <row r="3782" spans="1:22" x14ac:dyDescent="0.35">
      <c r="A3782">
        <v>13781</v>
      </c>
      <c r="B3782" s="1">
        <v>48342</v>
      </c>
      <c r="C3782">
        <v>1210</v>
      </c>
      <c r="D3782" t="s">
        <v>80</v>
      </c>
      <c r="E3782" t="s">
        <v>70</v>
      </c>
      <c r="F3782">
        <v>3</v>
      </c>
      <c r="G3782" s="2">
        <v>296.70999999999998</v>
      </c>
      <c r="H3782">
        <v>0.31</v>
      </c>
      <c r="I3782" t="s">
        <v>68</v>
      </c>
      <c r="J3782">
        <v>9</v>
      </c>
      <c r="K3782">
        <v>4</v>
      </c>
      <c r="L3782" s="2">
        <v>614.19000000000005</v>
      </c>
      <c r="M3782">
        <v>2032</v>
      </c>
      <c r="N3782">
        <v>5</v>
      </c>
      <c r="O3782" t="s">
        <v>204</v>
      </c>
      <c r="P3782" s="2">
        <v>890.13</v>
      </c>
      <c r="Q3782" s="2">
        <v>275.94</v>
      </c>
      <c r="R3782" t="s">
        <v>72</v>
      </c>
      <c r="S3782">
        <v>1</v>
      </c>
      <c r="T3782">
        <v>0</v>
      </c>
      <c r="U3782">
        <f>IF(AND(OR(Dashboard!$D$4="Semua",D3782=Dashboard!$D$4),OR(Dashboard!$H$4="Semua",E3782=Dashboard!$H$4)),1,0)</f>
        <v>1</v>
      </c>
      <c r="V3782">
        <f>IF(U3782=1,IF(COUNTIFS($C$2:C3782,C3782,$U$2:U3782,1)=1,1,0),0)</f>
        <v>0</v>
      </c>
    </row>
    <row r="3783" spans="1:22" x14ac:dyDescent="0.35">
      <c r="A3783">
        <v>13782</v>
      </c>
      <c r="B3783" s="1">
        <v>48343</v>
      </c>
      <c r="C3783">
        <v>1405</v>
      </c>
      <c r="D3783" t="s">
        <v>73</v>
      </c>
      <c r="E3783" t="s">
        <v>63</v>
      </c>
      <c r="F3783">
        <v>1</v>
      </c>
      <c r="G3783" s="2">
        <v>405.2</v>
      </c>
      <c r="H3783">
        <v>0.12</v>
      </c>
      <c r="I3783" t="s">
        <v>68</v>
      </c>
      <c r="J3783">
        <v>6</v>
      </c>
      <c r="K3783">
        <v>3.5</v>
      </c>
      <c r="L3783" s="2">
        <v>356.58</v>
      </c>
      <c r="M3783">
        <v>2032</v>
      </c>
      <c r="N3783">
        <v>5</v>
      </c>
      <c r="O3783" t="s">
        <v>204</v>
      </c>
      <c r="P3783" s="2">
        <v>405.2</v>
      </c>
      <c r="Q3783" s="2">
        <v>48.62</v>
      </c>
      <c r="R3783" t="s">
        <v>79</v>
      </c>
      <c r="S3783">
        <v>1</v>
      </c>
      <c r="T3783">
        <v>0</v>
      </c>
      <c r="U3783">
        <f>IF(AND(OR(Dashboard!$D$4="Semua",D3783=Dashboard!$D$4),OR(Dashboard!$H$4="Semua",E3783=Dashboard!$H$4)),1,0)</f>
        <v>1</v>
      </c>
      <c r="V3783">
        <f>IF(U3783=1,IF(COUNTIFS($C$2:C3783,C3783,$U$2:U3783,1)=1,1,0),0)</f>
        <v>0</v>
      </c>
    </row>
    <row r="3784" spans="1:22" x14ac:dyDescent="0.35">
      <c r="A3784">
        <v>13783</v>
      </c>
      <c r="B3784" s="1">
        <v>48344</v>
      </c>
      <c r="C3784">
        <v>1663</v>
      </c>
      <c r="D3784" t="s">
        <v>67</v>
      </c>
      <c r="E3784" t="s">
        <v>63</v>
      </c>
      <c r="F3784">
        <v>7</v>
      </c>
      <c r="G3784" s="2">
        <v>61.68</v>
      </c>
      <c r="H3784">
        <v>0.3</v>
      </c>
      <c r="I3784" t="s">
        <v>68</v>
      </c>
      <c r="J3784">
        <v>11</v>
      </c>
      <c r="K3784">
        <v>4.8</v>
      </c>
      <c r="L3784" s="2">
        <v>302.23</v>
      </c>
      <c r="M3784">
        <v>2032</v>
      </c>
      <c r="N3784">
        <v>5</v>
      </c>
      <c r="O3784" t="s">
        <v>204</v>
      </c>
      <c r="P3784" s="2">
        <v>431.76</v>
      </c>
      <c r="Q3784" s="2">
        <v>129.53</v>
      </c>
      <c r="R3784" t="s">
        <v>66</v>
      </c>
      <c r="S3784">
        <v>1</v>
      </c>
      <c r="T3784">
        <v>0</v>
      </c>
      <c r="U3784">
        <f>IF(AND(OR(Dashboard!$D$4="Semua",D3784=Dashboard!$D$4),OR(Dashboard!$H$4="Semua",E3784=Dashboard!$H$4)),1,0)</f>
        <v>1</v>
      </c>
      <c r="V3784">
        <f>IF(U3784=1,IF(COUNTIFS($C$2:C3784,C3784,$U$2:U3784,1)=1,1,0),0)</f>
        <v>0</v>
      </c>
    </row>
    <row r="3785" spans="1:22" x14ac:dyDescent="0.35">
      <c r="A3785">
        <v>13784</v>
      </c>
      <c r="B3785" s="1">
        <v>48345</v>
      </c>
      <c r="C3785">
        <v>1108</v>
      </c>
      <c r="D3785" t="s">
        <v>73</v>
      </c>
      <c r="E3785" t="s">
        <v>63</v>
      </c>
      <c r="F3785">
        <v>4</v>
      </c>
      <c r="G3785" s="2">
        <v>513.16</v>
      </c>
      <c r="H3785">
        <v>0.02</v>
      </c>
      <c r="I3785" t="s">
        <v>68</v>
      </c>
      <c r="J3785">
        <v>1</v>
      </c>
      <c r="K3785">
        <v>1.4</v>
      </c>
      <c r="L3785" s="2">
        <v>2011.59</v>
      </c>
      <c r="M3785">
        <v>2032</v>
      </c>
      <c r="N3785">
        <v>5</v>
      </c>
      <c r="O3785" t="s">
        <v>204</v>
      </c>
      <c r="P3785" s="2">
        <v>2052.64</v>
      </c>
      <c r="Q3785" s="2">
        <v>41.05</v>
      </c>
      <c r="R3785" t="s">
        <v>75</v>
      </c>
      <c r="S3785">
        <v>1</v>
      </c>
      <c r="T3785">
        <v>0</v>
      </c>
      <c r="U3785">
        <f>IF(AND(OR(Dashboard!$D$4="Semua",D3785=Dashboard!$D$4),OR(Dashboard!$H$4="Semua",E3785=Dashboard!$H$4)),1,0)</f>
        <v>1</v>
      </c>
      <c r="V3785">
        <f>IF(U3785=1,IF(COUNTIFS($C$2:C3785,C3785,$U$2:U3785,1)=1,1,0),0)</f>
        <v>0</v>
      </c>
    </row>
    <row r="3786" spans="1:22" x14ac:dyDescent="0.35">
      <c r="A3786">
        <v>13785</v>
      </c>
      <c r="B3786" s="1">
        <v>48346</v>
      </c>
      <c r="C3786">
        <v>1075</v>
      </c>
      <c r="D3786" t="s">
        <v>67</v>
      </c>
      <c r="E3786" t="s">
        <v>78</v>
      </c>
      <c r="F3786">
        <v>1</v>
      </c>
      <c r="G3786" s="2">
        <v>47.5</v>
      </c>
      <c r="H3786">
        <v>0.34</v>
      </c>
      <c r="I3786" t="s">
        <v>68</v>
      </c>
      <c r="J3786">
        <v>11</v>
      </c>
      <c r="K3786">
        <v>4.2</v>
      </c>
      <c r="L3786" s="2">
        <v>31.35</v>
      </c>
      <c r="M3786">
        <v>2032</v>
      </c>
      <c r="N3786">
        <v>5</v>
      </c>
      <c r="O3786" t="s">
        <v>204</v>
      </c>
      <c r="P3786" s="2">
        <v>47.5</v>
      </c>
      <c r="Q3786" s="2">
        <v>16.149999999999999</v>
      </c>
      <c r="R3786" t="s">
        <v>72</v>
      </c>
      <c r="S3786">
        <v>1</v>
      </c>
      <c r="T3786">
        <v>0</v>
      </c>
      <c r="U3786">
        <f>IF(AND(OR(Dashboard!$D$4="Semua",D3786=Dashboard!$D$4),OR(Dashboard!$H$4="Semua",E3786=Dashboard!$H$4)),1,0)</f>
        <v>1</v>
      </c>
      <c r="V3786">
        <f>IF(U3786=1,IF(COUNTIFS($C$2:C3786,C3786,$U$2:U3786,1)=1,1,0),0)</f>
        <v>0</v>
      </c>
    </row>
    <row r="3787" spans="1:22" x14ac:dyDescent="0.35">
      <c r="A3787">
        <v>13786</v>
      </c>
      <c r="B3787" s="1">
        <v>48347</v>
      </c>
      <c r="C3787">
        <v>1541</v>
      </c>
      <c r="D3787" t="s">
        <v>62</v>
      </c>
      <c r="E3787" t="s">
        <v>74</v>
      </c>
      <c r="F3787">
        <v>1</v>
      </c>
      <c r="G3787" s="2">
        <v>102.01</v>
      </c>
      <c r="H3787">
        <v>0.32</v>
      </c>
      <c r="I3787" t="s">
        <v>71</v>
      </c>
      <c r="J3787">
        <v>7</v>
      </c>
      <c r="K3787">
        <v>3.7</v>
      </c>
      <c r="L3787" s="2">
        <v>69.37</v>
      </c>
      <c r="M3787">
        <v>2032</v>
      </c>
      <c r="N3787">
        <v>5</v>
      </c>
      <c r="O3787" t="s">
        <v>204</v>
      </c>
      <c r="P3787" s="2">
        <v>102.01</v>
      </c>
      <c r="Q3787" s="2">
        <v>32.64</v>
      </c>
      <c r="R3787" t="s">
        <v>72</v>
      </c>
      <c r="S3787">
        <v>1</v>
      </c>
      <c r="T3787">
        <v>0</v>
      </c>
      <c r="U3787">
        <f>IF(AND(OR(Dashboard!$D$4="Semua",D3787=Dashboard!$D$4),OR(Dashboard!$H$4="Semua",E3787=Dashboard!$H$4)),1,0)</f>
        <v>1</v>
      </c>
      <c r="V3787">
        <f>IF(U3787=1,IF(COUNTIFS($C$2:C3787,C3787,$U$2:U3787,1)=1,1,0),0)</f>
        <v>0</v>
      </c>
    </row>
    <row r="3788" spans="1:22" x14ac:dyDescent="0.35">
      <c r="A3788">
        <v>13787</v>
      </c>
      <c r="B3788" s="1">
        <v>48348</v>
      </c>
      <c r="C3788">
        <v>1313</v>
      </c>
      <c r="D3788" t="s">
        <v>62</v>
      </c>
      <c r="E3788" t="s">
        <v>78</v>
      </c>
      <c r="F3788">
        <v>1</v>
      </c>
      <c r="G3788" s="2">
        <v>352.42</v>
      </c>
      <c r="H3788">
        <v>0.13</v>
      </c>
      <c r="I3788" t="s">
        <v>68</v>
      </c>
      <c r="J3788">
        <v>11</v>
      </c>
      <c r="K3788">
        <v>2.2999999999999998</v>
      </c>
      <c r="L3788" s="2">
        <v>306.61</v>
      </c>
      <c r="M3788">
        <v>2032</v>
      </c>
      <c r="N3788">
        <v>5</v>
      </c>
      <c r="O3788" t="s">
        <v>204</v>
      </c>
      <c r="P3788" s="2">
        <v>352.42</v>
      </c>
      <c r="Q3788" s="2">
        <v>45.81</v>
      </c>
      <c r="R3788" t="s">
        <v>79</v>
      </c>
      <c r="S3788">
        <v>1</v>
      </c>
      <c r="T3788">
        <v>0</v>
      </c>
      <c r="U3788">
        <f>IF(AND(OR(Dashboard!$D$4="Semua",D3788=Dashboard!$D$4),OR(Dashboard!$H$4="Semua",E3788=Dashboard!$H$4)),1,0)</f>
        <v>1</v>
      </c>
      <c r="V3788">
        <f>IF(U3788=1,IF(COUNTIFS($C$2:C3788,C3788,$U$2:U3788,1)=1,1,0),0)</f>
        <v>0</v>
      </c>
    </row>
    <row r="3789" spans="1:22" x14ac:dyDescent="0.35">
      <c r="A3789">
        <v>13788</v>
      </c>
      <c r="B3789" s="1">
        <v>48349</v>
      </c>
      <c r="C3789">
        <v>1997</v>
      </c>
      <c r="D3789" t="s">
        <v>67</v>
      </c>
      <c r="E3789" t="s">
        <v>74</v>
      </c>
      <c r="F3789">
        <v>6</v>
      </c>
      <c r="G3789" s="2">
        <v>447.56</v>
      </c>
      <c r="H3789">
        <v>0.27</v>
      </c>
      <c r="I3789" t="s">
        <v>68</v>
      </c>
      <c r="J3789">
        <v>1</v>
      </c>
      <c r="K3789">
        <v>3.2</v>
      </c>
      <c r="L3789" s="2">
        <v>1960.31</v>
      </c>
      <c r="M3789">
        <v>2032</v>
      </c>
      <c r="N3789">
        <v>5</v>
      </c>
      <c r="O3789" t="s">
        <v>204</v>
      </c>
      <c r="P3789" s="2">
        <v>2685.36</v>
      </c>
      <c r="Q3789" s="2">
        <v>725.05</v>
      </c>
      <c r="R3789" t="s">
        <v>66</v>
      </c>
      <c r="S3789">
        <v>1</v>
      </c>
      <c r="T3789">
        <v>0</v>
      </c>
      <c r="U3789">
        <f>IF(AND(OR(Dashboard!$D$4="Semua",D3789=Dashboard!$D$4),OR(Dashboard!$H$4="Semua",E3789=Dashboard!$H$4)),1,0)</f>
        <v>1</v>
      </c>
      <c r="V3789">
        <f>IF(U3789=1,IF(COUNTIFS($C$2:C3789,C3789,$U$2:U3789,1)=1,1,0),0)</f>
        <v>0</v>
      </c>
    </row>
    <row r="3790" spans="1:22" x14ac:dyDescent="0.35">
      <c r="A3790">
        <v>13789</v>
      </c>
      <c r="B3790" s="1">
        <v>48350</v>
      </c>
      <c r="C3790">
        <v>1116</v>
      </c>
      <c r="D3790" t="s">
        <v>67</v>
      </c>
      <c r="E3790" t="s">
        <v>74</v>
      </c>
      <c r="F3790">
        <v>1</v>
      </c>
      <c r="G3790" s="2">
        <v>59.61</v>
      </c>
      <c r="H3790">
        <v>0.26</v>
      </c>
      <c r="I3790" t="s">
        <v>68</v>
      </c>
      <c r="J3790">
        <v>5</v>
      </c>
      <c r="K3790">
        <v>3.6</v>
      </c>
      <c r="L3790" s="2">
        <v>44.11</v>
      </c>
      <c r="M3790">
        <v>2032</v>
      </c>
      <c r="N3790">
        <v>5</v>
      </c>
      <c r="O3790" t="s">
        <v>204</v>
      </c>
      <c r="P3790" s="2">
        <v>59.61</v>
      </c>
      <c r="Q3790" s="2">
        <v>15.5</v>
      </c>
      <c r="R3790" t="s">
        <v>66</v>
      </c>
      <c r="S3790">
        <v>1</v>
      </c>
      <c r="T3790">
        <v>0</v>
      </c>
      <c r="U3790">
        <f>IF(AND(OR(Dashboard!$D$4="Semua",D3790=Dashboard!$D$4),OR(Dashboard!$H$4="Semua",E3790=Dashboard!$H$4)),1,0)</f>
        <v>1</v>
      </c>
      <c r="V3790">
        <f>IF(U3790=1,IF(COUNTIFS($C$2:C3790,C3790,$U$2:U3790,1)=1,1,0),0)</f>
        <v>0</v>
      </c>
    </row>
    <row r="3791" spans="1:22" x14ac:dyDescent="0.35">
      <c r="A3791">
        <v>13790</v>
      </c>
      <c r="B3791" s="1">
        <v>48351</v>
      </c>
      <c r="C3791">
        <v>1926</v>
      </c>
      <c r="D3791" t="s">
        <v>62</v>
      </c>
      <c r="E3791" t="s">
        <v>63</v>
      </c>
      <c r="F3791">
        <v>4</v>
      </c>
      <c r="G3791" s="2">
        <v>553.65</v>
      </c>
      <c r="H3791">
        <v>0.32</v>
      </c>
      <c r="I3791" t="s">
        <v>68</v>
      </c>
      <c r="J3791">
        <v>9</v>
      </c>
      <c r="K3791">
        <v>3.9</v>
      </c>
      <c r="L3791" s="2">
        <v>1505.93</v>
      </c>
      <c r="M3791">
        <v>2032</v>
      </c>
      <c r="N3791">
        <v>5</v>
      </c>
      <c r="O3791" t="s">
        <v>204</v>
      </c>
      <c r="P3791" s="2">
        <v>2214.6</v>
      </c>
      <c r="Q3791" s="2">
        <v>708.67</v>
      </c>
      <c r="R3791" t="s">
        <v>72</v>
      </c>
      <c r="S3791">
        <v>1</v>
      </c>
      <c r="T3791">
        <v>0</v>
      </c>
      <c r="U3791">
        <f>IF(AND(OR(Dashboard!$D$4="Semua",D3791=Dashboard!$D$4),OR(Dashboard!$H$4="Semua",E3791=Dashboard!$H$4)),1,0)</f>
        <v>1</v>
      </c>
      <c r="V3791">
        <f>IF(U3791=1,IF(COUNTIFS($C$2:C3791,C3791,$U$2:U3791,1)=1,1,0),0)</f>
        <v>0</v>
      </c>
    </row>
    <row r="3792" spans="1:22" x14ac:dyDescent="0.35">
      <c r="A3792">
        <v>13791</v>
      </c>
      <c r="B3792" s="1">
        <v>48352</v>
      </c>
      <c r="C3792">
        <v>1867</v>
      </c>
      <c r="D3792" t="s">
        <v>80</v>
      </c>
      <c r="E3792" t="s">
        <v>74</v>
      </c>
      <c r="F3792">
        <v>5</v>
      </c>
      <c r="G3792" s="2">
        <v>584.55999999999995</v>
      </c>
      <c r="H3792">
        <v>0.11</v>
      </c>
      <c r="I3792" t="s">
        <v>68</v>
      </c>
      <c r="J3792">
        <v>10</v>
      </c>
      <c r="K3792">
        <v>1.7</v>
      </c>
      <c r="L3792" s="2">
        <v>2601.29</v>
      </c>
      <c r="M3792">
        <v>2032</v>
      </c>
      <c r="N3792">
        <v>5</v>
      </c>
      <c r="O3792" t="s">
        <v>204</v>
      </c>
      <c r="P3792" s="2">
        <v>2922.8</v>
      </c>
      <c r="Q3792" s="2">
        <v>321.51</v>
      </c>
      <c r="R3792" t="s">
        <v>79</v>
      </c>
      <c r="S3792">
        <v>1</v>
      </c>
      <c r="T3792">
        <v>0</v>
      </c>
      <c r="U3792">
        <f>IF(AND(OR(Dashboard!$D$4="Semua",D3792=Dashboard!$D$4),OR(Dashboard!$H$4="Semua",E3792=Dashboard!$H$4)),1,0)</f>
        <v>1</v>
      </c>
      <c r="V3792">
        <f>IF(U3792=1,IF(COUNTIFS($C$2:C3792,C3792,$U$2:U3792,1)=1,1,0),0)</f>
        <v>0</v>
      </c>
    </row>
    <row r="3793" spans="1:22" x14ac:dyDescent="0.35">
      <c r="A3793">
        <v>13792</v>
      </c>
      <c r="B3793" s="1">
        <v>48353</v>
      </c>
      <c r="C3793">
        <v>1703</v>
      </c>
      <c r="D3793" t="s">
        <v>73</v>
      </c>
      <c r="E3793" t="s">
        <v>78</v>
      </c>
      <c r="F3793">
        <v>1</v>
      </c>
      <c r="G3793" s="2">
        <v>369.48</v>
      </c>
      <c r="H3793">
        <v>0.16</v>
      </c>
      <c r="I3793" t="s">
        <v>68</v>
      </c>
      <c r="J3793">
        <v>11</v>
      </c>
      <c r="K3793">
        <v>1.4</v>
      </c>
      <c r="L3793" s="2">
        <v>310.36</v>
      </c>
      <c r="M3793">
        <v>2032</v>
      </c>
      <c r="N3793">
        <v>5</v>
      </c>
      <c r="O3793" t="s">
        <v>204</v>
      </c>
      <c r="P3793" s="2">
        <v>369.48</v>
      </c>
      <c r="Q3793" s="2">
        <v>59.12</v>
      </c>
      <c r="R3793" t="s">
        <v>76</v>
      </c>
      <c r="S3793">
        <v>1</v>
      </c>
      <c r="T3793">
        <v>0</v>
      </c>
      <c r="U3793">
        <f>IF(AND(OR(Dashboard!$D$4="Semua",D3793=Dashboard!$D$4),OR(Dashboard!$H$4="Semua",E3793=Dashboard!$H$4)),1,0)</f>
        <v>1</v>
      </c>
      <c r="V3793">
        <f>IF(U3793=1,IF(COUNTIFS($C$2:C3793,C3793,$U$2:U3793,1)=1,1,0),0)</f>
        <v>0</v>
      </c>
    </row>
    <row r="3794" spans="1:22" x14ac:dyDescent="0.35">
      <c r="A3794">
        <v>13793</v>
      </c>
      <c r="B3794" s="1">
        <v>48354</v>
      </c>
      <c r="C3794">
        <v>1018</v>
      </c>
      <c r="D3794" t="s">
        <v>67</v>
      </c>
      <c r="E3794" t="s">
        <v>78</v>
      </c>
      <c r="F3794">
        <v>3</v>
      </c>
      <c r="G3794" s="2">
        <v>296.52999999999997</v>
      </c>
      <c r="H3794">
        <v>0.3</v>
      </c>
      <c r="I3794" t="s">
        <v>71</v>
      </c>
      <c r="J3794">
        <v>10</v>
      </c>
      <c r="K3794">
        <v>1.4</v>
      </c>
      <c r="L3794" s="2">
        <v>622.71</v>
      </c>
      <c r="M3794">
        <v>2032</v>
      </c>
      <c r="N3794">
        <v>5</v>
      </c>
      <c r="O3794" t="s">
        <v>204</v>
      </c>
      <c r="P3794" s="2">
        <v>889.59</v>
      </c>
      <c r="Q3794" s="2">
        <v>266.88</v>
      </c>
      <c r="R3794" t="s">
        <v>66</v>
      </c>
      <c r="S3794">
        <v>1</v>
      </c>
      <c r="T3794">
        <v>0</v>
      </c>
      <c r="U3794">
        <f>IF(AND(OR(Dashboard!$D$4="Semua",D3794=Dashboard!$D$4),OR(Dashboard!$H$4="Semua",E3794=Dashboard!$H$4)),1,0)</f>
        <v>1</v>
      </c>
      <c r="V3794">
        <f>IF(U3794=1,IF(COUNTIFS($C$2:C3794,C3794,$U$2:U3794,1)=1,1,0),0)</f>
        <v>0</v>
      </c>
    </row>
    <row r="3795" spans="1:22" x14ac:dyDescent="0.35">
      <c r="A3795">
        <v>13794</v>
      </c>
      <c r="B3795" s="1">
        <v>48355</v>
      </c>
      <c r="C3795">
        <v>1431</v>
      </c>
      <c r="D3795" t="s">
        <v>73</v>
      </c>
      <c r="E3795" t="s">
        <v>63</v>
      </c>
      <c r="F3795">
        <v>4</v>
      </c>
      <c r="G3795" s="2">
        <v>448.72</v>
      </c>
      <c r="H3795">
        <v>0.27</v>
      </c>
      <c r="I3795" t="s">
        <v>71</v>
      </c>
      <c r="J3795">
        <v>9</v>
      </c>
      <c r="K3795">
        <v>2.2000000000000002</v>
      </c>
      <c r="L3795" s="2">
        <v>1310.26</v>
      </c>
      <c r="M3795">
        <v>2032</v>
      </c>
      <c r="N3795">
        <v>5</v>
      </c>
      <c r="O3795" t="s">
        <v>204</v>
      </c>
      <c r="P3795" s="2">
        <v>1794.88</v>
      </c>
      <c r="Q3795" s="2">
        <v>484.62</v>
      </c>
      <c r="R3795" t="s">
        <v>66</v>
      </c>
      <c r="S3795">
        <v>1</v>
      </c>
      <c r="T3795">
        <v>0</v>
      </c>
      <c r="U3795">
        <f>IF(AND(OR(Dashboard!$D$4="Semua",D3795=Dashboard!$D$4),OR(Dashboard!$H$4="Semua",E3795=Dashboard!$H$4)),1,0)</f>
        <v>1</v>
      </c>
      <c r="V3795">
        <f>IF(U3795=1,IF(COUNTIFS($C$2:C3795,C3795,$U$2:U3795,1)=1,1,0),0)</f>
        <v>0</v>
      </c>
    </row>
    <row r="3796" spans="1:22" x14ac:dyDescent="0.35">
      <c r="A3796">
        <v>13795</v>
      </c>
      <c r="B3796" s="1">
        <v>48356</v>
      </c>
      <c r="C3796">
        <v>1684</v>
      </c>
      <c r="D3796" t="s">
        <v>67</v>
      </c>
      <c r="E3796" t="s">
        <v>70</v>
      </c>
      <c r="F3796">
        <v>5</v>
      </c>
      <c r="G3796" s="2">
        <v>207.09</v>
      </c>
      <c r="H3796">
        <v>0.14000000000000001</v>
      </c>
      <c r="I3796" t="s">
        <v>64</v>
      </c>
      <c r="J3796">
        <v>1</v>
      </c>
      <c r="K3796">
        <v>1.6</v>
      </c>
      <c r="L3796" s="2">
        <v>890.49</v>
      </c>
      <c r="M3796">
        <v>2032</v>
      </c>
      <c r="N3796">
        <v>5</v>
      </c>
      <c r="O3796" t="s">
        <v>204</v>
      </c>
      <c r="P3796" s="2">
        <v>1035.45</v>
      </c>
      <c r="Q3796" s="2">
        <v>144.96</v>
      </c>
      <c r="R3796" t="s">
        <v>79</v>
      </c>
      <c r="S3796">
        <v>1</v>
      </c>
      <c r="T3796">
        <v>0</v>
      </c>
      <c r="U3796">
        <f>IF(AND(OR(Dashboard!$D$4="Semua",D3796=Dashboard!$D$4),OR(Dashboard!$H$4="Semua",E3796=Dashboard!$H$4)),1,0)</f>
        <v>1</v>
      </c>
      <c r="V3796">
        <f>IF(U3796=1,IF(COUNTIFS($C$2:C3796,C3796,$U$2:U3796,1)=1,1,0),0)</f>
        <v>0</v>
      </c>
    </row>
    <row r="3797" spans="1:22" x14ac:dyDescent="0.35">
      <c r="A3797">
        <v>13796</v>
      </c>
      <c r="B3797" s="1">
        <v>48357</v>
      </c>
      <c r="C3797">
        <v>1739</v>
      </c>
      <c r="D3797" t="s">
        <v>67</v>
      </c>
      <c r="E3797" t="s">
        <v>78</v>
      </c>
      <c r="F3797">
        <v>6</v>
      </c>
      <c r="G3797" s="2">
        <v>303.56</v>
      </c>
      <c r="H3797">
        <v>0.3</v>
      </c>
      <c r="I3797" t="s">
        <v>71</v>
      </c>
      <c r="J3797">
        <v>6</v>
      </c>
      <c r="K3797">
        <v>3.1</v>
      </c>
      <c r="L3797" s="2">
        <v>1274.95</v>
      </c>
      <c r="M3797">
        <v>2032</v>
      </c>
      <c r="N3797">
        <v>5</v>
      </c>
      <c r="O3797" t="s">
        <v>204</v>
      </c>
      <c r="P3797" s="2">
        <v>1821.36</v>
      </c>
      <c r="Q3797" s="2">
        <v>546.41</v>
      </c>
      <c r="R3797" t="s">
        <v>66</v>
      </c>
      <c r="S3797">
        <v>1</v>
      </c>
      <c r="T3797">
        <v>0</v>
      </c>
      <c r="U3797">
        <f>IF(AND(OR(Dashboard!$D$4="Semua",D3797=Dashboard!$D$4),OR(Dashboard!$H$4="Semua",E3797=Dashboard!$H$4)),1,0)</f>
        <v>1</v>
      </c>
      <c r="V3797">
        <f>IF(U3797=1,IF(COUNTIFS($C$2:C3797,C3797,$U$2:U3797,1)=1,1,0),0)</f>
        <v>0</v>
      </c>
    </row>
    <row r="3798" spans="1:22" x14ac:dyDescent="0.35">
      <c r="A3798">
        <v>13797</v>
      </c>
      <c r="B3798" s="1">
        <v>48358</v>
      </c>
      <c r="C3798">
        <v>1349</v>
      </c>
      <c r="D3798" t="s">
        <v>67</v>
      </c>
      <c r="E3798" t="s">
        <v>74</v>
      </c>
      <c r="F3798">
        <v>1</v>
      </c>
      <c r="G3798" s="2">
        <v>550.95000000000005</v>
      </c>
      <c r="H3798">
        <v>0.02</v>
      </c>
      <c r="I3798" t="s">
        <v>71</v>
      </c>
      <c r="J3798">
        <v>3</v>
      </c>
      <c r="K3798">
        <v>2.7</v>
      </c>
      <c r="L3798" s="2">
        <v>539.92999999999995</v>
      </c>
      <c r="M3798">
        <v>2032</v>
      </c>
      <c r="N3798">
        <v>5</v>
      </c>
      <c r="O3798" t="s">
        <v>204</v>
      </c>
      <c r="P3798" s="2">
        <v>550.95000000000005</v>
      </c>
      <c r="Q3798" s="2">
        <v>11.02</v>
      </c>
      <c r="R3798" t="s">
        <v>75</v>
      </c>
      <c r="S3798">
        <v>1</v>
      </c>
      <c r="T3798">
        <v>0</v>
      </c>
      <c r="U3798">
        <f>IF(AND(OR(Dashboard!$D$4="Semua",D3798=Dashboard!$D$4),OR(Dashboard!$H$4="Semua",E3798=Dashboard!$H$4)),1,0)</f>
        <v>1</v>
      </c>
      <c r="V3798">
        <f>IF(U3798=1,IF(COUNTIFS($C$2:C3798,C3798,$U$2:U3798,1)=1,1,0),0)</f>
        <v>0</v>
      </c>
    </row>
    <row r="3799" spans="1:22" x14ac:dyDescent="0.35">
      <c r="A3799">
        <v>13798</v>
      </c>
      <c r="B3799" s="1">
        <v>48359</v>
      </c>
      <c r="C3799">
        <v>1182</v>
      </c>
      <c r="D3799" t="s">
        <v>67</v>
      </c>
      <c r="E3799" t="s">
        <v>78</v>
      </c>
      <c r="F3799">
        <v>5</v>
      </c>
      <c r="G3799" s="2">
        <v>574.05999999999995</v>
      </c>
      <c r="H3799">
        <v>0.27</v>
      </c>
      <c r="I3799" t="s">
        <v>68</v>
      </c>
      <c r="J3799">
        <v>9</v>
      </c>
      <c r="K3799">
        <v>4.5999999999999996</v>
      </c>
      <c r="L3799" s="2">
        <v>2095.3200000000002</v>
      </c>
      <c r="M3799">
        <v>2032</v>
      </c>
      <c r="N3799">
        <v>5</v>
      </c>
      <c r="O3799" t="s">
        <v>204</v>
      </c>
      <c r="P3799" s="2">
        <v>2870.3</v>
      </c>
      <c r="Q3799" s="2">
        <v>774.98</v>
      </c>
      <c r="R3799" t="s">
        <v>66</v>
      </c>
      <c r="S3799">
        <v>1</v>
      </c>
      <c r="T3799">
        <v>0</v>
      </c>
      <c r="U3799">
        <f>IF(AND(OR(Dashboard!$D$4="Semua",D3799=Dashboard!$D$4),OR(Dashboard!$H$4="Semua",E3799=Dashboard!$H$4)),1,0)</f>
        <v>1</v>
      </c>
      <c r="V3799">
        <f>IF(U3799=1,IF(COUNTIFS($C$2:C3799,C3799,$U$2:U3799,1)=1,1,0),0)</f>
        <v>0</v>
      </c>
    </row>
    <row r="3800" spans="1:22" x14ac:dyDescent="0.35">
      <c r="A3800">
        <v>13799</v>
      </c>
      <c r="B3800" s="1">
        <v>48360</v>
      </c>
      <c r="C3800">
        <v>1112</v>
      </c>
      <c r="D3800" t="s">
        <v>73</v>
      </c>
      <c r="E3800" t="s">
        <v>78</v>
      </c>
      <c r="F3800">
        <v>3</v>
      </c>
      <c r="G3800" s="2">
        <v>557.34</v>
      </c>
      <c r="H3800">
        <v>7.0000000000000007E-2</v>
      </c>
      <c r="I3800" t="s">
        <v>71</v>
      </c>
      <c r="J3800">
        <v>3</v>
      </c>
      <c r="K3800">
        <v>3.9</v>
      </c>
      <c r="L3800" s="2">
        <v>1554.98</v>
      </c>
      <c r="M3800">
        <v>2032</v>
      </c>
      <c r="N3800">
        <v>5</v>
      </c>
      <c r="O3800" t="s">
        <v>204</v>
      </c>
      <c r="P3800" s="2">
        <v>1672.02</v>
      </c>
      <c r="Q3800" s="2">
        <v>117.04</v>
      </c>
      <c r="R3800" t="s">
        <v>69</v>
      </c>
      <c r="S3800">
        <v>1</v>
      </c>
      <c r="T3800">
        <v>0</v>
      </c>
      <c r="U3800">
        <f>IF(AND(OR(Dashboard!$D$4="Semua",D3800=Dashboard!$D$4),OR(Dashboard!$H$4="Semua",E3800=Dashboard!$H$4)),1,0)</f>
        <v>1</v>
      </c>
      <c r="V3800">
        <f>IF(U3800=1,IF(COUNTIFS($C$2:C3800,C3800,$U$2:U3800,1)=1,1,0),0)</f>
        <v>0</v>
      </c>
    </row>
    <row r="3801" spans="1:22" x14ac:dyDescent="0.35">
      <c r="A3801">
        <v>13800</v>
      </c>
      <c r="B3801" s="1">
        <v>48361</v>
      </c>
      <c r="C3801">
        <v>1182</v>
      </c>
      <c r="D3801" t="s">
        <v>67</v>
      </c>
      <c r="E3801" t="s">
        <v>78</v>
      </c>
      <c r="F3801">
        <v>4</v>
      </c>
      <c r="G3801" s="2">
        <v>168.53</v>
      </c>
      <c r="H3801">
        <v>0.1</v>
      </c>
      <c r="I3801" t="s">
        <v>68</v>
      </c>
      <c r="J3801">
        <v>2</v>
      </c>
      <c r="K3801">
        <v>1.8</v>
      </c>
      <c r="L3801" s="2">
        <v>606.71</v>
      </c>
      <c r="M3801">
        <v>2032</v>
      </c>
      <c r="N3801">
        <v>5</v>
      </c>
      <c r="O3801" t="s">
        <v>204</v>
      </c>
      <c r="P3801" s="2">
        <v>674.12</v>
      </c>
      <c r="Q3801" s="2">
        <v>67.41</v>
      </c>
      <c r="R3801" t="s">
        <v>69</v>
      </c>
      <c r="S3801">
        <v>1</v>
      </c>
      <c r="T3801">
        <v>0</v>
      </c>
      <c r="U3801">
        <f>IF(AND(OR(Dashboard!$D$4="Semua",D3801=Dashboard!$D$4),OR(Dashboard!$H$4="Semua",E3801=Dashboard!$H$4)),1,0)</f>
        <v>1</v>
      </c>
      <c r="V3801">
        <f>IF(U3801=1,IF(COUNTIFS($C$2:C3801,C3801,$U$2:U3801,1)=1,1,0),0)</f>
        <v>0</v>
      </c>
    </row>
    <row r="3802" spans="1:22" x14ac:dyDescent="0.35">
      <c r="A3802">
        <v>13801</v>
      </c>
      <c r="B3802" s="1">
        <v>48362</v>
      </c>
      <c r="C3802">
        <v>1480</v>
      </c>
      <c r="D3802" t="s">
        <v>80</v>
      </c>
      <c r="E3802" t="s">
        <v>70</v>
      </c>
      <c r="F3802">
        <v>4</v>
      </c>
      <c r="G3802" s="2">
        <v>150.99</v>
      </c>
      <c r="H3802">
        <v>0.17</v>
      </c>
      <c r="I3802" t="s">
        <v>71</v>
      </c>
      <c r="J3802">
        <v>8</v>
      </c>
      <c r="K3802">
        <v>1.2</v>
      </c>
      <c r="L3802" s="2">
        <v>501.29</v>
      </c>
      <c r="M3802">
        <v>2032</v>
      </c>
      <c r="N3802">
        <v>5</v>
      </c>
      <c r="O3802" t="s">
        <v>204</v>
      </c>
      <c r="P3802" s="2">
        <v>603.96</v>
      </c>
      <c r="Q3802" s="2">
        <v>102.67</v>
      </c>
      <c r="R3802" t="s">
        <v>76</v>
      </c>
      <c r="S3802">
        <v>1</v>
      </c>
      <c r="T3802">
        <v>0</v>
      </c>
      <c r="U3802">
        <f>IF(AND(OR(Dashboard!$D$4="Semua",D3802=Dashboard!$D$4),OR(Dashboard!$H$4="Semua",E3802=Dashboard!$H$4)),1,0)</f>
        <v>1</v>
      </c>
      <c r="V3802">
        <f>IF(U3802=1,IF(COUNTIFS($C$2:C3802,C3802,$U$2:U3802,1)=1,1,0),0)</f>
        <v>0</v>
      </c>
    </row>
    <row r="3803" spans="1:22" x14ac:dyDescent="0.35">
      <c r="A3803">
        <v>13802</v>
      </c>
      <c r="B3803" s="1">
        <v>48363</v>
      </c>
      <c r="C3803">
        <v>1145</v>
      </c>
      <c r="D3803" t="s">
        <v>80</v>
      </c>
      <c r="E3803" t="s">
        <v>74</v>
      </c>
      <c r="F3803">
        <v>6</v>
      </c>
      <c r="G3803" s="2">
        <v>189.13</v>
      </c>
      <c r="H3803">
        <v>0.16</v>
      </c>
      <c r="I3803" t="s">
        <v>68</v>
      </c>
      <c r="J3803">
        <v>3</v>
      </c>
      <c r="K3803">
        <v>3.8</v>
      </c>
      <c r="L3803" s="2">
        <v>953.22</v>
      </c>
      <c r="M3803">
        <v>2032</v>
      </c>
      <c r="N3803">
        <v>5</v>
      </c>
      <c r="O3803" t="s">
        <v>204</v>
      </c>
      <c r="P3803" s="2">
        <v>1134.78</v>
      </c>
      <c r="Q3803" s="2">
        <v>181.56</v>
      </c>
      <c r="R3803" t="s">
        <v>76</v>
      </c>
      <c r="S3803">
        <v>1</v>
      </c>
      <c r="T3803">
        <v>0</v>
      </c>
      <c r="U3803">
        <f>IF(AND(OR(Dashboard!$D$4="Semua",D3803=Dashboard!$D$4),OR(Dashboard!$H$4="Semua",E3803=Dashboard!$H$4)),1,0)</f>
        <v>1</v>
      </c>
      <c r="V3803">
        <f>IF(U3803=1,IF(COUNTIFS($C$2:C3803,C3803,$U$2:U3803,1)=1,1,0),0)</f>
        <v>0</v>
      </c>
    </row>
    <row r="3804" spans="1:22" x14ac:dyDescent="0.35">
      <c r="A3804">
        <v>13803</v>
      </c>
      <c r="B3804" s="1">
        <v>48364</v>
      </c>
      <c r="C3804">
        <v>1830</v>
      </c>
      <c r="D3804" t="s">
        <v>73</v>
      </c>
      <c r="E3804" t="s">
        <v>63</v>
      </c>
      <c r="F3804">
        <v>6</v>
      </c>
      <c r="G3804" s="2">
        <v>273.17</v>
      </c>
      <c r="H3804">
        <v>0.18</v>
      </c>
      <c r="I3804" t="s">
        <v>71</v>
      </c>
      <c r="J3804">
        <v>5</v>
      </c>
      <c r="K3804">
        <v>4.4000000000000004</v>
      </c>
      <c r="L3804" s="2">
        <v>1344</v>
      </c>
      <c r="M3804">
        <v>2032</v>
      </c>
      <c r="N3804">
        <v>5</v>
      </c>
      <c r="O3804" t="s">
        <v>204</v>
      </c>
      <c r="P3804" s="2">
        <v>1639.02</v>
      </c>
      <c r="Q3804" s="2">
        <v>295.02</v>
      </c>
      <c r="R3804" t="s">
        <v>76</v>
      </c>
      <c r="S3804">
        <v>1</v>
      </c>
      <c r="T3804">
        <v>0</v>
      </c>
      <c r="U3804">
        <f>IF(AND(OR(Dashboard!$D$4="Semua",D3804=Dashboard!$D$4),OR(Dashboard!$H$4="Semua",E3804=Dashboard!$H$4)),1,0)</f>
        <v>1</v>
      </c>
      <c r="V3804">
        <f>IF(U3804=1,IF(COUNTIFS($C$2:C3804,C3804,$U$2:U3804,1)=1,1,0),0)</f>
        <v>0</v>
      </c>
    </row>
    <row r="3805" spans="1:22" x14ac:dyDescent="0.35">
      <c r="A3805">
        <v>13804</v>
      </c>
      <c r="B3805" s="1">
        <v>48365</v>
      </c>
      <c r="C3805">
        <v>1627</v>
      </c>
      <c r="D3805" t="s">
        <v>62</v>
      </c>
      <c r="E3805" t="s">
        <v>78</v>
      </c>
      <c r="F3805">
        <v>6</v>
      </c>
      <c r="G3805" s="2">
        <v>198.79</v>
      </c>
      <c r="H3805">
        <v>0.19</v>
      </c>
      <c r="I3805" t="s">
        <v>64</v>
      </c>
      <c r="J3805">
        <v>6</v>
      </c>
      <c r="K3805">
        <v>3.8</v>
      </c>
      <c r="L3805" s="2">
        <v>966.12</v>
      </c>
      <c r="M3805">
        <v>2032</v>
      </c>
      <c r="N3805">
        <v>5</v>
      </c>
      <c r="O3805" t="s">
        <v>204</v>
      </c>
      <c r="P3805" s="2">
        <v>1192.74</v>
      </c>
      <c r="Q3805" s="2">
        <v>226.62</v>
      </c>
      <c r="R3805" t="s">
        <v>76</v>
      </c>
      <c r="S3805">
        <v>1</v>
      </c>
      <c r="T3805">
        <v>0</v>
      </c>
      <c r="U3805">
        <f>IF(AND(OR(Dashboard!$D$4="Semua",D3805=Dashboard!$D$4),OR(Dashboard!$H$4="Semua",E3805=Dashboard!$H$4)),1,0)</f>
        <v>1</v>
      </c>
      <c r="V3805">
        <f>IF(U3805=1,IF(COUNTIFS($C$2:C3805,C3805,$U$2:U3805,1)=1,1,0),0)</f>
        <v>0</v>
      </c>
    </row>
    <row r="3806" spans="1:22" x14ac:dyDescent="0.35">
      <c r="A3806">
        <v>13805</v>
      </c>
      <c r="B3806" s="1">
        <v>48366</v>
      </c>
      <c r="C3806">
        <v>1112</v>
      </c>
      <c r="D3806" t="s">
        <v>62</v>
      </c>
      <c r="E3806" t="s">
        <v>74</v>
      </c>
      <c r="F3806">
        <v>5</v>
      </c>
      <c r="G3806" s="2">
        <v>233.91</v>
      </c>
      <c r="H3806">
        <v>0.12</v>
      </c>
      <c r="I3806" t="s">
        <v>64</v>
      </c>
      <c r="J3806">
        <v>10</v>
      </c>
      <c r="K3806">
        <v>3.6</v>
      </c>
      <c r="L3806" s="2">
        <v>1029.2</v>
      </c>
      <c r="M3806">
        <v>2032</v>
      </c>
      <c r="N3806">
        <v>6</v>
      </c>
      <c r="O3806" t="s">
        <v>205</v>
      </c>
      <c r="P3806" s="2">
        <v>1169.55</v>
      </c>
      <c r="Q3806" s="2">
        <v>140.35</v>
      </c>
      <c r="R3806" t="s">
        <v>79</v>
      </c>
      <c r="S3806">
        <v>1</v>
      </c>
      <c r="T3806">
        <v>0</v>
      </c>
      <c r="U3806">
        <f>IF(AND(OR(Dashboard!$D$4="Semua",D3806=Dashboard!$D$4),OR(Dashboard!$H$4="Semua",E3806=Dashboard!$H$4)),1,0)</f>
        <v>1</v>
      </c>
      <c r="V3806">
        <f>IF(U3806=1,IF(COUNTIFS($C$2:C3806,C3806,$U$2:U3806,1)=1,1,0),0)</f>
        <v>0</v>
      </c>
    </row>
    <row r="3807" spans="1:22" x14ac:dyDescent="0.35">
      <c r="A3807">
        <v>13806</v>
      </c>
      <c r="B3807" s="1">
        <v>48367</v>
      </c>
      <c r="C3807">
        <v>1762</v>
      </c>
      <c r="D3807" t="s">
        <v>73</v>
      </c>
      <c r="E3807" t="s">
        <v>74</v>
      </c>
      <c r="F3807">
        <v>1</v>
      </c>
      <c r="G3807" s="2">
        <v>378.07</v>
      </c>
      <c r="H3807">
        <v>0.06</v>
      </c>
      <c r="I3807" t="s">
        <v>68</v>
      </c>
      <c r="J3807">
        <v>10</v>
      </c>
      <c r="K3807">
        <v>2</v>
      </c>
      <c r="L3807" s="2">
        <v>355.39</v>
      </c>
      <c r="M3807">
        <v>2032</v>
      </c>
      <c r="N3807">
        <v>6</v>
      </c>
      <c r="O3807" t="s">
        <v>205</v>
      </c>
      <c r="P3807" s="2">
        <v>378.07</v>
      </c>
      <c r="Q3807" s="2">
        <v>22.68</v>
      </c>
      <c r="R3807" t="s">
        <v>69</v>
      </c>
      <c r="S3807">
        <v>1</v>
      </c>
      <c r="T3807">
        <v>0</v>
      </c>
      <c r="U3807">
        <f>IF(AND(OR(Dashboard!$D$4="Semua",D3807=Dashboard!$D$4),OR(Dashboard!$H$4="Semua",E3807=Dashboard!$H$4)),1,0)</f>
        <v>1</v>
      </c>
      <c r="V3807">
        <f>IF(U3807=1,IF(COUNTIFS($C$2:C3807,C3807,$U$2:U3807,1)=1,1,0),0)</f>
        <v>0</v>
      </c>
    </row>
    <row r="3808" spans="1:22" x14ac:dyDescent="0.35">
      <c r="A3808">
        <v>13807</v>
      </c>
      <c r="B3808" s="1">
        <v>48368</v>
      </c>
      <c r="C3808">
        <v>1475</v>
      </c>
      <c r="D3808" t="s">
        <v>73</v>
      </c>
      <c r="E3808" t="s">
        <v>63</v>
      </c>
      <c r="F3808">
        <v>2</v>
      </c>
      <c r="G3808" s="2">
        <v>461.08</v>
      </c>
      <c r="H3808">
        <v>0.27</v>
      </c>
      <c r="I3808" t="s">
        <v>68</v>
      </c>
      <c r="J3808">
        <v>1</v>
      </c>
      <c r="K3808">
        <v>3</v>
      </c>
      <c r="L3808" s="2">
        <v>673.18</v>
      </c>
      <c r="M3808">
        <v>2032</v>
      </c>
      <c r="N3808">
        <v>6</v>
      </c>
      <c r="O3808" t="s">
        <v>205</v>
      </c>
      <c r="P3808" s="2">
        <v>922.16</v>
      </c>
      <c r="Q3808" s="2">
        <v>248.98</v>
      </c>
      <c r="R3808" t="s">
        <v>66</v>
      </c>
      <c r="S3808">
        <v>1</v>
      </c>
      <c r="T3808">
        <v>0</v>
      </c>
      <c r="U3808">
        <f>IF(AND(OR(Dashboard!$D$4="Semua",D3808=Dashboard!$D$4),OR(Dashboard!$H$4="Semua",E3808=Dashboard!$H$4)),1,0)</f>
        <v>1</v>
      </c>
      <c r="V3808">
        <f>IF(U3808=1,IF(COUNTIFS($C$2:C3808,C3808,$U$2:U3808,1)=1,1,0),0)</f>
        <v>0</v>
      </c>
    </row>
    <row r="3809" spans="1:22" x14ac:dyDescent="0.35">
      <c r="A3809">
        <v>13808</v>
      </c>
      <c r="B3809" s="1">
        <v>48369</v>
      </c>
      <c r="C3809">
        <v>1762</v>
      </c>
      <c r="D3809" t="s">
        <v>80</v>
      </c>
      <c r="E3809" t="s">
        <v>78</v>
      </c>
      <c r="F3809">
        <v>4</v>
      </c>
      <c r="G3809" s="2">
        <v>445.3</v>
      </c>
      <c r="H3809">
        <v>0.14000000000000001</v>
      </c>
      <c r="I3809" t="s">
        <v>64</v>
      </c>
      <c r="J3809">
        <v>7</v>
      </c>
      <c r="K3809">
        <v>3.9</v>
      </c>
      <c r="L3809" s="2">
        <v>1531.83</v>
      </c>
      <c r="M3809">
        <v>2032</v>
      </c>
      <c r="N3809">
        <v>6</v>
      </c>
      <c r="O3809" t="s">
        <v>205</v>
      </c>
      <c r="P3809" s="2">
        <v>1781.2</v>
      </c>
      <c r="Q3809" s="2">
        <v>249.37</v>
      </c>
      <c r="R3809" t="s">
        <v>79</v>
      </c>
      <c r="S3809">
        <v>1</v>
      </c>
      <c r="T3809">
        <v>0</v>
      </c>
      <c r="U3809">
        <f>IF(AND(OR(Dashboard!$D$4="Semua",D3809=Dashboard!$D$4),OR(Dashboard!$H$4="Semua",E3809=Dashboard!$H$4)),1,0)</f>
        <v>1</v>
      </c>
      <c r="V3809">
        <f>IF(U3809=1,IF(COUNTIFS($C$2:C3809,C3809,$U$2:U3809,1)=1,1,0),0)</f>
        <v>0</v>
      </c>
    </row>
    <row r="3810" spans="1:22" x14ac:dyDescent="0.35">
      <c r="A3810">
        <v>13809</v>
      </c>
      <c r="B3810" s="1">
        <v>48370</v>
      </c>
      <c r="C3810">
        <v>1302</v>
      </c>
      <c r="D3810" t="s">
        <v>80</v>
      </c>
      <c r="E3810" t="s">
        <v>70</v>
      </c>
      <c r="F3810">
        <v>2</v>
      </c>
      <c r="G3810" s="2">
        <v>491.44</v>
      </c>
      <c r="H3810">
        <v>0.18</v>
      </c>
      <c r="I3810" t="s">
        <v>71</v>
      </c>
      <c r="J3810">
        <v>11</v>
      </c>
      <c r="K3810">
        <v>1.8</v>
      </c>
      <c r="L3810" s="2">
        <v>805.96</v>
      </c>
      <c r="M3810">
        <v>2032</v>
      </c>
      <c r="N3810">
        <v>6</v>
      </c>
      <c r="O3810" t="s">
        <v>205</v>
      </c>
      <c r="P3810" s="2">
        <v>982.88</v>
      </c>
      <c r="Q3810" s="2">
        <v>176.92</v>
      </c>
      <c r="R3810" t="s">
        <v>76</v>
      </c>
      <c r="S3810">
        <v>1</v>
      </c>
      <c r="T3810">
        <v>0</v>
      </c>
      <c r="U3810">
        <f>IF(AND(OR(Dashboard!$D$4="Semua",D3810=Dashboard!$D$4),OR(Dashboard!$H$4="Semua",E3810=Dashboard!$H$4)),1,0)</f>
        <v>1</v>
      </c>
      <c r="V3810">
        <f>IF(U3810=1,IF(COUNTIFS($C$2:C3810,C3810,$U$2:U3810,1)=1,1,0),0)</f>
        <v>0</v>
      </c>
    </row>
    <row r="3811" spans="1:22" x14ac:dyDescent="0.35">
      <c r="A3811">
        <v>13810</v>
      </c>
      <c r="B3811" s="1">
        <v>48371</v>
      </c>
      <c r="C3811">
        <v>1970</v>
      </c>
      <c r="D3811" t="s">
        <v>62</v>
      </c>
      <c r="E3811" t="s">
        <v>74</v>
      </c>
      <c r="F3811">
        <v>7</v>
      </c>
      <c r="G3811" s="2">
        <v>33.83</v>
      </c>
      <c r="H3811">
        <v>0.23</v>
      </c>
      <c r="I3811" t="s">
        <v>71</v>
      </c>
      <c r="J3811">
        <v>7</v>
      </c>
      <c r="K3811">
        <v>2.9</v>
      </c>
      <c r="L3811" s="2">
        <v>182.34</v>
      </c>
      <c r="M3811">
        <v>2032</v>
      </c>
      <c r="N3811">
        <v>6</v>
      </c>
      <c r="O3811" t="s">
        <v>205</v>
      </c>
      <c r="P3811" s="2">
        <v>236.81</v>
      </c>
      <c r="Q3811" s="2">
        <v>54.47</v>
      </c>
      <c r="R3811" t="s">
        <v>77</v>
      </c>
      <c r="S3811">
        <v>1</v>
      </c>
      <c r="T3811">
        <v>0</v>
      </c>
      <c r="U3811">
        <f>IF(AND(OR(Dashboard!$D$4="Semua",D3811=Dashboard!$D$4),OR(Dashboard!$H$4="Semua",E3811=Dashboard!$H$4)),1,0)</f>
        <v>1</v>
      </c>
      <c r="V3811">
        <f>IF(U3811=1,IF(COUNTIFS($C$2:C3811,C3811,$U$2:U3811,1)=1,1,0),0)</f>
        <v>0</v>
      </c>
    </row>
    <row r="3812" spans="1:22" x14ac:dyDescent="0.35">
      <c r="A3812">
        <v>13811</v>
      </c>
      <c r="B3812" s="1">
        <v>48372</v>
      </c>
      <c r="C3812">
        <v>1824</v>
      </c>
      <c r="D3812" t="s">
        <v>62</v>
      </c>
      <c r="E3812" t="s">
        <v>63</v>
      </c>
      <c r="F3812">
        <v>4</v>
      </c>
      <c r="G3812" s="2">
        <v>42.92</v>
      </c>
      <c r="H3812">
        <v>0.32</v>
      </c>
      <c r="I3812" t="s">
        <v>71</v>
      </c>
      <c r="J3812">
        <v>5</v>
      </c>
      <c r="K3812">
        <v>1.5</v>
      </c>
      <c r="L3812" s="2">
        <v>116.74</v>
      </c>
      <c r="M3812">
        <v>2032</v>
      </c>
      <c r="N3812">
        <v>6</v>
      </c>
      <c r="O3812" t="s">
        <v>205</v>
      </c>
      <c r="P3812" s="2">
        <v>171.68</v>
      </c>
      <c r="Q3812" s="2">
        <v>54.94</v>
      </c>
      <c r="R3812" t="s">
        <v>72</v>
      </c>
      <c r="S3812">
        <v>1</v>
      </c>
      <c r="T3812">
        <v>0</v>
      </c>
      <c r="U3812">
        <f>IF(AND(OR(Dashboard!$D$4="Semua",D3812=Dashboard!$D$4),OR(Dashboard!$H$4="Semua",E3812=Dashboard!$H$4)),1,0)</f>
        <v>1</v>
      </c>
      <c r="V3812">
        <f>IF(U3812=1,IF(COUNTIFS($C$2:C3812,C3812,$U$2:U3812,1)=1,1,0),0)</f>
        <v>0</v>
      </c>
    </row>
    <row r="3813" spans="1:22" x14ac:dyDescent="0.35">
      <c r="A3813">
        <v>13812</v>
      </c>
      <c r="B3813" s="1">
        <v>48373</v>
      </c>
      <c r="C3813">
        <v>1117</v>
      </c>
      <c r="D3813" t="s">
        <v>67</v>
      </c>
      <c r="E3813" t="s">
        <v>70</v>
      </c>
      <c r="F3813">
        <v>6</v>
      </c>
      <c r="G3813" s="2">
        <v>476.79</v>
      </c>
      <c r="H3813">
        <v>0.25</v>
      </c>
      <c r="I3813" t="s">
        <v>71</v>
      </c>
      <c r="J3813">
        <v>9</v>
      </c>
      <c r="K3813">
        <v>3.1</v>
      </c>
      <c r="L3813" s="2">
        <v>2145.56</v>
      </c>
      <c r="M3813">
        <v>2032</v>
      </c>
      <c r="N3813">
        <v>6</v>
      </c>
      <c r="O3813" t="s">
        <v>205</v>
      </c>
      <c r="P3813" s="2">
        <v>2860.74</v>
      </c>
      <c r="Q3813" s="2">
        <v>715.18</v>
      </c>
      <c r="R3813" t="s">
        <v>77</v>
      </c>
      <c r="S3813">
        <v>1</v>
      </c>
      <c r="T3813">
        <v>0</v>
      </c>
      <c r="U3813">
        <f>IF(AND(OR(Dashboard!$D$4="Semua",D3813=Dashboard!$D$4),OR(Dashboard!$H$4="Semua",E3813=Dashboard!$H$4)),1,0)</f>
        <v>1</v>
      </c>
      <c r="V3813">
        <f>IF(U3813=1,IF(COUNTIFS($C$2:C3813,C3813,$U$2:U3813,1)=1,1,0),0)</f>
        <v>0</v>
      </c>
    </row>
    <row r="3814" spans="1:22" x14ac:dyDescent="0.35">
      <c r="A3814">
        <v>13813</v>
      </c>
      <c r="B3814" s="1">
        <v>48374</v>
      </c>
      <c r="C3814">
        <v>1812</v>
      </c>
      <c r="D3814" t="s">
        <v>67</v>
      </c>
      <c r="E3814" t="s">
        <v>74</v>
      </c>
      <c r="F3814">
        <v>1</v>
      </c>
      <c r="G3814" s="2">
        <v>326.85000000000002</v>
      </c>
      <c r="H3814">
        <v>0.02</v>
      </c>
      <c r="I3814" t="s">
        <v>64</v>
      </c>
      <c r="J3814">
        <v>11</v>
      </c>
      <c r="K3814">
        <v>3.3</v>
      </c>
      <c r="L3814" s="2">
        <v>320.31</v>
      </c>
      <c r="M3814">
        <v>2032</v>
      </c>
      <c r="N3814">
        <v>6</v>
      </c>
      <c r="O3814" t="s">
        <v>205</v>
      </c>
      <c r="P3814" s="2">
        <v>326.85000000000002</v>
      </c>
      <c r="Q3814" s="2">
        <v>6.54</v>
      </c>
      <c r="R3814" t="s">
        <v>75</v>
      </c>
      <c r="S3814">
        <v>1</v>
      </c>
      <c r="T3814">
        <v>0</v>
      </c>
      <c r="U3814">
        <f>IF(AND(OR(Dashboard!$D$4="Semua",D3814=Dashboard!$D$4),OR(Dashboard!$H$4="Semua",E3814=Dashboard!$H$4)),1,0)</f>
        <v>1</v>
      </c>
      <c r="V3814">
        <f>IF(U3814=1,IF(COUNTIFS($C$2:C3814,C3814,$U$2:U3814,1)=1,1,0),0)</f>
        <v>0</v>
      </c>
    </row>
    <row r="3815" spans="1:22" x14ac:dyDescent="0.35">
      <c r="A3815">
        <v>13814</v>
      </c>
      <c r="B3815" s="1">
        <v>48375</v>
      </c>
      <c r="C3815">
        <v>1160</v>
      </c>
      <c r="D3815" t="s">
        <v>73</v>
      </c>
      <c r="E3815" t="s">
        <v>78</v>
      </c>
      <c r="F3815">
        <v>1</v>
      </c>
      <c r="G3815" s="2">
        <v>353.21</v>
      </c>
      <c r="H3815">
        <v>0.28999999999999998</v>
      </c>
      <c r="I3815" t="s">
        <v>71</v>
      </c>
      <c r="J3815">
        <v>2</v>
      </c>
      <c r="K3815">
        <v>3.1</v>
      </c>
      <c r="L3815" s="2">
        <v>250.78</v>
      </c>
      <c r="M3815">
        <v>2032</v>
      </c>
      <c r="N3815">
        <v>6</v>
      </c>
      <c r="O3815" t="s">
        <v>205</v>
      </c>
      <c r="P3815" s="2">
        <v>353.21</v>
      </c>
      <c r="Q3815" s="2">
        <v>102.43</v>
      </c>
      <c r="R3815" t="s">
        <v>66</v>
      </c>
      <c r="S3815">
        <v>1</v>
      </c>
      <c r="T3815">
        <v>0</v>
      </c>
      <c r="U3815">
        <f>IF(AND(OR(Dashboard!$D$4="Semua",D3815=Dashboard!$D$4),OR(Dashboard!$H$4="Semua",E3815=Dashboard!$H$4)),1,0)</f>
        <v>1</v>
      </c>
      <c r="V3815">
        <f>IF(U3815=1,IF(COUNTIFS($C$2:C3815,C3815,$U$2:U3815,1)=1,1,0),0)</f>
        <v>0</v>
      </c>
    </row>
    <row r="3816" spans="1:22" x14ac:dyDescent="0.35">
      <c r="A3816">
        <v>13815</v>
      </c>
      <c r="B3816" s="1">
        <v>48376</v>
      </c>
      <c r="C3816">
        <v>1400</v>
      </c>
      <c r="D3816" t="s">
        <v>73</v>
      </c>
      <c r="E3816" t="s">
        <v>74</v>
      </c>
      <c r="F3816">
        <v>4</v>
      </c>
      <c r="G3816" s="2">
        <v>45.76</v>
      </c>
      <c r="H3816">
        <v>0.35</v>
      </c>
      <c r="I3816" t="s">
        <v>71</v>
      </c>
      <c r="J3816">
        <v>5</v>
      </c>
      <c r="K3816">
        <v>2.9</v>
      </c>
      <c r="L3816" s="2">
        <v>118.98</v>
      </c>
      <c r="M3816">
        <v>2032</v>
      </c>
      <c r="N3816">
        <v>6</v>
      </c>
      <c r="O3816" t="s">
        <v>205</v>
      </c>
      <c r="P3816" s="2">
        <v>183.04</v>
      </c>
      <c r="Q3816" s="2">
        <v>64.06</v>
      </c>
      <c r="R3816" t="s">
        <v>72</v>
      </c>
      <c r="S3816">
        <v>1</v>
      </c>
      <c r="T3816">
        <v>0</v>
      </c>
      <c r="U3816">
        <f>IF(AND(OR(Dashboard!$D$4="Semua",D3816=Dashboard!$D$4),OR(Dashboard!$H$4="Semua",E3816=Dashboard!$H$4)),1,0)</f>
        <v>1</v>
      </c>
      <c r="V3816">
        <f>IF(U3816=1,IF(COUNTIFS($C$2:C3816,C3816,$U$2:U3816,1)=1,1,0),0)</f>
        <v>0</v>
      </c>
    </row>
    <row r="3817" spans="1:22" x14ac:dyDescent="0.35">
      <c r="A3817">
        <v>13816</v>
      </c>
      <c r="B3817" s="1">
        <v>48377</v>
      </c>
      <c r="C3817">
        <v>1197</v>
      </c>
      <c r="D3817" t="s">
        <v>67</v>
      </c>
      <c r="E3817" t="s">
        <v>70</v>
      </c>
      <c r="F3817">
        <v>5</v>
      </c>
      <c r="G3817" s="2">
        <v>164.36</v>
      </c>
      <c r="H3817">
        <v>0.17</v>
      </c>
      <c r="I3817" t="s">
        <v>71</v>
      </c>
      <c r="J3817">
        <v>2</v>
      </c>
      <c r="K3817">
        <v>3.3</v>
      </c>
      <c r="L3817" s="2">
        <v>682.09</v>
      </c>
      <c r="M3817">
        <v>2032</v>
      </c>
      <c r="N3817">
        <v>6</v>
      </c>
      <c r="O3817" t="s">
        <v>205</v>
      </c>
      <c r="P3817" s="2">
        <v>821.8</v>
      </c>
      <c r="Q3817" s="2">
        <v>139.71</v>
      </c>
      <c r="R3817" t="s">
        <v>76</v>
      </c>
      <c r="S3817">
        <v>1</v>
      </c>
      <c r="T3817">
        <v>0</v>
      </c>
      <c r="U3817">
        <f>IF(AND(OR(Dashboard!$D$4="Semua",D3817=Dashboard!$D$4),OR(Dashboard!$H$4="Semua",E3817=Dashboard!$H$4)),1,0)</f>
        <v>1</v>
      </c>
      <c r="V3817">
        <f>IF(U3817=1,IF(COUNTIFS($C$2:C3817,C3817,$U$2:U3817,1)=1,1,0),0)</f>
        <v>0</v>
      </c>
    </row>
    <row r="3818" spans="1:22" x14ac:dyDescent="0.35">
      <c r="A3818">
        <v>13817</v>
      </c>
      <c r="B3818" s="1">
        <v>48378</v>
      </c>
      <c r="C3818">
        <v>1259</v>
      </c>
      <c r="D3818" t="s">
        <v>67</v>
      </c>
      <c r="E3818" t="s">
        <v>70</v>
      </c>
      <c r="F3818">
        <v>7</v>
      </c>
      <c r="G3818" s="2">
        <v>388.44</v>
      </c>
      <c r="H3818">
        <v>0.34</v>
      </c>
      <c r="I3818" t="s">
        <v>64</v>
      </c>
      <c r="J3818">
        <v>2</v>
      </c>
      <c r="K3818">
        <v>5</v>
      </c>
      <c r="L3818" s="2">
        <v>1794.59</v>
      </c>
      <c r="M3818">
        <v>2032</v>
      </c>
      <c r="N3818">
        <v>6</v>
      </c>
      <c r="O3818" t="s">
        <v>205</v>
      </c>
      <c r="P3818" s="2">
        <v>2719.08</v>
      </c>
      <c r="Q3818" s="2">
        <v>924.49</v>
      </c>
      <c r="R3818" t="s">
        <v>72</v>
      </c>
      <c r="S3818">
        <v>1</v>
      </c>
      <c r="T3818">
        <v>0</v>
      </c>
      <c r="U3818">
        <f>IF(AND(OR(Dashboard!$D$4="Semua",D3818=Dashboard!$D$4),OR(Dashboard!$H$4="Semua",E3818=Dashboard!$H$4)),1,0)</f>
        <v>1</v>
      </c>
      <c r="V3818">
        <f>IF(U3818=1,IF(COUNTIFS($C$2:C3818,C3818,$U$2:U3818,1)=1,1,0),0)</f>
        <v>0</v>
      </c>
    </row>
    <row r="3819" spans="1:22" x14ac:dyDescent="0.35">
      <c r="A3819">
        <v>13818</v>
      </c>
      <c r="B3819" s="1">
        <v>48379</v>
      </c>
      <c r="C3819">
        <v>1659</v>
      </c>
      <c r="D3819" t="s">
        <v>67</v>
      </c>
      <c r="E3819" t="s">
        <v>78</v>
      </c>
      <c r="F3819">
        <v>6</v>
      </c>
      <c r="G3819" s="2">
        <v>517.62</v>
      </c>
      <c r="H3819">
        <v>0.19</v>
      </c>
      <c r="I3819" t="s">
        <v>71</v>
      </c>
      <c r="J3819">
        <v>11</v>
      </c>
      <c r="K3819">
        <v>3.5</v>
      </c>
      <c r="L3819" s="2">
        <v>2515.63</v>
      </c>
      <c r="M3819">
        <v>2032</v>
      </c>
      <c r="N3819">
        <v>6</v>
      </c>
      <c r="O3819" t="s">
        <v>205</v>
      </c>
      <c r="P3819" s="2">
        <v>3105.72</v>
      </c>
      <c r="Q3819" s="2">
        <v>590.09</v>
      </c>
      <c r="R3819" t="s">
        <v>76</v>
      </c>
      <c r="S3819">
        <v>1</v>
      </c>
      <c r="T3819">
        <v>0</v>
      </c>
      <c r="U3819">
        <f>IF(AND(OR(Dashboard!$D$4="Semua",D3819=Dashboard!$D$4),OR(Dashboard!$H$4="Semua",E3819=Dashboard!$H$4)),1,0)</f>
        <v>1</v>
      </c>
      <c r="V3819">
        <f>IF(U3819=1,IF(COUNTIFS($C$2:C3819,C3819,$U$2:U3819,1)=1,1,0),0)</f>
        <v>0</v>
      </c>
    </row>
    <row r="3820" spans="1:22" x14ac:dyDescent="0.35">
      <c r="A3820">
        <v>13819</v>
      </c>
      <c r="B3820" s="1">
        <v>48380</v>
      </c>
      <c r="C3820">
        <v>1751</v>
      </c>
      <c r="D3820" t="s">
        <v>80</v>
      </c>
      <c r="E3820" t="s">
        <v>78</v>
      </c>
      <c r="F3820">
        <v>1</v>
      </c>
      <c r="G3820" s="2">
        <v>551.44000000000005</v>
      </c>
      <c r="H3820">
        <v>0.16</v>
      </c>
      <c r="I3820" t="s">
        <v>71</v>
      </c>
      <c r="J3820">
        <v>9</v>
      </c>
      <c r="K3820">
        <v>4</v>
      </c>
      <c r="L3820" s="2">
        <v>463.21</v>
      </c>
      <c r="M3820">
        <v>2032</v>
      </c>
      <c r="N3820">
        <v>6</v>
      </c>
      <c r="O3820" t="s">
        <v>205</v>
      </c>
      <c r="P3820" s="2">
        <v>551.44000000000005</v>
      </c>
      <c r="Q3820" s="2">
        <v>88.23</v>
      </c>
      <c r="R3820" t="s">
        <v>76</v>
      </c>
      <c r="S3820">
        <v>1</v>
      </c>
      <c r="T3820">
        <v>0</v>
      </c>
      <c r="U3820">
        <f>IF(AND(OR(Dashboard!$D$4="Semua",D3820=Dashboard!$D$4),OR(Dashboard!$H$4="Semua",E3820=Dashboard!$H$4)),1,0)</f>
        <v>1</v>
      </c>
      <c r="V3820">
        <f>IF(U3820=1,IF(COUNTIFS($C$2:C3820,C3820,$U$2:U3820,1)=1,1,0),0)</f>
        <v>0</v>
      </c>
    </row>
    <row r="3821" spans="1:22" x14ac:dyDescent="0.35">
      <c r="A3821">
        <v>13820</v>
      </c>
      <c r="B3821" s="1">
        <v>48381</v>
      </c>
      <c r="C3821">
        <v>1046</v>
      </c>
      <c r="D3821" t="s">
        <v>73</v>
      </c>
      <c r="E3821" t="s">
        <v>63</v>
      </c>
      <c r="F3821">
        <v>7</v>
      </c>
      <c r="G3821" s="2">
        <v>307.75</v>
      </c>
      <c r="H3821">
        <v>0.12</v>
      </c>
      <c r="I3821" t="s">
        <v>64</v>
      </c>
      <c r="J3821">
        <v>7</v>
      </c>
      <c r="K3821">
        <v>1.8</v>
      </c>
      <c r="L3821" s="2">
        <v>1895.74</v>
      </c>
      <c r="M3821">
        <v>2032</v>
      </c>
      <c r="N3821">
        <v>6</v>
      </c>
      <c r="O3821" t="s">
        <v>205</v>
      </c>
      <c r="P3821" s="2">
        <v>2154.25</v>
      </c>
      <c r="Q3821" s="2">
        <v>258.51</v>
      </c>
      <c r="R3821" t="s">
        <v>79</v>
      </c>
      <c r="S3821">
        <v>1</v>
      </c>
      <c r="T3821">
        <v>0</v>
      </c>
      <c r="U3821">
        <f>IF(AND(OR(Dashboard!$D$4="Semua",D3821=Dashboard!$D$4),OR(Dashboard!$H$4="Semua",E3821=Dashboard!$H$4)),1,0)</f>
        <v>1</v>
      </c>
      <c r="V3821">
        <f>IF(U3821=1,IF(COUNTIFS($C$2:C3821,C3821,$U$2:U3821,1)=1,1,0),0)</f>
        <v>0</v>
      </c>
    </row>
    <row r="3822" spans="1:22" x14ac:dyDescent="0.35">
      <c r="A3822">
        <v>13821</v>
      </c>
      <c r="B3822" s="1">
        <v>48382</v>
      </c>
      <c r="C3822">
        <v>1986</v>
      </c>
      <c r="D3822" t="s">
        <v>67</v>
      </c>
      <c r="E3822" t="s">
        <v>78</v>
      </c>
      <c r="F3822">
        <v>7</v>
      </c>
      <c r="G3822" s="2">
        <v>334.1</v>
      </c>
      <c r="H3822">
        <v>0.23</v>
      </c>
      <c r="I3822" t="s">
        <v>71</v>
      </c>
      <c r="J3822">
        <v>4</v>
      </c>
      <c r="K3822">
        <v>3.1</v>
      </c>
      <c r="L3822" s="2">
        <v>1800.8</v>
      </c>
      <c r="M3822">
        <v>2032</v>
      </c>
      <c r="N3822">
        <v>6</v>
      </c>
      <c r="O3822" t="s">
        <v>205</v>
      </c>
      <c r="P3822" s="2">
        <v>2338.6999999999998</v>
      </c>
      <c r="Q3822" s="2">
        <v>537.9</v>
      </c>
      <c r="R3822" t="s">
        <v>77</v>
      </c>
      <c r="S3822">
        <v>1</v>
      </c>
      <c r="T3822">
        <v>0</v>
      </c>
      <c r="U3822">
        <f>IF(AND(OR(Dashboard!$D$4="Semua",D3822=Dashboard!$D$4),OR(Dashboard!$H$4="Semua",E3822=Dashboard!$H$4)),1,0)</f>
        <v>1</v>
      </c>
      <c r="V3822">
        <f>IF(U3822=1,IF(COUNTIFS($C$2:C3822,C3822,$U$2:U3822,1)=1,1,0),0)</f>
        <v>0</v>
      </c>
    </row>
    <row r="3823" spans="1:22" x14ac:dyDescent="0.35">
      <c r="A3823">
        <v>13822</v>
      </c>
      <c r="B3823" s="1">
        <v>48383</v>
      </c>
      <c r="C3823">
        <v>1398</v>
      </c>
      <c r="D3823" t="s">
        <v>73</v>
      </c>
      <c r="E3823" t="s">
        <v>63</v>
      </c>
      <c r="F3823">
        <v>1</v>
      </c>
      <c r="G3823" s="2">
        <v>502.33</v>
      </c>
      <c r="H3823">
        <v>0.08</v>
      </c>
      <c r="I3823" t="s">
        <v>68</v>
      </c>
      <c r="J3823">
        <v>11</v>
      </c>
      <c r="K3823">
        <v>1</v>
      </c>
      <c r="L3823" s="2">
        <v>462.14</v>
      </c>
      <c r="M3823">
        <v>2032</v>
      </c>
      <c r="N3823">
        <v>6</v>
      </c>
      <c r="O3823" t="s">
        <v>205</v>
      </c>
      <c r="P3823" s="2">
        <v>502.33</v>
      </c>
      <c r="Q3823" s="2">
        <v>40.19</v>
      </c>
      <c r="R3823" t="s">
        <v>69</v>
      </c>
      <c r="S3823">
        <v>1</v>
      </c>
      <c r="T3823">
        <v>0</v>
      </c>
      <c r="U3823">
        <f>IF(AND(OR(Dashboard!$D$4="Semua",D3823=Dashboard!$D$4),OR(Dashboard!$H$4="Semua",E3823=Dashboard!$H$4)),1,0)</f>
        <v>1</v>
      </c>
      <c r="V3823">
        <f>IF(U3823=1,IF(COUNTIFS($C$2:C3823,C3823,$U$2:U3823,1)=1,1,0),0)</f>
        <v>0</v>
      </c>
    </row>
    <row r="3824" spans="1:22" x14ac:dyDescent="0.35">
      <c r="A3824">
        <v>13823</v>
      </c>
      <c r="B3824" s="1">
        <v>48384</v>
      </c>
      <c r="C3824">
        <v>1709</v>
      </c>
      <c r="D3824" t="s">
        <v>67</v>
      </c>
      <c r="E3824" t="s">
        <v>70</v>
      </c>
      <c r="F3824">
        <v>3</v>
      </c>
      <c r="G3824" s="2">
        <v>329.51</v>
      </c>
      <c r="H3824">
        <v>0.04</v>
      </c>
      <c r="I3824" t="s">
        <v>71</v>
      </c>
      <c r="J3824">
        <v>8</v>
      </c>
      <c r="K3824">
        <v>1.1000000000000001</v>
      </c>
      <c r="L3824" s="2">
        <v>948.99</v>
      </c>
      <c r="M3824">
        <v>2032</v>
      </c>
      <c r="N3824">
        <v>6</v>
      </c>
      <c r="O3824" t="s">
        <v>205</v>
      </c>
      <c r="P3824" s="2">
        <v>988.53</v>
      </c>
      <c r="Q3824" s="2">
        <v>39.54</v>
      </c>
      <c r="R3824" t="s">
        <v>75</v>
      </c>
      <c r="S3824">
        <v>1</v>
      </c>
      <c r="T3824">
        <v>0</v>
      </c>
      <c r="U3824">
        <f>IF(AND(OR(Dashboard!$D$4="Semua",D3824=Dashboard!$D$4),OR(Dashboard!$H$4="Semua",E3824=Dashboard!$H$4)),1,0)</f>
        <v>1</v>
      </c>
      <c r="V3824">
        <f>IF(U3824=1,IF(COUNTIFS($C$2:C3824,C3824,$U$2:U3824,1)=1,1,0),0)</f>
        <v>0</v>
      </c>
    </row>
    <row r="3825" spans="1:22" x14ac:dyDescent="0.35">
      <c r="A3825">
        <v>13824</v>
      </c>
      <c r="B3825" s="1">
        <v>48385</v>
      </c>
      <c r="C3825">
        <v>1558</v>
      </c>
      <c r="D3825" t="s">
        <v>80</v>
      </c>
      <c r="E3825" t="s">
        <v>70</v>
      </c>
      <c r="F3825">
        <v>7</v>
      </c>
      <c r="G3825" s="2">
        <v>317.36</v>
      </c>
      <c r="H3825">
        <v>0.01</v>
      </c>
      <c r="I3825" t="s">
        <v>71</v>
      </c>
      <c r="J3825">
        <v>11</v>
      </c>
      <c r="K3825">
        <v>2.2999999999999998</v>
      </c>
      <c r="L3825" s="2">
        <v>2199.3000000000002</v>
      </c>
      <c r="M3825">
        <v>2032</v>
      </c>
      <c r="N3825">
        <v>6</v>
      </c>
      <c r="O3825" t="s">
        <v>205</v>
      </c>
      <c r="P3825" s="2">
        <v>2221.52</v>
      </c>
      <c r="Q3825" s="2">
        <v>22.22</v>
      </c>
      <c r="R3825" t="s">
        <v>75</v>
      </c>
      <c r="S3825">
        <v>1</v>
      </c>
      <c r="T3825">
        <v>0</v>
      </c>
      <c r="U3825">
        <f>IF(AND(OR(Dashboard!$D$4="Semua",D3825=Dashboard!$D$4),OR(Dashboard!$H$4="Semua",E3825=Dashboard!$H$4)),1,0)</f>
        <v>1</v>
      </c>
      <c r="V3825">
        <f>IF(U3825=1,IF(COUNTIFS($C$2:C3825,C3825,$U$2:U3825,1)=1,1,0),0)</f>
        <v>0</v>
      </c>
    </row>
    <row r="3826" spans="1:22" x14ac:dyDescent="0.35">
      <c r="A3826">
        <v>13825</v>
      </c>
      <c r="B3826" s="1">
        <v>48386</v>
      </c>
      <c r="C3826">
        <v>1077</v>
      </c>
      <c r="D3826" t="s">
        <v>80</v>
      </c>
      <c r="E3826" t="s">
        <v>74</v>
      </c>
      <c r="F3826">
        <v>1</v>
      </c>
      <c r="G3826" s="2">
        <v>544.47</v>
      </c>
      <c r="H3826">
        <v>0.1</v>
      </c>
      <c r="I3826" t="s">
        <v>68</v>
      </c>
      <c r="J3826">
        <v>11</v>
      </c>
      <c r="K3826">
        <v>2.9</v>
      </c>
      <c r="L3826" s="2">
        <v>490.02</v>
      </c>
      <c r="M3826">
        <v>2032</v>
      </c>
      <c r="N3826">
        <v>6</v>
      </c>
      <c r="O3826" t="s">
        <v>205</v>
      </c>
      <c r="P3826" s="2">
        <v>544.47</v>
      </c>
      <c r="Q3826" s="2">
        <v>54.45</v>
      </c>
      <c r="R3826" t="s">
        <v>69</v>
      </c>
      <c r="S3826">
        <v>1</v>
      </c>
      <c r="T3826">
        <v>0</v>
      </c>
      <c r="U3826">
        <f>IF(AND(OR(Dashboard!$D$4="Semua",D3826=Dashboard!$D$4),OR(Dashboard!$H$4="Semua",E3826=Dashboard!$H$4)),1,0)</f>
        <v>1</v>
      </c>
      <c r="V3826">
        <f>IF(U3826=1,IF(COUNTIFS($C$2:C3826,C3826,$U$2:U3826,1)=1,1,0),0)</f>
        <v>0</v>
      </c>
    </row>
    <row r="3827" spans="1:22" x14ac:dyDescent="0.35">
      <c r="A3827">
        <v>13826</v>
      </c>
      <c r="B3827" s="1">
        <v>48387</v>
      </c>
      <c r="C3827">
        <v>1123</v>
      </c>
      <c r="D3827" t="s">
        <v>62</v>
      </c>
      <c r="E3827" t="s">
        <v>74</v>
      </c>
      <c r="F3827">
        <v>3</v>
      </c>
      <c r="G3827" s="2">
        <v>477.11</v>
      </c>
      <c r="H3827">
        <v>0.14000000000000001</v>
      </c>
      <c r="I3827" t="s">
        <v>71</v>
      </c>
      <c r="J3827">
        <v>4</v>
      </c>
      <c r="K3827">
        <v>3.3</v>
      </c>
      <c r="L3827" s="2">
        <v>1230.94</v>
      </c>
      <c r="M3827">
        <v>2032</v>
      </c>
      <c r="N3827">
        <v>6</v>
      </c>
      <c r="O3827" t="s">
        <v>205</v>
      </c>
      <c r="P3827" s="2">
        <v>1431.33</v>
      </c>
      <c r="Q3827" s="2">
        <v>200.39</v>
      </c>
      <c r="R3827" t="s">
        <v>79</v>
      </c>
      <c r="S3827">
        <v>1</v>
      </c>
      <c r="T3827">
        <v>0</v>
      </c>
      <c r="U3827">
        <f>IF(AND(OR(Dashboard!$D$4="Semua",D3827=Dashboard!$D$4),OR(Dashboard!$H$4="Semua",E3827=Dashboard!$H$4)),1,0)</f>
        <v>1</v>
      </c>
      <c r="V3827">
        <f>IF(U3827=1,IF(COUNTIFS($C$2:C3827,C3827,$U$2:U3827,1)=1,1,0),0)</f>
        <v>0</v>
      </c>
    </row>
    <row r="3828" spans="1:22" x14ac:dyDescent="0.35">
      <c r="A3828">
        <v>13827</v>
      </c>
      <c r="B3828" s="1">
        <v>48388</v>
      </c>
      <c r="C3828">
        <v>1074</v>
      </c>
      <c r="D3828" t="s">
        <v>73</v>
      </c>
      <c r="E3828" t="s">
        <v>63</v>
      </c>
      <c r="F3828">
        <v>1</v>
      </c>
      <c r="G3828" s="2">
        <v>546.80999999999995</v>
      </c>
      <c r="H3828">
        <v>0.19</v>
      </c>
      <c r="I3828" t="s">
        <v>71</v>
      </c>
      <c r="J3828">
        <v>1</v>
      </c>
      <c r="K3828">
        <v>4.5999999999999996</v>
      </c>
      <c r="L3828" s="2">
        <v>442.92</v>
      </c>
      <c r="M3828">
        <v>2032</v>
      </c>
      <c r="N3828">
        <v>6</v>
      </c>
      <c r="O3828" t="s">
        <v>205</v>
      </c>
      <c r="P3828" s="2">
        <v>546.80999999999995</v>
      </c>
      <c r="Q3828" s="2">
        <v>103.89</v>
      </c>
      <c r="R3828" t="s">
        <v>76</v>
      </c>
      <c r="S3828">
        <v>1</v>
      </c>
      <c r="T3828">
        <v>0</v>
      </c>
      <c r="U3828">
        <f>IF(AND(OR(Dashboard!$D$4="Semua",D3828=Dashboard!$D$4),OR(Dashboard!$H$4="Semua",E3828=Dashboard!$H$4)),1,0)</f>
        <v>1</v>
      </c>
      <c r="V3828">
        <f>IF(U3828=1,IF(COUNTIFS($C$2:C3828,C3828,$U$2:U3828,1)=1,1,0),0)</f>
        <v>0</v>
      </c>
    </row>
    <row r="3829" spans="1:22" x14ac:dyDescent="0.35">
      <c r="A3829">
        <v>13828</v>
      </c>
      <c r="B3829" s="1">
        <v>48389</v>
      </c>
      <c r="C3829">
        <v>1870</v>
      </c>
      <c r="D3829" t="s">
        <v>67</v>
      </c>
      <c r="E3829" t="s">
        <v>78</v>
      </c>
      <c r="F3829">
        <v>1</v>
      </c>
      <c r="G3829" s="2">
        <v>142.66999999999999</v>
      </c>
      <c r="H3829">
        <v>0.1</v>
      </c>
      <c r="I3829" t="s">
        <v>71</v>
      </c>
      <c r="J3829">
        <v>10</v>
      </c>
      <c r="K3829">
        <v>4.0999999999999996</v>
      </c>
      <c r="L3829" s="2">
        <v>128.4</v>
      </c>
      <c r="M3829">
        <v>2032</v>
      </c>
      <c r="N3829">
        <v>6</v>
      </c>
      <c r="O3829" t="s">
        <v>205</v>
      </c>
      <c r="P3829" s="2">
        <v>142.66999999999999</v>
      </c>
      <c r="Q3829" s="2">
        <v>14.27</v>
      </c>
      <c r="R3829" t="s">
        <v>69</v>
      </c>
      <c r="S3829">
        <v>1</v>
      </c>
      <c r="T3829">
        <v>0</v>
      </c>
      <c r="U3829">
        <f>IF(AND(OR(Dashboard!$D$4="Semua",D3829=Dashboard!$D$4),OR(Dashboard!$H$4="Semua",E3829=Dashboard!$H$4)),1,0)</f>
        <v>1</v>
      </c>
      <c r="V3829">
        <f>IF(U3829=1,IF(COUNTIFS($C$2:C3829,C3829,$U$2:U3829,1)=1,1,0),0)</f>
        <v>0</v>
      </c>
    </row>
    <row r="3830" spans="1:22" x14ac:dyDescent="0.35">
      <c r="A3830">
        <v>13829</v>
      </c>
      <c r="B3830" s="1">
        <v>48390</v>
      </c>
      <c r="C3830">
        <v>1136</v>
      </c>
      <c r="D3830" t="s">
        <v>73</v>
      </c>
      <c r="E3830" t="s">
        <v>78</v>
      </c>
      <c r="F3830">
        <v>7</v>
      </c>
      <c r="G3830" s="2">
        <v>321.76</v>
      </c>
      <c r="H3830">
        <v>0.34</v>
      </c>
      <c r="I3830" t="s">
        <v>71</v>
      </c>
      <c r="J3830">
        <v>3</v>
      </c>
      <c r="K3830">
        <v>2.2000000000000002</v>
      </c>
      <c r="L3830" s="2">
        <v>1486.53</v>
      </c>
      <c r="M3830">
        <v>2032</v>
      </c>
      <c r="N3830">
        <v>6</v>
      </c>
      <c r="O3830" t="s">
        <v>205</v>
      </c>
      <c r="P3830" s="2">
        <v>2252.3200000000002</v>
      </c>
      <c r="Q3830" s="2">
        <v>765.79</v>
      </c>
      <c r="R3830" t="s">
        <v>72</v>
      </c>
      <c r="S3830">
        <v>1</v>
      </c>
      <c r="T3830">
        <v>0</v>
      </c>
      <c r="U3830">
        <f>IF(AND(OR(Dashboard!$D$4="Semua",D3830=Dashboard!$D$4),OR(Dashboard!$H$4="Semua",E3830=Dashboard!$H$4)),1,0)</f>
        <v>1</v>
      </c>
      <c r="V3830">
        <f>IF(U3830=1,IF(COUNTIFS($C$2:C3830,C3830,$U$2:U3830,1)=1,1,0),0)</f>
        <v>0</v>
      </c>
    </row>
    <row r="3831" spans="1:22" x14ac:dyDescent="0.35">
      <c r="A3831">
        <v>13830</v>
      </c>
      <c r="B3831" s="1">
        <v>48391</v>
      </c>
      <c r="C3831">
        <v>1601</v>
      </c>
      <c r="D3831" t="s">
        <v>67</v>
      </c>
      <c r="E3831" t="s">
        <v>74</v>
      </c>
      <c r="F3831">
        <v>5</v>
      </c>
      <c r="G3831" s="2">
        <v>507.85</v>
      </c>
      <c r="H3831">
        <v>0.1</v>
      </c>
      <c r="I3831" t="s">
        <v>71</v>
      </c>
      <c r="J3831">
        <v>10</v>
      </c>
      <c r="K3831">
        <v>4</v>
      </c>
      <c r="L3831" s="2">
        <v>2285.33</v>
      </c>
      <c r="M3831">
        <v>2032</v>
      </c>
      <c r="N3831">
        <v>6</v>
      </c>
      <c r="O3831" t="s">
        <v>205</v>
      </c>
      <c r="P3831" s="2">
        <v>2539.25</v>
      </c>
      <c r="Q3831" s="2">
        <v>253.92</v>
      </c>
      <c r="R3831" t="s">
        <v>69</v>
      </c>
      <c r="S3831">
        <v>1</v>
      </c>
      <c r="T3831">
        <v>0</v>
      </c>
      <c r="U3831">
        <f>IF(AND(OR(Dashboard!$D$4="Semua",D3831=Dashboard!$D$4),OR(Dashboard!$H$4="Semua",E3831=Dashboard!$H$4)),1,0)</f>
        <v>1</v>
      </c>
      <c r="V3831">
        <f>IF(U3831=1,IF(COUNTIFS($C$2:C3831,C3831,$U$2:U3831,1)=1,1,0),0)</f>
        <v>0</v>
      </c>
    </row>
    <row r="3832" spans="1:22" x14ac:dyDescent="0.35">
      <c r="A3832">
        <v>13831</v>
      </c>
      <c r="B3832" s="1">
        <v>48392</v>
      </c>
      <c r="C3832">
        <v>1399</v>
      </c>
      <c r="D3832" t="s">
        <v>62</v>
      </c>
      <c r="E3832" t="s">
        <v>70</v>
      </c>
      <c r="F3832">
        <v>5</v>
      </c>
      <c r="G3832" s="2">
        <v>80.02</v>
      </c>
      <c r="H3832">
        <v>0.15</v>
      </c>
      <c r="I3832" t="s">
        <v>64</v>
      </c>
      <c r="J3832">
        <v>1</v>
      </c>
      <c r="K3832">
        <v>3.2</v>
      </c>
      <c r="L3832" s="2">
        <v>340.08</v>
      </c>
      <c r="M3832">
        <v>2032</v>
      </c>
      <c r="N3832">
        <v>6</v>
      </c>
      <c r="O3832" t="s">
        <v>205</v>
      </c>
      <c r="P3832" s="2">
        <v>400.1</v>
      </c>
      <c r="Q3832" s="2">
        <v>60.02</v>
      </c>
      <c r="R3832" t="s">
        <v>79</v>
      </c>
      <c r="S3832">
        <v>1</v>
      </c>
      <c r="T3832">
        <v>0</v>
      </c>
      <c r="U3832">
        <f>IF(AND(OR(Dashboard!$D$4="Semua",D3832=Dashboard!$D$4),OR(Dashboard!$H$4="Semua",E3832=Dashboard!$H$4)),1,0)</f>
        <v>1</v>
      </c>
      <c r="V3832">
        <f>IF(U3832=1,IF(COUNTIFS($C$2:C3832,C3832,$U$2:U3832,1)=1,1,0),0)</f>
        <v>0</v>
      </c>
    </row>
    <row r="3833" spans="1:22" x14ac:dyDescent="0.35">
      <c r="A3833">
        <v>13832</v>
      </c>
      <c r="B3833" s="1">
        <v>48393</v>
      </c>
      <c r="C3833">
        <v>1836</v>
      </c>
      <c r="D3833" t="s">
        <v>80</v>
      </c>
      <c r="E3833" t="s">
        <v>63</v>
      </c>
      <c r="F3833">
        <v>6</v>
      </c>
      <c r="G3833" s="2">
        <v>479.88</v>
      </c>
      <c r="H3833">
        <v>0.04</v>
      </c>
      <c r="I3833" t="s">
        <v>68</v>
      </c>
      <c r="J3833">
        <v>2</v>
      </c>
      <c r="K3833">
        <v>4.0999999999999996</v>
      </c>
      <c r="L3833" s="2">
        <v>2764.11</v>
      </c>
      <c r="M3833">
        <v>2032</v>
      </c>
      <c r="N3833">
        <v>6</v>
      </c>
      <c r="O3833" t="s">
        <v>205</v>
      </c>
      <c r="P3833" s="2">
        <v>2879.28</v>
      </c>
      <c r="Q3833" s="2">
        <v>115.17</v>
      </c>
      <c r="R3833" t="s">
        <v>75</v>
      </c>
      <c r="S3833">
        <v>1</v>
      </c>
      <c r="T3833">
        <v>0</v>
      </c>
      <c r="U3833">
        <f>IF(AND(OR(Dashboard!$D$4="Semua",D3833=Dashboard!$D$4),OR(Dashboard!$H$4="Semua",E3833=Dashboard!$H$4)),1,0)</f>
        <v>1</v>
      </c>
      <c r="V3833">
        <f>IF(U3833=1,IF(COUNTIFS($C$2:C3833,C3833,$U$2:U3833,1)=1,1,0),0)</f>
        <v>0</v>
      </c>
    </row>
    <row r="3834" spans="1:22" x14ac:dyDescent="0.35">
      <c r="A3834">
        <v>13833</v>
      </c>
      <c r="B3834" s="1">
        <v>48394</v>
      </c>
      <c r="C3834">
        <v>1504</v>
      </c>
      <c r="D3834" t="s">
        <v>62</v>
      </c>
      <c r="E3834" t="s">
        <v>70</v>
      </c>
      <c r="F3834">
        <v>1</v>
      </c>
      <c r="G3834" s="2">
        <v>122.04</v>
      </c>
      <c r="H3834">
        <v>0.09</v>
      </c>
      <c r="I3834" t="s">
        <v>68</v>
      </c>
      <c r="J3834">
        <v>2</v>
      </c>
      <c r="K3834">
        <v>2.6</v>
      </c>
      <c r="L3834" s="2">
        <v>111.06</v>
      </c>
      <c r="M3834">
        <v>2032</v>
      </c>
      <c r="N3834">
        <v>6</v>
      </c>
      <c r="O3834" t="s">
        <v>205</v>
      </c>
      <c r="P3834" s="2">
        <v>122.04</v>
      </c>
      <c r="Q3834" s="2">
        <v>10.98</v>
      </c>
      <c r="R3834" t="s">
        <v>69</v>
      </c>
      <c r="S3834">
        <v>1</v>
      </c>
      <c r="T3834">
        <v>0</v>
      </c>
      <c r="U3834">
        <f>IF(AND(OR(Dashboard!$D$4="Semua",D3834=Dashboard!$D$4),OR(Dashboard!$H$4="Semua",E3834=Dashboard!$H$4)),1,0)</f>
        <v>1</v>
      </c>
      <c r="V3834">
        <f>IF(U3834=1,IF(COUNTIFS($C$2:C3834,C3834,$U$2:U3834,1)=1,1,0),0)</f>
        <v>0</v>
      </c>
    </row>
    <row r="3835" spans="1:22" x14ac:dyDescent="0.35">
      <c r="A3835">
        <v>13834</v>
      </c>
      <c r="B3835" s="1">
        <v>48395</v>
      </c>
      <c r="C3835">
        <v>1499</v>
      </c>
      <c r="D3835" t="s">
        <v>73</v>
      </c>
      <c r="E3835" t="s">
        <v>70</v>
      </c>
      <c r="F3835">
        <v>6</v>
      </c>
      <c r="G3835" s="2">
        <v>487.75</v>
      </c>
      <c r="H3835">
        <v>0.02</v>
      </c>
      <c r="I3835" t="s">
        <v>68</v>
      </c>
      <c r="J3835">
        <v>7</v>
      </c>
      <c r="K3835">
        <v>1.4</v>
      </c>
      <c r="L3835" s="2">
        <v>2867.97</v>
      </c>
      <c r="M3835">
        <v>2032</v>
      </c>
      <c r="N3835">
        <v>6</v>
      </c>
      <c r="O3835" t="s">
        <v>205</v>
      </c>
      <c r="P3835" s="2">
        <v>2926.5</v>
      </c>
      <c r="Q3835" s="2">
        <v>58.53</v>
      </c>
      <c r="R3835" t="s">
        <v>75</v>
      </c>
      <c r="S3835">
        <v>1</v>
      </c>
      <c r="T3835">
        <v>0</v>
      </c>
      <c r="U3835">
        <f>IF(AND(OR(Dashboard!$D$4="Semua",D3835=Dashboard!$D$4),OR(Dashboard!$H$4="Semua",E3835=Dashboard!$H$4)),1,0)</f>
        <v>1</v>
      </c>
      <c r="V3835">
        <f>IF(U3835=1,IF(COUNTIFS($C$2:C3835,C3835,$U$2:U3835,1)=1,1,0),0)</f>
        <v>0</v>
      </c>
    </row>
    <row r="3836" spans="1:22" x14ac:dyDescent="0.35">
      <c r="A3836">
        <v>13835</v>
      </c>
      <c r="B3836" s="1">
        <v>48396</v>
      </c>
      <c r="C3836">
        <v>1572</v>
      </c>
      <c r="D3836" t="s">
        <v>62</v>
      </c>
      <c r="E3836" t="s">
        <v>78</v>
      </c>
      <c r="F3836">
        <v>6</v>
      </c>
      <c r="G3836" s="2">
        <v>373.02</v>
      </c>
      <c r="H3836">
        <v>0.2</v>
      </c>
      <c r="I3836" t="s">
        <v>71</v>
      </c>
      <c r="J3836">
        <v>4</v>
      </c>
      <c r="K3836">
        <v>3.5</v>
      </c>
      <c r="L3836" s="2">
        <v>1790.5</v>
      </c>
      <c r="M3836">
        <v>2032</v>
      </c>
      <c r="N3836">
        <v>7</v>
      </c>
      <c r="O3836" t="s">
        <v>206</v>
      </c>
      <c r="P3836" s="2">
        <v>2238.12</v>
      </c>
      <c r="Q3836" s="2">
        <v>447.62</v>
      </c>
      <c r="R3836" t="s">
        <v>76</v>
      </c>
      <c r="S3836">
        <v>1</v>
      </c>
      <c r="T3836">
        <v>0</v>
      </c>
      <c r="U3836">
        <f>IF(AND(OR(Dashboard!$D$4="Semua",D3836=Dashboard!$D$4),OR(Dashboard!$H$4="Semua",E3836=Dashboard!$H$4)),1,0)</f>
        <v>1</v>
      </c>
      <c r="V3836">
        <f>IF(U3836=1,IF(COUNTIFS($C$2:C3836,C3836,$U$2:U3836,1)=1,1,0),0)</f>
        <v>0</v>
      </c>
    </row>
    <row r="3837" spans="1:22" x14ac:dyDescent="0.35">
      <c r="A3837">
        <v>13836</v>
      </c>
      <c r="B3837" s="1">
        <v>48397</v>
      </c>
      <c r="C3837">
        <v>1137</v>
      </c>
      <c r="D3837" t="s">
        <v>73</v>
      </c>
      <c r="E3837" t="s">
        <v>63</v>
      </c>
      <c r="F3837">
        <v>6</v>
      </c>
      <c r="G3837" s="2">
        <v>128.04</v>
      </c>
      <c r="H3837">
        <v>0.26</v>
      </c>
      <c r="I3837" t="s">
        <v>68</v>
      </c>
      <c r="J3837">
        <v>10</v>
      </c>
      <c r="K3837">
        <v>3.2</v>
      </c>
      <c r="L3837" s="2">
        <v>568.5</v>
      </c>
      <c r="M3837">
        <v>2032</v>
      </c>
      <c r="N3837">
        <v>7</v>
      </c>
      <c r="O3837" t="s">
        <v>206</v>
      </c>
      <c r="P3837" s="2">
        <v>768.24</v>
      </c>
      <c r="Q3837" s="2">
        <v>199.74</v>
      </c>
      <c r="R3837" t="s">
        <v>66</v>
      </c>
      <c r="S3837">
        <v>1</v>
      </c>
      <c r="T3837">
        <v>0</v>
      </c>
      <c r="U3837">
        <f>IF(AND(OR(Dashboard!$D$4="Semua",D3837=Dashboard!$D$4),OR(Dashboard!$H$4="Semua",E3837=Dashboard!$H$4)),1,0)</f>
        <v>1</v>
      </c>
      <c r="V3837">
        <f>IF(U3837=1,IF(COUNTIFS($C$2:C3837,C3837,$U$2:U3837,1)=1,1,0),0)</f>
        <v>0</v>
      </c>
    </row>
    <row r="3838" spans="1:22" x14ac:dyDescent="0.35">
      <c r="A3838">
        <v>13837</v>
      </c>
      <c r="B3838" s="1">
        <v>48398</v>
      </c>
      <c r="C3838">
        <v>1049</v>
      </c>
      <c r="D3838" t="s">
        <v>62</v>
      </c>
      <c r="E3838" t="s">
        <v>70</v>
      </c>
      <c r="F3838">
        <v>6</v>
      </c>
      <c r="G3838" s="2">
        <v>291.91000000000003</v>
      </c>
      <c r="H3838">
        <v>7.0000000000000007E-2</v>
      </c>
      <c r="I3838" t="s">
        <v>68</v>
      </c>
      <c r="J3838">
        <v>9</v>
      </c>
      <c r="K3838">
        <v>4.8</v>
      </c>
      <c r="L3838" s="2">
        <v>1628.86</v>
      </c>
      <c r="M3838">
        <v>2032</v>
      </c>
      <c r="N3838">
        <v>7</v>
      </c>
      <c r="O3838" t="s">
        <v>206</v>
      </c>
      <c r="P3838" s="2">
        <v>1751.46</v>
      </c>
      <c r="Q3838" s="2">
        <v>122.6</v>
      </c>
      <c r="R3838" t="s">
        <v>69</v>
      </c>
      <c r="S3838">
        <v>1</v>
      </c>
      <c r="T3838">
        <v>0</v>
      </c>
      <c r="U3838">
        <f>IF(AND(OR(Dashboard!$D$4="Semua",D3838=Dashboard!$D$4),OR(Dashboard!$H$4="Semua",E3838=Dashboard!$H$4)),1,0)</f>
        <v>1</v>
      </c>
      <c r="V3838">
        <f>IF(U3838=1,IF(COUNTIFS($C$2:C3838,C3838,$U$2:U3838,1)=1,1,0),0)</f>
        <v>0</v>
      </c>
    </row>
    <row r="3839" spans="1:22" x14ac:dyDescent="0.35">
      <c r="A3839">
        <v>13838</v>
      </c>
      <c r="B3839" s="1">
        <v>48399</v>
      </c>
      <c r="C3839">
        <v>1770</v>
      </c>
      <c r="D3839" t="s">
        <v>73</v>
      </c>
      <c r="E3839" t="s">
        <v>74</v>
      </c>
      <c r="F3839">
        <v>4</v>
      </c>
      <c r="G3839" s="2">
        <v>413.91</v>
      </c>
      <c r="H3839">
        <v>0.13</v>
      </c>
      <c r="I3839" t="s">
        <v>71</v>
      </c>
      <c r="J3839">
        <v>2</v>
      </c>
      <c r="K3839">
        <v>1.6</v>
      </c>
      <c r="L3839" s="2">
        <v>1440.41</v>
      </c>
      <c r="M3839">
        <v>2032</v>
      </c>
      <c r="N3839">
        <v>7</v>
      </c>
      <c r="O3839" t="s">
        <v>206</v>
      </c>
      <c r="P3839" s="2">
        <v>1655.64</v>
      </c>
      <c r="Q3839" s="2">
        <v>215.23</v>
      </c>
      <c r="R3839" t="s">
        <v>79</v>
      </c>
      <c r="S3839">
        <v>1</v>
      </c>
      <c r="T3839">
        <v>0</v>
      </c>
      <c r="U3839">
        <f>IF(AND(OR(Dashboard!$D$4="Semua",D3839=Dashboard!$D$4),OR(Dashboard!$H$4="Semua",E3839=Dashboard!$H$4)),1,0)</f>
        <v>1</v>
      </c>
      <c r="V3839">
        <f>IF(U3839=1,IF(COUNTIFS($C$2:C3839,C3839,$U$2:U3839,1)=1,1,0),0)</f>
        <v>0</v>
      </c>
    </row>
    <row r="3840" spans="1:22" x14ac:dyDescent="0.35">
      <c r="A3840">
        <v>13839</v>
      </c>
      <c r="B3840" s="1">
        <v>48400</v>
      </c>
      <c r="C3840">
        <v>1972</v>
      </c>
      <c r="D3840" t="s">
        <v>73</v>
      </c>
      <c r="E3840" t="s">
        <v>74</v>
      </c>
      <c r="F3840">
        <v>7</v>
      </c>
      <c r="G3840" s="2">
        <v>385.8</v>
      </c>
      <c r="H3840">
        <v>0.01</v>
      </c>
      <c r="I3840" t="s">
        <v>68</v>
      </c>
      <c r="J3840">
        <v>9</v>
      </c>
      <c r="K3840">
        <v>3.6</v>
      </c>
      <c r="L3840" s="2">
        <v>2673.59</v>
      </c>
      <c r="M3840">
        <v>2032</v>
      </c>
      <c r="N3840">
        <v>7</v>
      </c>
      <c r="O3840" t="s">
        <v>206</v>
      </c>
      <c r="P3840" s="2">
        <v>2700.6</v>
      </c>
      <c r="Q3840" s="2">
        <v>27.01</v>
      </c>
      <c r="R3840" t="s">
        <v>75</v>
      </c>
      <c r="S3840">
        <v>1</v>
      </c>
      <c r="T3840">
        <v>0</v>
      </c>
      <c r="U3840">
        <f>IF(AND(OR(Dashboard!$D$4="Semua",D3840=Dashboard!$D$4),OR(Dashboard!$H$4="Semua",E3840=Dashboard!$H$4)),1,0)</f>
        <v>1</v>
      </c>
      <c r="V3840">
        <f>IF(U3840=1,IF(COUNTIFS($C$2:C3840,C3840,$U$2:U3840,1)=1,1,0),0)</f>
        <v>0</v>
      </c>
    </row>
    <row r="3841" spans="1:22" x14ac:dyDescent="0.35">
      <c r="A3841">
        <v>13840</v>
      </c>
      <c r="B3841" s="1">
        <v>48401</v>
      </c>
      <c r="C3841">
        <v>1618</v>
      </c>
      <c r="D3841" t="s">
        <v>67</v>
      </c>
      <c r="E3841" t="s">
        <v>78</v>
      </c>
      <c r="F3841">
        <v>7</v>
      </c>
      <c r="G3841" s="2">
        <v>264.94</v>
      </c>
      <c r="H3841">
        <v>0.28999999999999998</v>
      </c>
      <c r="I3841" t="s">
        <v>71</v>
      </c>
      <c r="J3841">
        <v>6</v>
      </c>
      <c r="K3841">
        <v>2.9</v>
      </c>
      <c r="L3841" s="2">
        <v>1316.75</v>
      </c>
      <c r="M3841">
        <v>2032</v>
      </c>
      <c r="N3841">
        <v>7</v>
      </c>
      <c r="O3841" t="s">
        <v>206</v>
      </c>
      <c r="P3841" s="2">
        <v>1854.58</v>
      </c>
      <c r="Q3841" s="2">
        <v>537.83000000000004</v>
      </c>
      <c r="R3841" t="s">
        <v>66</v>
      </c>
      <c r="S3841">
        <v>1</v>
      </c>
      <c r="T3841">
        <v>0</v>
      </c>
      <c r="U3841">
        <f>IF(AND(OR(Dashboard!$D$4="Semua",D3841=Dashboard!$D$4),OR(Dashboard!$H$4="Semua",E3841=Dashboard!$H$4)),1,0)</f>
        <v>1</v>
      </c>
      <c r="V3841">
        <f>IF(U3841=1,IF(COUNTIFS($C$2:C3841,C3841,$U$2:U3841,1)=1,1,0),0)</f>
        <v>0</v>
      </c>
    </row>
    <row r="3842" spans="1:22" x14ac:dyDescent="0.35">
      <c r="A3842">
        <v>13841</v>
      </c>
      <c r="B3842" s="1">
        <v>48402</v>
      </c>
      <c r="C3842">
        <v>1624</v>
      </c>
      <c r="D3842" t="s">
        <v>62</v>
      </c>
      <c r="E3842" t="s">
        <v>74</v>
      </c>
      <c r="F3842">
        <v>4</v>
      </c>
      <c r="G3842" s="2">
        <v>541.13</v>
      </c>
      <c r="H3842">
        <v>0.27</v>
      </c>
      <c r="I3842" t="s">
        <v>71</v>
      </c>
      <c r="J3842">
        <v>10</v>
      </c>
      <c r="K3842">
        <v>2.5</v>
      </c>
      <c r="L3842" s="2">
        <v>1580.1</v>
      </c>
      <c r="M3842">
        <v>2032</v>
      </c>
      <c r="N3842">
        <v>7</v>
      </c>
      <c r="O3842" t="s">
        <v>206</v>
      </c>
      <c r="P3842" s="2">
        <v>2164.52</v>
      </c>
      <c r="Q3842" s="2">
        <v>584.41999999999996</v>
      </c>
      <c r="R3842" t="s">
        <v>66</v>
      </c>
      <c r="S3842">
        <v>1</v>
      </c>
      <c r="T3842">
        <v>0</v>
      </c>
      <c r="U3842">
        <f>IF(AND(OR(Dashboard!$D$4="Semua",D3842=Dashboard!$D$4),OR(Dashboard!$H$4="Semua",E3842=Dashboard!$H$4)),1,0)</f>
        <v>1</v>
      </c>
      <c r="V3842">
        <f>IF(U3842=1,IF(COUNTIFS($C$2:C3842,C3842,$U$2:U3842,1)=1,1,0),0)</f>
        <v>0</v>
      </c>
    </row>
    <row r="3843" spans="1:22" x14ac:dyDescent="0.35">
      <c r="A3843">
        <v>13842</v>
      </c>
      <c r="B3843" s="1">
        <v>48403</v>
      </c>
      <c r="C3843">
        <v>1861</v>
      </c>
      <c r="D3843" t="s">
        <v>73</v>
      </c>
      <c r="E3843" t="s">
        <v>74</v>
      </c>
      <c r="F3843">
        <v>1</v>
      </c>
      <c r="G3843" s="2">
        <v>318.77</v>
      </c>
      <c r="H3843">
        <v>0.02</v>
      </c>
      <c r="I3843" t="s">
        <v>71</v>
      </c>
      <c r="J3843">
        <v>8</v>
      </c>
      <c r="K3843">
        <v>4.2</v>
      </c>
      <c r="L3843" s="2">
        <v>312.39</v>
      </c>
      <c r="M3843">
        <v>2032</v>
      </c>
      <c r="N3843">
        <v>7</v>
      </c>
      <c r="O3843" t="s">
        <v>206</v>
      </c>
      <c r="P3843" s="2">
        <v>318.77</v>
      </c>
      <c r="Q3843" s="2">
        <v>6.38</v>
      </c>
      <c r="R3843" t="s">
        <v>75</v>
      </c>
      <c r="S3843">
        <v>1</v>
      </c>
      <c r="T3843">
        <v>0</v>
      </c>
      <c r="U3843">
        <f>IF(AND(OR(Dashboard!$D$4="Semua",D3843=Dashboard!$D$4),OR(Dashboard!$H$4="Semua",E3843=Dashboard!$H$4)),1,0)</f>
        <v>1</v>
      </c>
      <c r="V3843">
        <f>IF(U3843=1,IF(COUNTIFS($C$2:C3843,C3843,$U$2:U3843,1)=1,1,0),0)</f>
        <v>0</v>
      </c>
    </row>
    <row r="3844" spans="1:22" x14ac:dyDescent="0.35">
      <c r="A3844">
        <v>13843</v>
      </c>
      <c r="B3844" s="1">
        <v>48404</v>
      </c>
      <c r="C3844">
        <v>1253</v>
      </c>
      <c r="D3844" t="s">
        <v>67</v>
      </c>
      <c r="E3844" t="s">
        <v>70</v>
      </c>
      <c r="F3844">
        <v>4</v>
      </c>
      <c r="G3844" s="2">
        <v>310.93</v>
      </c>
      <c r="H3844">
        <v>0.13</v>
      </c>
      <c r="I3844" t="s">
        <v>68</v>
      </c>
      <c r="J3844">
        <v>7</v>
      </c>
      <c r="K3844">
        <v>4.2</v>
      </c>
      <c r="L3844" s="2">
        <v>1082.04</v>
      </c>
      <c r="M3844">
        <v>2032</v>
      </c>
      <c r="N3844">
        <v>7</v>
      </c>
      <c r="O3844" t="s">
        <v>206</v>
      </c>
      <c r="P3844" s="2">
        <v>1243.72</v>
      </c>
      <c r="Q3844" s="2">
        <v>161.68</v>
      </c>
      <c r="R3844" t="s">
        <v>79</v>
      </c>
      <c r="S3844">
        <v>1</v>
      </c>
      <c r="T3844">
        <v>0</v>
      </c>
      <c r="U3844">
        <f>IF(AND(OR(Dashboard!$D$4="Semua",D3844=Dashboard!$D$4),OR(Dashboard!$H$4="Semua",E3844=Dashboard!$H$4)),1,0)</f>
        <v>1</v>
      </c>
      <c r="V3844">
        <f>IF(U3844=1,IF(COUNTIFS($C$2:C3844,C3844,$U$2:U3844,1)=1,1,0),0)</f>
        <v>0</v>
      </c>
    </row>
    <row r="3845" spans="1:22" x14ac:dyDescent="0.35">
      <c r="A3845">
        <v>13844</v>
      </c>
      <c r="B3845" s="1">
        <v>48405</v>
      </c>
      <c r="C3845">
        <v>1629</v>
      </c>
      <c r="D3845" t="s">
        <v>62</v>
      </c>
      <c r="E3845" t="s">
        <v>74</v>
      </c>
      <c r="F3845">
        <v>1</v>
      </c>
      <c r="G3845" s="2">
        <v>51.42</v>
      </c>
      <c r="H3845">
        <v>0.33</v>
      </c>
      <c r="I3845" t="s">
        <v>71</v>
      </c>
      <c r="J3845">
        <v>11</v>
      </c>
      <c r="K3845">
        <v>3.9</v>
      </c>
      <c r="L3845" s="2">
        <v>34.450000000000003</v>
      </c>
      <c r="M3845">
        <v>2032</v>
      </c>
      <c r="N3845">
        <v>7</v>
      </c>
      <c r="O3845" t="s">
        <v>206</v>
      </c>
      <c r="P3845" s="2">
        <v>51.42</v>
      </c>
      <c r="Q3845" s="2">
        <v>16.97</v>
      </c>
      <c r="R3845" t="s">
        <v>72</v>
      </c>
      <c r="S3845">
        <v>1</v>
      </c>
      <c r="T3845">
        <v>0</v>
      </c>
      <c r="U3845">
        <f>IF(AND(OR(Dashboard!$D$4="Semua",D3845=Dashboard!$D$4),OR(Dashboard!$H$4="Semua",E3845=Dashboard!$H$4)),1,0)</f>
        <v>1</v>
      </c>
      <c r="V3845">
        <f>IF(U3845=1,IF(COUNTIFS($C$2:C3845,C3845,$U$2:U3845,1)=1,1,0),0)</f>
        <v>0</v>
      </c>
    </row>
    <row r="3846" spans="1:22" x14ac:dyDescent="0.35">
      <c r="A3846">
        <v>13845</v>
      </c>
      <c r="B3846" s="1">
        <v>48406</v>
      </c>
      <c r="C3846">
        <v>1709</v>
      </c>
      <c r="D3846" t="s">
        <v>67</v>
      </c>
      <c r="E3846" t="s">
        <v>74</v>
      </c>
      <c r="F3846">
        <v>5</v>
      </c>
      <c r="G3846" s="2">
        <v>554.44000000000005</v>
      </c>
      <c r="H3846">
        <v>0.14000000000000001</v>
      </c>
      <c r="I3846" t="s">
        <v>68</v>
      </c>
      <c r="J3846">
        <v>8</v>
      </c>
      <c r="K3846">
        <v>1.3</v>
      </c>
      <c r="L3846" s="2">
        <v>2384.09</v>
      </c>
      <c r="M3846">
        <v>2032</v>
      </c>
      <c r="N3846">
        <v>7</v>
      </c>
      <c r="O3846" t="s">
        <v>206</v>
      </c>
      <c r="P3846" s="2">
        <v>2772.2</v>
      </c>
      <c r="Q3846" s="2">
        <v>388.11</v>
      </c>
      <c r="R3846" t="s">
        <v>79</v>
      </c>
      <c r="S3846">
        <v>1</v>
      </c>
      <c r="T3846">
        <v>0</v>
      </c>
      <c r="U3846">
        <f>IF(AND(OR(Dashboard!$D$4="Semua",D3846=Dashboard!$D$4),OR(Dashboard!$H$4="Semua",E3846=Dashboard!$H$4)),1,0)</f>
        <v>1</v>
      </c>
      <c r="V3846">
        <f>IF(U3846=1,IF(COUNTIFS($C$2:C3846,C3846,$U$2:U3846,1)=1,1,0),0)</f>
        <v>0</v>
      </c>
    </row>
    <row r="3847" spans="1:22" x14ac:dyDescent="0.35">
      <c r="A3847">
        <v>13846</v>
      </c>
      <c r="B3847" s="1">
        <v>48407</v>
      </c>
      <c r="C3847">
        <v>1848</v>
      </c>
      <c r="D3847" t="s">
        <v>73</v>
      </c>
      <c r="E3847" t="s">
        <v>70</v>
      </c>
      <c r="F3847">
        <v>7</v>
      </c>
      <c r="G3847" s="2">
        <v>118.61</v>
      </c>
      <c r="H3847">
        <v>0.18</v>
      </c>
      <c r="I3847" t="s">
        <v>64</v>
      </c>
      <c r="J3847">
        <v>9</v>
      </c>
      <c r="K3847">
        <v>2.4</v>
      </c>
      <c r="L3847" s="2">
        <v>680.82</v>
      </c>
      <c r="M3847">
        <v>2032</v>
      </c>
      <c r="N3847">
        <v>7</v>
      </c>
      <c r="O3847" t="s">
        <v>206</v>
      </c>
      <c r="P3847" s="2">
        <v>830.27</v>
      </c>
      <c r="Q3847" s="2">
        <v>149.44999999999999</v>
      </c>
      <c r="R3847" t="s">
        <v>76</v>
      </c>
      <c r="S3847">
        <v>1</v>
      </c>
      <c r="T3847">
        <v>0</v>
      </c>
      <c r="U3847">
        <f>IF(AND(OR(Dashboard!$D$4="Semua",D3847=Dashboard!$D$4),OR(Dashboard!$H$4="Semua",E3847=Dashboard!$H$4)),1,0)</f>
        <v>1</v>
      </c>
      <c r="V3847">
        <f>IF(U3847=1,IF(COUNTIFS($C$2:C3847,C3847,$U$2:U3847,1)=1,1,0),0)</f>
        <v>0</v>
      </c>
    </row>
    <row r="3848" spans="1:22" x14ac:dyDescent="0.35">
      <c r="A3848">
        <v>13847</v>
      </c>
      <c r="B3848" s="1">
        <v>48408</v>
      </c>
      <c r="C3848">
        <v>1876</v>
      </c>
      <c r="D3848" t="s">
        <v>67</v>
      </c>
      <c r="E3848" t="s">
        <v>78</v>
      </c>
      <c r="F3848">
        <v>2</v>
      </c>
      <c r="G3848" s="2">
        <v>324.08</v>
      </c>
      <c r="H3848">
        <v>0.12</v>
      </c>
      <c r="I3848" t="s">
        <v>64</v>
      </c>
      <c r="J3848">
        <v>8</v>
      </c>
      <c r="K3848">
        <v>1.2</v>
      </c>
      <c r="L3848" s="2">
        <v>570.38</v>
      </c>
      <c r="M3848">
        <v>2032</v>
      </c>
      <c r="N3848">
        <v>7</v>
      </c>
      <c r="O3848" t="s">
        <v>206</v>
      </c>
      <c r="P3848" s="2">
        <v>648.16</v>
      </c>
      <c r="Q3848" s="2">
        <v>77.78</v>
      </c>
      <c r="R3848" t="s">
        <v>79</v>
      </c>
      <c r="S3848">
        <v>1</v>
      </c>
      <c r="T3848">
        <v>0</v>
      </c>
      <c r="U3848">
        <f>IF(AND(OR(Dashboard!$D$4="Semua",D3848=Dashboard!$D$4),OR(Dashboard!$H$4="Semua",E3848=Dashboard!$H$4)),1,0)</f>
        <v>1</v>
      </c>
      <c r="V3848">
        <f>IF(U3848=1,IF(COUNTIFS($C$2:C3848,C3848,$U$2:U3848,1)=1,1,0),0)</f>
        <v>0</v>
      </c>
    </row>
    <row r="3849" spans="1:22" x14ac:dyDescent="0.35">
      <c r="A3849">
        <v>13848</v>
      </c>
      <c r="B3849" s="1">
        <v>48409</v>
      </c>
      <c r="C3849">
        <v>1562</v>
      </c>
      <c r="D3849" t="s">
        <v>67</v>
      </c>
      <c r="E3849" t="s">
        <v>78</v>
      </c>
      <c r="F3849">
        <v>3</v>
      </c>
      <c r="G3849" s="2">
        <v>485.09</v>
      </c>
      <c r="H3849">
        <v>0.21</v>
      </c>
      <c r="I3849" t="s">
        <v>68</v>
      </c>
      <c r="J3849">
        <v>6</v>
      </c>
      <c r="K3849">
        <v>2.4</v>
      </c>
      <c r="L3849" s="2">
        <v>1149.6600000000001</v>
      </c>
      <c r="M3849">
        <v>2032</v>
      </c>
      <c r="N3849">
        <v>7</v>
      </c>
      <c r="O3849" t="s">
        <v>206</v>
      </c>
      <c r="P3849" s="2">
        <v>1455.27</v>
      </c>
      <c r="Q3849" s="2">
        <v>305.61</v>
      </c>
      <c r="R3849" t="s">
        <v>77</v>
      </c>
      <c r="S3849">
        <v>1</v>
      </c>
      <c r="T3849">
        <v>0</v>
      </c>
      <c r="U3849">
        <f>IF(AND(OR(Dashboard!$D$4="Semua",D3849=Dashboard!$D$4),OR(Dashboard!$H$4="Semua",E3849=Dashboard!$H$4)),1,0)</f>
        <v>1</v>
      </c>
      <c r="V3849">
        <f>IF(U3849=1,IF(COUNTIFS($C$2:C3849,C3849,$U$2:U3849,1)=1,1,0),0)</f>
        <v>0</v>
      </c>
    </row>
    <row r="3850" spans="1:22" x14ac:dyDescent="0.35">
      <c r="A3850">
        <v>13849</v>
      </c>
      <c r="B3850" s="1">
        <v>48410</v>
      </c>
      <c r="C3850">
        <v>1756</v>
      </c>
      <c r="D3850" t="s">
        <v>62</v>
      </c>
      <c r="E3850" t="s">
        <v>63</v>
      </c>
      <c r="F3850">
        <v>7</v>
      </c>
      <c r="G3850" s="2">
        <v>141.04</v>
      </c>
      <c r="H3850">
        <v>0.34</v>
      </c>
      <c r="I3850" t="s">
        <v>68</v>
      </c>
      <c r="J3850">
        <v>8</v>
      </c>
      <c r="K3850">
        <v>3.6</v>
      </c>
      <c r="L3850" s="2">
        <v>651.6</v>
      </c>
      <c r="M3850">
        <v>2032</v>
      </c>
      <c r="N3850">
        <v>7</v>
      </c>
      <c r="O3850" t="s">
        <v>206</v>
      </c>
      <c r="P3850" s="2">
        <v>987.28</v>
      </c>
      <c r="Q3850" s="2">
        <v>335.68</v>
      </c>
      <c r="R3850" t="s">
        <v>72</v>
      </c>
      <c r="S3850">
        <v>1</v>
      </c>
      <c r="T3850">
        <v>0</v>
      </c>
      <c r="U3850">
        <f>IF(AND(OR(Dashboard!$D$4="Semua",D3850=Dashboard!$D$4),OR(Dashboard!$H$4="Semua",E3850=Dashboard!$H$4)),1,0)</f>
        <v>1</v>
      </c>
      <c r="V3850">
        <f>IF(U3850=1,IF(COUNTIFS($C$2:C3850,C3850,$U$2:U3850,1)=1,1,0),0)</f>
        <v>0</v>
      </c>
    </row>
    <row r="3851" spans="1:22" x14ac:dyDescent="0.35">
      <c r="A3851">
        <v>13850</v>
      </c>
      <c r="B3851" s="1">
        <v>48411</v>
      </c>
      <c r="C3851">
        <v>1914</v>
      </c>
      <c r="D3851" t="s">
        <v>80</v>
      </c>
      <c r="E3851" t="s">
        <v>74</v>
      </c>
      <c r="F3851">
        <v>4</v>
      </c>
      <c r="G3851" s="2">
        <v>323.51</v>
      </c>
      <c r="H3851">
        <v>0.35</v>
      </c>
      <c r="I3851" t="s">
        <v>68</v>
      </c>
      <c r="J3851">
        <v>8</v>
      </c>
      <c r="K3851">
        <v>3.1</v>
      </c>
      <c r="L3851" s="2">
        <v>841.13</v>
      </c>
      <c r="M3851">
        <v>2032</v>
      </c>
      <c r="N3851">
        <v>7</v>
      </c>
      <c r="O3851" t="s">
        <v>206</v>
      </c>
      <c r="P3851" s="2">
        <v>1294.04</v>
      </c>
      <c r="Q3851" s="2">
        <v>452.91</v>
      </c>
      <c r="R3851" t="s">
        <v>72</v>
      </c>
      <c r="S3851">
        <v>1</v>
      </c>
      <c r="T3851">
        <v>0</v>
      </c>
      <c r="U3851">
        <f>IF(AND(OR(Dashboard!$D$4="Semua",D3851=Dashboard!$D$4),OR(Dashboard!$H$4="Semua",E3851=Dashboard!$H$4)),1,0)</f>
        <v>1</v>
      </c>
      <c r="V3851">
        <f>IF(U3851=1,IF(COUNTIFS($C$2:C3851,C3851,$U$2:U3851,1)=1,1,0),0)</f>
        <v>0</v>
      </c>
    </row>
    <row r="3852" spans="1:22" x14ac:dyDescent="0.35">
      <c r="A3852">
        <v>13851</v>
      </c>
      <c r="B3852" s="1">
        <v>48412</v>
      </c>
      <c r="C3852">
        <v>1425</v>
      </c>
      <c r="D3852" t="s">
        <v>67</v>
      </c>
      <c r="E3852" t="s">
        <v>70</v>
      </c>
      <c r="F3852">
        <v>4</v>
      </c>
      <c r="G3852" s="2">
        <v>155.80000000000001</v>
      </c>
      <c r="H3852">
        <v>0.27</v>
      </c>
      <c r="I3852" t="s">
        <v>68</v>
      </c>
      <c r="J3852">
        <v>2</v>
      </c>
      <c r="K3852">
        <v>3.8</v>
      </c>
      <c r="L3852" s="2">
        <v>454.94</v>
      </c>
      <c r="M3852">
        <v>2032</v>
      </c>
      <c r="N3852">
        <v>7</v>
      </c>
      <c r="O3852" t="s">
        <v>206</v>
      </c>
      <c r="P3852" s="2">
        <v>623.20000000000005</v>
      </c>
      <c r="Q3852" s="2">
        <v>168.26</v>
      </c>
      <c r="R3852" t="s">
        <v>66</v>
      </c>
      <c r="S3852">
        <v>1</v>
      </c>
      <c r="T3852">
        <v>0</v>
      </c>
      <c r="U3852">
        <f>IF(AND(OR(Dashboard!$D$4="Semua",D3852=Dashboard!$D$4),OR(Dashboard!$H$4="Semua",E3852=Dashboard!$H$4)),1,0)</f>
        <v>1</v>
      </c>
      <c r="V3852">
        <f>IF(U3852=1,IF(COUNTIFS($C$2:C3852,C3852,$U$2:U3852,1)=1,1,0),0)</f>
        <v>0</v>
      </c>
    </row>
    <row r="3853" spans="1:22" x14ac:dyDescent="0.35">
      <c r="A3853">
        <v>13852</v>
      </c>
      <c r="B3853" s="1">
        <v>48413</v>
      </c>
      <c r="C3853">
        <v>1546</v>
      </c>
      <c r="D3853" t="s">
        <v>62</v>
      </c>
      <c r="E3853" t="s">
        <v>63</v>
      </c>
      <c r="F3853">
        <v>5</v>
      </c>
      <c r="G3853" s="2">
        <v>459.42</v>
      </c>
      <c r="H3853">
        <v>0.14000000000000001</v>
      </c>
      <c r="I3853" t="s">
        <v>71</v>
      </c>
      <c r="J3853">
        <v>2</v>
      </c>
      <c r="K3853">
        <v>3.2</v>
      </c>
      <c r="L3853" s="2">
        <v>1975.51</v>
      </c>
      <c r="M3853">
        <v>2032</v>
      </c>
      <c r="N3853">
        <v>7</v>
      </c>
      <c r="O3853" t="s">
        <v>206</v>
      </c>
      <c r="P3853" s="2">
        <v>2297.1</v>
      </c>
      <c r="Q3853" s="2">
        <v>321.58999999999997</v>
      </c>
      <c r="R3853" t="s">
        <v>79</v>
      </c>
      <c r="S3853">
        <v>1</v>
      </c>
      <c r="T3853">
        <v>0</v>
      </c>
      <c r="U3853">
        <f>IF(AND(OR(Dashboard!$D$4="Semua",D3853=Dashboard!$D$4),OR(Dashboard!$H$4="Semua",E3853=Dashboard!$H$4)),1,0)</f>
        <v>1</v>
      </c>
      <c r="V3853">
        <f>IF(U3853=1,IF(COUNTIFS($C$2:C3853,C3853,$U$2:U3853,1)=1,1,0),0)</f>
        <v>0</v>
      </c>
    </row>
    <row r="3854" spans="1:22" x14ac:dyDescent="0.35">
      <c r="A3854">
        <v>13853</v>
      </c>
      <c r="B3854" s="1">
        <v>48414</v>
      </c>
      <c r="C3854">
        <v>1301</v>
      </c>
      <c r="D3854" t="s">
        <v>67</v>
      </c>
      <c r="E3854" t="s">
        <v>78</v>
      </c>
      <c r="F3854">
        <v>4</v>
      </c>
      <c r="G3854" s="2">
        <v>345.14</v>
      </c>
      <c r="H3854">
        <v>0.17</v>
      </c>
      <c r="I3854" t="s">
        <v>71</v>
      </c>
      <c r="J3854">
        <v>11</v>
      </c>
      <c r="K3854">
        <v>3.2</v>
      </c>
      <c r="L3854" s="2">
        <v>1145.8599999999999</v>
      </c>
      <c r="M3854">
        <v>2032</v>
      </c>
      <c r="N3854">
        <v>7</v>
      </c>
      <c r="O3854" t="s">
        <v>206</v>
      </c>
      <c r="P3854" s="2">
        <v>1380.56</v>
      </c>
      <c r="Q3854" s="2">
        <v>234.7</v>
      </c>
      <c r="R3854" t="s">
        <v>76</v>
      </c>
      <c r="S3854">
        <v>1</v>
      </c>
      <c r="T3854">
        <v>0</v>
      </c>
      <c r="U3854">
        <f>IF(AND(OR(Dashboard!$D$4="Semua",D3854=Dashboard!$D$4),OR(Dashboard!$H$4="Semua",E3854=Dashboard!$H$4)),1,0)</f>
        <v>1</v>
      </c>
      <c r="V3854">
        <f>IF(U3854=1,IF(COUNTIFS($C$2:C3854,C3854,$U$2:U3854,1)=1,1,0),0)</f>
        <v>0</v>
      </c>
    </row>
    <row r="3855" spans="1:22" x14ac:dyDescent="0.35">
      <c r="A3855">
        <v>13854</v>
      </c>
      <c r="B3855" s="1">
        <v>48415</v>
      </c>
      <c r="C3855">
        <v>1921</v>
      </c>
      <c r="D3855" t="s">
        <v>73</v>
      </c>
      <c r="E3855" t="s">
        <v>78</v>
      </c>
      <c r="F3855">
        <v>1</v>
      </c>
      <c r="G3855" s="2">
        <v>515.75</v>
      </c>
      <c r="H3855">
        <v>0.12</v>
      </c>
      <c r="I3855" t="s">
        <v>68</v>
      </c>
      <c r="J3855">
        <v>1</v>
      </c>
      <c r="K3855">
        <v>3</v>
      </c>
      <c r="L3855" s="2">
        <v>453.86</v>
      </c>
      <c r="M3855">
        <v>2032</v>
      </c>
      <c r="N3855">
        <v>7</v>
      </c>
      <c r="O3855" t="s">
        <v>206</v>
      </c>
      <c r="P3855" s="2">
        <v>515.75</v>
      </c>
      <c r="Q3855" s="2">
        <v>61.89</v>
      </c>
      <c r="R3855" t="s">
        <v>79</v>
      </c>
      <c r="S3855">
        <v>1</v>
      </c>
      <c r="T3855">
        <v>0</v>
      </c>
      <c r="U3855">
        <f>IF(AND(OR(Dashboard!$D$4="Semua",D3855=Dashboard!$D$4),OR(Dashboard!$H$4="Semua",E3855=Dashboard!$H$4)),1,0)</f>
        <v>1</v>
      </c>
      <c r="V3855">
        <f>IF(U3855=1,IF(COUNTIFS($C$2:C3855,C3855,$U$2:U3855,1)=1,1,0),0)</f>
        <v>0</v>
      </c>
    </row>
    <row r="3856" spans="1:22" x14ac:dyDescent="0.35">
      <c r="A3856">
        <v>13855</v>
      </c>
      <c r="B3856" s="1">
        <v>48416</v>
      </c>
      <c r="C3856">
        <v>1580</v>
      </c>
      <c r="D3856" t="s">
        <v>73</v>
      </c>
      <c r="E3856" t="s">
        <v>70</v>
      </c>
      <c r="F3856">
        <v>1</v>
      </c>
      <c r="G3856" s="2">
        <v>538.32000000000005</v>
      </c>
      <c r="H3856">
        <v>0.34</v>
      </c>
      <c r="I3856" t="s">
        <v>71</v>
      </c>
      <c r="J3856">
        <v>10</v>
      </c>
      <c r="K3856">
        <v>2.5</v>
      </c>
      <c r="L3856" s="2">
        <v>355.29</v>
      </c>
      <c r="M3856">
        <v>2032</v>
      </c>
      <c r="N3856">
        <v>7</v>
      </c>
      <c r="O3856" t="s">
        <v>206</v>
      </c>
      <c r="P3856" s="2">
        <v>538.32000000000005</v>
      </c>
      <c r="Q3856" s="2">
        <v>183.03</v>
      </c>
      <c r="R3856" t="s">
        <v>72</v>
      </c>
      <c r="S3856">
        <v>1</v>
      </c>
      <c r="T3856">
        <v>0</v>
      </c>
      <c r="U3856">
        <f>IF(AND(OR(Dashboard!$D$4="Semua",D3856=Dashboard!$D$4),OR(Dashboard!$H$4="Semua",E3856=Dashboard!$H$4)),1,0)</f>
        <v>1</v>
      </c>
      <c r="V3856">
        <f>IF(U3856=1,IF(COUNTIFS($C$2:C3856,C3856,$U$2:U3856,1)=1,1,0),0)</f>
        <v>0</v>
      </c>
    </row>
    <row r="3857" spans="1:22" x14ac:dyDescent="0.35">
      <c r="A3857">
        <v>13856</v>
      </c>
      <c r="B3857" s="1">
        <v>48417</v>
      </c>
      <c r="C3857">
        <v>1348</v>
      </c>
      <c r="D3857" t="s">
        <v>67</v>
      </c>
      <c r="E3857" t="s">
        <v>63</v>
      </c>
      <c r="F3857">
        <v>2</v>
      </c>
      <c r="G3857" s="2">
        <v>394.51</v>
      </c>
      <c r="H3857">
        <v>0.25</v>
      </c>
      <c r="I3857" t="s">
        <v>64</v>
      </c>
      <c r="J3857">
        <v>2</v>
      </c>
      <c r="K3857">
        <v>2.8</v>
      </c>
      <c r="L3857" s="2">
        <v>591.76</v>
      </c>
      <c r="M3857">
        <v>2032</v>
      </c>
      <c r="N3857">
        <v>7</v>
      </c>
      <c r="O3857" t="s">
        <v>206</v>
      </c>
      <c r="P3857" s="2">
        <v>789.02</v>
      </c>
      <c r="Q3857" s="2">
        <v>197.26</v>
      </c>
      <c r="R3857" t="s">
        <v>77</v>
      </c>
      <c r="S3857">
        <v>1</v>
      </c>
      <c r="T3857">
        <v>0</v>
      </c>
      <c r="U3857">
        <f>IF(AND(OR(Dashboard!$D$4="Semua",D3857=Dashboard!$D$4),OR(Dashboard!$H$4="Semua",E3857=Dashboard!$H$4)),1,0)</f>
        <v>1</v>
      </c>
      <c r="V3857">
        <f>IF(U3857=1,IF(COUNTIFS($C$2:C3857,C3857,$U$2:U3857,1)=1,1,0),0)</f>
        <v>0</v>
      </c>
    </row>
    <row r="3858" spans="1:22" x14ac:dyDescent="0.35">
      <c r="A3858">
        <v>13857</v>
      </c>
      <c r="B3858" s="1">
        <v>48418</v>
      </c>
      <c r="C3858">
        <v>1831</v>
      </c>
      <c r="D3858" t="s">
        <v>73</v>
      </c>
      <c r="E3858" t="s">
        <v>63</v>
      </c>
      <c r="F3858">
        <v>2</v>
      </c>
      <c r="G3858" s="2">
        <v>439.35</v>
      </c>
      <c r="H3858">
        <v>0.16</v>
      </c>
      <c r="I3858" t="s">
        <v>71</v>
      </c>
      <c r="J3858">
        <v>7</v>
      </c>
      <c r="K3858">
        <v>1.4</v>
      </c>
      <c r="L3858" s="2">
        <v>738.11</v>
      </c>
      <c r="M3858">
        <v>2032</v>
      </c>
      <c r="N3858">
        <v>7</v>
      </c>
      <c r="O3858" t="s">
        <v>206</v>
      </c>
      <c r="P3858" s="2">
        <v>878.7</v>
      </c>
      <c r="Q3858" s="2">
        <v>140.59</v>
      </c>
      <c r="R3858" t="s">
        <v>76</v>
      </c>
      <c r="S3858">
        <v>1</v>
      </c>
      <c r="T3858">
        <v>0</v>
      </c>
      <c r="U3858">
        <f>IF(AND(OR(Dashboard!$D$4="Semua",D3858=Dashboard!$D$4),OR(Dashboard!$H$4="Semua",E3858=Dashboard!$H$4)),1,0)</f>
        <v>1</v>
      </c>
      <c r="V3858">
        <f>IF(U3858=1,IF(COUNTIFS($C$2:C3858,C3858,$U$2:U3858,1)=1,1,0),0)</f>
        <v>0</v>
      </c>
    </row>
    <row r="3859" spans="1:22" x14ac:dyDescent="0.35">
      <c r="A3859">
        <v>13858</v>
      </c>
      <c r="B3859" s="1">
        <v>48419</v>
      </c>
      <c r="C3859">
        <v>1932</v>
      </c>
      <c r="D3859" t="s">
        <v>62</v>
      </c>
      <c r="E3859" t="s">
        <v>70</v>
      </c>
      <c r="F3859">
        <v>7</v>
      </c>
      <c r="G3859" s="2">
        <v>336.29</v>
      </c>
      <c r="H3859">
        <v>0</v>
      </c>
      <c r="I3859" t="s">
        <v>68</v>
      </c>
      <c r="J3859">
        <v>11</v>
      </c>
      <c r="K3859">
        <v>4.3</v>
      </c>
      <c r="L3859" s="2">
        <v>2354.0300000000002</v>
      </c>
      <c r="M3859">
        <v>2032</v>
      </c>
      <c r="N3859">
        <v>7</v>
      </c>
      <c r="O3859" t="s">
        <v>206</v>
      </c>
      <c r="P3859" s="2">
        <v>2354.0300000000002</v>
      </c>
      <c r="Q3859" s="2">
        <v>0</v>
      </c>
      <c r="R3859" t="s">
        <v>75</v>
      </c>
      <c r="S3859">
        <v>1</v>
      </c>
      <c r="T3859">
        <v>0</v>
      </c>
      <c r="U3859">
        <f>IF(AND(OR(Dashboard!$D$4="Semua",D3859=Dashboard!$D$4),OR(Dashboard!$H$4="Semua",E3859=Dashboard!$H$4)),1,0)</f>
        <v>1</v>
      </c>
      <c r="V3859">
        <f>IF(U3859=1,IF(COUNTIFS($C$2:C3859,C3859,$U$2:U3859,1)=1,1,0),0)</f>
        <v>0</v>
      </c>
    </row>
    <row r="3860" spans="1:22" x14ac:dyDescent="0.35">
      <c r="A3860">
        <v>13859</v>
      </c>
      <c r="B3860" s="1">
        <v>48420</v>
      </c>
      <c r="C3860">
        <v>1979</v>
      </c>
      <c r="D3860" t="s">
        <v>80</v>
      </c>
      <c r="E3860" t="s">
        <v>70</v>
      </c>
      <c r="F3860">
        <v>2</v>
      </c>
      <c r="G3860" s="2">
        <v>239.89</v>
      </c>
      <c r="H3860">
        <v>0.18</v>
      </c>
      <c r="I3860" t="s">
        <v>71</v>
      </c>
      <c r="J3860">
        <v>3</v>
      </c>
      <c r="K3860">
        <v>4.5999999999999996</v>
      </c>
      <c r="L3860" s="2">
        <v>393.42</v>
      </c>
      <c r="M3860">
        <v>2032</v>
      </c>
      <c r="N3860">
        <v>7</v>
      </c>
      <c r="O3860" t="s">
        <v>206</v>
      </c>
      <c r="P3860" s="2">
        <v>479.78</v>
      </c>
      <c r="Q3860" s="2">
        <v>86.36</v>
      </c>
      <c r="R3860" t="s">
        <v>76</v>
      </c>
      <c r="S3860">
        <v>1</v>
      </c>
      <c r="T3860">
        <v>0</v>
      </c>
      <c r="U3860">
        <f>IF(AND(OR(Dashboard!$D$4="Semua",D3860=Dashboard!$D$4),OR(Dashboard!$H$4="Semua",E3860=Dashboard!$H$4)),1,0)</f>
        <v>1</v>
      </c>
      <c r="V3860">
        <f>IF(U3860=1,IF(COUNTIFS($C$2:C3860,C3860,$U$2:U3860,1)=1,1,0),0)</f>
        <v>0</v>
      </c>
    </row>
    <row r="3861" spans="1:22" x14ac:dyDescent="0.35">
      <c r="A3861">
        <v>13860</v>
      </c>
      <c r="B3861" s="1">
        <v>48421</v>
      </c>
      <c r="C3861">
        <v>1048</v>
      </c>
      <c r="D3861" t="s">
        <v>73</v>
      </c>
      <c r="E3861" t="s">
        <v>63</v>
      </c>
      <c r="F3861">
        <v>1</v>
      </c>
      <c r="G3861" s="2">
        <v>394.15</v>
      </c>
      <c r="H3861">
        <v>0.34</v>
      </c>
      <c r="I3861" t="s">
        <v>71</v>
      </c>
      <c r="J3861">
        <v>4</v>
      </c>
      <c r="K3861">
        <v>4.0999999999999996</v>
      </c>
      <c r="L3861" s="2">
        <v>260.14</v>
      </c>
      <c r="M3861">
        <v>2032</v>
      </c>
      <c r="N3861">
        <v>7</v>
      </c>
      <c r="O3861" t="s">
        <v>206</v>
      </c>
      <c r="P3861" s="2">
        <v>394.15</v>
      </c>
      <c r="Q3861" s="2">
        <v>134.01</v>
      </c>
      <c r="R3861" t="s">
        <v>72</v>
      </c>
      <c r="S3861">
        <v>1</v>
      </c>
      <c r="T3861">
        <v>0</v>
      </c>
      <c r="U3861">
        <f>IF(AND(OR(Dashboard!$D$4="Semua",D3861=Dashboard!$D$4),OR(Dashboard!$H$4="Semua",E3861=Dashboard!$H$4)),1,0)</f>
        <v>1</v>
      </c>
      <c r="V3861">
        <f>IF(U3861=1,IF(COUNTIFS($C$2:C3861,C3861,$U$2:U3861,1)=1,1,0),0)</f>
        <v>0</v>
      </c>
    </row>
    <row r="3862" spans="1:22" x14ac:dyDescent="0.35">
      <c r="A3862">
        <v>13861</v>
      </c>
      <c r="B3862" s="1">
        <v>48422</v>
      </c>
      <c r="C3862">
        <v>1916</v>
      </c>
      <c r="D3862" t="s">
        <v>67</v>
      </c>
      <c r="E3862" t="s">
        <v>78</v>
      </c>
      <c r="F3862">
        <v>6</v>
      </c>
      <c r="G3862" s="2">
        <v>546.35</v>
      </c>
      <c r="H3862">
        <v>0.18</v>
      </c>
      <c r="I3862" t="s">
        <v>64</v>
      </c>
      <c r="J3862">
        <v>4</v>
      </c>
      <c r="K3862">
        <v>3.3</v>
      </c>
      <c r="L3862" s="2">
        <v>2688.04</v>
      </c>
      <c r="M3862">
        <v>2032</v>
      </c>
      <c r="N3862">
        <v>7</v>
      </c>
      <c r="O3862" t="s">
        <v>206</v>
      </c>
      <c r="P3862" s="2">
        <v>3278.1</v>
      </c>
      <c r="Q3862" s="2">
        <v>590.05999999999995</v>
      </c>
      <c r="R3862" t="s">
        <v>76</v>
      </c>
      <c r="S3862">
        <v>1</v>
      </c>
      <c r="T3862">
        <v>0</v>
      </c>
      <c r="U3862">
        <f>IF(AND(OR(Dashboard!$D$4="Semua",D3862=Dashboard!$D$4),OR(Dashboard!$H$4="Semua",E3862=Dashboard!$H$4)),1,0)</f>
        <v>1</v>
      </c>
      <c r="V3862">
        <f>IF(U3862=1,IF(COUNTIFS($C$2:C3862,C3862,$U$2:U3862,1)=1,1,0),0)</f>
        <v>0</v>
      </c>
    </row>
    <row r="3863" spans="1:22" x14ac:dyDescent="0.35">
      <c r="A3863">
        <v>13862</v>
      </c>
      <c r="B3863" s="1">
        <v>48423</v>
      </c>
      <c r="C3863">
        <v>1073</v>
      </c>
      <c r="D3863" t="s">
        <v>80</v>
      </c>
      <c r="E3863" t="s">
        <v>74</v>
      </c>
      <c r="F3863">
        <v>6</v>
      </c>
      <c r="G3863" s="2">
        <v>258.76</v>
      </c>
      <c r="H3863">
        <v>0.06</v>
      </c>
      <c r="I3863" t="s">
        <v>68</v>
      </c>
      <c r="J3863">
        <v>4</v>
      </c>
      <c r="K3863">
        <v>3.3</v>
      </c>
      <c r="L3863" s="2">
        <v>1459.41</v>
      </c>
      <c r="M3863">
        <v>2032</v>
      </c>
      <c r="N3863">
        <v>7</v>
      </c>
      <c r="O3863" t="s">
        <v>206</v>
      </c>
      <c r="P3863" s="2">
        <v>1552.56</v>
      </c>
      <c r="Q3863" s="2">
        <v>93.15</v>
      </c>
      <c r="R3863" t="s">
        <v>69</v>
      </c>
      <c r="S3863">
        <v>1</v>
      </c>
      <c r="T3863">
        <v>0</v>
      </c>
      <c r="U3863">
        <f>IF(AND(OR(Dashboard!$D$4="Semua",D3863=Dashboard!$D$4),OR(Dashboard!$H$4="Semua",E3863=Dashboard!$H$4)),1,0)</f>
        <v>1</v>
      </c>
      <c r="V3863">
        <f>IF(U3863=1,IF(COUNTIFS($C$2:C3863,C3863,$U$2:U3863,1)=1,1,0),0)</f>
        <v>0</v>
      </c>
    </row>
    <row r="3864" spans="1:22" x14ac:dyDescent="0.35">
      <c r="A3864">
        <v>13863</v>
      </c>
      <c r="B3864" s="1">
        <v>48424</v>
      </c>
      <c r="C3864">
        <v>1703</v>
      </c>
      <c r="D3864" t="s">
        <v>62</v>
      </c>
      <c r="E3864" t="s">
        <v>78</v>
      </c>
      <c r="F3864">
        <v>2</v>
      </c>
      <c r="G3864" s="2">
        <v>198.93</v>
      </c>
      <c r="H3864">
        <v>0.01</v>
      </c>
      <c r="I3864" t="s">
        <v>68</v>
      </c>
      <c r="J3864">
        <v>2</v>
      </c>
      <c r="K3864">
        <v>2.9</v>
      </c>
      <c r="L3864" s="2">
        <v>393.88</v>
      </c>
      <c r="M3864">
        <v>2032</v>
      </c>
      <c r="N3864">
        <v>7</v>
      </c>
      <c r="O3864" t="s">
        <v>206</v>
      </c>
      <c r="P3864" s="2">
        <v>397.86</v>
      </c>
      <c r="Q3864" s="2">
        <v>3.98</v>
      </c>
      <c r="R3864" t="s">
        <v>75</v>
      </c>
      <c r="S3864">
        <v>1</v>
      </c>
      <c r="T3864">
        <v>0</v>
      </c>
      <c r="U3864">
        <f>IF(AND(OR(Dashboard!$D$4="Semua",D3864=Dashboard!$D$4),OR(Dashboard!$H$4="Semua",E3864=Dashboard!$H$4)),1,0)</f>
        <v>1</v>
      </c>
      <c r="V3864">
        <f>IF(U3864=1,IF(COUNTIFS($C$2:C3864,C3864,$U$2:U3864,1)=1,1,0),0)</f>
        <v>0</v>
      </c>
    </row>
    <row r="3865" spans="1:22" x14ac:dyDescent="0.35">
      <c r="A3865">
        <v>13864</v>
      </c>
      <c r="B3865" s="1">
        <v>48425</v>
      </c>
      <c r="C3865">
        <v>1260</v>
      </c>
      <c r="D3865" t="s">
        <v>62</v>
      </c>
      <c r="E3865" t="s">
        <v>70</v>
      </c>
      <c r="F3865">
        <v>2</v>
      </c>
      <c r="G3865" s="2">
        <v>242.24</v>
      </c>
      <c r="H3865">
        <v>0.12</v>
      </c>
      <c r="I3865" t="s">
        <v>71</v>
      </c>
      <c r="J3865">
        <v>11</v>
      </c>
      <c r="K3865">
        <v>1.9</v>
      </c>
      <c r="L3865" s="2">
        <v>426.34</v>
      </c>
      <c r="M3865">
        <v>2032</v>
      </c>
      <c r="N3865">
        <v>7</v>
      </c>
      <c r="O3865" t="s">
        <v>206</v>
      </c>
      <c r="P3865" s="2">
        <v>484.48</v>
      </c>
      <c r="Q3865" s="2">
        <v>58.14</v>
      </c>
      <c r="R3865" t="s">
        <v>79</v>
      </c>
      <c r="S3865">
        <v>1</v>
      </c>
      <c r="T3865">
        <v>0</v>
      </c>
      <c r="U3865">
        <f>IF(AND(OR(Dashboard!$D$4="Semua",D3865=Dashboard!$D$4),OR(Dashboard!$H$4="Semua",E3865=Dashboard!$H$4)),1,0)</f>
        <v>1</v>
      </c>
      <c r="V3865">
        <f>IF(U3865=1,IF(COUNTIFS($C$2:C3865,C3865,$U$2:U3865,1)=1,1,0),0)</f>
        <v>0</v>
      </c>
    </row>
    <row r="3866" spans="1:22" x14ac:dyDescent="0.35">
      <c r="A3866">
        <v>13865</v>
      </c>
      <c r="B3866" s="1">
        <v>48426</v>
      </c>
      <c r="C3866">
        <v>1355</v>
      </c>
      <c r="D3866" t="s">
        <v>67</v>
      </c>
      <c r="E3866" t="s">
        <v>63</v>
      </c>
      <c r="F3866">
        <v>1</v>
      </c>
      <c r="G3866" s="2">
        <v>269.70999999999998</v>
      </c>
      <c r="H3866">
        <v>0.32</v>
      </c>
      <c r="I3866" t="s">
        <v>71</v>
      </c>
      <c r="J3866">
        <v>6</v>
      </c>
      <c r="K3866">
        <v>2.5</v>
      </c>
      <c r="L3866" s="2">
        <v>183.4</v>
      </c>
      <c r="M3866">
        <v>2032</v>
      </c>
      <c r="N3866">
        <v>7</v>
      </c>
      <c r="O3866" t="s">
        <v>206</v>
      </c>
      <c r="P3866" s="2">
        <v>269.70999999999998</v>
      </c>
      <c r="Q3866" s="2">
        <v>86.31</v>
      </c>
      <c r="R3866" t="s">
        <v>72</v>
      </c>
      <c r="S3866">
        <v>1</v>
      </c>
      <c r="T3866">
        <v>0</v>
      </c>
      <c r="U3866">
        <f>IF(AND(OR(Dashboard!$D$4="Semua",D3866=Dashboard!$D$4),OR(Dashboard!$H$4="Semua",E3866=Dashboard!$H$4)),1,0)</f>
        <v>1</v>
      </c>
      <c r="V3866">
        <f>IF(U3866=1,IF(COUNTIFS($C$2:C3866,C3866,$U$2:U3866,1)=1,1,0),0)</f>
        <v>0</v>
      </c>
    </row>
    <row r="3867" spans="1:22" x14ac:dyDescent="0.35">
      <c r="A3867">
        <v>13866</v>
      </c>
      <c r="B3867" s="1">
        <v>48427</v>
      </c>
      <c r="C3867">
        <v>1581</v>
      </c>
      <c r="D3867" t="s">
        <v>80</v>
      </c>
      <c r="E3867" t="s">
        <v>63</v>
      </c>
      <c r="F3867">
        <v>5</v>
      </c>
      <c r="G3867" s="2">
        <v>58.03</v>
      </c>
      <c r="H3867">
        <v>0.35</v>
      </c>
      <c r="I3867" t="s">
        <v>71</v>
      </c>
      <c r="J3867">
        <v>1</v>
      </c>
      <c r="K3867">
        <v>5</v>
      </c>
      <c r="L3867" s="2">
        <v>188.6</v>
      </c>
      <c r="M3867">
        <v>2032</v>
      </c>
      <c r="N3867">
        <v>8</v>
      </c>
      <c r="O3867" t="s">
        <v>207</v>
      </c>
      <c r="P3867" s="2">
        <v>290.14999999999998</v>
      </c>
      <c r="Q3867" s="2">
        <v>101.55</v>
      </c>
      <c r="R3867" t="s">
        <v>72</v>
      </c>
      <c r="S3867">
        <v>1</v>
      </c>
      <c r="T3867">
        <v>0</v>
      </c>
      <c r="U3867">
        <f>IF(AND(OR(Dashboard!$D$4="Semua",D3867=Dashboard!$D$4),OR(Dashboard!$H$4="Semua",E3867=Dashboard!$H$4)),1,0)</f>
        <v>1</v>
      </c>
      <c r="V3867">
        <f>IF(U3867=1,IF(COUNTIFS($C$2:C3867,C3867,$U$2:U3867,1)=1,1,0),0)</f>
        <v>0</v>
      </c>
    </row>
    <row r="3868" spans="1:22" x14ac:dyDescent="0.35">
      <c r="A3868">
        <v>13867</v>
      </c>
      <c r="B3868" s="1">
        <v>48428</v>
      </c>
      <c r="C3868">
        <v>1601</v>
      </c>
      <c r="D3868" t="s">
        <v>67</v>
      </c>
      <c r="E3868" t="s">
        <v>74</v>
      </c>
      <c r="F3868">
        <v>7</v>
      </c>
      <c r="G3868" s="2">
        <v>306.58999999999997</v>
      </c>
      <c r="H3868">
        <v>0.33</v>
      </c>
      <c r="I3868" t="s">
        <v>68</v>
      </c>
      <c r="J3868">
        <v>5</v>
      </c>
      <c r="K3868">
        <v>1.6</v>
      </c>
      <c r="L3868" s="2">
        <v>1437.91</v>
      </c>
      <c r="M3868">
        <v>2032</v>
      </c>
      <c r="N3868">
        <v>8</v>
      </c>
      <c r="O3868" t="s">
        <v>207</v>
      </c>
      <c r="P3868" s="2">
        <v>2146.13</v>
      </c>
      <c r="Q3868" s="2">
        <v>708.22</v>
      </c>
      <c r="R3868" t="s">
        <v>72</v>
      </c>
      <c r="S3868">
        <v>1</v>
      </c>
      <c r="T3868">
        <v>0</v>
      </c>
      <c r="U3868">
        <f>IF(AND(OR(Dashboard!$D$4="Semua",D3868=Dashboard!$D$4),OR(Dashboard!$H$4="Semua",E3868=Dashboard!$H$4)),1,0)</f>
        <v>1</v>
      </c>
      <c r="V3868">
        <f>IF(U3868=1,IF(COUNTIFS($C$2:C3868,C3868,$U$2:U3868,1)=1,1,0),0)</f>
        <v>0</v>
      </c>
    </row>
    <row r="3869" spans="1:22" x14ac:dyDescent="0.35">
      <c r="A3869">
        <v>13868</v>
      </c>
      <c r="B3869" s="1">
        <v>48429</v>
      </c>
      <c r="C3869">
        <v>1259</v>
      </c>
      <c r="D3869" t="s">
        <v>67</v>
      </c>
      <c r="E3869" t="s">
        <v>63</v>
      </c>
      <c r="F3869">
        <v>4</v>
      </c>
      <c r="G3869" s="2">
        <v>304.17</v>
      </c>
      <c r="H3869">
        <v>0.26</v>
      </c>
      <c r="I3869" t="s">
        <v>71</v>
      </c>
      <c r="J3869">
        <v>2</v>
      </c>
      <c r="K3869">
        <v>3.2</v>
      </c>
      <c r="L3869" s="2">
        <v>900.34</v>
      </c>
      <c r="M3869">
        <v>2032</v>
      </c>
      <c r="N3869">
        <v>8</v>
      </c>
      <c r="O3869" t="s">
        <v>207</v>
      </c>
      <c r="P3869" s="2">
        <v>1216.68</v>
      </c>
      <c r="Q3869" s="2">
        <v>316.33999999999997</v>
      </c>
      <c r="R3869" t="s">
        <v>66</v>
      </c>
      <c r="S3869">
        <v>1</v>
      </c>
      <c r="T3869">
        <v>0</v>
      </c>
      <c r="U3869">
        <f>IF(AND(OR(Dashboard!$D$4="Semua",D3869=Dashboard!$D$4),OR(Dashboard!$H$4="Semua",E3869=Dashboard!$H$4)),1,0)</f>
        <v>1</v>
      </c>
      <c r="V3869">
        <f>IF(U3869=1,IF(COUNTIFS($C$2:C3869,C3869,$U$2:U3869,1)=1,1,0),0)</f>
        <v>0</v>
      </c>
    </row>
    <row r="3870" spans="1:22" x14ac:dyDescent="0.35">
      <c r="A3870">
        <v>13869</v>
      </c>
      <c r="B3870" s="1">
        <v>48430</v>
      </c>
      <c r="C3870">
        <v>1637</v>
      </c>
      <c r="D3870" t="s">
        <v>73</v>
      </c>
      <c r="E3870" t="s">
        <v>74</v>
      </c>
      <c r="F3870">
        <v>7</v>
      </c>
      <c r="G3870" s="2">
        <v>359.24</v>
      </c>
      <c r="H3870">
        <v>0.2</v>
      </c>
      <c r="I3870" t="s">
        <v>68</v>
      </c>
      <c r="J3870">
        <v>9</v>
      </c>
      <c r="K3870">
        <v>4.5</v>
      </c>
      <c r="L3870" s="2">
        <v>2011.74</v>
      </c>
      <c r="M3870">
        <v>2032</v>
      </c>
      <c r="N3870">
        <v>8</v>
      </c>
      <c r="O3870" t="s">
        <v>207</v>
      </c>
      <c r="P3870" s="2">
        <v>2514.6799999999998</v>
      </c>
      <c r="Q3870" s="2">
        <v>502.94</v>
      </c>
      <c r="R3870" t="s">
        <v>76</v>
      </c>
      <c r="S3870">
        <v>1</v>
      </c>
      <c r="T3870">
        <v>0</v>
      </c>
      <c r="U3870">
        <f>IF(AND(OR(Dashboard!$D$4="Semua",D3870=Dashboard!$D$4),OR(Dashboard!$H$4="Semua",E3870=Dashboard!$H$4)),1,0)</f>
        <v>1</v>
      </c>
      <c r="V3870">
        <f>IF(U3870=1,IF(COUNTIFS($C$2:C3870,C3870,$U$2:U3870,1)=1,1,0),0)</f>
        <v>0</v>
      </c>
    </row>
    <row r="3871" spans="1:22" x14ac:dyDescent="0.35">
      <c r="A3871">
        <v>13870</v>
      </c>
      <c r="B3871" s="1">
        <v>48431</v>
      </c>
      <c r="C3871">
        <v>1742</v>
      </c>
      <c r="D3871" t="s">
        <v>73</v>
      </c>
      <c r="E3871" t="s">
        <v>78</v>
      </c>
      <c r="F3871">
        <v>3</v>
      </c>
      <c r="G3871" s="2">
        <v>227.25</v>
      </c>
      <c r="H3871">
        <v>0.21</v>
      </c>
      <c r="I3871" t="s">
        <v>68</v>
      </c>
      <c r="J3871">
        <v>2</v>
      </c>
      <c r="K3871">
        <v>2.8</v>
      </c>
      <c r="L3871" s="2">
        <v>538.58000000000004</v>
      </c>
      <c r="M3871">
        <v>2032</v>
      </c>
      <c r="N3871">
        <v>8</v>
      </c>
      <c r="O3871" t="s">
        <v>207</v>
      </c>
      <c r="P3871" s="2">
        <v>681.75</v>
      </c>
      <c r="Q3871" s="2">
        <v>143.16999999999999</v>
      </c>
      <c r="R3871" t="s">
        <v>77</v>
      </c>
      <c r="S3871">
        <v>1</v>
      </c>
      <c r="T3871">
        <v>0</v>
      </c>
      <c r="U3871">
        <f>IF(AND(OR(Dashboard!$D$4="Semua",D3871=Dashboard!$D$4),OR(Dashboard!$H$4="Semua",E3871=Dashboard!$H$4)),1,0)</f>
        <v>1</v>
      </c>
      <c r="V3871">
        <f>IF(U3871=1,IF(COUNTIFS($C$2:C3871,C3871,$U$2:U3871,1)=1,1,0),0)</f>
        <v>0</v>
      </c>
    </row>
    <row r="3872" spans="1:22" x14ac:dyDescent="0.35">
      <c r="A3872">
        <v>13871</v>
      </c>
      <c r="B3872" s="1">
        <v>48432</v>
      </c>
      <c r="C3872">
        <v>1294</v>
      </c>
      <c r="D3872" t="s">
        <v>67</v>
      </c>
      <c r="E3872" t="s">
        <v>78</v>
      </c>
      <c r="F3872">
        <v>6</v>
      </c>
      <c r="G3872" s="2">
        <v>373.67</v>
      </c>
      <c r="H3872">
        <v>0.19</v>
      </c>
      <c r="I3872" t="s">
        <v>71</v>
      </c>
      <c r="J3872">
        <v>6</v>
      </c>
      <c r="K3872">
        <v>3.4</v>
      </c>
      <c r="L3872" s="2">
        <v>1816.04</v>
      </c>
      <c r="M3872">
        <v>2032</v>
      </c>
      <c r="N3872">
        <v>8</v>
      </c>
      <c r="O3872" t="s">
        <v>207</v>
      </c>
      <c r="P3872" s="2">
        <v>2242.02</v>
      </c>
      <c r="Q3872" s="2">
        <v>425.98</v>
      </c>
      <c r="R3872" t="s">
        <v>76</v>
      </c>
      <c r="S3872">
        <v>1</v>
      </c>
      <c r="T3872">
        <v>0</v>
      </c>
      <c r="U3872">
        <f>IF(AND(OR(Dashboard!$D$4="Semua",D3872=Dashboard!$D$4),OR(Dashboard!$H$4="Semua",E3872=Dashboard!$H$4)),1,0)</f>
        <v>1</v>
      </c>
      <c r="V3872">
        <f>IF(U3872=1,IF(COUNTIFS($C$2:C3872,C3872,$U$2:U3872,1)=1,1,0),0)</f>
        <v>0</v>
      </c>
    </row>
    <row r="3873" spans="1:22" x14ac:dyDescent="0.35">
      <c r="A3873">
        <v>13872</v>
      </c>
      <c r="B3873" s="1">
        <v>48433</v>
      </c>
      <c r="C3873">
        <v>1930</v>
      </c>
      <c r="D3873" t="s">
        <v>73</v>
      </c>
      <c r="E3873" t="s">
        <v>63</v>
      </c>
      <c r="F3873">
        <v>6</v>
      </c>
      <c r="G3873" s="2">
        <v>528.76</v>
      </c>
      <c r="H3873">
        <v>0.25</v>
      </c>
      <c r="I3873" t="s">
        <v>68</v>
      </c>
      <c r="J3873">
        <v>4</v>
      </c>
      <c r="K3873">
        <v>4.3</v>
      </c>
      <c r="L3873" s="2">
        <v>2379.42</v>
      </c>
      <c r="M3873">
        <v>2032</v>
      </c>
      <c r="N3873">
        <v>8</v>
      </c>
      <c r="O3873" t="s">
        <v>207</v>
      </c>
      <c r="P3873" s="2">
        <v>3172.56</v>
      </c>
      <c r="Q3873" s="2">
        <v>793.14</v>
      </c>
      <c r="R3873" t="s">
        <v>77</v>
      </c>
      <c r="S3873">
        <v>1</v>
      </c>
      <c r="T3873">
        <v>0</v>
      </c>
      <c r="U3873">
        <f>IF(AND(OR(Dashboard!$D$4="Semua",D3873=Dashboard!$D$4),OR(Dashboard!$H$4="Semua",E3873=Dashboard!$H$4)),1,0)</f>
        <v>1</v>
      </c>
      <c r="V3873">
        <f>IF(U3873=1,IF(COUNTIFS($C$2:C3873,C3873,$U$2:U3873,1)=1,1,0),0)</f>
        <v>0</v>
      </c>
    </row>
    <row r="3874" spans="1:22" x14ac:dyDescent="0.35">
      <c r="A3874">
        <v>13873</v>
      </c>
      <c r="B3874" s="1">
        <v>48434</v>
      </c>
      <c r="C3874">
        <v>1640</v>
      </c>
      <c r="D3874" t="s">
        <v>73</v>
      </c>
      <c r="E3874" t="s">
        <v>63</v>
      </c>
      <c r="F3874">
        <v>1</v>
      </c>
      <c r="G3874" s="2">
        <v>573.95000000000005</v>
      </c>
      <c r="H3874">
        <v>0.15</v>
      </c>
      <c r="I3874" t="s">
        <v>68</v>
      </c>
      <c r="J3874">
        <v>6</v>
      </c>
      <c r="K3874">
        <v>3.2</v>
      </c>
      <c r="L3874" s="2">
        <v>487.86</v>
      </c>
      <c r="M3874">
        <v>2032</v>
      </c>
      <c r="N3874">
        <v>8</v>
      </c>
      <c r="O3874" t="s">
        <v>207</v>
      </c>
      <c r="P3874" s="2">
        <v>573.95000000000005</v>
      </c>
      <c r="Q3874" s="2">
        <v>86.09</v>
      </c>
      <c r="R3874" t="s">
        <v>79</v>
      </c>
      <c r="S3874">
        <v>1</v>
      </c>
      <c r="T3874">
        <v>0</v>
      </c>
      <c r="U3874">
        <f>IF(AND(OR(Dashboard!$D$4="Semua",D3874=Dashboard!$D$4),OR(Dashboard!$H$4="Semua",E3874=Dashboard!$H$4)),1,0)</f>
        <v>1</v>
      </c>
      <c r="V3874">
        <f>IF(U3874=1,IF(COUNTIFS($C$2:C3874,C3874,$U$2:U3874,1)=1,1,0),0)</f>
        <v>0</v>
      </c>
    </row>
    <row r="3875" spans="1:22" x14ac:dyDescent="0.35">
      <c r="A3875">
        <v>13874</v>
      </c>
      <c r="B3875" s="1">
        <v>48435</v>
      </c>
      <c r="C3875">
        <v>1791</v>
      </c>
      <c r="D3875" t="s">
        <v>80</v>
      </c>
      <c r="E3875" t="s">
        <v>70</v>
      </c>
      <c r="F3875">
        <v>7</v>
      </c>
      <c r="G3875" s="2">
        <v>356.41</v>
      </c>
      <c r="H3875">
        <v>0.23</v>
      </c>
      <c r="I3875" t="s">
        <v>71</v>
      </c>
      <c r="J3875">
        <v>2</v>
      </c>
      <c r="K3875">
        <v>3.9</v>
      </c>
      <c r="L3875" s="2">
        <v>1921.05</v>
      </c>
      <c r="M3875">
        <v>2032</v>
      </c>
      <c r="N3875">
        <v>8</v>
      </c>
      <c r="O3875" t="s">
        <v>207</v>
      </c>
      <c r="P3875" s="2">
        <v>2494.87</v>
      </c>
      <c r="Q3875" s="2">
        <v>573.82000000000005</v>
      </c>
      <c r="R3875" t="s">
        <v>77</v>
      </c>
      <c r="S3875">
        <v>1</v>
      </c>
      <c r="T3875">
        <v>0</v>
      </c>
      <c r="U3875">
        <f>IF(AND(OR(Dashboard!$D$4="Semua",D3875=Dashboard!$D$4),OR(Dashboard!$H$4="Semua",E3875=Dashboard!$H$4)),1,0)</f>
        <v>1</v>
      </c>
      <c r="V3875">
        <f>IF(U3875=1,IF(COUNTIFS($C$2:C3875,C3875,$U$2:U3875,1)=1,1,0),0)</f>
        <v>0</v>
      </c>
    </row>
    <row r="3876" spans="1:22" x14ac:dyDescent="0.35">
      <c r="A3876">
        <v>13875</v>
      </c>
      <c r="B3876" s="1">
        <v>48436</v>
      </c>
      <c r="C3876">
        <v>1312</v>
      </c>
      <c r="D3876" t="s">
        <v>73</v>
      </c>
      <c r="E3876" t="s">
        <v>70</v>
      </c>
      <c r="F3876">
        <v>1</v>
      </c>
      <c r="G3876" s="2">
        <v>39.92</v>
      </c>
      <c r="H3876">
        <v>0.04</v>
      </c>
      <c r="I3876" t="s">
        <v>71</v>
      </c>
      <c r="J3876">
        <v>2</v>
      </c>
      <c r="K3876">
        <v>2.4</v>
      </c>
      <c r="L3876" s="2">
        <v>38.32</v>
      </c>
      <c r="M3876">
        <v>2032</v>
      </c>
      <c r="N3876">
        <v>8</v>
      </c>
      <c r="O3876" t="s">
        <v>207</v>
      </c>
      <c r="P3876" s="2">
        <v>39.92</v>
      </c>
      <c r="Q3876" s="2">
        <v>1.6</v>
      </c>
      <c r="R3876" t="s">
        <v>75</v>
      </c>
      <c r="S3876">
        <v>1</v>
      </c>
      <c r="T3876">
        <v>0</v>
      </c>
      <c r="U3876">
        <f>IF(AND(OR(Dashboard!$D$4="Semua",D3876=Dashboard!$D$4),OR(Dashboard!$H$4="Semua",E3876=Dashboard!$H$4)),1,0)</f>
        <v>1</v>
      </c>
      <c r="V3876">
        <f>IF(U3876=1,IF(COUNTIFS($C$2:C3876,C3876,$U$2:U3876,1)=1,1,0),0)</f>
        <v>0</v>
      </c>
    </row>
    <row r="3877" spans="1:22" x14ac:dyDescent="0.35">
      <c r="A3877">
        <v>13876</v>
      </c>
      <c r="B3877" s="1">
        <v>48437</v>
      </c>
      <c r="C3877">
        <v>1611</v>
      </c>
      <c r="D3877" t="s">
        <v>67</v>
      </c>
      <c r="E3877" t="s">
        <v>63</v>
      </c>
      <c r="F3877">
        <v>3</v>
      </c>
      <c r="G3877" s="2">
        <v>582</v>
      </c>
      <c r="H3877">
        <v>0.09</v>
      </c>
      <c r="I3877" t="s">
        <v>68</v>
      </c>
      <c r="J3877">
        <v>7</v>
      </c>
      <c r="K3877">
        <v>3.9</v>
      </c>
      <c r="L3877" s="2">
        <v>1588.86</v>
      </c>
      <c r="M3877">
        <v>2032</v>
      </c>
      <c r="N3877">
        <v>8</v>
      </c>
      <c r="O3877" t="s">
        <v>207</v>
      </c>
      <c r="P3877" s="2">
        <v>1746</v>
      </c>
      <c r="Q3877" s="2">
        <v>157.13999999999999</v>
      </c>
      <c r="R3877" t="s">
        <v>69</v>
      </c>
      <c r="S3877">
        <v>1</v>
      </c>
      <c r="T3877">
        <v>0</v>
      </c>
      <c r="U3877">
        <f>IF(AND(OR(Dashboard!$D$4="Semua",D3877=Dashboard!$D$4),OR(Dashboard!$H$4="Semua",E3877=Dashboard!$H$4)),1,0)</f>
        <v>1</v>
      </c>
      <c r="V3877">
        <f>IF(U3877=1,IF(COUNTIFS($C$2:C3877,C3877,$U$2:U3877,1)=1,1,0),0)</f>
        <v>0</v>
      </c>
    </row>
    <row r="3878" spans="1:22" x14ac:dyDescent="0.35">
      <c r="A3878">
        <v>13877</v>
      </c>
      <c r="B3878" s="1">
        <v>48438</v>
      </c>
      <c r="C3878">
        <v>1837</v>
      </c>
      <c r="D3878" t="s">
        <v>67</v>
      </c>
      <c r="E3878" t="s">
        <v>63</v>
      </c>
      <c r="F3878">
        <v>7</v>
      </c>
      <c r="G3878" s="2">
        <v>427.93</v>
      </c>
      <c r="H3878">
        <v>0.28999999999999998</v>
      </c>
      <c r="I3878" t="s">
        <v>71</v>
      </c>
      <c r="J3878">
        <v>3</v>
      </c>
      <c r="K3878">
        <v>1.2</v>
      </c>
      <c r="L3878" s="2">
        <v>2126.81</v>
      </c>
      <c r="M3878">
        <v>2032</v>
      </c>
      <c r="N3878">
        <v>8</v>
      </c>
      <c r="O3878" t="s">
        <v>207</v>
      </c>
      <c r="P3878" s="2">
        <v>2995.51</v>
      </c>
      <c r="Q3878" s="2">
        <v>868.7</v>
      </c>
      <c r="R3878" t="s">
        <v>66</v>
      </c>
      <c r="S3878">
        <v>1</v>
      </c>
      <c r="T3878">
        <v>0</v>
      </c>
      <c r="U3878">
        <f>IF(AND(OR(Dashboard!$D$4="Semua",D3878=Dashboard!$D$4),OR(Dashboard!$H$4="Semua",E3878=Dashboard!$H$4)),1,0)</f>
        <v>1</v>
      </c>
      <c r="V3878">
        <f>IF(U3878=1,IF(COUNTIFS($C$2:C3878,C3878,$U$2:U3878,1)=1,1,0),0)</f>
        <v>0</v>
      </c>
    </row>
    <row r="3879" spans="1:22" x14ac:dyDescent="0.35">
      <c r="A3879">
        <v>13878</v>
      </c>
      <c r="B3879" s="1">
        <v>48439</v>
      </c>
      <c r="C3879">
        <v>1808</v>
      </c>
      <c r="D3879" t="s">
        <v>62</v>
      </c>
      <c r="E3879" t="s">
        <v>78</v>
      </c>
      <c r="F3879">
        <v>3</v>
      </c>
      <c r="G3879" s="2">
        <v>211.54</v>
      </c>
      <c r="H3879">
        <v>0.32</v>
      </c>
      <c r="I3879" t="s">
        <v>68</v>
      </c>
      <c r="J3879">
        <v>3</v>
      </c>
      <c r="K3879">
        <v>1.6</v>
      </c>
      <c r="L3879" s="2">
        <v>431.54</v>
      </c>
      <c r="M3879">
        <v>2032</v>
      </c>
      <c r="N3879">
        <v>8</v>
      </c>
      <c r="O3879" t="s">
        <v>207</v>
      </c>
      <c r="P3879" s="2">
        <v>634.62</v>
      </c>
      <c r="Q3879" s="2">
        <v>203.08</v>
      </c>
      <c r="R3879" t="s">
        <v>72</v>
      </c>
      <c r="S3879">
        <v>1</v>
      </c>
      <c r="T3879">
        <v>0</v>
      </c>
      <c r="U3879">
        <f>IF(AND(OR(Dashboard!$D$4="Semua",D3879=Dashboard!$D$4),OR(Dashboard!$H$4="Semua",E3879=Dashboard!$H$4)),1,0)</f>
        <v>1</v>
      </c>
      <c r="V3879">
        <f>IF(U3879=1,IF(COUNTIFS($C$2:C3879,C3879,$U$2:U3879,1)=1,1,0),0)</f>
        <v>0</v>
      </c>
    </row>
    <row r="3880" spans="1:22" x14ac:dyDescent="0.35">
      <c r="A3880">
        <v>13879</v>
      </c>
      <c r="B3880" s="1">
        <v>48440</v>
      </c>
      <c r="C3880">
        <v>1181</v>
      </c>
      <c r="D3880" t="s">
        <v>67</v>
      </c>
      <c r="E3880" t="s">
        <v>63</v>
      </c>
      <c r="F3880">
        <v>2</v>
      </c>
      <c r="G3880" s="2">
        <v>101.09</v>
      </c>
      <c r="H3880">
        <v>0.19</v>
      </c>
      <c r="I3880" t="s">
        <v>68</v>
      </c>
      <c r="J3880">
        <v>7</v>
      </c>
      <c r="K3880">
        <v>3.5</v>
      </c>
      <c r="L3880" s="2">
        <v>163.77000000000001</v>
      </c>
      <c r="M3880">
        <v>2032</v>
      </c>
      <c r="N3880">
        <v>8</v>
      </c>
      <c r="O3880" t="s">
        <v>207</v>
      </c>
      <c r="P3880" s="2">
        <v>202.18</v>
      </c>
      <c r="Q3880" s="2">
        <v>38.409999999999997</v>
      </c>
      <c r="R3880" t="s">
        <v>76</v>
      </c>
      <c r="S3880">
        <v>1</v>
      </c>
      <c r="T3880">
        <v>0</v>
      </c>
      <c r="U3880">
        <f>IF(AND(OR(Dashboard!$D$4="Semua",D3880=Dashboard!$D$4),OR(Dashboard!$H$4="Semua",E3880=Dashboard!$H$4)),1,0)</f>
        <v>1</v>
      </c>
      <c r="V3880">
        <f>IF(U3880=1,IF(COUNTIFS($C$2:C3880,C3880,$U$2:U3880,1)=1,1,0),0)</f>
        <v>0</v>
      </c>
    </row>
    <row r="3881" spans="1:22" x14ac:dyDescent="0.35">
      <c r="A3881">
        <v>13880</v>
      </c>
      <c r="B3881" s="1">
        <v>48441</v>
      </c>
      <c r="C3881">
        <v>1685</v>
      </c>
      <c r="D3881" t="s">
        <v>73</v>
      </c>
      <c r="E3881" t="s">
        <v>70</v>
      </c>
      <c r="F3881">
        <v>7</v>
      </c>
      <c r="G3881" s="2">
        <v>98.9</v>
      </c>
      <c r="H3881">
        <v>0.01</v>
      </c>
      <c r="I3881" t="s">
        <v>71</v>
      </c>
      <c r="J3881">
        <v>8</v>
      </c>
      <c r="K3881">
        <v>2.8</v>
      </c>
      <c r="L3881" s="2">
        <v>685.38</v>
      </c>
      <c r="M3881">
        <v>2032</v>
      </c>
      <c r="N3881">
        <v>8</v>
      </c>
      <c r="O3881" t="s">
        <v>207</v>
      </c>
      <c r="P3881" s="2">
        <v>692.3</v>
      </c>
      <c r="Q3881" s="2">
        <v>6.92</v>
      </c>
      <c r="R3881" t="s">
        <v>75</v>
      </c>
      <c r="S3881">
        <v>1</v>
      </c>
      <c r="T3881">
        <v>0</v>
      </c>
      <c r="U3881">
        <f>IF(AND(OR(Dashboard!$D$4="Semua",D3881=Dashboard!$D$4),OR(Dashboard!$H$4="Semua",E3881=Dashboard!$H$4)),1,0)</f>
        <v>1</v>
      </c>
      <c r="V3881">
        <f>IF(U3881=1,IF(COUNTIFS($C$2:C3881,C3881,$U$2:U3881,1)=1,1,0),0)</f>
        <v>0</v>
      </c>
    </row>
    <row r="3882" spans="1:22" x14ac:dyDescent="0.35">
      <c r="A3882">
        <v>13881</v>
      </c>
      <c r="B3882" s="1">
        <v>48442</v>
      </c>
      <c r="C3882">
        <v>1827</v>
      </c>
      <c r="D3882" t="s">
        <v>67</v>
      </c>
      <c r="E3882" t="s">
        <v>78</v>
      </c>
      <c r="F3882">
        <v>3</v>
      </c>
      <c r="G3882" s="2">
        <v>113.13</v>
      </c>
      <c r="H3882">
        <v>0.32</v>
      </c>
      <c r="I3882" t="s">
        <v>68</v>
      </c>
      <c r="J3882">
        <v>7</v>
      </c>
      <c r="K3882">
        <v>4.3</v>
      </c>
      <c r="L3882" s="2">
        <v>230.79</v>
      </c>
      <c r="M3882">
        <v>2032</v>
      </c>
      <c r="N3882">
        <v>8</v>
      </c>
      <c r="O3882" t="s">
        <v>207</v>
      </c>
      <c r="P3882" s="2">
        <v>339.39</v>
      </c>
      <c r="Q3882" s="2">
        <v>108.6</v>
      </c>
      <c r="R3882" t="s">
        <v>72</v>
      </c>
      <c r="S3882">
        <v>1</v>
      </c>
      <c r="T3882">
        <v>0</v>
      </c>
      <c r="U3882">
        <f>IF(AND(OR(Dashboard!$D$4="Semua",D3882=Dashboard!$D$4),OR(Dashboard!$H$4="Semua",E3882=Dashboard!$H$4)),1,0)</f>
        <v>1</v>
      </c>
      <c r="V3882">
        <f>IF(U3882=1,IF(COUNTIFS($C$2:C3882,C3882,$U$2:U3882,1)=1,1,0),0)</f>
        <v>0</v>
      </c>
    </row>
    <row r="3883" spans="1:22" x14ac:dyDescent="0.35">
      <c r="A3883">
        <v>13882</v>
      </c>
      <c r="B3883" s="1">
        <v>48443</v>
      </c>
      <c r="C3883">
        <v>1363</v>
      </c>
      <c r="D3883" t="s">
        <v>80</v>
      </c>
      <c r="E3883" t="s">
        <v>74</v>
      </c>
      <c r="F3883">
        <v>4</v>
      </c>
      <c r="G3883" s="2">
        <v>41.66</v>
      </c>
      <c r="H3883">
        <v>0.25</v>
      </c>
      <c r="I3883" t="s">
        <v>64</v>
      </c>
      <c r="J3883">
        <v>3</v>
      </c>
      <c r="K3883">
        <v>2.4</v>
      </c>
      <c r="L3883" s="2">
        <v>124.98</v>
      </c>
      <c r="M3883">
        <v>2032</v>
      </c>
      <c r="N3883">
        <v>8</v>
      </c>
      <c r="O3883" t="s">
        <v>207</v>
      </c>
      <c r="P3883" s="2">
        <v>166.64</v>
      </c>
      <c r="Q3883" s="2">
        <v>41.66</v>
      </c>
      <c r="R3883" t="s">
        <v>77</v>
      </c>
      <c r="S3883">
        <v>1</v>
      </c>
      <c r="T3883">
        <v>0</v>
      </c>
      <c r="U3883">
        <f>IF(AND(OR(Dashboard!$D$4="Semua",D3883=Dashboard!$D$4),OR(Dashboard!$H$4="Semua",E3883=Dashboard!$H$4)),1,0)</f>
        <v>1</v>
      </c>
      <c r="V3883">
        <f>IF(U3883=1,IF(COUNTIFS($C$2:C3883,C3883,$U$2:U3883,1)=1,1,0),0)</f>
        <v>0</v>
      </c>
    </row>
    <row r="3884" spans="1:22" x14ac:dyDescent="0.35">
      <c r="A3884">
        <v>13883</v>
      </c>
      <c r="B3884" s="1">
        <v>48444</v>
      </c>
      <c r="C3884">
        <v>1187</v>
      </c>
      <c r="D3884" t="s">
        <v>62</v>
      </c>
      <c r="E3884" t="s">
        <v>70</v>
      </c>
      <c r="F3884">
        <v>4</v>
      </c>
      <c r="G3884" s="2">
        <v>542.76</v>
      </c>
      <c r="H3884">
        <v>0.14000000000000001</v>
      </c>
      <c r="I3884" t="s">
        <v>68</v>
      </c>
      <c r="J3884">
        <v>3</v>
      </c>
      <c r="K3884">
        <v>4.0999999999999996</v>
      </c>
      <c r="L3884" s="2">
        <v>1867.09</v>
      </c>
      <c r="M3884">
        <v>2032</v>
      </c>
      <c r="N3884">
        <v>8</v>
      </c>
      <c r="O3884" t="s">
        <v>207</v>
      </c>
      <c r="P3884" s="2">
        <v>2171.04</v>
      </c>
      <c r="Q3884" s="2">
        <v>303.95</v>
      </c>
      <c r="R3884" t="s">
        <v>79</v>
      </c>
      <c r="S3884">
        <v>1</v>
      </c>
      <c r="T3884">
        <v>0</v>
      </c>
      <c r="U3884">
        <f>IF(AND(OR(Dashboard!$D$4="Semua",D3884=Dashboard!$D$4),OR(Dashboard!$H$4="Semua",E3884=Dashboard!$H$4)),1,0)</f>
        <v>1</v>
      </c>
      <c r="V3884">
        <f>IF(U3884=1,IF(COUNTIFS($C$2:C3884,C3884,$U$2:U3884,1)=1,1,0),0)</f>
        <v>0</v>
      </c>
    </row>
    <row r="3885" spans="1:22" x14ac:dyDescent="0.35">
      <c r="A3885">
        <v>13884</v>
      </c>
      <c r="B3885" s="1">
        <v>48445</v>
      </c>
      <c r="C3885">
        <v>1568</v>
      </c>
      <c r="D3885" t="s">
        <v>67</v>
      </c>
      <c r="E3885" t="s">
        <v>70</v>
      </c>
      <c r="F3885">
        <v>6</v>
      </c>
      <c r="G3885" s="2">
        <v>331.35</v>
      </c>
      <c r="H3885">
        <v>0.21</v>
      </c>
      <c r="I3885" t="s">
        <v>71</v>
      </c>
      <c r="J3885">
        <v>7</v>
      </c>
      <c r="K3885">
        <v>1.6</v>
      </c>
      <c r="L3885" s="2">
        <v>1570.6</v>
      </c>
      <c r="M3885">
        <v>2032</v>
      </c>
      <c r="N3885">
        <v>8</v>
      </c>
      <c r="O3885" t="s">
        <v>207</v>
      </c>
      <c r="P3885" s="2">
        <v>1988.1</v>
      </c>
      <c r="Q3885" s="2">
        <v>417.5</v>
      </c>
      <c r="R3885" t="s">
        <v>77</v>
      </c>
      <c r="S3885">
        <v>1</v>
      </c>
      <c r="T3885">
        <v>0</v>
      </c>
      <c r="U3885">
        <f>IF(AND(OR(Dashboard!$D$4="Semua",D3885=Dashboard!$D$4),OR(Dashboard!$H$4="Semua",E3885=Dashboard!$H$4)),1,0)</f>
        <v>1</v>
      </c>
      <c r="V3885">
        <f>IF(U3885=1,IF(COUNTIFS($C$2:C3885,C3885,$U$2:U3885,1)=1,1,0),0)</f>
        <v>0</v>
      </c>
    </row>
    <row r="3886" spans="1:22" x14ac:dyDescent="0.35">
      <c r="A3886">
        <v>13885</v>
      </c>
      <c r="B3886" s="1">
        <v>48446</v>
      </c>
      <c r="C3886">
        <v>1542</v>
      </c>
      <c r="D3886" t="s">
        <v>73</v>
      </c>
      <c r="E3886" t="s">
        <v>78</v>
      </c>
      <c r="F3886">
        <v>4</v>
      </c>
      <c r="G3886" s="2">
        <v>424.48</v>
      </c>
      <c r="H3886">
        <v>0.15</v>
      </c>
      <c r="I3886" t="s">
        <v>64</v>
      </c>
      <c r="J3886">
        <v>3</v>
      </c>
      <c r="K3886">
        <v>4.7</v>
      </c>
      <c r="L3886" s="2">
        <v>1443.23</v>
      </c>
      <c r="M3886">
        <v>2032</v>
      </c>
      <c r="N3886">
        <v>8</v>
      </c>
      <c r="O3886" t="s">
        <v>207</v>
      </c>
      <c r="P3886" s="2">
        <v>1697.92</v>
      </c>
      <c r="Q3886" s="2">
        <v>254.69</v>
      </c>
      <c r="R3886" t="s">
        <v>79</v>
      </c>
      <c r="S3886">
        <v>1</v>
      </c>
      <c r="T3886">
        <v>0</v>
      </c>
      <c r="U3886">
        <f>IF(AND(OR(Dashboard!$D$4="Semua",D3886=Dashboard!$D$4),OR(Dashboard!$H$4="Semua",E3886=Dashboard!$H$4)),1,0)</f>
        <v>1</v>
      </c>
      <c r="V3886">
        <f>IF(U3886=1,IF(COUNTIFS($C$2:C3886,C3886,$U$2:U3886,1)=1,1,0),0)</f>
        <v>0</v>
      </c>
    </row>
    <row r="3887" spans="1:22" x14ac:dyDescent="0.35">
      <c r="A3887">
        <v>13886</v>
      </c>
      <c r="B3887" s="1">
        <v>48447</v>
      </c>
      <c r="C3887">
        <v>1595</v>
      </c>
      <c r="D3887" t="s">
        <v>62</v>
      </c>
      <c r="E3887" t="s">
        <v>74</v>
      </c>
      <c r="F3887">
        <v>7</v>
      </c>
      <c r="G3887" s="2">
        <v>499.44</v>
      </c>
      <c r="H3887">
        <v>0.16</v>
      </c>
      <c r="I3887" t="s">
        <v>64</v>
      </c>
      <c r="J3887">
        <v>2</v>
      </c>
      <c r="K3887">
        <v>2.7</v>
      </c>
      <c r="L3887" s="2">
        <v>2936.71</v>
      </c>
      <c r="M3887">
        <v>2032</v>
      </c>
      <c r="N3887">
        <v>8</v>
      </c>
      <c r="O3887" t="s">
        <v>207</v>
      </c>
      <c r="P3887" s="2">
        <v>3496.08</v>
      </c>
      <c r="Q3887" s="2">
        <v>559.37</v>
      </c>
      <c r="R3887" t="s">
        <v>76</v>
      </c>
      <c r="S3887">
        <v>1</v>
      </c>
      <c r="T3887">
        <v>0</v>
      </c>
      <c r="U3887">
        <f>IF(AND(OR(Dashboard!$D$4="Semua",D3887=Dashboard!$D$4),OR(Dashboard!$H$4="Semua",E3887=Dashboard!$H$4)),1,0)</f>
        <v>1</v>
      </c>
      <c r="V3887">
        <f>IF(U3887=1,IF(COUNTIFS($C$2:C3887,C3887,$U$2:U3887,1)=1,1,0),0)</f>
        <v>0</v>
      </c>
    </row>
    <row r="3888" spans="1:22" x14ac:dyDescent="0.35">
      <c r="A3888">
        <v>13887</v>
      </c>
      <c r="B3888" s="1">
        <v>48448</v>
      </c>
      <c r="C3888">
        <v>1663</v>
      </c>
      <c r="D3888" t="s">
        <v>73</v>
      </c>
      <c r="E3888" t="s">
        <v>70</v>
      </c>
      <c r="F3888">
        <v>4</v>
      </c>
      <c r="G3888" s="2">
        <v>478.05</v>
      </c>
      <c r="H3888">
        <v>0.31</v>
      </c>
      <c r="I3888" t="s">
        <v>68</v>
      </c>
      <c r="J3888">
        <v>7</v>
      </c>
      <c r="K3888">
        <v>1.9</v>
      </c>
      <c r="L3888" s="2">
        <v>1319.42</v>
      </c>
      <c r="M3888">
        <v>2032</v>
      </c>
      <c r="N3888">
        <v>8</v>
      </c>
      <c r="O3888" t="s">
        <v>207</v>
      </c>
      <c r="P3888" s="2">
        <v>1912.2</v>
      </c>
      <c r="Q3888" s="2">
        <v>592.78</v>
      </c>
      <c r="R3888" t="s">
        <v>72</v>
      </c>
      <c r="S3888">
        <v>1</v>
      </c>
      <c r="T3888">
        <v>0</v>
      </c>
      <c r="U3888">
        <f>IF(AND(OR(Dashboard!$D$4="Semua",D3888=Dashboard!$D$4),OR(Dashboard!$H$4="Semua",E3888=Dashboard!$H$4)),1,0)</f>
        <v>1</v>
      </c>
      <c r="V3888">
        <f>IF(U3888=1,IF(COUNTIFS($C$2:C3888,C3888,$U$2:U3888,1)=1,1,0),0)</f>
        <v>0</v>
      </c>
    </row>
    <row r="3889" spans="1:22" x14ac:dyDescent="0.35">
      <c r="A3889">
        <v>13888</v>
      </c>
      <c r="B3889" s="1">
        <v>48449</v>
      </c>
      <c r="C3889">
        <v>1984</v>
      </c>
      <c r="D3889" t="s">
        <v>67</v>
      </c>
      <c r="E3889" t="s">
        <v>63</v>
      </c>
      <c r="F3889">
        <v>4</v>
      </c>
      <c r="G3889" s="2">
        <v>531.32000000000005</v>
      </c>
      <c r="H3889">
        <v>0.06</v>
      </c>
      <c r="I3889" t="s">
        <v>64</v>
      </c>
      <c r="J3889">
        <v>3</v>
      </c>
      <c r="K3889">
        <v>4.2</v>
      </c>
      <c r="L3889" s="2">
        <v>1997.76</v>
      </c>
      <c r="M3889">
        <v>2032</v>
      </c>
      <c r="N3889">
        <v>8</v>
      </c>
      <c r="O3889" t="s">
        <v>207</v>
      </c>
      <c r="P3889" s="2">
        <v>2125.2800000000002</v>
      </c>
      <c r="Q3889" s="2">
        <v>127.52</v>
      </c>
      <c r="R3889" t="s">
        <v>69</v>
      </c>
      <c r="S3889">
        <v>1</v>
      </c>
      <c r="T3889">
        <v>0</v>
      </c>
      <c r="U3889">
        <f>IF(AND(OR(Dashboard!$D$4="Semua",D3889=Dashboard!$D$4),OR(Dashboard!$H$4="Semua",E3889=Dashboard!$H$4)),1,0)</f>
        <v>1</v>
      </c>
      <c r="V3889">
        <f>IF(U3889=1,IF(COUNTIFS($C$2:C3889,C3889,$U$2:U3889,1)=1,1,0),0)</f>
        <v>0</v>
      </c>
    </row>
    <row r="3890" spans="1:22" x14ac:dyDescent="0.35">
      <c r="A3890">
        <v>13889</v>
      </c>
      <c r="B3890" s="1">
        <v>48450</v>
      </c>
      <c r="C3890">
        <v>1547</v>
      </c>
      <c r="D3890" t="s">
        <v>67</v>
      </c>
      <c r="E3890" t="s">
        <v>70</v>
      </c>
      <c r="F3890">
        <v>2</v>
      </c>
      <c r="G3890" s="2">
        <v>580.84</v>
      </c>
      <c r="H3890">
        <v>0.04</v>
      </c>
      <c r="I3890" t="s">
        <v>64</v>
      </c>
      <c r="J3890">
        <v>5</v>
      </c>
      <c r="K3890">
        <v>4.8</v>
      </c>
      <c r="L3890" s="2">
        <v>1115.21</v>
      </c>
      <c r="M3890">
        <v>2032</v>
      </c>
      <c r="N3890">
        <v>8</v>
      </c>
      <c r="O3890" t="s">
        <v>207</v>
      </c>
      <c r="P3890" s="2">
        <v>1161.68</v>
      </c>
      <c r="Q3890" s="2">
        <v>46.47</v>
      </c>
      <c r="R3890" t="s">
        <v>75</v>
      </c>
      <c r="S3890">
        <v>1</v>
      </c>
      <c r="T3890">
        <v>0</v>
      </c>
      <c r="U3890">
        <f>IF(AND(OR(Dashboard!$D$4="Semua",D3890=Dashboard!$D$4),OR(Dashboard!$H$4="Semua",E3890=Dashboard!$H$4)),1,0)</f>
        <v>1</v>
      </c>
      <c r="V3890">
        <f>IF(U3890=1,IF(COUNTIFS($C$2:C3890,C3890,$U$2:U3890,1)=1,1,0),0)</f>
        <v>0</v>
      </c>
    </row>
    <row r="3891" spans="1:22" x14ac:dyDescent="0.35">
      <c r="A3891">
        <v>13890</v>
      </c>
      <c r="B3891" s="1">
        <v>48451</v>
      </c>
      <c r="C3891">
        <v>1724</v>
      </c>
      <c r="D3891" t="s">
        <v>73</v>
      </c>
      <c r="E3891" t="s">
        <v>78</v>
      </c>
      <c r="F3891">
        <v>6</v>
      </c>
      <c r="G3891" s="2">
        <v>271.86</v>
      </c>
      <c r="H3891">
        <v>0</v>
      </c>
      <c r="I3891" t="s">
        <v>68</v>
      </c>
      <c r="J3891">
        <v>7</v>
      </c>
      <c r="K3891">
        <v>4.7</v>
      </c>
      <c r="L3891" s="2">
        <v>1631.16</v>
      </c>
      <c r="M3891">
        <v>2032</v>
      </c>
      <c r="N3891">
        <v>8</v>
      </c>
      <c r="O3891" t="s">
        <v>207</v>
      </c>
      <c r="P3891" s="2">
        <v>1631.16</v>
      </c>
      <c r="Q3891" s="2">
        <v>0</v>
      </c>
      <c r="R3891" t="s">
        <v>75</v>
      </c>
      <c r="S3891">
        <v>1</v>
      </c>
      <c r="T3891">
        <v>0</v>
      </c>
      <c r="U3891">
        <f>IF(AND(OR(Dashboard!$D$4="Semua",D3891=Dashboard!$D$4),OR(Dashboard!$H$4="Semua",E3891=Dashboard!$H$4)),1,0)</f>
        <v>1</v>
      </c>
      <c r="V3891">
        <f>IF(U3891=1,IF(COUNTIFS($C$2:C3891,C3891,$U$2:U3891,1)=1,1,0),0)</f>
        <v>0</v>
      </c>
    </row>
    <row r="3892" spans="1:22" x14ac:dyDescent="0.35">
      <c r="A3892">
        <v>13891</v>
      </c>
      <c r="B3892" s="1">
        <v>48452</v>
      </c>
      <c r="C3892">
        <v>1925</v>
      </c>
      <c r="D3892" t="s">
        <v>73</v>
      </c>
      <c r="E3892" t="s">
        <v>78</v>
      </c>
      <c r="F3892">
        <v>1</v>
      </c>
      <c r="G3892" s="2">
        <v>570.95000000000005</v>
      </c>
      <c r="H3892">
        <v>0.11</v>
      </c>
      <c r="I3892" t="s">
        <v>71</v>
      </c>
      <c r="J3892">
        <v>2</v>
      </c>
      <c r="K3892">
        <v>2</v>
      </c>
      <c r="L3892" s="2">
        <v>508.15</v>
      </c>
      <c r="M3892">
        <v>2032</v>
      </c>
      <c r="N3892">
        <v>8</v>
      </c>
      <c r="O3892" t="s">
        <v>207</v>
      </c>
      <c r="P3892" s="2">
        <v>570.95000000000005</v>
      </c>
      <c r="Q3892" s="2">
        <v>62.8</v>
      </c>
      <c r="R3892" t="s">
        <v>79</v>
      </c>
      <c r="S3892">
        <v>1</v>
      </c>
      <c r="T3892">
        <v>0</v>
      </c>
      <c r="U3892">
        <f>IF(AND(OR(Dashboard!$D$4="Semua",D3892=Dashboard!$D$4),OR(Dashboard!$H$4="Semua",E3892=Dashboard!$H$4)),1,0)</f>
        <v>1</v>
      </c>
      <c r="V3892">
        <f>IF(U3892=1,IF(COUNTIFS($C$2:C3892,C3892,$U$2:U3892,1)=1,1,0),0)</f>
        <v>0</v>
      </c>
    </row>
    <row r="3893" spans="1:22" x14ac:dyDescent="0.35">
      <c r="A3893">
        <v>13892</v>
      </c>
      <c r="B3893" s="1">
        <v>48453</v>
      </c>
      <c r="C3893">
        <v>1407</v>
      </c>
      <c r="D3893" t="s">
        <v>73</v>
      </c>
      <c r="E3893" t="s">
        <v>78</v>
      </c>
      <c r="F3893">
        <v>6</v>
      </c>
      <c r="G3893" s="2">
        <v>438.12</v>
      </c>
      <c r="H3893">
        <v>0.05</v>
      </c>
      <c r="I3893" t="s">
        <v>68</v>
      </c>
      <c r="J3893">
        <v>8</v>
      </c>
      <c r="K3893">
        <v>3.7</v>
      </c>
      <c r="L3893" s="2">
        <v>2497.2800000000002</v>
      </c>
      <c r="M3893">
        <v>2032</v>
      </c>
      <c r="N3893">
        <v>8</v>
      </c>
      <c r="O3893" t="s">
        <v>207</v>
      </c>
      <c r="P3893" s="2">
        <v>2628.72</v>
      </c>
      <c r="Q3893" s="2">
        <v>131.44</v>
      </c>
      <c r="R3893" t="s">
        <v>75</v>
      </c>
      <c r="S3893">
        <v>1</v>
      </c>
      <c r="T3893">
        <v>0</v>
      </c>
      <c r="U3893">
        <f>IF(AND(OR(Dashboard!$D$4="Semua",D3893=Dashboard!$D$4),OR(Dashboard!$H$4="Semua",E3893=Dashboard!$H$4)),1,0)</f>
        <v>1</v>
      </c>
      <c r="V3893">
        <f>IF(U3893=1,IF(COUNTIFS($C$2:C3893,C3893,$U$2:U3893,1)=1,1,0),0)</f>
        <v>0</v>
      </c>
    </row>
    <row r="3894" spans="1:22" x14ac:dyDescent="0.35">
      <c r="A3894">
        <v>13893</v>
      </c>
      <c r="B3894" s="1">
        <v>48454</v>
      </c>
      <c r="C3894">
        <v>1875</v>
      </c>
      <c r="D3894" t="s">
        <v>80</v>
      </c>
      <c r="E3894" t="s">
        <v>70</v>
      </c>
      <c r="F3894">
        <v>6</v>
      </c>
      <c r="G3894" s="2">
        <v>56.34</v>
      </c>
      <c r="H3894">
        <v>0.08</v>
      </c>
      <c r="I3894" t="s">
        <v>71</v>
      </c>
      <c r="J3894">
        <v>2</v>
      </c>
      <c r="K3894">
        <v>3.2</v>
      </c>
      <c r="L3894" s="2">
        <v>311</v>
      </c>
      <c r="M3894">
        <v>2032</v>
      </c>
      <c r="N3894">
        <v>8</v>
      </c>
      <c r="O3894" t="s">
        <v>207</v>
      </c>
      <c r="P3894" s="2">
        <v>338.04</v>
      </c>
      <c r="Q3894" s="2">
        <v>27.04</v>
      </c>
      <c r="R3894" t="s">
        <v>69</v>
      </c>
      <c r="S3894">
        <v>1</v>
      </c>
      <c r="T3894">
        <v>0</v>
      </c>
      <c r="U3894">
        <f>IF(AND(OR(Dashboard!$D$4="Semua",D3894=Dashboard!$D$4),OR(Dashboard!$H$4="Semua",E3894=Dashboard!$H$4)),1,0)</f>
        <v>1</v>
      </c>
      <c r="V3894">
        <f>IF(U3894=1,IF(COUNTIFS($C$2:C3894,C3894,$U$2:U3894,1)=1,1,0),0)</f>
        <v>0</v>
      </c>
    </row>
    <row r="3895" spans="1:22" x14ac:dyDescent="0.35">
      <c r="A3895">
        <v>13894</v>
      </c>
      <c r="B3895" s="1">
        <v>48455</v>
      </c>
      <c r="C3895">
        <v>1617</v>
      </c>
      <c r="D3895" t="s">
        <v>62</v>
      </c>
      <c r="E3895" t="s">
        <v>74</v>
      </c>
      <c r="F3895">
        <v>6</v>
      </c>
      <c r="G3895" s="2">
        <v>413.84</v>
      </c>
      <c r="H3895">
        <v>0</v>
      </c>
      <c r="I3895" t="s">
        <v>71</v>
      </c>
      <c r="J3895">
        <v>4</v>
      </c>
      <c r="K3895">
        <v>3.9</v>
      </c>
      <c r="L3895" s="2">
        <v>2483.04</v>
      </c>
      <c r="M3895">
        <v>2032</v>
      </c>
      <c r="N3895">
        <v>8</v>
      </c>
      <c r="O3895" t="s">
        <v>207</v>
      </c>
      <c r="P3895" s="2">
        <v>2483.04</v>
      </c>
      <c r="Q3895" s="2">
        <v>0</v>
      </c>
      <c r="R3895" t="s">
        <v>75</v>
      </c>
      <c r="S3895">
        <v>1</v>
      </c>
      <c r="T3895">
        <v>0</v>
      </c>
      <c r="U3895">
        <f>IF(AND(OR(Dashboard!$D$4="Semua",D3895=Dashboard!$D$4),OR(Dashboard!$H$4="Semua",E3895=Dashboard!$H$4)),1,0)</f>
        <v>1</v>
      </c>
      <c r="V3895">
        <f>IF(U3895=1,IF(COUNTIFS($C$2:C3895,C3895,$U$2:U3895,1)=1,1,0),0)</f>
        <v>0</v>
      </c>
    </row>
    <row r="3896" spans="1:22" x14ac:dyDescent="0.35">
      <c r="A3896">
        <v>13895</v>
      </c>
      <c r="B3896" s="1">
        <v>48456</v>
      </c>
      <c r="C3896">
        <v>1413</v>
      </c>
      <c r="D3896" t="s">
        <v>73</v>
      </c>
      <c r="E3896" t="s">
        <v>63</v>
      </c>
      <c r="F3896">
        <v>3</v>
      </c>
      <c r="G3896" s="2">
        <v>416.73</v>
      </c>
      <c r="H3896">
        <v>0.08</v>
      </c>
      <c r="I3896" t="s">
        <v>68</v>
      </c>
      <c r="J3896">
        <v>4</v>
      </c>
      <c r="K3896">
        <v>2.9</v>
      </c>
      <c r="L3896" s="2">
        <v>1150.17</v>
      </c>
      <c r="M3896">
        <v>2032</v>
      </c>
      <c r="N3896">
        <v>8</v>
      </c>
      <c r="O3896" t="s">
        <v>207</v>
      </c>
      <c r="P3896" s="2">
        <v>1250.19</v>
      </c>
      <c r="Q3896" s="2">
        <v>100.02</v>
      </c>
      <c r="R3896" t="s">
        <v>69</v>
      </c>
      <c r="S3896">
        <v>1</v>
      </c>
      <c r="T3896">
        <v>0</v>
      </c>
      <c r="U3896">
        <f>IF(AND(OR(Dashboard!$D$4="Semua",D3896=Dashboard!$D$4),OR(Dashboard!$H$4="Semua",E3896=Dashboard!$H$4)),1,0)</f>
        <v>1</v>
      </c>
      <c r="V3896">
        <f>IF(U3896=1,IF(COUNTIFS($C$2:C3896,C3896,$U$2:U3896,1)=1,1,0),0)</f>
        <v>0</v>
      </c>
    </row>
    <row r="3897" spans="1:22" x14ac:dyDescent="0.35">
      <c r="A3897">
        <v>13896</v>
      </c>
      <c r="B3897" s="1">
        <v>48457</v>
      </c>
      <c r="C3897">
        <v>1341</v>
      </c>
      <c r="D3897" t="s">
        <v>80</v>
      </c>
      <c r="E3897" t="s">
        <v>78</v>
      </c>
      <c r="F3897">
        <v>1</v>
      </c>
      <c r="G3897" s="2">
        <v>544.92999999999995</v>
      </c>
      <c r="H3897">
        <v>0.12</v>
      </c>
      <c r="I3897" t="s">
        <v>71</v>
      </c>
      <c r="J3897">
        <v>8</v>
      </c>
      <c r="K3897">
        <v>2.9</v>
      </c>
      <c r="L3897" s="2">
        <v>479.54</v>
      </c>
      <c r="M3897">
        <v>2032</v>
      </c>
      <c r="N3897">
        <v>8</v>
      </c>
      <c r="O3897" t="s">
        <v>207</v>
      </c>
      <c r="P3897" s="2">
        <v>544.92999999999995</v>
      </c>
      <c r="Q3897" s="2">
        <v>65.39</v>
      </c>
      <c r="R3897" t="s">
        <v>79</v>
      </c>
      <c r="S3897">
        <v>1</v>
      </c>
      <c r="T3897">
        <v>0</v>
      </c>
      <c r="U3897">
        <f>IF(AND(OR(Dashboard!$D$4="Semua",D3897=Dashboard!$D$4),OR(Dashboard!$H$4="Semua",E3897=Dashboard!$H$4)),1,0)</f>
        <v>1</v>
      </c>
      <c r="V3897">
        <f>IF(U3897=1,IF(COUNTIFS($C$2:C3897,C3897,$U$2:U3897,1)=1,1,0),0)</f>
        <v>0</v>
      </c>
    </row>
    <row r="3898" spans="1:22" x14ac:dyDescent="0.35">
      <c r="A3898">
        <v>13897</v>
      </c>
      <c r="B3898" s="1">
        <v>48458</v>
      </c>
      <c r="C3898">
        <v>1219</v>
      </c>
      <c r="D3898" t="s">
        <v>73</v>
      </c>
      <c r="E3898" t="s">
        <v>74</v>
      </c>
      <c r="F3898">
        <v>3</v>
      </c>
      <c r="G3898" s="2">
        <v>233.17</v>
      </c>
      <c r="H3898">
        <v>0.01</v>
      </c>
      <c r="I3898" t="s">
        <v>68</v>
      </c>
      <c r="J3898">
        <v>11</v>
      </c>
      <c r="K3898">
        <v>4.5</v>
      </c>
      <c r="L3898" s="2">
        <v>692.51</v>
      </c>
      <c r="M3898">
        <v>2032</v>
      </c>
      <c r="N3898">
        <v>9</v>
      </c>
      <c r="O3898" t="s">
        <v>208</v>
      </c>
      <c r="P3898" s="2">
        <v>699.51</v>
      </c>
      <c r="Q3898" s="2">
        <v>7</v>
      </c>
      <c r="R3898" t="s">
        <v>75</v>
      </c>
      <c r="S3898">
        <v>1</v>
      </c>
      <c r="T3898">
        <v>0</v>
      </c>
      <c r="U3898">
        <f>IF(AND(OR(Dashboard!$D$4="Semua",D3898=Dashboard!$D$4),OR(Dashboard!$H$4="Semua",E3898=Dashboard!$H$4)),1,0)</f>
        <v>1</v>
      </c>
      <c r="V3898">
        <f>IF(U3898=1,IF(COUNTIFS($C$2:C3898,C3898,$U$2:U3898,1)=1,1,0),0)</f>
        <v>0</v>
      </c>
    </row>
    <row r="3899" spans="1:22" x14ac:dyDescent="0.35">
      <c r="A3899">
        <v>13898</v>
      </c>
      <c r="B3899" s="1">
        <v>48459</v>
      </c>
      <c r="C3899">
        <v>1902</v>
      </c>
      <c r="D3899" t="s">
        <v>67</v>
      </c>
      <c r="E3899" t="s">
        <v>63</v>
      </c>
      <c r="F3899">
        <v>2</v>
      </c>
      <c r="G3899" s="2">
        <v>357.17</v>
      </c>
      <c r="H3899">
        <v>0.21</v>
      </c>
      <c r="I3899" t="s">
        <v>64</v>
      </c>
      <c r="J3899">
        <v>1</v>
      </c>
      <c r="K3899">
        <v>4.5</v>
      </c>
      <c r="L3899" s="2">
        <v>564.33000000000004</v>
      </c>
      <c r="M3899">
        <v>2032</v>
      </c>
      <c r="N3899">
        <v>9</v>
      </c>
      <c r="O3899" t="s">
        <v>208</v>
      </c>
      <c r="P3899" s="2">
        <v>714.34</v>
      </c>
      <c r="Q3899" s="2">
        <v>150.01</v>
      </c>
      <c r="R3899" t="s">
        <v>77</v>
      </c>
      <c r="S3899">
        <v>1</v>
      </c>
      <c r="T3899">
        <v>0</v>
      </c>
      <c r="U3899">
        <f>IF(AND(OR(Dashboard!$D$4="Semua",D3899=Dashboard!$D$4),OR(Dashboard!$H$4="Semua",E3899=Dashboard!$H$4)),1,0)</f>
        <v>1</v>
      </c>
      <c r="V3899">
        <f>IF(U3899=1,IF(COUNTIFS($C$2:C3899,C3899,$U$2:U3899,1)=1,1,0),0)</f>
        <v>0</v>
      </c>
    </row>
    <row r="3900" spans="1:22" x14ac:dyDescent="0.35">
      <c r="A3900">
        <v>13899</v>
      </c>
      <c r="B3900" s="1">
        <v>48460</v>
      </c>
      <c r="C3900">
        <v>1162</v>
      </c>
      <c r="D3900" t="s">
        <v>73</v>
      </c>
      <c r="E3900" t="s">
        <v>78</v>
      </c>
      <c r="F3900">
        <v>2</v>
      </c>
      <c r="G3900" s="2">
        <v>22.13</v>
      </c>
      <c r="H3900">
        <v>0.2</v>
      </c>
      <c r="I3900" t="s">
        <v>68</v>
      </c>
      <c r="J3900">
        <v>9</v>
      </c>
      <c r="K3900">
        <v>4.2</v>
      </c>
      <c r="L3900" s="2">
        <v>35.409999999999997</v>
      </c>
      <c r="M3900">
        <v>2032</v>
      </c>
      <c r="N3900">
        <v>9</v>
      </c>
      <c r="O3900" t="s">
        <v>208</v>
      </c>
      <c r="P3900" s="2">
        <v>44.26</v>
      </c>
      <c r="Q3900" s="2">
        <v>8.85</v>
      </c>
      <c r="R3900" t="s">
        <v>76</v>
      </c>
      <c r="S3900">
        <v>1</v>
      </c>
      <c r="T3900">
        <v>0</v>
      </c>
      <c r="U3900">
        <f>IF(AND(OR(Dashboard!$D$4="Semua",D3900=Dashboard!$D$4),OR(Dashboard!$H$4="Semua",E3900=Dashboard!$H$4)),1,0)</f>
        <v>1</v>
      </c>
      <c r="V3900">
        <f>IF(U3900=1,IF(COUNTIFS($C$2:C3900,C3900,$U$2:U3900,1)=1,1,0),0)</f>
        <v>0</v>
      </c>
    </row>
    <row r="3901" spans="1:22" x14ac:dyDescent="0.35">
      <c r="A3901">
        <v>13900</v>
      </c>
      <c r="B3901" s="1">
        <v>48461</v>
      </c>
      <c r="C3901">
        <v>1950</v>
      </c>
      <c r="D3901" t="s">
        <v>62</v>
      </c>
      <c r="E3901" t="s">
        <v>63</v>
      </c>
      <c r="F3901">
        <v>5</v>
      </c>
      <c r="G3901" s="2">
        <v>209.26</v>
      </c>
      <c r="H3901">
        <v>0.03</v>
      </c>
      <c r="I3901" t="s">
        <v>71</v>
      </c>
      <c r="J3901">
        <v>6</v>
      </c>
      <c r="K3901">
        <v>3.8</v>
      </c>
      <c r="L3901" s="2">
        <v>1014.91</v>
      </c>
      <c r="M3901">
        <v>2032</v>
      </c>
      <c r="N3901">
        <v>9</v>
      </c>
      <c r="O3901" t="s">
        <v>208</v>
      </c>
      <c r="P3901" s="2">
        <v>1046.3</v>
      </c>
      <c r="Q3901" s="2">
        <v>31.39</v>
      </c>
      <c r="R3901" t="s">
        <v>75</v>
      </c>
      <c r="S3901">
        <v>1</v>
      </c>
      <c r="T3901">
        <v>0</v>
      </c>
      <c r="U3901">
        <f>IF(AND(OR(Dashboard!$D$4="Semua",D3901=Dashboard!$D$4),OR(Dashboard!$H$4="Semua",E3901=Dashboard!$H$4)),1,0)</f>
        <v>1</v>
      </c>
      <c r="V3901">
        <f>IF(U3901=1,IF(COUNTIFS($C$2:C3901,C3901,$U$2:U3901,1)=1,1,0),0)</f>
        <v>0</v>
      </c>
    </row>
    <row r="3902" spans="1:22" x14ac:dyDescent="0.35">
      <c r="A3902">
        <v>13901</v>
      </c>
      <c r="B3902" s="1">
        <v>48462</v>
      </c>
      <c r="C3902">
        <v>1219</v>
      </c>
      <c r="D3902" t="s">
        <v>80</v>
      </c>
      <c r="E3902" t="s">
        <v>63</v>
      </c>
      <c r="F3902">
        <v>5</v>
      </c>
      <c r="G3902" s="2">
        <v>51.41</v>
      </c>
      <c r="H3902">
        <v>0.21</v>
      </c>
      <c r="I3902" t="s">
        <v>68</v>
      </c>
      <c r="J3902">
        <v>4</v>
      </c>
      <c r="K3902">
        <v>3.7</v>
      </c>
      <c r="L3902" s="2">
        <v>203.07</v>
      </c>
      <c r="M3902">
        <v>2032</v>
      </c>
      <c r="N3902">
        <v>9</v>
      </c>
      <c r="O3902" t="s">
        <v>208</v>
      </c>
      <c r="P3902" s="2">
        <v>257.05</v>
      </c>
      <c r="Q3902" s="2">
        <v>53.98</v>
      </c>
      <c r="R3902" t="s">
        <v>77</v>
      </c>
      <c r="S3902">
        <v>1</v>
      </c>
      <c r="T3902">
        <v>0</v>
      </c>
      <c r="U3902">
        <f>IF(AND(OR(Dashboard!$D$4="Semua",D3902=Dashboard!$D$4),OR(Dashboard!$H$4="Semua",E3902=Dashboard!$H$4)),1,0)</f>
        <v>1</v>
      </c>
      <c r="V3902">
        <f>IF(U3902=1,IF(COUNTIFS($C$2:C3902,C3902,$U$2:U3902,1)=1,1,0),0)</f>
        <v>0</v>
      </c>
    </row>
    <row r="3903" spans="1:22" x14ac:dyDescent="0.35">
      <c r="A3903">
        <v>13902</v>
      </c>
      <c r="B3903" s="1">
        <v>48463</v>
      </c>
      <c r="C3903">
        <v>1269</v>
      </c>
      <c r="D3903" t="s">
        <v>80</v>
      </c>
      <c r="E3903" t="s">
        <v>74</v>
      </c>
      <c r="F3903">
        <v>2</v>
      </c>
      <c r="G3903" s="2">
        <v>320.3</v>
      </c>
      <c r="H3903">
        <v>0.35</v>
      </c>
      <c r="I3903" t="s">
        <v>68</v>
      </c>
      <c r="J3903">
        <v>6</v>
      </c>
      <c r="K3903">
        <v>1.2</v>
      </c>
      <c r="L3903" s="2">
        <v>416.39</v>
      </c>
      <c r="M3903">
        <v>2032</v>
      </c>
      <c r="N3903">
        <v>9</v>
      </c>
      <c r="O3903" t="s">
        <v>208</v>
      </c>
      <c r="P3903" s="2">
        <v>640.6</v>
      </c>
      <c r="Q3903" s="2">
        <v>224.21</v>
      </c>
      <c r="R3903" t="s">
        <v>72</v>
      </c>
      <c r="S3903">
        <v>1</v>
      </c>
      <c r="T3903">
        <v>0</v>
      </c>
      <c r="U3903">
        <f>IF(AND(OR(Dashboard!$D$4="Semua",D3903=Dashboard!$D$4),OR(Dashboard!$H$4="Semua",E3903=Dashboard!$H$4)),1,0)</f>
        <v>1</v>
      </c>
      <c r="V3903">
        <f>IF(U3903=1,IF(COUNTIFS($C$2:C3903,C3903,$U$2:U3903,1)=1,1,0),0)</f>
        <v>0</v>
      </c>
    </row>
    <row r="3904" spans="1:22" x14ac:dyDescent="0.35">
      <c r="A3904">
        <v>13903</v>
      </c>
      <c r="B3904" s="1">
        <v>48464</v>
      </c>
      <c r="C3904">
        <v>1631</v>
      </c>
      <c r="D3904" t="s">
        <v>80</v>
      </c>
      <c r="E3904" t="s">
        <v>63</v>
      </c>
      <c r="F3904">
        <v>2</v>
      </c>
      <c r="G3904" s="2">
        <v>493.21</v>
      </c>
      <c r="H3904">
        <v>0.33</v>
      </c>
      <c r="I3904" t="s">
        <v>71</v>
      </c>
      <c r="J3904">
        <v>6</v>
      </c>
      <c r="K3904">
        <v>4</v>
      </c>
      <c r="L3904" s="2">
        <v>660.9</v>
      </c>
      <c r="M3904">
        <v>2032</v>
      </c>
      <c r="N3904">
        <v>9</v>
      </c>
      <c r="O3904" t="s">
        <v>208</v>
      </c>
      <c r="P3904" s="2">
        <v>986.42</v>
      </c>
      <c r="Q3904" s="2">
        <v>325.52</v>
      </c>
      <c r="R3904" t="s">
        <v>72</v>
      </c>
      <c r="S3904">
        <v>1</v>
      </c>
      <c r="T3904">
        <v>0</v>
      </c>
      <c r="U3904">
        <f>IF(AND(OR(Dashboard!$D$4="Semua",D3904=Dashboard!$D$4),OR(Dashboard!$H$4="Semua",E3904=Dashboard!$H$4)),1,0)</f>
        <v>1</v>
      </c>
      <c r="V3904">
        <f>IF(U3904=1,IF(COUNTIFS($C$2:C3904,C3904,$U$2:U3904,1)=1,1,0),0)</f>
        <v>0</v>
      </c>
    </row>
    <row r="3905" spans="1:22" x14ac:dyDescent="0.35">
      <c r="A3905">
        <v>13904</v>
      </c>
      <c r="B3905" s="1">
        <v>48465</v>
      </c>
      <c r="C3905">
        <v>1905</v>
      </c>
      <c r="D3905" t="s">
        <v>67</v>
      </c>
      <c r="E3905" t="s">
        <v>78</v>
      </c>
      <c r="F3905">
        <v>3</v>
      </c>
      <c r="G3905" s="2">
        <v>135.77000000000001</v>
      </c>
      <c r="H3905">
        <v>0</v>
      </c>
      <c r="I3905" t="s">
        <v>68</v>
      </c>
      <c r="J3905">
        <v>9</v>
      </c>
      <c r="K3905">
        <v>3.6</v>
      </c>
      <c r="L3905" s="2">
        <v>407.31</v>
      </c>
      <c r="M3905">
        <v>2032</v>
      </c>
      <c r="N3905">
        <v>9</v>
      </c>
      <c r="O3905" t="s">
        <v>208</v>
      </c>
      <c r="P3905" s="2">
        <v>407.31</v>
      </c>
      <c r="Q3905" s="2">
        <v>0</v>
      </c>
      <c r="R3905" t="s">
        <v>75</v>
      </c>
      <c r="S3905">
        <v>1</v>
      </c>
      <c r="T3905">
        <v>0</v>
      </c>
      <c r="U3905">
        <f>IF(AND(OR(Dashboard!$D$4="Semua",D3905=Dashboard!$D$4),OR(Dashboard!$H$4="Semua",E3905=Dashboard!$H$4)),1,0)</f>
        <v>1</v>
      </c>
      <c r="V3905">
        <f>IF(U3905=1,IF(COUNTIFS($C$2:C3905,C3905,$U$2:U3905,1)=1,1,0),0)</f>
        <v>0</v>
      </c>
    </row>
    <row r="3906" spans="1:22" x14ac:dyDescent="0.35">
      <c r="A3906">
        <v>13905</v>
      </c>
      <c r="B3906" s="1">
        <v>48466</v>
      </c>
      <c r="C3906">
        <v>1847</v>
      </c>
      <c r="D3906" t="s">
        <v>62</v>
      </c>
      <c r="E3906" t="s">
        <v>74</v>
      </c>
      <c r="F3906">
        <v>2</v>
      </c>
      <c r="G3906" s="2">
        <v>323.55</v>
      </c>
      <c r="H3906">
        <v>0.28000000000000003</v>
      </c>
      <c r="I3906" t="s">
        <v>71</v>
      </c>
      <c r="J3906">
        <v>11</v>
      </c>
      <c r="K3906">
        <v>2.2000000000000002</v>
      </c>
      <c r="L3906" s="2">
        <v>465.91</v>
      </c>
      <c r="M3906">
        <v>2032</v>
      </c>
      <c r="N3906">
        <v>9</v>
      </c>
      <c r="O3906" t="s">
        <v>208</v>
      </c>
      <c r="P3906" s="2">
        <v>647.1</v>
      </c>
      <c r="Q3906" s="2">
        <v>181.19</v>
      </c>
      <c r="R3906" t="s">
        <v>66</v>
      </c>
      <c r="S3906">
        <v>1</v>
      </c>
      <c r="T3906">
        <v>0</v>
      </c>
      <c r="U3906">
        <f>IF(AND(OR(Dashboard!$D$4="Semua",D3906=Dashboard!$D$4),OR(Dashboard!$H$4="Semua",E3906=Dashboard!$H$4)),1,0)</f>
        <v>1</v>
      </c>
      <c r="V3906">
        <f>IF(U3906=1,IF(COUNTIFS($C$2:C3906,C3906,$U$2:U3906,1)=1,1,0),0)</f>
        <v>0</v>
      </c>
    </row>
    <row r="3907" spans="1:22" x14ac:dyDescent="0.35">
      <c r="A3907">
        <v>13906</v>
      </c>
      <c r="B3907" s="1">
        <v>48467</v>
      </c>
      <c r="C3907">
        <v>1399</v>
      </c>
      <c r="D3907" t="s">
        <v>80</v>
      </c>
      <c r="E3907" t="s">
        <v>70</v>
      </c>
      <c r="F3907">
        <v>7</v>
      </c>
      <c r="G3907" s="2">
        <v>134.35</v>
      </c>
      <c r="H3907">
        <v>0.12</v>
      </c>
      <c r="I3907" t="s">
        <v>64</v>
      </c>
      <c r="J3907">
        <v>4</v>
      </c>
      <c r="K3907">
        <v>4.3</v>
      </c>
      <c r="L3907" s="2">
        <v>827.6</v>
      </c>
      <c r="M3907">
        <v>2032</v>
      </c>
      <c r="N3907">
        <v>9</v>
      </c>
      <c r="O3907" t="s">
        <v>208</v>
      </c>
      <c r="P3907" s="2">
        <v>940.45</v>
      </c>
      <c r="Q3907" s="2">
        <v>112.85</v>
      </c>
      <c r="R3907" t="s">
        <v>79</v>
      </c>
      <c r="S3907">
        <v>1</v>
      </c>
      <c r="T3907">
        <v>0</v>
      </c>
      <c r="U3907">
        <f>IF(AND(OR(Dashboard!$D$4="Semua",D3907=Dashboard!$D$4),OR(Dashboard!$H$4="Semua",E3907=Dashboard!$H$4)),1,0)</f>
        <v>1</v>
      </c>
      <c r="V3907">
        <f>IF(U3907=1,IF(COUNTIFS($C$2:C3907,C3907,$U$2:U3907,1)=1,1,0),0)</f>
        <v>0</v>
      </c>
    </row>
    <row r="3908" spans="1:22" x14ac:dyDescent="0.35">
      <c r="A3908">
        <v>13907</v>
      </c>
      <c r="B3908" s="1">
        <v>48468</v>
      </c>
      <c r="C3908">
        <v>1181</v>
      </c>
      <c r="D3908" t="s">
        <v>62</v>
      </c>
      <c r="E3908" t="s">
        <v>70</v>
      </c>
      <c r="F3908">
        <v>1</v>
      </c>
      <c r="G3908" s="2">
        <v>85.6</v>
      </c>
      <c r="H3908">
        <v>0.02</v>
      </c>
      <c r="I3908" t="s">
        <v>68</v>
      </c>
      <c r="J3908">
        <v>8</v>
      </c>
      <c r="K3908">
        <v>4.3</v>
      </c>
      <c r="L3908" s="2">
        <v>83.89</v>
      </c>
      <c r="M3908">
        <v>2032</v>
      </c>
      <c r="N3908">
        <v>9</v>
      </c>
      <c r="O3908" t="s">
        <v>208</v>
      </c>
      <c r="P3908" s="2">
        <v>85.6</v>
      </c>
      <c r="Q3908" s="2">
        <v>1.71</v>
      </c>
      <c r="R3908" t="s">
        <v>75</v>
      </c>
      <c r="S3908">
        <v>1</v>
      </c>
      <c r="T3908">
        <v>0</v>
      </c>
      <c r="U3908">
        <f>IF(AND(OR(Dashboard!$D$4="Semua",D3908=Dashboard!$D$4),OR(Dashboard!$H$4="Semua",E3908=Dashboard!$H$4)),1,0)</f>
        <v>1</v>
      </c>
      <c r="V3908">
        <f>IF(U3908=1,IF(COUNTIFS($C$2:C3908,C3908,$U$2:U3908,1)=1,1,0),0)</f>
        <v>0</v>
      </c>
    </row>
    <row r="3909" spans="1:22" x14ac:dyDescent="0.35">
      <c r="A3909">
        <v>13908</v>
      </c>
      <c r="B3909" s="1">
        <v>48469</v>
      </c>
      <c r="C3909">
        <v>1990</v>
      </c>
      <c r="D3909" t="s">
        <v>67</v>
      </c>
      <c r="E3909" t="s">
        <v>74</v>
      </c>
      <c r="F3909">
        <v>3</v>
      </c>
      <c r="G3909" s="2">
        <v>313.93</v>
      </c>
      <c r="H3909">
        <v>0.1</v>
      </c>
      <c r="I3909" t="s">
        <v>64</v>
      </c>
      <c r="J3909">
        <v>1</v>
      </c>
      <c r="K3909">
        <v>4.7</v>
      </c>
      <c r="L3909" s="2">
        <v>847.61</v>
      </c>
      <c r="M3909">
        <v>2032</v>
      </c>
      <c r="N3909">
        <v>9</v>
      </c>
      <c r="O3909" t="s">
        <v>208</v>
      </c>
      <c r="P3909" s="2">
        <v>941.79</v>
      </c>
      <c r="Q3909" s="2">
        <v>94.18</v>
      </c>
      <c r="R3909" t="s">
        <v>69</v>
      </c>
      <c r="S3909">
        <v>1</v>
      </c>
      <c r="T3909">
        <v>0</v>
      </c>
      <c r="U3909">
        <f>IF(AND(OR(Dashboard!$D$4="Semua",D3909=Dashboard!$D$4),OR(Dashboard!$H$4="Semua",E3909=Dashboard!$H$4)),1,0)</f>
        <v>1</v>
      </c>
      <c r="V3909">
        <f>IF(U3909=1,IF(COUNTIFS($C$2:C3909,C3909,$U$2:U3909,1)=1,1,0),0)</f>
        <v>0</v>
      </c>
    </row>
    <row r="3910" spans="1:22" x14ac:dyDescent="0.35">
      <c r="A3910">
        <v>13909</v>
      </c>
      <c r="B3910" s="1">
        <v>48470</v>
      </c>
      <c r="C3910">
        <v>1617</v>
      </c>
      <c r="D3910" t="s">
        <v>73</v>
      </c>
      <c r="E3910" t="s">
        <v>70</v>
      </c>
      <c r="F3910">
        <v>2</v>
      </c>
      <c r="G3910" s="2">
        <v>61.3</v>
      </c>
      <c r="H3910">
        <v>0.11</v>
      </c>
      <c r="I3910" t="s">
        <v>68</v>
      </c>
      <c r="J3910">
        <v>6</v>
      </c>
      <c r="K3910">
        <v>2.7</v>
      </c>
      <c r="L3910" s="2">
        <v>109.11</v>
      </c>
      <c r="M3910">
        <v>2032</v>
      </c>
      <c r="N3910">
        <v>9</v>
      </c>
      <c r="O3910" t="s">
        <v>208</v>
      </c>
      <c r="P3910" s="2">
        <v>122.6</v>
      </c>
      <c r="Q3910" s="2">
        <v>13.49</v>
      </c>
      <c r="R3910" t="s">
        <v>79</v>
      </c>
      <c r="S3910">
        <v>1</v>
      </c>
      <c r="T3910">
        <v>0</v>
      </c>
      <c r="U3910">
        <f>IF(AND(OR(Dashboard!$D$4="Semua",D3910=Dashboard!$D$4),OR(Dashboard!$H$4="Semua",E3910=Dashboard!$H$4)),1,0)</f>
        <v>1</v>
      </c>
      <c r="V3910">
        <f>IF(U3910=1,IF(COUNTIFS($C$2:C3910,C3910,$U$2:U3910,1)=1,1,0),0)</f>
        <v>0</v>
      </c>
    </row>
    <row r="3911" spans="1:22" x14ac:dyDescent="0.35">
      <c r="A3911">
        <v>13910</v>
      </c>
      <c r="B3911" s="1">
        <v>48471</v>
      </c>
      <c r="C3911">
        <v>1728</v>
      </c>
      <c r="D3911" t="s">
        <v>67</v>
      </c>
      <c r="E3911" t="s">
        <v>63</v>
      </c>
      <c r="F3911">
        <v>3</v>
      </c>
      <c r="G3911" s="2">
        <v>358.6</v>
      </c>
      <c r="H3911">
        <v>0.18</v>
      </c>
      <c r="I3911" t="s">
        <v>68</v>
      </c>
      <c r="J3911">
        <v>5</v>
      </c>
      <c r="K3911">
        <v>3.2</v>
      </c>
      <c r="L3911" s="2">
        <v>882.16</v>
      </c>
      <c r="M3911">
        <v>2032</v>
      </c>
      <c r="N3911">
        <v>9</v>
      </c>
      <c r="O3911" t="s">
        <v>208</v>
      </c>
      <c r="P3911" s="2">
        <v>1075.8</v>
      </c>
      <c r="Q3911" s="2">
        <v>193.64</v>
      </c>
      <c r="R3911" t="s">
        <v>76</v>
      </c>
      <c r="S3911">
        <v>1</v>
      </c>
      <c r="T3911">
        <v>0</v>
      </c>
      <c r="U3911">
        <f>IF(AND(OR(Dashboard!$D$4="Semua",D3911=Dashboard!$D$4),OR(Dashboard!$H$4="Semua",E3911=Dashboard!$H$4)),1,0)</f>
        <v>1</v>
      </c>
      <c r="V3911">
        <f>IF(U3911=1,IF(COUNTIFS($C$2:C3911,C3911,$U$2:U3911,1)=1,1,0),0)</f>
        <v>0</v>
      </c>
    </row>
    <row r="3912" spans="1:22" x14ac:dyDescent="0.35">
      <c r="A3912">
        <v>13911</v>
      </c>
      <c r="B3912" s="1">
        <v>48472</v>
      </c>
      <c r="C3912">
        <v>1204</v>
      </c>
      <c r="D3912" t="s">
        <v>73</v>
      </c>
      <c r="E3912" t="s">
        <v>78</v>
      </c>
      <c r="F3912">
        <v>3</v>
      </c>
      <c r="G3912" s="2">
        <v>33.33</v>
      </c>
      <c r="H3912">
        <v>0.23</v>
      </c>
      <c r="I3912" t="s">
        <v>68</v>
      </c>
      <c r="J3912">
        <v>3</v>
      </c>
      <c r="K3912">
        <v>4.5999999999999996</v>
      </c>
      <c r="L3912" s="2">
        <v>76.989999999999995</v>
      </c>
      <c r="M3912">
        <v>2032</v>
      </c>
      <c r="N3912">
        <v>9</v>
      </c>
      <c r="O3912" t="s">
        <v>208</v>
      </c>
      <c r="P3912" s="2">
        <v>99.99</v>
      </c>
      <c r="Q3912" s="2">
        <v>23</v>
      </c>
      <c r="R3912" t="s">
        <v>77</v>
      </c>
      <c r="S3912">
        <v>1</v>
      </c>
      <c r="T3912">
        <v>0</v>
      </c>
      <c r="U3912">
        <f>IF(AND(OR(Dashboard!$D$4="Semua",D3912=Dashboard!$D$4),OR(Dashboard!$H$4="Semua",E3912=Dashboard!$H$4)),1,0)</f>
        <v>1</v>
      </c>
      <c r="V3912">
        <f>IF(U3912=1,IF(COUNTIFS($C$2:C3912,C3912,$U$2:U3912,1)=1,1,0),0)</f>
        <v>0</v>
      </c>
    </row>
    <row r="3913" spans="1:22" x14ac:dyDescent="0.35">
      <c r="A3913">
        <v>13912</v>
      </c>
      <c r="B3913" s="1">
        <v>48473</v>
      </c>
      <c r="C3913">
        <v>1581</v>
      </c>
      <c r="D3913" t="s">
        <v>67</v>
      </c>
      <c r="E3913" t="s">
        <v>63</v>
      </c>
      <c r="F3913">
        <v>4</v>
      </c>
      <c r="G3913" s="2">
        <v>77.430000000000007</v>
      </c>
      <c r="H3913">
        <v>0.26</v>
      </c>
      <c r="I3913" t="s">
        <v>64</v>
      </c>
      <c r="J3913">
        <v>4</v>
      </c>
      <c r="K3913">
        <v>2.2999999999999998</v>
      </c>
      <c r="L3913" s="2">
        <v>229.19</v>
      </c>
      <c r="M3913">
        <v>2032</v>
      </c>
      <c r="N3913">
        <v>9</v>
      </c>
      <c r="O3913" t="s">
        <v>208</v>
      </c>
      <c r="P3913" s="2">
        <v>309.72000000000003</v>
      </c>
      <c r="Q3913" s="2">
        <v>80.53</v>
      </c>
      <c r="R3913" t="s">
        <v>66</v>
      </c>
      <c r="S3913">
        <v>1</v>
      </c>
      <c r="T3913">
        <v>0</v>
      </c>
      <c r="U3913">
        <f>IF(AND(OR(Dashboard!$D$4="Semua",D3913=Dashboard!$D$4),OR(Dashboard!$H$4="Semua",E3913=Dashboard!$H$4)),1,0)</f>
        <v>1</v>
      </c>
      <c r="V3913">
        <f>IF(U3913=1,IF(COUNTIFS($C$2:C3913,C3913,$U$2:U3913,1)=1,1,0),0)</f>
        <v>0</v>
      </c>
    </row>
    <row r="3914" spans="1:22" x14ac:dyDescent="0.35">
      <c r="A3914">
        <v>13913</v>
      </c>
      <c r="B3914" s="1">
        <v>48474</v>
      </c>
      <c r="C3914">
        <v>1555</v>
      </c>
      <c r="D3914" t="s">
        <v>67</v>
      </c>
      <c r="E3914" t="s">
        <v>74</v>
      </c>
      <c r="F3914">
        <v>5</v>
      </c>
      <c r="G3914" s="2">
        <v>336.75</v>
      </c>
      <c r="H3914">
        <v>0.09</v>
      </c>
      <c r="I3914" t="s">
        <v>68</v>
      </c>
      <c r="J3914">
        <v>8</v>
      </c>
      <c r="K3914">
        <v>4.2</v>
      </c>
      <c r="L3914" s="2">
        <v>1532.21</v>
      </c>
      <c r="M3914">
        <v>2032</v>
      </c>
      <c r="N3914">
        <v>9</v>
      </c>
      <c r="O3914" t="s">
        <v>208</v>
      </c>
      <c r="P3914" s="2">
        <v>1683.75</v>
      </c>
      <c r="Q3914" s="2">
        <v>151.54</v>
      </c>
      <c r="R3914" t="s">
        <v>69</v>
      </c>
      <c r="S3914">
        <v>1</v>
      </c>
      <c r="T3914">
        <v>0</v>
      </c>
      <c r="U3914">
        <f>IF(AND(OR(Dashboard!$D$4="Semua",D3914=Dashboard!$D$4),OR(Dashboard!$H$4="Semua",E3914=Dashboard!$H$4)),1,0)</f>
        <v>1</v>
      </c>
      <c r="V3914">
        <f>IF(U3914=1,IF(COUNTIFS($C$2:C3914,C3914,$U$2:U3914,1)=1,1,0),0)</f>
        <v>0</v>
      </c>
    </row>
    <row r="3915" spans="1:22" x14ac:dyDescent="0.35">
      <c r="A3915">
        <v>13914</v>
      </c>
      <c r="B3915" s="1">
        <v>48475</v>
      </c>
      <c r="C3915">
        <v>1840</v>
      </c>
      <c r="D3915" t="s">
        <v>67</v>
      </c>
      <c r="E3915" t="s">
        <v>78</v>
      </c>
      <c r="F3915">
        <v>3</v>
      </c>
      <c r="G3915" s="2">
        <v>360.97</v>
      </c>
      <c r="H3915">
        <v>0.11</v>
      </c>
      <c r="I3915" t="s">
        <v>64</v>
      </c>
      <c r="J3915">
        <v>11</v>
      </c>
      <c r="K3915">
        <v>5</v>
      </c>
      <c r="L3915" s="2">
        <v>963.79</v>
      </c>
      <c r="M3915">
        <v>2032</v>
      </c>
      <c r="N3915">
        <v>9</v>
      </c>
      <c r="O3915" t="s">
        <v>208</v>
      </c>
      <c r="P3915" s="2">
        <v>1082.9100000000001</v>
      </c>
      <c r="Q3915" s="2">
        <v>119.12</v>
      </c>
      <c r="R3915" t="s">
        <v>79</v>
      </c>
      <c r="S3915">
        <v>1</v>
      </c>
      <c r="T3915">
        <v>0</v>
      </c>
      <c r="U3915">
        <f>IF(AND(OR(Dashboard!$D$4="Semua",D3915=Dashboard!$D$4),OR(Dashboard!$H$4="Semua",E3915=Dashboard!$H$4)),1,0)</f>
        <v>1</v>
      </c>
      <c r="V3915">
        <f>IF(U3915=1,IF(COUNTIFS($C$2:C3915,C3915,$U$2:U3915,1)=1,1,0),0)</f>
        <v>0</v>
      </c>
    </row>
    <row r="3916" spans="1:22" x14ac:dyDescent="0.35">
      <c r="A3916">
        <v>13915</v>
      </c>
      <c r="B3916" s="1">
        <v>48476</v>
      </c>
      <c r="C3916">
        <v>1812</v>
      </c>
      <c r="D3916" t="s">
        <v>73</v>
      </c>
      <c r="E3916" t="s">
        <v>74</v>
      </c>
      <c r="F3916">
        <v>6</v>
      </c>
      <c r="G3916" s="2">
        <v>31.96</v>
      </c>
      <c r="H3916">
        <v>0.11</v>
      </c>
      <c r="I3916" t="s">
        <v>64</v>
      </c>
      <c r="J3916">
        <v>11</v>
      </c>
      <c r="K3916">
        <v>3.6</v>
      </c>
      <c r="L3916" s="2">
        <v>170.67</v>
      </c>
      <c r="M3916">
        <v>2032</v>
      </c>
      <c r="N3916">
        <v>9</v>
      </c>
      <c r="O3916" t="s">
        <v>208</v>
      </c>
      <c r="P3916" s="2">
        <v>191.76</v>
      </c>
      <c r="Q3916" s="2">
        <v>21.09</v>
      </c>
      <c r="R3916" t="s">
        <v>79</v>
      </c>
      <c r="S3916">
        <v>1</v>
      </c>
      <c r="T3916">
        <v>0</v>
      </c>
      <c r="U3916">
        <f>IF(AND(OR(Dashboard!$D$4="Semua",D3916=Dashboard!$D$4),OR(Dashboard!$H$4="Semua",E3916=Dashboard!$H$4)),1,0)</f>
        <v>1</v>
      </c>
      <c r="V3916">
        <f>IF(U3916=1,IF(COUNTIFS($C$2:C3916,C3916,$U$2:U3916,1)=1,1,0),0)</f>
        <v>0</v>
      </c>
    </row>
    <row r="3917" spans="1:22" x14ac:dyDescent="0.35">
      <c r="A3917">
        <v>13916</v>
      </c>
      <c r="B3917" s="1">
        <v>48477</v>
      </c>
      <c r="C3917">
        <v>1227</v>
      </c>
      <c r="D3917" t="s">
        <v>73</v>
      </c>
      <c r="E3917" t="s">
        <v>74</v>
      </c>
      <c r="F3917">
        <v>7</v>
      </c>
      <c r="G3917" s="2">
        <v>350.43</v>
      </c>
      <c r="H3917">
        <v>0.13</v>
      </c>
      <c r="I3917" t="s">
        <v>68</v>
      </c>
      <c r="J3917">
        <v>10</v>
      </c>
      <c r="K3917">
        <v>4.9000000000000004</v>
      </c>
      <c r="L3917" s="2">
        <v>2134.12</v>
      </c>
      <c r="M3917">
        <v>2032</v>
      </c>
      <c r="N3917">
        <v>9</v>
      </c>
      <c r="O3917" t="s">
        <v>208</v>
      </c>
      <c r="P3917" s="2">
        <v>2453.0100000000002</v>
      </c>
      <c r="Q3917" s="2">
        <v>318.89</v>
      </c>
      <c r="R3917" t="s">
        <v>79</v>
      </c>
      <c r="S3917">
        <v>1</v>
      </c>
      <c r="T3917">
        <v>0</v>
      </c>
      <c r="U3917">
        <f>IF(AND(OR(Dashboard!$D$4="Semua",D3917=Dashboard!$D$4),OR(Dashboard!$H$4="Semua",E3917=Dashboard!$H$4)),1,0)</f>
        <v>1</v>
      </c>
      <c r="V3917">
        <f>IF(U3917=1,IF(COUNTIFS($C$2:C3917,C3917,$U$2:U3917,1)=1,1,0),0)</f>
        <v>0</v>
      </c>
    </row>
    <row r="3918" spans="1:22" x14ac:dyDescent="0.35">
      <c r="A3918">
        <v>13917</v>
      </c>
      <c r="B3918" s="1">
        <v>48478</v>
      </c>
      <c r="C3918">
        <v>1695</v>
      </c>
      <c r="D3918" t="s">
        <v>67</v>
      </c>
      <c r="E3918" t="s">
        <v>74</v>
      </c>
      <c r="F3918">
        <v>7</v>
      </c>
      <c r="G3918" s="2">
        <v>505.52</v>
      </c>
      <c r="H3918">
        <v>0.35</v>
      </c>
      <c r="I3918" t="s">
        <v>71</v>
      </c>
      <c r="J3918">
        <v>11</v>
      </c>
      <c r="K3918">
        <v>3.1</v>
      </c>
      <c r="L3918" s="2">
        <v>2300.12</v>
      </c>
      <c r="M3918">
        <v>2032</v>
      </c>
      <c r="N3918">
        <v>9</v>
      </c>
      <c r="O3918" t="s">
        <v>208</v>
      </c>
      <c r="P3918" s="2">
        <v>3538.64</v>
      </c>
      <c r="Q3918" s="2">
        <v>1238.52</v>
      </c>
      <c r="R3918" t="s">
        <v>72</v>
      </c>
      <c r="S3918">
        <v>1</v>
      </c>
      <c r="T3918">
        <v>0</v>
      </c>
      <c r="U3918">
        <f>IF(AND(OR(Dashboard!$D$4="Semua",D3918=Dashboard!$D$4),OR(Dashboard!$H$4="Semua",E3918=Dashboard!$H$4)),1,0)</f>
        <v>1</v>
      </c>
      <c r="V3918">
        <f>IF(U3918=1,IF(COUNTIFS($C$2:C3918,C3918,$U$2:U3918,1)=1,1,0),0)</f>
        <v>0</v>
      </c>
    </row>
    <row r="3919" spans="1:22" x14ac:dyDescent="0.35">
      <c r="A3919">
        <v>13918</v>
      </c>
      <c r="B3919" s="1">
        <v>48479</v>
      </c>
      <c r="C3919">
        <v>1618</v>
      </c>
      <c r="D3919" t="s">
        <v>62</v>
      </c>
      <c r="E3919" t="s">
        <v>63</v>
      </c>
      <c r="F3919">
        <v>3</v>
      </c>
      <c r="G3919" s="2">
        <v>437.55</v>
      </c>
      <c r="H3919">
        <v>0.27</v>
      </c>
      <c r="I3919" t="s">
        <v>71</v>
      </c>
      <c r="J3919">
        <v>2</v>
      </c>
      <c r="K3919">
        <v>1.6</v>
      </c>
      <c r="L3919" s="2">
        <v>958.23</v>
      </c>
      <c r="M3919">
        <v>2032</v>
      </c>
      <c r="N3919">
        <v>9</v>
      </c>
      <c r="O3919" t="s">
        <v>208</v>
      </c>
      <c r="P3919" s="2">
        <v>1312.65</v>
      </c>
      <c r="Q3919" s="2">
        <v>354.42</v>
      </c>
      <c r="R3919" t="s">
        <v>66</v>
      </c>
      <c r="S3919">
        <v>1</v>
      </c>
      <c r="T3919">
        <v>0</v>
      </c>
      <c r="U3919">
        <f>IF(AND(OR(Dashboard!$D$4="Semua",D3919=Dashboard!$D$4),OR(Dashboard!$H$4="Semua",E3919=Dashboard!$H$4)),1,0)</f>
        <v>1</v>
      </c>
      <c r="V3919">
        <f>IF(U3919=1,IF(COUNTIFS($C$2:C3919,C3919,$U$2:U3919,1)=1,1,0),0)</f>
        <v>0</v>
      </c>
    </row>
    <row r="3920" spans="1:22" x14ac:dyDescent="0.35">
      <c r="A3920">
        <v>13919</v>
      </c>
      <c r="B3920" s="1">
        <v>48480</v>
      </c>
      <c r="C3920">
        <v>1595</v>
      </c>
      <c r="D3920" t="s">
        <v>67</v>
      </c>
      <c r="E3920" t="s">
        <v>78</v>
      </c>
      <c r="F3920">
        <v>6</v>
      </c>
      <c r="G3920" s="2">
        <v>91.74</v>
      </c>
      <c r="H3920">
        <v>0.34</v>
      </c>
      <c r="I3920" t="s">
        <v>68</v>
      </c>
      <c r="J3920">
        <v>8</v>
      </c>
      <c r="K3920">
        <v>1.7</v>
      </c>
      <c r="L3920" s="2">
        <v>363.29</v>
      </c>
      <c r="M3920">
        <v>2032</v>
      </c>
      <c r="N3920">
        <v>9</v>
      </c>
      <c r="O3920" t="s">
        <v>208</v>
      </c>
      <c r="P3920" s="2">
        <v>550.44000000000005</v>
      </c>
      <c r="Q3920" s="2">
        <v>187.15</v>
      </c>
      <c r="R3920" t="s">
        <v>72</v>
      </c>
      <c r="S3920">
        <v>1</v>
      </c>
      <c r="T3920">
        <v>0</v>
      </c>
      <c r="U3920">
        <f>IF(AND(OR(Dashboard!$D$4="Semua",D3920=Dashboard!$D$4),OR(Dashboard!$H$4="Semua",E3920=Dashboard!$H$4)),1,0)</f>
        <v>1</v>
      </c>
      <c r="V3920">
        <f>IF(U3920=1,IF(COUNTIFS($C$2:C3920,C3920,$U$2:U3920,1)=1,1,0),0)</f>
        <v>0</v>
      </c>
    </row>
    <row r="3921" spans="1:22" x14ac:dyDescent="0.35">
      <c r="A3921">
        <v>13920</v>
      </c>
      <c r="B3921" s="1">
        <v>48481</v>
      </c>
      <c r="C3921">
        <v>1849</v>
      </c>
      <c r="D3921" t="s">
        <v>67</v>
      </c>
      <c r="E3921" t="s">
        <v>78</v>
      </c>
      <c r="F3921">
        <v>7</v>
      </c>
      <c r="G3921" s="2">
        <v>361.6</v>
      </c>
      <c r="H3921">
        <v>0.24</v>
      </c>
      <c r="I3921" t="s">
        <v>68</v>
      </c>
      <c r="J3921">
        <v>7</v>
      </c>
      <c r="K3921">
        <v>3.9</v>
      </c>
      <c r="L3921" s="2">
        <v>1923.71</v>
      </c>
      <c r="M3921">
        <v>2032</v>
      </c>
      <c r="N3921">
        <v>9</v>
      </c>
      <c r="O3921" t="s">
        <v>208</v>
      </c>
      <c r="P3921" s="2">
        <v>2531.1999999999998</v>
      </c>
      <c r="Q3921" s="2">
        <v>607.49</v>
      </c>
      <c r="R3921" t="s">
        <v>77</v>
      </c>
      <c r="S3921">
        <v>1</v>
      </c>
      <c r="T3921">
        <v>0</v>
      </c>
      <c r="U3921">
        <f>IF(AND(OR(Dashboard!$D$4="Semua",D3921=Dashboard!$D$4),OR(Dashboard!$H$4="Semua",E3921=Dashboard!$H$4)),1,0)</f>
        <v>1</v>
      </c>
      <c r="V3921">
        <f>IF(U3921=1,IF(COUNTIFS($C$2:C3921,C3921,$U$2:U3921,1)=1,1,0),0)</f>
        <v>0</v>
      </c>
    </row>
    <row r="3922" spans="1:22" x14ac:dyDescent="0.35">
      <c r="A3922">
        <v>13921</v>
      </c>
      <c r="B3922" s="1">
        <v>48482</v>
      </c>
      <c r="C3922">
        <v>1249</v>
      </c>
      <c r="D3922" t="s">
        <v>80</v>
      </c>
      <c r="E3922" t="s">
        <v>78</v>
      </c>
      <c r="F3922">
        <v>4</v>
      </c>
      <c r="G3922" s="2">
        <v>408.27</v>
      </c>
      <c r="H3922">
        <v>0.14000000000000001</v>
      </c>
      <c r="I3922" t="s">
        <v>68</v>
      </c>
      <c r="J3922">
        <v>1</v>
      </c>
      <c r="K3922">
        <v>1</v>
      </c>
      <c r="L3922" s="2">
        <v>1404.45</v>
      </c>
      <c r="M3922">
        <v>2032</v>
      </c>
      <c r="N3922">
        <v>9</v>
      </c>
      <c r="O3922" t="s">
        <v>208</v>
      </c>
      <c r="P3922" s="2">
        <v>1633.08</v>
      </c>
      <c r="Q3922" s="2">
        <v>228.63</v>
      </c>
      <c r="R3922" t="s">
        <v>79</v>
      </c>
      <c r="S3922">
        <v>1</v>
      </c>
      <c r="T3922">
        <v>0</v>
      </c>
      <c r="U3922">
        <f>IF(AND(OR(Dashboard!$D$4="Semua",D3922=Dashboard!$D$4),OR(Dashboard!$H$4="Semua",E3922=Dashboard!$H$4)),1,0)</f>
        <v>1</v>
      </c>
      <c r="V3922">
        <f>IF(U3922=1,IF(COUNTIFS($C$2:C3922,C3922,$U$2:U3922,1)=1,1,0),0)</f>
        <v>0</v>
      </c>
    </row>
    <row r="3923" spans="1:22" x14ac:dyDescent="0.35">
      <c r="A3923">
        <v>13922</v>
      </c>
      <c r="B3923" s="1">
        <v>48483</v>
      </c>
      <c r="C3923">
        <v>1874</v>
      </c>
      <c r="D3923" t="s">
        <v>67</v>
      </c>
      <c r="E3923" t="s">
        <v>63</v>
      </c>
      <c r="F3923">
        <v>2</v>
      </c>
      <c r="G3923" s="2">
        <v>36.78</v>
      </c>
      <c r="H3923">
        <v>0.14000000000000001</v>
      </c>
      <c r="I3923" t="s">
        <v>71</v>
      </c>
      <c r="J3923">
        <v>2</v>
      </c>
      <c r="K3923">
        <v>3.6</v>
      </c>
      <c r="L3923" s="2">
        <v>63.26</v>
      </c>
      <c r="M3923">
        <v>2032</v>
      </c>
      <c r="N3923">
        <v>9</v>
      </c>
      <c r="O3923" t="s">
        <v>208</v>
      </c>
      <c r="P3923" s="2">
        <v>73.56</v>
      </c>
      <c r="Q3923" s="2">
        <v>10.3</v>
      </c>
      <c r="R3923" t="s">
        <v>79</v>
      </c>
      <c r="S3923">
        <v>1</v>
      </c>
      <c r="T3923">
        <v>0</v>
      </c>
      <c r="U3923">
        <f>IF(AND(OR(Dashboard!$D$4="Semua",D3923=Dashboard!$D$4),OR(Dashboard!$H$4="Semua",E3923=Dashboard!$H$4)),1,0)</f>
        <v>1</v>
      </c>
      <c r="V3923">
        <f>IF(U3923=1,IF(COUNTIFS($C$2:C3923,C3923,$U$2:U3923,1)=1,1,0),0)</f>
        <v>1</v>
      </c>
    </row>
    <row r="3924" spans="1:22" x14ac:dyDescent="0.35">
      <c r="A3924">
        <v>13923</v>
      </c>
      <c r="B3924" s="1">
        <v>48484</v>
      </c>
      <c r="C3924">
        <v>1440</v>
      </c>
      <c r="D3924" t="s">
        <v>73</v>
      </c>
      <c r="E3924" t="s">
        <v>70</v>
      </c>
      <c r="F3924">
        <v>3</v>
      </c>
      <c r="G3924" s="2">
        <v>515.38</v>
      </c>
      <c r="H3924">
        <v>0.17</v>
      </c>
      <c r="I3924" t="s">
        <v>71</v>
      </c>
      <c r="J3924">
        <v>7</v>
      </c>
      <c r="K3924">
        <v>1.6</v>
      </c>
      <c r="L3924" s="2">
        <v>1283.3</v>
      </c>
      <c r="M3924">
        <v>2032</v>
      </c>
      <c r="N3924">
        <v>9</v>
      </c>
      <c r="O3924" t="s">
        <v>208</v>
      </c>
      <c r="P3924" s="2">
        <v>1546.14</v>
      </c>
      <c r="Q3924" s="2">
        <v>262.83999999999997</v>
      </c>
      <c r="R3924" t="s">
        <v>76</v>
      </c>
      <c r="S3924">
        <v>1</v>
      </c>
      <c r="T3924">
        <v>0</v>
      </c>
      <c r="U3924">
        <f>IF(AND(OR(Dashboard!$D$4="Semua",D3924=Dashboard!$D$4),OR(Dashboard!$H$4="Semua",E3924=Dashboard!$H$4)),1,0)</f>
        <v>1</v>
      </c>
      <c r="V3924">
        <f>IF(U3924=1,IF(COUNTIFS($C$2:C3924,C3924,$U$2:U3924,1)=1,1,0),0)</f>
        <v>0</v>
      </c>
    </row>
    <row r="3925" spans="1:22" x14ac:dyDescent="0.35">
      <c r="A3925">
        <v>13924</v>
      </c>
      <c r="B3925" s="1">
        <v>48485</v>
      </c>
      <c r="C3925">
        <v>1532</v>
      </c>
      <c r="D3925" t="s">
        <v>67</v>
      </c>
      <c r="E3925" t="s">
        <v>63</v>
      </c>
      <c r="F3925">
        <v>4</v>
      </c>
      <c r="G3925" s="2">
        <v>545.16999999999996</v>
      </c>
      <c r="H3925">
        <v>0.15</v>
      </c>
      <c r="I3925" t="s">
        <v>68</v>
      </c>
      <c r="J3925">
        <v>11</v>
      </c>
      <c r="K3925">
        <v>4.9000000000000004</v>
      </c>
      <c r="L3925" s="2">
        <v>1853.58</v>
      </c>
      <c r="M3925">
        <v>2032</v>
      </c>
      <c r="N3925">
        <v>9</v>
      </c>
      <c r="O3925" t="s">
        <v>208</v>
      </c>
      <c r="P3925" s="2">
        <v>2180.6799999999998</v>
      </c>
      <c r="Q3925" s="2">
        <v>327.10000000000002</v>
      </c>
      <c r="R3925" t="s">
        <v>79</v>
      </c>
      <c r="S3925">
        <v>1</v>
      </c>
      <c r="T3925">
        <v>0</v>
      </c>
      <c r="U3925">
        <f>IF(AND(OR(Dashboard!$D$4="Semua",D3925=Dashboard!$D$4),OR(Dashboard!$H$4="Semua",E3925=Dashboard!$H$4)),1,0)</f>
        <v>1</v>
      </c>
      <c r="V3925">
        <f>IF(U3925=1,IF(COUNTIFS($C$2:C3925,C3925,$U$2:U3925,1)=1,1,0),0)</f>
        <v>1</v>
      </c>
    </row>
    <row r="3926" spans="1:22" x14ac:dyDescent="0.35">
      <c r="A3926">
        <v>13925</v>
      </c>
      <c r="B3926" s="1">
        <v>48486</v>
      </c>
      <c r="C3926">
        <v>1195</v>
      </c>
      <c r="D3926" t="s">
        <v>73</v>
      </c>
      <c r="E3926" t="s">
        <v>63</v>
      </c>
      <c r="F3926">
        <v>1</v>
      </c>
      <c r="G3926" s="2">
        <v>512.51</v>
      </c>
      <c r="H3926">
        <v>0.28999999999999998</v>
      </c>
      <c r="I3926" t="s">
        <v>68</v>
      </c>
      <c r="J3926">
        <v>11</v>
      </c>
      <c r="K3926">
        <v>1.7</v>
      </c>
      <c r="L3926" s="2">
        <v>363.88</v>
      </c>
      <c r="M3926">
        <v>2032</v>
      </c>
      <c r="N3926">
        <v>9</v>
      </c>
      <c r="O3926" t="s">
        <v>208</v>
      </c>
      <c r="P3926" s="2">
        <v>512.51</v>
      </c>
      <c r="Q3926" s="2">
        <v>148.63</v>
      </c>
      <c r="R3926" t="s">
        <v>66</v>
      </c>
      <c r="S3926">
        <v>1</v>
      </c>
      <c r="T3926">
        <v>0</v>
      </c>
      <c r="U3926">
        <f>IF(AND(OR(Dashboard!$D$4="Semua",D3926=Dashboard!$D$4),OR(Dashboard!$H$4="Semua",E3926=Dashboard!$H$4)),1,0)</f>
        <v>1</v>
      </c>
      <c r="V3926">
        <f>IF(U3926=1,IF(COUNTIFS($C$2:C3926,C3926,$U$2:U3926,1)=1,1,0),0)</f>
        <v>0</v>
      </c>
    </row>
    <row r="3927" spans="1:22" x14ac:dyDescent="0.35">
      <c r="A3927">
        <v>13926</v>
      </c>
      <c r="B3927" s="1">
        <v>48487</v>
      </c>
      <c r="C3927">
        <v>1689</v>
      </c>
      <c r="D3927" t="s">
        <v>62</v>
      </c>
      <c r="E3927" t="s">
        <v>74</v>
      </c>
      <c r="F3927">
        <v>4</v>
      </c>
      <c r="G3927" s="2">
        <v>497.41</v>
      </c>
      <c r="H3927">
        <v>0.16</v>
      </c>
      <c r="I3927" t="s">
        <v>64</v>
      </c>
      <c r="J3927">
        <v>3</v>
      </c>
      <c r="K3927">
        <v>3.2</v>
      </c>
      <c r="L3927" s="2">
        <v>1671.3</v>
      </c>
      <c r="M3927">
        <v>2032</v>
      </c>
      <c r="N3927">
        <v>9</v>
      </c>
      <c r="O3927" t="s">
        <v>208</v>
      </c>
      <c r="P3927" s="2">
        <v>1989.64</v>
      </c>
      <c r="Q3927" s="2">
        <v>318.33999999999997</v>
      </c>
      <c r="R3927" t="s">
        <v>76</v>
      </c>
      <c r="S3927">
        <v>1</v>
      </c>
      <c r="T3927">
        <v>0</v>
      </c>
      <c r="U3927">
        <f>IF(AND(OR(Dashboard!$D$4="Semua",D3927=Dashboard!$D$4),OR(Dashboard!$H$4="Semua",E3927=Dashboard!$H$4)),1,0)</f>
        <v>1</v>
      </c>
      <c r="V3927">
        <f>IF(U3927=1,IF(COUNTIFS($C$2:C3927,C3927,$U$2:U3927,1)=1,1,0),0)</f>
        <v>0</v>
      </c>
    </row>
    <row r="3928" spans="1:22" x14ac:dyDescent="0.35">
      <c r="A3928">
        <v>13927</v>
      </c>
      <c r="B3928" s="1">
        <v>48488</v>
      </c>
      <c r="C3928">
        <v>1928</v>
      </c>
      <c r="D3928" t="s">
        <v>73</v>
      </c>
      <c r="E3928" t="s">
        <v>78</v>
      </c>
      <c r="F3928">
        <v>5</v>
      </c>
      <c r="G3928" s="2">
        <v>450.8</v>
      </c>
      <c r="H3928">
        <v>0.1</v>
      </c>
      <c r="I3928" t="s">
        <v>68</v>
      </c>
      <c r="J3928">
        <v>2</v>
      </c>
      <c r="K3928">
        <v>3.7</v>
      </c>
      <c r="L3928" s="2">
        <v>2028.6</v>
      </c>
      <c r="M3928">
        <v>2032</v>
      </c>
      <c r="N3928">
        <v>10</v>
      </c>
      <c r="O3928" t="s">
        <v>209</v>
      </c>
      <c r="P3928" s="2">
        <v>2254</v>
      </c>
      <c r="Q3928" s="2">
        <v>225.4</v>
      </c>
      <c r="R3928" t="s">
        <v>69</v>
      </c>
      <c r="S3928">
        <v>1</v>
      </c>
      <c r="T3928">
        <v>0</v>
      </c>
      <c r="U3928">
        <f>IF(AND(OR(Dashboard!$D$4="Semua",D3928=Dashboard!$D$4),OR(Dashboard!$H$4="Semua",E3928=Dashboard!$H$4)),1,0)</f>
        <v>1</v>
      </c>
      <c r="V3928">
        <f>IF(U3928=1,IF(COUNTIFS($C$2:C3928,C3928,$U$2:U3928,1)=1,1,0),0)</f>
        <v>0</v>
      </c>
    </row>
    <row r="3929" spans="1:22" x14ac:dyDescent="0.35">
      <c r="A3929">
        <v>13928</v>
      </c>
      <c r="B3929" s="1">
        <v>48489</v>
      </c>
      <c r="C3929">
        <v>1986</v>
      </c>
      <c r="D3929" t="s">
        <v>67</v>
      </c>
      <c r="E3929" t="s">
        <v>78</v>
      </c>
      <c r="F3929">
        <v>5</v>
      </c>
      <c r="G3929" s="2">
        <v>385.56</v>
      </c>
      <c r="H3929">
        <v>0.27</v>
      </c>
      <c r="I3929" t="s">
        <v>71</v>
      </c>
      <c r="J3929">
        <v>1</v>
      </c>
      <c r="K3929">
        <v>4.3</v>
      </c>
      <c r="L3929" s="2">
        <v>1407.29</v>
      </c>
      <c r="M3929">
        <v>2032</v>
      </c>
      <c r="N3929">
        <v>10</v>
      </c>
      <c r="O3929" t="s">
        <v>209</v>
      </c>
      <c r="P3929" s="2">
        <v>1927.8</v>
      </c>
      <c r="Q3929" s="2">
        <v>520.51</v>
      </c>
      <c r="R3929" t="s">
        <v>66</v>
      </c>
      <c r="S3929">
        <v>1</v>
      </c>
      <c r="T3929">
        <v>0</v>
      </c>
      <c r="U3929">
        <f>IF(AND(OR(Dashboard!$D$4="Semua",D3929=Dashboard!$D$4),OR(Dashboard!$H$4="Semua",E3929=Dashboard!$H$4)),1,0)</f>
        <v>1</v>
      </c>
      <c r="V3929">
        <f>IF(U3929=1,IF(COUNTIFS($C$2:C3929,C3929,$U$2:U3929,1)=1,1,0),0)</f>
        <v>0</v>
      </c>
    </row>
    <row r="3930" spans="1:22" x14ac:dyDescent="0.35">
      <c r="A3930">
        <v>13929</v>
      </c>
      <c r="B3930" s="1">
        <v>48490</v>
      </c>
      <c r="C3930">
        <v>1518</v>
      </c>
      <c r="D3930" t="s">
        <v>73</v>
      </c>
      <c r="E3930" t="s">
        <v>70</v>
      </c>
      <c r="F3930">
        <v>2</v>
      </c>
      <c r="G3930" s="2">
        <v>412</v>
      </c>
      <c r="H3930">
        <v>0.3</v>
      </c>
      <c r="I3930" t="s">
        <v>68</v>
      </c>
      <c r="J3930">
        <v>7</v>
      </c>
      <c r="K3930">
        <v>2.8</v>
      </c>
      <c r="L3930" s="2">
        <v>576.79999999999995</v>
      </c>
      <c r="M3930">
        <v>2032</v>
      </c>
      <c r="N3930">
        <v>10</v>
      </c>
      <c r="O3930" t="s">
        <v>209</v>
      </c>
      <c r="P3930" s="2">
        <v>824</v>
      </c>
      <c r="Q3930" s="2">
        <v>247.2</v>
      </c>
      <c r="R3930" t="s">
        <v>66</v>
      </c>
      <c r="S3930">
        <v>1</v>
      </c>
      <c r="T3930">
        <v>0</v>
      </c>
      <c r="U3930">
        <f>IF(AND(OR(Dashboard!$D$4="Semua",D3930=Dashboard!$D$4),OR(Dashboard!$H$4="Semua",E3930=Dashboard!$H$4)),1,0)</f>
        <v>1</v>
      </c>
      <c r="V3930">
        <f>IF(U3930=1,IF(COUNTIFS($C$2:C3930,C3930,$U$2:U3930,1)=1,1,0),0)</f>
        <v>0</v>
      </c>
    </row>
    <row r="3931" spans="1:22" x14ac:dyDescent="0.35">
      <c r="A3931">
        <v>13930</v>
      </c>
      <c r="B3931" s="1">
        <v>48491</v>
      </c>
      <c r="C3931">
        <v>1069</v>
      </c>
      <c r="D3931" t="s">
        <v>73</v>
      </c>
      <c r="E3931" t="s">
        <v>70</v>
      </c>
      <c r="F3931">
        <v>6</v>
      </c>
      <c r="G3931" s="2">
        <v>486.74</v>
      </c>
      <c r="H3931">
        <v>0.15</v>
      </c>
      <c r="I3931" t="s">
        <v>64</v>
      </c>
      <c r="J3931">
        <v>3</v>
      </c>
      <c r="K3931">
        <v>4.7</v>
      </c>
      <c r="L3931" s="2">
        <v>2482.37</v>
      </c>
      <c r="M3931">
        <v>2032</v>
      </c>
      <c r="N3931">
        <v>10</v>
      </c>
      <c r="O3931" t="s">
        <v>209</v>
      </c>
      <c r="P3931" s="2">
        <v>2920.44</v>
      </c>
      <c r="Q3931" s="2">
        <v>438.07</v>
      </c>
      <c r="R3931" t="s">
        <v>79</v>
      </c>
      <c r="S3931">
        <v>1</v>
      </c>
      <c r="T3931">
        <v>0</v>
      </c>
      <c r="U3931">
        <f>IF(AND(OR(Dashboard!$D$4="Semua",D3931=Dashboard!$D$4),OR(Dashboard!$H$4="Semua",E3931=Dashboard!$H$4)),1,0)</f>
        <v>1</v>
      </c>
      <c r="V3931">
        <f>IF(U3931=1,IF(COUNTIFS($C$2:C3931,C3931,$U$2:U3931,1)=1,1,0),0)</f>
        <v>0</v>
      </c>
    </row>
    <row r="3932" spans="1:22" x14ac:dyDescent="0.35">
      <c r="A3932">
        <v>13931</v>
      </c>
      <c r="B3932" s="1">
        <v>48492</v>
      </c>
      <c r="C3932">
        <v>1638</v>
      </c>
      <c r="D3932" t="s">
        <v>80</v>
      </c>
      <c r="E3932" t="s">
        <v>74</v>
      </c>
      <c r="F3932">
        <v>2</v>
      </c>
      <c r="G3932" s="2">
        <v>402.56</v>
      </c>
      <c r="H3932">
        <v>0.23</v>
      </c>
      <c r="I3932" t="s">
        <v>64</v>
      </c>
      <c r="J3932">
        <v>6</v>
      </c>
      <c r="K3932">
        <v>2.9</v>
      </c>
      <c r="L3932" s="2">
        <v>619.94000000000005</v>
      </c>
      <c r="M3932">
        <v>2032</v>
      </c>
      <c r="N3932">
        <v>10</v>
      </c>
      <c r="O3932" t="s">
        <v>209</v>
      </c>
      <c r="P3932" s="2">
        <v>805.12</v>
      </c>
      <c r="Q3932" s="2">
        <v>185.18</v>
      </c>
      <c r="R3932" t="s">
        <v>77</v>
      </c>
      <c r="S3932">
        <v>1</v>
      </c>
      <c r="T3932">
        <v>0</v>
      </c>
      <c r="U3932">
        <f>IF(AND(OR(Dashboard!$D$4="Semua",D3932=Dashboard!$D$4),OR(Dashboard!$H$4="Semua",E3932=Dashboard!$H$4)),1,0)</f>
        <v>1</v>
      </c>
      <c r="V3932">
        <f>IF(U3932=1,IF(COUNTIFS($C$2:C3932,C3932,$U$2:U3932,1)=1,1,0),0)</f>
        <v>0</v>
      </c>
    </row>
    <row r="3933" spans="1:22" x14ac:dyDescent="0.35">
      <c r="A3933">
        <v>13932</v>
      </c>
      <c r="B3933" s="1">
        <v>48493</v>
      </c>
      <c r="C3933">
        <v>1398</v>
      </c>
      <c r="D3933" t="s">
        <v>73</v>
      </c>
      <c r="E3933" t="s">
        <v>78</v>
      </c>
      <c r="F3933">
        <v>7</v>
      </c>
      <c r="G3933" s="2">
        <v>206.72</v>
      </c>
      <c r="H3933">
        <v>0.02</v>
      </c>
      <c r="I3933" t="s">
        <v>68</v>
      </c>
      <c r="J3933">
        <v>10</v>
      </c>
      <c r="K3933">
        <v>2</v>
      </c>
      <c r="L3933" s="2">
        <v>1418.1</v>
      </c>
      <c r="M3933">
        <v>2032</v>
      </c>
      <c r="N3933">
        <v>10</v>
      </c>
      <c r="O3933" t="s">
        <v>209</v>
      </c>
      <c r="P3933" s="2">
        <v>1447.04</v>
      </c>
      <c r="Q3933" s="2">
        <v>28.94</v>
      </c>
      <c r="R3933" t="s">
        <v>75</v>
      </c>
      <c r="S3933">
        <v>1</v>
      </c>
      <c r="T3933">
        <v>0</v>
      </c>
      <c r="U3933">
        <f>IF(AND(OR(Dashboard!$D$4="Semua",D3933=Dashboard!$D$4),OR(Dashboard!$H$4="Semua",E3933=Dashboard!$H$4)),1,0)</f>
        <v>1</v>
      </c>
      <c r="V3933">
        <f>IF(U3933=1,IF(COUNTIFS($C$2:C3933,C3933,$U$2:U3933,1)=1,1,0),0)</f>
        <v>0</v>
      </c>
    </row>
    <row r="3934" spans="1:22" x14ac:dyDescent="0.35">
      <c r="A3934">
        <v>13933</v>
      </c>
      <c r="B3934" s="1">
        <v>48494</v>
      </c>
      <c r="C3934">
        <v>1977</v>
      </c>
      <c r="D3934" t="s">
        <v>73</v>
      </c>
      <c r="E3934" t="s">
        <v>70</v>
      </c>
      <c r="F3934">
        <v>6</v>
      </c>
      <c r="G3934" s="2">
        <v>234.94</v>
      </c>
      <c r="H3934">
        <v>0.19</v>
      </c>
      <c r="I3934" t="s">
        <v>68</v>
      </c>
      <c r="J3934">
        <v>8</v>
      </c>
      <c r="K3934">
        <v>3.4</v>
      </c>
      <c r="L3934" s="2">
        <v>1141.81</v>
      </c>
      <c r="M3934">
        <v>2032</v>
      </c>
      <c r="N3934">
        <v>10</v>
      </c>
      <c r="O3934" t="s">
        <v>209</v>
      </c>
      <c r="P3934" s="2">
        <v>1409.64</v>
      </c>
      <c r="Q3934" s="2">
        <v>267.83</v>
      </c>
      <c r="R3934" t="s">
        <v>76</v>
      </c>
      <c r="S3934">
        <v>1</v>
      </c>
      <c r="T3934">
        <v>0</v>
      </c>
      <c r="U3934">
        <f>IF(AND(OR(Dashboard!$D$4="Semua",D3934=Dashboard!$D$4),OR(Dashboard!$H$4="Semua",E3934=Dashboard!$H$4)),1,0)</f>
        <v>1</v>
      </c>
      <c r="V3934">
        <f>IF(U3934=1,IF(COUNTIFS($C$2:C3934,C3934,$U$2:U3934,1)=1,1,0),0)</f>
        <v>0</v>
      </c>
    </row>
    <row r="3935" spans="1:22" x14ac:dyDescent="0.35">
      <c r="A3935">
        <v>13934</v>
      </c>
      <c r="B3935" s="1">
        <v>48495</v>
      </c>
      <c r="C3935">
        <v>1671</v>
      </c>
      <c r="D3935" t="s">
        <v>67</v>
      </c>
      <c r="E3935" t="s">
        <v>70</v>
      </c>
      <c r="F3935">
        <v>6</v>
      </c>
      <c r="G3935" s="2">
        <v>539.78</v>
      </c>
      <c r="H3935">
        <v>0.02</v>
      </c>
      <c r="I3935" t="s">
        <v>71</v>
      </c>
      <c r="J3935">
        <v>6</v>
      </c>
      <c r="K3935">
        <v>3.6</v>
      </c>
      <c r="L3935" s="2">
        <v>3173.91</v>
      </c>
      <c r="M3935">
        <v>2032</v>
      </c>
      <c r="N3935">
        <v>10</v>
      </c>
      <c r="O3935" t="s">
        <v>209</v>
      </c>
      <c r="P3935" s="2">
        <v>3238.68</v>
      </c>
      <c r="Q3935" s="2">
        <v>64.77</v>
      </c>
      <c r="R3935" t="s">
        <v>75</v>
      </c>
      <c r="S3935">
        <v>1</v>
      </c>
      <c r="T3935">
        <v>0</v>
      </c>
      <c r="U3935">
        <f>IF(AND(OR(Dashboard!$D$4="Semua",D3935=Dashboard!$D$4),OR(Dashboard!$H$4="Semua",E3935=Dashboard!$H$4)),1,0)</f>
        <v>1</v>
      </c>
      <c r="V3935">
        <f>IF(U3935=1,IF(COUNTIFS($C$2:C3935,C3935,$U$2:U3935,1)=1,1,0),0)</f>
        <v>0</v>
      </c>
    </row>
    <row r="3936" spans="1:22" x14ac:dyDescent="0.35">
      <c r="A3936">
        <v>13935</v>
      </c>
      <c r="B3936" s="1">
        <v>48496</v>
      </c>
      <c r="C3936">
        <v>1759</v>
      </c>
      <c r="D3936" t="s">
        <v>73</v>
      </c>
      <c r="E3936" t="s">
        <v>78</v>
      </c>
      <c r="F3936">
        <v>6</v>
      </c>
      <c r="G3936" s="2">
        <v>25.02</v>
      </c>
      <c r="H3936">
        <v>0.01</v>
      </c>
      <c r="I3936" t="s">
        <v>68</v>
      </c>
      <c r="J3936">
        <v>7</v>
      </c>
      <c r="K3936">
        <v>3</v>
      </c>
      <c r="L3936" s="2">
        <v>148.62</v>
      </c>
      <c r="M3936">
        <v>2032</v>
      </c>
      <c r="N3936">
        <v>10</v>
      </c>
      <c r="O3936" t="s">
        <v>209</v>
      </c>
      <c r="P3936" s="2">
        <v>150.12</v>
      </c>
      <c r="Q3936" s="2">
        <v>1.5</v>
      </c>
      <c r="R3936" t="s">
        <v>75</v>
      </c>
      <c r="S3936">
        <v>1</v>
      </c>
      <c r="T3936">
        <v>0</v>
      </c>
      <c r="U3936">
        <f>IF(AND(OR(Dashboard!$D$4="Semua",D3936=Dashboard!$D$4),OR(Dashboard!$H$4="Semua",E3936=Dashboard!$H$4)),1,0)</f>
        <v>1</v>
      </c>
      <c r="V3936">
        <f>IF(U3936=1,IF(COUNTIFS($C$2:C3936,C3936,$U$2:U3936,1)=1,1,0),0)</f>
        <v>1</v>
      </c>
    </row>
    <row r="3937" spans="1:22" x14ac:dyDescent="0.35">
      <c r="A3937">
        <v>13936</v>
      </c>
      <c r="B3937" s="1">
        <v>48497</v>
      </c>
      <c r="C3937">
        <v>1202</v>
      </c>
      <c r="D3937" t="s">
        <v>73</v>
      </c>
      <c r="E3937" t="s">
        <v>63</v>
      </c>
      <c r="F3937">
        <v>6</v>
      </c>
      <c r="G3937" s="2">
        <v>423.81</v>
      </c>
      <c r="H3937">
        <v>0.21</v>
      </c>
      <c r="I3937" t="s">
        <v>68</v>
      </c>
      <c r="J3937">
        <v>11</v>
      </c>
      <c r="K3937">
        <v>3.9</v>
      </c>
      <c r="L3937" s="2">
        <v>2008.86</v>
      </c>
      <c r="M3937">
        <v>2032</v>
      </c>
      <c r="N3937">
        <v>10</v>
      </c>
      <c r="O3937" t="s">
        <v>209</v>
      </c>
      <c r="P3937" s="2">
        <v>2542.86</v>
      </c>
      <c r="Q3937" s="2">
        <v>534</v>
      </c>
      <c r="R3937" t="s">
        <v>77</v>
      </c>
      <c r="S3937">
        <v>1</v>
      </c>
      <c r="T3937">
        <v>0</v>
      </c>
      <c r="U3937">
        <f>IF(AND(OR(Dashboard!$D$4="Semua",D3937=Dashboard!$D$4),OR(Dashboard!$H$4="Semua",E3937=Dashboard!$H$4)),1,0)</f>
        <v>1</v>
      </c>
      <c r="V3937">
        <f>IF(U3937=1,IF(COUNTIFS($C$2:C3937,C3937,$U$2:U3937,1)=1,1,0),0)</f>
        <v>0</v>
      </c>
    </row>
    <row r="3938" spans="1:22" x14ac:dyDescent="0.35">
      <c r="A3938">
        <v>13937</v>
      </c>
      <c r="B3938" s="1">
        <v>48498</v>
      </c>
      <c r="C3938">
        <v>1147</v>
      </c>
      <c r="D3938" t="s">
        <v>80</v>
      </c>
      <c r="E3938" t="s">
        <v>70</v>
      </c>
      <c r="F3938">
        <v>5</v>
      </c>
      <c r="G3938" s="2">
        <v>573.54</v>
      </c>
      <c r="H3938">
        <v>0.11</v>
      </c>
      <c r="I3938" t="s">
        <v>71</v>
      </c>
      <c r="J3938">
        <v>6</v>
      </c>
      <c r="K3938">
        <v>2.7</v>
      </c>
      <c r="L3938" s="2">
        <v>2552.25</v>
      </c>
      <c r="M3938">
        <v>2032</v>
      </c>
      <c r="N3938">
        <v>10</v>
      </c>
      <c r="O3938" t="s">
        <v>209</v>
      </c>
      <c r="P3938" s="2">
        <v>2867.7</v>
      </c>
      <c r="Q3938" s="2">
        <v>315.45</v>
      </c>
      <c r="R3938" t="s">
        <v>79</v>
      </c>
      <c r="S3938">
        <v>1</v>
      </c>
      <c r="T3938">
        <v>0</v>
      </c>
      <c r="U3938">
        <f>IF(AND(OR(Dashboard!$D$4="Semua",D3938=Dashboard!$D$4),OR(Dashboard!$H$4="Semua",E3938=Dashboard!$H$4)),1,0)</f>
        <v>1</v>
      </c>
      <c r="V3938">
        <f>IF(U3938=1,IF(COUNTIFS($C$2:C3938,C3938,$U$2:U3938,1)=1,1,0),0)</f>
        <v>0</v>
      </c>
    </row>
    <row r="3939" spans="1:22" x14ac:dyDescent="0.35">
      <c r="A3939">
        <v>13938</v>
      </c>
      <c r="B3939" s="1">
        <v>48499</v>
      </c>
      <c r="C3939">
        <v>1471</v>
      </c>
      <c r="D3939" t="s">
        <v>80</v>
      </c>
      <c r="E3939" t="s">
        <v>78</v>
      </c>
      <c r="F3939">
        <v>7</v>
      </c>
      <c r="G3939" s="2">
        <v>428.14</v>
      </c>
      <c r="H3939">
        <v>0.26</v>
      </c>
      <c r="I3939" t="s">
        <v>68</v>
      </c>
      <c r="J3939">
        <v>7</v>
      </c>
      <c r="K3939">
        <v>1</v>
      </c>
      <c r="L3939" s="2">
        <v>2217.77</v>
      </c>
      <c r="M3939">
        <v>2032</v>
      </c>
      <c r="N3939">
        <v>10</v>
      </c>
      <c r="O3939" t="s">
        <v>209</v>
      </c>
      <c r="P3939" s="2">
        <v>2996.98</v>
      </c>
      <c r="Q3939" s="2">
        <v>779.21</v>
      </c>
      <c r="R3939" t="s">
        <v>66</v>
      </c>
      <c r="S3939">
        <v>1</v>
      </c>
      <c r="T3939">
        <v>0</v>
      </c>
      <c r="U3939">
        <f>IF(AND(OR(Dashboard!$D$4="Semua",D3939=Dashboard!$D$4),OR(Dashboard!$H$4="Semua",E3939=Dashboard!$H$4)),1,0)</f>
        <v>1</v>
      </c>
      <c r="V3939">
        <f>IF(U3939=1,IF(COUNTIFS($C$2:C3939,C3939,$U$2:U3939,1)=1,1,0),0)</f>
        <v>0</v>
      </c>
    </row>
    <row r="3940" spans="1:22" x14ac:dyDescent="0.35">
      <c r="A3940">
        <v>13939</v>
      </c>
      <c r="B3940" s="1">
        <v>48500</v>
      </c>
      <c r="C3940">
        <v>1654</v>
      </c>
      <c r="D3940" t="s">
        <v>62</v>
      </c>
      <c r="E3940" t="s">
        <v>70</v>
      </c>
      <c r="F3940">
        <v>5</v>
      </c>
      <c r="G3940" s="2">
        <v>596.44000000000005</v>
      </c>
      <c r="H3940">
        <v>0.31</v>
      </c>
      <c r="I3940" t="s">
        <v>68</v>
      </c>
      <c r="J3940">
        <v>5</v>
      </c>
      <c r="K3940">
        <v>2.1</v>
      </c>
      <c r="L3940" s="2">
        <v>2057.7199999999998</v>
      </c>
      <c r="M3940">
        <v>2032</v>
      </c>
      <c r="N3940">
        <v>10</v>
      </c>
      <c r="O3940" t="s">
        <v>209</v>
      </c>
      <c r="P3940" s="2">
        <v>2982.2</v>
      </c>
      <c r="Q3940" s="2">
        <v>924.48</v>
      </c>
      <c r="R3940" t="s">
        <v>72</v>
      </c>
      <c r="S3940">
        <v>1</v>
      </c>
      <c r="T3940">
        <v>0</v>
      </c>
      <c r="U3940">
        <f>IF(AND(OR(Dashboard!$D$4="Semua",D3940=Dashboard!$D$4),OR(Dashboard!$H$4="Semua",E3940=Dashboard!$H$4)),1,0)</f>
        <v>1</v>
      </c>
      <c r="V3940">
        <f>IF(U3940=1,IF(COUNTIFS($C$2:C3940,C3940,$U$2:U3940,1)=1,1,0),0)</f>
        <v>0</v>
      </c>
    </row>
    <row r="3941" spans="1:22" x14ac:dyDescent="0.35">
      <c r="A3941">
        <v>13940</v>
      </c>
      <c r="B3941" s="1">
        <v>48501</v>
      </c>
      <c r="C3941">
        <v>1943</v>
      </c>
      <c r="D3941" t="s">
        <v>62</v>
      </c>
      <c r="E3941" t="s">
        <v>74</v>
      </c>
      <c r="F3941">
        <v>3</v>
      </c>
      <c r="G3941" s="2">
        <v>417.21</v>
      </c>
      <c r="H3941">
        <v>0.05</v>
      </c>
      <c r="I3941" t="s">
        <v>71</v>
      </c>
      <c r="J3941">
        <v>9</v>
      </c>
      <c r="K3941">
        <v>4.8</v>
      </c>
      <c r="L3941" s="2">
        <v>1189.05</v>
      </c>
      <c r="M3941">
        <v>2032</v>
      </c>
      <c r="N3941">
        <v>10</v>
      </c>
      <c r="O3941" t="s">
        <v>209</v>
      </c>
      <c r="P3941" s="2">
        <v>1251.6300000000001</v>
      </c>
      <c r="Q3941" s="2">
        <v>62.58</v>
      </c>
      <c r="R3941" t="s">
        <v>75</v>
      </c>
      <c r="S3941">
        <v>1</v>
      </c>
      <c r="T3941">
        <v>0</v>
      </c>
      <c r="U3941">
        <f>IF(AND(OR(Dashboard!$D$4="Semua",D3941=Dashboard!$D$4),OR(Dashboard!$H$4="Semua",E3941=Dashboard!$H$4)),1,0)</f>
        <v>1</v>
      </c>
      <c r="V3941">
        <f>IF(U3941=1,IF(COUNTIFS($C$2:C3941,C3941,$U$2:U3941,1)=1,1,0),0)</f>
        <v>0</v>
      </c>
    </row>
    <row r="3942" spans="1:22" x14ac:dyDescent="0.35">
      <c r="A3942">
        <v>13941</v>
      </c>
      <c r="B3942" s="1">
        <v>48502</v>
      </c>
      <c r="C3942">
        <v>1198</v>
      </c>
      <c r="D3942" t="s">
        <v>80</v>
      </c>
      <c r="E3942" t="s">
        <v>70</v>
      </c>
      <c r="F3942">
        <v>7</v>
      </c>
      <c r="G3942" s="2">
        <v>35.1</v>
      </c>
      <c r="H3942">
        <v>0.25</v>
      </c>
      <c r="I3942" t="s">
        <v>71</v>
      </c>
      <c r="J3942">
        <v>3</v>
      </c>
      <c r="K3942">
        <v>4.0999999999999996</v>
      </c>
      <c r="L3942" s="2">
        <v>184.28</v>
      </c>
      <c r="M3942">
        <v>2032</v>
      </c>
      <c r="N3942">
        <v>10</v>
      </c>
      <c r="O3942" t="s">
        <v>209</v>
      </c>
      <c r="P3942" s="2">
        <v>245.7</v>
      </c>
      <c r="Q3942" s="2">
        <v>61.42</v>
      </c>
      <c r="R3942" t="s">
        <v>77</v>
      </c>
      <c r="S3942">
        <v>1</v>
      </c>
      <c r="T3942">
        <v>0</v>
      </c>
      <c r="U3942">
        <f>IF(AND(OR(Dashboard!$D$4="Semua",D3942=Dashboard!$D$4),OR(Dashboard!$H$4="Semua",E3942=Dashboard!$H$4)),1,0)</f>
        <v>1</v>
      </c>
      <c r="V3942">
        <f>IF(U3942=1,IF(COUNTIFS($C$2:C3942,C3942,$U$2:U3942,1)=1,1,0),0)</f>
        <v>0</v>
      </c>
    </row>
    <row r="3943" spans="1:22" x14ac:dyDescent="0.35">
      <c r="A3943">
        <v>13942</v>
      </c>
      <c r="B3943" s="1">
        <v>48503</v>
      </c>
      <c r="C3943">
        <v>1916</v>
      </c>
      <c r="D3943" t="s">
        <v>73</v>
      </c>
      <c r="E3943" t="s">
        <v>78</v>
      </c>
      <c r="F3943">
        <v>5</v>
      </c>
      <c r="G3943" s="2">
        <v>498.8</v>
      </c>
      <c r="H3943">
        <v>0.18</v>
      </c>
      <c r="I3943" t="s">
        <v>68</v>
      </c>
      <c r="J3943">
        <v>6</v>
      </c>
      <c r="K3943">
        <v>1.8</v>
      </c>
      <c r="L3943" s="2">
        <v>2045.08</v>
      </c>
      <c r="M3943">
        <v>2032</v>
      </c>
      <c r="N3943">
        <v>10</v>
      </c>
      <c r="O3943" t="s">
        <v>209</v>
      </c>
      <c r="P3943" s="2">
        <v>2494</v>
      </c>
      <c r="Q3943" s="2">
        <v>448.92</v>
      </c>
      <c r="R3943" t="s">
        <v>76</v>
      </c>
      <c r="S3943">
        <v>1</v>
      </c>
      <c r="T3943">
        <v>0</v>
      </c>
      <c r="U3943">
        <f>IF(AND(OR(Dashboard!$D$4="Semua",D3943=Dashboard!$D$4),OR(Dashboard!$H$4="Semua",E3943=Dashboard!$H$4)),1,0)</f>
        <v>1</v>
      </c>
      <c r="V3943">
        <f>IF(U3943=1,IF(COUNTIFS($C$2:C3943,C3943,$U$2:U3943,1)=1,1,0),0)</f>
        <v>0</v>
      </c>
    </row>
    <row r="3944" spans="1:22" x14ac:dyDescent="0.35">
      <c r="A3944">
        <v>13943</v>
      </c>
      <c r="B3944" s="1">
        <v>48504</v>
      </c>
      <c r="C3944">
        <v>1425</v>
      </c>
      <c r="D3944" t="s">
        <v>80</v>
      </c>
      <c r="E3944" t="s">
        <v>70</v>
      </c>
      <c r="F3944">
        <v>2</v>
      </c>
      <c r="G3944" s="2">
        <v>181.51</v>
      </c>
      <c r="H3944">
        <v>0.04</v>
      </c>
      <c r="I3944" t="s">
        <v>71</v>
      </c>
      <c r="J3944">
        <v>9</v>
      </c>
      <c r="K3944">
        <v>1.3</v>
      </c>
      <c r="L3944" s="2">
        <v>348.5</v>
      </c>
      <c r="M3944">
        <v>2032</v>
      </c>
      <c r="N3944">
        <v>10</v>
      </c>
      <c r="O3944" t="s">
        <v>209</v>
      </c>
      <c r="P3944" s="2">
        <v>363.02</v>
      </c>
      <c r="Q3944" s="2">
        <v>14.52</v>
      </c>
      <c r="R3944" t="s">
        <v>75</v>
      </c>
      <c r="S3944">
        <v>1</v>
      </c>
      <c r="T3944">
        <v>0</v>
      </c>
      <c r="U3944">
        <f>IF(AND(OR(Dashboard!$D$4="Semua",D3944=Dashboard!$D$4),OR(Dashboard!$H$4="Semua",E3944=Dashboard!$H$4)),1,0)</f>
        <v>1</v>
      </c>
      <c r="V3944">
        <f>IF(U3944=1,IF(COUNTIFS($C$2:C3944,C3944,$U$2:U3944,1)=1,1,0),0)</f>
        <v>0</v>
      </c>
    </row>
    <row r="3945" spans="1:22" x14ac:dyDescent="0.35">
      <c r="A3945">
        <v>13944</v>
      </c>
      <c r="B3945" s="1">
        <v>48505</v>
      </c>
      <c r="C3945">
        <v>1665</v>
      </c>
      <c r="D3945" t="s">
        <v>80</v>
      </c>
      <c r="E3945" t="s">
        <v>74</v>
      </c>
      <c r="F3945">
        <v>5</v>
      </c>
      <c r="G3945" s="2">
        <v>275.94</v>
      </c>
      <c r="H3945">
        <v>0.23</v>
      </c>
      <c r="I3945" t="s">
        <v>71</v>
      </c>
      <c r="J3945">
        <v>1</v>
      </c>
      <c r="K3945">
        <v>2.4</v>
      </c>
      <c r="L3945" s="2">
        <v>1062.3699999999999</v>
      </c>
      <c r="M3945">
        <v>2032</v>
      </c>
      <c r="N3945">
        <v>10</v>
      </c>
      <c r="O3945" t="s">
        <v>209</v>
      </c>
      <c r="P3945" s="2">
        <v>1379.7</v>
      </c>
      <c r="Q3945" s="2">
        <v>317.33</v>
      </c>
      <c r="R3945" t="s">
        <v>77</v>
      </c>
      <c r="S3945">
        <v>1</v>
      </c>
      <c r="T3945">
        <v>0</v>
      </c>
      <c r="U3945">
        <f>IF(AND(OR(Dashboard!$D$4="Semua",D3945=Dashboard!$D$4),OR(Dashboard!$H$4="Semua",E3945=Dashboard!$H$4)),1,0)</f>
        <v>1</v>
      </c>
      <c r="V3945">
        <f>IF(U3945=1,IF(COUNTIFS($C$2:C3945,C3945,$U$2:U3945,1)=1,1,0),0)</f>
        <v>0</v>
      </c>
    </row>
    <row r="3946" spans="1:22" x14ac:dyDescent="0.35">
      <c r="A3946">
        <v>13945</v>
      </c>
      <c r="B3946" s="1">
        <v>48506</v>
      </c>
      <c r="C3946">
        <v>1491</v>
      </c>
      <c r="D3946" t="s">
        <v>80</v>
      </c>
      <c r="E3946" t="s">
        <v>74</v>
      </c>
      <c r="F3946">
        <v>7</v>
      </c>
      <c r="G3946" s="2">
        <v>197.57</v>
      </c>
      <c r="H3946">
        <v>0.21</v>
      </c>
      <c r="I3946" t="s">
        <v>71</v>
      </c>
      <c r="J3946">
        <v>5</v>
      </c>
      <c r="K3946">
        <v>4.3</v>
      </c>
      <c r="L3946" s="2">
        <v>1092.56</v>
      </c>
      <c r="M3946">
        <v>2032</v>
      </c>
      <c r="N3946">
        <v>10</v>
      </c>
      <c r="O3946" t="s">
        <v>209</v>
      </c>
      <c r="P3946" s="2">
        <v>1382.99</v>
      </c>
      <c r="Q3946" s="2">
        <v>290.43</v>
      </c>
      <c r="R3946" t="s">
        <v>77</v>
      </c>
      <c r="S3946">
        <v>1</v>
      </c>
      <c r="T3946">
        <v>0</v>
      </c>
      <c r="U3946">
        <f>IF(AND(OR(Dashboard!$D$4="Semua",D3946=Dashboard!$D$4),OR(Dashboard!$H$4="Semua",E3946=Dashboard!$H$4)),1,0)</f>
        <v>1</v>
      </c>
      <c r="V3946">
        <f>IF(U3946=1,IF(COUNTIFS($C$2:C3946,C3946,$U$2:U3946,1)=1,1,0),0)</f>
        <v>0</v>
      </c>
    </row>
    <row r="3947" spans="1:22" x14ac:dyDescent="0.35">
      <c r="A3947">
        <v>13946</v>
      </c>
      <c r="B3947" s="1">
        <v>48507</v>
      </c>
      <c r="C3947">
        <v>1887</v>
      </c>
      <c r="D3947" t="s">
        <v>67</v>
      </c>
      <c r="E3947" t="s">
        <v>70</v>
      </c>
      <c r="F3947">
        <v>7</v>
      </c>
      <c r="G3947" s="2">
        <v>172.1</v>
      </c>
      <c r="H3947">
        <v>0.18</v>
      </c>
      <c r="I3947" t="s">
        <v>68</v>
      </c>
      <c r="J3947">
        <v>4</v>
      </c>
      <c r="K3947">
        <v>1.4</v>
      </c>
      <c r="L3947" s="2">
        <v>987.85</v>
      </c>
      <c r="M3947">
        <v>2032</v>
      </c>
      <c r="N3947">
        <v>10</v>
      </c>
      <c r="O3947" t="s">
        <v>209</v>
      </c>
      <c r="P3947" s="2">
        <v>1204.7</v>
      </c>
      <c r="Q3947" s="2">
        <v>216.85</v>
      </c>
      <c r="R3947" t="s">
        <v>76</v>
      </c>
      <c r="S3947">
        <v>1</v>
      </c>
      <c r="T3947">
        <v>0</v>
      </c>
      <c r="U3947">
        <f>IF(AND(OR(Dashboard!$D$4="Semua",D3947=Dashboard!$D$4),OR(Dashboard!$H$4="Semua",E3947=Dashboard!$H$4)),1,0)</f>
        <v>1</v>
      </c>
      <c r="V3947">
        <f>IF(U3947=1,IF(COUNTIFS($C$2:C3947,C3947,$U$2:U3947,1)=1,1,0),0)</f>
        <v>0</v>
      </c>
    </row>
    <row r="3948" spans="1:22" x14ac:dyDescent="0.35">
      <c r="A3948">
        <v>13947</v>
      </c>
      <c r="B3948" s="1">
        <v>48508</v>
      </c>
      <c r="C3948">
        <v>1895</v>
      </c>
      <c r="D3948" t="s">
        <v>73</v>
      </c>
      <c r="E3948" t="s">
        <v>70</v>
      </c>
      <c r="F3948">
        <v>2</v>
      </c>
      <c r="G3948" s="2">
        <v>267.37</v>
      </c>
      <c r="H3948">
        <v>0.32</v>
      </c>
      <c r="I3948" t="s">
        <v>68</v>
      </c>
      <c r="J3948">
        <v>9</v>
      </c>
      <c r="K3948">
        <v>3.2</v>
      </c>
      <c r="L3948" s="2">
        <v>363.62</v>
      </c>
      <c r="M3948">
        <v>2032</v>
      </c>
      <c r="N3948">
        <v>10</v>
      </c>
      <c r="O3948" t="s">
        <v>209</v>
      </c>
      <c r="P3948" s="2">
        <v>534.74</v>
      </c>
      <c r="Q3948" s="2">
        <v>171.12</v>
      </c>
      <c r="R3948" t="s">
        <v>72</v>
      </c>
      <c r="S3948">
        <v>1</v>
      </c>
      <c r="T3948">
        <v>0</v>
      </c>
      <c r="U3948">
        <f>IF(AND(OR(Dashboard!$D$4="Semua",D3948=Dashboard!$D$4),OR(Dashboard!$H$4="Semua",E3948=Dashboard!$H$4)),1,0)</f>
        <v>1</v>
      </c>
      <c r="V3948">
        <f>IF(U3948=1,IF(COUNTIFS($C$2:C3948,C3948,$U$2:U3948,1)=1,1,0),0)</f>
        <v>0</v>
      </c>
    </row>
    <row r="3949" spans="1:22" x14ac:dyDescent="0.35">
      <c r="A3949">
        <v>13948</v>
      </c>
      <c r="B3949" s="1">
        <v>48509</v>
      </c>
      <c r="C3949">
        <v>1141</v>
      </c>
      <c r="D3949" t="s">
        <v>80</v>
      </c>
      <c r="E3949" t="s">
        <v>74</v>
      </c>
      <c r="F3949">
        <v>1</v>
      </c>
      <c r="G3949" s="2">
        <v>236.57</v>
      </c>
      <c r="H3949">
        <v>0.18</v>
      </c>
      <c r="I3949" t="s">
        <v>64</v>
      </c>
      <c r="J3949">
        <v>11</v>
      </c>
      <c r="K3949">
        <v>2.1</v>
      </c>
      <c r="L3949" s="2">
        <v>193.99</v>
      </c>
      <c r="M3949">
        <v>2032</v>
      </c>
      <c r="N3949">
        <v>10</v>
      </c>
      <c r="O3949" t="s">
        <v>209</v>
      </c>
      <c r="P3949" s="2">
        <v>236.57</v>
      </c>
      <c r="Q3949" s="2">
        <v>42.58</v>
      </c>
      <c r="R3949" t="s">
        <v>76</v>
      </c>
      <c r="S3949">
        <v>1</v>
      </c>
      <c r="T3949">
        <v>0</v>
      </c>
      <c r="U3949">
        <f>IF(AND(OR(Dashboard!$D$4="Semua",D3949=Dashboard!$D$4),OR(Dashboard!$H$4="Semua",E3949=Dashboard!$H$4)),1,0)</f>
        <v>1</v>
      </c>
      <c r="V3949">
        <f>IF(U3949=1,IF(COUNTIFS($C$2:C3949,C3949,$U$2:U3949,1)=1,1,0),0)</f>
        <v>0</v>
      </c>
    </row>
    <row r="3950" spans="1:22" x14ac:dyDescent="0.35">
      <c r="A3950">
        <v>13949</v>
      </c>
      <c r="B3950" s="1">
        <v>48510</v>
      </c>
      <c r="C3950">
        <v>1312</v>
      </c>
      <c r="D3950" t="s">
        <v>80</v>
      </c>
      <c r="E3950" t="s">
        <v>74</v>
      </c>
      <c r="F3950">
        <v>7</v>
      </c>
      <c r="G3950" s="2">
        <v>385.5</v>
      </c>
      <c r="H3950">
        <v>0.35</v>
      </c>
      <c r="I3950" t="s">
        <v>64</v>
      </c>
      <c r="J3950">
        <v>11</v>
      </c>
      <c r="K3950">
        <v>3.9</v>
      </c>
      <c r="L3950" s="2">
        <v>1754.02</v>
      </c>
      <c r="M3950">
        <v>2032</v>
      </c>
      <c r="N3950">
        <v>10</v>
      </c>
      <c r="O3950" t="s">
        <v>209</v>
      </c>
      <c r="P3950" s="2">
        <v>2698.5</v>
      </c>
      <c r="Q3950" s="2">
        <v>944.48</v>
      </c>
      <c r="R3950" t="s">
        <v>72</v>
      </c>
      <c r="S3950">
        <v>1</v>
      </c>
      <c r="T3950">
        <v>0</v>
      </c>
      <c r="U3950">
        <f>IF(AND(OR(Dashboard!$D$4="Semua",D3950=Dashboard!$D$4),OR(Dashboard!$H$4="Semua",E3950=Dashboard!$H$4)),1,0)</f>
        <v>1</v>
      </c>
      <c r="V3950">
        <f>IF(U3950=1,IF(COUNTIFS($C$2:C3950,C3950,$U$2:U3950,1)=1,1,0),0)</f>
        <v>0</v>
      </c>
    </row>
    <row r="3951" spans="1:22" x14ac:dyDescent="0.35">
      <c r="A3951">
        <v>13950</v>
      </c>
      <c r="B3951" s="1">
        <v>48511</v>
      </c>
      <c r="C3951">
        <v>1164</v>
      </c>
      <c r="D3951" t="s">
        <v>62</v>
      </c>
      <c r="E3951" t="s">
        <v>63</v>
      </c>
      <c r="F3951">
        <v>5</v>
      </c>
      <c r="G3951" s="2">
        <v>490.69</v>
      </c>
      <c r="H3951">
        <v>0.18</v>
      </c>
      <c r="I3951" t="s">
        <v>71</v>
      </c>
      <c r="J3951">
        <v>1</v>
      </c>
      <c r="K3951">
        <v>1</v>
      </c>
      <c r="L3951" s="2">
        <v>2011.83</v>
      </c>
      <c r="M3951">
        <v>2032</v>
      </c>
      <c r="N3951">
        <v>10</v>
      </c>
      <c r="O3951" t="s">
        <v>209</v>
      </c>
      <c r="P3951" s="2">
        <v>2453.4499999999998</v>
      </c>
      <c r="Q3951" s="2">
        <v>441.62</v>
      </c>
      <c r="R3951" t="s">
        <v>76</v>
      </c>
      <c r="S3951">
        <v>1</v>
      </c>
      <c r="T3951">
        <v>0</v>
      </c>
      <c r="U3951">
        <f>IF(AND(OR(Dashboard!$D$4="Semua",D3951=Dashboard!$D$4),OR(Dashboard!$H$4="Semua",E3951=Dashboard!$H$4)),1,0)</f>
        <v>1</v>
      </c>
      <c r="V3951">
        <f>IF(U3951=1,IF(COUNTIFS($C$2:C3951,C3951,$U$2:U3951,1)=1,1,0),0)</f>
        <v>0</v>
      </c>
    </row>
    <row r="3952" spans="1:22" x14ac:dyDescent="0.35">
      <c r="A3952">
        <v>13951</v>
      </c>
      <c r="B3952" s="1">
        <v>48512</v>
      </c>
      <c r="C3952">
        <v>1313</v>
      </c>
      <c r="D3952" t="s">
        <v>73</v>
      </c>
      <c r="E3952" t="s">
        <v>63</v>
      </c>
      <c r="F3952">
        <v>2</v>
      </c>
      <c r="G3952" s="2">
        <v>188.8</v>
      </c>
      <c r="H3952">
        <v>0.04</v>
      </c>
      <c r="I3952" t="s">
        <v>68</v>
      </c>
      <c r="J3952">
        <v>4</v>
      </c>
      <c r="K3952">
        <v>2.1</v>
      </c>
      <c r="L3952" s="2">
        <v>362.5</v>
      </c>
      <c r="M3952">
        <v>2032</v>
      </c>
      <c r="N3952">
        <v>10</v>
      </c>
      <c r="O3952" t="s">
        <v>209</v>
      </c>
      <c r="P3952" s="2">
        <v>377.6</v>
      </c>
      <c r="Q3952" s="2">
        <v>15.1</v>
      </c>
      <c r="R3952" t="s">
        <v>75</v>
      </c>
      <c r="S3952">
        <v>1</v>
      </c>
      <c r="T3952">
        <v>0</v>
      </c>
      <c r="U3952">
        <f>IF(AND(OR(Dashboard!$D$4="Semua",D3952=Dashboard!$D$4),OR(Dashboard!$H$4="Semua",E3952=Dashboard!$H$4)),1,0)</f>
        <v>1</v>
      </c>
      <c r="V3952">
        <f>IF(U3952=1,IF(COUNTIFS($C$2:C3952,C3952,$U$2:U3952,1)=1,1,0),0)</f>
        <v>0</v>
      </c>
    </row>
    <row r="3953" spans="1:22" x14ac:dyDescent="0.35">
      <c r="A3953">
        <v>13952</v>
      </c>
      <c r="B3953" s="1">
        <v>48513</v>
      </c>
      <c r="C3953">
        <v>1020</v>
      </c>
      <c r="D3953" t="s">
        <v>73</v>
      </c>
      <c r="E3953" t="s">
        <v>74</v>
      </c>
      <c r="F3953">
        <v>6</v>
      </c>
      <c r="G3953" s="2">
        <v>140.03</v>
      </c>
      <c r="H3953">
        <v>0.16</v>
      </c>
      <c r="I3953" t="s">
        <v>71</v>
      </c>
      <c r="J3953">
        <v>1</v>
      </c>
      <c r="K3953">
        <v>3.7</v>
      </c>
      <c r="L3953" s="2">
        <v>705.75</v>
      </c>
      <c r="M3953">
        <v>2032</v>
      </c>
      <c r="N3953">
        <v>10</v>
      </c>
      <c r="O3953" t="s">
        <v>209</v>
      </c>
      <c r="P3953" s="2">
        <v>840.18</v>
      </c>
      <c r="Q3953" s="2">
        <v>134.43</v>
      </c>
      <c r="R3953" t="s">
        <v>76</v>
      </c>
      <c r="S3953">
        <v>1</v>
      </c>
      <c r="T3953">
        <v>0</v>
      </c>
      <c r="U3953">
        <f>IF(AND(OR(Dashboard!$D$4="Semua",D3953=Dashboard!$D$4),OR(Dashboard!$H$4="Semua",E3953=Dashboard!$H$4)),1,0)</f>
        <v>1</v>
      </c>
      <c r="V3953">
        <f>IF(U3953=1,IF(COUNTIFS($C$2:C3953,C3953,$U$2:U3953,1)=1,1,0),0)</f>
        <v>0</v>
      </c>
    </row>
    <row r="3954" spans="1:22" x14ac:dyDescent="0.35">
      <c r="A3954">
        <v>13953</v>
      </c>
      <c r="B3954" s="1">
        <v>48514</v>
      </c>
      <c r="C3954">
        <v>1081</v>
      </c>
      <c r="D3954" t="s">
        <v>73</v>
      </c>
      <c r="E3954" t="s">
        <v>70</v>
      </c>
      <c r="F3954">
        <v>7</v>
      </c>
      <c r="G3954" s="2">
        <v>405.13</v>
      </c>
      <c r="H3954">
        <v>0.06</v>
      </c>
      <c r="I3954" t="s">
        <v>64</v>
      </c>
      <c r="J3954">
        <v>3</v>
      </c>
      <c r="K3954">
        <v>3.2</v>
      </c>
      <c r="L3954" s="2">
        <v>2665.76</v>
      </c>
      <c r="M3954">
        <v>2032</v>
      </c>
      <c r="N3954">
        <v>10</v>
      </c>
      <c r="O3954" t="s">
        <v>209</v>
      </c>
      <c r="P3954" s="2">
        <v>2835.91</v>
      </c>
      <c r="Q3954" s="2">
        <v>170.15</v>
      </c>
      <c r="R3954" t="s">
        <v>69</v>
      </c>
      <c r="S3954">
        <v>1</v>
      </c>
      <c r="T3954">
        <v>0</v>
      </c>
      <c r="U3954">
        <f>IF(AND(OR(Dashboard!$D$4="Semua",D3954=Dashboard!$D$4),OR(Dashboard!$H$4="Semua",E3954=Dashboard!$H$4)),1,0)</f>
        <v>1</v>
      </c>
      <c r="V3954">
        <f>IF(U3954=1,IF(COUNTIFS($C$2:C3954,C3954,$U$2:U3954,1)=1,1,0),0)</f>
        <v>0</v>
      </c>
    </row>
    <row r="3955" spans="1:22" x14ac:dyDescent="0.35">
      <c r="A3955">
        <v>13954</v>
      </c>
      <c r="B3955" s="1">
        <v>48515</v>
      </c>
      <c r="C3955">
        <v>1580</v>
      </c>
      <c r="D3955" t="s">
        <v>80</v>
      </c>
      <c r="E3955" t="s">
        <v>78</v>
      </c>
      <c r="F3955">
        <v>4</v>
      </c>
      <c r="G3955" s="2">
        <v>407.14</v>
      </c>
      <c r="H3955">
        <v>0.21</v>
      </c>
      <c r="I3955" t="s">
        <v>68</v>
      </c>
      <c r="J3955">
        <v>4</v>
      </c>
      <c r="K3955">
        <v>4.0999999999999996</v>
      </c>
      <c r="L3955" s="2">
        <v>1286.56</v>
      </c>
      <c r="M3955">
        <v>2032</v>
      </c>
      <c r="N3955">
        <v>10</v>
      </c>
      <c r="O3955" t="s">
        <v>209</v>
      </c>
      <c r="P3955" s="2">
        <v>1628.56</v>
      </c>
      <c r="Q3955" s="2">
        <v>342</v>
      </c>
      <c r="R3955" t="s">
        <v>77</v>
      </c>
      <c r="S3955">
        <v>1</v>
      </c>
      <c r="T3955">
        <v>0</v>
      </c>
      <c r="U3955">
        <f>IF(AND(OR(Dashboard!$D$4="Semua",D3955=Dashboard!$D$4),OR(Dashboard!$H$4="Semua",E3955=Dashboard!$H$4)),1,0)</f>
        <v>1</v>
      </c>
      <c r="V3955">
        <f>IF(U3955=1,IF(COUNTIFS($C$2:C3955,C3955,$U$2:U3955,1)=1,1,0),0)</f>
        <v>0</v>
      </c>
    </row>
    <row r="3956" spans="1:22" x14ac:dyDescent="0.35">
      <c r="A3956">
        <v>13955</v>
      </c>
      <c r="B3956" s="1">
        <v>48516</v>
      </c>
      <c r="C3956">
        <v>1130</v>
      </c>
      <c r="D3956" t="s">
        <v>73</v>
      </c>
      <c r="E3956" t="s">
        <v>70</v>
      </c>
      <c r="F3956">
        <v>6</v>
      </c>
      <c r="G3956" s="2">
        <v>542.16</v>
      </c>
      <c r="H3956">
        <v>0.24</v>
      </c>
      <c r="I3956" t="s">
        <v>68</v>
      </c>
      <c r="J3956">
        <v>1</v>
      </c>
      <c r="K3956">
        <v>1.6</v>
      </c>
      <c r="L3956" s="2">
        <v>2472.25</v>
      </c>
      <c r="M3956">
        <v>2032</v>
      </c>
      <c r="N3956">
        <v>10</v>
      </c>
      <c r="O3956" t="s">
        <v>209</v>
      </c>
      <c r="P3956" s="2">
        <v>3252.96</v>
      </c>
      <c r="Q3956" s="2">
        <v>780.71</v>
      </c>
      <c r="R3956" t="s">
        <v>77</v>
      </c>
      <c r="S3956">
        <v>1</v>
      </c>
      <c r="T3956">
        <v>0</v>
      </c>
      <c r="U3956">
        <f>IF(AND(OR(Dashboard!$D$4="Semua",D3956=Dashboard!$D$4),OR(Dashboard!$H$4="Semua",E3956=Dashboard!$H$4)),1,0)</f>
        <v>1</v>
      </c>
      <c r="V3956">
        <f>IF(U3956=1,IF(COUNTIFS($C$2:C3956,C3956,$U$2:U3956,1)=1,1,0),0)</f>
        <v>0</v>
      </c>
    </row>
    <row r="3957" spans="1:22" x14ac:dyDescent="0.35">
      <c r="A3957">
        <v>13956</v>
      </c>
      <c r="B3957" s="1">
        <v>48517</v>
      </c>
      <c r="C3957">
        <v>1598</v>
      </c>
      <c r="D3957" t="s">
        <v>73</v>
      </c>
      <c r="E3957" t="s">
        <v>70</v>
      </c>
      <c r="F3957">
        <v>3</v>
      </c>
      <c r="G3957" s="2">
        <v>24.33</v>
      </c>
      <c r="H3957">
        <v>0.16</v>
      </c>
      <c r="I3957" t="s">
        <v>71</v>
      </c>
      <c r="J3957">
        <v>5</v>
      </c>
      <c r="K3957">
        <v>3.1</v>
      </c>
      <c r="L3957" s="2">
        <v>61.31</v>
      </c>
      <c r="M3957">
        <v>2032</v>
      </c>
      <c r="N3957">
        <v>10</v>
      </c>
      <c r="O3957" t="s">
        <v>209</v>
      </c>
      <c r="P3957" s="2">
        <v>72.989999999999995</v>
      </c>
      <c r="Q3957" s="2">
        <v>11.68</v>
      </c>
      <c r="R3957" t="s">
        <v>76</v>
      </c>
      <c r="S3957">
        <v>1</v>
      </c>
      <c r="T3957">
        <v>0</v>
      </c>
      <c r="U3957">
        <f>IF(AND(OR(Dashboard!$D$4="Semua",D3957=Dashboard!$D$4),OR(Dashboard!$H$4="Semua",E3957=Dashboard!$H$4)),1,0)</f>
        <v>1</v>
      </c>
      <c r="V3957">
        <f>IF(U3957=1,IF(COUNTIFS($C$2:C3957,C3957,$U$2:U3957,1)=1,1,0),0)</f>
        <v>0</v>
      </c>
    </row>
    <row r="3958" spans="1:22" x14ac:dyDescent="0.35">
      <c r="A3958">
        <v>13957</v>
      </c>
      <c r="B3958" s="1">
        <v>48518</v>
      </c>
      <c r="C3958">
        <v>1729</v>
      </c>
      <c r="D3958" t="s">
        <v>62</v>
      </c>
      <c r="E3958" t="s">
        <v>63</v>
      </c>
      <c r="F3958">
        <v>7</v>
      </c>
      <c r="G3958" s="2">
        <v>514.03</v>
      </c>
      <c r="H3958">
        <v>0.03</v>
      </c>
      <c r="I3958" t="s">
        <v>64</v>
      </c>
      <c r="J3958">
        <v>6</v>
      </c>
      <c r="K3958">
        <v>1.8</v>
      </c>
      <c r="L3958" s="2">
        <v>3490.26</v>
      </c>
      <c r="M3958">
        <v>2032</v>
      </c>
      <c r="N3958">
        <v>10</v>
      </c>
      <c r="O3958" t="s">
        <v>209</v>
      </c>
      <c r="P3958" s="2">
        <v>3598.21</v>
      </c>
      <c r="Q3958" s="2">
        <v>107.95</v>
      </c>
      <c r="R3958" t="s">
        <v>75</v>
      </c>
      <c r="S3958">
        <v>1</v>
      </c>
      <c r="T3958">
        <v>1</v>
      </c>
      <c r="U3958">
        <f>IF(AND(OR(Dashboard!$D$4="Semua",D3958=Dashboard!$D$4),OR(Dashboard!$H$4="Semua",E3958=Dashboard!$H$4)),1,0)</f>
        <v>1</v>
      </c>
      <c r="V3958">
        <f>IF(U3958=1,IF(COUNTIFS($C$2:C3958,C3958,$U$2:U3958,1)=1,1,0),0)</f>
        <v>0</v>
      </c>
    </row>
    <row r="3959" spans="1:22" x14ac:dyDescent="0.35">
      <c r="A3959">
        <v>13958</v>
      </c>
      <c r="B3959" s="1">
        <v>48519</v>
      </c>
      <c r="C3959">
        <v>1932</v>
      </c>
      <c r="D3959" t="s">
        <v>73</v>
      </c>
      <c r="E3959" t="s">
        <v>63</v>
      </c>
      <c r="F3959">
        <v>2</v>
      </c>
      <c r="G3959" s="2">
        <v>319.79000000000002</v>
      </c>
      <c r="H3959">
        <v>0.16</v>
      </c>
      <c r="I3959" t="s">
        <v>68</v>
      </c>
      <c r="J3959">
        <v>1</v>
      </c>
      <c r="K3959">
        <v>3.6</v>
      </c>
      <c r="L3959" s="2">
        <v>537.25</v>
      </c>
      <c r="M3959">
        <v>2032</v>
      </c>
      <c r="N3959">
        <v>11</v>
      </c>
      <c r="O3959" t="s">
        <v>210</v>
      </c>
      <c r="P3959" s="2">
        <v>639.58000000000004</v>
      </c>
      <c r="Q3959" s="2">
        <v>102.33</v>
      </c>
      <c r="R3959" t="s">
        <v>76</v>
      </c>
      <c r="S3959">
        <v>1</v>
      </c>
      <c r="T3959">
        <v>0</v>
      </c>
      <c r="U3959">
        <f>IF(AND(OR(Dashboard!$D$4="Semua",D3959=Dashboard!$D$4),OR(Dashboard!$H$4="Semua",E3959=Dashboard!$H$4)),1,0)</f>
        <v>1</v>
      </c>
      <c r="V3959">
        <f>IF(U3959=1,IF(COUNTIFS($C$2:C3959,C3959,$U$2:U3959,1)=1,1,0),0)</f>
        <v>0</v>
      </c>
    </row>
    <row r="3960" spans="1:22" x14ac:dyDescent="0.35">
      <c r="A3960">
        <v>13959</v>
      </c>
      <c r="B3960" s="1">
        <v>48520</v>
      </c>
      <c r="C3960">
        <v>1983</v>
      </c>
      <c r="D3960" t="s">
        <v>80</v>
      </c>
      <c r="E3960" t="s">
        <v>63</v>
      </c>
      <c r="F3960">
        <v>6</v>
      </c>
      <c r="G3960" s="2">
        <v>378.46</v>
      </c>
      <c r="H3960">
        <v>0.03</v>
      </c>
      <c r="I3960" t="s">
        <v>71</v>
      </c>
      <c r="J3960">
        <v>10</v>
      </c>
      <c r="K3960">
        <v>1.5</v>
      </c>
      <c r="L3960" s="2">
        <v>2202.64</v>
      </c>
      <c r="M3960">
        <v>2032</v>
      </c>
      <c r="N3960">
        <v>11</v>
      </c>
      <c r="O3960" t="s">
        <v>210</v>
      </c>
      <c r="P3960" s="2">
        <v>2270.7600000000002</v>
      </c>
      <c r="Q3960" s="2">
        <v>68.12</v>
      </c>
      <c r="R3960" t="s">
        <v>75</v>
      </c>
      <c r="S3960">
        <v>1</v>
      </c>
      <c r="T3960">
        <v>0</v>
      </c>
      <c r="U3960">
        <f>IF(AND(OR(Dashboard!$D$4="Semua",D3960=Dashboard!$D$4),OR(Dashboard!$H$4="Semua",E3960=Dashboard!$H$4)),1,0)</f>
        <v>1</v>
      </c>
      <c r="V3960">
        <f>IF(U3960=1,IF(COUNTIFS($C$2:C3960,C3960,$U$2:U3960,1)=1,1,0),0)</f>
        <v>0</v>
      </c>
    </row>
    <row r="3961" spans="1:22" x14ac:dyDescent="0.35">
      <c r="A3961">
        <v>13960</v>
      </c>
      <c r="B3961" s="1">
        <v>48521</v>
      </c>
      <c r="C3961">
        <v>1304</v>
      </c>
      <c r="D3961" t="s">
        <v>67</v>
      </c>
      <c r="E3961" t="s">
        <v>74</v>
      </c>
      <c r="F3961">
        <v>5</v>
      </c>
      <c r="G3961" s="2">
        <v>68.45</v>
      </c>
      <c r="H3961">
        <v>0.24</v>
      </c>
      <c r="I3961" t="s">
        <v>71</v>
      </c>
      <c r="J3961">
        <v>11</v>
      </c>
      <c r="K3961">
        <v>1.6</v>
      </c>
      <c r="L3961" s="2">
        <v>260.11</v>
      </c>
      <c r="M3961">
        <v>2032</v>
      </c>
      <c r="N3961">
        <v>11</v>
      </c>
      <c r="O3961" t="s">
        <v>210</v>
      </c>
      <c r="P3961" s="2">
        <v>342.25</v>
      </c>
      <c r="Q3961" s="2">
        <v>82.14</v>
      </c>
      <c r="R3961" t="s">
        <v>77</v>
      </c>
      <c r="S3961">
        <v>1</v>
      </c>
      <c r="T3961">
        <v>0</v>
      </c>
      <c r="U3961">
        <f>IF(AND(OR(Dashboard!$D$4="Semua",D3961=Dashboard!$D$4),OR(Dashboard!$H$4="Semua",E3961=Dashboard!$H$4)),1,0)</f>
        <v>1</v>
      </c>
      <c r="V3961">
        <f>IF(U3961=1,IF(COUNTIFS($C$2:C3961,C3961,$U$2:U3961,1)=1,1,0),0)</f>
        <v>0</v>
      </c>
    </row>
    <row r="3962" spans="1:22" x14ac:dyDescent="0.35">
      <c r="A3962">
        <v>13961</v>
      </c>
      <c r="B3962" s="1">
        <v>48522</v>
      </c>
      <c r="C3962">
        <v>1914</v>
      </c>
      <c r="D3962" t="s">
        <v>80</v>
      </c>
      <c r="E3962" t="s">
        <v>74</v>
      </c>
      <c r="F3962">
        <v>5</v>
      </c>
      <c r="G3962" s="2">
        <v>268.08</v>
      </c>
      <c r="H3962">
        <v>0.28000000000000003</v>
      </c>
      <c r="I3962" t="s">
        <v>71</v>
      </c>
      <c r="J3962">
        <v>10</v>
      </c>
      <c r="K3962">
        <v>2.2999999999999998</v>
      </c>
      <c r="L3962" s="2">
        <v>965.09</v>
      </c>
      <c r="M3962">
        <v>2032</v>
      </c>
      <c r="N3962">
        <v>11</v>
      </c>
      <c r="O3962" t="s">
        <v>210</v>
      </c>
      <c r="P3962" s="2">
        <v>1340.4</v>
      </c>
      <c r="Q3962" s="2">
        <v>375.31</v>
      </c>
      <c r="R3962" t="s">
        <v>66</v>
      </c>
      <c r="S3962">
        <v>1</v>
      </c>
      <c r="T3962">
        <v>0</v>
      </c>
      <c r="U3962">
        <f>IF(AND(OR(Dashboard!$D$4="Semua",D3962=Dashboard!$D$4),OR(Dashboard!$H$4="Semua",E3962=Dashboard!$H$4)),1,0)</f>
        <v>1</v>
      </c>
      <c r="V3962">
        <f>IF(U3962=1,IF(COUNTIFS($C$2:C3962,C3962,$U$2:U3962,1)=1,1,0),0)</f>
        <v>0</v>
      </c>
    </row>
    <row r="3963" spans="1:22" x14ac:dyDescent="0.35">
      <c r="A3963">
        <v>13962</v>
      </c>
      <c r="B3963" s="1">
        <v>48523</v>
      </c>
      <c r="C3963">
        <v>1370</v>
      </c>
      <c r="D3963" t="s">
        <v>67</v>
      </c>
      <c r="E3963" t="s">
        <v>70</v>
      </c>
      <c r="F3963">
        <v>7</v>
      </c>
      <c r="G3963" s="2">
        <v>147.97</v>
      </c>
      <c r="H3963">
        <v>0.34</v>
      </c>
      <c r="I3963" t="s">
        <v>71</v>
      </c>
      <c r="J3963">
        <v>4</v>
      </c>
      <c r="K3963">
        <v>2.6</v>
      </c>
      <c r="L3963" s="2">
        <v>683.62</v>
      </c>
      <c r="M3963">
        <v>2032</v>
      </c>
      <c r="N3963">
        <v>11</v>
      </c>
      <c r="O3963" t="s">
        <v>210</v>
      </c>
      <c r="P3963" s="2">
        <v>1035.79</v>
      </c>
      <c r="Q3963" s="2">
        <v>352.17</v>
      </c>
      <c r="R3963" t="s">
        <v>72</v>
      </c>
      <c r="S3963">
        <v>1</v>
      </c>
      <c r="T3963">
        <v>0</v>
      </c>
      <c r="U3963">
        <f>IF(AND(OR(Dashboard!$D$4="Semua",D3963=Dashboard!$D$4),OR(Dashboard!$H$4="Semua",E3963=Dashboard!$H$4)),1,0)</f>
        <v>1</v>
      </c>
      <c r="V3963">
        <f>IF(U3963=1,IF(COUNTIFS($C$2:C3963,C3963,$U$2:U3963,1)=1,1,0),0)</f>
        <v>0</v>
      </c>
    </row>
    <row r="3964" spans="1:22" x14ac:dyDescent="0.35">
      <c r="A3964">
        <v>13963</v>
      </c>
      <c r="B3964" s="1">
        <v>48524</v>
      </c>
      <c r="C3964">
        <v>1856</v>
      </c>
      <c r="D3964" t="s">
        <v>62</v>
      </c>
      <c r="E3964" t="s">
        <v>70</v>
      </c>
      <c r="F3964">
        <v>1</v>
      </c>
      <c r="G3964" s="2">
        <v>163.72</v>
      </c>
      <c r="H3964">
        <v>0.05</v>
      </c>
      <c r="I3964" t="s">
        <v>71</v>
      </c>
      <c r="J3964">
        <v>4</v>
      </c>
      <c r="K3964">
        <v>3</v>
      </c>
      <c r="L3964" s="2">
        <v>155.53</v>
      </c>
      <c r="M3964">
        <v>2032</v>
      </c>
      <c r="N3964">
        <v>11</v>
      </c>
      <c r="O3964" t="s">
        <v>210</v>
      </c>
      <c r="P3964" s="2">
        <v>163.72</v>
      </c>
      <c r="Q3964" s="2">
        <v>8.19</v>
      </c>
      <c r="R3964" t="s">
        <v>75</v>
      </c>
      <c r="S3964">
        <v>1</v>
      </c>
      <c r="T3964">
        <v>0</v>
      </c>
      <c r="U3964">
        <f>IF(AND(OR(Dashboard!$D$4="Semua",D3964=Dashboard!$D$4),OR(Dashboard!$H$4="Semua",E3964=Dashboard!$H$4)),1,0)</f>
        <v>1</v>
      </c>
      <c r="V3964">
        <f>IF(U3964=1,IF(COUNTIFS($C$2:C3964,C3964,$U$2:U3964,1)=1,1,0),0)</f>
        <v>0</v>
      </c>
    </row>
    <row r="3965" spans="1:22" x14ac:dyDescent="0.35">
      <c r="A3965">
        <v>13964</v>
      </c>
      <c r="B3965" s="1">
        <v>48525</v>
      </c>
      <c r="C3965">
        <v>1852</v>
      </c>
      <c r="D3965" t="s">
        <v>62</v>
      </c>
      <c r="E3965" t="s">
        <v>78</v>
      </c>
      <c r="F3965">
        <v>4</v>
      </c>
      <c r="G3965" s="2">
        <v>309.89999999999998</v>
      </c>
      <c r="H3965">
        <v>0.19</v>
      </c>
      <c r="I3965" t="s">
        <v>68</v>
      </c>
      <c r="J3965">
        <v>1</v>
      </c>
      <c r="K3965">
        <v>3.3</v>
      </c>
      <c r="L3965" s="2">
        <v>1004.08</v>
      </c>
      <c r="M3965">
        <v>2032</v>
      </c>
      <c r="N3965">
        <v>11</v>
      </c>
      <c r="O3965" t="s">
        <v>210</v>
      </c>
      <c r="P3965" s="2">
        <v>1239.5999999999999</v>
      </c>
      <c r="Q3965" s="2">
        <v>235.52</v>
      </c>
      <c r="R3965" t="s">
        <v>76</v>
      </c>
      <c r="S3965">
        <v>1</v>
      </c>
      <c r="T3965">
        <v>0</v>
      </c>
      <c r="U3965">
        <f>IF(AND(OR(Dashboard!$D$4="Semua",D3965=Dashboard!$D$4),OR(Dashboard!$H$4="Semua",E3965=Dashboard!$H$4)),1,0)</f>
        <v>1</v>
      </c>
      <c r="V3965">
        <f>IF(U3965=1,IF(COUNTIFS($C$2:C3965,C3965,$U$2:U3965,1)=1,1,0),0)</f>
        <v>0</v>
      </c>
    </row>
    <row r="3966" spans="1:22" x14ac:dyDescent="0.35">
      <c r="A3966">
        <v>13965</v>
      </c>
      <c r="B3966" s="1">
        <v>48526</v>
      </c>
      <c r="C3966">
        <v>1383</v>
      </c>
      <c r="D3966" t="s">
        <v>73</v>
      </c>
      <c r="E3966" t="s">
        <v>70</v>
      </c>
      <c r="F3966">
        <v>7</v>
      </c>
      <c r="G3966" s="2">
        <v>490.29</v>
      </c>
      <c r="H3966">
        <v>0.2</v>
      </c>
      <c r="I3966" t="s">
        <v>68</v>
      </c>
      <c r="J3966">
        <v>2</v>
      </c>
      <c r="K3966">
        <v>2.9</v>
      </c>
      <c r="L3966" s="2">
        <v>2745.62</v>
      </c>
      <c r="M3966">
        <v>2032</v>
      </c>
      <c r="N3966">
        <v>11</v>
      </c>
      <c r="O3966" t="s">
        <v>210</v>
      </c>
      <c r="P3966" s="2">
        <v>3432.03</v>
      </c>
      <c r="Q3966" s="2">
        <v>686.41</v>
      </c>
      <c r="R3966" t="s">
        <v>76</v>
      </c>
      <c r="S3966">
        <v>1</v>
      </c>
      <c r="T3966">
        <v>0</v>
      </c>
      <c r="U3966">
        <f>IF(AND(OR(Dashboard!$D$4="Semua",D3966=Dashboard!$D$4),OR(Dashboard!$H$4="Semua",E3966=Dashboard!$H$4)),1,0)</f>
        <v>1</v>
      </c>
      <c r="V3966">
        <f>IF(U3966=1,IF(COUNTIFS($C$2:C3966,C3966,$U$2:U3966,1)=1,1,0),0)</f>
        <v>0</v>
      </c>
    </row>
    <row r="3967" spans="1:22" x14ac:dyDescent="0.35">
      <c r="A3967">
        <v>13966</v>
      </c>
      <c r="B3967" s="1">
        <v>48527</v>
      </c>
      <c r="C3967">
        <v>1907</v>
      </c>
      <c r="D3967" t="s">
        <v>73</v>
      </c>
      <c r="E3967" t="s">
        <v>70</v>
      </c>
      <c r="F3967">
        <v>2</v>
      </c>
      <c r="G3967" s="2">
        <v>450.11</v>
      </c>
      <c r="H3967">
        <v>0.32</v>
      </c>
      <c r="I3967" t="s">
        <v>71</v>
      </c>
      <c r="J3967">
        <v>11</v>
      </c>
      <c r="K3967">
        <v>1.2</v>
      </c>
      <c r="L3967" s="2">
        <v>612.15</v>
      </c>
      <c r="M3967">
        <v>2032</v>
      </c>
      <c r="N3967">
        <v>11</v>
      </c>
      <c r="O3967" t="s">
        <v>210</v>
      </c>
      <c r="P3967" s="2">
        <v>900.22</v>
      </c>
      <c r="Q3967" s="2">
        <v>288.07</v>
      </c>
      <c r="R3967" t="s">
        <v>72</v>
      </c>
      <c r="S3967">
        <v>1</v>
      </c>
      <c r="T3967">
        <v>0</v>
      </c>
      <c r="U3967">
        <f>IF(AND(OR(Dashboard!$D$4="Semua",D3967=Dashboard!$D$4),OR(Dashboard!$H$4="Semua",E3967=Dashboard!$H$4)),1,0)</f>
        <v>1</v>
      </c>
      <c r="V3967">
        <f>IF(U3967=1,IF(COUNTIFS($C$2:C3967,C3967,$U$2:U3967,1)=1,1,0),0)</f>
        <v>0</v>
      </c>
    </row>
    <row r="3968" spans="1:22" x14ac:dyDescent="0.35">
      <c r="A3968">
        <v>13967</v>
      </c>
      <c r="B3968" s="1">
        <v>48528</v>
      </c>
      <c r="C3968">
        <v>1444</v>
      </c>
      <c r="D3968" t="s">
        <v>73</v>
      </c>
      <c r="E3968" t="s">
        <v>63</v>
      </c>
      <c r="F3968">
        <v>6</v>
      </c>
      <c r="G3968" s="2">
        <v>360.73</v>
      </c>
      <c r="H3968">
        <v>0.22</v>
      </c>
      <c r="I3968" t="s">
        <v>68</v>
      </c>
      <c r="J3968">
        <v>10</v>
      </c>
      <c r="K3968">
        <v>2.4</v>
      </c>
      <c r="L3968" s="2">
        <v>1688.22</v>
      </c>
      <c r="M3968">
        <v>2032</v>
      </c>
      <c r="N3968">
        <v>11</v>
      </c>
      <c r="O3968" t="s">
        <v>210</v>
      </c>
      <c r="P3968" s="2">
        <v>2164.38</v>
      </c>
      <c r="Q3968" s="2">
        <v>476.16</v>
      </c>
      <c r="R3968" t="s">
        <v>77</v>
      </c>
      <c r="S3968">
        <v>1</v>
      </c>
      <c r="T3968">
        <v>0</v>
      </c>
      <c r="U3968">
        <f>IF(AND(OR(Dashboard!$D$4="Semua",D3968=Dashboard!$D$4),OR(Dashboard!$H$4="Semua",E3968=Dashboard!$H$4)),1,0)</f>
        <v>1</v>
      </c>
      <c r="V3968">
        <f>IF(U3968=1,IF(COUNTIFS($C$2:C3968,C3968,$U$2:U3968,1)=1,1,0),0)</f>
        <v>0</v>
      </c>
    </row>
    <row r="3969" spans="1:22" x14ac:dyDescent="0.35">
      <c r="A3969">
        <v>13968</v>
      </c>
      <c r="B3969" s="1">
        <v>48529</v>
      </c>
      <c r="C3969">
        <v>1424</v>
      </c>
      <c r="D3969" t="s">
        <v>80</v>
      </c>
      <c r="E3969" t="s">
        <v>63</v>
      </c>
      <c r="F3969">
        <v>4</v>
      </c>
      <c r="G3969" s="2">
        <v>330.56</v>
      </c>
      <c r="H3969">
        <v>0.05</v>
      </c>
      <c r="I3969" t="s">
        <v>71</v>
      </c>
      <c r="J3969">
        <v>5</v>
      </c>
      <c r="K3969">
        <v>1.2</v>
      </c>
      <c r="L3969" s="2">
        <v>1256.1300000000001</v>
      </c>
      <c r="M3969">
        <v>2032</v>
      </c>
      <c r="N3969">
        <v>11</v>
      </c>
      <c r="O3969" t="s">
        <v>210</v>
      </c>
      <c r="P3969" s="2">
        <v>1322.24</v>
      </c>
      <c r="Q3969" s="2">
        <v>66.11</v>
      </c>
      <c r="R3969" t="s">
        <v>75</v>
      </c>
      <c r="S3969">
        <v>1</v>
      </c>
      <c r="T3969">
        <v>0</v>
      </c>
      <c r="U3969">
        <f>IF(AND(OR(Dashboard!$D$4="Semua",D3969=Dashboard!$D$4),OR(Dashboard!$H$4="Semua",E3969=Dashboard!$H$4)),1,0)</f>
        <v>1</v>
      </c>
      <c r="V3969">
        <f>IF(U3969=1,IF(COUNTIFS($C$2:C3969,C3969,$U$2:U3969,1)=1,1,0),0)</f>
        <v>0</v>
      </c>
    </row>
    <row r="3970" spans="1:22" x14ac:dyDescent="0.35">
      <c r="A3970">
        <v>13969</v>
      </c>
      <c r="B3970" s="1">
        <v>48530</v>
      </c>
      <c r="C3970">
        <v>1160</v>
      </c>
      <c r="D3970" t="s">
        <v>62</v>
      </c>
      <c r="E3970" t="s">
        <v>63</v>
      </c>
      <c r="F3970">
        <v>1</v>
      </c>
      <c r="G3970" s="2">
        <v>264.97000000000003</v>
      </c>
      <c r="H3970">
        <v>0.15</v>
      </c>
      <c r="I3970" t="s">
        <v>71</v>
      </c>
      <c r="J3970">
        <v>2</v>
      </c>
      <c r="K3970">
        <v>1.5</v>
      </c>
      <c r="L3970" s="2">
        <v>225.22</v>
      </c>
      <c r="M3970">
        <v>2032</v>
      </c>
      <c r="N3970">
        <v>11</v>
      </c>
      <c r="O3970" t="s">
        <v>210</v>
      </c>
      <c r="P3970" s="2">
        <v>264.97000000000003</v>
      </c>
      <c r="Q3970" s="2">
        <v>39.75</v>
      </c>
      <c r="R3970" t="s">
        <v>79</v>
      </c>
      <c r="S3970">
        <v>1</v>
      </c>
      <c r="T3970">
        <v>0</v>
      </c>
      <c r="U3970">
        <f>IF(AND(OR(Dashboard!$D$4="Semua",D3970=Dashboard!$D$4),OR(Dashboard!$H$4="Semua",E3970=Dashboard!$H$4)),1,0)</f>
        <v>1</v>
      </c>
      <c r="V3970">
        <f>IF(U3970=1,IF(COUNTIFS($C$2:C3970,C3970,$U$2:U3970,1)=1,1,0),0)</f>
        <v>0</v>
      </c>
    </row>
    <row r="3971" spans="1:22" x14ac:dyDescent="0.35">
      <c r="A3971">
        <v>13970</v>
      </c>
      <c r="B3971" s="1">
        <v>48531</v>
      </c>
      <c r="C3971">
        <v>1177</v>
      </c>
      <c r="D3971" t="s">
        <v>67</v>
      </c>
      <c r="E3971" t="s">
        <v>63</v>
      </c>
      <c r="F3971">
        <v>7</v>
      </c>
      <c r="G3971" s="2">
        <v>584.04</v>
      </c>
      <c r="H3971">
        <v>0.23</v>
      </c>
      <c r="I3971" t="s">
        <v>68</v>
      </c>
      <c r="J3971">
        <v>3</v>
      </c>
      <c r="K3971">
        <v>1.4</v>
      </c>
      <c r="L3971" s="2">
        <v>3147.98</v>
      </c>
      <c r="M3971">
        <v>2032</v>
      </c>
      <c r="N3971">
        <v>11</v>
      </c>
      <c r="O3971" t="s">
        <v>210</v>
      </c>
      <c r="P3971" s="2">
        <v>4088.28</v>
      </c>
      <c r="Q3971" s="2">
        <v>940.3</v>
      </c>
      <c r="R3971" t="s">
        <v>77</v>
      </c>
      <c r="S3971">
        <v>1</v>
      </c>
      <c r="T3971">
        <v>0</v>
      </c>
      <c r="U3971">
        <f>IF(AND(OR(Dashboard!$D$4="Semua",D3971=Dashboard!$D$4),OR(Dashboard!$H$4="Semua",E3971=Dashboard!$H$4)),1,0)</f>
        <v>1</v>
      </c>
      <c r="V3971">
        <f>IF(U3971=1,IF(COUNTIFS($C$2:C3971,C3971,$U$2:U3971,1)=1,1,0),0)</f>
        <v>0</v>
      </c>
    </row>
    <row r="3972" spans="1:22" x14ac:dyDescent="0.35">
      <c r="A3972">
        <v>13971</v>
      </c>
      <c r="B3972" s="1">
        <v>48532</v>
      </c>
      <c r="C3972">
        <v>1628</v>
      </c>
      <c r="D3972" t="s">
        <v>67</v>
      </c>
      <c r="E3972" t="s">
        <v>63</v>
      </c>
      <c r="F3972">
        <v>3</v>
      </c>
      <c r="G3972" s="2">
        <v>342.71</v>
      </c>
      <c r="H3972">
        <v>0.25</v>
      </c>
      <c r="I3972" t="s">
        <v>71</v>
      </c>
      <c r="J3972">
        <v>9</v>
      </c>
      <c r="K3972">
        <v>1.6</v>
      </c>
      <c r="L3972" s="2">
        <v>771.1</v>
      </c>
      <c r="M3972">
        <v>2032</v>
      </c>
      <c r="N3972">
        <v>11</v>
      </c>
      <c r="O3972" t="s">
        <v>210</v>
      </c>
      <c r="P3972" s="2">
        <v>1028.1300000000001</v>
      </c>
      <c r="Q3972" s="2">
        <v>257.02999999999997</v>
      </c>
      <c r="R3972" t="s">
        <v>77</v>
      </c>
      <c r="S3972">
        <v>1</v>
      </c>
      <c r="T3972">
        <v>0</v>
      </c>
      <c r="U3972">
        <f>IF(AND(OR(Dashboard!$D$4="Semua",D3972=Dashboard!$D$4),OR(Dashboard!$H$4="Semua",E3972=Dashboard!$H$4)),1,0)</f>
        <v>1</v>
      </c>
      <c r="V3972">
        <f>IF(U3972=1,IF(COUNTIFS($C$2:C3972,C3972,$U$2:U3972,1)=1,1,0),0)</f>
        <v>0</v>
      </c>
    </row>
    <row r="3973" spans="1:22" x14ac:dyDescent="0.35">
      <c r="A3973">
        <v>13972</v>
      </c>
      <c r="B3973" s="1">
        <v>48533</v>
      </c>
      <c r="C3973">
        <v>1707</v>
      </c>
      <c r="D3973" t="s">
        <v>73</v>
      </c>
      <c r="E3973" t="s">
        <v>78</v>
      </c>
      <c r="F3973">
        <v>4</v>
      </c>
      <c r="G3973" s="2">
        <v>163.57</v>
      </c>
      <c r="H3973">
        <v>0.3</v>
      </c>
      <c r="I3973" t="s">
        <v>71</v>
      </c>
      <c r="J3973">
        <v>5</v>
      </c>
      <c r="K3973">
        <v>4.3</v>
      </c>
      <c r="L3973" s="2">
        <v>458</v>
      </c>
      <c r="M3973">
        <v>2032</v>
      </c>
      <c r="N3973">
        <v>11</v>
      </c>
      <c r="O3973" t="s">
        <v>210</v>
      </c>
      <c r="P3973" s="2">
        <v>654.28</v>
      </c>
      <c r="Q3973" s="2">
        <v>196.28</v>
      </c>
      <c r="R3973" t="s">
        <v>66</v>
      </c>
      <c r="S3973">
        <v>1</v>
      </c>
      <c r="T3973">
        <v>0</v>
      </c>
      <c r="U3973">
        <f>IF(AND(OR(Dashboard!$D$4="Semua",D3973=Dashboard!$D$4),OR(Dashboard!$H$4="Semua",E3973=Dashboard!$H$4)),1,0)</f>
        <v>1</v>
      </c>
      <c r="V3973">
        <f>IF(U3973=1,IF(COUNTIFS($C$2:C3973,C3973,$U$2:U3973,1)=1,1,0),0)</f>
        <v>0</v>
      </c>
    </row>
    <row r="3974" spans="1:22" x14ac:dyDescent="0.35">
      <c r="A3974">
        <v>13973</v>
      </c>
      <c r="B3974" s="1">
        <v>48534</v>
      </c>
      <c r="C3974">
        <v>1894</v>
      </c>
      <c r="D3974" t="s">
        <v>80</v>
      </c>
      <c r="E3974" t="s">
        <v>78</v>
      </c>
      <c r="F3974">
        <v>1</v>
      </c>
      <c r="G3974" s="2">
        <v>149.6</v>
      </c>
      <c r="H3974">
        <v>0.06</v>
      </c>
      <c r="I3974" t="s">
        <v>68</v>
      </c>
      <c r="J3974">
        <v>1</v>
      </c>
      <c r="K3974">
        <v>3.5</v>
      </c>
      <c r="L3974" s="2">
        <v>140.62</v>
      </c>
      <c r="M3974">
        <v>2032</v>
      </c>
      <c r="N3974">
        <v>11</v>
      </c>
      <c r="O3974" t="s">
        <v>210</v>
      </c>
      <c r="P3974" s="2">
        <v>149.6</v>
      </c>
      <c r="Q3974" s="2">
        <v>8.98</v>
      </c>
      <c r="R3974" t="s">
        <v>69</v>
      </c>
      <c r="S3974">
        <v>1</v>
      </c>
      <c r="T3974">
        <v>0</v>
      </c>
      <c r="U3974">
        <f>IF(AND(OR(Dashboard!$D$4="Semua",D3974=Dashboard!$D$4),OR(Dashboard!$H$4="Semua",E3974=Dashboard!$H$4)),1,0)</f>
        <v>1</v>
      </c>
      <c r="V3974">
        <f>IF(U3974=1,IF(COUNTIFS($C$2:C3974,C3974,$U$2:U3974,1)=1,1,0),0)</f>
        <v>0</v>
      </c>
    </row>
    <row r="3975" spans="1:22" x14ac:dyDescent="0.35">
      <c r="A3975">
        <v>13974</v>
      </c>
      <c r="B3975" s="1">
        <v>48535</v>
      </c>
      <c r="C3975">
        <v>1489</v>
      </c>
      <c r="D3975" t="s">
        <v>62</v>
      </c>
      <c r="E3975" t="s">
        <v>78</v>
      </c>
      <c r="F3975">
        <v>7</v>
      </c>
      <c r="G3975" s="2">
        <v>372.64</v>
      </c>
      <c r="H3975">
        <v>0.33</v>
      </c>
      <c r="I3975" t="s">
        <v>71</v>
      </c>
      <c r="J3975">
        <v>5</v>
      </c>
      <c r="K3975">
        <v>3</v>
      </c>
      <c r="L3975" s="2">
        <v>1747.68</v>
      </c>
      <c r="M3975">
        <v>2032</v>
      </c>
      <c r="N3975">
        <v>11</v>
      </c>
      <c r="O3975" t="s">
        <v>210</v>
      </c>
      <c r="P3975" s="2">
        <v>2608.48</v>
      </c>
      <c r="Q3975" s="2">
        <v>860.8</v>
      </c>
      <c r="R3975" t="s">
        <v>72</v>
      </c>
      <c r="S3975">
        <v>1</v>
      </c>
      <c r="T3975">
        <v>0</v>
      </c>
      <c r="U3975">
        <f>IF(AND(OR(Dashboard!$D$4="Semua",D3975=Dashboard!$D$4),OR(Dashboard!$H$4="Semua",E3975=Dashboard!$H$4)),1,0)</f>
        <v>1</v>
      </c>
      <c r="V3975">
        <f>IF(U3975=1,IF(COUNTIFS($C$2:C3975,C3975,$U$2:U3975,1)=1,1,0),0)</f>
        <v>0</v>
      </c>
    </row>
    <row r="3976" spans="1:22" x14ac:dyDescent="0.35">
      <c r="A3976">
        <v>13975</v>
      </c>
      <c r="B3976" s="1">
        <v>48536</v>
      </c>
      <c r="C3976">
        <v>1326</v>
      </c>
      <c r="D3976" t="s">
        <v>73</v>
      </c>
      <c r="E3976" t="s">
        <v>63</v>
      </c>
      <c r="F3976">
        <v>7</v>
      </c>
      <c r="G3976" s="2">
        <v>320.85000000000002</v>
      </c>
      <c r="H3976">
        <v>0.02</v>
      </c>
      <c r="I3976" t="s">
        <v>64</v>
      </c>
      <c r="J3976">
        <v>3</v>
      </c>
      <c r="K3976">
        <v>3.9</v>
      </c>
      <c r="L3976" s="2">
        <v>2201.0300000000002</v>
      </c>
      <c r="M3976">
        <v>2032</v>
      </c>
      <c r="N3976">
        <v>11</v>
      </c>
      <c r="O3976" t="s">
        <v>210</v>
      </c>
      <c r="P3976" s="2">
        <v>2245.9499999999998</v>
      </c>
      <c r="Q3976" s="2">
        <v>44.92</v>
      </c>
      <c r="R3976" t="s">
        <v>75</v>
      </c>
      <c r="S3976">
        <v>1</v>
      </c>
      <c r="T3976">
        <v>0</v>
      </c>
      <c r="U3976">
        <f>IF(AND(OR(Dashboard!$D$4="Semua",D3976=Dashboard!$D$4),OR(Dashboard!$H$4="Semua",E3976=Dashboard!$H$4)),1,0)</f>
        <v>1</v>
      </c>
      <c r="V3976">
        <f>IF(U3976=1,IF(COUNTIFS($C$2:C3976,C3976,$U$2:U3976,1)=1,1,0),0)</f>
        <v>0</v>
      </c>
    </row>
    <row r="3977" spans="1:22" x14ac:dyDescent="0.35">
      <c r="A3977">
        <v>13976</v>
      </c>
      <c r="B3977" s="1">
        <v>48537</v>
      </c>
      <c r="C3977">
        <v>1597</v>
      </c>
      <c r="D3977" t="s">
        <v>67</v>
      </c>
      <c r="E3977" t="s">
        <v>74</v>
      </c>
      <c r="F3977">
        <v>2</v>
      </c>
      <c r="G3977" s="2">
        <v>19.5</v>
      </c>
      <c r="H3977">
        <v>0.34</v>
      </c>
      <c r="I3977" t="s">
        <v>68</v>
      </c>
      <c r="J3977">
        <v>1</v>
      </c>
      <c r="K3977">
        <v>4.8</v>
      </c>
      <c r="L3977" s="2">
        <v>25.74</v>
      </c>
      <c r="M3977">
        <v>2032</v>
      </c>
      <c r="N3977">
        <v>11</v>
      </c>
      <c r="O3977" t="s">
        <v>210</v>
      </c>
      <c r="P3977" s="2">
        <v>39</v>
      </c>
      <c r="Q3977" s="2">
        <v>13.26</v>
      </c>
      <c r="R3977" t="s">
        <v>72</v>
      </c>
      <c r="S3977">
        <v>1</v>
      </c>
      <c r="T3977">
        <v>0</v>
      </c>
      <c r="U3977">
        <f>IF(AND(OR(Dashboard!$D$4="Semua",D3977=Dashboard!$D$4),OR(Dashboard!$H$4="Semua",E3977=Dashboard!$H$4)),1,0)</f>
        <v>1</v>
      </c>
      <c r="V3977">
        <f>IF(U3977=1,IF(COUNTIFS($C$2:C3977,C3977,$U$2:U3977,1)=1,1,0),0)</f>
        <v>0</v>
      </c>
    </row>
    <row r="3978" spans="1:22" x14ac:dyDescent="0.35">
      <c r="A3978">
        <v>13977</v>
      </c>
      <c r="B3978" s="1">
        <v>48538</v>
      </c>
      <c r="C3978">
        <v>1288</v>
      </c>
      <c r="D3978" t="s">
        <v>73</v>
      </c>
      <c r="E3978" t="s">
        <v>63</v>
      </c>
      <c r="F3978">
        <v>7</v>
      </c>
      <c r="G3978" s="2">
        <v>500.59</v>
      </c>
      <c r="H3978">
        <v>0.3</v>
      </c>
      <c r="I3978" t="s">
        <v>71</v>
      </c>
      <c r="J3978">
        <v>3</v>
      </c>
      <c r="K3978">
        <v>2.7</v>
      </c>
      <c r="L3978" s="2">
        <v>2452.89</v>
      </c>
      <c r="M3978">
        <v>2032</v>
      </c>
      <c r="N3978">
        <v>11</v>
      </c>
      <c r="O3978" t="s">
        <v>210</v>
      </c>
      <c r="P3978" s="2">
        <v>3504.13</v>
      </c>
      <c r="Q3978" s="2">
        <v>1051.24</v>
      </c>
      <c r="R3978" t="s">
        <v>66</v>
      </c>
      <c r="S3978">
        <v>1</v>
      </c>
      <c r="T3978">
        <v>0</v>
      </c>
      <c r="U3978">
        <f>IF(AND(OR(Dashboard!$D$4="Semua",D3978=Dashboard!$D$4),OR(Dashboard!$H$4="Semua",E3978=Dashboard!$H$4)),1,0)</f>
        <v>1</v>
      </c>
      <c r="V3978">
        <f>IF(U3978=1,IF(COUNTIFS($C$2:C3978,C3978,$U$2:U3978,1)=1,1,0),0)</f>
        <v>0</v>
      </c>
    </row>
    <row r="3979" spans="1:22" x14ac:dyDescent="0.35">
      <c r="A3979">
        <v>13978</v>
      </c>
      <c r="B3979" s="1">
        <v>48539</v>
      </c>
      <c r="C3979">
        <v>1592</v>
      </c>
      <c r="D3979" t="s">
        <v>67</v>
      </c>
      <c r="E3979" t="s">
        <v>63</v>
      </c>
      <c r="F3979">
        <v>3</v>
      </c>
      <c r="G3979" s="2">
        <v>426.91</v>
      </c>
      <c r="H3979">
        <v>0.23</v>
      </c>
      <c r="I3979" t="s">
        <v>68</v>
      </c>
      <c r="J3979">
        <v>11</v>
      </c>
      <c r="K3979">
        <v>2.5</v>
      </c>
      <c r="L3979" s="2">
        <v>986.16</v>
      </c>
      <c r="M3979">
        <v>2032</v>
      </c>
      <c r="N3979">
        <v>11</v>
      </c>
      <c r="O3979" t="s">
        <v>210</v>
      </c>
      <c r="P3979" s="2">
        <v>1280.73</v>
      </c>
      <c r="Q3979" s="2">
        <v>294.57</v>
      </c>
      <c r="R3979" t="s">
        <v>77</v>
      </c>
      <c r="S3979">
        <v>1</v>
      </c>
      <c r="T3979">
        <v>0</v>
      </c>
      <c r="U3979">
        <f>IF(AND(OR(Dashboard!$D$4="Semua",D3979=Dashboard!$D$4),OR(Dashboard!$H$4="Semua",E3979=Dashboard!$H$4)),1,0)</f>
        <v>1</v>
      </c>
      <c r="V3979">
        <f>IF(U3979=1,IF(COUNTIFS($C$2:C3979,C3979,$U$2:U3979,1)=1,1,0),0)</f>
        <v>0</v>
      </c>
    </row>
    <row r="3980" spans="1:22" x14ac:dyDescent="0.35">
      <c r="A3980">
        <v>13979</v>
      </c>
      <c r="B3980" s="1">
        <v>48540</v>
      </c>
      <c r="C3980">
        <v>1663</v>
      </c>
      <c r="D3980" t="s">
        <v>67</v>
      </c>
      <c r="E3980" t="s">
        <v>78</v>
      </c>
      <c r="F3980">
        <v>7</v>
      </c>
      <c r="G3980" s="2">
        <v>402.17</v>
      </c>
      <c r="H3980">
        <v>0.26</v>
      </c>
      <c r="I3980" t="s">
        <v>68</v>
      </c>
      <c r="J3980">
        <v>6</v>
      </c>
      <c r="K3980">
        <v>4.9000000000000004</v>
      </c>
      <c r="L3980" s="2">
        <v>2083.2399999999998</v>
      </c>
      <c r="M3980">
        <v>2032</v>
      </c>
      <c r="N3980">
        <v>11</v>
      </c>
      <c r="O3980" t="s">
        <v>210</v>
      </c>
      <c r="P3980" s="2">
        <v>2815.19</v>
      </c>
      <c r="Q3980" s="2">
        <v>731.95</v>
      </c>
      <c r="R3980" t="s">
        <v>66</v>
      </c>
      <c r="S3980">
        <v>1</v>
      </c>
      <c r="T3980">
        <v>0</v>
      </c>
      <c r="U3980">
        <f>IF(AND(OR(Dashboard!$D$4="Semua",D3980=Dashboard!$D$4),OR(Dashboard!$H$4="Semua",E3980=Dashboard!$H$4)),1,0)</f>
        <v>1</v>
      </c>
      <c r="V3980">
        <f>IF(U3980=1,IF(COUNTIFS($C$2:C3980,C3980,$U$2:U3980,1)=1,1,0),0)</f>
        <v>0</v>
      </c>
    </row>
    <row r="3981" spans="1:22" x14ac:dyDescent="0.35">
      <c r="A3981">
        <v>13980</v>
      </c>
      <c r="B3981" s="1">
        <v>48541</v>
      </c>
      <c r="C3981">
        <v>1572</v>
      </c>
      <c r="D3981" t="s">
        <v>73</v>
      </c>
      <c r="E3981" t="s">
        <v>63</v>
      </c>
      <c r="F3981">
        <v>5</v>
      </c>
      <c r="G3981" s="2">
        <v>55.24</v>
      </c>
      <c r="H3981">
        <v>0.03</v>
      </c>
      <c r="I3981" t="s">
        <v>68</v>
      </c>
      <c r="J3981">
        <v>10</v>
      </c>
      <c r="K3981">
        <v>4.0999999999999996</v>
      </c>
      <c r="L3981" s="2">
        <v>267.91000000000003</v>
      </c>
      <c r="M3981">
        <v>2032</v>
      </c>
      <c r="N3981">
        <v>11</v>
      </c>
      <c r="O3981" t="s">
        <v>210</v>
      </c>
      <c r="P3981" s="2">
        <v>276.2</v>
      </c>
      <c r="Q3981" s="2">
        <v>8.2899999999999991</v>
      </c>
      <c r="R3981" t="s">
        <v>75</v>
      </c>
      <c r="S3981">
        <v>1</v>
      </c>
      <c r="T3981">
        <v>0</v>
      </c>
      <c r="U3981">
        <f>IF(AND(OR(Dashboard!$D$4="Semua",D3981=Dashboard!$D$4),OR(Dashboard!$H$4="Semua",E3981=Dashboard!$H$4)),1,0)</f>
        <v>1</v>
      </c>
      <c r="V3981">
        <f>IF(U3981=1,IF(COUNTIFS($C$2:C3981,C3981,$U$2:U3981,1)=1,1,0),0)</f>
        <v>0</v>
      </c>
    </row>
    <row r="3982" spans="1:22" x14ac:dyDescent="0.35">
      <c r="A3982">
        <v>13981</v>
      </c>
      <c r="B3982" s="1">
        <v>48542</v>
      </c>
      <c r="C3982">
        <v>1572</v>
      </c>
      <c r="D3982" t="s">
        <v>67</v>
      </c>
      <c r="E3982" t="s">
        <v>78</v>
      </c>
      <c r="F3982">
        <v>1</v>
      </c>
      <c r="G3982" s="2">
        <v>226.8</v>
      </c>
      <c r="H3982">
        <v>0.01</v>
      </c>
      <c r="I3982" t="s">
        <v>71</v>
      </c>
      <c r="J3982">
        <v>5</v>
      </c>
      <c r="K3982">
        <v>4.0999999999999996</v>
      </c>
      <c r="L3982" s="2">
        <v>224.53</v>
      </c>
      <c r="M3982">
        <v>2032</v>
      </c>
      <c r="N3982">
        <v>11</v>
      </c>
      <c r="O3982" t="s">
        <v>210</v>
      </c>
      <c r="P3982" s="2">
        <v>226.8</v>
      </c>
      <c r="Q3982" s="2">
        <v>2.27</v>
      </c>
      <c r="R3982" t="s">
        <v>75</v>
      </c>
      <c r="S3982">
        <v>1</v>
      </c>
      <c r="T3982">
        <v>0</v>
      </c>
      <c r="U3982">
        <f>IF(AND(OR(Dashboard!$D$4="Semua",D3982=Dashboard!$D$4),OR(Dashboard!$H$4="Semua",E3982=Dashboard!$H$4)),1,0)</f>
        <v>1</v>
      </c>
      <c r="V3982">
        <f>IF(U3982=1,IF(COUNTIFS($C$2:C3982,C3982,$U$2:U3982,1)=1,1,0),0)</f>
        <v>0</v>
      </c>
    </row>
    <row r="3983" spans="1:22" x14ac:dyDescent="0.35">
      <c r="A3983">
        <v>13982</v>
      </c>
      <c r="B3983" s="1">
        <v>48543</v>
      </c>
      <c r="C3983">
        <v>1353</v>
      </c>
      <c r="D3983" t="s">
        <v>73</v>
      </c>
      <c r="E3983" t="s">
        <v>63</v>
      </c>
      <c r="F3983">
        <v>5</v>
      </c>
      <c r="G3983" s="2">
        <v>562.20000000000005</v>
      </c>
      <c r="H3983">
        <v>0.04</v>
      </c>
      <c r="I3983" t="s">
        <v>68</v>
      </c>
      <c r="J3983">
        <v>1</v>
      </c>
      <c r="K3983">
        <v>3.4</v>
      </c>
      <c r="L3983" s="2">
        <v>2698.56</v>
      </c>
      <c r="M3983">
        <v>2032</v>
      </c>
      <c r="N3983">
        <v>11</v>
      </c>
      <c r="O3983" t="s">
        <v>210</v>
      </c>
      <c r="P3983" s="2">
        <v>2811</v>
      </c>
      <c r="Q3983" s="2">
        <v>112.44</v>
      </c>
      <c r="R3983" t="s">
        <v>75</v>
      </c>
      <c r="S3983">
        <v>1</v>
      </c>
      <c r="T3983">
        <v>0</v>
      </c>
      <c r="U3983">
        <f>IF(AND(OR(Dashboard!$D$4="Semua",D3983=Dashboard!$D$4),OR(Dashboard!$H$4="Semua",E3983=Dashboard!$H$4)),1,0)</f>
        <v>1</v>
      </c>
      <c r="V3983">
        <f>IF(U3983=1,IF(COUNTIFS($C$2:C3983,C3983,$U$2:U3983,1)=1,1,0),0)</f>
        <v>0</v>
      </c>
    </row>
    <row r="3984" spans="1:22" x14ac:dyDescent="0.35">
      <c r="A3984">
        <v>13983</v>
      </c>
      <c r="B3984" s="1">
        <v>48544</v>
      </c>
      <c r="C3984">
        <v>1027</v>
      </c>
      <c r="D3984" t="s">
        <v>67</v>
      </c>
      <c r="E3984" t="s">
        <v>70</v>
      </c>
      <c r="F3984">
        <v>7</v>
      </c>
      <c r="G3984" s="2">
        <v>519.61</v>
      </c>
      <c r="H3984">
        <v>0.03</v>
      </c>
      <c r="I3984" t="s">
        <v>68</v>
      </c>
      <c r="J3984">
        <v>11</v>
      </c>
      <c r="K3984">
        <v>3</v>
      </c>
      <c r="L3984" s="2">
        <v>3528.15</v>
      </c>
      <c r="M3984">
        <v>2032</v>
      </c>
      <c r="N3984">
        <v>11</v>
      </c>
      <c r="O3984" t="s">
        <v>210</v>
      </c>
      <c r="P3984" s="2">
        <v>3637.27</v>
      </c>
      <c r="Q3984" s="2">
        <v>109.12</v>
      </c>
      <c r="R3984" t="s">
        <v>75</v>
      </c>
      <c r="S3984">
        <v>1</v>
      </c>
      <c r="T3984">
        <v>1</v>
      </c>
      <c r="U3984">
        <f>IF(AND(OR(Dashboard!$D$4="Semua",D3984=Dashboard!$D$4),OR(Dashboard!$H$4="Semua",E3984=Dashboard!$H$4)),1,0)</f>
        <v>1</v>
      </c>
      <c r="V3984">
        <f>IF(U3984=1,IF(COUNTIFS($C$2:C3984,C3984,$U$2:U3984,1)=1,1,0),0)</f>
        <v>0</v>
      </c>
    </row>
    <row r="3985" spans="1:22" x14ac:dyDescent="0.35">
      <c r="A3985">
        <v>13984</v>
      </c>
      <c r="B3985" s="1">
        <v>48545</v>
      </c>
      <c r="C3985">
        <v>1953</v>
      </c>
      <c r="D3985" t="s">
        <v>67</v>
      </c>
      <c r="E3985" t="s">
        <v>74</v>
      </c>
      <c r="F3985">
        <v>3</v>
      </c>
      <c r="G3985" s="2">
        <v>182.04</v>
      </c>
      <c r="H3985">
        <v>0.19</v>
      </c>
      <c r="I3985" t="s">
        <v>71</v>
      </c>
      <c r="J3985">
        <v>2</v>
      </c>
      <c r="K3985">
        <v>3.2</v>
      </c>
      <c r="L3985" s="2">
        <v>442.36</v>
      </c>
      <c r="M3985">
        <v>2032</v>
      </c>
      <c r="N3985">
        <v>11</v>
      </c>
      <c r="O3985" t="s">
        <v>210</v>
      </c>
      <c r="P3985" s="2">
        <v>546.12</v>
      </c>
      <c r="Q3985" s="2">
        <v>103.76</v>
      </c>
      <c r="R3985" t="s">
        <v>76</v>
      </c>
      <c r="S3985">
        <v>1</v>
      </c>
      <c r="T3985">
        <v>0</v>
      </c>
      <c r="U3985">
        <f>IF(AND(OR(Dashboard!$D$4="Semua",D3985=Dashboard!$D$4),OR(Dashboard!$H$4="Semua",E3985=Dashboard!$H$4)),1,0)</f>
        <v>1</v>
      </c>
      <c r="V3985">
        <f>IF(U3985=1,IF(COUNTIFS($C$2:C3985,C3985,$U$2:U3985,1)=1,1,0),0)</f>
        <v>0</v>
      </c>
    </row>
    <row r="3986" spans="1:22" x14ac:dyDescent="0.35">
      <c r="A3986">
        <v>13985</v>
      </c>
      <c r="B3986" s="1">
        <v>48546</v>
      </c>
      <c r="C3986">
        <v>1042</v>
      </c>
      <c r="D3986" t="s">
        <v>73</v>
      </c>
      <c r="E3986" t="s">
        <v>74</v>
      </c>
      <c r="F3986">
        <v>1</v>
      </c>
      <c r="G3986" s="2">
        <v>106.88</v>
      </c>
      <c r="H3986">
        <v>0.08</v>
      </c>
      <c r="I3986" t="s">
        <v>68</v>
      </c>
      <c r="J3986">
        <v>5</v>
      </c>
      <c r="K3986">
        <v>3.6</v>
      </c>
      <c r="L3986" s="2">
        <v>98.33</v>
      </c>
      <c r="M3986">
        <v>2032</v>
      </c>
      <c r="N3986">
        <v>11</v>
      </c>
      <c r="O3986" t="s">
        <v>210</v>
      </c>
      <c r="P3986" s="2">
        <v>106.88</v>
      </c>
      <c r="Q3986" s="2">
        <v>8.5500000000000007</v>
      </c>
      <c r="R3986" t="s">
        <v>69</v>
      </c>
      <c r="S3986">
        <v>1</v>
      </c>
      <c r="T3986">
        <v>0</v>
      </c>
      <c r="U3986">
        <f>IF(AND(OR(Dashboard!$D$4="Semua",D3986=Dashboard!$D$4),OR(Dashboard!$H$4="Semua",E3986=Dashboard!$H$4)),1,0)</f>
        <v>1</v>
      </c>
      <c r="V3986">
        <f>IF(U3986=1,IF(COUNTIFS($C$2:C3986,C3986,$U$2:U3986,1)=1,1,0),0)</f>
        <v>0</v>
      </c>
    </row>
    <row r="3987" spans="1:22" x14ac:dyDescent="0.35">
      <c r="A3987">
        <v>13986</v>
      </c>
      <c r="B3987" s="1">
        <v>48547</v>
      </c>
      <c r="C3987">
        <v>1680</v>
      </c>
      <c r="D3987" t="s">
        <v>80</v>
      </c>
      <c r="E3987" t="s">
        <v>78</v>
      </c>
      <c r="F3987">
        <v>1</v>
      </c>
      <c r="G3987" s="2">
        <v>277.72000000000003</v>
      </c>
      <c r="H3987">
        <v>0.3</v>
      </c>
      <c r="I3987" t="s">
        <v>68</v>
      </c>
      <c r="J3987">
        <v>9</v>
      </c>
      <c r="K3987">
        <v>2.5</v>
      </c>
      <c r="L3987" s="2">
        <v>194.4</v>
      </c>
      <c r="M3987">
        <v>2032</v>
      </c>
      <c r="N3987">
        <v>11</v>
      </c>
      <c r="O3987" t="s">
        <v>210</v>
      </c>
      <c r="P3987" s="2">
        <v>277.72000000000003</v>
      </c>
      <c r="Q3987" s="2">
        <v>83.32</v>
      </c>
      <c r="R3987" t="s">
        <v>66</v>
      </c>
      <c r="S3987">
        <v>1</v>
      </c>
      <c r="T3987">
        <v>0</v>
      </c>
      <c r="U3987">
        <f>IF(AND(OR(Dashboard!$D$4="Semua",D3987=Dashboard!$D$4),OR(Dashboard!$H$4="Semua",E3987=Dashboard!$H$4)),1,0)</f>
        <v>1</v>
      </c>
      <c r="V3987">
        <f>IF(U3987=1,IF(COUNTIFS($C$2:C3987,C3987,$U$2:U3987,1)=1,1,0),0)</f>
        <v>0</v>
      </c>
    </row>
    <row r="3988" spans="1:22" x14ac:dyDescent="0.35">
      <c r="A3988">
        <v>13987</v>
      </c>
      <c r="B3988" s="1">
        <v>48548</v>
      </c>
      <c r="C3988">
        <v>1422</v>
      </c>
      <c r="D3988" t="s">
        <v>80</v>
      </c>
      <c r="E3988" t="s">
        <v>70</v>
      </c>
      <c r="F3988">
        <v>7</v>
      </c>
      <c r="G3988" s="2">
        <v>223.16</v>
      </c>
      <c r="H3988">
        <v>0.16</v>
      </c>
      <c r="I3988" t="s">
        <v>68</v>
      </c>
      <c r="J3988">
        <v>11</v>
      </c>
      <c r="K3988">
        <v>4.0999999999999996</v>
      </c>
      <c r="L3988" s="2">
        <v>1312.18</v>
      </c>
      <c r="M3988">
        <v>2032</v>
      </c>
      <c r="N3988">
        <v>11</v>
      </c>
      <c r="O3988" t="s">
        <v>210</v>
      </c>
      <c r="P3988" s="2">
        <v>1562.12</v>
      </c>
      <c r="Q3988" s="2">
        <v>249.94</v>
      </c>
      <c r="R3988" t="s">
        <v>76</v>
      </c>
      <c r="S3988">
        <v>1</v>
      </c>
      <c r="T3988">
        <v>0</v>
      </c>
      <c r="U3988">
        <f>IF(AND(OR(Dashboard!$D$4="Semua",D3988=Dashboard!$D$4),OR(Dashboard!$H$4="Semua",E3988=Dashboard!$H$4)),1,0)</f>
        <v>1</v>
      </c>
      <c r="V3988">
        <f>IF(U3988=1,IF(COUNTIFS($C$2:C3988,C3988,$U$2:U3988,1)=1,1,0),0)</f>
        <v>0</v>
      </c>
    </row>
    <row r="3989" spans="1:22" x14ac:dyDescent="0.35">
      <c r="A3989">
        <v>13988</v>
      </c>
      <c r="B3989" s="1">
        <v>48549</v>
      </c>
      <c r="C3989">
        <v>1597</v>
      </c>
      <c r="D3989" t="s">
        <v>67</v>
      </c>
      <c r="E3989" t="s">
        <v>74</v>
      </c>
      <c r="F3989">
        <v>3</v>
      </c>
      <c r="G3989" s="2">
        <v>414.1</v>
      </c>
      <c r="H3989">
        <v>0.24</v>
      </c>
      <c r="I3989" t="s">
        <v>68</v>
      </c>
      <c r="J3989">
        <v>5</v>
      </c>
      <c r="K3989">
        <v>4.5999999999999996</v>
      </c>
      <c r="L3989" s="2">
        <v>944.15</v>
      </c>
      <c r="M3989">
        <v>2032</v>
      </c>
      <c r="N3989">
        <v>12</v>
      </c>
      <c r="O3989" t="s">
        <v>211</v>
      </c>
      <c r="P3989" s="2">
        <v>1242.3</v>
      </c>
      <c r="Q3989" s="2">
        <v>298.14999999999998</v>
      </c>
      <c r="R3989" t="s">
        <v>77</v>
      </c>
      <c r="S3989">
        <v>1</v>
      </c>
      <c r="T3989">
        <v>0</v>
      </c>
      <c r="U3989">
        <f>IF(AND(OR(Dashboard!$D$4="Semua",D3989=Dashboard!$D$4),OR(Dashboard!$H$4="Semua",E3989=Dashboard!$H$4)),1,0)</f>
        <v>1</v>
      </c>
      <c r="V3989">
        <f>IF(U3989=1,IF(COUNTIFS($C$2:C3989,C3989,$U$2:U3989,1)=1,1,0),0)</f>
        <v>0</v>
      </c>
    </row>
    <row r="3990" spans="1:22" x14ac:dyDescent="0.35">
      <c r="A3990">
        <v>13989</v>
      </c>
      <c r="B3990" s="1">
        <v>48550</v>
      </c>
      <c r="C3990">
        <v>1176</v>
      </c>
      <c r="D3990" t="s">
        <v>73</v>
      </c>
      <c r="E3990" t="s">
        <v>78</v>
      </c>
      <c r="F3990">
        <v>2</v>
      </c>
      <c r="G3990" s="2">
        <v>580.36</v>
      </c>
      <c r="H3990">
        <v>0.23</v>
      </c>
      <c r="I3990" t="s">
        <v>71</v>
      </c>
      <c r="J3990">
        <v>5</v>
      </c>
      <c r="K3990">
        <v>3.3</v>
      </c>
      <c r="L3990" s="2">
        <v>893.75</v>
      </c>
      <c r="M3990">
        <v>2032</v>
      </c>
      <c r="N3990">
        <v>12</v>
      </c>
      <c r="O3990" t="s">
        <v>211</v>
      </c>
      <c r="P3990" s="2">
        <v>1160.72</v>
      </c>
      <c r="Q3990" s="2">
        <v>266.97000000000003</v>
      </c>
      <c r="R3990" t="s">
        <v>77</v>
      </c>
      <c r="S3990">
        <v>1</v>
      </c>
      <c r="T3990">
        <v>0</v>
      </c>
      <c r="U3990">
        <f>IF(AND(OR(Dashboard!$D$4="Semua",D3990=Dashboard!$D$4),OR(Dashboard!$H$4="Semua",E3990=Dashboard!$H$4)),1,0)</f>
        <v>1</v>
      </c>
      <c r="V3990">
        <f>IF(U3990=1,IF(COUNTIFS($C$2:C3990,C3990,$U$2:U3990,1)=1,1,0),0)</f>
        <v>0</v>
      </c>
    </row>
    <row r="3991" spans="1:22" x14ac:dyDescent="0.35">
      <c r="A3991">
        <v>13990</v>
      </c>
      <c r="B3991" s="1">
        <v>48551</v>
      </c>
      <c r="C3991">
        <v>1528</v>
      </c>
      <c r="D3991" t="s">
        <v>80</v>
      </c>
      <c r="E3991" t="s">
        <v>63</v>
      </c>
      <c r="F3991">
        <v>1</v>
      </c>
      <c r="G3991" s="2">
        <v>227.36</v>
      </c>
      <c r="H3991">
        <v>0.11</v>
      </c>
      <c r="I3991" t="s">
        <v>68</v>
      </c>
      <c r="J3991">
        <v>1</v>
      </c>
      <c r="K3991">
        <v>2.5</v>
      </c>
      <c r="L3991" s="2">
        <v>202.35</v>
      </c>
      <c r="M3991">
        <v>2032</v>
      </c>
      <c r="N3991">
        <v>12</v>
      </c>
      <c r="O3991" t="s">
        <v>211</v>
      </c>
      <c r="P3991" s="2">
        <v>227.36</v>
      </c>
      <c r="Q3991" s="2">
        <v>25.01</v>
      </c>
      <c r="R3991" t="s">
        <v>79</v>
      </c>
      <c r="S3991">
        <v>1</v>
      </c>
      <c r="T3991">
        <v>0</v>
      </c>
      <c r="U3991">
        <f>IF(AND(OR(Dashboard!$D$4="Semua",D3991=Dashboard!$D$4),OR(Dashboard!$H$4="Semua",E3991=Dashboard!$H$4)),1,0)</f>
        <v>1</v>
      </c>
      <c r="V3991">
        <f>IF(U3991=1,IF(COUNTIFS($C$2:C3991,C3991,$U$2:U3991,1)=1,1,0),0)</f>
        <v>0</v>
      </c>
    </row>
    <row r="3992" spans="1:22" x14ac:dyDescent="0.35">
      <c r="A3992">
        <v>13991</v>
      </c>
      <c r="B3992" s="1">
        <v>48552</v>
      </c>
      <c r="C3992">
        <v>1609</v>
      </c>
      <c r="D3992" t="s">
        <v>62</v>
      </c>
      <c r="E3992" t="s">
        <v>63</v>
      </c>
      <c r="F3992">
        <v>3</v>
      </c>
      <c r="G3992" s="2">
        <v>51.4</v>
      </c>
      <c r="H3992">
        <v>0.09</v>
      </c>
      <c r="I3992" t="s">
        <v>68</v>
      </c>
      <c r="J3992">
        <v>5</v>
      </c>
      <c r="K3992">
        <v>3.8</v>
      </c>
      <c r="L3992" s="2">
        <v>140.32</v>
      </c>
      <c r="M3992">
        <v>2032</v>
      </c>
      <c r="N3992">
        <v>12</v>
      </c>
      <c r="O3992" t="s">
        <v>211</v>
      </c>
      <c r="P3992" s="2">
        <v>154.19999999999999</v>
      </c>
      <c r="Q3992" s="2">
        <v>13.88</v>
      </c>
      <c r="R3992" t="s">
        <v>69</v>
      </c>
      <c r="S3992">
        <v>1</v>
      </c>
      <c r="T3992">
        <v>0</v>
      </c>
      <c r="U3992">
        <f>IF(AND(OR(Dashboard!$D$4="Semua",D3992=Dashboard!$D$4),OR(Dashboard!$H$4="Semua",E3992=Dashboard!$H$4)),1,0)</f>
        <v>1</v>
      </c>
      <c r="V3992">
        <f>IF(U3992=1,IF(COUNTIFS($C$2:C3992,C3992,$U$2:U3992,1)=1,1,0),0)</f>
        <v>0</v>
      </c>
    </row>
    <row r="3993" spans="1:22" x14ac:dyDescent="0.35">
      <c r="A3993">
        <v>13992</v>
      </c>
      <c r="B3993" s="1">
        <v>48553</v>
      </c>
      <c r="C3993">
        <v>1965</v>
      </c>
      <c r="D3993" t="s">
        <v>73</v>
      </c>
      <c r="E3993" t="s">
        <v>70</v>
      </c>
      <c r="F3993">
        <v>4</v>
      </c>
      <c r="G3993" s="2">
        <v>540.1</v>
      </c>
      <c r="H3993">
        <v>0.12</v>
      </c>
      <c r="I3993" t="s">
        <v>64</v>
      </c>
      <c r="J3993">
        <v>8</v>
      </c>
      <c r="K3993">
        <v>1.7</v>
      </c>
      <c r="L3993" s="2">
        <v>1901.15</v>
      </c>
      <c r="M3993">
        <v>2032</v>
      </c>
      <c r="N3993">
        <v>12</v>
      </c>
      <c r="O3993" t="s">
        <v>211</v>
      </c>
      <c r="P3993" s="2">
        <v>2160.4</v>
      </c>
      <c r="Q3993" s="2">
        <v>259.25</v>
      </c>
      <c r="R3993" t="s">
        <v>79</v>
      </c>
      <c r="S3993">
        <v>1</v>
      </c>
      <c r="T3993">
        <v>0</v>
      </c>
      <c r="U3993">
        <f>IF(AND(OR(Dashboard!$D$4="Semua",D3993=Dashboard!$D$4),OR(Dashboard!$H$4="Semua",E3993=Dashboard!$H$4)),1,0)</f>
        <v>1</v>
      </c>
      <c r="V3993">
        <f>IF(U3993=1,IF(COUNTIFS($C$2:C3993,C3993,$U$2:U3993,1)=1,1,0),0)</f>
        <v>0</v>
      </c>
    </row>
    <row r="3994" spans="1:22" x14ac:dyDescent="0.35">
      <c r="A3994">
        <v>13993</v>
      </c>
      <c r="B3994" s="1">
        <v>48554</v>
      </c>
      <c r="C3994">
        <v>1493</v>
      </c>
      <c r="D3994" t="s">
        <v>73</v>
      </c>
      <c r="E3994" t="s">
        <v>74</v>
      </c>
      <c r="F3994">
        <v>5</v>
      </c>
      <c r="G3994" s="2">
        <v>37.200000000000003</v>
      </c>
      <c r="H3994">
        <v>0.28000000000000003</v>
      </c>
      <c r="I3994" t="s">
        <v>64</v>
      </c>
      <c r="J3994">
        <v>9</v>
      </c>
      <c r="K3994">
        <v>4.9000000000000004</v>
      </c>
      <c r="L3994" s="2">
        <v>133.91999999999999</v>
      </c>
      <c r="M3994">
        <v>2032</v>
      </c>
      <c r="N3994">
        <v>12</v>
      </c>
      <c r="O3994" t="s">
        <v>211</v>
      </c>
      <c r="P3994" s="2">
        <v>186</v>
      </c>
      <c r="Q3994" s="2">
        <v>52.08</v>
      </c>
      <c r="R3994" t="s">
        <v>66</v>
      </c>
      <c r="S3994">
        <v>1</v>
      </c>
      <c r="T3994">
        <v>0</v>
      </c>
      <c r="U3994">
        <f>IF(AND(OR(Dashboard!$D$4="Semua",D3994=Dashboard!$D$4),OR(Dashboard!$H$4="Semua",E3994=Dashboard!$H$4)),1,0)</f>
        <v>1</v>
      </c>
      <c r="V3994">
        <f>IF(U3994=1,IF(COUNTIFS($C$2:C3994,C3994,$U$2:U3994,1)=1,1,0),0)</f>
        <v>0</v>
      </c>
    </row>
    <row r="3995" spans="1:22" x14ac:dyDescent="0.35">
      <c r="A3995">
        <v>13994</v>
      </c>
      <c r="B3995" s="1">
        <v>48555</v>
      </c>
      <c r="C3995">
        <v>1197</v>
      </c>
      <c r="D3995" t="s">
        <v>73</v>
      </c>
      <c r="E3995" t="s">
        <v>63</v>
      </c>
      <c r="F3995">
        <v>1</v>
      </c>
      <c r="G3995" s="2">
        <v>572.37</v>
      </c>
      <c r="H3995">
        <v>0.21</v>
      </c>
      <c r="I3995" t="s">
        <v>64</v>
      </c>
      <c r="J3995">
        <v>10</v>
      </c>
      <c r="K3995">
        <v>3.6</v>
      </c>
      <c r="L3995" s="2">
        <v>452.17</v>
      </c>
      <c r="M3995">
        <v>2032</v>
      </c>
      <c r="N3995">
        <v>12</v>
      </c>
      <c r="O3995" t="s">
        <v>211</v>
      </c>
      <c r="P3995" s="2">
        <v>572.37</v>
      </c>
      <c r="Q3995" s="2">
        <v>120.2</v>
      </c>
      <c r="R3995" t="s">
        <v>77</v>
      </c>
      <c r="S3995">
        <v>1</v>
      </c>
      <c r="T3995">
        <v>0</v>
      </c>
      <c r="U3995">
        <f>IF(AND(OR(Dashboard!$D$4="Semua",D3995=Dashboard!$D$4),OR(Dashboard!$H$4="Semua",E3995=Dashboard!$H$4)),1,0)</f>
        <v>1</v>
      </c>
      <c r="V3995">
        <f>IF(U3995=1,IF(COUNTIFS($C$2:C3995,C3995,$U$2:U3995,1)=1,1,0),0)</f>
        <v>0</v>
      </c>
    </row>
    <row r="3996" spans="1:22" x14ac:dyDescent="0.35">
      <c r="A3996">
        <v>13995</v>
      </c>
      <c r="B3996" s="1">
        <v>48556</v>
      </c>
      <c r="C3996">
        <v>1609</v>
      </c>
      <c r="D3996" t="s">
        <v>67</v>
      </c>
      <c r="E3996" t="s">
        <v>78</v>
      </c>
      <c r="F3996">
        <v>4</v>
      </c>
      <c r="G3996" s="2">
        <v>403.78</v>
      </c>
      <c r="H3996">
        <v>0.09</v>
      </c>
      <c r="I3996" t="s">
        <v>64</v>
      </c>
      <c r="J3996">
        <v>3</v>
      </c>
      <c r="K3996">
        <v>1.3</v>
      </c>
      <c r="L3996" s="2">
        <v>1469.76</v>
      </c>
      <c r="M3996">
        <v>2032</v>
      </c>
      <c r="N3996">
        <v>12</v>
      </c>
      <c r="O3996" t="s">
        <v>211</v>
      </c>
      <c r="P3996" s="2">
        <v>1615.12</v>
      </c>
      <c r="Q3996" s="2">
        <v>145.36000000000001</v>
      </c>
      <c r="R3996" t="s">
        <v>69</v>
      </c>
      <c r="S3996">
        <v>1</v>
      </c>
      <c r="T3996">
        <v>0</v>
      </c>
      <c r="U3996">
        <f>IF(AND(OR(Dashboard!$D$4="Semua",D3996=Dashboard!$D$4),OR(Dashboard!$H$4="Semua",E3996=Dashboard!$H$4)),1,0)</f>
        <v>1</v>
      </c>
      <c r="V3996">
        <f>IF(U3996=1,IF(COUNTIFS($C$2:C3996,C3996,$U$2:U3996,1)=1,1,0),0)</f>
        <v>0</v>
      </c>
    </row>
    <row r="3997" spans="1:22" x14ac:dyDescent="0.35">
      <c r="A3997">
        <v>13996</v>
      </c>
      <c r="B3997" s="1">
        <v>48557</v>
      </c>
      <c r="C3997">
        <v>1576</v>
      </c>
      <c r="D3997" t="s">
        <v>73</v>
      </c>
      <c r="E3997" t="s">
        <v>63</v>
      </c>
      <c r="F3997">
        <v>1</v>
      </c>
      <c r="G3997" s="2">
        <v>565.89</v>
      </c>
      <c r="H3997">
        <v>0.28999999999999998</v>
      </c>
      <c r="I3997" t="s">
        <v>71</v>
      </c>
      <c r="J3997">
        <v>4</v>
      </c>
      <c r="K3997">
        <v>3.1</v>
      </c>
      <c r="L3997" s="2">
        <v>401.78</v>
      </c>
      <c r="M3997">
        <v>2032</v>
      </c>
      <c r="N3997">
        <v>12</v>
      </c>
      <c r="O3997" t="s">
        <v>211</v>
      </c>
      <c r="P3997" s="2">
        <v>565.89</v>
      </c>
      <c r="Q3997" s="2">
        <v>164.11</v>
      </c>
      <c r="R3997" t="s">
        <v>66</v>
      </c>
      <c r="S3997">
        <v>1</v>
      </c>
      <c r="T3997">
        <v>0</v>
      </c>
      <c r="U3997">
        <f>IF(AND(OR(Dashboard!$D$4="Semua",D3997=Dashboard!$D$4),OR(Dashboard!$H$4="Semua",E3997=Dashboard!$H$4)),1,0)</f>
        <v>1</v>
      </c>
      <c r="V3997">
        <f>IF(U3997=1,IF(COUNTIFS($C$2:C3997,C3997,$U$2:U3997,1)=1,1,0),0)</f>
        <v>0</v>
      </c>
    </row>
    <row r="3998" spans="1:22" x14ac:dyDescent="0.35">
      <c r="A3998">
        <v>13997</v>
      </c>
      <c r="B3998" s="1">
        <v>48558</v>
      </c>
      <c r="C3998">
        <v>1841</v>
      </c>
      <c r="D3998" t="s">
        <v>67</v>
      </c>
      <c r="E3998" t="s">
        <v>63</v>
      </c>
      <c r="F3998">
        <v>2</v>
      </c>
      <c r="G3998" s="2">
        <v>131.80000000000001</v>
      </c>
      <c r="H3998">
        <v>0.02</v>
      </c>
      <c r="I3998" t="s">
        <v>71</v>
      </c>
      <c r="J3998">
        <v>7</v>
      </c>
      <c r="K3998">
        <v>4</v>
      </c>
      <c r="L3998" s="2">
        <v>258.33</v>
      </c>
      <c r="M3998">
        <v>2032</v>
      </c>
      <c r="N3998">
        <v>12</v>
      </c>
      <c r="O3998" t="s">
        <v>211</v>
      </c>
      <c r="P3998" s="2">
        <v>263.60000000000002</v>
      </c>
      <c r="Q3998" s="2">
        <v>5.27</v>
      </c>
      <c r="R3998" t="s">
        <v>75</v>
      </c>
      <c r="S3998">
        <v>1</v>
      </c>
      <c r="T3998">
        <v>0</v>
      </c>
      <c r="U3998">
        <f>IF(AND(OR(Dashboard!$D$4="Semua",D3998=Dashboard!$D$4),OR(Dashboard!$H$4="Semua",E3998=Dashboard!$H$4)),1,0)</f>
        <v>1</v>
      </c>
      <c r="V3998">
        <f>IF(U3998=1,IF(COUNTIFS($C$2:C3998,C3998,$U$2:U3998,1)=1,1,0),0)</f>
        <v>0</v>
      </c>
    </row>
    <row r="3999" spans="1:22" x14ac:dyDescent="0.35">
      <c r="A3999">
        <v>13998</v>
      </c>
      <c r="B3999" s="1">
        <v>48559</v>
      </c>
      <c r="C3999">
        <v>1852</v>
      </c>
      <c r="D3999" t="s">
        <v>80</v>
      </c>
      <c r="E3999" t="s">
        <v>74</v>
      </c>
      <c r="F3999">
        <v>7</v>
      </c>
      <c r="G3999" s="2">
        <v>38.81</v>
      </c>
      <c r="H3999">
        <v>0.24</v>
      </c>
      <c r="I3999" t="s">
        <v>71</v>
      </c>
      <c r="J3999">
        <v>7</v>
      </c>
      <c r="K3999">
        <v>2.1</v>
      </c>
      <c r="L3999" s="2">
        <v>206.47</v>
      </c>
      <c r="M3999">
        <v>2032</v>
      </c>
      <c r="N3999">
        <v>12</v>
      </c>
      <c r="O3999" t="s">
        <v>211</v>
      </c>
      <c r="P3999" s="2">
        <v>271.67</v>
      </c>
      <c r="Q3999" s="2">
        <v>65.2</v>
      </c>
      <c r="R3999" t="s">
        <v>77</v>
      </c>
      <c r="S3999">
        <v>1</v>
      </c>
      <c r="T3999">
        <v>0</v>
      </c>
      <c r="U3999">
        <f>IF(AND(OR(Dashboard!$D$4="Semua",D3999=Dashboard!$D$4),OR(Dashboard!$H$4="Semua",E3999=Dashboard!$H$4)),1,0)</f>
        <v>1</v>
      </c>
      <c r="V3999">
        <f>IF(U3999=1,IF(COUNTIFS($C$2:C3999,C3999,$U$2:U3999,1)=1,1,0),0)</f>
        <v>0</v>
      </c>
    </row>
    <row r="4000" spans="1:22" x14ac:dyDescent="0.35">
      <c r="A4000">
        <v>13999</v>
      </c>
      <c r="B4000" s="1">
        <v>48560</v>
      </c>
      <c r="C4000">
        <v>1516</v>
      </c>
      <c r="D4000" t="s">
        <v>67</v>
      </c>
      <c r="E4000" t="s">
        <v>74</v>
      </c>
      <c r="F4000">
        <v>3</v>
      </c>
      <c r="G4000" s="2">
        <v>300.60000000000002</v>
      </c>
      <c r="H4000">
        <v>0.15</v>
      </c>
      <c r="I4000" t="s">
        <v>71</v>
      </c>
      <c r="J4000">
        <v>1</v>
      </c>
      <c r="K4000">
        <v>1.2</v>
      </c>
      <c r="L4000" s="2">
        <v>766.53</v>
      </c>
      <c r="M4000">
        <v>2032</v>
      </c>
      <c r="N4000">
        <v>12</v>
      </c>
      <c r="O4000" t="s">
        <v>211</v>
      </c>
      <c r="P4000" s="2">
        <v>901.8</v>
      </c>
      <c r="Q4000" s="2">
        <v>135.27000000000001</v>
      </c>
      <c r="R4000" t="s">
        <v>79</v>
      </c>
      <c r="S4000">
        <v>1</v>
      </c>
      <c r="T4000">
        <v>0</v>
      </c>
      <c r="U4000">
        <f>IF(AND(OR(Dashboard!$D$4="Semua",D4000=Dashboard!$D$4),OR(Dashboard!$H$4="Semua",E4000=Dashboard!$H$4)),1,0)</f>
        <v>1</v>
      </c>
      <c r="V4000">
        <f>IF(U4000=1,IF(COUNTIFS($C$2:C4000,C4000,$U$2:U4000,1)=1,1,0),0)</f>
        <v>0</v>
      </c>
    </row>
    <row r="4001" spans="1:22" x14ac:dyDescent="0.35">
      <c r="A4001">
        <v>14000</v>
      </c>
      <c r="B4001" s="1">
        <v>48561</v>
      </c>
      <c r="C4001">
        <v>1513</v>
      </c>
      <c r="D4001" t="s">
        <v>67</v>
      </c>
      <c r="E4001" t="s">
        <v>78</v>
      </c>
      <c r="F4001">
        <v>1</v>
      </c>
      <c r="G4001" s="2">
        <v>278.61</v>
      </c>
      <c r="H4001">
        <v>0.26</v>
      </c>
      <c r="I4001" t="s">
        <v>71</v>
      </c>
      <c r="J4001">
        <v>11</v>
      </c>
      <c r="K4001">
        <v>3</v>
      </c>
      <c r="L4001" s="2">
        <v>206.17</v>
      </c>
      <c r="M4001">
        <v>2032</v>
      </c>
      <c r="N4001">
        <v>12</v>
      </c>
      <c r="O4001" t="s">
        <v>211</v>
      </c>
      <c r="P4001" s="2">
        <v>278.61</v>
      </c>
      <c r="Q4001" s="2">
        <v>72.44</v>
      </c>
      <c r="R4001" t="s">
        <v>66</v>
      </c>
      <c r="S4001">
        <v>1</v>
      </c>
      <c r="T4001">
        <v>0</v>
      </c>
      <c r="U4001">
        <f>IF(AND(OR(Dashboard!$D$4="Semua",D4001=Dashboard!$D$4),OR(Dashboard!$H$4="Semua",E4001=Dashboard!$H$4)),1,0)</f>
        <v>1</v>
      </c>
      <c r="V4001">
        <f>IF(U4001=1,IF(COUNTIFS($C$2:C4001,C4001,$U$2:U4001,1)=1,1,0),0)</f>
        <v>0</v>
      </c>
    </row>
    <row r="4002" spans="1:22" x14ac:dyDescent="0.35">
      <c r="A4002">
        <v>14001</v>
      </c>
      <c r="B4002" s="1">
        <v>48562</v>
      </c>
      <c r="C4002">
        <v>1021</v>
      </c>
      <c r="D4002" t="s">
        <v>67</v>
      </c>
      <c r="E4002" t="s">
        <v>70</v>
      </c>
      <c r="F4002">
        <v>3</v>
      </c>
      <c r="G4002" s="2">
        <v>208.92</v>
      </c>
      <c r="H4002">
        <v>0.32</v>
      </c>
      <c r="I4002" t="s">
        <v>68</v>
      </c>
      <c r="J4002">
        <v>6</v>
      </c>
      <c r="K4002">
        <v>4.3</v>
      </c>
      <c r="L4002" s="2">
        <v>426.2</v>
      </c>
      <c r="M4002">
        <v>2032</v>
      </c>
      <c r="N4002">
        <v>12</v>
      </c>
      <c r="O4002" t="s">
        <v>211</v>
      </c>
      <c r="P4002" s="2">
        <v>626.76</v>
      </c>
      <c r="Q4002" s="2">
        <v>200.56</v>
      </c>
      <c r="R4002" t="s">
        <v>72</v>
      </c>
      <c r="S4002">
        <v>1</v>
      </c>
      <c r="T4002">
        <v>0</v>
      </c>
      <c r="U4002">
        <f>IF(AND(OR(Dashboard!$D$4="Semua",D4002=Dashboard!$D$4),OR(Dashboard!$H$4="Semua",E4002=Dashboard!$H$4)),1,0)</f>
        <v>1</v>
      </c>
      <c r="V4002">
        <f>IF(U4002=1,IF(COUNTIFS($C$2:C4002,C4002,$U$2:U4002,1)=1,1,0),0)</f>
        <v>0</v>
      </c>
    </row>
    <row r="4003" spans="1:22" x14ac:dyDescent="0.35">
      <c r="A4003">
        <v>14002</v>
      </c>
      <c r="B4003" s="1">
        <v>48563</v>
      </c>
      <c r="C4003">
        <v>1111</v>
      </c>
      <c r="D4003" t="s">
        <v>67</v>
      </c>
      <c r="E4003" t="s">
        <v>70</v>
      </c>
      <c r="F4003">
        <v>6</v>
      </c>
      <c r="G4003" s="2">
        <v>575.23</v>
      </c>
      <c r="H4003">
        <v>0.26</v>
      </c>
      <c r="I4003" t="s">
        <v>64</v>
      </c>
      <c r="J4003">
        <v>9</v>
      </c>
      <c r="K4003">
        <v>2</v>
      </c>
      <c r="L4003" s="2">
        <v>2554.02</v>
      </c>
      <c r="M4003">
        <v>2032</v>
      </c>
      <c r="N4003">
        <v>12</v>
      </c>
      <c r="O4003" t="s">
        <v>211</v>
      </c>
      <c r="P4003" s="2">
        <v>3451.38</v>
      </c>
      <c r="Q4003" s="2">
        <v>897.36</v>
      </c>
      <c r="R4003" t="s">
        <v>66</v>
      </c>
      <c r="S4003">
        <v>1</v>
      </c>
      <c r="T4003">
        <v>0</v>
      </c>
      <c r="U4003">
        <f>IF(AND(OR(Dashboard!$D$4="Semua",D4003=Dashboard!$D$4),OR(Dashboard!$H$4="Semua",E4003=Dashboard!$H$4)),1,0)</f>
        <v>1</v>
      </c>
      <c r="V4003">
        <f>IF(U4003=1,IF(COUNTIFS($C$2:C4003,C4003,$U$2:U4003,1)=1,1,0),0)</f>
        <v>0</v>
      </c>
    </row>
    <row r="4004" spans="1:22" x14ac:dyDescent="0.35">
      <c r="A4004">
        <v>14003</v>
      </c>
      <c r="B4004" s="1">
        <v>48564</v>
      </c>
      <c r="C4004">
        <v>1056</v>
      </c>
      <c r="D4004" t="s">
        <v>73</v>
      </c>
      <c r="E4004" t="s">
        <v>63</v>
      </c>
      <c r="F4004">
        <v>1</v>
      </c>
      <c r="G4004" s="2">
        <v>496.21</v>
      </c>
      <c r="H4004">
        <v>0.15</v>
      </c>
      <c r="I4004" t="s">
        <v>71</v>
      </c>
      <c r="J4004">
        <v>5</v>
      </c>
      <c r="K4004">
        <v>3.9</v>
      </c>
      <c r="L4004" s="2">
        <v>421.78</v>
      </c>
      <c r="M4004">
        <v>2032</v>
      </c>
      <c r="N4004">
        <v>12</v>
      </c>
      <c r="O4004" t="s">
        <v>211</v>
      </c>
      <c r="P4004" s="2">
        <v>496.21</v>
      </c>
      <c r="Q4004" s="2">
        <v>74.430000000000007</v>
      </c>
      <c r="R4004" t="s">
        <v>79</v>
      </c>
      <c r="S4004">
        <v>1</v>
      </c>
      <c r="T4004">
        <v>0</v>
      </c>
      <c r="U4004">
        <f>IF(AND(OR(Dashboard!$D$4="Semua",D4004=Dashboard!$D$4),OR(Dashboard!$H$4="Semua",E4004=Dashboard!$H$4)),1,0)</f>
        <v>1</v>
      </c>
      <c r="V4004">
        <f>IF(U4004=1,IF(COUNTIFS($C$2:C4004,C4004,$U$2:U4004,1)=1,1,0),0)</f>
        <v>0</v>
      </c>
    </row>
    <row r="4005" spans="1:22" x14ac:dyDescent="0.35">
      <c r="A4005">
        <v>14004</v>
      </c>
      <c r="B4005" s="1">
        <v>48565</v>
      </c>
      <c r="C4005">
        <v>1065</v>
      </c>
      <c r="D4005" t="s">
        <v>73</v>
      </c>
      <c r="E4005" t="s">
        <v>78</v>
      </c>
      <c r="F4005">
        <v>2</v>
      </c>
      <c r="G4005" s="2">
        <v>402.03</v>
      </c>
      <c r="H4005">
        <v>0.05</v>
      </c>
      <c r="I4005" t="s">
        <v>64</v>
      </c>
      <c r="J4005">
        <v>8</v>
      </c>
      <c r="K4005">
        <v>2.6</v>
      </c>
      <c r="L4005" s="2">
        <v>763.86</v>
      </c>
      <c r="M4005">
        <v>2032</v>
      </c>
      <c r="N4005">
        <v>12</v>
      </c>
      <c r="O4005" t="s">
        <v>211</v>
      </c>
      <c r="P4005" s="2">
        <v>804.06</v>
      </c>
      <c r="Q4005" s="2">
        <v>40.200000000000003</v>
      </c>
      <c r="R4005" t="s">
        <v>75</v>
      </c>
      <c r="S4005">
        <v>1</v>
      </c>
      <c r="T4005">
        <v>0</v>
      </c>
      <c r="U4005">
        <f>IF(AND(OR(Dashboard!$D$4="Semua",D4005=Dashboard!$D$4),OR(Dashboard!$H$4="Semua",E4005=Dashboard!$H$4)),1,0)</f>
        <v>1</v>
      </c>
      <c r="V4005">
        <f>IF(U4005=1,IF(COUNTIFS($C$2:C4005,C4005,$U$2:U4005,1)=1,1,0),0)</f>
        <v>0</v>
      </c>
    </row>
    <row r="4006" spans="1:22" x14ac:dyDescent="0.35">
      <c r="A4006">
        <v>14005</v>
      </c>
      <c r="B4006" s="1">
        <v>48566</v>
      </c>
      <c r="C4006">
        <v>1841</v>
      </c>
      <c r="D4006" t="s">
        <v>62</v>
      </c>
      <c r="E4006" t="s">
        <v>70</v>
      </c>
      <c r="F4006">
        <v>2</v>
      </c>
      <c r="G4006" s="2">
        <v>110.27</v>
      </c>
      <c r="H4006">
        <v>0.28000000000000003</v>
      </c>
      <c r="I4006" t="s">
        <v>68</v>
      </c>
      <c r="J4006">
        <v>11</v>
      </c>
      <c r="K4006">
        <v>1.2</v>
      </c>
      <c r="L4006" s="2">
        <v>158.79</v>
      </c>
      <c r="M4006">
        <v>2032</v>
      </c>
      <c r="N4006">
        <v>12</v>
      </c>
      <c r="O4006" t="s">
        <v>211</v>
      </c>
      <c r="P4006" s="2">
        <v>220.54</v>
      </c>
      <c r="Q4006" s="2">
        <v>61.75</v>
      </c>
      <c r="R4006" t="s">
        <v>66</v>
      </c>
      <c r="S4006">
        <v>1</v>
      </c>
      <c r="T4006">
        <v>0</v>
      </c>
      <c r="U4006">
        <f>IF(AND(OR(Dashboard!$D$4="Semua",D4006=Dashboard!$D$4),OR(Dashboard!$H$4="Semua",E4006=Dashboard!$H$4)),1,0)</f>
        <v>1</v>
      </c>
      <c r="V4006">
        <f>IF(U4006=1,IF(COUNTIFS($C$2:C4006,C4006,$U$2:U4006,1)=1,1,0),0)</f>
        <v>0</v>
      </c>
    </row>
    <row r="4007" spans="1:22" x14ac:dyDescent="0.35">
      <c r="A4007">
        <v>14006</v>
      </c>
      <c r="B4007" s="1">
        <v>48567</v>
      </c>
      <c r="C4007">
        <v>1097</v>
      </c>
      <c r="D4007" t="s">
        <v>73</v>
      </c>
      <c r="E4007" t="s">
        <v>70</v>
      </c>
      <c r="F4007">
        <v>7</v>
      </c>
      <c r="G4007" s="2">
        <v>444.58</v>
      </c>
      <c r="H4007">
        <v>0.16</v>
      </c>
      <c r="I4007" t="s">
        <v>68</v>
      </c>
      <c r="J4007">
        <v>10</v>
      </c>
      <c r="K4007">
        <v>2.2000000000000002</v>
      </c>
      <c r="L4007" s="2">
        <v>2614.13</v>
      </c>
      <c r="M4007">
        <v>2032</v>
      </c>
      <c r="N4007">
        <v>12</v>
      </c>
      <c r="O4007" t="s">
        <v>211</v>
      </c>
      <c r="P4007" s="2">
        <v>3112.06</v>
      </c>
      <c r="Q4007" s="2">
        <v>497.93</v>
      </c>
      <c r="R4007" t="s">
        <v>76</v>
      </c>
      <c r="S4007">
        <v>1</v>
      </c>
      <c r="T4007">
        <v>0</v>
      </c>
      <c r="U4007">
        <f>IF(AND(OR(Dashboard!$D$4="Semua",D4007=Dashboard!$D$4),OR(Dashboard!$H$4="Semua",E4007=Dashboard!$H$4)),1,0)</f>
        <v>1</v>
      </c>
      <c r="V4007">
        <f>IF(U4007=1,IF(COUNTIFS($C$2:C4007,C4007,$U$2:U4007,1)=1,1,0),0)</f>
        <v>0</v>
      </c>
    </row>
    <row r="4008" spans="1:22" x14ac:dyDescent="0.35">
      <c r="A4008">
        <v>14007</v>
      </c>
      <c r="B4008" s="1">
        <v>48568</v>
      </c>
      <c r="C4008">
        <v>1143</v>
      </c>
      <c r="D4008" t="s">
        <v>80</v>
      </c>
      <c r="E4008" t="s">
        <v>63</v>
      </c>
      <c r="F4008">
        <v>7</v>
      </c>
      <c r="G4008" s="2">
        <v>440.3</v>
      </c>
      <c r="H4008">
        <v>0.03</v>
      </c>
      <c r="I4008" t="s">
        <v>68</v>
      </c>
      <c r="J4008">
        <v>11</v>
      </c>
      <c r="K4008">
        <v>2.2999999999999998</v>
      </c>
      <c r="L4008" s="2">
        <v>2989.64</v>
      </c>
      <c r="M4008">
        <v>2032</v>
      </c>
      <c r="N4008">
        <v>12</v>
      </c>
      <c r="O4008" t="s">
        <v>211</v>
      </c>
      <c r="P4008" s="2">
        <v>3082.1</v>
      </c>
      <c r="Q4008" s="2">
        <v>92.46</v>
      </c>
      <c r="R4008" t="s">
        <v>75</v>
      </c>
      <c r="S4008">
        <v>1</v>
      </c>
      <c r="T4008">
        <v>0</v>
      </c>
      <c r="U4008">
        <f>IF(AND(OR(Dashboard!$D$4="Semua",D4008=Dashboard!$D$4),OR(Dashboard!$H$4="Semua",E4008=Dashboard!$H$4)),1,0)</f>
        <v>1</v>
      </c>
      <c r="V4008">
        <f>IF(U4008=1,IF(COUNTIFS($C$2:C4008,C4008,$U$2:U4008,1)=1,1,0),0)</f>
        <v>0</v>
      </c>
    </row>
    <row r="4009" spans="1:22" x14ac:dyDescent="0.35">
      <c r="A4009">
        <v>14008</v>
      </c>
      <c r="B4009" s="1">
        <v>48569</v>
      </c>
      <c r="C4009">
        <v>1879</v>
      </c>
      <c r="D4009" t="s">
        <v>62</v>
      </c>
      <c r="E4009" t="s">
        <v>78</v>
      </c>
      <c r="F4009">
        <v>4</v>
      </c>
      <c r="G4009" s="2">
        <v>263.66000000000003</v>
      </c>
      <c r="H4009">
        <v>0.25</v>
      </c>
      <c r="I4009" t="s">
        <v>71</v>
      </c>
      <c r="J4009">
        <v>9</v>
      </c>
      <c r="K4009">
        <v>4.5999999999999996</v>
      </c>
      <c r="L4009" s="2">
        <v>790.98</v>
      </c>
      <c r="M4009">
        <v>2032</v>
      </c>
      <c r="N4009">
        <v>12</v>
      </c>
      <c r="O4009" t="s">
        <v>211</v>
      </c>
      <c r="P4009" s="2">
        <v>1054.6400000000001</v>
      </c>
      <c r="Q4009" s="2">
        <v>263.66000000000003</v>
      </c>
      <c r="R4009" t="s">
        <v>77</v>
      </c>
      <c r="S4009">
        <v>1</v>
      </c>
      <c r="T4009">
        <v>0</v>
      </c>
      <c r="U4009">
        <f>IF(AND(OR(Dashboard!$D$4="Semua",D4009=Dashboard!$D$4),OR(Dashboard!$H$4="Semua",E4009=Dashboard!$H$4)),1,0)</f>
        <v>1</v>
      </c>
      <c r="V4009">
        <f>IF(U4009=1,IF(COUNTIFS($C$2:C4009,C4009,$U$2:U4009,1)=1,1,0),0)</f>
        <v>0</v>
      </c>
    </row>
    <row r="4010" spans="1:22" x14ac:dyDescent="0.35">
      <c r="A4010">
        <v>14009</v>
      </c>
      <c r="B4010" s="1">
        <v>48570</v>
      </c>
      <c r="C4010">
        <v>1434</v>
      </c>
      <c r="D4010" t="s">
        <v>73</v>
      </c>
      <c r="E4010" t="s">
        <v>70</v>
      </c>
      <c r="F4010">
        <v>2</v>
      </c>
      <c r="G4010" s="2">
        <v>556</v>
      </c>
      <c r="H4010">
        <v>0.1</v>
      </c>
      <c r="I4010" t="s">
        <v>68</v>
      </c>
      <c r="J4010">
        <v>10</v>
      </c>
      <c r="K4010">
        <v>4.9000000000000004</v>
      </c>
      <c r="L4010" s="2">
        <v>1000.8</v>
      </c>
      <c r="M4010">
        <v>2032</v>
      </c>
      <c r="N4010">
        <v>12</v>
      </c>
      <c r="O4010" t="s">
        <v>211</v>
      </c>
      <c r="P4010" s="2">
        <v>1112</v>
      </c>
      <c r="Q4010" s="2">
        <v>111.2</v>
      </c>
      <c r="R4010" t="s">
        <v>69</v>
      </c>
      <c r="S4010">
        <v>1</v>
      </c>
      <c r="T4010">
        <v>0</v>
      </c>
      <c r="U4010">
        <f>IF(AND(OR(Dashboard!$D$4="Semua",D4010=Dashboard!$D$4),OR(Dashboard!$H$4="Semua",E4010=Dashboard!$H$4)),1,0)</f>
        <v>1</v>
      </c>
      <c r="V4010">
        <f>IF(U4010=1,IF(COUNTIFS($C$2:C4010,C4010,$U$2:U4010,1)=1,1,0),0)</f>
        <v>0</v>
      </c>
    </row>
    <row r="4011" spans="1:22" x14ac:dyDescent="0.35">
      <c r="A4011">
        <v>14010</v>
      </c>
      <c r="B4011" s="1">
        <v>48571</v>
      </c>
      <c r="C4011">
        <v>1636</v>
      </c>
      <c r="D4011" t="s">
        <v>67</v>
      </c>
      <c r="E4011" t="s">
        <v>74</v>
      </c>
      <c r="F4011">
        <v>3</v>
      </c>
      <c r="G4011" s="2">
        <v>112.68</v>
      </c>
      <c r="H4011">
        <v>0.02</v>
      </c>
      <c r="I4011" t="s">
        <v>68</v>
      </c>
      <c r="J4011">
        <v>10</v>
      </c>
      <c r="K4011">
        <v>1.8</v>
      </c>
      <c r="L4011" s="2">
        <v>331.28</v>
      </c>
      <c r="M4011">
        <v>2032</v>
      </c>
      <c r="N4011">
        <v>12</v>
      </c>
      <c r="O4011" t="s">
        <v>211</v>
      </c>
      <c r="P4011" s="2">
        <v>338.04</v>
      </c>
      <c r="Q4011" s="2">
        <v>6.76</v>
      </c>
      <c r="R4011" t="s">
        <v>75</v>
      </c>
      <c r="S4011">
        <v>1</v>
      </c>
      <c r="T4011">
        <v>0</v>
      </c>
      <c r="U4011">
        <f>IF(AND(OR(Dashboard!$D$4="Semua",D4011=Dashboard!$D$4),OR(Dashboard!$H$4="Semua",E4011=Dashboard!$H$4)),1,0)</f>
        <v>1</v>
      </c>
      <c r="V4011">
        <f>IF(U4011=1,IF(COUNTIFS($C$2:C4011,C4011,$U$2:U4011,1)=1,1,0),0)</f>
        <v>0</v>
      </c>
    </row>
    <row r="4012" spans="1:22" x14ac:dyDescent="0.35">
      <c r="A4012">
        <v>14011</v>
      </c>
      <c r="B4012" s="1">
        <v>48572</v>
      </c>
      <c r="C4012">
        <v>1678</v>
      </c>
      <c r="D4012" t="s">
        <v>67</v>
      </c>
      <c r="E4012" t="s">
        <v>74</v>
      </c>
      <c r="F4012">
        <v>6</v>
      </c>
      <c r="G4012" s="2">
        <v>171.39</v>
      </c>
      <c r="H4012">
        <v>0.32</v>
      </c>
      <c r="I4012" t="s">
        <v>68</v>
      </c>
      <c r="J4012">
        <v>3</v>
      </c>
      <c r="K4012">
        <v>2.7</v>
      </c>
      <c r="L4012" s="2">
        <v>699.27</v>
      </c>
      <c r="M4012">
        <v>2032</v>
      </c>
      <c r="N4012">
        <v>12</v>
      </c>
      <c r="O4012" t="s">
        <v>211</v>
      </c>
      <c r="P4012" s="2">
        <v>1028.3399999999999</v>
      </c>
      <c r="Q4012" s="2">
        <v>329.07</v>
      </c>
      <c r="R4012" t="s">
        <v>72</v>
      </c>
      <c r="S4012">
        <v>1</v>
      </c>
      <c r="T4012">
        <v>0</v>
      </c>
      <c r="U4012">
        <f>IF(AND(OR(Dashboard!$D$4="Semua",D4012=Dashboard!$D$4),OR(Dashboard!$H$4="Semua",E4012=Dashboard!$H$4)),1,0)</f>
        <v>1</v>
      </c>
      <c r="V4012">
        <f>IF(U4012=1,IF(COUNTIFS($C$2:C4012,C4012,$U$2:U4012,1)=1,1,0),0)</f>
        <v>1</v>
      </c>
    </row>
    <row r="4013" spans="1:22" x14ac:dyDescent="0.35">
      <c r="A4013">
        <v>14012</v>
      </c>
      <c r="B4013" s="1">
        <v>48573</v>
      </c>
      <c r="C4013">
        <v>1085</v>
      </c>
      <c r="D4013" t="s">
        <v>62</v>
      </c>
      <c r="E4013" t="s">
        <v>63</v>
      </c>
      <c r="F4013">
        <v>2</v>
      </c>
      <c r="G4013" s="2">
        <v>51.99</v>
      </c>
      <c r="H4013">
        <v>0.17</v>
      </c>
      <c r="I4013" t="s">
        <v>68</v>
      </c>
      <c r="J4013">
        <v>1</v>
      </c>
      <c r="K4013">
        <v>4.9000000000000004</v>
      </c>
      <c r="L4013" s="2">
        <v>86.3</v>
      </c>
      <c r="M4013">
        <v>2032</v>
      </c>
      <c r="N4013">
        <v>12</v>
      </c>
      <c r="O4013" t="s">
        <v>211</v>
      </c>
      <c r="P4013" s="2">
        <v>103.98</v>
      </c>
      <c r="Q4013" s="2">
        <v>17.68</v>
      </c>
      <c r="R4013" t="s">
        <v>76</v>
      </c>
      <c r="S4013">
        <v>1</v>
      </c>
      <c r="T4013">
        <v>0</v>
      </c>
      <c r="U4013">
        <f>IF(AND(OR(Dashboard!$D$4="Semua",D4013=Dashboard!$D$4),OR(Dashboard!$H$4="Semua",E4013=Dashboard!$H$4)),1,0)</f>
        <v>1</v>
      </c>
      <c r="V4013">
        <f>IF(U4013=1,IF(COUNTIFS($C$2:C4013,C4013,$U$2:U4013,1)=1,1,0),0)</f>
        <v>0</v>
      </c>
    </row>
    <row r="4014" spans="1:22" x14ac:dyDescent="0.35">
      <c r="A4014">
        <v>14013</v>
      </c>
      <c r="B4014" s="1">
        <v>48574</v>
      </c>
      <c r="C4014">
        <v>1587</v>
      </c>
      <c r="D4014" t="s">
        <v>62</v>
      </c>
      <c r="E4014" t="s">
        <v>63</v>
      </c>
      <c r="F4014">
        <v>1</v>
      </c>
      <c r="G4014" s="2">
        <v>480.34</v>
      </c>
      <c r="H4014">
        <v>0.1</v>
      </c>
      <c r="I4014" t="s">
        <v>71</v>
      </c>
      <c r="J4014">
        <v>2</v>
      </c>
      <c r="K4014">
        <v>2.6</v>
      </c>
      <c r="L4014" s="2">
        <v>432.31</v>
      </c>
      <c r="M4014">
        <v>2032</v>
      </c>
      <c r="N4014">
        <v>12</v>
      </c>
      <c r="O4014" t="s">
        <v>211</v>
      </c>
      <c r="P4014" s="2">
        <v>480.34</v>
      </c>
      <c r="Q4014" s="2">
        <v>48.03</v>
      </c>
      <c r="R4014" t="s">
        <v>69</v>
      </c>
      <c r="S4014">
        <v>1</v>
      </c>
      <c r="T4014">
        <v>0</v>
      </c>
      <c r="U4014">
        <f>IF(AND(OR(Dashboard!$D$4="Semua",D4014=Dashboard!$D$4),OR(Dashboard!$H$4="Semua",E4014=Dashboard!$H$4)),1,0)</f>
        <v>1</v>
      </c>
      <c r="V4014">
        <f>IF(U4014=1,IF(COUNTIFS($C$2:C4014,C4014,$U$2:U4014,1)=1,1,0),0)</f>
        <v>0</v>
      </c>
    </row>
    <row r="4015" spans="1:22" x14ac:dyDescent="0.35">
      <c r="A4015">
        <v>14014</v>
      </c>
      <c r="B4015" s="1">
        <v>48575</v>
      </c>
      <c r="C4015">
        <v>1343</v>
      </c>
      <c r="D4015" t="s">
        <v>80</v>
      </c>
      <c r="E4015" t="s">
        <v>63</v>
      </c>
      <c r="F4015">
        <v>2</v>
      </c>
      <c r="G4015" s="2">
        <v>378.73</v>
      </c>
      <c r="H4015">
        <v>0.25</v>
      </c>
      <c r="I4015" t="s">
        <v>64</v>
      </c>
      <c r="J4015">
        <v>5</v>
      </c>
      <c r="K4015">
        <v>2.4</v>
      </c>
      <c r="L4015" s="2">
        <v>568.1</v>
      </c>
      <c r="M4015">
        <v>2032</v>
      </c>
      <c r="N4015">
        <v>12</v>
      </c>
      <c r="O4015" t="s">
        <v>211</v>
      </c>
      <c r="P4015" s="2">
        <v>757.46</v>
      </c>
      <c r="Q4015" s="2">
        <v>189.36</v>
      </c>
      <c r="R4015" t="s">
        <v>77</v>
      </c>
      <c r="S4015">
        <v>1</v>
      </c>
      <c r="T4015">
        <v>0</v>
      </c>
      <c r="U4015">
        <f>IF(AND(OR(Dashboard!$D$4="Semua",D4015=Dashboard!$D$4),OR(Dashboard!$H$4="Semua",E4015=Dashboard!$H$4)),1,0)</f>
        <v>1</v>
      </c>
      <c r="V4015">
        <f>IF(U4015=1,IF(COUNTIFS($C$2:C4015,C4015,$U$2:U4015,1)=1,1,0),0)</f>
        <v>0</v>
      </c>
    </row>
    <row r="4016" spans="1:22" x14ac:dyDescent="0.35">
      <c r="A4016">
        <v>14015</v>
      </c>
      <c r="B4016" s="1">
        <v>48576</v>
      </c>
      <c r="C4016">
        <v>1935</v>
      </c>
      <c r="D4016" t="s">
        <v>73</v>
      </c>
      <c r="E4016" t="s">
        <v>63</v>
      </c>
      <c r="F4016">
        <v>6</v>
      </c>
      <c r="G4016" s="2">
        <v>199.24</v>
      </c>
      <c r="H4016">
        <v>0.31</v>
      </c>
      <c r="I4016" t="s">
        <v>68</v>
      </c>
      <c r="J4016">
        <v>10</v>
      </c>
      <c r="K4016">
        <v>1.4</v>
      </c>
      <c r="L4016" s="2">
        <v>824.85</v>
      </c>
      <c r="M4016">
        <v>2032</v>
      </c>
      <c r="N4016">
        <v>12</v>
      </c>
      <c r="O4016" t="s">
        <v>211</v>
      </c>
      <c r="P4016" s="2">
        <v>1195.44</v>
      </c>
      <c r="Q4016" s="2">
        <v>370.59</v>
      </c>
      <c r="R4016" t="s">
        <v>72</v>
      </c>
      <c r="S4016">
        <v>1</v>
      </c>
      <c r="T4016">
        <v>0</v>
      </c>
      <c r="U4016">
        <f>IF(AND(OR(Dashboard!$D$4="Semua",D4016=Dashboard!$D$4),OR(Dashboard!$H$4="Semua",E4016=Dashboard!$H$4)),1,0)</f>
        <v>1</v>
      </c>
      <c r="V4016">
        <f>IF(U4016=1,IF(COUNTIFS($C$2:C4016,C4016,$U$2:U4016,1)=1,1,0),0)</f>
        <v>0</v>
      </c>
    </row>
    <row r="4017" spans="1:22" x14ac:dyDescent="0.35">
      <c r="A4017">
        <v>14016</v>
      </c>
      <c r="B4017" s="1">
        <v>48577</v>
      </c>
      <c r="C4017">
        <v>1293</v>
      </c>
      <c r="D4017" t="s">
        <v>80</v>
      </c>
      <c r="E4017" t="s">
        <v>70</v>
      </c>
      <c r="F4017">
        <v>3</v>
      </c>
      <c r="G4017" s="2">
        <v>110.83</v>
      </c>
      <c r="H4017">
        <v>0</v>
      </c>
      <c r="I4017" t="s">
        <v>71</v>
      </c>
      <c r="J4017">
        <v>7</v>
      </c>
      <c r="K4017">
        <v>4</v>
      </c>
      <c r="L4017" s="2">
        <v>332.49</v>
      </c>
      <c r="M4017">
        <v>2032</v>
      </c>
      <c r="N4017">
        <v>12</v>
      </c>
      <c r="O4017" t="s">
        <v>211</v>
      </c>
      <c r="P4017" s="2">
        <v>332.49</v>
      </c>
      <c r="Q4017" s="2">
        <v>0</v>
      </c>
      <c r="R4017" t="s">
        <v>75</v>
      </c>
      <c r="S4017">
        <v>1</v>
      </c>
      <c r="T4017">
        <v>0</v>
      </c>
      <c r="U4017">
        <f>IF(AND(OR(Dashboard!$D$4="Semua",D4017=Dashboard!$D$4),OR(Dashboard!$H$4="Semua",E4017=Dashboard!$H$4)),1,0)</f>
        <v>1</v>
      </c>
      <c r="V4017">
        <f>IF(U4017=1,IF(COUNTIFS($C$2:C4017,C4017,$U$2:U4017,1)=1,1,0),0)</f>
        <v>0</v>
      </c>
    </row>
    <row r="4018" spans="1:22" x14ac:dyDescent="0.35">
      <c r="A4018">
        <v>14017</v>
      </c>
      <c r="B4018" s="1">
        <v>48578</v>
      </c>
      <c r="C4018">
        <v>1955</v>
      </c>
      <c r="D4018" t="s">
        <v>67</v>
      </c>
      <c r="E4018" t="s">
        <v>78</v>
      </c>
      <c r="F4018">
        <v>1</v>
      </c>
      <c r="G4018" s="2">
        <v>38.49</v>
      </c>
      <c r="H4018">
        <v>0.24</v>
      </c>
      <c r="I4018" t="s">
        <v>68</v>
      </c>
      <c r="J4018">
        <v>11</v>
      </c>
      <c r="K4018">
        <v>2.8</v>
      </c>
      <c r="L4018" s="2">
        <v>29.25</v>
      </c>
      <c r="M4018">
        <v>2032</v>
      </c>
      <c r="N4018">
        <v>12</v>
      </c>
      <c r="O4018" t="s">
        <v>211</v>
      </c>
      <c r="P4018" s="2">
        <v>38.49</v>
      </c>
      <c r="Q4018" s="2">
        <v>9.24</v>
      </c>
      <c r="R4018" t="s">
        <v>77</v>
      </c>
      <c r="S4018">
        <v>1</v>
      </c>
      <c r="T4018">
        <v>0</v>
      </c>
      <c r="U4018">
        <f>IF(AND(OR(Dashboard!$D$4="Semua",D4018=Dashboard!$D$4),OR(Dashboard!$H$4="Semua",E4018=Dashboard!$H$4)),1,0)</f>
        <v>1</v>
      </c>
      <c r="V4018">
        <f>IF(U4018=1,IF(COUNTIFS($C$2:C4018,C4018,$U$2:U4018,1)=1,1,0),0)</f>
        <v>0</v>
      </c>
    </row>
    <row r="4019" spans="1:22" x14ac:dyDescent="0.35">
      <c r="A4019">
        <v>14018</v>
      </c>
      <c r="B4019" s="1">
        <v>48579</v>
      </c>
      <c r="C4019">
        <v>1570</v>
      </c>
      <c r="D4019" t="s">
        <v>67</v>
      </c>
      <c r="E4019" t="s">
        <v>63</v>
      </c>
      <c r="F4019">
        <v>4</v>
      </c>
      <c r="G4019" s="2">
        <v>112.55</v>
      </c>
      <c r="H4019">
        <v>0.27</v>
      </c>
      <c r="I4019" t="s">
        <v>68</v>
      </c>
      <c r="J4019">
        <v>6</v>
      </c>
      <c r="K4019">
        <v>3.6</v>
      </c>
      <c r="L4019" s="2">
        <v>328.65</v>
      </c>
      <c r="M4019">
        <v>2032</v>
      </c>
      <c r="N4019">
        <v>12</v>
      </c>
      <c r="O4019" t="s">
        <v>211</v>
      </c>
      <c r="P4019" s="2">
        <v>450.2</v>
      </c>
      <c r="Q4019" s="2">
        <v>121.55</v>
      </c>
      <c r="R4019" t="s">
        <v>66</v>
      </c>
      <c r="S4019">
        <v>1</v>
      </c>
      <c r="T4019">
        <v>0</v>
      </c>
      <c r="U4019">
        <f>IF(AND(OR(Dashboard!$D$4="Semua",D4019=Dashboard!$D$4),OR(Dashboard!$H$4="Semua",E4019=Dashboard!$H$4)),1,0)</f>
        <v>1</v>
      </c>
      <c r="V4019">
        <f>IF(U4019=1,IF(COUNTIFS($C$2:C4019,C4019,$U$2:U4019,1)=1,1,0),0)</f>
        <v>0</v>
      </c>
    </row>
    <row r="4020" spans="1:22" x14ac:dyDescent="0.35">
      <c r="A4020">
        <v>14019</v>
      </c>
      <c r="B4020" s="1">
        <v>48580</v>
      </c>
      <c r="C4020">
        <v>1649</v>
      </c>
      <c r="D4020" t="s">
        <v>73</v>
      </c>
      <c r="E4020" t="s">
        <v>63</v>
      </c>
      <c r="F4020">
        <v>4</v>
      </c>
      <c r="G4020" s="2">
        <v>280.17</v>
      </c>
      <c r="H4020">
        <v>7.0000000000000007E-2</v>
      </c>
      <c r="I4020" t="s">
        <v>71</v>
      </c>
      <c r="J4020">
        <v>4</v>
      </c>
      <c r="K4020">
        <v>3</v>
      </c>
      <c r="L4020" s="2">
        <v>1042.23</v>
      </c>
      <c r="M4020">
        <v>2033</v>
      </c>
      <c r="N4020">
        <v>1</v>
      </c>
      <c r="O4020" t="s">
        <v>212</v>
      </c>
      <c r="P4020" s="2">
        <v>1120.68</v>
      </c>
      <c r="Q4020" s="2">
        <v>78.45</v>
      </c>
      <c r="R4020" t="s">
        <v>69</v>
      </c>
      <c r="S4020">
        <v>1</v>
      </c>
      <c r="T4020">
        <v>0</v>
      </c>
      <c r="U4020">
        <f>IF(AND(OR(Dashboard!$D$4="Semua",D4020=Dashboard!$D$4),OR(Dashboard!$H$4="Semua",E4020=Dashboard!$H$4)),1,0)</f>
        <v>1</v>
      </c>
      <c r="V4020">
        <f>IF(U4020=1,IF(COUNTIFS($C$2:C4020,C4020,$U$2:U4020,1)=1,1,0),0)</f>
        <v>0</v>
      </c>
    </row>
    <row r="4021" spans="1:22" x14ac:dyDescent="0.35">
      <c r="A4021">
        <v>14020</v>
      </c>
      <c r="B4021" s="1">
        <v>48581</v>
      </c>
      <c r="C4021">
        <v>1610</v>
      </c>
      <c r="D4021" t="s">
        <v>73</v>
      </c>
      <c r="E4021" t="s">
        <v>70</v>
      </c>
      <c r="F4021">
        <v>4</v>
      </c>
      <c r="G4021" s="2">
        <v>159.6</v>
      </c>
      <c r="H4021">
        <v>0.17</v>
      </c>
      <c r="I4021" t="s">
        <v>71</v>
      </c>
      <c r="J4021">
        <v>9</v>
      </c>
      <c r="K4021">
        <v>1.7</v>
      </c>
      <c r="L4021" s="2">
        <v>529.87</v>
      </c>
      <c r="M4021">
        <v>2033</v>
      </c>
      <c r="N4021">
        <v>1</v>
      </c>
      <c r="O4021" t="s">
        <v>212</v>
      </c>
      <c r="P4021" s="2">
        <v>638.4</v>
      </c>
      <c r="Q4021" s="2">
        <v>108.53</v>
      </c>
      <c r="R4021" t="s">
        <v>76</v>
      </c>
      <c r="S4021">
        <v>1</v>
      </c>
      <c r="T4021">
        <v>0</v>
      </c>
      <c r="U4021">
        <f>IF(AND(OR(Dashboard!$D$4="Semua",D4021=Dashboard!$D$4),OR(Dashboard!$H$4="Semua",E4021=Dashboard!$H$4)),1,0)</f>
        <v>1</v>
      </c>
      <c r="V4021">
        <f>IF(U4021=1,IF(COUNTIFS($C$2:C4021,C4021,$U$2:U4021,1)=1,1,0),0)</f>
        <v>0</v>
      </c>
    </row>
    <row r="4022" spans="1:22" x14ac:dyDescent="0.35">
      <c r="A4022">
        <v>14021</v>
      </c>
      <c r="B4022" s="1">
        <v>48582</v>
      </c>
      <c r="C4022">
        <v>1703</v>
      </c>
      <c r="D4022" t="s">
        <v>80</v>
      </c>
      <c r="E4022" t="s">
        <v>63</v>
      </c>
      <c r="F4022">
        <v>7</v>
      </c>
      <c r="G4022" s="2">
        <v>166.5</v>
      </c>
      <c r="H4022">
        <v>0.03</v>
      </c>
      <c r="I4022" t="s">
        <v>64</v>
      </c>
      <c r="J4022">
        <v>11</v>
      </c>
      <c r="K4022">
        <v>1.7</v>
      </c>
      <c r="L4022" s="2">
        <v>1130.54</v>
      </c>
      <c r="M4022">
        <v>2033</v>
      </c>
      <c r="N4022">
        <v>1</v>
      </c>
      <c r="O4022" t="s">
        <v>212</v>
      </c>
      <c r="P4022" s="2">
        <v>1165.5</v>
      </c>
      <c r="Q4022" s="2">
        <v>34.96</v>
      </c>
      <c r="R4022" t="s">
        <v>75</v>
      </c>
      <c r="S4022">
        <v>1</v>
      </c>
      <c r="T4022">
        <v>0</v>
      </c>
      <c r="U4022">
        <f>IF(AND(OR(Dashboard!$D$4="Semua",D4022=Dashboard!$D$4),OR(Dashboard!$H$4="Semua",E4022=Dashboard!$H$4)),1,0)</f>
        <v>1</v>
      </c>
      <c r="V4022">
        <f>IF(U4022=1,IF(COUNTIFS($C$2:C4022,C4022,$U$2:U4022,1)=1,1,0),0)</f>
        <v>0</v>
      </c>
    </row>
    <row r="4023" spans="1:22" x14ac:dyDescent="0.35">
      <c r="A4023">
        <v>14022</v>
      </c>
      <c r="B4023" s="1">
        <v>48583</v>
      </c>
      <c r="C4023">
        <v>1242</v>
      </c>
      <c r="D4023" t="s">
        <v>67</v>
      </c>
      <c r="E4023" t="s">
        <v>63</v>
      </c>
      <c r="F4023">
        <v>1</v>
      </c>
      <c r="G4023" s="2">
        <v>527.21</v>
      </c>
      <c r="H4023">
        <v>0.26</v>
      </c>
      <c r="I4023" t="s">
        <v>71</v>
      </c>
      <c r="J4023">
        <v>4</v>
      </c>
      <c r="K4023">
        <v>4.8</v>
      </c>
      <c r="L4023" s="2">
        <v>390.14</v>
      </c>
      <c r="M4023">
        <v>2033</v>
      </c>
      <c r="N4023">
        <v>1</v>
      </c>
      <c r="O4023" t="s">
        <v>212</v>
      </c>
      <c r="P4023" s="2">
        <v>527.21</v>
      </c>
      <c r="Q4023" s="2">
        <v>137.07</v>
      </c>
      <c r="R4023" t="s">
        <v>66</v>
      </c>
      <c r="S4023">
        <v>1</v>
      </c>
      <c r="T4023">
        <v>0</v>
      </c>
      <c r="U4023">
        <f>IF(AND(OR(Dashboard!$D$4="Semua",D4023=Dashboard!$D$4),OR(Dashboard!$H$4="Semua",E4023=Dashboard!$H$4)),1,0)</f>
        <v>1</v>
      </c>
      <c r="V4023">
        <f>IF(U4023=1,IF(COUNTIFS($C$2:C4023,C4023,$U$2:U4023,1)=1,1,0),0)</f>
        <v>0</v>
      </c>
    </row>
    <row r="4024" spans="1:22" x14ac:dyDescent="0.35">
      <c r="A4024">
        <v>14023</v>
      </c>
      <c r="B4024" s="1">
        <v>48584</v>
      </c>
      <c r="C4024">
        <v>1830</v>
      </c>
      <c r="D4024" t="s">
        <v>73</v>
      </c>
      <c r="E4024" t="s">
        <v>78</v>
      </c>
      <c r="F4024">
        <v>4</v>
      </c>
      <c r="G4024" s="2">
        <v>316.36</v>
      </c>
      <c r="H4024">
        <v>0.3</v>
      </c>
      <c r="I4024" t="s">
        <v>64</v>
      </c>
      <c r="J4024">
        <v>3</v>
      </c>
      <c r="K4024">
        <v>4.5999999999999996</v>
      </c>
      <c r="L4024" s="2">
        <v>885.81</v>
      </c>
      <c r="M4024">
        <v>2033</v>
      </c>
      <c r="N4024">
        <v>1</v>
      </c>
      <c r="O4024" t="s">
        <v>212</v>
      </c>
      <c r="P4024" s="2">
        <v>1265.44</v>
      </c>
      <c r="Q4024" s="2">
        <v>379.63</v>
      </c>
      <c r="R4024" t="s">
        <v>66</v>
      </c>
      <c r="S4024">
        <v>1</v>
      </c>
      <c r="T4024">
        <v>0</v>
      </c>
      <c r="U4024">
        <f>IF(AND(OR(Dashboard!$D$4="Semua",D4024=Dashboard!$D$4),OR(Dashboard!$H$4="Semua",E4024=Dashboard!$H$4)),1,0)</f>
        <v>1</v>
      </c>
      <c r="V4024">
        <f>IF(U4024=1,IF(COUNTIFS($C$2:C4024,C4024,$U$2:U4024,1)=1,1,0),0)</f>
        <v>0</v>
      </c>
    </row>
    <row r="4025" spans="1:22" x14ac:dyDescent="0.35">
      <c r="A4025">
        <v>14024</v>
      </c>
      <c r="B4025" s="1">
        <v>48585</v>
      </c>
      <c r="C4025">
        <v>1560</v>
      </c>
      <c r="D4025" t="s">
        <v>67</v>
      </c>
      <c r="E4025" t="s">
        <v>74</v>
      </c>
      <c r="F4025">
        <v>7</v>
      </c>
      <c r="G4025" s="2">
        <v>441.61</v>
      </c>
      <c r="H4025">
        <v>0.04</v>
      </c>
      <c r="I4025" t="s">
        <v>68</v>
      </c>
      <c r="J4025">
        <v>11</v>
      </c>
      <c r="K4025">
        <v>3.4</v>
      </c>
      <c r="L4025" s="2">
        <v>2967.62</v>
      </c>
      <c r="M4025">
        <v>2033</v>
      </c>
      <c r="N4025">
        <v>1</v>
      </c>
      <c r="O4025" t="s">
        <v>212</v>
      </c>
      <c r="P4025" s="2">
        <v>3091.27</v>
      </c>
      <c r="Q4025" s="2">
        <v>123.65</v>
      </c>
      <c r="R4025" t="s">
        <v>75</v>
      </c>
      <c r="S4025">
        <v>1</v>
      </c>
      <c r="T4025">
        <v>0</v>
      </c>
      <c r="U4025">
        <f>IF(AND(OR(Dashboard!$D$4="Semua",D4025=Dashboard!$D$4),OR(Dashboard!$H$4="Semua",E4025=Dashboard!$H$4)),1,0)</f>
        <v>1</v>
      </c>
      <c r="V4025">
        <f>IF(U4025=1,IF(COUNTIFS($C$2:C4025,C4025,$U$2:U4025,1)=1,1,0),0)</f>
        <v>0</v>
      </c>
    </row>
    <row r="4026" spans="1:22" x14ac:dyDescent="0.35">
      <c r="A4026">
        <v>14025</v>
      </c>
      <c r="B4026" s="1">
        <v>48586</v>
      </c>
      <c r="C4026">
        <v>1959</v>
      </c>
      <c r="D4026" t="s">
        <v>62</v>
      </c>
      <c r="E4026" t="s">
        <v>63</v>
      </c>
      <c r="F4026">
        <v>2</v>
      </c>
      <c r="G4026" s="2">
        <v>35.89</v>
      </c>
      <c r="H4026">
        <v>0.28999999999999998</v>
      </c>
      <c r="I4026" t="s">
        <v>68</v>
      </c>
      <c r="J4026">
        <v>5</v>
      </c>
      <c r="K4026">
        <v>1</v>
      </c>
      <c r="L4026" s="2">
        <v>50.96</v>
      </c>
      <c r="M4026">
        <v>2033</v>
      </c>
      <c r="N4026">
        <v>1</v>
      </c>
      <c r="O4026" t="s">
        <v>212</v>
      </c>
      <c r="P4026" s="2">
        <v>71.78</v>
      </c>
      <c r="Q4026" s="2">
        <v>20.82</v>
      </c>
      <c r="R4026" t="s">
        <v>66</v>
      </c>
      <c r="S4026">
        <v>1</v>
      </c>
      <c r="T4026">
        <v>0</v>
      </c>
      <c r="U4026">
        <f>IF(AND(OR(Dashboard!$D$4="Semua",D4026=Dashboard!$D$4),OR(Dashboard!$H$4="Semua",E4026=Dashboard!$H$4)),1,0)</f>
        <v>1</v>
      </c>
      <c r="V4026">
        <f>IF(U4026=1,IF(COUNTIFS($C$2:C4026,C4026,$U$2:U4026,1)=1,1,0),0)</f>
        <v>0</v>
      </c>
    </row>
    <row r="4027" spans="1:22" x14ac:dyDescent="0.35">
      <c r="A4027">
        <v>14026</v>
      </c>
      <c r="B4027" s="1">
        <v>48587</v>
      </c>
      <c r="C4027">
        <v>1031</v>
      </c>
      <c r="D4027" t="s">
        <v>80</v>
      </c>
      <c r="E4027" t="s">
        <v>70</v>
      </c>
      <c r="F4027">
        <v>1</v>
      </c>
      <c r="G4027" s="2">
        <v>228.62</v>
      </c>
      <c r="H4027">
        <v>0.27</v>
      </c>
      <c r="I4027" t="s">
        <v>68</v>
      </c>
      <c r="J4027">
        <v>4</v>
      </c>
      <c r="K4027">
        <v>2.7</v>
      </c>
      <c r="L4027" s="2">
        <v>166.89</v>
      </c>
      <c r="M4027">
        <v>2033</v>
      </c>
      <c r="N4027">
        <v>1</v>
      </c>
      <c r="O4027" t="s">
        <v>212</v>
      </c>
      <c r="P4027" s="2">
        <v>228.62</v>
      </c>
      <c r="Q4027" s="2">
        <v>61.73</v>
      </c>
      <c r="R4027" t="s">
        <v>66</v>
      </c>
      <c r="S4027">
        <v>1</v>
      </c>
      <c r="T4027">
        <v>0</v>
      </c>
      <c r="U4027">
        <f>IF(AND(OR(Dashboard!$D$4="Semua",D4027=Dashboard!$D$4),OR(Dashboard!$H$4="Semua",E4027=Dashboard!$H$4)),1,0)</f>
        <v>1</v>
      </c>
      <c r="V4027">
        <f>IF(U4027=1,IF(COUNTIFS($C$2:C4027,C4027,$U$2:U4027,1)=1,1,0),0)</f>
        <v>0</v>
      </c>
    </row>
    <row r="4028" spans="1:22" x14ac:dyDescent="0.35">
      <c r="A4028">
        <v>14027</v>
      </c>
      <c r="B4028" s="1">
        <v>48588</v>
      </c>
      <c r="C4028">
        <v>1390</v>
      </c>
      <c r="D4028" t="s">
        <v>73</v>
      </c>
      <c r="E4028" t="s">
        <v>78</v>
      </c>
      <c r="F4028">
        <v>1</v>
      </c>
      <c r="G4028" s="2">
        <v>295.31</v>
      </c>
      <c r="H4028">
        <v>0.12</v>
      </c>
      <c r="I4028" t="s">
        <v>71</v>
      </c>
      <c r="J4028">
        <v>2</v>
      </c>
      <c r="K4028">
        <v>3.1</v>
      </c>
      <c r="L4028" s="2">
        <v>259.87</v>
      </c>
      <c r="M4028">
        <v>2033</v>
      </c>
      <c r="N4028">
        <v>1</v>
      </c>
      <c r="O4028" t="s">
        <v>212</v>
      </c>
      <c r="P4028" s="2">
        <v>295.31</v>
      </c>
      <c r="Q4028" s="2">
        <v>35.44</v>
      </c>
      <c r="R4028" t="s">
        <v>79</v>
      </c>
      <c r="S4028">
        <v>1</v>
      </c>
      <c r="T4028">
        <v>0</v>
      </c>
      <c r="U4028">
        <f>IF(AND(OR(Dashboard!$D$4="Semua",D4028=Dashboard!$D$4),OR(Dashboard!$H$4="Semua",E4028=Dashboard!$H$4)),1,0)</f>
        <v>1</v>
      </c>
      <c r="V4028">
        <f>IF(U4028=1,IF(COUNTIFS($C$2:C4028,C4028,$U$2:U4028,1)=1,1,0),0)</f>
        <v>0</v>
      </c>
    </row>
    <row r="4029" spans="1:22" x14ac:dyDescent="0.35">
      <c r="A4029">
        <v>14028</v>
      </c>
      <c r="B4029" s="1">
        <v>48589</v>
      </c>
      <c r="C4029">
        <v>1276</v>
      </c>
      <c r="D4029" t="s">
        <v>73</v>
      </c>
      <c r="E4029" t="s">
        <v>70</v>
      </c>
      <c r="F4029">
        <v>1</v>
      </c>
      <c r="G4029" s="2">
        <v>124.05</v>
      </c>
      <c r="H4029">
        <v>0.24</v>
      </c>
      <c r="I4029" t="s">
        <v>68</v>
      </c>
      <c r="J4029">
        <v>3</v>
      </c>
      <c r="K4029">
        <v>2.8</v>
      </c>
      <c r="L4029" s="2">
        <v>94.28</v>
      </c>
      <c r="M4029">
        <v>2033</v>
      </c>
      <c r="N4029">
        <v>1</v>
      </c>
      <c r="O4029" t="s">
        <v>212</v>
      </c>
      <c r="P4029" s="2">
        <v>124.05</v>
      </c>
      <c r="Q4029" s="2">
        <v>29.77</v>
      </c>
      <c r="R4029" t="s">
        <v>77</v>
      </c>
      <c r="S4029">
        <v>1</v>
      </c>
      <c r="T4029">
        <v>0</v>
      </c>
      <c r="U4029">
        <f>IF(AND(OR(Dashboard!$D$4="Semua",D4029=Dashboard!$D$4),OR(Dashboard!$H$4="Semua",E4029=Dashboard!$H$4)),1,0)</f>
        <v>1</v>
      </c>
      <c r="V4029">
        <f>IF(U4029=1,IF(COUNTIFS($C$2:C4029,C4029,$U$2:U4029,1)=1,1,0),0)</f>
        <v>0</v>
      </c>
    </row>
    <row r="4030" spans="1:22" x14ac:dyDescent="0.35">
      <c r="A4030">
        <v>14029</v>
      </c>
      <c r="B4030" s="1">
        <v>48590</v>
      </c>
      <c r="C4030">
        <v>1531</v>
      </c>
      <c r="D4030" t="s">
        <v>73</v>
      </c>
      <c r="E4030" t="s">
        <v>78</v>
      </c>
      <c r="F4030">
        <v>5</v>
      </c>
      <c r="G4030" s="2">
        <v>85.31</v>
      </c>
      <c r="H4030">
        <v>0</v>
      </c>
      <c r="I4030" t="s">
        <v>68</v>
      </c>
      <c r="J4030">
        <v>7</v>
      </c>
      <c r="K4030">
        <v>4.7</v>
      </c>
      <c r="L4030" s="2">
        <v>426.55</v>
      </c>
      <c r="M4030">
        <v>2033</v>
      </c>
      <c r="N4030">
        <v>1</v>
      </c>
      <c r="O4030" t="s">
        <v>212</v>
      </c>
      <c r="P4030" s="2">
        <v>426.55</v>
      </c>
      <c r="Q4030" s="2">
        <v>0</v>
      </c>
      <c r="R4030" t="s">
        <v>75</v>
      </c>
      <c r="S4030">
        <v>1</v>
      </c>
      <c r="T4030">
        <v>0</v>
      </c>
      <c r="U4030">
        <f>IF(AND(OR(Dashboard!$D$4="Semua",D4030=Dashboard!$D$4),OR(Dashboard!$H$4="Semua",E4030=Dashboard!$H$4)),1,0)</f>
        <v>1</v>
      </c>
      <c r="V4030">
        <f>IF(U4030=1,IF(COUNTIFS($C$2:C4030,C4030,$U$2:U4030,1)=1,1,0),0)</f>
        <v>0</v>
      </c>
    </row>
    <row r="4031" spans="1:22" x14ac:dyDescent="0.35">
      <c r="A4031">
        <v>14030</v>
      </c>
      <c r="B4031" s="1">
        <v>48591</v>
      </c>
      <c r="C4031">
        <v>1153</v>
      </c>
      <c r="D4031" t="s">
        <v>62</v>
      </c>
      <c r="E4031" t="s">
        <v>78</v>
      </c>
      <c r="F4031">
        <v>7</v>
      </c>
      <c r="G4031" s="2">
        <v>524.13</v>
      </c>
      <c r="H4031">
        <v>0.33</v>
      </c>
      <c r="I4031" t="s">
        <v>71</v>
      </c>
      <c r="J4031">
        <v>2</v>
      </c>
      <c r="K4031">
        <v>1.2</v>
      </c>
      <c r="L4031" s="2">
        <v>2458.17</v>
      </c>
      <c r="M4031">
        <v>2033</v>
      </c>
      <c r="N4031">
        <v>1</v>
      </c>
      <c r="O4031" t="s">
        <v>212</v>
      </c>
      <c r="P4031" s="2">
        <v>3668.91</v>
      </c>
      <c r="Q4031" s="2">
        <v>1210.74</v>
      </c>
      <c r="R4031" t="s">
        <v>72</v>
      </c>
      <c r="S4031">
        <v>1</v>
      </c>
      <c r="T4031">
        <v>0</v>
      </c>
      <c r="U4031">
        <f>IF(AND(OR(Dashboard!$D$4="Semua",D4031=Dashboard!$D$4),OR(Dashboard!$H$4="Semua",E4031=Dashboard!$H$4)),1,0)</f>
        <v>1</v>
      </c>
      <c r="V4031">
        <f>IF(U4031=1,IF(COUNTIFS($C$2:C4031,C4031,$U$2:U4031,1)=1,1,0),0)</f>
        <v>0</v>
      </c>
    </row>
    <row r="4032" spans="1:22" x14ac:dyDescent="0.35">
      <c r="A4032">
        <v>14031</v>
      </c>
      <c r="B4032" s="1">
        <v>48592</v>
      </c>
      <c r="C4032">
        <v>1382</v>
      </c>
      <c r="D4032" t="s">
        <v>67</v>
      </c>
      <c r="E4032" t="s">
        <v>63</v>
      </c>
      <c r="F4032">
        <v>3</v>
      </c>
      <c r="G4032" s="2">
        <v>564.57000000000005</v>
      </c>
      <c r="H4032">
        <v>0.19</v>
      </c>
      <c r="I4032" t="s">
        <v>68</v>
      </c>
      <c r="J4032">
        <v>1</v>
      </c>
      <c r="K4032">
        <v>3.6</v>
      </c>
      <c r="L4032" s="2">
        <v>1371.91</v>
      </c>
      <c r="M4032">
        <v>2033</v>
      </c>
      <c r="N4032">
        <v>1</v>
      </c>
      <c r="O4032" t="s">
        <v>212</v>
      </c>
      <c r="P4032" s="2">
        <v>1693.71</v>
      </c>
      <c r="Q4032" s="2">
        <v>321.8</v>
      </c>
      <c r="R4032" t="s">
        <v>76</v>
      </c>
      <c r="S4032">
        <v>1</v>
      </c>
      <c r="T4032">
        <v>0</v>
      </c>
      <c r="U4032">
        <f>IF(AND(OR(Dashboard!$D$4="Semua",D4032=Dashboard!$D$4),OR(Dashboard!$H$4="Semua",E4032=Dashboard!$H$4)),1,0)</f>
        <v>1</v>
      </c>
      <c r="V4032">
        <f>IF(U4032=1,IF(COUNTIFS($C$2:C4032,C4032,$U$2:U4032,1)=1,1,0),0)</f>
        <v>0</v>
      </c>
    </row>
    <row r="4033" spans="1:22" x14ac:dyDescent="0.35">
      <c r="A4033">
        <v>14032</v>
      </c>
      <c r="B4033" s="1">
        <v>48593</v>
      </c>
      <c r="C4033">
        <v>1067</v>
      </c>
      <c r="D4033" t="s">
        <v>67</v>
      </c>
      <c r="E4033" t="s">
        <v>63</v>
      </c>
      <c r="F4033">
        <v>5</v>
      </c>
      <c r="G4033" s="2">
        <v>61.1</v>
      </c>
      <c r="H4033">
        <v>0.22</v>
      </c>
      <c r="I4033" t="s">
        <v>68</v>
      </c>
      <c r="J4033">
        <v>2</v>
      </c>
      <c r="K4033">
        <v>2.2999999999999998</v>
      </c>
      <c r="L4033" s="2">
        <v>238.29</v>
      </c>
      <c r="M4033">
        <v>2033</v>
      </c>
      <c r="N4033">
        <v>1</v>
      </c>
      <c r="O4033" t="s">
        <v>212</v>
      </c>
      <c r="P4033" s="2">
        <v>305.5</v>
      </c>
      <c r="Q4033" s="2">
        <v>67.209999999999994</v>
      </c>
      <c r="R4033" t="s">
        <v>77</v>
      </c>
      <c r="S4033">
        <v>1</v>
      </c>
      <c r="T4033">
        <v>0</v>
      </c>
      <c r="U4033">
        <f>IF(AND(OR(Dashboard!$D$4="Semua",D4033=Dashboard!$D$4),OR(Dashboard!$H$4="Semua",E4033=Dashboard!$H$4)),1,0)</f>
        <v>1</v>
      </c>
      <c r="V4033">
        <f>IF(U4033=1,IF(COUNTIFS($C$2:C4033,C4033,$U$2:U4033,1)=1,1,0),0)</f>
        <v>1</v>
      </c>
    </row>
    <row r="4034" spans="1:22" x14ac:dyDescent="0.35">
      <c r="A4034">
        <v>14033</v>
      </c>
      <c r="B4034" s="1">
        <v>48594</v>
      </c>
      <c r="C4034">
        <v>1877</v>
      </c>
      <c r="D4034" t="s">
        <v>67</v>
      </c>
      <c r="E4034" t="s">
        <v>63</v>
      </c>
      <c r="F4034">
        <v>5</v>
      </c>
      <c r="G4034" s="2">
        <v>219.18</v>
      </c>
      <c r="H4034">
        <v>0.23</v>
      </c>
      <c r="I4034" t="s">
        <v>68</v>
      </c>
      <c r="J4034">
        <v>8</v>
      </c>
      <c r="K4034">
        <v>3.2</v>
      </c>
      <c r="L4034" s="2">
        <v>843.84</v>
      </c>
      <c r="M4034">
        <v>2033</v>
      </c>
      <c r="N4034">
        <v>1</v>
      </c>
      <c r="O4034" t="s">
        <v>212</v>
      </c>
      <c r="P4034" s="2">
        <v>1095.9000000000001</v>
      </c>
      <c r="Q4034" s="2">
        <v>252.06</v>
      </c>
      <c r="R4034" t="s">
        <v>77</v>
      </c>
      <c r="S4034">
        <v>1</v>
      </c>
      <c r="T4034">
        <v>0</v>
      </c>
      <c r="U4034">
        <f>IF(AND(OR(Dashboard!$D$4="Semua",D4034=Dashboard!$D$4),OR(Dashboard!$H$4="Semua",E4034=Dashboard!$H$4)),1,0)</f>
        <v>1</v>
      </c>
      <c r="V4034">
        <f>IF(U4034=1,IF(COUNTIFS($C$2:C4034,C4034,$U$2:U4034,1)=1,1,0),0)</f>
        <v>0</v>
      </c>
    </row>
    <row r="4035" spans="1:22" x14ac:dyDescent="0.35">
      <c r="A4035">
        <v>14034</v>
      </c>
      <c r="B4035" s="1">
        <v>48595</v>
      </c>
      <c r="C4035">
        <v>1883</v>
      </c>
      <c r="D4035" t="s">
        <v>67</v>
      </c>
      <c r="E4035" t="s">
        <v>74</v>
      </c>
      <c r="F4035">
        <v>5</v>
      </c>
      <c r="G4035" s="2">
        <v>575.6</v>
      </c>
      <c r="H4035">
        <v>0.2</v>
      </c>
      <c r="I4035" t="s">
        <v>68</v>
      </c>
      <c r="J4035">
        <v>8</v>
      </c>
      <c r="K4035">
        <v>3.6</v>
      </c>
      <c r="L4035" s="2">
        <v>2302.4</v>
      </c>
      <c r="M4035">
        <v>2033</v>
      </c>
      <c r="N4035">
        <v>1</v>
      </c>
      <c r="O4035" t="s">
        <v>212</v>
      </c>
      <c r="P4035" s="2">
        <v>2878</v>
      </c>
      <c r="Q4035" s="2">
        <v>575.6</v>
      </c>
      <c r="R4035" t="s">
        <v>76</v>
      </c>
      <c r="S4035">
        <v>1</v>
      </c>
      <c r="T4035">
        <v>0</v>
      </c>
      <c r="U4035">
        <f>IF(AND(OR(Dashboard!$D$4="Semua",D4035=Dashboard!$D$4),OR(Dashboard!$H$4="Semua",E4035=Dashboard!$H$4)),1,0)</f>
        <v>1</v>
      </c>
      <c r="V4035">
        <f>IF(U4035=1,IF(COUNTIFS($C$2:C4035,C4035,$U$2:U4035,1)=1,1,0),0)</f>
        <v>0</v>
      </c>
    </row>
    <row r="4036" spans="1:22" x14ac:dyDescent="0.35">
      <c r="A4036">
        <v>14035</v>
      </c>
      <c r="B4036" s="1">
        <v>48596</v>
      </c>
      <c r="C4036">
        <v>1213</v>
      </c>
      <c r="D4036" t="s">
        <v>80</v>
      </c>
      <c r="E4036" t="s">
        <v>74</v>
      </c>
      <c r="F4036">
        <v>3</v>
      </c>
      <c r="G4036" s="2">
        <v>63.65</v>
      </c>
      <c r="H4036">
        <v>0.3</v>
      </c>
      <c r="I4036" t="s">
        <v>71</v>
      </c>
      <c r="J4036">
        <v>10</v>
      </c>
      <c r="K4036">
        <v>2.8</v>
      </c>
      <c r="L4036" s="2">
        <v>133.66</v>
      </c>
      <c r="M4036">
        <v>2033</v>
      </c>
      <c r="N4036">
        <v>1</v>
      </c>
      <c r="O4036" t="s">
        <v>212</v>
      </c>
      <c r="P4036" s="2">
        <v>190.95</v>
      </c>
      <c r="Q4036" s="2">
        <v>57.29</v>
      </c>
      <c r="R4036" t="s">
        <v>66</v>
      </c>
      <c r="S4036">
        <v>1</v>
      </c>
      <c r="T4036">
        <v>0</v>
      </c>
      <c r="U4036">
        <f>IF(AND(OR(Dashboard!$D$4="Semua",D4036=Dashboard!$D$4),OR(Dashboard!$H$4="Semua",E4036=Dashboard!$H$4)),1,0)</f>
        <v>1</v>
      </c>
      <c r="V4036">
        <f>IF(U4036=1,IF(COUNTIFS($C$2:C4036,C4036,$U$2:U4036,1)=1,1,0),0)</f>
        <v>0</v>
      </c>
    </row>
    <row r="4037" spans="1:22" x14ac:dyDescent="0.35">
      <c r="A4037">
        <v>14036</v>
      </c>
      <c r="B4037" s="1">
        <v>48597</v>
      </c>
      <c r="C4037">
        <v>1654</v>
      </c>
      <c r="D4037" t="s">
        <v>67</v>
      </c>
      <c r="E4037" t="s">
        <v>70</v>
      </c>
      <c r="F4037">
        <v>5</v>
      </c>
      <c r="G4037" s="2">
        <v>391.53</v>
      </c>
      <c r="H4037">
        <v>0.21</v>
      </c>
      <c r="I4037" t="s">
        <v>71</v>
      </c>
      <c r="J4037">
        <v>2</v>
      </c>
      <c r="K4037">
        <v>1.6</v>
      </c>
      <c r="L4037" s="2">
        <v>1546.54</v>
      </c>
      <c r="M4037">
        <v>2033</v>
      </c>
      <c r="N4037">
        <v>1</v>
      </c>
      <c r="O4037" t="s">
        <v>212</v>
      </c>
      <c r="P4037" s="2">
        <v>1957.65</v>
      </c>
      <c r="Q4037" s="2">
        <v>411.11</v>
      </c>
      <c r="R4037" t="s">
        <v>77</v>
      </c>
      <c r="S4037">
        <v>1</v>
      </c>
      <c r="T4037">
        <v>0</v>
      </c>
      <c r="U4037">
        <f>IF(AND(OR(Dashboard!$D$4="Semua",D4037=Dashboard!$D$4),OR(Dashboard!$H$4="Semua",E4037=Dashboard!$H$4)),1,0)</f>
        <v>1</v>
      </c>
      <c r="V4037">
        <f>IF(U4037=1,IF(COUNTIFS($C$2:C4037,C4037,$U$2:U4037,1)=1,1,0),0)</f>
        <v>0</v>
      </c>
    </row>
    <row r="4038" spans="1:22" x14ac:dyDescent="0.35">
      <c r="A4038">
        <v>14037</v>
      </c>
      <c r="B4038" s="1">
        <v>48598</v>
      </c>
      <c r="C4038">
        <v>1375</v>
      </c>
      <c r="D4038" t="s">
        <v>73</v>
      </c>
      <c r="E4038" t="s">
        <v>63</v>
      </c>
      <c r="F4038">
        <v>4</v>
      </c>
      <c r="G4038" s="2">
        <v>583.75</v>
      </c>
      <c r="H4038">
        <v>0.32</v>
      </c>
      <c r="I4038" t="s">
        <v>68</v>
      </c>
      <c r="J4038">
        <v>6</v>
      </c>
      <c r="K4038">
        <v>3.1</v>
      </c>
      <c r="L4038" s="2">
        <v>1587.8</v>
      </c>
      <c r="M4038">
        <v>2033</v>
      </c>
      <c r="N4038">
        <v>1</v>
      </c>
      <c r="O4038" t="s">
        <v>212</v>
      </c>
      <c r="P4038" s="2">
        <v>2335</v>
      </c>
      <c r="Q4038" s="2">
        <v>747.2</v>
      </c>
      <c r="R4038" t="s">
        <v>72</v>
      </c>
      <c r="S4038">
        <v>1</v>
      </c>
      <c r="T4038">
        <v>0</v>
      </c>
      <c r="U4038">
        <f>IF(AND(OR(Dashboard!$D$4="Semua",D4038=Dashboard!$D$4),OR(Dashboard!$H$4="Semua",E4038=Dashboard!$H$4)),1,0)</f>
        <v>1</v>
      </c>
      <c r="V4038">
        <f>IF(U4038=1,IF(COUNTIFS($C$2:C4038,C4038,$U$2:U4038,1)=1,1,0),0)</f>
        <v>0</v>
      </c>
    </row>
    <row r="4039" spans="1:22" x14ac:dyDescent="0.35">
      <c r="A4039">
        <v>14038</v>
      </c>
      <c r="B4039" s="1">
        <v>48599</v>
      </c>
      <c r="C4039">
        <v>1743</v>
      </c>
      <c r="D4039" t="s">
        <v>73</v>
      </c>
      <c r="E4039" t="s">
        <v>74</v>
      </c>
      <c r="F4039">
        <v>1</v>
      </c>
      <c r="G4039" s="2">
        <v>587.26</v>
      </c>
      <c r="H4039">
        <v>0.2</v>
      </c>
      <c r="I4039" t="s">
        <v>68</v>
      </c>
      <c r="J4039">
        <v>11</v>
      </c>
      <c r="K4039">
        <v>4.7</v>
      </c>
      <c r="L4039" s="2">
        <v>469.81</v>
      </c>
      <c r="M4039">
        <v>2033</v>
      </c>
      <c r="N4039">
        <v>1</v>
      </c>
      <c r="O4039" t="s">
        <v>212</v>
      </c>
      <c r="P4039" s="2">
        <v>587.26</v>
      </c>
      <c r="Q4039" s="2">
        <v>117.45</v>
      </c>
      <c r="R4039" t="s">
        <v>76</v>
      </c>
      <c r="S4039">
        <v>1</v>
      </c>
      <c r="T4039">
        <v>0</v>
      </c>
      <c r="U4039">
        <f>IF(AND(OR(Dashboard!$D$4="Semua",D4039=Dashboard!$D$4),OR(Dashboard!$H$4="Semua",E4039=Dashboard!$H$4)),1,0)</f>
        <v>1</v>
      </c>
      <c r="V4039">
        <f>IF(U4039=1,IF(COUNTIFS($C$2:C4039,C4039,$U$2:U4039,1)=1,1,0),0)</f>
        <v>0</v>
      </c>
    </row>
    <row r="4040" spans="1:22" x14ac:dyDescent="0.35">
      <c r="A4040">
        <v>14039</v>
      </c>
      <c r="B4040" s="1">
        <v>48600</v>
      </c>
      <c r="C4040">
        <v>1212</v>
      </c>
      <c r="D4040" t="s">
        <v>67</v>
      </c>
      <c r="E4040" t="s">
        <v>63</v>
      </c>
      <c r="F4040">
        <v>1</v>
      </c>
      <c r="G4040" s="2">
        <v>290.67</v>
      </c>
      <c r="H4040">
        <v>0.06</v>
      </c>
      <c r="I4040" t="s">
        <v>64</v>
      </c>
      <c r="J4040">
        <v>11</v>
      </c>
      <c r="K4040">
        <v>3.1</v>
      </c>
      <c r="L4040" s="2">
        <v>273.23</v>
      </c>
      <c r="M4040">
        <v>2033</v>
      </c>
      <c r="N4040">
        <v>1</v>
      </c>
      <c r="O4040" t="s">
        <v>212</v>
      </c>
      <c r="P4040" s="2">
        <v>290.67</v>
      </c>
      <c r="Q4040" s="2">
        <v>17.440000000000001</v>
      </c>
      <c r="R4040" t="s">
        <v>69</v>
      </c>
      <c r="S4040">
        <v>1</v>
      </c>
      <c r="T4040">
        <v>0</v>
      </c>
      <c r="U4040">
        <f>IF(AND(OR(Dashboard!$D$4="Semua",D4040=Dashboard!$D$4),OR(Dashboard!$H$4="Semua",E4040=Dashboard!$H$4)),1,0)</f>
        <v>1</v>
      </c>
      <c r="V4040">
        <f>IF(U4040=1,IF(COUNTIFS($C$2:C4040,C4040,$U$2:U4040,1)=1,1,0),0)</f>
        <v>0</v>
      </c>
    </row>
    <row r="4041" spans="1:22" x14ac:dyDescent="0.35">
      <c r="A4041">
        <v>14040</v>
      </c>
      <c r="B4041" s="1">
        <v>48601</v>
      </c>
      <c r="C4041">
        <v>1078</v>
      </c>
      <c r="D4041" t="s">
        <v>62</v>
      </c>
      <c r="E4041" t="s">
        <v>74</v>
      </c>
      <c r="F4041">
        <v>7</v>
      </c>
      <c r="G4041" s="2">
        <v>110.21</v>
      </c>
      <c r="H4041">
        <v>0.32</v>
      </c>
      <c r="I4041" t="s">
        <v>71</v>
      </c>
      <c r="J4041">
        <v>11</v>
      </c>
      <c r="K4041">
        <v>1.5</v>
      </c>
      <c r="L4041" s="2">
        <v>524.6</v>
      </c>
      <c r="M4041">
        <v>2033</v>
      </c>
      <c r="N4041">
        <v>1</v>
      </c>
      <c r="O4041" t="s">
        <v>212</v>
      </c>
      <c r="P4041" s="2">
        <v>771.47</v>
      </c>
      <c r="Q4041" s="2">
        <v>246.87</v>
      </c>
      <c r="R4041" t="s">
        <v>72</v>
      </c>
      <c r="S4041">
        <v>1</v>
      </c>
      <c r="T4041">
        <v>0</v>
      </c>
      <c r="U4041">
        <f>IF(AND(OR(Dashboard!$D$4="Semua",D4041=Dashboard!$D$4),OR(Dashboard!$H$4="Semua",E4041=Dashboard!$H$4)),1,0)</f>
        <v>1</v>
      </c>
      <c r="V4041">
        <f>IF(U4041=1,IF(COUNTIFS($C$2:C4041,C4041,$U$2:U4041,1)=1,1,0),0)</f>
        <v>0</v>
      </c>
    </row>
    <row r="4042" spans="1:22" x14ac:dyDescent="0.35">
      <c r="A4042">
        <v>14041</v>
      </c>
      <c r="B4042" s="1">
        <v>48602</v>
      </c>
      <c r="C4042">
        <v>1725</v>
      </c>
      <c r="D4042" t="s">
        <v>73</v>
      </c>
      <c r="E4042" t="s">
        <v>74</v>
      </c>
      <c r="F4042">
        <v>2</v>
      </c>
      <c r="G4042" s="2">
        <v>133.22</v>
      </c>
      <c r="H4042">
        <v>0.24</v>
      </c>
      <c r="I4042" t="s">
        <v>71</v>
      </c>
      <c r="J4042">
        <v>7</v>
      </c>
      <c r="K4042">
        <v>4.3</v>
      </c>
      <c r="L4042" s="2">
        <v>202.49</v>
      </c>
      <c r="M4042">
        <v>2033</v>
      </c>
      <c r="N4042">
        <v>1</v>
      </c>
      <c r="O4042" t="s">
        <v>212</v>
      </c>
      <c r="P4042" s="2">
        <v>266.44</v>
      </c>
      <c r="Q4042" s="2">
        <v>63.95</v>
      </c>
      <c r="R4042" t="s">
        <v>77</v>
      </c>
      <c r="S4042">
        <v>1</v>
      </c>
      <c r="T4042">
        <v>0</v>
      </c>
      <c r="U4042">
        <f>IF(AND(OR(Dashboard!$D$4="Semua",D4042=Dashboard!$D$4),OR(Dashboard!$H$4="Semua",E4042=Dashboard!$H$4)),1,0)</f>
        <v>1</v>
      </c>
      <c r="V4042">
        <f>IF(U4042=1,IF(COUNTIFS($C$2:C4042,C4042,$U$2:U4042,1)=1,1,0),0)</f>
        <v>0</v>
      </c>
    </row>
    <row r="4043" spans="1:22" x14ac:dyDescent="0.35">
      <c r="A4043">
        <v>14042</v>
      </c>
      <c r="B4043" s="1">
        <v>48603</v>
      </c>
      <c r="C4043">
        <v>1627</v>
      </c>
      <c r="D4043" t="s">
        <v>62</v>
      </c>
      <c r="E4043" t="s">
        <v>78</v>
      </c>
      <c r="F4043">
        <v>6</v>
      </c>
      <c r="G4043" s="2">
        <v>535.41999999999996</v>
      </c>
      <c r="H4043">
        <v>0.24</v>
      </c>
      <c r="I4043" t="s">
        <v>71</v>
      </c>
      <c r="J4043">
        <v>1</v>
      </c>
      <c r="K4043">
        <v>1.9</v>
      </c>
      <c r="L4043" s="2">
        <v>2441.52</v>
      </c>
      <c r="M4043">
        <v>2033</v>
      </c>
      <c r="N4043">
        <v>1</v>
      </c>
      <c r="O4043" t="s">
        <v>212</v>
      </c>
      <c r="P4043" s="2">
        <v>3212.52</v>
      </c>
      <c r="Q4043" s="2">
        <v>771</v>
      </c>
      <c r="R4043" t="s">
        <v>77</v>
      </c>
      <c r="S4043">
        <v>1</v>
      </c>
      <c r="T4043">
        <v>0</v>
      </c>
      <c r="U4043">
        <f>IF(AND(OR(Dashboard!$D$4="Semua",D4043=Dashboard!$D$4),OR(Dashboard!$H$4="Semua",E4043=Dashboard!$H$4)),1,0)</f>
        <v>1</v>
      </c>
      <c r="V4043">
        <f>IF(U4043=1,IF(COUNTIFS($C$2:C4043,C4043,$U$2:U4043,1)=1,1,0),0)</f>
        <v>0</v>
      </c>
    </row>
    <row r="4044" spans="1:22" x14ac:dyDescent="0.35">
      <c r="A4044">
        <v>14043</v>
      </c>
      <c r="B4044" s="1">
        <v>48604</v>
      </c>
      <c r="C4044">
        <v>1603</v>
      </c>
      <c r="D4044" t="s">
        <v>80</v>
      </c>
      <c r="E4044" t="s">
        <v>63</v>
      </c>
      <c r="F4044">
        <v>4</v>
      </c>
      <c r="G4044" s="2">
        <v>548.33000000000004</v>
      </c>
      <c r="H4044">
        <v>0.34</v>
      </c>
      <c r="I4044" t="s">
        <v>68</v>
      </c>
      <c r="J4044">
        <v>7</v>
      </c>
      <c r="K4044">
        <v>2.5</v>
      </c>
      <c r="L4044" s="2">
        <v>1447.59</v>
      </c>
      <c r="M4044">
        <v>2033</v>
      </c>
      <c r="N4044">
        <v>1</v>
      </c>
      <c r="O4044" t="s">
        <v>212</v>
      </c>
      <c r="P4044" s="2">
        <v>2193.3200000000002</v>
      </c>
      <c r="Q4044" s="2">
        <v>745.73</v>
      </c>
      <c r="R4044" t="s">
        <v>72</v>
      </c>
      <c r="S4044">
        <v>1</v>
      </c>
      <c r="T4044">
        <v>0</v>
      </c>
      <c r="U4044">
        <f>IF(AND(OR(Dashboard!$D$4="Semua",D4044=Dashboard!$D$4),OR(Dashboard!$H$4="Semua",E4044=Dashboard!$H$4)),1,0)</f>
        <v>1</v>
      </c>
      <c r="V4044">
        <f>IF(U4044=1,IF(COUNTIFS($C$2:C4044,C4044,$U$2:U4044,1)=1,1,0),0)</f>
        <v>0</v>
      </c>
    </row>
    <row r="4045" spans="1:22" x14ac:dyDescent="0.35">
      <c r="A4045">
        <v>14044</v>
      </c>
      <c r="B4045" s="1">
        <v>48605</v>
      </c>
      <c r="C4045">
        <v>1781</v>
      </c>
      <c r="D4045" t="s">
        <v>73</v>
      </c>
      <c r="E4045" t="s">
        <v>63</v>
      </c>
      <c r="F4045">
        <v>3</v>
      </c>
      <c r="G4045" s="2">
        <v>370.61</v>
      </c>
      <c r="H4045">
        <v>0.03</v>
      </c>
      <c r="I4045" t="s">
        <v>64</v>
      </c>
      <c r="J4045">
        <v>11</v>
      </c>
      <c r="K4045">
        <v>2.7</v>
      </c>
      <c r="L4045" s="2">
        <v>1078.48</v>
      </c>
      <c r="M4045">
        <v>2033</v>
      </c>
      <c r="N4045">
        <v>1</v>
      </c>
      <c r="O4045" t="s">
        <v>212</v>
      </c>
      <c r="P4045" s="2">
        <v>1111.83</v>
      </c>
      <c r="Q4045" s="2">
        <v>33.35</v>
      </c>
      <c r="R4045" t="s">
        <v>75</v>
      </c>
      <c r="S4045">
        <v>1</v>
      </c>
      <c r="T4045">
        <v>0</v>
      </c>
      <c r="U4045">
        <f>IF(AND(OR(Dashboard!$D$4="Semua",D4045=Dashboard!$D$4),OR(Dashboard!$H$4="Semua",E4045=Dashboard!$H$4)),1,0)</f>
        <v>1</v>
      </c>
      <c r="V4045">
        <f>IF(U4045=1,IF(COUNTIFS($C$2:C4045,C4045,$U$2:U4045,1)=1,1,0),0)</f>
        <v>0</v>
      </c>
    </row>
    <row r="4046" spans="1:22" x14ac:dyDescent="0.35">
      <c r="A4046">
        <v>14045</v>
      </c>
      <c r="B4046" s="1">
        <v>48606</v>
      </c>
      <c r="C4046">
        <v>1922</v>
      </c>
      <c r="D4046" t="s">
        <v>73</v>
      </c>
      <c r="E4046" t="s">
        <v>74</v>
      </c>
      <c r="F4046">
        <v>6</v>
      </c>
      <c r="G4046" s="2">
        <v>463.21</v>
      </c>
      <c r="H4046">
        <v>0.15</v>
      </c>
      <c r="I4046" t="s">
        <v>71</v>
      </c>
      <c r="J4046">
        <v>8</v>
      </c>
      <c r="K4046">
        <v>2.4</v>
      </c>
      <c r="L4046" s="2">
        <v>2362.37</v>
      </c>
      <c r="M4046">
        <v>2033</v>
      </c>
      <c r="N4046">
        <v>1</v>
      </c>
      <c r="O4046" t="s">
        <v>212</v>
      </c>
      <c r="P4046" s="2">
        <v>2779.26</v>
      </c>
      <c r="Q4046" s="2">
        <v>416.89</v>
      </c>
      <c r="R4046" t="s">
        <v>79</v>
      </c>
      <c r="S4046">
        <v>1</v>
      </c>
      <c r="T4046">
        <v>0</v>
      </c>
      <c r="U4046">
        <f>IF(AND(OR(Dashboard!$D$4="Semua",D4046=Dashboard!$D$4),OR(Dashboard!$H$4="Semua",E4046=Dashboard!$H$4)),1,0)</f>
        <v>1</v>
      </c>
      <c r="V4046">
        <f>IF(U4046=1,IF(COUNTIFS($C$2:C4046,C4046,$U$2:U4046,1)=1,1,0),0)</f>
        <v>0</v>
      </c>
    </row>
    <row r="4047" spans="1:22" x14ac:dyDescent="0.35">
      <c r="A4047">
        <v>14046</v>
      </c>
      <c r="B4047" s="1">
        <v>48607</v>
      </c>
      <c r="C4047">
        <v>1380</v>
      </c>
      <c r="D4047" t="s">
        <v>73</v>
      </c>
      <c r="E4047" t="s">
        <v>63</v>
      </c>
      <c r="F4047">
        <v>1</v>
      </c>
      <c r="G4047" s="2">
        <v>447.86</v>
      </c>
      <c r="H4047">
        <v>0.08</v>
      </c>
      <c r="I4047" t="s">
        <v>68</v>
      </c>
      <c r="J4047">
        <v>9</v>
      </c>
      <c r="K4047">
        <v>2.6</v>
      </c>
      <c r="L4047" s="2">
        <v>412.03</v>
      </c>
      <c r="M4047">
        <v>2033</v>
      </c>
      <c r="N4047">
        <v>1</v>
      </c>
      <c r="O4047" t="s">
        <v>212</v>
      </c>
      <c r="P4047" s="2">
        <v>447.86</v>
      </c>
      <c r="Q4047" s="2">
        <v>35.83</v>
      </c>
      <c r="R4047" t="s">
        <v>69</v>
      </c>
      <c r="S4047">
        <v>1</v>
      </c>
      <c r="T4047">
        <v>0</v>
      </c>
      <c r="U4047">
        <f>IF(AND(OR(Dashboard!$D$4="Semua",D4047=Dashboard!$D$4),OR(Dashboard!$H$4="Semua",E4047=Dashboard!$H$4)),1,0)</f>
        <v>1</v>
      </c>
      <c r="V4047">
        <f>IF(U4047=1,IF(COUNTIFS($C$2:C4047,C4047,$U$2:U4047,1)=1,1,0),0)</f>
        <v>0</v>
      </c>
    </row>
    <row r="4048" spans="1:22" x14ac:dyDescent="0.35">
      <c r="A4048">
        <v>14047</v>
      </c>
      <c r="B4048" s="1">
        <v>48608</v>
      </c>
      <c r="C4048">
        <v>1679</v>
      </c>
      <c r="D4048" t="s">
        <v>80</v>
      </c>
      <c r="E4048" t="s">
        <v>74</v>
      </c>
      <c r="F4048">
        <v>5</v>
      </c>
      <c r="G4048" s="2">
        <v>402.17</v>
      </c>
      <c r="H4048">
        <v>0.22</v>
      </c>
      <c r="I4048" t="s">
        <v>68</v>
      </c>
      <c r="J4048">
        <v>8</v>
      </c>
      <c r="K4048">
        <v>4.2</v>
      </c>
      <c r="L4048" s="2">
        <v>1568.46</v>
      </c>
      <c r="M4048">
        <v>2033</v>
      </c>
      <c r="N4048">
        <v>1</v>
      </c>
      <c r="O4048" t="s">
        <v>212</v>
      </c>
      <c r="P4048" s="2">
        <v>2010.85</v>
      </c>
      <c r="Q4048" s="2">
        <v>442.39</v>
      </c>
      <c r="R4048" t="s">
        <v>77</v>
      </c>
      <c r="S4048">
        <v>1</v>
      </c>
      <c r="T4048">
        <v>0</v>
      </c>
      <c r="U4048">
        <f>IF(AND(OR(Dashboard!$D$4="Semua",D4048=Dashboard!$D$4),OR(Dashboard!$H$4="Semua",E4048=Dashboard!$H$4)),1,0)</f>
        <v>1</v>
      </c>
      <c r="V4048">
        <f>IF(U4048=1,IF(COUNTIFS($C$2:C4048,C4048,$U$2:U4048,1)=1,1,0),0)</f>
        <v>1</v>
      </c>
    </row>
    <row r="4049" spans="1:22" x14ac:dyDescent="0.35">
      <c r="A4049">
        <v>14048</v>
      </c>
      <c r="B4049" s="1">
        <v>48609</v>
      </c>
      <c r="C4049">
        <v>1057</v>
      </c>
      <c r="D4049" t="s">
        <v>73</v>
      </c>
      <c r="E4049" t="s">
        <v>63</v>
      </c>
      <c r="F4049">
        <v>7</v>
      </c>
      <c r="G4049" s="2">
        <v>498.96</v>
      </c>
      <c r="H4049">
        <v>0.28000000000000003</v>
      </c>
      <c r="I4049" t="s">
        <v>68</v>
      </c>
      <c r="J4049">
        <v>3</v>
      </c>
      <c r="K4049">
        <v>1.9</v>
      </c>
      <c r="L4049" s="2">
        <v>2514.7600000000002</v>
      </c>
      <c r="M4049">
        <v>2033</v>
      </c>
      <c r="N4049">
        <v>1</v>
      </c>
      <c r="O4049" t="s">
        <v>212</v>
      </c>
      <c r="P4049" s="2">
        <v>3492.72</v>
      </c>
      <c r="Q4049" s="2">
        <v>977.96</v>
      </c>
      <c r="R4049" t="s">
        <v>66</v>
      </c>
      <c r="S4049">
        <v>1</v>
      </c>
      <c r="T4049">
        <v>0</v>
      </c>
      <c r="U4049">
        <f>IF(AND(OR(Dashboard!$D$4="Semua",D4049=Dashboard!$D$4),OR(Dashboard!$H$4="Semua",E4049=Dashboard!$H$4)),1,0)</f>
        <v>1</v>
      </c>
      <c r="V4049">
        <f>IF(U4049=1,IF(COUNTIFS($C$2:C4049,C4049,$U$2:U4049,1)=1,1,0),0)</f>
        <v>0</v>
      </c>
    </row>
    <row r="4050" spans="1:22" x14ac:dyDescent="0.35">
      <c r="A4050">
        <v>14049</v>
      </c>
      <c r="B4050" s="1">
        <v>48610</v>
      </c>
      <c r="C4050">
        <v>1795</v>
      </c>
      <c r="D4050" t="s">
        <v>67</v>
      </c>
      <c r="E4050" t="s">
        <v>78</v>
      </c>
      <c r="F4050">
        <v>7</v>
      </c>
      <c r="G4050" s="2">
        <v>415.96</v>
      </c>
      <c r="H4050">
        <v>0.34</v>
      </c>
      <c r="I4050" t="s">
        <v>68</v>
      </c>
      <c r="J4050">
        <v>8</v>
      </c>
      <c r="K4050">
        <v>2.9</v>
      </c>
      <c r="L4050" s="2">
        <v>1921.74</v>
      </c>
      <c r="M4050">
        <v>2033</v>
      </c>
      <c r="N4050">
        <v>1</v>
      </c>
      <c r="O4050" t="s">
        <v>212</v>
      </c>
      <c r="P4050" s="2">
        <v>2911.72</v>
      </c>
      <c r="Q4050" s="2">
        <v>989.98</v>
      </c>
      <c r="R4050" t="s">
        <v>72</v>
      </c>
      <c r="S4050">
        <v>1</v>
      </c>
      <c r="T4050">
        <v>0</v>
      </c>
      <c r="U4050">
        <f>IF(AND(OR(Dashboard!$D$4="Semua",D4050=Dashboard!$D$4),OR(Dashboard!$H$4="Semua",E4050=Dashboard!$H$4)),1,0)</f>
        <v>1</v>
      </c>
      <c r="V4050">
        <f>IF(U4050=1,IF(COUNTIFS($C$2:C4050,C4050,$U$2:U4050,1)=1,1,0),0)</f>
        <v>0</v>
      </c>
    </row>
    <row r="4051" spans="1:22" x14ac:dyDescent="0.35">
      <c r="A4051">
        <v>14050</v>
      </c>
      <c r="B4051" s="1">
        <v>48611</v>
      </c>
      <c r="C4051">
        <v>1025</v>
      </c>
      <c r="D4051" t="s">
        <v>67</v>
      </c>
      <c r="E4051" t="s">
        <v>63</v>
      </c>
      <c r="F4051">
        <v>2</v>
      </c>
      <c r="G4051" s="2">
        <v>327.39</v>
      </c>
      <c r="H4051">
        <v>0.16</v>
      </c>
      <c r="I4051" t="s">
        <v>64</v>
      </c>
      <c r="J4051">
        <v>3</v>
      </c>
      <c r="K4051">
        <v>1.1000000000000001</v>
      </c>
      <c r="L4051" s="2">
        <v>550.02</v>
      </c>
      <c r="M4051">
        <v>2033</v>
      </c>
      <c r="N4051">
        <v>2</v>
      </c>
      <c r="O4051" t="s">
        <v>213</v>
      </c>
      <c r="P4051" s="2">
        <v>654.78</v>
      </c>
      <c r="Q4051" s="2">
        <v>104.76</v>
      </c>
      <c r="R4051" t="s">
        <v>76</v>
      </c>
      <c r="S4051">
        <v>1</v>
      </c>
      <c r="T4051">
        <v>0</v>
      </c>
      <c r="U4051">
        <f>IF(AND(OR(Dashboard!$D$4="Semua",D4051=Dashboard!$D$4),OR(Dashboard!$H$4="Semua",E4051=Dashboard!$H$4)),1,0)</f>
        <v>1</v>
      </c>
      <c r="V4051">
        <f>IF(U4051=1,IF(COUNTIFS($C$2:C4051,C4051,$U$2:U4051,1)=1,1,0),0)</f>
        <v>0</v>
      </c>
    </row>
    <row r="4052" spans="1:22" x14ac:dyDescent="0.35">
      <c r="A4052">
        <v>14051</v>
      </c>
      <c r="B4052" s="1">
        <v>48612</v>
      </c>
      <c r="C4052">
        <v>1880</v>
      </c>
      <c r="D4052" t="s">
        <v>80</v>
      </c>
      <c r="E4052" t="s">
        <v>78</v>
      </c>
      <c r="F4052">
        <v>2</v>
      </c>
      <c r="G4052" s="2">
        <v>153.62</v>
      </c>
      <c r="H4052">
        <v>0.28000000000000003</v>
      </c>
      <c r="I4052" t="s">
        <v>64</v>
      </c>
      <c r="J4052">
        <v>6</v>
      </c>
      <c r="K4052">
        <v>3</v>
      </c>
      <c r="L4052" s="2">
        <v>221.21</v>
      </c>
      <c r="M4052">
        <v>2033</v>
      </c>
      <c r="N4052">
        <v>2</v>
      </c>
      <c r="O4052" t="s">
        <v>213</v>
      </c>
      <c r="P4052" s="2">
        <v>307.24</v>
      </c>
      <c r="Q4052" s="2">
        <v>86.03</v>
      </c>
      <c r="R4052" t="s">
        <v>66</v>
      </c>
      <c r="S4052">
        <v>1</v>
      </c>
      <c r="T4052">
        <v>0</v>
      </c>
      <c r="U4052">
        <f>IF(AND(OR(Dashboard!$D$4="Semua",D4052=Dashboard!$D$4),OR(Dashboard!$H$4="Semua",E4052=Dashboard!$H$4)),1,0)</f>
        <v>1</v>
      </c>
      <c r="V4052">
        <f>IF(U4052=1,IF(COUNTIFS($C$2:C4052,C4052,$U$2:U4052,1)=1,1,0),0)</f>
        <v>0</v>
      </c>
    </row>
    <row r="4053" spans="1:22" x14ac:dyDescent="0.35">
      <c r="A4053">
        <v>14052</v>
      </c>
      <c r="B4053" s="1">
        <v>48613</v>
      </c>
      <c r="C4053">
        <v>1446</v>
      </c>
      <c r="D4053" t="s">
        <v>73</v>
      </c>
      <c r="E4053" t="s">
        <v>70</v>
      </c>
      <c r="F4053">
        <v>1</v>
      </c>
      <c r="G4053" s="2">
        <v>450.17</v>
      </c>
      <c r="H4053">
        <v>0.32</v>
      </c>
      <c r="I4053" t="s">
        <v>68</v>
      </c>
      <c r="J4053">
        <v>4</v>
      </c>
      <c r="K4053">
        <v>1.4</v>
      </c>
      <c r="L4053" s="2">
        <v>306.12</v>
      </c>
      <c r="M4053">
        <v>2033</v>
      </c>
      <c r="N4053">
        <v>2</v>
      </c>
      <c r="O4053" t="s">
        <v>213</v>
      </c>
      <c r="P4053" s="2">
        <v>450.17</v>
      </c>
      <c r="Q4053" s="2">
        <v>144.05000000000001</v>
      </c>
      <c r="R4053" t="s">
        <v>72</v>
      </c>
      <c r="S4053">
        <v>1</v>
      </c>
      <c r="T4053">
        <v>0</v>
      </c>
      <c r="U4053">
        <f>IF(AND(OR(Dashboard!$D$4="Semua",D4053=Dashboard!$D$4),OR(Dashboard!$H$4="Semua",E4053=Dashboard!$H$4)),1,0)</f>
        <v>1</v>
      </c>
      <c r="V4053">
        <f>IF(U4053=1,IF(COUNTIFS($C$2:C4053,C4053,$U$2:U4053,1)=1,1,0),0)</f>
        <v>0</v>
      </c>
    </row>
    <row r="4054" spans="1:22" x14ac:dyDescent="0.35">
      <c r="A4054">
        <v>14053</v>
      </c>
      <c r="B4054" s="1">
        <v>48614</v>
      </c>
      <c r="C4054">
        <v>1065</v>
      </c>
      <c r="D4054" t="s">
        <v>67</v>
      </c>
      <c r="E4054" t="s">
        <v>63</v>
      </c>
      <c r="F4054">
        <v>4</v>
      </c>
      <c r="G4054" s="2">
        <v>291.95999999999998</v>
      </c>
      <c r="H4054">
        <v>0.24</v>
      </c>
      <c r="I4054" t="s">
        <v>68</v>
      </c>
      <c r="J4054">
        <v>7</v>
      </c>
      <c r="K4054">
        <v>2.1</v>
      </c>
      <c r="L4054" s="2">
        <v>887.56</v>
      </c>
      <c r="M4054">
        <v>2033</v>
      </c>
      <c r="N4054">
        <v>2</v>
      </c>
      <c r="O4054" t="s">
        <v>213</v>
      </c>
      <c r="P4054" s="2">
        <v>1167.8399999999999</v>
      </c>
      <c r="Q4054" s="2">
        <v>280.27999999999997</v>
      </c>
      <c r="R4054" t="s">
        <v>77</v>
      </c>
      <c r="S4054">
        <v>1</v>
      </c>
      <c r="T4054">
        <v>0</v>
      </c>
      <c r="U4054">
        <f>IF(AND(OR(Dashboard!$D$4="Semua",D4054=Dashboard!$D$4),OR(Dashboard!$H$4="Semua",E4054=Dashboard!$H$4)),1,0)</f>
        <v>1</v>
      </c>
      <c r="V4054">
        <f>IF(U4054=1,IF(COUNTIFS($C$2:C4054,C4054,$U$2:U4054,1)=1,1,0),0)</f>
        <v>0</v>
      </c>
    </row>
    <row r="4055" spans="1:22" x14ac:dyDescent="0.35">
      <c r="A4055">
        <v>14054</v>
      </c>
      <c r="B4055" s="1">
        <v>48615</v>
      </c>
      <c r="C4055">
        <v>1920</v>
      </c>
      <c r="D4055" t="s">
        <v>67</v>
      </c>
      <c r="E4055" t="s">
        <v>63</v>
      </c>
      <c r="F4055">
        <v>7</v>
      </c>
      <c r="G4055" s="2">
        <v>187.45</v>
      </c>
      <c r="H4055">
        <v>0.08</v>
      </c>
      <c r="I4055" t="s">
        <v>71</v>
      </c>
      <c r="J4055">
        <v>8</v>
      </c>
      <c r="K4055">
        <v>2.2999999999999998</v>
      </c>
      <c r="L4055" s="2">
        <v>1207.18</v>
      </c>
      <c r="M4055">
        <v>2033</v>
      </c>
      <c r="N4055">
        <v>2</v>
      </c>
      <c r="O4055" t="s">
        <v>213</v>
      </c>
      <c r="P4055" s="2">
        <v>1312.15</v>
      </c>
      <c r="Q4055" s="2">
        <v>104.97</v>
      </c>
      <c r="R4055" t="s">
        <v>69</v>
      </c>
      <c r="S4055">
        <v>1</v>
      </c>
      <c r="T4055">
        <v>0</v>
      </c>
      <c r="U4055">
        <f>IF(AND(OR(Dashboard!$D$4="Semua",D4055=Dashboard!$D$4),OR(Dashboard!$H$4="Semua",E4055=Dashboard!$H$4)),1,0)</f>
        <v>1</v>
      </c>
      <c r="V4055">
        <f>IF(U4055=1,IF(COUNTIFS($C$2:C4055,C4055,$U$2:U4055,1)=1,1,0),0)</f>
        <v>0</v>
      </c>
    </row>
    <row r="4056" spans="1:22" x14ac:dyDescent="0.35">
      <c r="A4056">
        <v>14055</v>
      </c>
      <c r="B4056" s="1">
        <v>48616</v>
      </c>
      <c r="C4056">
        <v>1759</v>
      </c>
      <c r="D4056" t="s">
        <v>67</v>
      </c>
      <c r="E4056" t="s">
        <v>63</v>
      </c>
      <c r="F4056">
        <v>6</v>
      </c>
      <c r="G4056" s="2">
        <v>484.14</v>
      </c>
      <c r="H4056">
        <v>0.21</v>
      </c>
      <c r="I4056" t="s">
        <v>68</v>
      </c>
      <c r="J4056">
        <v>10</v>
      </c>
      <c r="K4056">
        <v>1.3</v>
      </c>
      <c r="L4056" s="2">
        <v>2294.8200000000002</v>
      </c>
      <c r="M4056">
        <v>2033</v>
      </c>
      <c r="N4056">
        <v>2</v>
      </c>
      <c r="O4056" t="s">
        <v>213</v>
      </c>
      <c r="P4056" s="2">
        <v>2904.84</v>
      </c>
      <c r="Q4056" s="2">
        <v>610.02</v>
      </c>
      <c r="R4056" t="s">
        <v>77</v>
      </c>
      <c r="S4056">
        <v>1</v>
      </c>
      <c r="T4056">
        <v>0</v>
      </c>
      <c r="U4056">
        <f>IF(AND(OR(Dashboard!$D$4="Semua",D4056=Dashboard!$D$4),OR(Dashboard!$H$4="Semua",E4056=Dashboard!$H$4)),1,0)</f>
        <v>1</v>
      </c>
      <c r="V4056">
        <f>IF(U4056=1,IF(COUNTIFS($C$2:C4056,C4056,$U$2:U4056,1)=1,1,0),0)</f>
        <v>0</v>
      </c>
    </row>
    <row r="4057" spans="1:22" x14ac:dyDescent="0.35">
      <c r="A4057">
        <v>14056</v>
      </c>
      <c r="B4057" s="1">
        <v>48617</v>
      </c>
      <c r="C4057">
        <v>1253</v>
      </c>
      <c r="D4057" t="s">
        <v>80</v>
      </c>
      <c r="E4057" t="s">
        <v>78</v>
      </c>
      <c r="F4057">
        <v>2</v>
      </c>
      <c r="G4057" s="2">
        <v>422.58</v>
      </c>
      <c r="H4057">
        <v>0.34</v>
      </c>
      <c r="I4057" t="s">
        <v>71</v>
      </c>
      <c r="J4057">
        <v>6</v>
      </c>
      <c r="K4057">
        <v>2.4</v>
      </c>
      <c r="L4057" s="2">
        <v>557.80999999999995</v>
      </c>
      <c r="M4057">
        <v>2033</v>
      </c>
      <c r="N4057">
        <v>2</v>
      </c>
      <c r="O4057" t="s">
        <v>213</v>
      </c>
      <c r="P4057" s="2">
        <v>845.16</v>
      </c>
      <c r="Q4057" s="2">
        <v>287.35000000000002</v>
      </c>
      <c r="R4057" t="s">
        <v>72</v>
      </c>
      <c r="S4057">
        <v>1</v>
      </c>
      <c r="T4057">
        <v>0</v>
      </c>
      <c r="U4057">
        <f>IF(AND(OR(Dashboard!$D$4="Semua",D4057=Dashboard!$D$4),OR(Dashboard!$H$4="Semua",E4057=Dashboard!$H$4)),1,0)</f>
        <v>1</v>
      </c>
      <c r="V4057">
        <f>IF(U4057=1,IF(COUNTIFS($C$2:C4057,C4057,$U$2:U4057,1)=1,1,0),0)</f>
        <v>0</v>
      </c>
    </row>
    <row r="4058" spans="1:22" x14ac:dyDescent="0.35">
      <c r="A4058">
        <v>14057</v>
      </c>
      <c r="B4058" s="1">
        <v>48618</v>
      </c>
      <c r="C4058">
        <v>1898</v>
      </c>
      <c r="D4058" t="s">
        <v>73</v>
      </c>
      <c r="E4058" t="s">
        <v>63</v>
      </c>
      <c r="F4058">
        <v>1</v>
      </c>
      <c r="G4058" s="2">
        <v>563.34</v>
      </c>
      <c r="H4058">
        <v>0.35</v>
      </c>
      <c r="I4058" t="s">
        <v>71</v>
      </c>
      <c r="J4058">
        <v>10</v>
      </c>
      <c r="K4058">
        <v>3</v>
      </c>
      <c r="L4058" s="2">
        <v>366.17</v>
      </c>
      <c r="M4058">
        <v>2033</v>
      </c>
      <c r="N4058">
        <v>2</v>
      </c>
      <c r="O4058" t="s">
        <v>213</v>
      </c>
      <c r="P4058" s="2">
        <v>563.34</v>
      </c>
      <c r="Q4058" s="2">
        <v>197.17</v>
      </c>
      <c r="R4058" t="s">
        <v>72</v>
      </c>
      <c r="S4058">
        <v>1</v>
      </c>
      <c r="T4058">
        <v>0</v>
      </c>
      <c r="U4058">
        <f>IF(AND(OR(Dashboard!$D$4="Semua",D4058=Dashboard!$D$4),OR(Dashboard!$H$4="Semua",E4058=Dashboard!$H$4)),1,0)</f>
        <v>1</v>
      </c>
      <c r="V4058">
        <f>IF(U4058=1,IF(COUNTIFS($C$2:C4058,C4058,$U$2:U4058,1)=1,1,0),0)</f>
        <v>0</v>
      </c>
    </row>
    <row r="4059" spans="1:22" x14ac:dyDescent="0.35">
      <c r="A4059">
        <v>14058</v>
      </c>
      <c r="B4059" s="1">
        <v>48619</v>
      </c>
      <c r="C4059">
        <v>1967</v>
      </c>
      <c r="D4059" t="s">
        <v>80</v>
      </c>
      <c r="E4059" t="s">
        <v>63</v>
      </c>
      <c r="F4059">
        <v>4</v>
      </c>
      <c r="G4059" s="2">
        <v>111.78</v>
      </c>
      <c r="H4059">
        <v>0.22</v>
      </c>
      <c r="I4059" t="s">
        <v>71</v>
      </c>
      <c r="J4059">
        <v>4</v>
      </c>
      <c r="K4059">
        <v>2.7</v>
      </c>
      <c r="L4059" s="2">
        <v>348.75</v>
      </c>
      <c r="M4059">
        <v>2033</v>
      </c>
      <c r="N4059">
        <v>2</v>
      </c>
      <c r="O4059" t="s">
        <v>213</v>
      </c>
      <c r="P4059" s="2">
        <v>447.12</v>
      </c>
      <c r="Q4059" s="2">
        <v>98.37</v>
      </c>
      <c r="R4059" t="s">
        <v>77</v>
      </c>
      <c r="S4059">
        <v>1</v>
      </c>
      <c r="T4059">
        <v>0</v>
      </c>
      <c r="U4059">
        <f>IF(AND(OR(Dashboard!$D$4="Semua",D4059=Dashboard!$D$4),OR(Dashboard!$H$4="Semua",E4059=Dashboard!$H$4)),1,0)</f>
        <v>1</v>
      </c>
      <c r="V4059">
        <f>IF(U4059=1,IF(COUNTIFS($C$2:C4059,C4059,$U$2:U4059,1)=1,1,0),0)</f>
        <v>0</v>
      </c>
    </row>
    <row r="4060" spans="1:22" x14ac:dyDescent="0.35">
      <c r="A4060">
        <v>14059</v>
      </c>
      <c r="B4060" s="1">
        <v>48620</v>
      </c>
      <c r="C4060">
        <v>1043</v>
      </c>
      <c r="D4060" t="s">
        <v>80</v>
      </c>
      <c r="E4060" t="s">
        <v>74</v>
      </c>
      <c r="F4060">
        <v>1</v>
      </c>
      <c r="G4060" s="2">
        <v>394.78</v>
      </c>
      <c r="H4060">
        <v>0.31</v>
      </c>
      <c r="I4060" t="s">
        <v>71</v>
      </c>
      <c r="J4060">
        <v>8</v>
      </c>
      <c r="K4060">
        <v>2.1</v>
      </c>
      <c r="L4060" s="2">
        <v>272.39999999999998</v>
      </c>
      <c r="M4060">
        <v>2033</v>
      </c>
      <c r="N4060">
        <v>2</v>
      </c>
      <c r="O4060" t="s">
        <v>213</v>
      </c>
      <c r="P4060" s="2">
        <v>394.78</v>
      </c>
      <c r="Q4060" s="2">
        <v>122.38</v>
      </c>
      <c r="R4060" t="s">
        <v>72</v>
      </c>
      <c r="S4060">
        <v>1</v>
      </c>
      <c r="T4060">
        <v>0</v>
      </c>
      <c r="U4060">
        <f>IF(AND(OR(Dashboard!$D$4="Semua",D4060=Dashboard!$D$4),OR(Dashboard!$H$4="Semua",E4060=Dashboard!$H$4)),1,0)</f>
        <v>1</v>
      </c>
      <c r="V4060">
        <f>IF(U4060=1,IF(COUNTIFS($C$2:C4060,C4060,$U$2:U4060,1)=1,1,0),0)</f>
        <v>0</v>
      </c>
    </row>
    <row r="4061" spans="1:22" x14ac:dyDescent="0.35">
      <c r="A4061">
        <v>14060</v>
      </c>
      <c r="B4061" s="1">
        <v>48621</v>
      </c>
      <c r="C4061">
        <v>1096</v>
      </c>
      <c r="D4061" t="s">
        <v>67</v>
      </c>
      <c r="E4061" t="s">
        <v>70</v>
      </c>
      <c r="F4061">
        <v>1</v>
      </c>
      <c r="G4061" s="2">
        <v>157.88</v>
      </c>
      <c r="H4061">
        <v>7.0000000000000007E-2</v>
      </c>
      <c r="I4061" t="s">
        <v>71</v>
      </c>
      <c r="J4061">
        <v>7</v>
      </c>
      <c r="K4061">
        <v>2.2000000000000002</v>
      </c>
      <c r="L4061" s="2">
        <v>146.83000000000001</v>
      </c>
      <c r="M4061">
        <v>2033</v>
      </c>
      <c r="N4061">
        <v>2</v>
      </c>
      <c r="O4061" t="s">
        <v>213</v>
      </c>
      <c r="P4061" s="2">
        <v>157.88</v>
      </c>
      <c r="Q4061" s="2">
        <v>11.05</v>
      </c>
      <c r="R4061" t="s">
        <v>69</v>
      </c>
      <c r="S4061">
        <v>1</v>
      </c>
      <c r="T4061">
        <v>0</v>
      </c>
      <c r="U4061">
        <f>IF(AND(OR(Dashboard!$D$4="Semua",D4061=Dashboard!$D$4),OR(Dashboard!$H$4="Semua",E4061=Dashboard!$H$4)),1,0)</f>
        <v>1</v>
      </c>
      <c r="V4061">
        <f>IF(U4061=1,IF(COUNTIFS($C$2:C4061,C4061,$U$2:U4061,1)=1,1,0),0)</f>
        <v>0</v>
      </c>
    </row>
    <row r="4062" spans="1:22" x14ac:dyDescent="0.35">
      <c r="A4062">
        <v>14061</v>
      </c>
      <c r="B4062" s="1">
        <v>48622</v>
      </c>
      <c r="C4062">
        <v>1553</v>
      </c>
      <c r="D4062" t="s">
        <v>80</v>
      </c>
      <c r="E4062" t="s">
        <v>78</v>
      </c>
      <c r="F4062">
        <v>4</v>
      </c>
      <c r="G4062" s="2">
        <v>543.6</v>
      </c>
      <c r="H4062">
        <v>0.09</v>
      </c>
      <c r="I4062" t="s">
        <v>64</v>
      </c>
      <c r="J4062">
        <v>10</v>
      </c>
      <c r="K4062">
        <v>3.5</v>
      </c>
      <c r="L4062" s="2">
        <v>1978.7</v>
      </c>
      <c r="M4062">
        <v>2033</v>
      </c>
      <c r="N4062">
        <v>2</v>
      </c>
      <c r="O4062" t="s">
        <v>213</v>
      </c>
      <c r="P4062" s="2">
        <v>2174.4</v>
      </c>
      <c r="Q4062" s="2">
        <v>195.7</v>
      </c>
      <c r="R4062" t="s">
        <v>69</v>
      </c>
      <c r="S4062">
        <v>1</v>
      </c>
      <c r="T4062">
        <v>0</v>
      </c>
      <c r="U4062">
        <f>IF(AND(OR(Dashboard!$D$4="Semua",D4062=Dashboard!$D$4),OR(Dashboard!$H$4="Semua",E4062=Dashboard!$H$4)),1,0)</f>
        <v>1</v>
      </c>
      <c r="V4062">
        <f>IF(U4062=1,IF(COUNTIFS($C$2:C4062,C4062,$U$2:U4062,1)=1,1,0),0)</f>
        <v>0</v>
      </c>
    </row>
    <row r="4063" spans="1:22" x14ac:dyDescent="0.35">
      <c r="A4063">
        <v>14062</v>
      </c>
      <c r="B4063" s="1">
        <v>48623</v>
      </c>
      <c r="C4063">
        <v>1226</v>
      </c>
      <c r="D4063" t="s">
        <v>67</v>
      </c>
      <c r="E4063" t="s">
        <v>74</v>
      </c>
      <c r="F4063">
        <v>4</v>
      </c>
      <c r="G4063" s="2">
        <v>73.209999999999994</v>
      </c>
      <c r="H4063">
        <v>0.33</v>
      </c>
      <c r="I4063" t="s">
        <v>68</v>
      </c>
      <c r="J4063">
        <v>8</v>
      </c>
      <c r="K4063">
        <v>3.9</v>
      </c>
      <c r="L4063" s="2">
        <v>196.2</v>
      </c>
      <c r="M4063">
        <v>2033</v>
      </c>
      <c r="N4063">
        <v>2</v>
      </c>
      <c r="O4063" t="s">
        <v>213</v>
      </c>
      <c r="P4063" s="2">
        <v>292.83999999999997</v>
      </c>
      <c r="Q4063" s="2">
        <v>96.64</v>
      </c>
      <c r="R4063" t="s">
        <v>72</v>
      </c>
      <c r="S4063">
        <v>1</v>
      </c>
      <c r="T4063">
        <v>0</v>
      </c>
      <c r="U4063">
        <f>IF(AND(OR(Dashboard!$D$4="Semua",D4063=Dashboard!$D$4),OR(Dashboard!$H$4="Semua",E4063=Dashboard!$H$4)),1,0)</f>
        <v>1</v>
      </c>
      <c r="V4063">
        <f>IF(U4063=1,IF(COUNTIFS($C$2:C4063,C4063,$U$2:U4063,1)=1,1,0),0)</f>
        <v>0</v>
      </c>
    </row>
    <row r="4064" spans="1:22" x14ac:dyDescent="0.35">
      <c r="A4064">
        <v>14063</v>
      </c>
      <c r="B4064" s="1">
        <v>48624</v>
      </c>
      <c r="C4064">
        <v>1773</v>
      </c>
      <c r="D4064" t="s">
        <v>73</v>
      </c>
      <c r="E4064" t="s">
        <v>78</v>
      </c>
      <c r="F4064">
        <v>4</v>
      </c>
      <c r="G4064" s="2">
        <v>398.85</v>
      </c>
      <c r="H4064">
        <v>0.05</v>
      </c>
      <c r="I4064" t="s">
        <v>64</v>
      </c>
      <c r="J4064">
        <v>10</v>
      </c>
      <c r="K4064">
        <v>3.3</v>
      </c>
      <c r="L4064" s="2">
        <v>1515.63</v>
      </c>
      <c r="M4064">
        <v>2033</v>
      </c>
      <c r="N4064">
        <v>2</v>
      </c>
      <c r="O4064" t="s">
        <v>213</v>
      </c>
      <c r="P4064" s="2">
        <v>1595.4</v>
      </c>
      <c r="Q4064" s="2">
        <v>79.77</v>
      </c>
      <c r="R4064" t="s">
        <v>75</v>
      </c>
      <c r="S4064">
        <v>1</v>
      </c>
      <c r="T4064">
        <v>0</v>
      </c>
      <c r="U4064">
        <f>IF(AND(OR(Dashboard!$D$4="Semua",D4064=Dashboard!$D$4),OR(Dashboard!$H$4="Semua",E4064=Dashboard!$H$4)),1,0)</f>
        <v>1</v>
      </c>
      <c r="V4064">
        <f>IF(U4064=1,IF(COUNTIFS($C$2:C4064,C4064,$U$2:U4064,1)=1,1,0),0)</f>
        <v>0</v>
      </c>
    </row>
    <row r="4065" spans="1:22" x14ac:dyDescent="0.35">
      <c r="A4065">
        <v>14064</v>
      </c>
      <c r="B4065" s="1">
        <v>48625</v>
      </c>
      <c r="C4065">
        <v>1678</v>
      </c>
      <c r="D4065" t="s">
        <v>80</v>
      </c>
      <c r="E4065" t="s">
        <v>74</v>
      </c>
      <c r="F4065">
        <v>1</v>
      </c>
      <c r="G4065" s="2">
        <v>477.79</v>
      </c>
      <c r="H4065">
        <v>7.0000000000000007E-2</v>
      </c>
      <c r="I4065" t="s">
        <v>68</v>
      </c>
      <c r="J4065">
        <v>7</v>
      </c>
      <c r="K4065">
        <v>4.9000000000000004</v>
      </c>
      <c r="L4065" s="2">
        <v>444.34</v>
      </c>
      <c r="M4065">
        <v>2033</v>
      </c>
      <c r="N4065">
        <v>2</v>
      </c>
      <c r="O4065" t="s">
        <v>213</v>
      </c>
      <c r="P4065" s="2">
        <v>477.79</v>
      </c>
      <c r="Q4065" s="2">
        <v>33.450000000000003</v>
      </c>
      <c r="R4065" t="s">
        <v>69</v>
      </c>
      <c r="S4065">
        <v>1</v>
      </c>
      <c r="T4065">
        <v>0</v>
      </c>
      <c r="U4065">
        <f>IF(AND(OR(Dashboard!$D$4="Semua",D4065=Dashboard!$D$4),OR(Dashboard!$H$4="Semua",E4065=Dashboard!$H$4)),1,0)</f>
        <v>1</v>
      </c>
      <c r="V4065">
        <f>IF(U4065=1,IF(COUNTIFS($C$2:C4065,C4065,$U$2:U4065,1)=1,1,0),0)</f>
        <v>0</v>
      </c>
    </row>
    <row r="4066" spans="1:22" x14ac:dyDescent="0.35">
      <c r="A4066">
        <v>14065</v>
      </c>
      <c r="B4066" s="1">
        <v>48626</v>
      </c>
      <c r="C4066">
        <v>1435</v>
      </c>
      <c r="D4066" t="s">
        <v>67</v>
      </c>
      <c r="E4066" t="s">
        <v>70</v>
      </c>
      <c r="F4066">
        <v>2</v>
      </c>
      <c r="G4066" s="2">
        <v>222.63</v>
      </c>
      <c r="H4066">
        <v>0.15</v>
      </c>
      <c r="I4066" t="s">
        <v>68</v>
      </c>
      <c r="J4066">
        <v>3</v>
      </c>
      <c r="K4066">
        <v>4.8</v>
      </c>
      <c r="L4066" s="2">
        <v>378.47</v>
      </c>
      <c r="M4066">
        <v>2033</v>
      </c>
      <c r="N4066">
        <v>2</v>
      </c>
      <c r="O4066" t="s">
        <v>213</v>
      </c>
      <c r="P4066" s="2">
        <v>445.26</v>
      </c>
      <c r="Q4066" s="2">
        <v>66.790000000000006</v>
      </c>
      <c r="R4066" t="s">
        <v>79</v>
      </c>
      <c r="S4066">
        <v>1</v>
      </c>
      <c r="T4066">
        <v>0</v>
      </c>
      <c r="U4066">
        <f>IF(AND(OR(Dashboard!$D$4="Semua",D4066=Dashboard!$D$4),OR(Dashboard!$H$4="Semua",E4066=Dashboard!$H$4)),1,0)</f>
        <v>1</v>
      </c>
      <c r="V4066">
        <f>IF(U4066=1,IF(COUNTIFS($C$2:C4066,C4066,$U$2:U4066,1)=1,1,0),0)</f>
        <v>0</v>
      </c>
    </row>
    <row r="4067" spans="1:22" x14ac:dyDescent="0.35">
      <c r="A4067">
        <v>14066</v>
      </c>
      <c r="B4067" s="1">
        <v>48627</v>
      </c>
      <c r="C4067">
        <v>1790</v>
      </c>
      <c r="D4067" t="s">
        <v>67</v>
      </c>
      <c r="E4067" t="s">
        <v>74</v>
      </c>
      <c r="F4067">
        <v>3</v>
      </c>
      <c r="G4067" s="2">
        <v>573.16999999999996</v>
      </c>
      <c r="H4067">
        <v>0.21</v>
      </c>
      <c r="I4067" t="s">
        <v>68</v>
      </c>
      <c r="J4067">
        <v>3</v>
      </c>
      <c r="K4067">
        <v>1.4</v>
      </c>
      <c r="L4067" s="2">
        <v>1358.41</v>
      </c>
      <c r="M4067">
        <v>2033</v>
      </c>
      <c r="N4067">
        <v>2</v>
      </c>
      <c r="O4067" t="s">
        <v>213</v>
      </c>
      <c r="P4067" s="2">
        <v>1719.51</v>
      </c>
      <c r="Q4067" s="2">
        <v>361.1</v>
      </c>
      <c r="R4067" t="s">
        <v>77</v>
      </c>
      <c r="S4067">
        <v>1</v>
      </c>
      <c r="T4067">
        <v>0</v>
      </c>
      <c r="U4067">
        <f>IF(AND(OR(Dashboard!$D$4="Semua",D4067=Dashboard!$D$4),OR(Dashboard!$H$4="Semua",E4067=Dashboard!$H$4)),1,0)</f>
        <v>1</v>
      </c>
      <c r="V4067">
        <f>IF(U4067=1,IF(COUNTIFS($C$2:C4067,C4067,$U$2:U4067,1)=1,1,0),0)</f>
        <v>0</v>
      </c>
    </row>
    <row r="4068" spans="1:22" x14ac:dyDescent="0.35">
      <c r="A4068">
        <v>14067</v>
      </c>
      <c r="B4068" s="1">
        <v>48628</v>
      </c>
      <c r="C4068">
        <v>1600</v>
      </c>
      <c r="D4068" t="s">
        <v>73</v>
      </c>
      <c r="E4068" t="s">
        <v>78</v>
      </c>
      <c r="F4068">
        <v>3</v>
      </c>
      <c r="G4068" s="2">
        <v>512.67999999999995</v>
      </c>
      <c r="H4068">
        <v>0.21</v>
      </c>
      <c r="I4068" t="s">
        <v>71</v>
      </c>
      <c r="J4068">
        <v>9</v>
      </c>
      <c r="K4068">
        <v>2</v>
      </c>
      <c r="L4068" s="2">
        <v>1215.05</v>
      </c>
      <c r="M4068">
        <v>2033</v>
      </c>
      <c r="N4068">
        <v>2</v>
      </c>
      <c r="O4068" t="s">
        <v>213</v>
      </c>
      <c r="P4068" s="2">
        <v>1538.04</v>
      </c>
      <c r="Q4068" s="2">
        <v>322.99</v>
      </c>
      <c r="R4068" t="s">
        <v>77</v>
      </c>
      <c r="S4068">
        <v>1</v>
      </c>
      <c r="T4068">
        <v>0</v>
      </c>
      <c r="U4068">
        <f>IF(AND(OR(Dashboard!$D$4="Semua",D4068=Dashboard!$D$4),OR(Dashboard!$H$4="Semua",E4068=Dashboard!$H$4)),1,0)</f>
        <v>1</v>
      </c>
      <c r="V4068">
        <f>IF(U4068=1,IF(COUNTIFS($C$2:C4068,C4068,$U$2:U4068,1)=1,1,0),0)</f>
        <v>0</v>
      </c>
    </row>
    <row r="4069" spans="1:22" x14ac:dyDescent="0.35">
      <c r="A4069">
        <v>14068</v>
      </c>
      <c r="B4069" s="1">
        <v>48629</v>
      </c>
      <c r="C4069">
        <v>1378</v>
      </c>
      <c r="D4069" t="s">
        <v>62</v>
      </c>
      <c r="E4069" t="s">
        <v>63</v>
      </c>
      <c r="F4069">
        <v>1</v>
      </c>
      <c r="G4069" s="2">
        <v>187.35</v>
      </c>
      <c r="H4069">
        <v>0.1</v>
      </c>
      <c r="I4069" t="s">
        <v>68</v>
      </c>
      <c r="J4069">
        <v>7</v>
      </c>
      <c r="K4069">
        <v>4.5</v>
      </c>
      <c r="L4069" s="2">
        <v>168.62</v>
      </c>
      <c r="M4069">
        <v>2033</v>
      </c>
      <c r="N4069">
        <v>2</v>
      </c>
      <c r="O4069" t="s">
        <v>213</v>
      </c>
      <c r="P4069" s="2">
        <v>187.35</v>
      </c>
      <c r="Q4069" s="2">
        <v>18.73</v>
      </c>
      <c r="R4069" t="s">
        <v>69</v>
      </c>
      <c r="S4069">
        <v>1</v>
      </c>
      <c r="T4069">
        <v>0</v>
      </c>
      <c r="U4069">
        <f>IF(AND(OR(Dashboard!$D$4="Semua",D4069=Dashboard!$D$4),OR(Dashboard!$H$4="Semua",E4069=Dashboard!$H$4)),1,0)</f>
        <v>1</v>
      </c>
      <c r="V4069">
        <f>IF(U4069=1,IF(COUNTIFS($C$2:C4069,C4069,$U$2:U4069,1)=1,1,0),0)</f>
        <v>0</v>
      </c>
    </row>
    <row r="4070" spans="1:22" x14ac:dyDescent="0.35">
      <c r="A4070">
        <v>14069</v>
      </c>
      <c r="B4070" s="1">
        <v>48630</v>
      </c>
      <c r="C4070">
        <v>1177</v>
      </c>
      <c r="D4070" t="s">
        <v>67</v>
      </c>
      <c r="E4070" t="s">
        <v>63</v>
      </c>
      <c r="F4070">
        <v>1</v>
      </c>
      <c r="G4070" s="2">
        <v>19.41</v>
      </c>
      <c r="H4070">
        <v>0.32</v>
      </c>
      <c r="I4070" t="s">
        <v>64</v>
      </c>
      <c r="J4070">
        <v>1</v>
      </c>
      <c r="K4070">
        <v>1.1000000000000001</v>
      </c>
      <c r="L4070" s="2">
        <v>13.2</v>
      </c>
      <c r="M4070">
        <v>2033</v>
      </c>
      <c r="N4070">
        <v>2</v>
      </c>
      <c r="O4070" t="s">
        <v>213</v>
      </c>
      <c r="P4070" s="2">
        <v>19.41</v>
      </c>
      <c r="Q4070" s="2">
        <v>6.21</v>
      </c>
      <c r="R4070" t="s">
        <v>72</v>
      </c>
      <c r="S4070">
        <v>1</v>
      </c>
      <c r="T4070">
        <v>0</v>
      </c>
      <c r="U4070">
        <f>IF(AND(OR(Dashboard!$D$4="Semua",D4070=Dashboard!$D$4),OR(Dashboard!$H$4="Semua",E4070=Dashboard!$H$4)),1,0)</f>
        <v>1</v>
      </c>
      <c r="V4070">
        <f>IF(U4070=1,IF(COUNTIFS($C$2:C4070,C4070,$U$2:U4070,1)=1,1,0),0)</f>
        <v>0</v>
      </c>
    </row>
    <row r="4071" spans="1:22" x14ac:dyDescent="0.35">
      <c r="A4071">
        <v>14070</v>
      </c>
      <c r="B4071" s="1">
        <v>48631</v>
      </c>
      <c r="C4071">
        <v>1426</v>
      </c>
      <c r="D4071" t="s">
        <v>73</v>
      </c>
      <c r="E4071" t="s">
        <v>70</v>
      </c>
      <c r="F4071">
        <v>2</v>
      </c>
      <c r="G4071" s="2">
        <v>188.54</v>
      </c>
      <c r="H4071">
        <v>0.32</v>
      </c>
      <c r="I4071" t="s">
        <v>71</v>
      </c>
      <c r="J4071">
        <v>3</v>
      </c>
      <c r="K4071">
        <v>3.4</v>
      </c>
      <c r="L4071" s="2">
        <v>256.41000000000003</v>
      </c>
      <c r="M4071">
        <v>2033</v>
      </c>
      <c r="N4071">
        <v>2</v>
      </c>
      <c r="O4071" t="s">
        <v>213</v>
      </c>
      <c r="P4071" s="2">
        <v>377.08</v>
      </c>
      <c r="Q4071" s="2">
        <v>120.67</v>
      </c>
      <c r="R4071" t="s">
        <v>72</v>
      </c>
      <c r="S4071">
        <v>1</v>
      </c>
      <c r="T4071">
        <v>0</v>
      </c>
      <c r="U4071">
        <f>IF(AND(OR(Dashboard!$D$4="Semua",D4071=Dashboard!$D$4),OR(Dashboard!$H$4="Semua",E4071=Dashboard!$H$4)),1,0)</f>
        <v>1</v>
      </c>
      <c r="V4071">
        <f>IF(U4071=1,IF(COUNTIFS($C$2:C4071,C4071,$U$2:U4071,1)=1,1,0),0)</f>
        <v>0</v>
      </c>
    </row>
    <row r="4072" spans="1:22" x14ac:dyDescent="0.35">
      <c r="A4072">
        <v>14071</v>
      </c>
      <c r="B4072" s="1">
        <v>48632</v>
      </c>
      <c r="C4072">
        <v>1914</v>
      </c>
      <c r="D4072" t="s">
        <v>67</v>
      </c>
      <c r="E4072" t="s">
        <v>78</v>
      </c>
      <c r="F4072">
        <v>4</v>
      </c>
      <c r="G4072" s="2">
        <v>179.57</v>
      </c>
      <c r="H4072">
        <v>0.14000000000000001</v>
      </c>
      <c r="I4072" t="s">
        <v>68</v>
      </c>
      <c r="J4072">
        <v>11</v>
      </c>
      <c r="K4072">
        <v>4.8</v>
      </c>
      <c r="L4072" s="2">
        <v>617.72</v>
      </c>
      <c r="M4072">
        <v>2033</v>
      </c>
      <c r="N4072">
        <v>2</v>
      </c>
      <c r="O4072" t="s">
        <v>213</v>
      </c>
      <c r="P4072" s="2">
        <v>718.28</v>
      </c>
      <c r="Q4072" s="2">
        <v>100.56</v>
      </c>
      <c r="R4072" t="s">
        <v>79</v>
      </c>
      <c r="S4072">
        <v>1</v>
      </c>
      <c r="T4072">
        <v>0</v>
      </c>
      <c r="U4072">
        <f>IF(AND(OR(Dashboard!$D$4="Semua",D4072=Dashboard!$D$4),OR(Dashboard!$H$4="Semua",E4072=Dashboard!$H$4)),1,0)</f>
        <v>1</v>
      </c>
      <c r="V4072">
        <f>IF(U4072=1,IF(COUNTIFS($C$2:C4072,C4072,$U$2:U4072,1)=1,1,0),0)</f>
        <v>0</v>
      </c>
    </row>
    <row r="4073" spans="1:22" x14ac:dyDescent="0.35">
      <c r="A4073">
        <v>14072</v>
      </c>
      <c r="B4073" s="1">
        <v>48633</v>
      </c>
      <c r="C4073">
        <v>1708</v>
      </c>
      <c r="D4073" t="s">
        <v>80</v>
      </c>
      <c r="E4073" t="s">
        <v>78</v>
      </c>
      <c r="F4073">
        <v>1</v>
      </c>
      <c r="G4073" s="2">
        <v>535.63</v>
      </c>
      <c r="H4073">
        <v>0.15</v>
      </c>
      <c r="I4073" t="s">
        <v>71</v>
      </c>
      <c r="J4073">
        <v>1</v>
      </c>
      <c r="K4073">
        <v>3.7</v>
      </c>
      <c r="L4073" s="2">
        <v>455.29</v>
      </c>
      <c r="M4073">
        <v>2033</v>
      </c>
      <c r="N4073">
        <v>2</v>
      </c>
      <c r="O4073" t="s">
        <v>213</v>
      </c>
      <c r="P4073" s="2">
        <v>535.63</v>
      </c>
      <c r="Q4073" s="2">
        <v>80.34</v>
      </c>
      <c r="R4073" t="s">
        <v>79</v>
      </c>
      <c r="S4073">
        <v>1</v>
      </c>
      <c r="T4073">
        <v>0</v>
      </c>
      <c r="U4073">
        <f>IF(AND(OR(Dashboard!$D$4="Semua",D4073=Dashboard!$D$4),OR(Dashboard!$H$4="Semua",E4073=Dashboard!$H$4)),1,0)</f>
        <v>1</v>
      </c>
      <c r="V4073">
        <f>IF(U4073=1,IF(COUNTIFS($C$2:C4073,C4073,$U$2:U4073,1)=1,1,0),0)</f>
        <v>0</v>
      </c>
    </row>
    <row r="4074" spans="1:22" x14ac:dyDescent="0.35">
      <c r="A4074">
        <v>14073</v>
      </c>
      <c r="B4074" s="1">
        <v>48634</v>
      </c>
      <c r="C4074">
        <v>1306</v>
      </c>
      <c r="D4074" t="s">
        <v>80</v>
      </c>
      <c r="E4074" t="s">
        <v>78</v>
      </c>
      <c r="F4074">
        <v>7</v>
      </c>
      <c r="G4074" s="2">
        <v>580.77</v>
      </c>
      <c r="H4074">
        <v>0.25</v>
      </c>
      <c r="I4074" t="s">
        <v>64</v>
      </c>
      <c r="J4074">
        <v>6</v>
      </c>
      <c r="K4074">
        <v>1.4</v>
      </c>
      <c r="L4074" s="2">
        <v>3049.04</v>
      </c>
      <c r="M4074">
        <v>2033</v>
      </c>
      <c r="N4074">
        <v>2</v>
      </c>
      <c r="O4074" t="s">
        <v>213</v>
      </c>
      <c r="P4074" s="2">
        <v>4065.39</v>
      </c>
      <c r="Q4074" s="2">
        <v>1016.35</v>
      </c>
      <c r="R4074" t="s">
        <v>77</v>
      </c>
      <c r="S4074">
        <v>1</v>
      </c>
      <c r="T4074">
        <v>0</v>
      </c>
      <c r="U4074">
        <f>IF(AND(OR(Dashboard!$D$4="Semua",D4074=Dashboard!$D$4),OR(Dashboard!$H$4="Semua",E4074=Dashboard!$H$4)),1,0)</f>
        <v>1</v>
      </c>
      <c r="V4074">
        <f>IF(U4074=1,IF(COUNTIFS($C$2:C4074,C4074,$U$2:U4074,1)=1,1,0),0)</f>
        <v>0</v>
      </c>
    </row>
    <row r="4075" spans="1:22" x14ac:dyDescent="0.35">
      <c r="A4075">
        <v>14074</v>
      </c>
      <c r="B4075" s="1">
        <v>48635</v>
      </c>
      <c r="C4075">
        <v>1778</v>
      </c>
      <c r="D4075" t="s">
        <v>67</v>
      </c>
      <c r="E4075" t="s">
        <v>70</v>
      </c>
      <c r="F4075">
        <v>5</v>
      </c>
      <c r="G4075" s="2">
        <v>56.21</v>
      </c>
      <c r="H4075">
        <v>0.23</v>
      </c>
      <c r="I4075" t="s">
        <v>71</v>
      </c>
      <c r="J4075">
        <v>2</v>
      </c>
      <c r="K4075">
        <v>4</v>
      </c>
      <c r="L4075" s="2">
        <v>216.41</v>
      </c>
      <c r="M4075">
        <v>2033</v>
      </c>
      <c r="N4075">
        <v>2</v>
      </c>
      <c r="O4075" t="s">
        <v>213</v>
      </c>
      <c r="P4075" s="2">
        <v>281.05</v>
      </c>
      <c r="Q4075" s="2">
        <v>64.64</v>
      </c>
      <c r="R4075" t="s">
        <v>77</v>
      </c>
      <c r="S4075">
        <v>1</v>
      </c>
      <c r="T4075">
        <v>0</v>
      </c>
      <c r="U4075">
        <f>IF(AND(OR(Dashboard!$D$4="Semua",D4075=Dashboard!$D$4),OR(Dashboard!$H$4="Semua",E4075=Dashboard!$H$4)),1,0)</f>
        <v>1</v>
      </c>
      <c r="V4075">
        <f>IF(U4075=1,IF(COUNTIFS($C$2:C4075,C4075,$U$2:U4075,1)=1,1,0),0)</f>
        <v>0</v>
      </c>
    </row>
    <row r="4076" spans="1:22" x14ac:dyDescent="0.35">
      <c r="A4076">
        <v>14075</v>
      </c>
      <c r="B4076" s="1">
        <v>48636</v>
      </c>
      <c r="C4076">
        <v>1503</v>
      </c>
      <c r="D4076" t="s">
        <v>62</v>
      </c>
      <c r="E4076" t="s">
        <v>63</v>
      </c>
      <c r="F4076">
        <v>4</v>
      </c>
      <c r="G4076" s="2">
        <v>290.70999999999998</v>
      </c>
      <c r="H4076">
        <v>0.13</v>
      </c>
      <c r="I4076" t="s">
        <v>68</v>
      </c>
      <c r="J4076">
        <v>7</v>
      </c>
      <c r="K4076">
        <v>2.5</v>
      </c>
      <c r="L4076" s="2">
        <v>1011.67</v>
      </c>
      <c r="M4076">
        <v>2033</v>
      </c>
      <c r="N4076">
        <v>2</v>
      </c>
      <c r="O4076" t="s">
        <v>213</v>
      </c>
      <c r="P4076" s="2">
        <v>1162.8399999999999</v>
      </c>
      <c r="Q4076" s="2">
        <v>151.16999999999999</v>
      </c>
      <c r="R4076" t="s">
        <v>79</v>
      </c>
      <c r="S4076">
        <v>1</v>
      </c>
      <c r="T4076">
        <v>0</v>
      </c>
      <c r="U4076">
        <f>IF(AND(OR(Dashboard!$D$4="Semua",D4076=Dashboard!$D$4),OR(Dashboard!$H$4="Semua",E4076=Dashboard!$H$4)),1,0)</f>
        <v>1</v>
      </c>
      <c r="V4076">
        <f>IF(U4076=1,IF(COUNTIFS($C$2:C4076,C4076,$U$2:U4076,1)=1,1,0),0)</f>
        <v>0</v>
      </c>
    </row>
    <row r="4077" spans="1:22" x14ac:dyDescent="0.35">
      <c r="A4077">
        <v>14076</v>
      </c>
      <c r="B4077" s="1">
        <v>48637</v>
      </c>
      <c r="C4077">
        <v>1267</v>
      </c>
      <c r="D4077" t="s">
        <v>73</v>
      </c>
      <c r="E4077" t="s">
        <v>74</v>
      </c>
      <c r="F4077">
        <v>7</v>
      </c>
      <c r="G4077" s="2">
        <v>335.77</v>
      </c>
      <c r="H4077">
        <v>0.14000000000000001</v>
      </c>
      <c r="I4077" t="s">
        <v>64</v>
      </c>
      <c r="J4077">
        <v>8</v>
      </c>
      <c r="K4077">
        <v>4.7</v>
      </c>
      <c r="L4077" s="2">
        <v>2021.34</v>
      </c>
      <c r="M4077">
        <v>2033</v>
      </c>
      <c r="N4077">
        <v>2</v>
      </c>
      <c r="O4077" t="s">
        <v>213</v>
      </c>
      <c r="P4077" s="2">
        <v>2350.39</v>
      </c>
      <c r="Q4077" s="2">
        <v>329.05</v>
      </c>
      <c r="R4077" t="s">
        <v>79</v>
      </c>
      <c r="S4077">
        <v>1</v>
      </c>
      <c r="T4077">
        <v>0</v>
      </c>
      <c r="U4077">
        <f>IF(AND(OR(Dashboard!$D$4="Semua",D4077=Dashboard!$D$4),OR(Dashboard!$H$4="Semua",E4077=Dashboard!$H$4)),1,0)</f>
        <v>1</v>
      </c>
      <c r="V4077">
        <f>IF(U4077=1,IF(COUNTIFS($C$2:C4077,C4077,$U$2:U4077,1)=1,1,0),0)</f>
        <v>0</v>
      </c>
    </row>
    <row r="4078" spans="1:22" x14ac:dyDescent="0.35">
      <c r="A4078">
        <v>14077</v>
      </c>
      <c r="B4078" s="1">
        <v>48638</v>
      </c>
      <c r="C4078">
        <v>1585</v>
      </c>
      <c r="D4078" t="s">
        <v>67</v>
      </c>
      <c r="E4078" t="s">
        <v>70</v>
      </c>
      <c r="F4078">
        <v>1</v>
      </c>
      <c r="G4078" s="2">
        <v>69.349999999999994</v>
      </c>
      <c r="H4078">
        <v>0.12</v>
      </c>
      <c r="I4078" t="s">
        <v>71</v>
      </c>
      <c r="J4078">
        <v>6</v>
      </c>
      <c r="K4078">
        <v>2.1</v>
      </c>
      <c r="L4078" s="2">
        <v>61.03</v>
      </c>
      <c r="M4078">
        <v>2033</v>
      </c>
      <c r="N4078">
        <v>2</v>
      </c>
      <c r="O4078" t="s">
        <v>213</v>
      </c>
      <c r="P4078" s="2">
        <v>69.349999999999994</v>
      </c>
      <c r="Q4078" s="2">
        <v>8.32</v>
      </c>
      <c r="R4078" t="s">
        <v>79</v>
      </c>
      <c r="S4078">
        <v>1</v>
      </c>
      <c r="T4078">
        <v>0</v>
      </c>
      <c r="U4078">
        <f>IF(AND(OR(Dashboard!$D$4="Semua",D4078=Dashboard!$D$4),OR(Dashboard!$H$4="Semua",E4078=Dashboard!$H$4)),1,0)</f>
        <v>1</v>
      </c>
      <c r="V4078">
        <f>IF(U4078=1,IF(COUNTIFS($C$2:C4078,C4078,$U$2:U4078,1)=1,1,0),0)</f>
        <v>0</v>
      </c>
    </row>
    <row r="4079" spans="1:22" x14ac:dyDescent="0.35">
      <c r="A4079">
        <v>14078</v>
      </c>
      <c r="B4079" s="1">
        <v>48639</v>
      </c>
      <c r="C4079">
        <v>1007</v>
      </c>
      <c r="D4079" t="s">
        <v>62</v>
      </c>
      <c r="E4079" t="s">
        <v>74</v>
      </c>
      <c r="F4079">
        <v>5</v>
      </c>
      <c r="G4079" s="2">
        <v>235.84</v>
      </c>
      <c r="H4079">
        <v>0.08</v>
      </c>
      <c r="I4079" t="s">
        <v>68</v>
      </c>
      <c r="J4079">
        <v>5</v>
      </c>
      <c r="K4079">
        <v>2.9</v>
      </c>
      <c r="L4079" s="2">
        <v>1084.8599999999999</v>
      </c>
      <c r="M4079">
        <v>2033</v>
      </c>
      <c r="N4079">
        <v>3</v>
      </c>
      <c r="O4079" t="s">
        <v>214</v>
      </c>
      <c r="P4079" s="2">
        <v>1179.2</v>
      </c>
      <c r="Q4079" s="2">
        <v>94.34</v>
      </c>
      <c r="R4079" t="s">
        <v>69</v>
      </c>
      <c r="S4079">
        <v>1</v>
      </c>
      <c r="T4079">
        <v>0</v>
      </c>
      <c r="U4079">
        <f>IF(AND(OR(Dashboard!$D$4="Semua",D4079=Dashboard!$D$4),OR(Dashboard!$H$4="Semua",E4079=Dashboard!$H$4)),1,0)</f>
        <v>1</v>
      </c>
      <c r="V4079">
        <f>IF(U4079=1,IF(COUNTIFS($C$2:C4079,C4079,$U$2:U4079,1)=1,1,0),0)</f>
        <v>0</v>
      </c>
    </row>
    <row r="4080" spans="1:22" x14ac:dyDescent="0.35">
      <c r="A4080">
        <v>14079</v>
      </c>
      <c r="B4080" s="1">
        <v>48640</v>
      </c>
      <c r="C4080">
        <v>1919</v>
      </c>
      <c r="D4080" t="s">
        <v>62</v>
      </c>
      <c r="E4080" t="s">
        <v>63</v>
      </c>
      <c r="F4080">
        <v>7</v>
      </c>
      <c r="G4080" s="2">
        <v>200.49</v>
      </c>
      <c r="H4080">
        <v>0.16</v>
      </c>
      <c r="I4080" t="s">
        <v>68</v>
      </c>
      <c r="J4080">
        <v>10</v>
      </c>
      <c r="K4080">
        <v>4</v>
      </c>
      <c r="L4080" s="2">
        <v>1178.8800000000001</v>
      </c>
      <c r="M4080">
        <v>2033</v>
      </c>
      <c r="N4080">
        <v>3</v>
      </c>
      <c r="O4080" t="s">
        <v>214</v>
      </c>
      <c r="P4080" s="2">
        <v>1403.43</v>
      </c>
      <c r="Q4080" s="2">
        <v>224.55</v>
      </c>
      <c r="R4080" t="s">
        <v>76</v>
      </c>
      <c r="S4080">
        <v>1</v>
      </c>
      <c r="T4080">
        <v>0</v>
      </c>
      <c r="U4080">
        <f>IF(AND(OR(Dashboard!$D$4="Semua",D4080=Dashboard!$D$4),OR(Dashboard!$H$4="Semua",E4080=Dashboard!$H$4)),1,0)</f>
        <v>1</v>
      </c>
      <c r="V4080">
        <f>IF(U4080=1,IF(COUNTIFS($C$2:C4080,C4080,$U$2:U4080,1)=1,1,0),0)</f>
        <v>0</v>
      </c>
    </row>
    <row r="4081" spans="1:22" x14ac:dyDescent="0.35">
      <c r="A4081">
        <v>14080</v>
      </c>
      <c r="B4081" s="1">
        <v>48641</v>
      </c>
      <c r="C4081">
        <v>1507</v>
      </c>
      <c r="D4081" t="s">
        <v>80</v>
      </c>
      <c r="E4081" t="s">
        <v>70</v>
      </c>
      <c r="F4081">
        <v>6</v>
      </c>
      <c r="G4081" s="2">
        <v>328.59</v>
      </c>
      <c r="H4081">
        <v>0.24</v>
      </c>
      <c r="I4081" t="s">
        <v>71</v>
      </c>
      <c r="J4081">
        <v>4</v>
      </c>
      <c r="K4081">
        <v>2</v>
      </c>
      <c r="L4081" s="2">
        <v>1498.37</v>
      </c>
      <c r="M4081">
        <v>2033</v>
      </c>
      <c r="N4081">
        <v>3</v>
      </c>
      <c r="O4081" t="s">
        <v>214</v>
      </c>
      <c r="P4081" s="2">
        <v>1971.54</v>
      </c>
      <c r="Q4081" s="2">
        <v>473.17</v>
      </c>
      <c r="R4081" t="s">
        <v>77</v>
      </c>
      <c r="S4081">
        <v>1</v>
      </c>
      <c r="T4081">
        <v>0</v>
      </c>
      <c r="U4081">
        <f>IF(AND(OR(Dashboard!$D$4="Semua",D4081=Dashboard!$D$4),OR(Dashboard!$H$4="Semua",E4081=Dashboard!$H$4)),1,0)</f>
        <v>1</v>
      </c>
      <c r="V4081">
        <f>IF(U4081=1,IF(COUNTIFS($C$2:C4081,C4081,$U$2:U4081,1)=1,1,0),0)</f>
        <v>0</v>
      </c>
    </row>
    <row r="4082" spans="1:22" x14ac:dyDescent="0.35">
      <c r="A4082">
        <v>14081</v>
      </c>
      <c r="B4082" s="1">
        <v>48642</v>
      </c>
      <c r="C4082">
        <v>1475</v>
      </c>
      <c r="D4082" t="s">
        <v>62</v>
      </c>
      <c r="E4082" t="s">
        <v>63</v>
      </c>
      <c r="F4082">
        <v>2</v>
      </c>
      <c r="G4082" s="2">
        <v>401.8</v>
      </c>
      <c r="H4082">
        <v>0.26</v>
      </c>
      <c r="I4082" t="s">
        <v>64</v>
      </c>
      <c r="J4082">
        <v>9</v>
      </c>
      <c r="K4082">
        <v>1.7</v>
      </c>
      <c r="L4082" s="2">
        <v>594.66</v>
      </c>
      <c r="M4082">
        <v>2033</v>
      </c>
      <c r="N4082">
        <v>3</v>
      </c>
      <c r="O4082" t="s">
        <v>214</v>
      </c>
      <c r="P4082" s="2">
        <v>803.6</v>
      </c>
      <c r="Q4082" s="2">
        <v>208.94</v>
      </c>
      <c r="R4082" t="s">
        <v>66</v>
      </c>
      <c r="S4082">
        <v>1</v>
      </c>
      <c r="T4082">
        <v>0</v>
      </c>
      <c r="U4082">
        <f>IF(AND(OR(Dashboard!$D$4="Semua",D4082=Dashboard!$D$4),OR(Dashboard!$H$4="Semua",E4082=Dashboard!$H$4)),1,0)</f>
        <v>1</v>
      </c>
      <c r="V4082">
        <f>IF(U4082=1,IF(COUNTIFS($C$2:C4082,C4082,$U$2:U4082,1)=1,1,0),0)</f>
        <v>0</v>
      </c>
    </row>
    <row r="4083" spans="1:22" x14ac:dyDescent="0.35">
      <c r="A4083">
        <v>14082</v>
      </c>
      <c r="B4083" s="1">
        <v>48643</v>
      </c>
      <c r="C4083">
        <v>1296</v>
      </c>
      <c r="D4083" t="s">
        <v>73</v>
      </c>
      <c r="E4083" t="s">
        <v>74</v>
      </c>
      <c r="F4083">
        <v>5</v>
      </c>
      <c r="G4083" s="2">
        <v>426.54</v>
      </c>
      <c r="H4083">
        <v>0.27</v>
      </c>
      <c r="I4083" t="s">
        <v>68</v>
      </c>
      <c r="J4083">
        <v>8</v>
      </c>
      <c r="K4083">
        <v>1</v>
      </c>
      <c r="L4083" s="2">
        <v>1556.87</v>
      </c>
      <c r="M4083">
        <v>2033</v>
      </c>
      <c r="N4083">
        <v>3</v>
      </c>
      <c r="O4083" t="s">
        <v>214</v>
      </c>
      <c r="P4083" s="2">
        <v>2132.6999999999998</v>
      </c>
      <c r="Q4083" s="2">
        <v>575.83000000000004</v>
      </c>
      <c r="R4083" t="s">
        <v>66</v>
      </c>
      <c r="S4083">
        <v>1</v>
      </c>
      <c r="T4083">
        <v>0</v>
      </c>
      <c r="U4083">
        <f>IF(AND(OR(Dashboard!$D$4="Semua",D4083=Dashboard!$D$4),OR(Dashboard!$H$4="Semua",E4083=Dashboard!$H$4)),1,0)</f>
        <v>1</v>
      </c>
      <c r="V4083">
        <f>IF(U4083=1,IF(COUNTIFS($C$2:C4083,C4083,$U$2:U4083,1)=1,1,0),0)</f>
        <v>0</v>
      </c>
    </row>
    <row r="4084" spans="1:22" x14ac:dyDescent="0.35">
      <c r="A4084">
        <v>14083</v>
      </c>
      <c r="B4084" s="1">
        <v>48644</v>
      </c>
      <c r="C4084">
        <v>1163</v>
      </c>
      <c r="D4084" t="s">
        <v>62</v>
      </c>
      <c r="E4084" t="s">
        <v>78</v>
      </c>
      <c r="F4084">
        <v>1</v>
      </c>
      <c r="G4084" s="2">
        <v>95</v>
      </c>
      <c r="H4084">
        <v>0.13</v>
      </c>
      <c r="I4084" t="s">
        <v>68</v>
      </c>
      <c r="J4084">
        <v>5</v>
      </c>
      <c r="K4084">
        <v>3</v>
      </c>
      <c r="L4084" s="2">
        <v>82.65</v>
      </c>
      <c r="M4084">
        <v>2033</v>
      </c>
      <c r="N4084">
        <v>3</v>
      </c>
      <c r="O4084" t="s">
        <v>214</v>
      </c>
      <c r="P4084" s="2">
        <v>95</v>
      </c>
      <c r="Q4084" s="2">
        <v>12.35</v>
      </c>
      <c r="R4084" t="s">
        <v>79</v>
      </c>
      <c r="S4084">
        <v>1</v>
      </c>
      <c r="T4084">
        <v>0</v>
      </c>
      <c r="U4084">
        <f>IF(AND(OR(Dashboard!$D$4="Semua",D4084=Dashboard!$D$4),OR(Dashboard!$H$4="Semua",E4084=Dashboard!$H$4)),1,0)</f>
        <v>1</v>
      </c>
      <c r="V4084">
        <f>IF(U4084=1,IF(COUNTIFS($C$2:C4084,C4084,$U$2:U4084,1)=1,1,0),0)</f>
        <v>0</v>
      </c>
    </row>
    <row r="4085" spans="1:22" x14ac:dyDescent="0.35">
      <c r="A4085">
        <v>14084</v>
      </c>
      <c r="B4085" s="1">
        <v>48645</v>
      </c>
      <c r="C4085">
        <v>1484</v>
      </c>
      <c r="D4085" t="s">
        <v>73</v>
      </c>
      <c r="E4085" t="s">
        <v>78</v>
      </c>
      <c r="F4085">
        <v>3</v>
      </c>
      <c r="G4085" s="2">
        <v>490.57</v>
      </c>
      <c r="H4085">
        <v>0.27</v>
      </c>
      <c r="I4085" t="s">
        <v>64</v>
      </c>
      <c r="J4085">
        <v>1</v>
      </c>
      <c r="K4085">
        <v>4.7</v>
      </c>
      <c r="L4085" s="2">
        <v>1074.3499999999999</v>
      </c>
      <c r="M4085">
        <v>2033</v>
      </c>
      <c r="N4085">
        <v>3</v>
      </c>
      <c r="O4085" t="s">
        <v>214</v>
      </c>
      <c r="P4085" s="2">
        <v>1471.71</v>
      </c>
      <c r="Q4085" s="2">
        <v>397.36</v>
      </c>
      <c r="R4085" t="s">
        <v>66</v>
      </c>
      <c r="S4085">
        <v>1</v>
      </c>
      <c r="T4085">
        <v>0</v>
      </c>
      <c r="U4085">
        <f>IF(AND(OR(Dashboard!$D$4="Semua",D4085=Dashboard!$D$4),OR(Dashboard!$H$4="Semua",E4085=Dashboard!$H$4)),1,0)</f>
        <v>1</v>
      </c>
      <c r="V4085">
        <f>IF(U4085=1,IF(COUNTIFS($C$2:C4085,C4085,$U$2:U4085,1)=1,1,0),0)</f>
        <v>0</v>
      </c>
    </row>
    <row r="4086" spans="1:22" x14ac:dyDescent="0.35">
      <c r="A4086">
        <v>14085</v>
      </c>
      <c r="B4086" s="1">
        <v>48646</v>
      </c>
      <c r="C4086">
        <v>1596</v>
      </c>
      <c r="D4086" t="s">
        <v>73</v>
      </c>
      <c r="E4086" t="s">
        <v>74</v>
      </c>
      <c r="F4086">
        <v>7</v>
      </c>
      <c r="G4086" s="2">
        <v>411.95</v>
      </c>
      <c r="H4086">
        <v>0</v>
      </c>
      <c r="I4086" t="s">
        <v>68</v>
      </c>
      <c r="J4086">
        <v>8</v>
      </c>
      <c r="K4086">
        <v>2.1</v>
      </c>
      <c r="L4086" s="2">
        <v>2883.65</v>
      </c>
      <c r="M4086">
        <v>2033</v>
      </c>
      <c r="N4086">
        <v>3</v>
      </c>
      <c r="O4086" t="s">
        <v>214</v>
      </c>
      <c r="P4086" s="2">
        <v>2883.65</v>
      </c>
      <c r="Q4086" s="2">
        <v>0</v>
      </c>
      <c r="R4086" t="s">
        <v>75</v>
      </c>
      <c r="S4086">
        <v>1</v>
      </c>
      <c r="T4086">
        <v>0</v>
      </c>
      <c r="U4086">
        <f>IF(AND(OR(Dashboard!$D$4="Semua",D4086=Dashboard!$D$4),OR(Dashboard!$H$4="Semua",E4086=Dashboard!$H$4)),1,0)</f>
        <v>1</v>
      </c>
      <c r="V4086">
        <f>IF(U4086=1,IF(COUNTIFS($C$2:C4086,C4086,$U$2:U4086,1)=1,1,0),0)</f>
        <v>0</v>
      </c>
    </row>
    <row r="4087" spans="1:22" x14ac:dyDescent="0.35">
      <c r="A4087">
        <v>14086</v>
      </c>
      <c r="B4087" s="1">
        <v>48647</v>
      </c>
      <c r="C4087">
        <v>1071</v>
      </c>
      <c r="D4087" t="s">
        <v>73</v>
      </c>
      <c r="E4087" t="s">
        <v>78</v>
      </c>
      <c r="F4087">
        <v>1</v>
      </c>
      <c r="G4087" s="2">
        <v>535.11</v>
      </c>
      <c r="H4087">
        <v>0.17</v>
      </c>
      <c r="I4087" t="s">
        <v>64</v>
      </c>
      <c r="J4087">
        <v>8</v>
      </c>
      <c r="K4087">
        <v>1.2</v>
      </c>
      <c r="L4087" s="2">
        <v>444.14</v>
      </c>
      <c r="M4087">
        <v>2033</v>
      </c>
      <c r="N4087">
        <v>3</v>
      </c>
      <c r="O4087" t="s">
        <v>214</v>
      </c>
      <c r="P4087" s="2">
        <v>535.11</v>
      </c>
      <c r="Q4087" s="2">
        <v>90.97</v>
      </c>
      <c r="R4087" t="s">
        <v>76</v>
      </c>
      <c r="S4087">
        <v>1</v>
      </c>
      <c r="T4087">
        <v>0</v>
      </c>
      <c r="U4087">
        <f>IF(AND(OR(Dashboard!$D$4="Semua",D4087=Dashboard!$D$4),OR(Dashboard!$H$4="Semua",E4087=Dashboard!$H$4)),1,0)</f>
        <v>1</v>
      </c>
      <c r="V4087">
        <f>IF(U4087=1,IF(COUNTIFS($C$2:C4087,C4087,$U$2:U4087,1)=1,1,0),0)</f>
        <v>0</v>
      </c>
    </row>
    <row r="4088" spans="1:22" x14ac:dyDescent="0.35">
      <c r="A4088">
        <v>14087</v>
      </c>
      <c r="B4088" s="1">
        <v>48648</v>
      </c>
      <c r="C4088">
        <v>1566</v>
      </c>
      <c r="D4088" t="s">
        <v>67</v>
      </c>
      <c r="E4088" t="s">
        <v>74</v>
      </c>
      <c r="F4088">
        <v>3</v>
      </c>
      <c r="G4088" s="2">
        <v>277.86</v>
      </c>
      <c r="H4088">
        <v>0.28000000000000003</v>
      </c>
      <c r="I4088" t="s">
        <v>68</v>
      </c>
      <c r="J4088">
        <v>7</v>
      </c>
      <c r="K4088">
        <v>3.5</v>
      </c>
      <c r="L4088" s="2">
        <v>600.17999999999995</v>
      </c>
      <c r="M4088">
        <v>2033</v>
      </c>
      <c r="N4088">
        <v>3</v>
      </c>
      <c r="O4088" t="s">
        <v>214</v>
      </c>
      <c r="P4088" s="2">
        <v>833.58</v>
      </c>
      <c r="Q4088" s="2">
        <v>233.4</v>
      </c>
      <c r="R4088" t="s">
        <v>66</v>
      </c>
      <c r="S4088">
        <v>1</v>
      </c>
      <c r="T4088">
        <v>0</v>
      </c>
      <c r="U4088">
        <f>IF(AND(OR(Dashboard!$D$4="Semua",D4088=Dashboard!$D$4),OR(Dashboard!$H$4="Semua",E4088=Dashboard!$H$4)),1,0)</f>
        <v>1</v>
      </c>
      <c r="V4088">
        <f>IF(U4088=1,IF(COUNTIFS($C$2:C4088,C4088,$U$2:U4088,1)=1,1,0),0)</f>
        <v>0</v>
      </c>
    </row>
    <row r="4089" spans="1:22" x14ac:dyDescent="0.35">
      <c r="A4089">
        <v>14088</v>
      </c>
      <c r="B4089" s="1">
        <v>48649</v>
      </c>
      <c r="C4089">
        <v>1904</v>
      </c>
      <c r="D4089" t="s">
        <v>73</v>
      </c>
      <c r="E4089" t="s">
        <v>70</v>
      </c>
      <c r="F4089">
        <v>2</v>
      </c>
      <c r="G4089" s="2">
        <v>537.92999999999995</v>
      </c>
      <c r="H4089">
        <v>0.22</v>
      </c>
      <c r="I4089" t="s">
        <v>71</v>
      </c>
      <c r="J4089">
        <v>7</v>
      </c>
      <c r="K4089">
        <v>1.2</v>
      </c>
      <c r="L4089" s="2">
        <v>839.17</v>
      </c>
      <c r="M4089">
        <v>2033</v>
      </c>
      <c r="N4089">
        <v>3</v>
      </c>
      <c r="O4089" t="s">
        <v>214</v>
      </c>
      <c r="P4089" s="2">
        <v>1075.8599999999999</v>
      </c>
      <c r="Q4089" s="2">
        <v>236.69</v>
      </c>
      <c r="R4089" t="s">
        <v>77</v>
      </c>
      <c r="S4089">
        <v>1</v>
      </c>
      <c r="T4089">
        <v>0</v>
      </c>
      <c r="U4089">
        <f>IF(AND(OR(Dashboard!$D$4="Semua",D4089=Dashboard!$D$4),OR(Dashboard!$H$4="Semua",E4089=Dashboard!$H$4)),1,0)</f>
        <v>1</v>
      </c>
      <c r="V4089">
        <f>IF(U4089=1,IF(COUNTIFS($C$2:C4089,C4089,$U$2:U4089,1)=1,1,0),0)</f>
        <v>0</v>
      </c>
    </row>
    <row r="4090" spans="1:22" x14ac:dyDescent="0.35">
      <c r="A4090">
        <v>14089</v>
      </c>
      <c r="B4090" s="1">
        <v>48650</v>
      </c>
      <c r="C4090">
        <v>1558</v>
      </c>
      <c r="D4090" t="s">
        <v>73</v>
      </c>
      <c r="E4090" t="s">
        <v>70</v>
      </c>
      <c r="F4090">
        <v>2</v>
      </c>
      <c r="G4090" s="2">
        <v>521.48</v>
      </c>
      <c r="H4090">
        <v>0.17</v>
      </c>
      <c r="I4090" t="s">
        <v>68</v>
      </c>
      <c r="J4090">
        <v>8</v>
      </c>
      <c r="K4090">
        <v>3</v>
      </c>
      <c r="L4090" s="2">
        <v>865.66</v>
      </c>
      <c r="M4090">
        <v>2033</v>
      </c>
      <c r="N4090">
        <v>3</v>
      </c>
      <c r="O4090" t="s">
        <v>214</v>
      </c>
      <c r="P4090" s="2">
        <v>1042.96</v>
      </c>
      <c r="Q4090" s="2">
        <v>177.3</v>
      </c>
      <c r="R4090" t="s">
        <v>76</v>
      </c>
      <c r="S4090">
        <v>1</v>
      </c>
      <c r="T4090">
        <v>0</v>
      </c>
      <c r="U4090">
        <f>IF(AND(OR(Dashboard!$D$4="Semua",D4090=Dashboard!$D$4),OR(Dashboard!$H$4="Semua",E4090=Dashboard!$H$4)),1,0)</f>
        <v>1</v>
      </c>
      <c r="V4090">
        <f>IF(U4090=1,IF(COUNTIFS($C$2:C4090,C4090,$U$2:U4090,1)=1,1,0),0)</f>
        <v>0</v>
      </c>
    </row>
    <row r="4091" spans="1:22" x14ac:dyDescent="0.35">
      <c r="A4091">
        <v>14090</v>
      </c>
      <c r="B4091" s="1">
        <v>48651</v>
      </c>
      <c r="C4091">
        <v>1910</v>
      </c>
      <c r="D4091" t="s">
        <v>73</v>
      </c>
      <c r="E4091" t="s">
        <v>70</v>
      </c>
      <c r="F4091">
        <v>4</v>
      </c>
      <c r="G4091" s="2">
        <v>271.47000000000003</v>
      </c>
      <c r="H4091">
        <v>0.23</v>
      </c>
      <c r="I4091" t="s">
        <v>64</v>
      </c>
      <c r="J4091">
        <v>1</v>
      </c>
      <c r="K4091">
        <v>2.5</v>
      </c>
      <c r="L4091" s="2">
        <v>836.13</v>
      </c>
      <c r="M4091">
        <v>2033</v>
      </c>
      <c r="N4091">
        <v>3</v>
      </c>
      <c r="O4091" t="s">
        <v>214</v>
      </c>
      <c r="P4091" s="2">
        <v>1085.8800000000001</v>
      </c>
      <c r="Q4091" s="2">
        <v>249.75</v>
      </c>
      <c r="R4091" t="s">
        <v>77</v>
      </c>
      <c r="S4091">
        <v>1</v>
      </c>
      <c r="T4091">
        <v>0</v>
      </c>
      <c r="U4091">
        <f>IF(AND(OR(Dashboard!$D$4="Semua",D4091=Dashboard!$D$4),OR(Dashboard!$H$4="Semua",E4091=Dashboard!$H$4)),1,0)</f>
        <v>1</v>
      </c>
      <c r="V4091">
        <f>IF(U4091=1,IF(COUNTIFS($C$2:C4091,C4091,$U$2:U4091,1)=1,1,0),0)</f>
        <v>0</v>
      </c>
    </row>
    <row r="4092" spans="1:22" x14ac:dyDescent="0.35">
      <c r="A4092">
        <v>14091</v>
      </c>
      <c r="B4092" s="1">
        <v>48652</v>
      </c>
      <c r="C4092">
        <v>1943</v>
      </c>
      <c r="D4092" t="s">
        <v>73</v>
      </c>
      <c r="E4092" t="s">
        <v>78</v>
      </c>
      <c r="F4092">
        <v>7</v>
      </c>
      <c r="G4092" s="2">
        <v>237.97</v>
      </c>
      <c r="H4092">
        <v>0.32</v>
      </c>
      <c r="I4092" t="s">
        <v>71</v>
      </c>
      <c r="J4092">
        <v>3</v>
      </c>
      <c r="K4092">
        <v>2.9</v>
      </c>
      <c r="L4092" s="2">
        <v>1132.74</v>
      </c>
      <c r="M4092">
        <v>2033</v>
      </c>
      <c r="N4092">
        <v>3</v>
      </c>
      <c r="O4092" t="s">
        <v>214</v>
      </c>
      <c r="P4092" s="2">
        <v>1665.79</v>
      </c>
      <c r="Q4092" s="2">
        <v>533.04999999999995</v>
      </c>
      <c r="R4092" t="s">
        <v>72</v>
      </c>
      <c r="S4092">
        <v>1</v>
      </c>
      <c r="T4092">
        <v>0</v>
      </c>
      <c r="U4092">
        <f>IF(AND(OR(Dashboard!$D$4="Semua",D4092=Dashboard!$D$4),OR(Dashboard!$H$4="Semua",E4092=Dashboard!$H$4)),1,0)</f>
        <v>1</v>
      </c>
      <c r="V4092">
        <f>IF(U4092=1,IF(COUNTIFS($C$2:C4092,C4092,$U$2:U4092,1)=1,1,0),0)</f>
        <v>0</v>
      </c>
    </row>
    <row r="4093" spans="1:22" x14ac:dyDescent="0.35">
      <c r="A4093">
        <v>14092</v>
      </c>
      <c r="B4093" s="1">
        <v>48653</v>
      </c>
      <c r="C4093">
        <v>1237</v>
      </c>
      <c r="D4093" t="s">
        <v>67</v>
      </c>
      <c r="E4093" t="s">
        <v>63</v>
      </c>
      <c r="F4093">
        <v>4</v>
      </c>
      <c r="G4093" s="2">
        <v>560.70000000000005</v>
      </c>
      <c r="H4093">
        <v>0.2</v>
      </c>
      <c r="I4093" t="s">
        <v>64</v>
      </c>
      <c r="J4093">
        <v>4</v>
      </c>
      <c r="K4093">
        <v>1.7</v>
      </c>
      <c r="L4093" s="2">
        <v>1794.24</v>
      </c>
      <c r="M4093">
        <v>2033</v>
      </c>
      <c r="N4093">
        <v>3</v>
      </c>
      <c r="O4093" t="s">
        <v>214</v>
      </c>
      <c r="P4093" s="2">
        <v>2242.8000000000002</v>
      </c>
      <c r="Q4093" s="2">
        <v>448.56</v>
      </c>
      <c r="R4093" t="s">
        <v>76</v>
      </c>
      <c r="S4093">
        <v>1</v>
      </c>
      <c r="T4093">
        <v>0</v>
      </c>
      <c r="U4093">
        <f>IF(AND(OR(Dashboard!$D$4="Semua",D4093=Dashboard!$D$4),OR(Dashboard!$H$4="Semua",E4093=Dashboard!$H$4)),1,0)</f>
        <v>1</v>
      </c>
      <c r="V4093">
        <f>IF(U4093=1,IF(COUNTIFS($C$2:C4093,C4093,$U$2:U4093,1)=1,1,0),0)</f>
        <v>0</v>
      </c>
    </row>
    <row r="4094" spans="1:22" x14ac:dyDescent="0.35">
      <c r="A4094">
        <v>14093</v>
      </c>
      <c r="B4094" s="1">
        <v>48654</v>
      </c>
      <c r="C4094">
        <v>1103</v>
      </c>
      <c r="D4094" t="s">
        <v>67</v>
      </c>
      <c r="E4094" t="s">
        <v>78</v>
      </c>
      <c r="F4094">
        <v>3</v>
      </c>
      <c r="G4094" s="2">
        <v>433.37</v>
      </c>
      <c r="H4094">
        <v>0.28000000000000003</v>
      </c>
      <c r="I4094" t="s">
        <v>71</v>
      </c>
      <c r="J4094">
        <v>11</v>
      </c>
      <c r="K4094">
        <v>1.4</v>
      </c>
      <c r="L4094" s="2">
        <v>936.08</v>
      </c>
      <c r="M4094">
        <v>2033</v>
      </c>
      <c r="N4094">
        <v>3</v>
      </c>
      <c r="O4094" t="s">
        <v>214</v>
      </c>
      <c r="P4094" s="2">
        <v>1300.1099999999999</v>
      </c>
      <c r="Q4094" s="2">
        <v>364.03</v>
      </c>
      <c r="R4094" t="s">
        <v>66</v>
      </c>
      <c r="S4094">
        <v>1</v>
      </c>
      <c r="T4094">
        <v>0</v>
      </c>
      <c r="U4094">
        <f>IF(AND(OR(Dashboard!$D$4="Semua",D4094=Dashboard!$D$4),OR(Dashboard!$H$4="Semua",E4094=Dashboard!$H$4)),1,0)</f>
        <v>1</v>
      </c>
      <c r="V4094">
        <f>IF(U4094=1,IF(COUNTIFS($C$2:C4094,C4094,$U$2:U4094,1)=1,1,0),0)</f>
        <v>0</v>
      </c>
    </row>
    <row r="4095" spans="1:22" x14ac:dyDescent="0.35">
      <c r="A4095">
        <v>14094</v>
      </c>
      <c r="B4095" s="1">
        <v>48655</v>
      </c>
      <c r="C4095">
        <v>1209</v>
      </c>
      <c r="D4095" t="s">
        <v>73</v>
      </c>
      <c r="E4095" t="s">
        <v>78</v>
      </c>
      <c r="F4095">
        <v>3</v>
      </c>
      <c r="G4095" s="2">
        <v>558.02</v>
      </c>
      <c r="H4095">
        <v>0.34</v>
      </c>
      <c r="I4095" t="s">
        <v>68</v>
      </c>
      <c r="J4095">
        <v>6</v>
      </c>
      <c r="K4095">
        <v>4</v>
      </c>
      <c r="L4095" s="2">
        <v>1104.8800000000001</v>
      </c>
      <c r="M4095">
        <v>2033</v>
      </c>
      <c r="N4095">
        <v>3</v>
      </c>
      <c r="O4095" t="s">
        <v>214</v>
      </c>
      <c r="P4095" s="2">
        <v>1674.06</v>
      </c>
      <c r="Q4095" s="2">
        <v>569.17999999999995</v>
      </c>
      <c r="R4095" t="s">
        <v>72</v>
      </c>
      <c r="S4095">
        <v>1</v>
      </c>
      <c r="T4095">
        <v>0</v>
      </c>
      <c r="U4095">
        <f>IF(AND(OR(Dashboard!$D$4="Semua",D4095=Dashboard!$D$4),OR(Dashboard!$H$4="Semua",E4095=Dashboard!$H$4)),1,0)</f>
        <v>1</v>
      </c>
      <c r="V4095">
        <f>IF(U4095=1,IF(COUNTIFS($C$2:C4095,C4095,$U$2:U4095,1)=1,1,0),0)</f>
        <v>0</v>
      </c>
    </row>
    <row r="4096" spans="1:22" x14ac:dyDescent="0.35">
      <c r="A4096">
        <v>14095</v>
      </c>
      <c r="B4096" s="1">
        <v>48656</v>
      </c>
      <c r="C4096">
        <v>1553</v>
      </c>
      <c r="D4096" t="s">
        <v>80</v>
      </c>
      <c r="E4096" t="s">
        <v>63</v>
      </c>
      <c r="F4096">
        <v>2</v>
      </c>
      <c r="G4096" s="2">
        <v>481.23</v>
      </c>
      <c r="H4096">
        <v>0.25</v>
      </c>
      <c r="I4096" t="s">
        <v>68</v>
      </c>
      <c r="J4096">
        <v>10</v>
      </c>
      <c r="K4096">
        <v>2</v>
      </c>
      <c r="L4096" s="2">
        <v>721.84</v>
      </c>
      <c r="M4096">
        <v>2033</v>
      </c>
      <c r="N4096">
        <v>3</v>
      </c>
      <c r="O4096" t="s">
        <v>214</v>
      </c>
      <c r="P4096" s="2">
        <v>962.46</v>
      </c>
      <c r="Q4096" s="2">
        <v>240.62</v>
      </c>
      <c r="R4096" t="s">
        <v>77</v>
      </c>
      <c r="S4096">
        <v>1</v>
      </c>
      <c r="T4096">
        <v>0</v>
      </c>
      <c r="U4096">
        <f>IF(AND(OR(Dashboard!$D$4="Semua",D4096=Dashboard!$D$4),OR(Dashboard!$H$4="Semua",E4096=Dashboard!$H$4)),1,0)</f>
        <v>1</v>
      </c>
      <c r="V4096">
        <f>IF(U4096=1,IF(COUNTIFS($C$2:C4096,C4096,$U$2:U4096,1)=1,1,0),0)</f>
        <v>0</v>
      </c>
    </row>
    <row r="4097" spans="1:22" x14ac:dyDescent="0.35">
      <c r="A4097">
        <v>14096</v>
      </c>
      <c r="B4097" s="1">
        <v>48657</v>
      </c>
      <c r="C4097">
        <v>1827</v>
      </c>
      <c r="D4097" t="s">
        <v>62</v>
      </c>
      <c r="E4097" t="s">
        <v>63</v>
      </c>
      <c r="F4097">
        <v>5</v>
      </c>
      <c r="G4097" s="2">
        <v>371.44</v>
      </c>
      <c r="H4097">
        <v>0.2</v>
      </c>
      <c r="I4097" t="s">
        <v>71</v>
      </c>
      <c r="J4097">
        <v>10</v>
      </c>
      <c r="K4097">
        <v>4.2</v>
      </c>
      <c r="L4097" s="2">
        <v>1485.76</v>
      </c>
      <c r="M4097">
        <v>2033</v>
      </c>
      <c r="N4097">
        <v>3</v>
      </c>
      <c r="O4097" t="s">
        <v>214</v>
      </c>
      <c r="P4097" s="2">
        <v>1857.2</v>
      </c>
      <c r="Q4097" s="2">
        <v>371.44</v>
      </c>
      <c r="R4097" t="s">
        <v>76</v>
      </c>
      <c r="S4097">
        <v>1</v>
      </c>
      <c r="T4097">
        <v>0</v>
      </c>
      <c r="U4097">
        <f>IF(AND(OR(Dashboard!$D$4="Semua",D4097=Dashboard!$D$4),OR(Dashboard!$H$4="Semua",E4097=Dashboard!$H$4)),1,0)</f>
        <v>1</v>
      </c>
      <c r="V4097">
        <f>IF(U4097=1,IF(COUNTIFS($C$2:C4097,C4097,$U$2:U4097,1)=1,1,0),0)</f>
        <v>0</v>
      </c>
    </row>
    <row r="4098" spans="1:22" x14ac:dyDescent="0.35">
      <c r="A4098">
        <v>14097</v>
      </c>
      <c r="B4098" s="1">
        <v>48658</v>
      </c>
      <c r="C4098">
        <v>1467</v>
      </c>
      <c r="D4098" t="s">
        <v>80</v>
      </c>
      <c r="E4098" t="s">
        <v>63</v>
      </c>
      <c r="F4098">
        <v>3</v>
      </c>
      <c r="G4098" s="2">
        <v>82.77</v>
      </c>
      <c r="H4098">
        <v>0.01</v>
      </c>
      <c r="I4098" t="s">
        <v>71</v>
      </c>
      <c r="J4098">
        <v>9</v>
      </c>
      <c r="K4098">
        <v>4</v>
      </c>
      <c r="L4098" s="2">
        <v>245.83</v>
      </c>
      <c r="M4098">
        <v>2033</v>
      </c>
      <c r="N4098">
        <v>3</v>
      </c>
      <c r="O4098" t="s">
        <v>214</v>
      </c>
      <c r="P4098" s="2">
        <v>248.31</v>
      </c>
      <c r="Q4098" s="2">
        <v>2.48</v>
      </c>
      <c r="R4098" t="s">
        <v>75</v>
      </c>
      <c r="S4098">
        <v>1</v>
      </c>
      <c r="T4098">
        <v>0</v>
      </c>
      <c r="U4098">
        <f>IF(AND(OR(Dashboard!$D$4="Semua",D4098=Dashboard!$D$4),OR(Dashboard!$H$4="Semua",E4098=Dashboard!$H$4)),1,0)</f>
        <v>1</v>
      </c>
      <c r="V4098">
        <f>IF(U4098=1,IF(COUNTIFS($C$2:C4098,C4098,$U$2:U4098,1)=1,1,0),0)</f>
        <v>0</v>
      </c>
    </row>
    <row r="4099" spans="1:22" x14ac:dyDescent="0.35">
      <c r="A4099">
        <v>14098</v>
      </c>
      <c r="B4099" s="1">
        <v>48659</v>
      </c>
      <c r="C4099">
        <v>1453</v>
      </c>
      <c r="D4099" t="s">
        <v>73</v>
      </c>
      <c r="E4099" t="s">
        <v>63</v>
      </c>
      <c r="F4099">
        <v>3</v>
      </c>
      <c r="G4099" s="2">
        <v>185.52</v>
      </c>
      <c r="H4099">
        <v>0.13</v>
      </c>
      <c r="I4099" t="s">
        <v>64</v>
      </c>
      <c r="J4099">
        <v>4</v>
      </c>
      <c r="K4099">
        <v>1.8</v>
      </c>
      <c r="L4099" s="2">
        <v>484.21</v>
      </c>
      <c r="M4099">
        <v>2033</v>
      </c>
      <c r="N4099">
        <v>3</v>
      </c>
      <c r="O4099" t="s">
        <v>214</v>
      </c>
      <c r="P4099" s="2">
        <v>556.55999999999995</v>
      </c>
      <c r="Q4099" s="2">
        <v>72.349999999999994</v>
      </c>
      <c r="R4099" t="s">
        <v>79</v>
      </c>
      <c r="S4099">
        <v>1</v>
      </c>
      <c r="T4099">
        <v>0</v>
      </c>
      <c r="U4099">
        <f>IF(AND(OR(Dashboard!$D$4="Semua",D4099=Dashboard!$D$4),OR(Dashboard!$H$4="Semua",E4099=Dashboard!$H$4)),1,0)</f>
        <v>1</v>
      </c>
      <c r="V4099">
        <f>IF(U4099=1,IF(COUNTIFS($C$2:C4099,C4099,$U$2:U4099,1)=1,1,0),0)</f>
        <v>0</v>
      </c>
    </row>
    <row r="4100" spans="1:22" x14ac:dyDescent="0.35">
      <c r="A4100">
        <v>14099</v>
      </c>
      <c r="B4100" s="1">
        <v>48660</v>
      </c>
      <c r="C4100">
        <v>1267</v>
      </c>
      <c r="D4100" t="s">
        <v>80</v>
      </c>
      <c r="E4100" t="s">
        <v>78</v>
      </c>
      <c r="F4100">
        <v>7</v>
      </c>
      <c r="G4100" s="2">
        <v>581.77</v>
      </c>
      <c r="H4100">
        <v>0.2</v>
      </c>
      <c r="I4100" t="s">
        <v>68</v>
      </c>
      <c r="J4100">
        <v>6</v>
      </c>
      <c r="K4100">
        <v>4.5999999999999996</v>
      </c>
      <c r="L4100" s="2">
        <v>3257.91</v>
      </c>
      <c r="M4100">
        <v>2033</v>
      </c>
      <c r="N4100">
        <v>3</v>
      </c>
      <c r="O4100" t="s">
        <v>214</v>
      </c>
      <c r="P4100" s="2">
        <v>4072.39</v>
      </c>
      <c r="Q4100" s="2">
        <v>814.48</v>
      </c>
      <c r="R4100" t="s">
        <v>76</v>
      </c>
      <c r="S4100">
        <v>1</v>
      </c>
      <c r="T4100">
        <v>1</v>
      </c>
      <c r="U4100">
        <f>IF(AND(OR(Dashboard!$D$4="Semua",D4100=Dashboard!$D$4),OR(Dashboard!$H$4="Semua",E4100=Dashboard!$H$4)),1,0)</f>
        <v>1</v>
      </c>
      <c r="V4100">
        <f>IF(U4100=1,IF(COUNTIFS($C$2:C4100,C4100,$U$2:U4100,1)=1,1,0),0)</f>
        <v>0</v>
      </c>
    </row>
    <row r="4101" spans="1:22" x14ac:dyDescent="0.35">
      <c r="A4101">
        <v>14100</v>
      </c>
      <c r="B4101" s="1">
        <v>48661</v>
      </c>
      <c r="C4101">
        <v>1385</v>
      </c>
      <c r="D4101" t="s">
        <v>73</v>
      </c>
      <c r="E4101" t="s">
        <v>74</v>
      </c>
      <c r="F4101">
        <v>5</v>
      </c>
      <c r="G4101" s="2">
        <v>201.86</v>
      </c>
      <c r="H4101">
        <v>0.28000000000000003</v>
      </c>
      <c r="I4101" t="s">
        <v>71</v>
      </c>
      <c r="J4101">
        <v>9</v>
      </c>
      <c r="K4101">
        <v>1.6</v>
      </c>
      <c r="L4101" s="2">
        <v>726.7</v>
      </c>
      <c r="M4101">
        <v>2033</v>
      </c>
      <c r="N4101">
        <v>3</v>
      </c>
      <c r="O4101" t="s">
        <v>214</v>
      </c>
      <c r="P4101" s="2">
        <v>1009.3</v>
      </c>
      <c r="Q4101" s="2">
        <v>282.60000000000002</v>
      </c>
      <c r="R4101" t="s">
        <v>66</v>
      </c>
      <c r="S4101">
        <v>1</v>
      </c>
      <c r="T4101">
        <v>0</v>
      </c>
      <c r="U4101">
        <f>IF(AND(OR(Dashboard!$D$4="Semua",D4101=Dashboard!$D$4),OR(Dashboard!$H$4="Semua",E4101=Dashboard!$H$4)),1,0)</f>
        <v>1</v>
      </c>
      <c r="V4101">
        <f>IF(U4101=1,IF(COUNTIFS($C$2:C4101,C4101,$U$2:U4101,1)=1,1,0),0)</f>
        <v>0</v>
      </c>
    </row>
    <row r="4102" spans="1:22" x14ac:dyDescent="0.35">
      <c r="A4102">
        <v>14101</v>
      </c>
      <c r="B4102" s="1">
        <v>48662</v>
      </c>
      <c r="C4102">
        <v>1774</v>
      </c>
      <c r="D4102" t="s">
        <v>73</v>
      </c>
      <c r="E4102" t="s">
        <v>70</v>
      </c>
      <c r="F4102">
        <v>4</v>
      </c>
      <c r="G4102" s="2">
        <v>69.55</v>
      </c>
      <c r="H4102">
        <v>0.15</v>
      </c>
      <c r="I4102" t="s">
        <v>64</v>
      </c>
      <c r="J4102">
        <v>9</v>
      </c>
      <c r="K4102">
        <v>4.2</v>
      </c>
      <c r="L4102" s="2">
        <v>236.47</v>
      </c>
      <c r="M4102">
        <v>2033</v>
      </c>
      <c r="N4102">
        <v>3</v>
      </c>
      <c r="O4102" t="s">
        <v>214</v>
      </c>
      <c r="P4102" s="2">
        <v>278.2</v>
      </c>
      <c r="Q4102" s="2">
        <v>41.73</v>
      </c>
      <c r="R4102" t="s">
        <v>79</v>
      </c>
      <c r="S4102">
        <v>1</v>
      </c>
      <c r="T4102">
        <v>0</v>
      </c>
      <c r="U4102">
        <f>IF(AND(OR(Dashboard!$D$4="Semua",D4102=Dashboard!$D$4),OR(Dashboard!$H$4="Semua",E4102=Dashboard!$H$4)),1,0)</f>
        <v>1</v>
      </c>
      <c r="V4102">
        <f>IF(U4102=1,IF(COUNTIFS($C$2:C4102,C4102,$U$2:U4102,1)=1,1,0),0)</f>
        <v>0</v>
      </c>
    </row>
    <row r="4103" spans="1:22" x14ac:dyDescent="0.35">
      <c r="A4103">
        <v>14102</v>
      </c>
      <c r="B4103" s="1">
        <v>48663</v>
      </c>
      <c r="C4103">
        <v>1847</v>
      </c>
      <c r="D4103" t="s">
        <v>73</v>
      </c>
      <c r="E4103" t="s">
        <v>74</v>
      </c>
      <c r="F4103">
        <v>4</v>
      </c>
      <c r="G4103" s="2">
        <v>428.92</v>
      </c>
      <c r="H4103">
        <v>0.34</v>
      </c>
      <c r="I4103" t="s">
        <v>68</v>
      </c>
      <c r="J4103">
        <v>6</v>
      </c>
      <c r="K4103">
        <v>2.7</v>
      </c>
      <c r="L4103" s="2">
        <v>1132.3499999999999</v>
      </c>
      <c r="M4103">
        <v>2033</v>
      </c>
      <c r="N4103">
        <v>3</v>
      </c>
      <c r="O4103" t="s">
        <v>214</v>
      </c>
      <c r="P4103" s="2">
        <v>1715.68</v>
      </c>
      <c r="Q4103" s="2">
        <v>583.33000000000004</v>
      </c>
      <c r="R4103" t="s">
        <v>72</v>
      </c>
      <c r="S4103">
        <v>1</v>
      </c>
      <c r="T4103">
        <v>0</v>
      </c>
      <c r="U4103">
        <f>IF(AND(OR(Dashboard!$D$4="Semua",D4103=Dashboard!$D$4),OR(Dashboard!$H$4="Semua",E4103=Dashboard!$H$4)),1,0)</f>
        <v>1</v>
      </c>
      <c r="V4103">
        <f>IF(U4103=1,IF(COUNTIFS($C$2:C4103,C4103,$U$2:U4103,1)=1,1,0),0)</f>
        <v>0</v>
      </c>
    </row>
    <row r="4104" spans="1:22" x14ac:dyDescent="0.35">
      <c r="A4104">
        <v>14103</v>
      </c>
      <c r="B4104" s="1">
        <v>48664</v>
      </c>
      <c r="C4104">
        <v>1386</v>
      </c>
      <c r="D4104" t="s">
        <v>80</v>
      </c>
      <c r="E4104" t="s">
        <v>78</v>
      </c>
      <c r="F4104">
        <v>3</v>
      </c>
      <c r="G4104" s="2">
        <v>444.39</v>
      </c>
      <c r="H4104">
        <v>0.1</v>
      </c>
      <c r="I4104" t="s">
        <v>64</v>
      </c>
      <c r="J4104">
        <v>5</v>
      </c>
      <c r="K4104">
        <v>1.7</v>
      </c>
      <c r="L4104" s="2">
        <v>1199.8499999999999</v>
      </c>
      <c r="M4104">
        <v>2033</v>
      </c>
      <c r="N4104">
        <v>3</v>
      </c>
      <c r="O4104" t="s">
        <v>214</v>
      </c>
      <c r="P4104" s="2">
        <v>1333.17</v>
      </c>
      <c r="Q4104" s="2">
        <v>133.32</v>
      </c>
      <c r="R4104" t="s">
        <v>69</v>
      </c>
      <c r="S4104">
        <v>1</v>
      </c>
      <c r="T4104">
        <v>0</v>
      </c>
      <c r="U4104">
        <f>IF(AND(OR(Dashboard!$D$4="Semua",D4104=Dashboard!$D$4),OR(Dashboard!$H$4="Semua",E4104=Dashboard!$H$4)),1,0)</f>
        <v>1</v>
      </c>
      <c r="V4104">
        <f>IF(U4104=1,IF(COUNTIFS($C$2:C4104,C4104,$U$2:U4104,1)=1,1,0),0)</f>
        <v>0</v>
      </c>
    </row>
    <row r="4105" spans="1:22" x14ac:dyDescent="0.35">
      <c r="A4105">
        <v>14104</v>
      </c>
      <c r="B4105" s="1">
        <v>48665</v>
      </c>
      <c r="C4105">
        <v>1876</v>
      </c>
      <c r="D4105" t="s">
        <v>73</v>
      </c>
      <c r="E4105" t="s">
        <v>63</v>
      </c>
      <c r="F4105">
        <v>7</v>
      </c>
      <c r="G4105" s="2">
        <v>181.99</v>
      </c>
      <c r="H4105">
        <v>0.26</v>
      </c>
      <c r="I4105" t="s">
        <v>68</v>
      </c>
      <c r="J4105">
        <v>3</v>
      </c>
      <c r="K4105">
        <v>4.8</v>
      </c>
      <c r="L4105" s="2">
        <v>942.71</v>
      </c>
      <c r="M4105">
        <v>2033</v>
      </c>
      <c r="N4105">
        <v>3</v>
      </c>
      <c r="O4105" t="s">
        <v>214</v>
      </c>
      <c r="P4105" s="2">
        <v>1273.93</v>
      </c>
      <c r="Q4105" s="2">
        <v>331.22</v>
      </c>
      <c r="R4105" t="s">
        <v>66</v>
      </c>
      <c r="S4105">
        <v>1</v>
      </c>
      <c r="T4105">
        <v>0</v>
      </c>
      <c r="U4105">
        <f>IF(AND(OR(Dashboard!$D$4="Semua",D4105=Dashboard!$D$4),OR(Dashboard!$H$4="Semua",E4105=Dashboard!$H$4)),1,0)</f>
        <v>1</v>
      </c>
      <c r="V4105">
        <f>IF(U4105=1,IF(COUNTIFS($C$2:C4105,C4105,$U$2:U4105,1)=1,1,0),0)</f>
        <v>0</v>
      </c>
    </row>
    <row r="4106" spans="1:22" x14ac:dyDescent="0.35">
      <c r="A4106">
        <v>14105</v>
      </c>
      <c r="B4106" s="1">
        <v>48666</v>
      </c>
      <c r="C4106">
        <v>1258</v>
      </c>
      <c r="D4106" t="s">
        <v>73</v>
      </c>
      <c r="E4106" t="s">
        <v>70</v>
      </c>
      <c r="F4106">
        <v>4</v>
      </c>
      <c r="G4106" s="2">
        <v>189.14</v>
      </c>
      <c r="H4106">
        <v>0.15</v>
      </c>
      <c r="I4106" t="s">
        <v>71</v>
      </c>
      <c r="J4106">
        <v>5</v>
      </c>
      <c r="K4106">
        <v>4.9000000000000004</v>
      </c>
      <c r="L4106" s="2">
        <v>643.08000000000004</v>
      </c>
      <c r="M4106">
        <v>2033</v>
      </c>
      <c r="N4106">
        <v>3</v>
      </c>
      <c r="O4106" t="s">
        <v>214</v>
      </c>
      <c r="P4106" s="2">
        <v>756.56</v>
      </c>
      <c r="Q4106" s="2">
        <v>113.48</v>
      </c>
      <c r="R4106" t="s">
        <v>79</v>
      </c>
      <c r="S4106">
        <v>1</v>
      </c>
      <c r="T4106">
        <v>0</v>
      </c>
      <c r="U4106">
        <f>IF(AND(OR(Dashboard!$D$4="Semua",D4106=Dashboard!$D$4),OR(Dashboard!$H$4="Semua",E4106=Dashboard!$H$4)),1,0)</f>
        <v>1</v>
      </c>
      <c r="V4106">
        <f>IF(U4106=1,IF(COUNTIFS($C$2:C4106,C4106,$U$2:U4106,1)=1,1,0),0)</f>
        <v>0</v>
      </c>
    </row>
    <row r="4107" spans="1:22" x14ac:dyDescent="0.35">
      <c r="A4107">
        <v>14106</v>
      </c>
      <c r="B4107" s="1">
        <v>48667</v>
      </c>
      <c r="C4107">
        <v>1282</v>
      </c>
      <c r="D4107" t="s">
        <v>73</v>
      </c>
      <c r="E4107" t="s">
        <v>70</v>
      </c>
      <c r="F4107">
        <v>4</v>
      </c>
      <c r="G4107" s="2">
        <v>289.3</v>
      </c>
      <c r="H4107">
        <v>0.17</v>
      </c>
      <c r="I4107" t="s">
        <v>68</v>
      </c>
      <c r="J4107">
        <v>3</v>
      </c>
      <c r="K4107">
        <v>3</v>
      </c>
      <c r="L4107" s="2">
        <v>960.48</v>
      </c>
      <c r="M4107">
        <v>2033</v>
      </c>
      <c r="N4107">
        <v>3</v>
      </c>
      <c r="O4107" t="s">
        <v>214</v>
      </c>
      <c r="P4107" s="2">
        <v>1157.2</v>
      </c>
      <c r="Q4107" s="2">
        <v>196.72</v>
      </c>
      <c r="R4107" t="s">
        <v>76</v>
      </c>
      <c r="S4107">
        <v>1</v>
      </c>
      <c r="T4107">
        <v>0</v>
      </c>
      <c r="U4107">
        <f>IF(AND(OR(Dashboard!$D$4="Semua",D4107=Dashboard!$D$4),OR(Dashboard!$H$4="Semua",E4107=Dashboard!$H$4)),1,0)</f>
        <v>1</v>
      </c>
      <c r="V4107">
        <f>IF(U4107=1,IF(COUNTIFS($C$2:C4107,C4107,$U$2:U4107,1)=1,1,0),0)</f>
        <v>0</v>
      </c>
    </row>
    <row r="4108" spans="1:22" x14ac:dyDescent="0.35">
      <c r="A4108">
        <v>14107</v>
      </c>
      <c r="B4108" s="1">
        <v>48668</v>
      </c>
      <c r="C4108">
        <v>1625</v>
      </c>
      <c r="D4108" t="s">
        <v>62</v>
      </c>
      <c r="E4108" t="s">
        <v>74</v>
      </c>
      <c r="F4108">
        <v>6</v>
      </c>
      <c r="G4108" s="2">
        <v>27.75</v>
      </c>
      <c r="H4108">
        <v>0.28000000000000003</v>
      </c>
      <c r="I4108" t="s">
        <v>68</v>
      </c>
      <c r="J4108">
        <v>5</v>
      </c>
      <c r="K4108">
        <v>2.9</v>
      </c>
      <c r="L4108" s="2">
        <v>119.88</v>
      </c>
      <c r="M4108">
        <v>2033</v>
      </c>
      <c r="N4108">
        <v>3</v>
      </c>
      <c r="O4108" t="s">
        <v>214</v>
      </c>
      <c r="P4108" s="2">
        <v>166.5</v>
      </c>
      <c r="Q4108" s="2">
        <v>46.62</v>
      </c>
      <c r="R4108" t="s">
        <v>66</v>
      </c>
      <c r="S4108">
        <v>1</v>
      </c>
      <c r="T4108">
        <v>0</v>
      </c>
      <c r="U4108">
        <f>IF(AND(OR(Dashboard!$D$4="Semua",D4108=Dashboard!$D$4),OR(Dashboard!$H$4="Semua",E4108=Dashboard!$H$4)),1,0)</f>
        <v>1</v>
      </c>
      <c r="V4108">
        <f>IF(U4108=1,IF(COUNTIFS($C$2:C4108,C4108,$U$2:U4108,1)=1,1,0),0)</f>
        <v>0</v>
      </c>
    </row>
    <row r="4109" spans="1:22" x14ac:dyDescent="0.35">
      <c r="A4109">
        <v>14108</v>
      </c>
      <c r="B4109" s="1">
        <v>48669</v>
      </c>
      <c r="C4109">
        <v>1874</v>
      </c>
      <c r="D4109" t="s">
        <v>67</v>
      </c>
      <c r="E4109" t="s">
        <v>78</v>
      </c>
      <c r="F4109">
        <v>7</v>
      </c>
      <c r="G4109" s="2">
        <v>476.75</v>
      </c>
      <c r="H4109">
        <v>0.1</v>
      </c>
      <c r="I4109" t="s">
        <v>68</v>
      </c>
      <c r="J4109">
        <v>10</v>
      </c>
      <c r="K4109">
        <v>4.5999999999999996</v>
      </c>
      <c r="L4109" s="2">
        <v>3003.52</v>
      </c>
      <c r="M4109">
        <v>2033</v>
      </c>
      <c r="N4109">
        <v>3</v>
      </c>
      <c r="O4109" t="s">
        <v>214</v>
      </c>
      <c r="P4109" s="2">
        <v>3337.25</v>
      </c>
      <c r="Q4109" s="2">
        <v>333.73</v>
      </c>
      <c r="R4109" t="s">
        <v>69</v>
      </c>
      <c r="S4109">
        <v>1</v>
      </c>
      <c r="T4109">
        <v>0</v>
      </c>
      <c r="U4109">
        <f>IF(AND(OR(Dashboard!$D$4="Semua",D4109=Dashboard!$D$4),OR(Dashboard!$H$4="Semua",E4109=Dashboard!$H$4)),1,0)</f>
        <v>1</v>
      </c>
      <c r="V4109">
        <f>IF(U4109=1,IF(COUNTIFS($C$2:C4109,C4109,$U$2:U4109,1)=1,1,0),0)</f>
        <v>0</v>
      </c>
    </row>
    <row r="4110" spans="1:22" x14ac:dyDescent="0.35">
      <c r="A4110">
        <v>14109</v>
      </c>
      <c r="B4110" s="1">
        <v>48670</v>
      </c>
      <c r="C4110">
        <v>1039</v>
      </c>
      <c r="D4110" t="s">
        <v>73</v>
      </c>
      <c r="E4110" t="s">
        <v>78</v>
      </c>
      <c r="F4110">
        <v>4</v>
      </c>
      <c r="G4110" s="2">
        <v>200.5</v>
      </c>
      <c r="H4110">
        <v>0.03</v>
      </c>
      <c r="I4110" t="s">
        <v>64</v>
      </c>
      <c r="J4110">
        <v>10</v>
      </c>
      <c r="K4110">
        <v>3.4</v>
      </c>
      <c r="L4110" s="2">
        <v>777.94</v>
      </c>
      <c r="M4110">
        <v>2033</v>
      </c>
      <c r="N4110">
        <v>4</v>
      </c>
      <c r="O4110" t="s">
        <v>215</v>
      </c>
      <c r="P4110" s="2">
        <v>802</v>
      </c>
      <c r="Q4110" s="2">
        <v>24.06</v>
      </c>
      <c r="R4110" t="s">
        <v>75</v>
      </c>
      <c r="S4110">
        <v>1</v>
      </c>
      <c r="T4110">
        <v>0</v>
      </c>
      <c r="U4110">
        <f>IF(AND(OR(Dashboard!$D$4="Semua",D4110=Dashboard!$D$4),OR(Dashboard!$H$4="Semua",E4110=Dashboard!$H$4)),1,0)</f>
        <v>1</v>
      </c>
      <c r="V4110">
        <f>IF(U4110=1,IF(COUNTIFS($C$2:C4110,C4110,$U$2:U4110,1)=1,1,0),0)</f>
        <v>0</v>
      </c>
    </row>
    <row r="4111" spans="1:22" x14ac:dyDescent="0.35">
      <c r="A4111">
        <v>14110</v>
      </c>
      <c r="B4111" s="1">
        <v>48671</v>
      </c>
      <c r="C4111">
        <v>1485</v>
      </c>
      <c r="D4111" t="s">
        <v>67</v>
      </c>
      <c r="E4111" t="s">
        <v>78</v>
      </c>
      <c r="F4111">
        <v>2</v>
      </c>
      <c r="G4111" s="2">
        <v>514.45000000000005</v>
      </c>
      <c r="H4111">
        <v>0.18</v>
      </c>
      <c r="I4111" t="s">
        <v>64</v>
      </c>
      <c r="J4111">
        <v>1</v>
      </c>
      <c r="K4111">
        <v>2.1</v>
      </c>
      <c r="L4111" s="2">
        <v>843.7</v>
      </c>
      <c r="M4111">
        <v>2033</v>
      </c>
      <c r="N4111">
        <v>4</v>
      </c>
      <c r="O4111" t="s">
        <v>215</v>
      </c>
      <c r="P4111" s="2">
        <v>1028.9000000000001</v>
      </c>
      <c r="Q4111" s="2">
        <v>185.2</v>
      </c>
      <c r="R4111" t="s">
        <v>76</v>
      </c>
      <c r="S4111">
        <v>1</v>
      </c>
      <c r="T4111">
        <v>0</v>
      </c>
      <c r="U4111">
        <f>IF(AND(OR(Dashboard!$D$4="Semua",D4111=Dashboard!$D$4),OR(Dashboard!$H$4="Semua",E4111=Dashboard!$H$4)),1,0)</f>
        <v>1</v>
      </c>
      <c r="V4111">
        <f>IF(U4111=1,IF(COUNTIFS($C$2:C4111,C4111,$U$2:U4111,1)=1,1,0),0)</f>
        <v>1</v>
      </c>
    </row>
    <row r="4112" spans="1:22" x14ac:dyDescent="0.35">
      <c r="A4112">
        <v>14111</v>
      </c>
      <c r="B4112" s="1">
        <v>48672</v>
      </c>
      <c r="C4112">
        <v>1928</v>
      </c>
      <c r="D4112" t="s">
        <v>67</v>
      </c>
      <c r="E4112" t="s">
        <v>70</v>
      </c>
      <c r="F4112">
        <v>1</v>
      </c>
      <c r="G4112" s="2">
        <v>484.54</v>
      </c>
      <c r="H4112">
        <v>0.19</v>
      </c>
      <c r="I4112" t="s">
        <v>68</v>
      </c>
      <c r="J4112">
        <v>6</v>
      </c>
      <c r="K4112">
        <v>2.7</v>
      </c>
      <c r="L4112" s="2">
        <v>392.48</v>
      </c>
      <c r="M4112">
        <v>2033</v>
      </c>
      <c r="N4112">
        <v>4</v>
      </c>
      <c r="O4112" t="s">
        <v>215</v>
      </c>
      <c r="P4112" s="2">
        <v>484.54</v>
      </c>
      <c r="Q4112" s="2">
        <v>92.06</v>
      </c>
      <c r="R4112" t="s">
        <v>76</v>
      </c>
      <c r="S4112">
        <v>1</v>
      </c>
      <c r="T4112">
        <v>0</v>
      </c>
      <c r="U4112">
        <f>IF(AND(OR(Dashboard!$D$4="Semua",D4112=Dashboard!$D$4),OR(Dashboard!$H$4="Semua",E4112=Dashboard!$H$4)),1,0)</f>
        <v>1</v>
      </c>
      <c r="V4112">
        <f>IF(U4112=1,IF(COUNTIFS($C$2:C4112,C4112,$U$2:U4112,1)=1,1,0),0)</f>
        <v>0</v>
      </c>
    </row>
    <row r="4113" spans="1:22" x14ac:dyDescent="0.35">
      <c r="A4113">
        <v>14112</v>
      </c>
      <c r="B4113" s="1">
        <v>48673</v>
      </c>
      <c r="C4113">
        <v>1219</v>
      </c>
      <c r="D4113" t="s">
        <v>80</v>
      </c>
      <c r="E4113" t="s">
        <v>74</v>
      </c>
      <c r="F4113">
        <v>3</v>
      </c>
      <c r="G4113" s="2">
        <v>401.92</v>
      </c>
      <c r="H4113">
        <v>0.28000000000000003</v>
      </c>
      <c r="I4113" t="s">
        <v>64</v>
      </c>
      <c r="J4113">
        <v>7</v>
      </c>
      <c r="K4113">
        <v>4.3</v>
      </c>
      <c r="L4113" s="2">
        <v>868.15</v>
      </c>
      <c r="M4113">
        <v>2033</v>
      </c>
      <c r="N4113">
        <v>4</v>
      </c>
      <c r="O4113" t="s">
        <v>215</v>
      </c>
      <c r="P4113" s="2">
        <v>1205.76</v>
      </c>
      <c r="Q4113" s="2">
        <v>337.61</v>
      </c>
      <c r="R4113" t="s">
        <v>66</v>
      </c>
      <c r="S4113">
        <v>1</v>
      </c>
      <c r="T4113">
        <v>0</v>
      </c>
      <c r="U4113">
        <f>IF(AND(OR(Dashboard!$D$4="Semua",D4113=Dashboard!$D$4),OR(Dashboard!$H$4="Semua",E4113=Dashboard!$H$4)),1,0)</f>
        <v>1</v>
      </c>
      <c r="V4113">
        <f>IF(U4113=1,IF(COUNTIFS($C$2:C4113,C4113,$U$2:U4113,1)=1,1,0),0)</f>
        <v>0</v>
      </c>
    </row>
    <row r="4114" spans="1:22" x14ac:dyDescent="0.35">
      <c r="A4114">
        <v>14113</v>
      </c>
      <c r="B4114" s="1">
        <v>48674</v>
      </c>
      <c r="C4114">
        <v>1128</v>
      </c>
      <c r="D4114" t="s">
        <v>73</v>
      </c>
      <c r="E4114" t="s">
        <v>70</v>
      </c>
      <c r="F4114">
        <v>3</v>
      </c>
      <c r="G4114" s="2">
        <v>205.05</v>
      </c>
      <c r="H4114">
        <v>0.34</v>
      </c>
      <c r="I4114" t="s">
        <v>71</v>
      </c>
      <c r="J4114">
        <v>2</v>
      </c>
      <c r="K4114">
        <v>4.4000000000000004</v>
      </c>
      <c r="L4114" s="2">
        <v>406</v>
      </c>
      <c r="M4114">
        <v>2033</v>
      </c>
      <c r="N4114">
        <v>4</v>
      </c>
      <c r="O4114" t="s">
        <v>215</v>
      </c>
      <c r="P4114" s="2">
        <v>615.15</v>
      </c>
      <c r="Q4114" s="2">
        <v>209.15</v>
      </c>
      <c r="R4114" t="s">
        <v>72</v>
      </c>
      <c r="S4114">
        <v>1</v>
      </c>
      <c r="T4114">
        <v>0</v>
      </c>
      <c r="U4114">
        <f>IF(AND(OR(Dashboard!$D$4="Semua",D4114=Dashboard!$D$4),OR(Dashboard!$H$4="Semua",E4114=Dashboard!$H$4)),1,0)</f>
        <v>1</v>
      </c>
      <c r="V4114">
        <f>IF(U4114=1,IF(COUNTIFS($C$2:C4114,C4114,$U$2:U4114,1)=1,1,0),0)</f>
        <v>0</v>
      </c>
    </row>
    <row r="4115" spans="1:22" x14ac:dyDescent="0.35">
      <c r="A4115">
        <v>14114</v>
      </c>
      <c r="B4115" s="1">
        <v>48675</v>
      </c>
      <c r="C4115">
        <v>1519</v>
      </c>
      <c r="D4115" t="s">
        <v>62</v>
      </c>
      <c r="E4115" t="s">
        <v>70</v>
      </c>
      <c r="F4115">
        <v>2</v>
      </c>
      <c r="G4115" s="2">
        <v>317.05</v>
      </c>
      <c r="H4115">
        <v>0.02</v>
      </c>
      <c r="I4115" t="s">
        <v>64</v>
      </c>
      <c r="J4115">
        <v>3</v>
      </c>
      <c r="K4115">
        <v>4.8</v>
      </c>
      <c r="L4115" s="2">
        <v>621.41999999999996</v>
      </c>
      <c r="M4115">
        <v>2033</v>
      </c>
      <c r="N4115">
        <v>4</v>
      </c>
      <c r="O4115" t="s">
        <v>215</v>
      </c>
      <c r="P4115" s="2">
        <v>634.1</v>
      </c>
      <c r="Q4115" s="2">
        <v>12.68</v>
      </c>
      <c r="R4115" t="s">
        <v>75</v>
      </c>
      <c r="S4115">
        <v>1</v>
      </c>
      <c r="T4115">
        <v>0</v>
      </c>
      <c r="U4115">
        <f>IF(AND(OR(Dashboard!$D$4="Semua",D4115=Dashboard!$D$4),OR(Dashboard!$H$4="Semua",E4115=Dashboard!$H$4)),1,0)</f>
        <v>1</v>
      </c>
      <c r="V4115">
        <f>IF(U4115=1,IF(COUNTIFS($C$2:C4115,C4115,$U$2:U4115,1)=1,1,0),0)</f>
        <v>0</v>
      </c>
    </row>
    <row r="4116" spans="1:22" x14ac:dyDescent="0.35">
      <c r="A4116">
        <v>14115</v>
      </c>
      <c r="B4116" s="1">
        <v>48676</v>
      </c>
      <c r="C4116">
        <v>1612</v>
      </c>
      <c r="D4116" t="s">
        <v>73</v>
      </c>
      <c r="E4116" t="s">
        <v>63</v>
      </c>
      <c r="F4116">
        <v>1</v>
      </c>
      <c r="G4116" s="2">
        <v>275.23</v>
      </c>
      <c r="H4116">
        <v>0.21</v>
      </c>
      <c r="I4116" t="s">
        <v>68</v>
      </c>
      <c r="J4116">
        <v>10</v>
      </c>
      <c r="K4116">
        <v>2.2000000000000002</v>
      </c>
      <c r="L4116" s="2">
        <v>217.43</v>
      </c>
      <c r="M4116">
        <v>2033</v>
      </c>
      <c r="N4116">
        <v>4</v>
      </c>
      <c r="O4116" t="s">
        <v>215</v>
      </c>
      <c r="P4116" s="2">
        <v>275.23</v>
      </c>
      <c r="Q4116" s="2">
        <v>57.8</v>
      </c>
      <c r="R4116" t="s">
        <v>77</v>
      </c>
      <c r="S4116">
        <v>1</v>
      </c>
      <c r="T4116">
        <v>0</v>
      </c>
      <c r="U4116">
        <f>IF(AND(OR(Dashboard!$D$4="Semua",D4116=Dashboard!$D$4),OR(Dashboard!$H$4="Semua",E4116=Dashboard!$H$4)),1,0)</f>
        <v>1</v>
      </c>
      <c r="V4116">
        <f>IF(U4116=1,IF(COUNTIFS($C$2:C4116,C4116,$U$2:U4116,1)=1,1,0),0)</f>
        <v>0</v>
      </c>
    </row>
    <row r="4117" spans="1:22" x14ac:dyDescent="0.35">
      <c r="A4117">
        <v>14116</v>
      </c>
      <c r="B4117" s="1">
        <v>48677</v>
      </c>
      <c r="C4117">
        <v>1927</v>
      </c>
      <c r="D4117" t="s">
        <v>80</v>
      </c>
      <c r="E4117" t="s">
        <v>74</v>
      </c>
      <c r="F4117">
        <v>1</v>
      </c>
      <c r="G4117" s="2">
        <v>213.25</v>
      </c>
      <c r="H4117">
        <v>0.24</v>
      </c>
      <c r="I4117" t="s">
        <v>68</v>
      </c>
      <c r="J4117">
        <v>9</v>
      </c>
      <c r="K4117">
        <v>3.7</v>
      </c>
      <c r="L4117" s="2">
        <v>162.07</v>
      </c>
      <c r="M4117">
        <v>2033</v>
      </c>
      <c r="N4117">
        <v>4</v>
      </c>
      <c r="O4117" t="s">
        <v>215</v>
      </c>
      <c r="P4117" s="2">
        <v>213.25</v>
      </c>
      <c r="Q4117" s="2">
        <v>51.18</v>
      </c>
      <c r="R4117" t="s">
        <v>77</v>
      </c>
      <c r="S4117">
        <v>1</v>
      </c>
      <c r="T4117">
        <v>0</v>
      </c>
      <c r="U4117">
        <f>IF(AND(OR(Dashboard!$D$4="Semua",D4117=Dashboard!$D$4),OR(Dashboard!$H$4="Semua",E4117=Dashboard!$H$4)),1,0)</f>
        <v>1</v>
      </c>
      <c r="V4117">
        <f>IF(U4117=1,IF(COUNTIFS($C$2:C4117,C4117,$U$2:U4117,1)=1,1,0),0)</f>
        <v>0</v>
      </c>
    </row>
    <row r="4118" spans="1:22" x14ac:dyDescent="0.35">
      <c r="A4118">
        <v>14117</v>
      </c>
      <c r="B4118" s="1">
        <v>48678</v>
      </c>
      <c r="C4118">
        <v>1891</v>
      </c>
      <c r="D4118" t="s">
        <v>73</v>
      </c>
      <c r="E4118" t="s">
        <v>63</v>
      </c>
      <c r="F4118">
        <v>2</v>
      </c>
      <c r="G4118" s="2">
        <v>511.16</v>
      </c>
      <c r="H4118">
        <v>0.35</v>
      </c>
      <c r="I4118" t="s">
        <v>71</v>
      </c>
      <c r="J4118">
        <v>8</v>
      </c>
      <c r="K4118">
        <v>1.3</v>
      </c>
      <c r="L4118" s="2">
        <v>664.51</v>
      </c>
      <c r="M4118">
        <v>2033</v>
      </c>
      <c r="N4118">
        <v>4</v>
      </c>
      <c r="O4118" t="s">
        <v>215</v>
      </c>
      <c r="P4118" s="2">
        <v>1022.32</v>
      </c>
      <c r="Q4118" s="2">
        <v>357.81</v>
      </c>
      <c r="R4118" t="s">
        <v>72</v>
      </c>
      <c r="S4118">
        <v>1</v>
      </c>
      <c r="T4118">
        <v>0</v>
      </c>
      <c r="U4118">
        <f>IF(AND(OR(Dashboard!$D$4="Semua",D4118=Dashboard!$D$4),OR(Dashboard!$H$4="Semua",E4118=Dashboard!$H$4)),1,0)</f>
        <v>1</v>
      </c>
      <c r="V4118">
        <f>IF(U4118=1,IF(COUNTIFS($C$2:C4118,C4118,$U$2:U4118,1)=1,1,0),0)</f>
        <v>0</v>
      </c>
    </row>
    <row r="4119" spans="1:22" x14ac:dyDescent="0.35">
      <c r="A4119">
        <v>14118</v>
      </c>
      <c r="B4119" s="1">
        <v>48679</v>
      </c>
      <c r="C4119">
        <v>1687</v>
      </c>
      <c r="D4119" t="s">
        <v>67</v>
      </c>
      <c r="E4119" t="s">
        <v>78</v>
      </c>
      <c r="F4119">
        <v>5</v>
      </c>
      <c r="G4119" s="2">
        <v>297.85000000000002</v>
      </c>
      <c r="H4119">
        <v>0.33</v>
      </c>
      <c r="I4119" t="s">
        <v>68</v>
      </c>
      <c r="J4119">
        <v>4</v>
      </c>
      <c r="K4119">
        <v>3.9</v>
      </c>
      <c r="L4119" s="2">
        <v>997.8</v>
      </c>
      <c r="M4119">
        <v>2033</v>
      </c>
      <c r="N4119">
        <v>4</v>
      </c>
      <c r="O4119" t="s">
        <v>215</v>
      </c>
      <c r="P4119" s="2">
        <v>1489.25</v>
      </c>
      <c r="Q4119" s="2">
        <v>491.45</v>
      </c>
      <c r="R4119" t="s">
        <v>72</v>
      </c>
      <c r="S4119">
        <v>1</v>
      </c>
      <c r="T4119">
        <v>0</v>
      </c>
      <c r="U4119">
        <f>IF(AND(OR(Dashboard!$D$4="Semua",D4119=Dashboard!$D$4),OR(Dashboard!$H$4="Semua",E4119=Dashboard!$H$4)),1,0)</f>
        <v>1</v>
      </c>
      <c r="V4119">
        <f>IF(U4119=1,IF(COUNTIFS($C$2:C4119,C4119,$U$2:U4119,1)=1,1,0),0)</f>
        <v>0</v>
      </c>
    </row>
    <row r="4120" spans="1:22" x14ac:dyDescent="0.35">
      <c r="A4120">
        <v>14119</v>
      </c>
      <c r="B4120" s="1">
        <v>48680</v>
      </c>
      <c r="C4120">
        <v>1618</v>
      </c>
      <c r="D4120" t="s">
        <v>67</v>
      </c>
      <c r="E4120" t="s">
        <v>70</v>
      </c>
      <c r="F4120">
        <v>5</v>
      </c>
      <c r="G4120" s="2">
        <v>502.14</v>
      </c>
      <c r="H4120">
        <v>0.25</v>
      </c>
      <c r="I4120" t="s">
        <v>71</v>
      </c>
      <c r="J4120">
        <v>11</v>
      </c>
      <c r="K4120">
        <v>3.3</v>
      </c>
      <c r="L4120" s="2">
        <v>1883.02</v>
      </c>
      <c r="M4120">
        <v>2033</v>
      </c>
      <c r="N4120">
        <v>4</v>
      </c>
      <c r="O4120" t="s">
        <v>215</v>
      </c>
      <c r="P4120" s="2">
        <v>2510.6999999999998</v>
      </c>
      <c r="Q4120" s="2">
        <v>627.67999999999995</v>
      </c>
      <c r="R4120" t="s">
        <v>77</v>
      </c>
      <c r="S4120">
        <v>1</v>
      </c>
      <c r="T4120">
        <v>0</v>
      </c>
      <c r="U4120">
        <f>IF(AND(OR(Dashboard!$D$4="Semua",D4120=Dashboard!$D$4),OR(Dashboard!$H$4="Semua",E4120=Dashboard!$H$4)),1,0)</f>
        <v>1</v>
      </c>
      <c r="V4120">
        <f>IF(U4120=1,IF(COUNTIFS($C$2:C4120,C4120,$U$2:U4120,1)=1,1,0),0)</f>
        <v>0</v>
      </c>
    </row>
    <row r="4121" spans="1:22" x14ac:dyDescent="0.35">
      <c r="A4121">
        <v>14120</v>
      </c>
      <c r="B4121" s="1">
        <v>48681</v>
      </c>
      <c r="C4121">
        <v>1612</v>
      </c>
      <c r="D4121" t="s">
        <v>67</v>
      </c>
      <c r="E4121" t="s">
        <v>74</v>
      </c>
      <c r="F4121">
        <v>1</v>
      </c>
      <c r="G4121" s="2">
        <v>76.55</v>
      </c>
      <c r="H4121">
        <v>0.18</v>
      </c>
      <c r="I4121" t="s">
        <v>68</v>
      </c>
      <c r="J4121">
        <v>8</v>
      </c>
      <c r="K4121">
        <v>2</v>
      </c>
      <c r="L4121" s="2">
        <v>62.77</v>
      </c>
      <c r="M4121">
        <v>2033</v>
      </c>
      <c r="N4121">
        <v>4</v>
      </c>
      <c r="O4121" t="s">
        <v>215</v>
      </c>
      <c r="P4121" s="2">
        <v>76.55</v>
      </c>
      <c r="Q4121" s="2">
        <v>13.78</v>
      </c>
      <c r="R4121" t="s">
        <v>76</v>
      </c>
      <c r="S4121">
        <v>1</v>
      </c>
      <c r="T4121">
        <v>0</v>
      </c>
      <c r="U4121">
        <f>IF(AND(OR(Dashboard!$D$4="Semua",D4121=Dashboard!$D$4),OR(Dashboard!$H$4="Semua",E4121=Dashboard!$H$4)),1,0)</f>
        <v>1</v>
      </c>
      <c r="V4121">
        <f>IF(U4121=1,IF(COUNTIFS($C$2:C4121,C4121,$U$2:U4121,1)=1,1,0),0)</f>
        <v>0</v>
      </c>
    </row>
    <row r="4122" spans="1:22" x14ac:dyDescent="0.35">
      <c r="A4122">
        <v>14121</v>
      </c>
      <c r="B4122" s="1">
        <v>48682</v>
      </c>
      <c r="C4122">
        <v>1259</v>
      </c>
      <c r="D4122" t="s">
        <v>73</v>
      </c>
      <c r="E4122" t="s">
        <v>78</v>
      </c>
      <c r="F4122">
        <v>5</v>
      </c>
      <c r="G4122" s="2">
        <v>97.5</v>
      </c>
      <c r="H4122">
        <v>0.06</v>
      </c>
      <c r="I4122" t="s">
        <v>68</v>
      </c>
      <c r="J4122">
        <v>11</v>
      </c>
      <c r="K4122">
        <v>3.6</v>
      </c>
      <c r="L4122" s="2">
        <v>458.25</v>
      </c>
      <c r="M4122">
        <v>2033</v>
      </c>
      <c r="N4122">
        <v>4</v>
      </c>
      <c r="O4122" t="s">
        <v>215</v>
      </c>
      <c r="P4122" s="2">
        <v>487.5</v>
      </c>
      <c r="Q4122" s="2">
        <v>29.25</v>
      </c>
      <c r="R4122" t="s">
        <v>69</v>
      </c>
      <c r="S4122">
        <v>1</v>
      </c>
      <c r="T4122">
        <v>0</v>
      </c>
      <c r="U4122">
        <f>IF(AND(OR(Dashboard!$D$4="Semua",D4122=Dashboard!$D$4),OR(Dashboard!$H$4="Semua",E4122=Dashboard!$H$4)),1,0)</f>
        <v>1</v>
      </c>
      <c r="V4122">
        <f>IF(U4122=1,IF(COUNTIFS($C$2:C4122,C4122,$U$2:U4122,1)=1,1,0),0)</f>
        <v>0</v>
      </c>
    </row>
    <row r="4123" spans="1:22" x14ac:dyDescent="0.35">
      <c r="A4123">
        <v>14122</v>
      </c>
      <c r="B4123" s="1">
        <v>48683</v>
      </c>
      <c r="C4123">
        <v>1989</v>
      </c>
      <c r="D4123" t="s">
        <v>80</v>
      </c>
      <c r="E4123" t="s">
        <v>74</v>
      </c>
      <c r="F4123">
        <v>5</v>
      </c>
      <c r="G4123" s="2">
        <v>586.73</v>
      </c>
      <c r="H4123">
        <v>0.13</v>
      </c>
      <c r="I4123" t="s">
        <v>68</v>
      </c>
      <c r="J4123">
        <v>8</v>
      </c>
      <c r="K4123">
        <v>1.5</v>
      </c>
      <c r="L4123" s="2">
        <v>2552.2800000000002</v>
      </c>
      <c r="M4123">
        <v>2033</v>
      </c>
      <c r="N4123">
        <v>4</v>
      </c>
      <c r="O4123" t="s">
        <v>215</v>
      </c>
      <c r="P4123" s="2">
        <v>2933.65</v>
      </c>
      <c r="Q4123" s="2">
        <v>381.37</v>
      </c>
      <c r="R4123" t="s">
        <v>79</v>
      </c>
      <c r="S4123">
        <v>1</v>
      </c>
      <c r="T4123">
        <v>0</v>
      </c>
      <c r="U4123">
        <f>IF(AND(OR(Dashboard!$D$4="Semua",D4123=Dashboard!$D$4),OR(Dashboard!$H$4="Semua",E4123=Dashboard!$H$4)),1,0)</f>
        <v>1</v>
      </c>
      <c r="V4123">
        <f>IF(U4123=1,IF(COUNTIFS($C$2:C4123,C4123,$U$2:U4123,1)=1,1,0),0)</f>
        <v>0</v>
      </c>
    </row>
    <row r="4124" spans="1:22" x14ac:dyDescent="0.35">
      <c r="A4124">
        <v>14123</v>
      </c>
      <c r="B4124" s="1">
        <v>48684</v>
      </c>
      <c r="C4124">
        <v>1965</v>
      </c>
      <c r="D4124" t="s">
        <v>73</v>
      </c>
      <c r="E4124" t="s">
        <v>70</v>
      </c>
      <c r="F4124">
        <v>5</v>
      </c>
      <c r="G4124" s="2">
        <v>358.84</v>
      </c>
      <c r="H4124">
        <v>0.2</v>
      </c>
      <c r="I4124" t="s">
        <v>64</v>
      </c>
      <c r="J4124">
        <v>6</v>
      </c>
      <c r="K4124">
        <v>2.2999999999999998</v>
      </c>
      <c r="L4124" s="2">
        <v>1435.36</v>
      </c>
      <c r="M4124">
        <v>2033</v>
      </c>
      <c r="N4124">
        <v>4</v>
      </c>
      <c r="O4124" t="s">
        <v>215</v>
      </c>
      <c r="P4124" s="2">
        <v>1794.2</v>
      </c>
      <c r="Q4124" s="2">
        <v>358.84</v>
      </c>
      <c r="R4124" t="s">
        <v>76</v>
      </c>
      <c r="S4124">
        <v>1</v>
      </c>
      <c r="T4124">
        <v>0</v>
      </c>
      <c r="U4124">
        <f>IF(AND(OR(Dashboard!$D$4="Semua",D4124=Dashboard!$D$4),OR(Dashboard!$H$4="Semua",E4124=Dashboard!$H$4)),1,0)</f>
        <v>1</v>
      </c>
      <c r="V4124">
        <f>IF(U4124=1,IF(COUNTIFS($C$2:C4124,C4124,$U$2:U4124,1)=1,1,0),0)</f>
        <v>0</v>
      </c>
    </row>
    <row r="4125" spans="1:22" x14ac:dyDescent="0.35">
      <c r="A4125">
        <v>14124</v>
      </c>
      <c r="B4125" s="1">
        <v>48685</v>
      </c>
      <c r="C4125">
        <v>1365</v>
      </c>
      <c r="D4125" t="s">
        <v>80</v>
      </c>
      <c r="E4125" t="s">
        <v>74</v>
      </c>
      <c r="F4125">
        <v>1</v>
      </c>
      <c r="G4125" s="2">
        <v>313.22000000000003</v>
      </c>
      <c r="H4125">
        <v>0.25</v>
      </c>
      <c r="I4125" t="s">
        <v>68</v>
      </c>
      <c r="J4125">
        <v>1</v>
      </c>
      <c r="K4125">
        <v>2.6</v>
      </c>
      <c r="L4125" s="2">
        <v>234.92</v>
      </c>
      <c r="M4125">
        <v>2033</v>
      </c>
      <c r="N4125">
        <v>4</v>
      </c>
      <c r="O4125" t="s">
        <v>215</v>
      </c>
      <c r="P4125" s="2">
        <v>313.22000000000003</v>
      </c>
      <c r="Q4125" s="2">
        <v>78.3</v>
      </c>
      <c r="R4125" t="s">
        <v>77</v>
      </c>
      <c r="S4125">
        <v>1</v>
      </c>
      <c r="T4125">
        <v>0</v>
      </c>
      <c r="U4125">
        <f>IF(AND(OR(Dashboard!$D$4="Semua",D4125=Dashboard!$D$4),OR(Dashboard!$H$4="Semua",E4125=Dashboard!$H$4)),1,0)</f>
        <v>1</v>
      </c>
      <c r="V4125">
        <f>IF(U4125=1,IF(COUNTIFS($C$2:C4125,C4125,$U$2:U4125,1)=1,1,0),0)</f>
        <v>0</v>
      </c>
    </row>
    <row r="4126" spans="1:22" x14ac:dyDescent="0.35">
      <c r="A4126">
        <v>14125</v>
      </c>
      <c r="B4126" s="1">
        <v>48686</v>
      </c>
      <c r="C4126">
        <v>1757</v>
      </c>
      <c r="D4126" t="s">
        <v>80</v>
      </c>
      <c r="E4126" t="s">
        <v>78</v>
      </c>
      <c r="F4126">
        <v>5</v>
      </c>
      <c r="G4126" s="2">
        <v>321.05</v>
      </c>
      <c r="H4126">
        <v>0.22</v>
      </c>
      <c r="I4126" t="s">
        <v>68</v>
      </c>
      <c r="J4126">
        <v>2</v>
      </c>
      <c r="K4126">
        <v>4.0999999999999996</v>
      </c>
      <c r="L4126" s="2">
        <v>1252.0999999999999</v>
      </c>
      <c r="M4126">
        <v>2033</v>
      </c>
      <c r="N4126">
        <v>4</v>
      </c>
      <c r="O4126" t="s">
        <v>215</v>
      </c>
      <c r="P4126" s="2">
        <v>1605.25</v>
      </c>
      <c r="Q4126" s="2">
        <v>353.15</v>
      </c>
      <c r="R4126" t="s">
        <v>77</v>
      </c>
      <c r="S4126">
        <v>1</v>
      </c>
      <c r="T4126">
        <v>0</v>
      </c>
      <c r="U4126">
        <f>IF(AND(OR(Dashboard!$D$4="Semua",D4126=Dashboard!$D$4),OR(Dashboard!$H$4="Semua",E4126=Dashboard!$H$4)),1,0)</f>
        <v>1</v>
      </c>
      <c r="V4126">
        <f>IF(U4126=1,IF(COUNTIFS($C$2:C4126,C4126,$U$2:U4126,1)=1,1,0),0)</f>
        <v>0</v>
      </c>
    </row>
    <row r="4127" spans="1:22" x14ac:dyDescent="0.35">
      <c r="A4127">
        <v>14126</v>
      </c>
      <c r="B4127" s="1">
        <v>48687</v>
      </c>
      <c r="C4127">
        <v>1786</v>
      </c>
      <c r="D4127" t="s">
        <v>67</v>
      </c>
      <c r="E4127" t="s">
        <v>63</v>
      </c>
      <c r="F4127">
        <v>3</v>
      </c>
      <c r="G4127" s="2">
        <v>140.93</v>
      </c>
      <c r="H4127">
        <v>0.25</v>
      </c>
      <c r="I4127" t="s">
        <v>71</v>
      </c>
      <c r="J4127">
        <v>4</v>
      </c>
      <c r="K4127">
        <v>2.2000000000000002</v>
      </c>
      <c r="L4127" s="2">
        <v>317.08999999999997</v>
      </c>
      <c r="M4127">
        <v>2033</v>
      </c>
      <c r="N4127">
        <v>4</v>
      </c>
      <c r="O4127" t="s">
        <v>215</v>
      </c>
      <c r="P4127" s="2">
        <v>422.79</v>
      </c>
      <c r="Q4127" s="2">
        <v>105.7</v>
      </c>
      <c r="R4127" t="s">
        <v>77</v>
      </c>
      <c r="S4127">
        <v>1</v>
      </c>
      <c r="T4127">
        <v>0</v>
      </c>
      <c r="U4127">
        <f>IF(AND(OR(Dashboard!$D$4="Semua",D4127=Dashboard!$D$4),OR(Dashboard!$H$4="Semua",E4127=Dashboard!$H$4)),1,0)</f>
        <v>1</v>
      </c>
      <c r="V4127">
        <f>IF(U4127=1,IF(COUNTIFS($C$2:C4127,C4127,$U$2:U4127,1)=1,1,0),0)</f>
        <v>0</v>
      </c>
    </row>
    <row r="4128" spans="1:22" x14ac:dyDescent="0.35">
      <c r="A4128">
        <v>14127</v>
      </c>
      <c r="B4128" s="1">
        <v>48688</v>
      </c>
      <c r="C4128">
        <v>1543</v>
      </c>
      <c r="D4128" t="s">
        <v>80</v>
      </c>
      <c r="E4128" t="s">
        <v>70</v>
      </c>
      <c r="F4128">
        <v>6</v>
      </c>
      <c r="G4128" s="2">
        <v>435.44</v>
      </c>
      <c r="H4128">
        <v>0.15</v>
      </c>
      <c r="I4128" t="s">
        <v>71</v>
      </c>
      <c r="J4128">
        <v>4</v>
      </c>
      <c r="K4128">
        <v>1.2</v>
      </c>
      <c r="L4128" s="2">
        <v>2220.7399999999998</v>
      </c>
      <c r="M4128">
        <v>2033</v>
      </c>
      <c r="N4128">
        <v>4</v>
      </c>
      <c r="O4128" t="s">
        <v>215</v>
      </c>
      <c r="P4128" s="2">
        <v>2612.64</v>
      </c>
      <c r="Q4128" s="2">
        <v>391.9</v>
      </c>
      <c r="R4128" t="s">
        <v>79</v>
      </c>
      <c r="S4128">
        <v>1</v>
      </c>
      <c r="T4128">
        <v>0</v>
      </c>
      <c r="U4128">
        <f>IF(AND(OR(Dashboard!$D$4="Semua",D4128=Dashboard!$D$4),OR(Dashboard!$H$4="Semua",E4128=Dashboard!$H$4)),1,0)</f>
        <v>1</v>
      </c>
      <c r="V4128">
        <f>IF(U4128=1,IF(COUNTIFS($C$2:C4128,C4128,$U$2:U4128,1)=1,1,0),0)</f>
        <v>0</v>
      </c>
    </row>
    <row r="4129" spans="1:22" x14ac:dyDescent="0.35">
      <c r="A4129">
        <v>14128</v>
      </c>
      <c r="B4129" s="1">
        <v>48689</v>
      </c>
      <c r="C4129">
        <v>1648</v>
      </c>
      <c r="D4129" t="s">
        <v>80</v>
      </c>
      <c r="E4129" t="s">
        <v>63</v>
      </c>
      <c r="F4129">
        <v>1</v>
      </c>
      <c r="G4129" s="2">
        <v>64.599999999999994</v>
      </c>
      <c r="H4129">
        <v>0.25</v>
      </c>
      <c r="I4129" t="s">
        <v>71</v>
      </c>
      <c r="J4129">
        <v>2</v>
      </c>
      <c r="K4129">
        <v>1.7</v>
      </c>
      <c r="L4129" s="2">
        <v>48.45</v>
      </c>
      <c r="M4129">
        <v>2033</v>
      </c>
      <c r="N4129">
        <v>4</v>
      </c>
      <c r="O4129" t="s">
        <v>215</v>
      </c>
      <c r="P4129" s="2">
        <v>64.599999999999994</v>
      </c>
      <c r="Q4129" s="2">
        <v>16.149999999999999</v>
      </c>
      <c r="R4129" t="s">
        <v>77</v>
      </c>
      <c r="S4129">
        <v>1</v>
      </c>
      <c r="T4129">
        <v>0</v>
      </c>
      <c r="U4129">
        <f>IF(AND(OR(Dashboard!$D$4="Semua",D4129=Dashboard!$D$4),OR(Dashboard!$H$4="Semua",E4129=Dashboard!$H$4)),1,0)</f>
        <v>1</v>
      </c>
      <c r="V4129">
        <f>IF(U4129=1,IF(COUNTIFS($C$2:C4129,C4129,$U$2:U4129,1)=1,1,0),0)</f>
        <v>0</v>
      </c>
    </row>
    <row r="4130" spans="1:22" x14ac:dyDescent="0.35">
      <c r="A4130">
        <v>14129</v>
      </c>
      <c r="B4130" s="1">
        <v>48690</v>
      </c>
      <c r="C4130">
        <v>1523</v>
      </c>
      <c r="D4130" t="s">
        <v>67</v>
      </c>
      <c r="E4130" t="s">
        <v>70</v>
      </c>
      <c r="F4130">
        <v>2</v>
      </c>
      <c r="G4130" s="2">
        <v>350.39</v>
      </c>
      <c r="H4130">
        <v>0.05</v>
      </c>
      <c r="I4130" t="s">
        <v>71</v>
      </c>
      <c r="J4130">
        <v>9</v>
      </c>
      <c r="K4130">
        <v>3.4</v>
      </c>
      <c r="L4130" s="2">
        <v>665.74</v>
      </c>
      <c r="M4130">
        <v>2033</v>
      </c>
      <c r="N4130">
        <v>4</v>
      </c>
      <c r="O4130" t="s">
        <v>215</v>
      </c>
      <c r="P4130" s="2">
        <v>700.78</v>
      </c>
      <c r="Q4130" s="2">
        <v>35.04</v>
      </c>
      <c r="R4130" t="s">
        <v>75</v>
      </c>
      <c r="S4130">
        <v>1</v>
      </c>
      <c r="T4130">
        <v>0</v>
      </c>
      <c r="U4130">
        <f>IF(AND(OR(Dashboard!$D$4="Semua",D4130=Dashboard!$D$4),OR(Dashboard!$H$4="Semua",E4130=Dashboard!$H$4)),1,0)</f>
        <v>1</v>
      </c>
      <c r="V4130">
        <f>IF(U4130=1,IF(COUNTIFS($C$2:C4130,C4130,$U$2:U4130,1)=1,1,0),0)</f>
        <v>0</v>
      </c>
    </row>
    <row r="4131" spans="1:22" x14ac:dyDescent="0.35">
      <c r="A4131">
        <v>14130</v>
      </c>
      <c r="B4131" s="1">
        <v>48691</v>
      </c>
      <c r="C4131">
        <v>1906</v>
      </c>
      <c r="D4131" t="s">
        <v>80</v>
      </c>
      <c r="E4131" t="s">
        <v>78</v>
      </c>
      <c r="F4131">
        <v>5</v>
      </c>
      <c r="G4131" s="2">
        <v>348.9</v>
      </c>
      <c r="H4131">
        <v>0.06</v>
      </c>
      <c r="I4131" t="s">
        <v>68</v>
      </c>
      <c r="J4131">
        <v>2</v>
      </c>
      <c r="K4131">
        <v>1.1000000000000001</v>
      </c>
      <c r="L4131" s="2">
        <v>1639.83</v>
      </c>
      <c r="M4131">
        <v>2033</v>
      </c>
      <c r="N4131">
        <v>4</v>
      </c>
      <c r="O4131" t="s">
        <v>215</v>
      </c>
      <c r="P4131" s="2">
        <v>1744.5</v>
      </c>
      <c r="Q4131" s="2">
        <v>104.67</v>
      </c>
      <c r="R4131" t="s">
        <v>69</v>
      </c>
      <c r="S4131">
        <v>1</v>
      </c>
      <c r="T4131">
        <v>0</v>
      </c>
      <c r="U4131">
        <f>IF(AND(OR(Dashboard!$D$4="Semua",D4131=Dashboard!$D$4),OR(Dashboard!$H$4="Semua",E4131=Dashboard!$H$4)),1,0)</f>
        <v>1</v>
      </c>
      <c r="V4131">
        <f>IF(U4131=1,IF(COUNTIFS($C$2:C4131,C4131,$U$2:U4131,1)=1,1,0),0)</f>
        <v>0</v>
      </c>
    </row>
    <row r="4132" spans="1:22" x14ac:dyDescent="0.35">
      <c r="A4132">
        <v>14131</v>
      </c>
      <c r="B4132" s="1">
        <v>48692</v>
      </c>
      <c r="C4132">
        <v>1813</v>
      </c>
      <c r="D4132" t="s">
        <v>73</v>
      </c>
      <c r="E4132" t="s">
        <v>70</v>
      </c>
      <c r="F4132">
        <v>4</v>
      </c>
      <c r="G4132" s="2">
        <v>549.79999999999995</v>
      </c>
      <c r="H4132">
        <v>0.06</v>
      </c>
      <c r="I4132" t="s">
        <v>68</v>
      </c>
      <c r="J4132">
        <v>6</v>
      </c>
      <c r="K4132">
        <v>4.2</v>
      </c>
      <c r="L4132" s="2">
        <v>2067.25</v>
      </c>
      <c r="M4132">
        <v>2033</v>
      </c>
      <c r="N4132">
        <v>4</v>
      </c>
      <c r="O4132" t="s">
        <v>215</v>
      </c>
      <c r="P4132" s="2">
        <v>2199.1999999999998</v>
      </c>
      <c r="Q4132" s="2">
        <v>131.94999999999999</v>
      </c>
      <c r="R4132" t="s">
        <v>69</v>
      </c>
      <c r="S4132">
        <v>1</v>
      </c>
      <c r="T4132">
        <v>0</v>
      </c>
      <c r="U4132">
        <f>IF(AND(OR(Dashboard!$D$4="Semua",D4132=Dashboard!$D$4),OR(Dashboard!$H$4="Semua",E4132=Dashboard!$H$4)),1,0)</f>
        <v>1</v>
      </c>
      <c r="V4132">
        <f>IF(U4132=1,IF(COUNTIFS($C$2:C4132,C4132,$U$2:U4132,1)=1,1,0),0)</f>
        <v>0</v>
      </c>
    </row>
    <row r="4133" spans="1:22" x14ac:dyDescent="0.35">
      <c r="A4133">
        <v>14132</v>
      </c>
      <c r="B4133" s="1">
        <v>48693</v>
      </c>
      <c r="C4133">
        <v>1886</v>
      </c>
      <c r="D4133" t="s">
        <v>67</v>
      </c>
      <c r="E4133" t="s">
        <v>63</v>
      </c>
      <c r="F4133">
        <v>1</v>
      </c>
      <c r="G4133" s="2">
        <v>322.82</v>
      </c>
      <c r="H4133">
        <v>0.31</v>
      </c>
      <c r="I4133" t="s">
        <v>71</v>
      </c>
      <c r="J4133">
        <v>5</v>
      </c>
      <c r="K4133">
        <v>4.5999999999999996</v>
      </c>
      <c r="L4133" s="2">
        <v>222.75</v>
      </c>
      <c r="M4133">
        <v>2033</v>
      </c>
      <c r="N4133">
        <v>4</v>
      </c>
      <c r="O4133" t="s">
        <v>215</v>
      </c>
      <c r="P4133" s="2">
        <v>322.82</v>
      </c>
      <c r="Q4133" s="2">
        <v>100.07</v>
      </c>
      <c r="R4133" t="s">
        <v>72</v>
      </c>
      <c r="S4133">
        <v>1</v>
      </c>
      <c r="T4133">
        <v>0</v>
      </c>
      <c r="U4133">
        <f>IF(AND(OR(Dashboard!$D$4="Semua",D4133=Dashboard!$D$4),OR(Dashboard!$H$4="Semua",E4133=Dashboard!$H$4)),1,0)</f>
        <v>1</v>
      </c>
      <c r="V4133">
        <f>IF(U4133=1,IF(COUNTIFS($C$2:C4133,C4133,$U$2:U4133,1)=1,1,0),0)</f>
        <v>0</v>
      </c>
    </row>
    <row r="4134" spans="1:22" x14ac:dyDescent="0.35">
      <c r="A4134">
        <v>14133</v>
      </c>
      <c r="B4134" s="1">
        <v>48694</v>
      </c>
      <c r="C4134">
        <v>1015</v>
      </c>
      <c r="D4134" t="s">
        <v>80</v>
      </c>
      <c r="E4134" t="s">
        <v>70</v>
      </c>
      <c r="F4134">
        <v>7</v>
      </c>
      <c r="G4134" s="2">
        <v>95.18</v>
      </c>
      <c r="H4134">
        <v>0.03</v>
      </c>
      <c r="I4134" t="s">
        <v>64</v>
      </c>
      <c r="J4134">
        <v>4</v>
      </c>
      <c r="K4134">
        <v>3</v>
      </c>
      <c r="L4134" s="2">
        <v>646.27</v>
      </c>
      <c r="M4134">
        <v>2033</v>
      </c>
      <c r="N4134">
        <v>4</v>
      </c>
      <c r="O4134" t="s">
        <v>215</v>
      </c>
      <c r="P4134" s="2">
        <v>666.26</v>
      </c>
      <c r="Q4134" s="2">
        <v>19.989999999999998</v>
      </c>
      <c r="R4134" t="s">
        <v>75</v>
      </c>
      <c r="S4134">
        <v>1</v>
      </c>
      <c r="T4134">
        <v>0</v>
      </c>
      <c r="U4134">
        <f>IF(AND(OR(Dashboard!$D$4="Semua",D4134=Dashboard!$D$4),OR(Dashboard!$H$4="Semua",E4134=Dashboard!$H$4)),1,0)</f>
        <v>1</v>
      </c>
      <c r="V4134">
        <f>IF(U4134=1,IF(COUNTIFS($C$2:C4134,C4134,$U$2:U4134,1)=1,1,0),0)</f>
        <v>0</v>
      </c>
    </row>
    <row r="4135" spans="1:22" x14ac:dyDescent="0.35">
      <c r="A4135">
        <v>14134</v>
      </c>
      <c r="B4135" s="1">
        <v>48695</v>
      </c>
      <c r="C4135">
        <v>1128</v>
      </c>
      <c r="D4135" t="s">
        <v>67</v>
      </c>
      <c r="E4135" t="s">
        <v>78</v>
      </c>
      <c r="F4135">
        <v>2</v>
      </c>
      <c r="G4135" s="2">
        <v>350.06</v>
      </c>
      <c r="H4135">
        <v>0.28000000000000003</v>
      </c>
      <c r="I4135" t="s">
        <v>71</v>
      </c>
      <c r="J4135">
        <v>6</v>
      </c>
      <c r="K4135">
        <v>3.8</v>
      </c>
      <c r="L4135" s="2">
        <v>504.09</v>
      </c>
      <c r="M4135">
        <v>2033</v>
      </c>
      <c r="N4135">
        <v>4</v>
      </c>
      <c r="O4135" t="s">
        <v>215</v>
      </c>
      <c r="P4135" s="2">
        <v>700.12</v>
      </c>
      <c r="Q4135" s="2">
        <v>196.03</v>
      </c>
      <c r="R4135" t="s">
        <v>66</v>
      </c>
      <c r="S4135">
        <v>1</v>
      </c>
      <c r="T4135">
        <v>0</v>
      </c>
      <c r="U4135">
        <f>IF(AND(OR(Dashboard!$D$4="Semua",D4135=Dashboard!$D$4),OR(Dashboard!$H$4="Semua",E4135=Dashboard!$H$4)),1,0)</f>
        <v>1</v>
      </c>
      <c r="V4135">
        <f>IF(U4135=1,IF(COUNTIFS($C$2:C4135,C4135,$U$2:U4135,1)=1,1,0),0)</f>
        <v>0</v>
      </c>
    </row>
    <row r="4136" spans="1:22" x14ac:dyDescent="0.35">
      <c r="A4136">
        <v>14135</v>
      </c>
      <c r="B4136" s="1">
        <v>48696</v>
      </c>
      <c r="C4136">
        <v>1574</v>
      </c>
      <c r="D4136" t="s">
        <v>73</v>
      </c>
      <c r="E4136" t="s">
        <v>70</v>
      </c>
      <c r="F4136">
        <v>6</v>
      </c>
      <c r="G4136" s="2">
        <v>68.430000000000007</v>
      </c>
      <c r="H4136">
        <v>0.08</v>
      </c>
      <c r="I4136" t="s">
        <v>68</v>
      </c>
      <c r="J4136">
        <v>4</v>
      </c>
      <c r="K4136">
        <v>2.9</v>
      </c>
      <c r="L4136" s="2">
        <v>377.73</v>
      </c>
      <c r="M4136">
        <v>2033</v>
      </c>
      <c r="N4136">
        <v>4</v>
      </c>
      <c r="O4136" t="s">
        <v>215</v>
      </c>
      <c r="P4136" s="2">
        <v>410.58</v>
      </c>
      <c r="Q4136" s="2">
        <v>32.85</v>
      </c>
      <c r="R4136" t="s">
        <v>69</v>
      </c>
      <c r="S4136">
        <v>1</v>
      </c>
      <c r="T4136">
        <v>0</v>
      </c>
      <c r="U4136">
        <f>IF(AND(OR(Dashboard!$D$4="Semua",D4136=Dashboard!$D$4),OR(Dashboard!$H$4="Semua",E4136=Dashboard!$H$4)),1,0)</f>
        <v>1</v>
      </c>
      <c r="V4136">
        <f>IF(U4136=1,IF(COUNTIFS($C$2:C4136,C4136,$U$2:U4136,1)=1,1,0),0)</f>
        <v>0</v>
      </c>
    </row>
    <row r="4137" spans="1:22" x14ac:dyDescent="0.35">
      <c r="A4137">
        <v>14136</v>
      </c>
      <c r="B4137" s="1">
        <v>48697</v>
      </c>
      <c r="C4137">
        <v>1108</v>
      </c>
      <c r="D4137" t="s">
        <v>67</v>
      </c>
      <c r="E4137" t="s">
        <v>63</v>
      </c>
      <c r="F4137">
        <v>3</v>
      </c>
      <c r="G4137" s="2">
        <v>134.22</v>
      </c>
      <c r="H4137">
        <v>0.16</v>
      </c>
      <c r="I4137" t="s">
        <v>68</v>
      </c>
      <c r="J4137">
        <v>9</v>
      </c>
      <c r="K4137">
        <v>2.2000000000000002</v>
      </c>
      <c r="L4137" s="2">
        <v>338.23</v>
      </c>
      <c r="M4137">
        <v>2033</v>
      </c>
      <c r="N4137">
        <v>4</v>
      </c>
      <c r="O4137" t="s">
        <v>215</v>
      </c>
      <c r="P4137" s="2">
        <v>402.66</v>
      </c>
      <c r="Q4137" s="2">
        <v>64.430000000000007</v>
      </c>
      <c r="R4137" t="s">
        <v>76</v>
      </c>
      <c r="S4137">
        <v>1</v>
      </c>
      <c r="T4137">
        <v>0</v>
      </c>
      <c r="U4137">
        <f>IF(AND(OR(Dashboard!$D$4="Semua",D4137=Dashboard!$D$4),OR(Dashboard!$H$4="Semua",E4137=Dashboard!$H$4)),1,0)</f>
        <v>1</v>
      </c>
      <c r="V4137">
        <f>IF(U4137=1,IF(COUNTIFS($C$2:C4137,C4137,$U$2:U4137,1)=1,1,0),0)</f>
        <v>0</v>
      </c>
    </row>
    <row r="4138" spans="1:22" x14ac:dyDescent="0.35">
      <c r="A4138">
        <v>14137</v>
      </c>
      <c r="B4138" s="1">
        <v>48698</v>
      </c>
      <c r="C4138">
        <v>1886</v>
      </c>
      <c r="D4138" t="s">
        <v>80</v>
      </c>
      <c r="E4138" t="s">
        <v>78</v>
      </c>
      <c r="F4138">
        <v>7</v>
      </c>
      <c r="G4138" s="2">
        <v>33.200000000000003</v>
      </c>
      <c r="H4138">
        <v>0.32</v>
      </c>
      <c r="I4138" t="s">
        <v>68</v>
      </c>
      <c r="J4138">
        <v>11</v>
      </c>
      <c r="K4138">
        <v>1.7</v>
      </c>
      <c r="L4138" s="2">
        <v>158.03</v>
      </c>
      <c r="M4138">
        <v>2033</v>
      </c>
      <c r="N4138">
        <v>4</v>
      </c>
      <c r="O4138" t="s">
        <v>215</v>
      </c>
      <c r="P4138" s="2">
        <v>232.4</v>
      </c>
      <c r="Q4138" s="2">
        <v>74.37</v>
      </c>
      <c r="R4138" t="s">
        <v>72</v>
      </c>
      <c r="S4138">
        <v>1</v>
      </c>
      <c r="T4138">
        <v>0</v>
      </c>
      <c r="U4138">
        <f>IF(AND(OR(Dashboard!$D$4="Semua",D4138=Dashboard!$D$4),OR(Dashboard!$H$4="Semua",E4138=Dashboard!$H$4)),1,0)</f>
        <v>1</v>
      </c>
      <c r="V4138">
        <f>IF(U4138=1,IF(COUNTIFS($C$2:C4138,C4138,$U$2:U4138,1)=1,1,0),0)</f>
        <v>0</v>
      </c>
    </row>
    <row r="4139" spans="1:22" x14ac:dyDescent="0.35">
      <c r="A4139">
        <v>14138</v>
      </c>
      <c r="B4139" s="1">
        <v>48699</v>
      </c>
      <c r="C4139">
        <v>1532</v>
      </c>
      <c r="D4139" t="s">
        <v>62</v>
      </c>
      <c r="E4139" t="s">
        <v>63</v>
      </c>
      <c r="F4139">
        <v>2</v>
      </c>
      <c r="G4139" s="2">
        <v>315.27999999999997</v>
      </c>
      <c r="H4139">
        <v>0.21</v>
      </c>
      <c r="I4139" t="s">
        <v>71</v>
      </c>
      <c r="J4139">
        <v>10</v>
      </c>
      <c r="K4139">
        <v>3.1</v>
      </c>
      <c r="L4139" s="2">
        <v>498.14</v>
      </c>
      <c r="M4139">
        <v>2033</v>
      </c>
      <c r="N4139">
        <v>4</v>
      </c>
      <c r="O4139" t="s">
        <v>215</v>
      </c>
      <c r="P4139" s="2">
        <v>630.55999999999995</v>
      </c>
      <c r="Q4139" s="2">
        <v>132.41999999999999</v>
      </c>
      <c r="R4139" t="s">
        <v>77</v>
      </c>
      <c r="S4139">
        <v>1</v>
      </c>
      <c r="T4139">
        <v>0</v>
      </c>
      <c r="U4139">
        <f>IF(AND(OR(Dashboard!$D$4="Semua",D4139=Dashboard!$D$4),OR(Dashboard!$H$4="Semua",E4139=Dashboard!$H$4)),1,0)</f>
        <v>1</v>
      </c>
      <c r="V4139">
        <f>IF(U4139=1,IF(COUNTIFS($C$2:C4139,C4139,$U$2:U4139,1)=1,1,0),0)</f>
        <v>0</v>
      </c>
    </row>
    <row r="4140" spans="1:22" x14ac:dyDescent="0.35">
      <c r="A4140">
        <v>14139</v>
      </c>
      <c r="B4140" s="1">
        <v>48700</v>
      </c>
      <c r="C4140">
        <v>1669</v>
      </c>
      <c r="D4140" t="s">
        <v>67</v>
      </c>
      <c r="E4140" t="s">
        <v>70</v>
      </c>
      <c r="F4140">
        <v>5</v>
      </c>
      <c r="G4140" s="2">
        <v>64.45</v>
      </c>
      <c r="H4140">
        <v>7.0000000000000007E-2</v>
      </c>
      <c r="I4140" t="s">
        <v>68</v>
      </c>
      <c r="J4140">
        <v>7</v>
      </c>
      <c r="K4140">
        <v>4.7</v>
      </c>
      <c r="L4140" s="2">
        <v>299.69</v>
      </c>
      <c r="M4140">
        <v>2033</v>
      </c>
      <c r="N4140">
        <v>5</v>
      </c>
      <c r="O4140" t="s">
        <v>216</v>
      </c>
      <c r="P4140" s="2">
        <v>322.25</v>
      </c>
      <c r="Q4140" s="2">
        <v>22.56</v>
      </c>
      <c r="R4140" t="s">
        <v>69</v>
      </c>
      <c r="S4140">
        <v>1</v>
      </c>
      <c r="T4140">
        <v>0</v>
      </c>
      <c r="U4140">
        <f>IF(AND(OR(Dashboard!$D$4="Semua",D4140=Dashboard!$D$4),OR(Dashboard!$H$4="Semua",E4140=Dashboard!$H$4)),1,0)</f>
        <v>1</v>
      </c>
      <c r="V4140">
        <f>IF(U4140=1,IF(COUNTIFS($C$2:C4140,C4140,$U$2:U4140,1)=1,1,0),0)</f>
        <v>0</v>
      </c>
    </row>
    <row r="4141" spans="1:22" x14ac:dyDescent="0.35">
      <c r="A4141">
        <v>14140</v>
      </c>
      <c r="B4141" s="1">
        <v>48701</v>
      </c>
      <c r="C4141">
        <v>1268</v>
      </c>
      <c r="D4141" t="s">
        <v>80</v>
      </c>
      <c r="E4141" t="s">
        <v>74</v>
      </c>
      <c r="F4141">
        <v>4</v>
      </c>
      <c r="G4141" s="2">
        <v>289.60000000000002</v>
      </c>
      <c r="H4141">
        <v>0.1</v>
      </c>
      <c r="I4141" t="s">
        <v>68</v>
      </c>
      <c r="J4141">
        <v>3</v>
      </c>
      <c r="K4141">
        <v>4.5999999999999996</v>
      </c>
      <c r="L4141" s="2">
        <v>1042.56</v>
      </c>
      <c r="M4141">
        <v>2033</v>
      </c>
      <c r="N4141">
        <v>5</v>
      </c>
      <c r="O4141" t="s">
        <v>216</v>
      </c>
      <c r="P4141" s="2">
        <v>1158.4000000000001</v>
      </c>
      <c r="Q4141" s="2">
        <v>115.84</v>
      </c>
      <c r="R4141" t="s">
        <v>69</v>
      </c>
      <c r="S4141">
        <v>1</v>
      </c>
      <c r="T4141">
        <v>0</v>
      </c>
      <c r="U4141">
        <f>IF(AND(OR(Dashboard!$D$4="Semua",D4141=Dashboard!$D$4),OR(Dashboard!$H$4="Semua",E4141=Dashboard!$H$4)),1,0)</f>
        <v>1</v>
      </c>
      <c r="V4141">
        <f>IF(U4141=1,IF(COUNTIFS($C$2:C4141,C4141,$U$2:U4141,1)=1,1,0),0)</f>
        <v>0</v>
      </c>
    </row>
    <row r="4142" spans="1:22" x14ac:dyDescent="0.35">
      <c r="A4142">
        <v>14141</v>
      </c>
      <c r="B4142" s="1">
        <v>48702</v>
      </c>
      <c r="C4142">
        <v>1161</v>
      </c>
      <c r="D4142" t="s">
        <v>62</v>
      </c>
      <c r="E4142" t="s">
        <v>63</v>
      </c>
      <c r="F4142">
        <v>5</v>
      </c>
      <c r="G4142" s="2">
        <v>560.77</v>
      </c>
      <c r="H4142">
        <v>0.32</v>
      </c>
      <c r="I4142" t="s">
        <v>68</v>
      </c>
      <c r="J4142">
        <v>10</v>
      </c>
      <c r="K4142">
        <v>4.7</v>
      </c>
      <c r="L4142" s="2">
        <v>1906.62</v>
      </c>
      <c r="M4142">
        <v>2033</v>
      </c>
      <c r="N4142">
        <v>5</v>
      </c>
      <c r="O4142" t="s">
        <v>216</v>
      </c>
      <c r="P4142" s="2">
        <v>2803.85</v>
      </c>
      <c r="Q4142" s="2">
        <v>897.23</v>
      </c>
      <c r="R4142" t="s">
        <v>72</v>
      </c>
      <c r="S4142">
        <v>1</v>
      </c>
      <c r="T4142">
        <v>0</v>
      </c>
      <c r="U4142">
        <f>IF(AND(OR(Dashboard!$D$4="Semua",D4142=Dashboard!$D$4),OR(Dashboard!$H$4="Semua",E4142=Dashboard!$H$4)),1,0)</f>
        <v>1</v>
      </c>
      <c r="V4142">
        <f>IF(U4142=1,IF(COUNTIFS($C$2:C4142,C4142,$U$2:U4142,1)=1,1,0),0)</f>
        <v>0</v>
      </c>
    </row>
    <row r="4143" spans="1:22" x14ac:dyDescent="0.35">
      <c r="A4143">
        <v>14142</v>
      </c>
      <c r="B4143" s="1">
        <v>48703</v>
      </c>
      <c r="C4143">
        <v>1259</v>
      </c>
      <c r="D4143" t="s">
        <v>73</v>
      </c>
      <c r="E4143" t="s">
        <v>70</v>
      </c>
      <c r="F4143">
        <v>2</v>
      </c>
      <c r="G4143" s="2">
        <v>436.06</v>
      </c>
      <c r="H4143">
        <v>0.15</v>
      </c>
      <c r="I4143" t="s">
        <v>71</v>
      </c>
      <c r="J4143">
        <v>4</v>
      </c>
      <c r="K4143">
        <v>4.9000000000000004</v>
      </c>
      <c r="L4143" s="2">
        <v>741.3</v>
      </c>
      <c r="M4143">
        <v>2033</v>
      </c>
      <c r="N4143">
        <v>5</v>
      </c>
      <c r="O4143" t="s">
        <v>216</v>
      </c>
      <c r="P4143" s="2">
        <v>872.12</v>
      </c>
      <c r="Q4143" s="2">
        <v>130.82</v>
      </c>
      <c r="R4143" t="s">
        <v>79</v>
      </c>
      <c r="S4143">
        <v>1</v>
      </c>
      <c r="T4143">
        <v>0</v>
      </c>
      <c r="U4143">
        <f>IF(AND(OR(Dashboard!$D$4="Semua",D4143=Dashboard!$D$4),OR(Dashboard!$H$4="Semua",E4143=Dashboard!$H$4)),1,0)</f>
        <v>1</v>
      </c>
      <c r="V4143">
        <f>IF(U4143=1,IF(COUNTIFS($C$2:C4143,C4143,$U$2:U4143,1)=1,1,0),0)</f>
        <v>0</v>
      </c>
    </row>
    <row r="4144" spans="1:22" x14ac:dyDescent="0.35">
      <c r="A4144">
        <v>14143</v>
      </c>
      <c r="B4144" s="1">
        <v>48704</v>
      </c>
      <c r="C4144">
        <v>1923</v>
      </c>
      <c r="D4144" t="s">
        <v>73</v>
      </c>
      <c r="E4144" t="s">
        <v>74</v>
      </c>
      <c r="F4144">
        <v>1</v>
      </c>
      <c r="G4144" s="2">
        <v>60.29</v>
      </c>
      <c r="H4144">
        <v>0.21</v>
      </c>
      <c r="I4144" t="s">
        <v>68</v>
      </c>
      <c r="J4144">
        <v>1</v>
      </c>
      <c r="K4144">
        <v>1.7</v>
      </c>
      <c r="L4144" s="2">
        <v>47.63</v>
      </c>
      <c r="M4144">
        <v>2033</v>
      </c>
      <c r="N4144">
        <v>5</v>
      </c>
      <c r="O4144" t="s">
        <v>216</v>
      </c>
      <c r="P4144" s="2">
        <v>60.29</v>
      </c>
      <c r="Q4144" s="2">
        <v>12.66</v>
      </c>
      <c r="R4144" t="s">
        <v>77</v>
      </c>
      <c r="S4144">
        <v>1</v>
      </c>
      <c r="T4144">
        <v>0</v>
      </c>
      <c r="U4144">
        <f>IF(AND(OR(Dashboard!$D$4="Semua",D4144=Dashboard!$D$4),OR(Dashboard!$H$4="Semua",E4144=Dashboard!$H$4)),1,0)</f>
        <v>1</v>
      </c>
      <c r="V4144">
        <f>IF(U4144=1,IF(COUNTIFS($C$2:C4144,C4144,$U$2:U4144,1)=1,1,0),0)</f>
        <v>0</v>
      </c>
    </row>
    <row r="4145" spans="1:22" x14ac:dyDescent="0.35">
      <c r="A4145">
        <v>14144</v>
      </c>
      <c r="B4145" s="1">
        <v>48705</v>
      </c>
      <c r="C4145">
        <v>1101</v>
      </c>
      <c r="D4145" t="s">
        <v>80</v>
      </c>
      <c r="E4145" t="s">
        <v>74</v>
      </c>
      <c r="F4145">
        <v>7</v>
      </c>
      <c r="G4145" s="2">
        <v>146.16</v>
      </c>
      <c r="H4145">
        <v>0.16</v>
      </c>
      <c r="I4145" t="s">
        <v>71</v>
      </c>
      <c r="J4145">
        <v>6</v>
      </c>
      <c r="K4145">
        <v>1.6</v>
      </c>
      <c r="L4145" s="2">
        <v>859.42</v>
      </c>
      <c r="M4145">
        <v>2033</v>
      </c>
      <c r="N4145">
        <v>5</v>
      </c>
      <c r="O4145" t="s">
        <v>216</v>
      </c>
      <c r="P4145" s="2">
        <v>1023.12</v>
      </c>
      <c r="Q4145" s="2">
        <v>163.69999999999999</v>
      </c>
      <c r="R4145" t="s">
        <v>76</v>
      </c>
      <c r="S4145">
        <v>1</v>
      </c>
      <c r="T4145">
        <v>0</v>
      </c>
      <c r="U4145">
        <f>IF(AND(OR(Dashboard!$D$4="Semua",D4145=Dashboard!$D$4),OR(Dashboard!$H$4="Semua",E4145=Dashboard!$H$4)),1,0)</f>
        <v>1</v>
      </c>
      <c r="V4145">
        <f>IF(U4145=1,IF(COUNTIFS($C$2:C4145,C4145,$U$2:U4145,1)=1,1,0),0)</f>
        <v>0</v>
      </c>
    </row>
    <row r="4146" spans="1:22" x14ac:dyDescent="0.35">
      <c r="A4146">
        <v>14145</v>
      </c>
      <c r="B4146" s="1">
        <v>48706</v>
      </c>
      <c r="C4146">
        <v>1505</v>
      </c>
      <c r="D4146" t="s">
        <v>80</v>
      </c>
      <c r="E4146" t="s">
        <v>78</v>
      </c>
      <c r="F4146">
        <v>4</v>
      </c>
      <c r="G4146" s="2">
        <v>409.09</v>
      </c>
      <c r="H4146">
        <v>0.13</v>
      </c>
      <c r="I4146" t="s">
        <v>71</v>
      </c>
      <c r="J4146">
        <v>2</v>
      </c>
      <c r="K4146">
        <v>2.7</v>
      </c>
      <c r="L4146" s="2">
        <v>1423.63</v>
      </c>
      <c r="M4146">
        <v>2033</v>
      </c>
      <c r="N4146">
        <v>5</v>
      </c>
      <c r="O4146" t="s">
        <v>216</v>
      </c>
      <c r="P4146" s="2">
        <v>1636.36</v>
      </c>
      <c r="Q4146" s="2">
        <v>212.73</v>
      </c>
      <c r="R4146" t="s">
        <v>79</v>
      </c>
      <c r="S4146">
        <v>1</v>
      </c>
      <c r="T4146">
        <v>0</v>
      </c>
      <c r="U4146">
        <f>IF(AND(OR(Dashboard!$D$4="Semua",D4146=Dashboard!$D$4),OR(Dashboard!$H$4="Semua",E4146=Dashboard!$H$4)),1,0)</f>
        <v>1</v>
      </c>
      <c r="V4146">
        <f>IF(U4146=1,IF(COUNTIFS($C$2:C4146,C4146,$U$2:U4146,1)=1,1,0),0)</f>
        <v>0</v>
      </c>
    </row>
    <row r="4147" spans="1:22" x14ac:dyDescent="0.35">
      <c r="A4147">
        <v>14146</v>
      </c>
      <c r="B4147" s="1">
        <v>48707</v>
      </c>
      <c r="C4147">
        <v>1734</v>
      </c>
      <c r="D4147" t="s">
        <v>62</v>
      </c>
      <c r="E4147" t="s">
        <v>74</v>
      </c>
      <c r="F4147">
        <v>7</v>
      </c>
      <c r="G4147" s="2">
        <v>538.4</v>
      </c>
      <c r="H4147">
        <v>0.08</v>
      </c>
      <c r="I4147" t="s">
        <v>68</v>
      </c>
      <c r="J4147">
        <v>4</v>
      </c>
      <c r="K4147">
        <v>3.8</v>
      </c>
      <c r="L4147" s="2">
        <v>3467.3</v>
      </c>
      <c r="M4147">
        <v>2033</v>
      </c>
      <c r="N4147">
        <v>5</v>
      </c>
      <c r="O4147" t="s">
        <v>216</v>
      </c>
      <c r="P4147" s="2">
        <v>3768.8</v>
      </c>
      <c r="Q4147" s="2">
        <v>301.5</v>
      </c>
      <c r="R4147" t="s">
        <v>69</v>
      </c>
      <c r="S4147">
        <v>1</v>
      </c>
      <c r="T4147">
        <v>1</v>
      </c>
      <c r="U4147">
        <f>IF(AND(OR(Dashboard!$D$4="Semua",D4147=Dashboard!$D$4),OR(Dashboard!$H$4="Semua",E4147=Dashboard!$H$4)),1,0)</f>
        <v>1</v>
      </c>
      <c r="V4147">
        <f>IF(U4147=1,IF(COUNTIFS($C$2:C4147,C4147,$U$2:U4147,1)=1,1,0),0)</f>
        <v>0</v>
      </c>
    </row>
    <row r="4148" spans="1:22" x14ac:dyDescent="0.35">
      <c r="A4148">
        <v>14147</v>
      </c>
      <c r="B4148" s="1">
        <v>48708</v>
      </c>
      <c r="C4148">
        <v>1570</v>
      </c>
      <c r="D4148" t="s">
        <v>67</v>
      </c>
      <c r="E4148" t="s">
        <v>63</v>
      </c>
      <c r="F4148">
        <v>7</v>
      </c>
      <c r="G4148" s="2">
        <v>34.26</v>
      </c>
      <c r="H4148">
        <v>0.24</v>
      </c>
      <c r="I4148" t="s">
        <v>71</v>
      </c>
      <c r="J4148">
        <v>5</v>
      </c>
      <c r="K4148">
        <v>2.8</v>
      </c>
      <c r="L4148" s="2">
        <v>182.26</v>
      </c>
      <c r="M4148">
        <v>2033</v>
      </c>
      <c r="N4148">
        <v>5</v>
      </c>
      <c r="O4148" t="s">
        <v>216</v>
      </c>
      <c r="P4148" s="2">
        <v>239.82</v>
      </c>
      <c r="Q4148" s="2">
        <v>57.56</v>
      </c>
      <c r="R4148" t="s">
        <v>77</v>
      </c>
      <c r="S4148">
        <v>1</v>
      </c>
      <c r="T4148">
        <v>0</v>
      </c>
      <c r="U4148">
        <f>IF(AND(OR(Dashboard!$D$4="Semua",D4148=Dashboard!$D$4),OR(Dashboard!$H$4="Semua",E4148=Dashboard!$H$4)),1,0)</f>
        <v>1</v>
      </c>
      <c r="V4148">
        <f>IF(U4148=1,IF(COUNTIFS($C$2:C4148,C4148,$U$2:U4148,1)=1,1,0),0)</f>
        <v>0</v>
      </c>
    </row>
    <row r="4149" spans="1:22" x14ac:dyDescent="0.35">
      <c r="A4149">
        <v>14148</v>
      </c>
      <c r="B4149" s="1">
        <v>48709</v>
      </c>
      <c r="C4149">
        <v>1246</v>
      </c>
      <c r="D4149" t="s">
        <v>73</v>
      </c>
      <c r="E4149" t="s">
        <v>63</v>
      </c>
      <c r="F4149">
        <v>4</v>
      </c>
      <c r="G4149" s="2">
        <v>490.28</v>
      </c>
      <c r="H4149">
        <v>0.25</v>
      </c>
      <c r="I4149" t="s">
        <v>68</v>
      </c>
      <c r="J4149">
        <v>8</v>
      </c>
      <c r="K4149">
        <v>4.5999999999999996</v>
      </c>
      <c r="L4149" s="2">
        <v>1470.84</v>
      </c>
      <c r="M4149">
        <v>2033</v>
      </c>
      <c r="N4149">
        <v>5</v>
      </c>
      <c r="O4149" t="s">
        <v>216</v>
      </c>
      <c r="P4149" s="2">
        <v>1961.12</v>
      </c>
      <c r="Q4149" s="2">
        <v>490.28</v>
      </c>
      <c r="R4149" t="s">
        <v>77</v>
      </c>
      <c r="S4149">
        <v>1</v>
      </c>
      <c r="T4149">
        <v>0</v>
      </c>
      <c r="U4149">
        <f>IF(AND(OR(Dashboard!$D$4="Semua",D4149=Dashboard!$D$4),OR(Dashboard!$H$4="Semua",E4149=Dashboard!$H$4)),1,0)</f>
        <v>1</v>
      </c>
      <c r="V4149">
        <f>IF(U4149=1,IF(COUNTIFS($C$2:C4149,C4149,$U$2:U4149,1)=1,1,0),0)</f>
        <v>0</v>
      </c>
    </row>
    <row r="4150" spans="1:22" x14ac:dyDescent="0.35">
      <c r="A4150">
        <v>14149</v>
      </c>
      <c r="B4150" s="1">
        <v>48710</v>
      </c>
      <c r="C4150">
        <v>1639</v>
      </c>
      <c r="D4150" t="s">
        <v>67</v>
      </c>
      <c r="E4150" t="s">
        <v>74</v>
      </c>
      <c r="F4150">
        <v>2</v>
      </c>
      <c r="G4150" s="2">
        <v>343.66</v>
      </c>
      <c r="H4150">
        <v>0.1</v>
      </c>
      <c r="I4150" t="s">
        <v>68</v>
      </c>
      <c r="J4150">
        <v>3</v>
      </c>
      <c r="K4150">
        <v>3.9</v>
      </c>
      <c r="L4150" s="2">
        <v>618.59</v>
      </c>
      <c r="M4150">
        <v>2033</v>
      </c>
      <c r="N4150">
        <v>5</v>
      </c>
      <c r="O4150" t="s">
        <v>216</v>
      </c>
      <c r="P4150" s="2">
        <v>687.32</v>
      </c>
      <c r="Q4150" s="2">
        <v>68.73</v>
      </c>
      <c r="R4150" t="s">
        <v>69</v>
      </c>
      <c r="S4150">
        <v>1</v>
      </c>
      <c r="T4150">
        <v>0</v>
      </c>
      <c r="U4150">
        <f>IF(AND(OR(Dashboard!$D$4="Semua",D4150=Dashboard!$D$4),OR(Dashboard!$H$4="Semua",E4150=Dashboard!$H$4)),1,0)</f>
        <v>1</v>
      </c>
      <c r="V4150">
        <f>IF(U4150=1,IF(COUNTIFS($C$2:C4150,C4150,$U$2:U4150,1)=1,1,0),0)</f>
        <v>0</v>
      </c>
    </row>
    <row r="4151" spans="1:22" x14ac:dyDescent="0.35">
      <c r="A4151">
        <v>14150</v>
      </c>
      <c r="B4151" s="1">
        <v>48711</v>
      </c>
      <c r="C4151">
        <v>1794</v>
      </c>
      <c r="D4151" t="s">
        <v>73</v>
      </c>
      <c r="E4151" t="s">
        <v>70</v>
      </c>
      <c r="F4151">
        <v>6</v>
      </c>
      <c r="G4151" s="2">
        <v>334.46</v>
      </c>
      <c r="H4151">
        <v>0.28000000000000003</v>
      </c>
      <c r="I4151" t="s">
        <v>71</v>
      </c>
      <c r="J4151">
        <v>6</v>
      </c>
      <c r="K4151">
        <v>3.5</v>
      </c>
      <c r="L4151" s="2">
        <v>1444.87</v>
      </c>
      <c r="M4151">
        <v>2033</v>
      </c>
      <c r="N4151">
        <v>5</v>
      </c>
      <c r="O4151" t="s">
        <v>216</v>
      </c>
      <c r="P4151" s="2">
        <v>2006.76</v>
      </c>
      <c r="Q4151" s="2">
        <v>561.89</v>
      </c>
      <c r="R4151" t="s">
        <v>66</v>
      </c>
      <c r="S4151">
        <v>1</v>
      </c>
      <c r="T4151">
        <v>0</v>
      </c>
      <c r="U4151">
        <f>IF(AND(OR(Dashboard!$D$4="Semua",D4151=Dashboard!$D$4),OR(Dashboard!$H$4="Semua",E4151=Dashboard!$H$4)),1,0)</f>
        <v>1</v>
      </c>
      <c r="V4151">
        <f>IF(U4151=1,IF(COUNTIFS($C$2:C4151,C4151,$U$2:U4151,1)=1,1,0),0)</f>
        <v>0</v>
      </c>
    </row>
    <row r="4152" spans="1:22" x14ac:dyDescent="0.35">
      <c r="A4152">
        <v>14151</v>
      </c>
      <c r="B4152" s="1">
        <v>48712</v>
      </c>
      <c r="C4152">
        <v>1836</v>
      </c>
      <c r="D4152" t="s">
        <v>73</v>
      </c>
      <c r="E4152" t="s">
        <v>63</v>
      </c>
      <c r="F4152">
        <v>6</v>
      </c>
      <c r="G4152" s="2">
        <v>575.32000000000005</v>
      </c>
      <c r="H4152">
        <v>0.3</v>
      </c>
      <c r="I4152" t="s">
        <v>71</v>
      </c>
      <c r="J4152">
        <v>1</v>
      </c>
      <c r="K4152">
        <v>1.3</v>
      </c>
      <c r="L4152" s="2">
        <v>2416.34</v>
      </c>
      <c r="M4152">
        <v>2033</v>
      </c>
      <c r="N4152">
        <v>5</v>
      </c>
      <c r="O4152" t="s">
        <v>216</v>
      </c>
      <c r="P4152" s="2">
        <v>3451.92</v>
      </c>
      <c r="Q4152" s="2">
        <v>1035.58</v>
      </c>
      <c r="R4152" t="s">
        <v>66</v>
      </c>
      <c r="S4152">
        <v>1</v>
      </c>
      <c r="T4152">
        <v>0</v>
      </c>
      <c r="U4152">
        <f>IF(AND(OR(Dashboard!$D$4="Semua",D4152=Dashboard!$D$4),OR(Dashboard!$H$4="Semua",E4152=Dashboard!$H$4)),1,0)</f>
        <v>1</v>
      </c>
      <c r="V4152">
        <f>IF(U4152=1,IF(COUNTIFS($C$2:C4152,C4152,$U$2:U4152,1)=1,1,0),0)</f>
        <v>0</v>
      </c>
    </row>
    <row r="4153" spans="1:22" x14ac:dyDescent="0.35">
      <c r="A4153">
        <v>14152</v>
      </c>
      <c r="B4153" s="1">
        <v>48713</v>
      </c>
      <c r="C4153">
        <v>1536</v>
      </c>
      <c r="D4153" t="s">
        <v>80</v>
      </c>
      <c r="E4153" t="s">
        <v>63</v>
      </c>
      <c r="F4153">
        <v>5</v>
      </c>
      <c r="G4153" s="2">
        <v>452.37</v>
      </c>
      <c r="H4153">
        <v>0.32</v>
      </c>
      <c r="I4153" t="s">
        <v>71</v>
      </c>
      <c r="J4153">
        <v>9</v>
      </c>
      <c r="K4153">
        <v>1.7</v>
      </c>
      <c r="L4153" s="2">
        <v>1538.06</v>
      </c>
      <c r="M4153">
        <v>2033</v>
      </c>
      <c r="N4153">
        <v>5</v>
      </c>
      <c r="O4153" t="s">
        <v>216</v>
      </c>
      <c r="P4153" s="2">
        <v>2261.85</v>
      </c>
      <c r="Q4153" s="2">
        <v>723.79</v>
      </c>
      <c r="R4153" t="s">
        <v>72</v>
      </c>
      <c r="S4153">
        <v>1</v>
      </c>
      <c r="T4153">
        <v>0</v>
      </c>
      <c r="U4153">
        <f>IF(AND(OR(Dashboard!$D$4="Semua",D4153=Dashboard!$D$4),OR(Dashboard!$H$4="Semua",E4153=Dashboard!$H$4)),1,0)</f>
        <v>1</v>
      </c>
      <c r="V4153">
        <f>IF(U4153=1,IF(COUNTIFS($C$2:C4153,C4153,$U$2:U4153,1)=1,1,0),0)</f>
        <v>0</v>
      </c>
    </row>
    <row r="4154" spans="1:22" x14ac:dyDescent="0.35">
      <c r="A4154">
        <v>14153</v>
      </c>
      <c r="B4154" s="1">
        <v>48714</v>
      </c>
      <c r="C4154">
        <v>1130</v>
      </c>
      <c r="D4154" t="s">
        <v>73</v>
      </c>
      <c r="E4154" t="s">
        <v>78</v>
      </c>
      <c r="F4154">
        <v>2</v>
      </c>
      <c r="G4154" s="2">
        <v>512.32000000000005</v>
      </c>
      <c r="H4154">
        <v>0.06</v>
      </c>
      <c r="I4154" t="s">
        <v>71</v>
      </c>
      <c r="J4154">
        <v>1</v>
      </c>
      <c r="K4154">
        <v>2.7</v>
      </c>
      <c r="L4154" s="2">
        <v>963.16</v>
      </c>
      <c r="M4154">
        <v>2033</v>
      </c>
      <c r="N4154">
        <v>5</v>
      </c>
      <c r="O4154" t="s">
        <v>216</v>
      </c>
      <c r="P4154" s="2">
        <v>1024.6400000000001</v>
      </c>
      <c r="Q4154" s="2">
        <v>61.48</v>
      </c>
      <c r="R4154" t="s">
        <v>69</v>
      </c>
      <c r="S4154">
        <v>1</v>
      </c>
      <c r="T4154">
        <v>0</v>
      </c>
      <c r="U4154">
        <f>IF(AND(OR(Dashboard!$D$4="Semua",D4154=Dashboard!$D$4),OR(Dashboard!$H$4="Semua",E4154=Dashboard!$H$4)),1,0)</f>
        <v>1</v>
      </c>
      <c r="V4154">
        <f>IF(U4154=1,IF(COUNTIFS($C$2:C4154,C4154,$U$2:U4154,1)=1,1,0),0)</f>
        <v>0</v>
      </c>
    </row>
    <row r="4155" spans="1:22" x14ac:dyDescent="0.35">
      <c r="A4155">
        <v>14154</v>
      </c>
      <c r="B4155" s="1">
        <v>48715</v>
      </c>
      <c r="C4155">
        <v>1352</v>
      </c>
      <c r="D4155" t="s">
        <v>80</v>
      </c>
      <c r="E4155" t="s">
        <v>70</v>
      </c>
      <c r="F4155">
        <v>4</v>
      </c>
      <c r="G4155" s="2">
        <v>222.09</v>
      </c>
      <c r="H4155">
        <v>0.11</v>
      </c>
      <c r="I4155" t="s">
        <v>64</v>
      </c>
      <c r="J4155">
        <v>2</v>
      </c>
      <c r="K4155">
        <v>4.9000000000000004</v>
      </c>
      <c r="L4155" s="2">
        <v>790.64</v>
      </c>
      <c r="M4155">
        <v>2033</v>
      </c>
      <c r="N4155">
        <v>5</v>
      </c>
      <c r="O4155" t="s">
        <v>216</v>
      </c>
      <c r="P4155" s="2">
        <v>888.36</v>
      </c>
      <c r="Q4155" s="2">
        <v>97.72</v>
      </c>
      <c r="R4155" t="s">
        <v>79</v>
      </c>
      <c r="S4155">
        <v>1</v>
      </c>
      <c r="T4155">
        <v>0</v>
      </c>
      <c r="U4155">
        <f>IF(AND(OR(Dashboard!$D$4="Semua",D4155=Dashboard!$D$4),OR(Dashboard!$H$4="Semua",E4155=Dashboard!$H$4)),1,0)</f>
        <v>1</v>
      </c>
      <c r="V4155">
        <f>IF(U4155=1,IF(COUNTIFS($C$2:C4155,C4155,$U$2:U4155,1)=1,1,0),0)</f>
        <v>0</v>
      </c>
    </row>
    <row r="4156" spans="1:22" x14ac:dyDescent="0.35">
      <c r="A4156">
        <v>14155</v>
      </c>
      <c r="B4156" s="1">
        <v>48716</v>
      </c>
      <c r="C4156">
        <v>1195</v>
      </c>
      <c r="D4156" t="s">
        <v>67</v>
      </c>
      <c r="E4156" t="s">
        <v>74</v>
      </c>
      <c r="F4156">
        <v>2</v>
      </c>
      <c r="G4156" s="2">
        <v>339.3</v>
      </c>
      <c r="H4156">
        <v>0.3</v>
      </c>
      <c r="I4156" t="s">
        <v>68</v>
      </c>
      <c r="J4156">
        <v>1</v>
      </c>
      <c r="K4156">
        <v>2.2999999999999998</v>
      </c>
      <c r="L4156" s="2">
        <v>475.02</v>
      </c>
      <c r="M4156">
        <v>2033</v>
      </c>
      <c r="N4156">
        <v>5</v>
      </c>
      <c r="O4156" t="s">
        <v>216</v>
      </c>
      <c r="P4156" s="2">
        <v>678.6</v>
      </c>
      <c r="Q4156" s="2">
        <v>203.58</v>
      </c>
      <c r="R4156" t="s">
        <v>66</v>
      </c>
      <c r="S4156">
        <v>1</v>
      </c>
      <c r="T4156">
        <v>0</v>
      </c>
      <c r="U4156">
        <f>IF(AND(OR(Dashboard!$D$4="Semua",D4156=Dashboard!$D$4),OR(Dashboard!$H$4="Semua",E4156=Dashboard!$H$4)),1,0)</f>
        <v>1</v>
      </c>
      <c r="V4156">
        <f>IF(U4156=1,IF(COUNTIFS($C$2:C4156,C4156,$U$2:U4156,1)=1,1,0),0)</f>
        <v>0</v>
      </c>
    </row>
    <row r="4157" spans="1:22" x14ac:dyDescent="0.35">
      <c r="A4157">
        <v>14156</v>
      </c>
      <c r="B4157" s="1">
        <v>48717</v>
      </c>
      <c r="C4157">
        <v>1792</v>
      </c>
      <c r="D4157" t="s">
        <v>67</v>
      </c>
      <c r="E4157" t="s">
        <v>70</v>
      </c>
      <c r="F4157">
        <v>4</v>
      </c>
      <c r="G4157" s="2">
        <v>375.01</v>
      </c>
      <c r="H4157">
        <v>7.0000000000000007E-2</v>
      </c>
      <c r="I4157" t="s">
        <v>71</v>
      </c>
      <c r="J4157">
        <v>8</v>
      </c>
      <c r="K4157">
        <v>3.5</v>
      </c>
      <c r="L4157" s="2">
        <v>1395.04</v>
      </c>
      <c r="M4157">
        <v>2033</v>
      </c>
      <c r="N4157">
        <v>5</v>
      </c>
      <c r="O4157" t="s">
        <v>216</v>
      </c>
      <c r="P4157" s="2">
        <v>1500.04</v>
      </c>
      <c r="Q4157" s="2">
        <v>105</v>
      </c>
      <c r="R4157" t="s">
        <v>69</v>
      </c>
      <c r="S4157">
        <v>1</v>
      </c>
      <c r="T4157">
        <v>0</v>
      </c>
      <c r="U4157">
        <f>IF(AND(OR(Dashboard!$D$4="Semua",D4157=Dashboard!$D$4),OR(Dashboard!$H$4="Semua",E4157=Dashboard!$H$4)),1,0)</f>
        <v>1</v>
      </c>
      <c r="V4157">
        <f>IF(U4157=1,IF(COUNTIFS($C$2:C4157,C4157,$U$2:U4157,1)=1,1,0),0)</f>
        <v>0</v>
      </c>
    </row>
    <row r="4158" spans="1:22" x14ac:dyDescent="0.35">
      <c r="A4158">
        <v>14157</v>
      </c>
      <c r="B4158" s="1">
        <v>48718</v>
      </c>
      <c r="C4158">
        <v>1915</v>
      </c>
      <c r="D4158" t="s">
        <v>73</v>
      </c>
      <c r="E4158" t="s">
        <v>78</v>
      </c>
      <c r="F4158">
        <v>7</v>
      </c>
      <c r="G4158" s="2">
        <v>203.13</v>
      </c>
      <c r="H4158">
        <v>0</v>
      </c>
      <c r="I4158" t="s">
        <v>71</v>
      </c>
      <c r="J4158">
        <v>4</v>
      </c>
      <c r="K4158">
        <v>5</v>
      </c>
      <c r="L4158" s="2">
        <v>1421.91</v>
      </c>
      <c r="M4158">
        <v>2033</v>
      </c>
      <c r="N4158">
        <v>5</v>
      </c>
      <c r="O4158" t="s">
        <v>216</v>
      </c>
      <c r="P4158" s="2">
        <v>1421.91</v>
      </c>
      <c r="Q4158" s="2">
        <v>0</v>
      </c>
      <c r="R4158" t="s">
        <v>75</v>
      </c>
      <c r="S4158">
        <v>1</v>
      </c>
      <c r="T4158">
        <v>0</v>
      </c>
      <c r="U4158">
        <f>IF(AND(OR(Dashboard!$D$4="Semua",D4158=Dashboard!$D$4),OR(Dashboard!$H$4="Semua",E4158=Dashboard!$H$4)),1,0)</f>
        <v>1</v>
      </c>
      <c r="V4158">
        <f>IF(U4158=1,IF(COUNTIFS($C$2:C4158,C4158,$U$2:U4158,1)=1,1,0),0)</f>
        <v>0</v>
      </c>
    </row>
    <row r="4159" spans="1:22" x14ac:dyDescent="0.35">
      <c r="A4159">
        <v>14158</v>
      </c>
      <c r="B4159" s="1">
        <v>48719</v>
      </c>
      <c r="C4159">
        <v>1929</v>
      </c>
      <c r="D4159" t="s">
        <v>73</v>
      </c>
      <c r="E4159" t="s">
        <v>78</v>
      </c>
      <c r="F4159">
        <v>5</v>
      </c>
      <c r="G4159" s="2">
        <v>348.6</v>
      </c>
      <c r="H4159">
        <v>0.3</v>
      </c>
      <c r="I4159" t="s">
        <v>68</v>
      </c>
      <c r="J4159">
        <v>2</v>
      </c>
      <c r="K4159">
        <v>2.1</v>
      </c>
      <c r="L4159" s="2">
        <v>1220.0999999999999</v>
      </c>
      <c r="M4159">
        <v>2033</v>
      </c>
      <c r="N4159">
        <v>5</v>
      </c>
      <c r="O4159" t="s">
        <v>216</v>
      </c>
      <c r="P4159" s="2">
        <v>1743</v>
      </c>
      <c r="Q4159" s="2">
        <v>522.9</v>
      </c>
      <c r="R4159" t="s">
        <v>66</v>
      </c>
      <c r="S4159">
        <v>1</v>
      </c>
      <c r="T4159">
        <v>0</v>
      </c>
      <c r="U4159">
        <f>IF(AND(OR(Dashboard!$D$4="Semua",D4159=Dashboard!$D$4),OR(Dashboard!$H$4="Semua",E4159=Dashboard!$H$4)),1,0)</f>
        <v>1</v>
      </c>
      <c r="V4159">
        <f>IF(U4159=1,IF(COUNTIFS($C$2:C4159,C4159,$U$2:U4159,1)=1,1,0),0)</f>
        <v>0</v>
      </c>
    </row>
    <row r="4160" spans="1:22" x14ac:dyDescent="0.35">
      <c r="A4160">
        <v>14159</v>
      </c>
      <c r="B4160" s="1">
        <v>48720</v>
      </c>
      <c r="C4160">
        <v>1665</v>
      </c>
      <c r="D4160" t="s">
        <v>73</v>
      </c>
      <c r="E4160" t="s">
        <v>70</v>
      </c>
      <c r="F4160">
        <v>1</v>
      </c>
      <c r="G4160" s="2">
        <v>153.44</v>
      </c>
      <c r="H4160">
        <v>0.11</v>
      </c>
      <c r="I4160" t="s">
        <v>68</v>
      </c>
      <c r="J4160">
        <v>7</v>
      </c>
      <c r="K4160">
        <v>1.7</v>
      </c>
      <c r="L4160" s="2">
        <v>136.56</v>
      </c>
      <c r="M4160">
        <v>2033</v>
      </c>
      <c r="N4160">
        <v>5</v>
      </c>
      <c r="O4160" t="s">
        <v>216</v>
      </c>
      <c r="P4160" s="2">
        <v>153.44</v>
      </c>
      <c r="Q4160" s="2">
        <v>16.88</v>
      </c>
      <c r="R4160" t="s">
        <v>79</v>
      </c>
      <c r="S4160">
        <v>1</v>
      </c>
      <c r="T4160">
        <v>0</v>
      </c>
      <c r="U4160">
        <f>IF(AND(OR(Dashboard!$D$4="Semua",D4160=Dashboard!$D$4),OR(Dashboard!$H$4="Semua",E4160=Dashboard!$H$4)),1,0)</f>
        <v>1</v>
      </c>
      <c r="V4160">
        <f>IF(U4160=1,IF(COUNTIFS($C$2:C4160,C4160,$U$2:U4160,1)=1,1,0),0)</f>
        <v>0</v>
      </c>
    </row>
    <row r="4161" spans="1:22" x14ac:dyDescent="0.35">
      <c r="A4161">
        <v>14160</v>
      </c>
      <c r="B4161" s="1">
        <v>48721</v>
      </c>
      <c r="C4161">
        <v>1381</v>
      </c>
      <c r="D4161" t="s">
        <v>62</v>
      </c>
      <c r="E4161" t="s">
        <v>78</v>
      </c>
      <c r="F4161">
        <v>7</v>
      </c>
      <c r="G4161" s="2">
        <v>98.87</v>
      </c>
      <c r="H4161">
        <v>0.15</v>
      </c>
      <c r="I4161" t="s">
        <v>71</v>
      </c>
      <c r="J4161">
        <v>8</v>
      </c>
      <c r="K4161">
        <v>3.2</v>
      </c>
      <c r="L4161" s="2">
        <v>588.28</v>
      </c>
      <c r="M4161">
        <v>2033</v>
      </c>
      <c r="N4161">
        <v>5</v>
      </c>
      <c r="O4161" t="s">
        <v>216</v>
      </c>
      <c r="P4161" s="2">
        <v>692.09</v>
      </c>
      <c r="Q4161" s="2">
        <v>103.81</v>
      </c>
      <c r="R4161" t="s">
        <v>79</v>
      </c>
      <c r="S4161">
        <v>1</v>
      </c>
      <c r="T4161">
        <v>0</v>
      </c>
      <c r="U4161">
        <f>IF(AND(OR(Dashboard!$D$4="Semua",D4161=Dashboard!$D$4),OR(Dashboard!$H$4="Semua",E4161=Dashboard!$H$4)),1,0)</f>
        <v>1</v>
      </c>
      <c r="V4161">
        <f>IF(U4161=1,IF(COUNTIFS($C$2:C4161,C4161,$U$2:U4161,1)=1,1,0),0)</f>
        <v>0</v>
      </c>
    </row>
    <row r="4162" spans="1:22" x14ac:dyDescent="0.35">
      <c r="A4162">
        <v>14161</v>
      </c>
      <c r="B4162" s="1">
        <v>48722</v>
      </c>
      <c r="C4162">
        <v>1644</v>
      </c>
      <c r="D4162" t="s">
        <v>80</v>
      </c>
      <c r="E4162" t="s">
        <v>78</v>
      </c>
      <c r="F4162">
        <v>1</v>
      </c>
      <c r="G4162" s="2">
        <v>233.77</v>
      </c>
      <c r="H4162">
        <v>0.16</v>
      </c>
      <c r="I4162" t="s">
        <v>68</v>
      </c>
      <c r="J4162">
        <v>9</v>
      </c>
      <c r="K4162">
        <v>3.2</v>
      </c>
      <c r="L4162" s="2">
        <v>196.37</v>
      </c>
      <c r="M4162">
        <v>2033</v>
      </c>
      <c r="N4162">
        <v>5</v>
      </c>
      <c r="O4162" t="s">
        <v>216</v>
      </c>
      <c r="P4162" s="2">
        <v>233.77</v>
      </c>
      <c r="Q4162" s="2">
        <v>37.4</v>
      </c>
      <c r="R4162" t="s">
        <v>76</v>
      </c>
      <c r="S4162">
        <v>1</v>
      </c>
      <c r="T4162">
        <v>0</v>
      </c>
      <c r="U4162">
        <f>IF(AND(OR(Dashboard!$D$4="Semua",D4162=Dashboard!$D$4),OR(Dashboard!$H$4="Semua",E4162=Dashboard!$H$4)),1,0)</f>
        <v>1</v>
      </c>
      <c r="V4162">
        <f>IF(U4162=1,IF(COUNTIFS($C$2:C4162,C4162,$U$2:U4162,1)=1,1,0),0)</f>
        <v>0</v>
      </c>
    </row>
    <row r="4163" spans="1:22" x14ac:dyDescent="0.35">
      <c r="A4163">
        <v>14162</v>
      </c>
      <c r="B4163" s="1">
        <v>48723</v>
      </c>
      <c r="C4163">
        <v>1226</v>
      </c>
      <c r="D4163" t="s">
        <v>67</v>
      </c>
      <c r="E4163" t="s">
        <v>78</v>
      </c>
      <c r="F4163">
        <v>2</v>
      </c>
      <c r="G4163" s="2">
        <v>447.48</v>
      </c>
      <c r="H4163">
        <v>0.3</v>
      </c>
      <c r="I4163" t="s">
        <v>68</v>
      </c>
      <c r="J4163">
        <v>5</v>
      </c>
      <c r="K4163">
        <v>4.7</v>
      </c>
      <c r="L4163" s="2">
        <v>626.47</v>
      </c>
      <c r="M4163">
        <v>2033</v>
      </c>
      <c r="N4163">
        <v>5</v>
      </c>
      <c r="O4163" t="s">
        <v>216</v>
      </c>
      <c r="P4163" s="2">
        <v>894.96</v>
      </c>
      <c r="Q4163" s="2">
        <v>268.49</v>
      </c>
      <c r="R4163" t="s">
        <v>66</v>
      </c>
      <c r="S4163">
        <v>1</v>
      </c>
      <c r="T4163">
        <v>0</v>
      </c>
      <c r="U4163">
        <f>IF(AND(OR(Dashboard!$D$4="Semua",D4163=Dashboard!$D$4),OR(Dashboard!$H$4="Semua",E4163=Dashboard!$H$4)),1,0)</f>
        <v>1</v>
      </c>
      <c r="V4163">
        <f>IF(U4163=1,IF(COUNTIFS($C$2:C4163,C4163,$U$2:U4163,1)=1,1,0),0)</f>
        <v>0</v>
      </c>
    </row>
    <row r="4164" spans="1:22" x14ac:dyDescent="0.35">
      <c r="A4164">
        <v>14163</v>
      </c>
      <c r="B4164" s="1">
        <v>48724</v>
      </c>
      <c r="C4164">
        <v>1700</v>
      </c>
      <c r="D4164" t="s">
        <v>73</v>
      </c>
      <c r="E4164" t="s">
        <v>70</v>
      </c>
      <c r="F4164">
        <v>4</v>
      </c>
      <c r="G4164" s="2">
        <v>550.97</v>
      </c>
      <c r="H4164">
        <v>0.12</v>
      </c>
      <c r="I4164" t="s">
        <v>71</v>
      </c>
      <c r="J4164">
        <v>3</v>
      </c>
      <c r="K4164">
        <v>1.1000000000000001</v>
      </c>
      <c r="L4164" s="2">
        <v>1939.41</v>
      </c>
      <c r="M4164">
        <v>2033</v>
      </c>
      <c r="N4164">
        <v>5</v>
      </c>
      <c r="O4164" t="s">
        <v>216</v>
      </c>
      <c r="P4164" s="2">
        <v>2203.88</v>
      </c>
      <c r="Q4164" s="2">
        <v>264.47000000000003</v>
      </c>
      <c r="R4164" t="s">
        <v>79</v>
      </c>
      <c r="S4164">
        <v>1</v>
      </c>
      <c r="T4164">
        <v>0</v>
      </c>
      <c r="U4164">
        <f>IF(AND(OR(Dashboard!$D$4="Semua",D4164=Dashboard!$D$4),OR(Dashboard!$H$4="Semua",E4164=Dashboard!$H$4)),1,0)</f>
        <v>1</v>
      </c>
      <c r="V4164">
        <f>IF(U4164=1,IF(COUNTIFS($C$2:C4164,C4164,$U$2:U4164,1)=1,1,0),0)</f>
        <v>0</v>
      </c>
    </row>
    <row r="4165" spans="1:22" x14ac:dyDescent="0.35">
      <c r="A4165">
        <v>14164</v>
      </c>
      <c r="B4165" s="1">
        <v>48725</v>
      </c>
      <c r="C4165">
        <v>1475</v>
      </c>
      <c r="D4165" t="s">
        <v>62</v>
      </c>
      <c r="E4165" t="s">
        <v>78</v>
      </c>
      <c r="F4165">
        <v>1</v>
      </c>
      <c r="G4165" s="2">
        <v>282.76</v>
      </c>
      <c r="H4165">
        <v>0.31</v>
      </c>
      <c r="I4165" t="s">
        <v>64</v>
      </c>
      <c r="J4165">
        <v>1</v>
      </c>
      <c r="K4165">
        <v>2.6</v>
      </c>
      <c r="L4165" s="2">
        <v>195.1</v>
      </c>
      <c r="M4165">
        <v>2033</v>
      </c>
      <c r="N4165">
        <v>5</v>
      </c>
      <c r="O4165" t="s">
        <v>216</v>
      </c>
      <c r="P4165" s="2">
        <v>282.76</v>
      </c>
      <c r="Q4165" s="2">
        <v>87.66</v>
      </c>
      <c r="R4165" t="s">
        <v>72</v>
      </c>
      <c r="S4165">
        <v>1</v>
      </c>
      <c r="T4165">
        <v>0</v>
      </c>
      <c r="U4165">
        <f>IF(AND(OR(Dashboard!$D$4="Semua",D4165=Dashboard!$D$4),OR(Dashboard!$H$4="Semua",E4165=Dashboard!$H$4)),1,0)</f>
        <v>1</v>
      </c>
      <c r="V4165">
        <f>IF(U4165=1,IF(COUNTIFS($C$2:C4165,C4165,$U$2:U4165,1)=1,1,0),0)</f>
        <v>0</v>
      </c>
    </row>
    <row r="4166" spans="1:22" x14ac:dyDescent="0.35">
      <c r="A4166">
        <v>14165</v>
      </c>
      <c r="B4166" s="1">
        <v>48726</v>
      </c>
      <c r="C4166">
        <v>1476</v>
      </c>
      <c r="D4166" t="s">
        <v>73</v>
      </c>
      <c r="E4166" t="s">
        <v>74</v>
      </c>
      <c r="F4166">
        <v>7</v>
      </c>
      <c r="G4166" s="2">
        <v>391.05</v>
      </c>
      <c r="H4166">
        <v>0.22</v>
      </c>
      <c r="I4166" t="s">
        <v>64</v>
      </c>
      <c r="J4166">
        <v>8</v>
      </c>
      <c r="K4166">
        <v>2.2000000000000002</v>
      </c>
      <c r="L4166" s="2">
        <v>2135.13</v>
      </c>
      <c r="M4166">
        <v>2033</v>
      </c>
      <c r="N4166">
        <v>5</v>
      </c>
      <c r="O4166" t="s">
        <v>216</v>
      </c>
      <c r="P4166" s="2">
        <v>2737.35</v>
      </c>
      <c r="Q4166" s="2">
        <v>602.22</v>
      </c>
      <c r="R4166" t="s">
        <v>77</v>
      </c>
      <c r="S4166">
        <v>1</v>
      </c>
      <c r="T4166">
        <v>0</v>
      </c>
      <c r="U4166">
        <f>IF(AND(OR(Dashboard!$D$4="Semua",D4166=Dashboard!$D$4),OR(Dashboard!$H$4="Semua",E4166=Dashboard!$H$4)),1,0)</f>
        <v>1</v>
      </c>
      <c r="V4166">
        <f>IF(U4166=1,IF(COUNTIFS($C$2:C4166,C4166,$U$2:U4166,1)=1,1,0),0)</f>
        <v>0</v>
      </c>
    </row>
    <row r="4167" spans="1:22" x14ac:dyDescent="0.35">
      <c r="A4167">
        <v>14166</v>
      </c>
      <c r="B4167" s="1">
        <v>48727</v>
      </c>
      <c r="C4167">
        <v>1264</v>
      </c>
      <c r="D4167" t="s">
        <v>73</v>
      </c>
      <c r="E4167" t="s">
        <v>74</v>
      </c>
      <c r="F4167">
        <v>4</v>
      </c>
      <c r="G4167" s="2">
        <v>75.28</v>
      </c>
      <c r="H4167">
        <v>0.18</v>
      </c>
      <c r="I4167" t="s">
        <v>68</v>
      </c>
      <c r="J4167">
        <v>6</v>
      </c>
      <c r="K4167">
        <v>3.3</v>
      </c>
      <c r="L4167" s="2">
        <v>246.92</v>
      </c>
      <c r="M4167">
        <v>2033</v>
      </c>
      <c r="N4167">
        <v>5</v>
      </c>
      <c r="O4167" t="s">
        <v>216</v>
      </c>
      <c r="P4167" s="2">
        <v>301.12</v>
      </c>
      <c r="Q4167" s="2">
        <v>54.2</v>
      </c>
      <c r="R4167" t="s">
        <v>76</v>
      </c>
      <c r="S4167">
        <v>1</v>
      </c>
      <c r="T4167">
        <v>0</v>
      </c>
      <c r="U4167">
        <f>IF(AND(OR(Dashboard!$D$4="Semua",D4167=Dashboard!$D$4),OR(Dashboard!$H$4="Semua",E4167=Dashboard!$H$4)),1,0)</f>
        <v>1</v>
      </c>
      <c r="V4167">
        <f>IF(U4167=1,IF(COUNTIFS($C$2:C4167,C4167,$U$2:U4167,1)=1,1,0),0)</f>
        <v>0</v>
      </c>
    </row>
    <row r="4168" spans="1:22" x14ac:dyDescent="0.35">
      <c r="A4168">
        <v>14167</v>
      </c>
      <c r="B4168" s="1">
        <v>48728</v>
      </c>
      <c r="C4168">
        <v>1371</v>
      </c>
      <c r="D4168" t="s">
        <v>67</v>
      </c>
      <c r="E4168" t="s">
        <v>63</v>
      </c>
      <c r="F4168">
        <v>5</v>
      </c>
      <c r="G4168" s="2">
        <v>544.11</v>
      </c>
      <c r="H4168">
        <v>0.11</v>
      </c>
      <c r="I4168" t="s">
        <v>71</v>
      </c>
      <c r="J4168">
        <v>5</v>
      </c>
      <c r="K4168">
        <v>1</v>
      </c>
      <c r="L4168" s="2">
        <v>2421.29</v>
      </c>
      <c r="M4168">
        <v>2033</v>
      </c>
      <c r="N4168">
        <v>5</v>
      </c>
      <c r="O4168" t="s">
        <v>216</v>
      </c>
      <c r="P4168" s="2">
        <v>2720.55</v>
      </c>
      <c r="Q4168" s="2">
        <v>299.26</v>
      </c>
      <c r="R4168" t="s">
        <v>79</v>
      </c>
      <c r="S4168">
        <v>1</v>
      </c>
      <c r="T4168">
        <v>0</v>
      </c>
      <c r="U4168">
        <f>IF(AND(OR(Dashboard!$D$4="Semua",D4168=Dashboard!$D$4),OR(Dashboard!$H$4="Semua",E4168=Dashboard!$H$4)),1,0)</f>
        <v>1</v>
      </c>
      <c r="V4168">
        <f>IF(U4168=1,IF(COUNTIFS($C$2:C4168,C4168,$U$2:U4168,1)=1,1,0),0)</f>
        <v>0</v>
      </c>
    </row>
    <row r="4169" spans="1:22" x14ac:dyDescent="0.35">
      <c r="A4169">
        <v>14168</v>
      </c>
      <c r="B4169" s="1">
        <v>48729</v>
      </c>
      <c r="C4169">
        <v>1485</v>
      </c>
      <c r="D4169" t="s">
        <v>62</v>
      </c>
      <c r="E4169" t="s">
        <v>74</v>
      </c>
      <c r="F4169">
        <v>7</v>
      </c>
      <c r="G4169" s="2">
        <v>347.63</v>
      </c>
      <c r="H4169">
        <v>0.09</v>
      </c>
      <c r="I4169" t="s">
        <v>68</v>
      </c>
      <c r="J4169">
        <v>7</v>
      </c>
      <c r="K4169">
        <v>3.8</v>
      </c>
      <c r="L4169" s="2">
        <v>2214.4</v>
      </c>
      <c r="M4169">
        <v>2033</v>
      </c>
      <c r="N4169">
        <v>5</v>
      </c>
      <c r="O4169" t="s">
        <v>216</v>
      </c>
      <c r="P4169" s="2">
        <v>2433.41</v>
      </c>
      <c r="Q4169" s="2">
        <v>219.01</v>
      </c>
      <c r="R4169" t="s">
        <v>69</v>
      </c>
      <c r="S4169">
        <v>1</v>
      </c>
      <c r="T4169">
        <v>0</v>
      </c>
      <c r="U4169">
        <f>IF(AND(OR(Dashboard!$D$4="Semua",D4169=Dashboard!$D$4),OR(Dashboard!$H$4="Semua",E4169=Dashboard!$H$4)),1,0)</f>
        <v>1</v>
      </c>
      <c r="V4169">
        <f>IF(U4169=1,IF(COUNTIFS($C$2:C4169,C4169,$U$2:U4169,1)=1,1,0),0)</f>
        <v>0</v>
      </c>
    </row>
    <row r="4170" spans="1:22" x14ac:dyDescent="0.35">
      <c r="A4170">
        <v>14169</v>
      </c>
      <c r="B4170" s="1">
        <v>48730</v>
      </c>
      <c r="C4170">
        <v>1433</v>
      </c>
      <c r="D4170" t="s">
        <v>73</v>
      </c>
      <c r="E4170" t="s">
        <v>63</v>
      </c>
      <c r="F4170">
        <v>2</v>
      </c>
      <c r="G4170" s="2">
        <v>471.5</v>
      </c>
      <c r="H4170">
        <v>0.22</v>
      </c>
      <c r="I4170" t="s">
        <v>68</v>
      </c>
      <c r="J4170">
        <v>5</v>
      </c>
      <c r="K4170">
        <v>2.9</v>
      </c>
      <c r="L4170" s="2">
        <v>735.54</v>
      </c>
      <c r="M4170">
        <v>2033</v>
      </c>
      <c r="N4170">
        <v>5</v>
      </c>
      <c r="O4170" t="s">
        <v>216</v>
      </c>
      <c r="P4170" s="2">
        <v>943</v>
      </c>
      <c r="Q4170" s="2">
        <v>207.46</v>
      </c>
      <c r="R4170" t="s">
        <v>77</v>
      </c>
      <c r="S4170">
        <v>1</v>
      </c>
      <c r="T4170">
        <v>0</v>
      </c>
      <c r="U4170">
        <f>IF(AND(OR(Dashboard!$D$4="Semua",D4170=Dashboard!$D$4),OR(Dashboard!$H$4="Semua",E4170=Dashboard!$H$4)),1,0)</f>
        <v>1</v>
      </c>
      <c r="V4170">
        <f>IF(U4170=1,IF(COUNTIFS($C$2:C4170,C4170,$U$2:U4170,1)=1,1,0),0)</f>
        <v>1</v>
      </c>
    </row>
    <row r="4171" spans="1:22" x14ac:dyDescent="0.35">
      <c r="A4171">
        <v>14170</v>
      </c>
      <c r="B4171" s="1">
        <v>48731</v>
      </c>
      <c r="C4171">
        <v>1645</v>
      </c>
      <c r="D4171" t="s">
        <v>73</v>
      </c>
      <c r="E4171" t="s">
        <v>70</v>
      </c>
      <c r="F4171">
        <v>4</v>
      </c>
      <c r="G4171" s="2">
        <v>479.75</v>
      </c>
      <c r="H4171">
        <v>0.16</v>
      </c>
      <c r="I4171" t="s">
        <v>71</v>
      </c>
      <c r="J4171">
        <v>11</v>
      </c>
      <c r="K4171">
        <v>3.8</v>
      </c>
      <c r="L4171" s="2">
        <v>1611.96</v>
      </c>
      <c r="M4171">
        <v>2033</v>
      </c>
      <c r="N4171">
        <v>6</v>
      </c>
      <c r="O4171" t="s">
        <v>217</v>
      </c>
      <c r="P4171" s="2">
        <v>1919</v>
      </c>
      <c r="Q4171" s="2">
        <v>307.04000000000002</v>
      </c>
      <c r="R4171" t="s">
        <v>76</v>
      </c>
      <c r="S4171">
        <v>1</v>
      </c>
      <c r="T4171">
        <v>0</v>
      </c>
      <c r="U4171">
        <f>IF(AND(OR(Dashboard!$D$4="Semua",D4171=Dashboard!$D$4),OR(Dashboard!$H$4="Semua",E4171=Dashboard!$H$4)),1,0)</f>
        <v>1</v>
      </c>
      <c r="V4171">
        <f>IF(U4171=1,IF(COUNTIFS($C$2:C4171,C4171,$U$2:U4171,1)=1,1,0),0)</f>
        <v>0</v>
      </c>
    </row>
    <row r="4172" spans="1:22" x14ac:dyDescent="0.35">
      <c r="A4172">
        <v>14171</v>
      </c>
      <c r="B4172" s="1">
        <v>48732</v>
      </c>
      <c r="C4172">
        <v>1210</v>
      </c>
      <c r="D4172" t="s">
        <v>62</v>
      </c>
      <c r="E4172" t="s">
        <v>78</v>
      </c>
      <c r="F4172">
        <v>2</v>
      </c>
      <c r="G4172" s="2">
        <v>165.04</v>
      </c>
      <c r="H4172">
        <v>0.32</v>
      </c>
      <c r="I4172" t="s">
        <v>68</v>
      </c>
      <c r="J4172">
        <v>4</v>
      </c>
      <c r="K4172">
        <v>2.8</v>
      </c>
      <c r="L4172" s="2">
        <v>224.45</v>
      </c>
      <c r="M4172">
        <v>2033</v>
      </c>
      <c r="N4172">
        <v>6</v>
      </c>
      <c r="O4172" t="s">
        <v>217</v>
      </c>
      <c r="P4172" s="2">
        <v>330.08</v>
      </c>
      <c r="Q4172" s="2">
        <v>105.63</v>
      </c>
      <c r="R4172" t="s">
        <v>72</v>
      </c>
      <c r="S4172">
        <v>1</v>
      </c>
      <c r="T4172">
        <v>0</v>
      </c>
      <c r="U4172">
        <f>IF(AND(OR(Dashboard!$D$4="Semua",D4172=Dashboard!$D$4),OR(Dashboard!$H$4="Semua",E4172=Dashboard!$H$4)),1,0)</f>
        <v>1</v>
      </c>
      <c r="V4172">
        <f>IF(U4172=1,IF(COUNTIFS($C$2:C4172,C4172,$U$2:U4172,1)=1,1,0),0)</f>
        <v>0</v>
      </c>
    </row>
    <row r="4173" spans="1:22" x14ac:dyDescent="0.35">
      <c r="A4173">
        <v>14172</v>
      </c>
      <c r="B4173" s="1">
        <v>48733</v>
      </c>
      <c r="C4173">
        <v>1571</v>
      </c>
      <c r="D4173" t="s">
        <v>73</v>
      </c>
      <c r="E4173" t="s">
        <v>74</v>
      </c>
      <c r="F4173">
        <v>4</v>
      </c>
      <c r="G4173" s="2">
        <v>324.57</v>
      </c>
      <c r="H4173">
        <v>0.17</v>
      </c>
      <c r="I4173" t="s">
        <v>68</v>
      </c>
      <c r="J4173">
        <v>5</v>
      </c>
      <c r="K4173">
        <v>2.9</v>
      </c>
      <c r="L4173" s="2">
        <v>1077.57</v>
      </c>
      <c r="M4173">
        <v>2033</v>
      </c>
      <c r="N4173">
        <v>6</v>
      </c>
      <c r="O4173" t="s">
        <v>217</v>
      </c>
      <c r="P4173" s="2">
        <v>1298.28</v>
      </c>
      <c r="Q4173" s="2">
        <v>220.71</v>
      </c>
      <c r="R4173" t="s">
        <v>76</v>
      </c>
      <c r="S4173">
        <v>1</v>
      </c>
      <c r="T4173">
        <v>0</v>
      </c>
      <c r="U4173">
        <f>IF(AND(OR(Dashboard!$D$4="Semua",D4173=Dashboard!$D$4),OR(Dashboard!$H$4="Semua",E4173=Dashboard!$H$4)),1,0)</f>
        <v>1</v>
      </c>
      <c r="V4173">
        <f>IF(U4173=1,IF(COUNTIFS($C$2:C4173,C4173,$U$2:U4173,1)=1,1,0),0)</f>
        <v>0</v>
      </c>
    </row>
    <row r="4174" spans="1:22" x14ac:dyDescent="0.35">
      <c r="A4174">
        <v>14173</v>
      </c>
      <c r="B4174" s="1">
        <v>48734</v>
      </c>
      <c r="C4174">
        <v>1939</v>
      </c>
      <c r="D4174" t="s">
        <v>73</v>
      </c>
      <c r="E4174" t="s">
        <v>63</v>
      </c>
      <c r="F4174">
        <v>7</v>
      </c>
      <c r="G4174" s="2">
        <v>576.88</v>
      </c>
      <c r="H4174">
        <v>0.18</v>
      </c>
      <c r="I4174" t="s">
        <v>64</v>
      </c>
      <c r="J4174">
        <v>11</v>
      </c>
      <c r="K4174">
        <v>4.5999999999999996</v>
      </c>
      <c r="L4174" s="2">
        <v>3311.29</v>
      </c>
      <c r="M4174">
        <v>2033</v>
      </c>
      <c r="N4174">
        <v>6</v>
      </c>
      <c r="O4174" t="s">
        <v>217</v>
      </c>
      <c r="P4174" s="2">
        <v>4038.16</v>
      </c>
      <c r="Q4174" s="2">
        <v>726.87</v>
      </c>
      <c r="R4174" t="s">
        <v>76</v>
      </c>
      <c r="S4174">
        <v>1</v>
      </c>
      <c r="T4174">
        <v>1</v>
      </c>
      <c r="U4174">
        <f>IF(AND(OR(Dashboard!$D$4="Semua",D4174=Dashboard!$D$4),OR(Dashboard!$H$4="Semua",E4174=Dashboard!$H$4)),1,0)</f>
        <v>1</v>
      </c>
      <c r="V4174">
        <f>IF(U4174=1,IF(COUNTIFS($C$2:C4174,C4174,$U$2:U4174,1)=1,1,0),0)</f>
        <v>0</v>
      </c>
    </row>
    <row r="4175" spans="1:22" x14ac:dyDescent="0.35">
      <c r="A4175">
        <v>14174</v>
      </c>
      <c r="B4175" s="1">
        <v>48735</v>
      </c>
      <c r="C4175">
        <v>1376</v>
      </c>
      <c r="D4175" t="s">
        <v>67</v>
      </c>
      <c r="E4175" t="s">
        <v>70</v>
      </c>
      <c r="F4175">
        <v>6</v>
      </c>
      <c r="G4175" s="2">
        <v>67.44</v>
      </c>
      <c r="H4175">
        <v>0.15</v>
      </c>
      <c r="I4175" t="s">
        <v>64</v>
      </c>
      <c r="J4175">
        <v>7</v>
      </c>
      <c r="K4175">
        <v>1.8</v>
      </c>
      <c r="L4175" s="2">
        <v>343.94</v>
      </c>
      <c r="M4175">
        <v>2033</v>
      </c>
      <c r="N4175">
        <v>6</v>
      </c>
      <c r="O4175" t="s">
        <v>217</v>
      </c>
      <c r="P4175" s="2">
        <v>404.64</v>
      </c>
      <c r="Q4175" s="2">
        <v>60.7</v>
      </c>
      <c r="R4175" t="s">
        <v>79</v>
      </c>
      <c r="S4175">
        <v>1</v>
      </c>
      <c r="T4175">
        <v>0</v>
      </c>
      <c r="U4175">
        <f>IF(AND(OR(Dashboard!$D$4="Semua",D4175=Dashboard!$D$4),OR(Dashboard!$H$4="Semua",E4175=Dashboard!$H$4)),1,0)</f>
        <v>1</v>
      </c>
      <c r="V4175">
        <f>IF(U4175=1,IF(COUNTIFS($C$2:C4175,C4175,$U$2:U4175,1)=1,1,0),0)</f>
        <v>0</v>
      </c>
    </row>
    <row r="4176" spans="1:22" x14ac:dyDescent="0.35">
      <c r="A4176">
        <v>14175</v>
      </c>
      <c r="B4176" s="1">
        <v>48736</v>
      </c>
      <c r="C4176">
        <v>1394</v>
      </c>
      <c r="D4176" t="s">
        <v>62</v>
      </c>
      <c r="E4176" t="s">
        <v>63</v>
      </c>
      <c r="F4176">
        <v>6</v>
      </c>
      <c r="G4176" s="2">
        <v>414.58</v>
      </c>
      <c r="H4176">
        <v>0.28000000000000003</v>
      </c>
      <c r="I4176" t="s">
        <v>71</v>
      </c>
      <c r="J4176">
        <v>11</v>
      </c>
      <c r="K4176">
        <v>1.9</v>
      </c>
      <c r="L4176" s="2">
        <v>1790.99</v>
      </c>
      <c r="M4176">
        <v>2033</v>
      </c>
      <c r="N4176">
        <v>6</v>
      </c>
      <c r="O4176" t="s">
        <v>217</v>
      </c>
      <c r="P4176" s="2">
        <v>2487.48</v>
      </c>
      <c r="Q4176" s="2">
        <v>696.49</v>
      </c>
      <c r="R4176" t="s">
        <v>66</v>
      </c>
      <c r="S4176">
        <v>1</v>
      </c>
      <c r="T4176">
        <v>0</v>
      </c>
      <c r="U4176">
        <f>IF(AND(OR(Dashboard!$D$4="Semua",D4176=Dashboard!$D$4),OR(Dashboard!$H$4="Semua",E4176=Dashboard!$H$4)),1,0)</f>
        <v>1</v>
      </c>
      <c r="V4176">
        <f>IF(U4176=1,IF(COUNTIFS($C$2:C4176,C4176,$U$2:U4176,1)=1,1,0),0)</f>
        <v>0</v>
      </c>
    </row>
    <row r="4177" spans="1:22" x14ac:dyDescent="0.35">
      <c r="A4177">
        <v>14176</v>
      </c>
      <c r="B4177" s="1">
        <v>48737</v>
      </c>
      <c r="C4177">
        <v>1449</v>
      </c>
      <c r="D4177" t="s">
        <v>67</v>
      </c>
      <c r="E4177" t="s">
        <v>78</v>
      </c>
      <c r="F4177">
        <v>4</v>
      </c>
      <c r="G4177" s="2">
        <v>577.91999999999996</v>
      </c>
      <c r="H4177">
        <v>0.15</v>
      </c>
      <c r="I4177" t="s">
        <v>64</v>
      </c>
      <c r="J4177">
        <v>6</v>
      </c>
      <c r="K4177">
        <v>3.2</v>
      </c>
      <c r="L4177" s="2">
        <v>1964.93</v>
      </c>
      <c r="M4177">
        <v>2033</v>
      </c>
      <c r="N4177">
        <v>6</v>
      </c>
      <c r="O4177" t="s">
        <v>217</v>
      </c>
      <c r="P4177" s="2">
        <v>2311.6799999999998</v>
      </c>
      <c r="Q4177" s="2">
        <v>346.75</v>
      </c>
      <c r="R4177" t="s">
        <v>79</v>
      </c>
      <c r="S4177">
        <v>1</v>
      </c>
      <c r="T4177">
        <v>0</v>
      </c>
      <c r="U4177">
        <f>IF(AND(OR(Dashboard!$D$4="Semua",D4177=Dashboard!$D$4),OR(Dashboard!$H$4="Semua",E4177=Dashboard!$H$4)),1,0)</f>
        <v>1</v>
      </c>
      <c r="V4177">
        <f>IF(U4177=1,IF(COUNTIFS($C$2:C4177,C4177,$U$2:U4177,1)=1,1,0),0)</f>
        <v>0</v>
      </c>
    </row>
    <row r="4178" spans="1:22" x14ac:dyDescent="0.35">
      <c r="A4178">
        <v>14177</v>
      </c>
      <c r="B4178" s="1">
        <v>48738</v>
      </c>
      <c r="C4178">
        <v>1942</v>
      </c>
      <c r="D4178" t="s">
        <v>62</v>
      </c>
      <c r="E4178" t="s">
        <v>74</v>
      </c>
      <c r="F4178">
        <v>5</v>
      </c>
      <c r="G4178" s="2">
        <v>190.84</v>
      </c>
      <c r="H4178">
        <v>0.09</v>
      </c>
      <c r="I4178" t="s">
        <v>71</v>
      </c>
      <c r="J4178">
        <v>10</v>
      </c>
      <c r="K4178">
        <v>3.6</v>
      </c>
      <c r="L4178" s="2">
        <v>868.32</v>
      </c>
      <c r="M4178">
        <v>2033</v>
      </c>
      <c r="N4178">
        <v>6</v>
      </c>
      <c r="O4178" t="s">
        <v>217</v>
      </c>
      <c r="P4178" s="2">
        <v>954.2</v>
      </c>
      <c r="Q4178" s="2">
        <v>85.88</v>
      </c>
      <c r="R4178" t="s">
        <v>69</v>
      </c>
      <c r="S4178">
        <v>1</v>
      </c>
      <c r="T4178">
        <v>0</v>
      </c>
      <c r="U4178">
        <f>IF(AND(OR(Dashboard!$D$4="Semua",D4178=Dashboard!$D$4),OR(Dashboard!$H$4="Semua",E4178=Dashboard!$H$4)),1,0)</f>
        <v>1</v>
      </c>
      <c r="V4178">
        <f>IF(U4178=1,IF(COUNTIFS($C$2:C4178,C4178,$U$2:U4178,1)=1,1,0),0)</f>
        <v>0</v>
      </c>
    </row>
    <row r="4179" spans="1:22" x14ac:dyDescent="0.35">
      <c r="A4179">
        <v>14178</v>
      </c>
      <c r="B4179" s="1">
        <v>48739</v>
      </c>
      <c r="C4179">
        <v>1363</v>
      </c>
      <c r="D4179" t="s">
        <v>80</v>
      </c>
      <c r="E4179" t="s">
        <v>70</v>
      </c>
      <c r="F4179">
        <v>2</v>
      </c>
      <c r="G4179" s="2">
        <v>518.95000000000005</v>
      </c>
      <c r="H4179">
        <v>0.3</v>
      </c>
      <c r="I4179" t="s">
        <v>68</v>
      </c>
      <c r="J4179">
        <v>10</v>
      </c>
      <c r="K4179">
        <v>2.4</v>
      </c>
      <c r="L4179" s="2">
        <v>726.53</v>
      </c>
      <c r="M4179">
        <v>2033</v>
      </c>
      <c r="N4179">
        <v>6</v>
      </c>
      <c r="O4179" t="s">
        <v>217</v>
      </c>
      <c r="P4179" s="2">
        <v>1037.9000000000001</v>
      </c>
      <c r="Q4179" s="2">
        <v>311.37</v>
      </c>
      <c r="R4179" t="s">
        <v>66</v>
      </c>
      <c r="S4179">
        <v>1</v>
      </c>
      <c r="T4179">
        <v>0</v>
      </c>
      <c r="U4179">
        <f>IF(AND(OR(Dashboard!$D$4="Semua",D4179=Dashboard!$D$4),OR(Dashboard!$H$4="Semua",E4179=Dashboard!$H$4)),1,0)</f>
        <v>1</v>
      </c>
      <c r="V4179">
        <f>IF(U4179=1,IF(COUNTIFS($C$2:C4179,C4179,$U$2:U4179,1)=1,1,0),0)</f>
        <v>0</v>
      </c>
    </row>
    <row r="4180" spans="1:22" x14ac:dyDescent="0.35">
      <c r="A4180">
        <v>14179</v>
      </c>
      <c r="B4180" s="1">
        <v>48740</v>
      </c>
      <c r="C4180">
        <v>1875</v>
      </c>
      <c r="D4180" t="s">
        <v>73</v>
      </c>
      <c r="E4180" t="s">
        <v>63</v>
      </c>
      <c r="F4180">
        <v>3</v>
      </c>
      <c r="G4180" s="2">
        <v>561.19000000000005</v>
      </c>
      <c r="H4180">
        <v>0.21</v>
      </c>
      <c r="I4180" t="s">
        <v>71</v>
      </c>
      <c r="J4180">
        <v>11</v>
      </c>
      <c r="K4180">
        <v>3.1</v>
      </c>
      <c r="L4180" s="2">
        <v>1330.02</v>
      </c>
      <c r="M4180">
        <v>2033</v>
      </c>
      <c r="N4180">
        <v>6</v>
      </c>
      <c r="O4180" t="s">
        <v>217</v>
      </c>
      <c r="P4180" s="2">
        <v>1683.57</v>
      </c>
      <c r="Q4180" s="2">
        <v>353.55</v>
      </c>
      <c r="R4180" t="s">
        <v>77</v>
      </c>
      <c r="S4180">
        <v>1</v>
      </c>
      <c r="T4180">
        <v>0</v>
      </c>
      <c r="U4180">
        <f>IF(AND(OR(Dashboard!$D$4="Semua",D4180=Dashboard!$D$4),OR(Dashboard!$H$4="Semua",E4180=Dashboard!$H$4)),1,0)</f>
        <v>1</v>
      </c>
      <c r="V4180">
        <f>IF(U4180=1,IF(COUNTIFS($C$2:C4180,C4180,$U$2:U4180,1)=1,1,0),0)</f>
        <v>0</v>
      </c>
    </row>
    <row r="4181" spans="1:22" x14ac:dyDescent="0.35">
      <c r="A4181">
        <v>14180</v>
      </c>
      <c r="B4181" s="1">
        <v>48741</v>
      </c>
      <c r="C4181">
        <v>1456</v>
      </c>
      <c r="D4181" t="s">
        <v>62</v>
      </c>
      <c r="E4181" t="s">
        <v>70</v>
      </c>
      <c r="F4181">
        <v>4</v>
      </c>
      <c r="G4181" s="2">
        <v>452.05</v>
      </c>
      <c r="H4181">
        <v>0.21</v>
      </c>
      <c r="I4181" t="s">
        <v>68</v>
      </c>
      <c r="J4181">
        <v>9</v>
      </c>
      <c r="K4181">
        <v>1.9</v>
      </c>
      <c r="L4181" s="2">
        <v>1428.48</v>
      </c>
      <c r="M4181">
        <v>2033</v>
      </c>
      <c r="N4181">
        <v>6</v>
      </c>
      <c r="O4181" t="s">
        <v>217</v>
      </c>
      <c r="P4181" s="2">
        <v>1808.2</v>
      </c>
      <c r="Q4181" s="2">
        <v>379.72</v>
      </c>
      <c r="R4181" t="s">
        <v>77</v>
      </c>
      <c r="S4181">
        <v>1</v>
      </c>
      <c r="T4181">
        <v>0</v>
      </c>
      <c r="U4181">
        <f>IF(AND(OR(Dashboard!$D$4="Semua",D4181=Dashboard!$D$4),OR(Dashboard!$H$4="Semua",E4181=Dashboard!$H$4)),1,0)</f>
        <v>1</v>
      </c>
      <c r="V4181">
        <f>IF(U4181=1,IF(COUNTIFS($C$2:C4181,C4181,$U$2:U4181,1)=1,1,0),0)</f>
        <v>0</v>
      </c>
    </row>
    <row r="4182" spans="1:22" x14ac:dyDescent="0.35">
      <c r="A4182">
        <v>14181</v>
      </c>
      <c r="B4182" s="1">
        <v>48742</v>
      </c>
      <c r="C4182">
        <v>1724</v>
      </c>
      <c r="D4182" t="s">
        <v>67</v>
      </c>
      <c r="E4182" t="s">
        <v>63</v>
      </c>
      <c r="F4182">
        <v>4</v>
      </c>
      <c r="G4182" s="2">
        <v>150.33000000000001</v>
      </c>
      <c r="H4182">
        <v>0.21</v>
      </c>
      <c r="I4182" t="s">
        <v>68</v>
      </c>
      <c r="J4182">
        <v>10</v>
      </c>
      <c r="K4182">
        <v>1.5</v>
      </c>
      <c r="L4182" s="2">
        <v>475.04</v>
      </c>
      <c r="M4182">
        <v>2033</v>
      </c>
      <c r="N4182">
        <v>6</v>
      </c>
      <c r="O4182" t="s">
        <v>217</v>
      </c>
      <c r="P4182" s="2">
        <v>601.32000000000005</v>
      </c>
      <c r="Q4182" s="2">
        <v>126.28</v>
      </c>
      <c r="R4182" t="s">
        <v>77</v>
      </c>
      <c r="S4182">
        <v>1</v>
      </c>
      <c r="T4182">
        <v>0</v>
      </c>
      <c r="U4182">
        <f>IF(AND(OR(Dashboard!$D$4="Semua",D4182=Dashboard!$D$4),OR(Dashboard!$H$4="Semua",E4182=Dashboard!$H$4)),1,0)</f>
        <v>1</v>
      </c>
      <c r="V4182">
        <f>IF(U4182=1,IF(COUNTIFS($C$2:C4182,C4182,$U$2:U4182,1)=1,1,0),0)</f>
        <v>0</v>
      </c>
    </row>
    <row r="4183" spans="1:22" x14ac:dyDescent="0.35">
      <c r="A4183">
        <v>14182</v>
      </c>
      <c r="B4183" s="1">
        <v>48743</v>
      </c>
      <c r="C4183">
        <v>1727</v>
      </c>
      <c r="D4183" t="s">
        <v>73</v>
      </c>
      <c r="E4183" t="s">
        <v>63</v>
      </c>
      <c r="F4183">
        <v>6</v>
      </c>
      <c r="G4183" s="2">
        <v>210.39</v>
      </c>
      <c r="H4183">
        <v>0.25</v>
      </c>
      <c r="I4183" t="s">
        <v>64</v>
      </c>
      <c r="J4183">
        <v>2</v>
      </c>
      <c r="K4183">
        <v>2</v>
      </c>
      <c r="L4183" s="2">
        <v>946.75</v>
      </c>
      <c r="M4183">
        <v>2033</v>
      </c>
      <c r="N4183">
        <v>6</v>
      </c>
      <c r="O4183" t="s">
        <v>217</v>
      </c>
      <c r="P4183" s="2">
        <v>1262.3399999999999</v>
      </c>
      <c r="Q4183" s="2">
        <v>315.58999999999997</v>
      </c>
      <c r="R4183" t="s">
        <v>77</v>
      </c>
      <c r="S4183">
        <v>1</v>
      </c>
      <c r="T4183">
        <v>0</v>
      </c>
      <c r="U4183">
        <f>IF(AND(OR(Dashboard!$D$4="Semua",D4183=Dashboard!$D$4),OR(Dashboard!$H$4="Semua",E4183=Dashboard!$H$4)),1,0)</f>
        <v>1</v>
      </c>
      <c r="V4183">
        <f>IF(U4183=1,IF(COUNTIFS($C$2:C4183,C4183,$U$2:U4183,1)=1,1,0),0)</f>
        <v>0</v>
      </c>
    </row>
    <row r="4184" spans="1:22" x14ac:dyDescent="0.35">
      <c r="A4184">
        <v>14183</v>
      </c>
      <c r="B4184" s="1">
        <v>48744</v>
      </c>
      <c r="C4184">
        <v>1225</v>
      </c>
      <c r="D4184" t="s">
        <v>67</v>
      </c>
      <c r="E4184" t="s">
        <v>78</v>
      </c>
      <c r="F4184">
        <v>1</v>
      </c>
      <c r="G4184" s="2">
        <v>35.950000000000003</v>
      </c>
      <c r="H4184">
        <v>0.11</v>
      </c>
      <c r="I4184" t="s">
        <v>71</v>
      </c>
      <c r="J4184">
        <v>7</v>
      </c>
      <c r="K4184">
        <v>4.7</v>
      </c>
      <c r="L4184" s="2">
        <v>32</v>
      </c>
      <c r="M4184">
        <v>2033</v>
      </c>
      <c r="N4184">
        <v>6</v>
      </c>
      <c r="O4184" t="s">
        <v>217</v>
      </c>
      <c r="P4184" s="2">
        <v>35.950000000000003</v>
      </c>
      <c r="Q4184" s="2">
        <v>3.95</v>
      </c>
      <c r="R4184" t="s">
        <v>79</v>
      </c>
      <c r="S4184">
        <v>1</v>
      </c>
      <c r="T4184">
        <v>0</v>
      </c>
      <c r="U4184">
        <f>IF(AND(OR(Dashboard!$D$4="Semua",D4184=Dashboard!$D$4),OR(Dashboard!$H$4="Semua",E4184=Dashboard!$H$4)),1,0)</f>
        <v>1</v>
      </c>
      <c r="V4184">
        <f>IF(U4184=1,IF(COUNTIFS($C$2:C4184,C4184,$U$2:U4184,1)=1,1,0),0)</f>
        <v>0</v>
      </c>
    </row>
    <row r="4185" spans="1:22" x14ac:dyDescent="0.35">
      <c r="A4185">
        <v>14184</v>
      </c>
      <c r="B4185" s="1">
        <v>48745</v>
      </c>
      <c r="C4185">
        <v>1981</v>
      </c>
      <c r="D4185" t="s">
        <v>73</v>
      </c>
      <c r="E4185" t="s">
        <v>78</v>
      </c>
      <c r="F4185">
        <v>7</v>
      </c>
      <c r="G4185" s="2">
        <v>501.4</v>
      </c>
      <c r="H4185">
        <v>0.01</v>
      </c>
      <c r="I4185" t="s">
        <v>68</v>
      </c>
      <c r="J4185">
        <v>1</v>
      </c>
      <c r="K4185">
        <v>4.2</v>
      </c>
      <c r="L4185" s="2">
        <v>3474.7</v>
      </c>
      <c r="M4185">
        <v>2033</v>
      </c>
      <c r="N4185">
        <v>6</v>
      </c>
      <c r="O4185" t="s">
        <v>217</v>
      </c>
      <c r="P4185" s="2">
        <v>3509.8</v>
      </c>
      <c r="Q4185" s="2">
        <v>35.1</v>
      </c>
      <c r="R4185" t="s">
        <v>75</v>
      </c>
      <c r="S4185">
        <v>1</v>
      </c>
      <c r="T4185">
        <v>1</v>
      </c>
      <c r="U4185">
        <f>IF(AND(OR(Dashboard!$D$4="Semua",D4185=Dashboard!$D$4),OR(Dashboard!$H$4="Semua",E4185=Dashboard!$H$4)),1,0)</f>
        <v>1</v>
      </c>
      <c r="V4185">
        <f>IF(U4185=1,IF(COUNTIFS($C$2:C4185,C4185,$U$2:U4185,1)=1,1,0),0)</f>
        <v>0</v>
      </c>
    </row>
    <row r="4186" spans="1:22" x14ac:dyDescent="0.35">
      <c r="A4186">
        <v>14185</v>
      </c>
      <c r="B4186" s="1">
        <v>48746</v>
      </c>
      <c r="C4186">
        <v>1130</v>
      </c>
      <c r="D4186" t="s">
        <v>73</v>
      </c>
      <c r="E4186" t="s">
        <v>63</v>
      </c>
      <c r="F4186">
        <v>6</v>
      </c>
      <c r="G4186" s="2">
        <v>512.02</v>
      </c>
      <c r="H4186">
        <v>0.28000000000000003</v>
      </c>
      <c r="I4186" t="s">
        <v>68</v>
      </c>
      <c r="J4186">
        <v>8</v>
      </c>
      <c r="K4186">
        <v>1.6</v>
      </c>
      <c r="L4186" s="2">
        <v>2211.9299999999998</v>
      </c>
      <c r="M4186">
        <v>2033</v>
      </c>
      <c r="N4186">
        <v>6</v>
      </c>
      <c r="O4186" t="s">
        <v>217</v>
      </c>
      <c r="P4186" s="2">
        <v>3072.12</v>
      </c>
      <c r="Q4186" s="2">
        <v>860.19</v>
      </c>
      <c r="R4186" t="s">
        <v>66</v>
      </c>
      <c r="S4186">
        <v>1</v>
      </c>
      <c r="T4186">
        <v>0</v>
      </c>
      <c r="U4186">
        <f>IF(AND(OR(Dashboard!$D$4="Semua",D4186=Dashboard!$D$4),OR(Dashboard!$H$4="Semua",E4186=Dashboard!$H$4)),1,0)</f>
        <v>1</v>
      </c>
      <c r="V4186">
        <f>IF(U4186=1,IF(COUNTIFS($C$2:C4186,C4186,$U$2:U4186,1)=1,1,0),0)</f>
        <v>0</v>
      </c>
    </row>
    <row r="4187" spans="1:22" x14ac:dyDescent="0.35">
      <c r="A4187">
        <v>14186</v>
      </c>
      <c r="B4187" s="1">
        <v>48747</v>
      </c>
      <c r="C4187">
        <v>1587</v>
      </c>
      <c r="D4187" t="s">
        <v>73</v>
      </c>
      <c r="E4187" t="s">
        <v>74</v>
      </c>
      <c r="F4187">
        <v>2</v>
      </c>
      <c r="G4187" s="2">
        <v>385.14</v>
      </c>
      <c r="H4187">
        <v>0.05</v>
      </c>
      <c r="I4187" t="s">
        <v>68</v>
      </c>
      <c r="J4187">
        <v>4</v>
      </c>
      <c r="K4187">
        <v>1.2</v>
      </c>
      <c r="L4187" s="2">
        <v>731.77</v>
      </c>
      <c r="M4187">
        <v>2033</v>
      </c>
      <c r="N4187">
        <v>6</v>
      </c>
      <c r="O4187" t="s">
        <v>217</v>
      </c>
      <c r="P4187" s="2">
        <v>770.28</v>
      </c>
      <c r="Q4187" s="2">
        <v>38.51</v>
      </c>
      <c r="R4187" t="s">
        <v>75</v>
      </c>
      <c r="S4187">
        <v>1</v>
      </c>
      <c r="T4187">
        <v>0</v>
      </c>
      <c r="U4187">
        <f>IF(AND(OR(Dashboard!$D$4="Semua",D4187=Dashboard!$D$4),OR(Dashboard!$H$4="Semua",E4187=Dashboard!$H$4)),1,0)</f>
        <v>1</v>
      </c>
      <c r="V4187">
        <f>IF(U4187=1,IF(COUNTIFS($C$2:C4187,C4187,$U$2:U4187,1)=1,1,0),0)</f>
        <v>0</v>
      </c>
    </row>
    <row r="4188" spans="1:22" x14ac:dyDescent="0.35">
      <c r="A4188">
        <v>14187</v>
      </c>
      <c r="B4188" s="1">
        <v>48748</v>
      </c>
      <c r="C4188">
        <v>1475</v>
      </c>
      <c r="D4188" t="s">
        <v>67</v>
      </c>
      <c r="E4188" t="s">
        <v>70</v>
      </c>
      <c r="F4188">
        <v>6</v>
      </c>
      <c r="G4188" s="2">
        <v>221.23</v>
      </c>
      <c r="H4188">
        <v>0.25</v>
      </c>
      <c r="I4188" t="s">
        <v>64</v>
      </c>
      <c r="J4188">
        <v>8</v>
      </c>
      <c r="K4188">
        <v>1.4</v>
      </c>
      <c r="L4188" s="2">
        <v>995.53</v>
      </c>
      <c r="M4188">
        <v>2033</v>
      </c>
      <c r="N4188">
        <v>6</v>
      </c>
      <c r="O4188" t="s">
        <v>217</v>
      </c>
      <c r="P4188" s="2">
        <v>1327.38</v>
      </c>
      <c r="Q4188" s="2">
        <v>331.85</v>
      </c>
      <c r="R4188" t="s">
        <v>77</v>
      </c>
      <c r="S4188">
        <v>1</v>
      </c>
      <c r="T4188">
        <v>0</v>
      </c>
      <c r="U4188">
        <f>IF(AND(OR(Dashboard!$D$4="Semua",D4188=Dashboard!$D$4),OR(Dashboard!$H$4="Semua",E4188=Dashboard!$H$4)),1,0)</f>
        <v>1</v>
      </c>
      <c r="V4188">
        <f>IF(U4188=1,IF(COUNTIFS($C$2:C4188,C4188,$U$2:U4188,1)=1,1,0),0)</f>
        <v>0</v>
      </c>
    </row>
    <row r="4189" spans="1:22" x14ac:dyDescent="0.35">
      <c r="A4189">
        <v>14188</v>
      </c>
      <c r="B4189" s="1">
        <v>48749</v>
      </c>
      <c r="C4189">
        <v>1797</v>
      </c>
      <c r="D4189" t="s">
        <v>80</v>
      </c>
      <c r="E4189" t="s">
        <v>70</v>
      </c>
      <c r="F4189">
        <v>3</v>
      </c>
      <c r="G4189" s="2">
        <v>59.93</v>
      </c>
      <c r="H4189">
        <v>0.03</v>
      </c>
      <c r="I4189" t="s">
        <v>71</v>
      </c>
      <c r="J4189">
        <v>8</v>
      </c>
      <c r="K4189">
        <v>2.2000000000000002</v>
      </c>
      <c r="L4189" s="2">
        <v>174.4</v>
      </c>
      <c r="M4189">
        <v>2033</v>
      </c>
      <c r="N4189">
        <v>6</v>
      </c>
      <c r="O4189" t="s">
        <v>217</v>
      </c>
      <c r="P4189" s="2">
        <v>179.79</v>
      </c>
      <c r="Q4189" s="2">
        <v>5.39</v>
      </c>
      <c r="R4189" t="s">
        <v>75</v>
      </c>
      <c r="S4189">
        <v>1</v>
      </c>
      <c r="T4189">
        <v>0</v>
      </c>
      <c r="U4189">
        <f>IF(AND(OR(Dashboard!$D$4="Semua",D4189=Dashboard!$D$4),OR(Dashboard!$H$4="Semua",E4189=Dashboard!$H$4)),1,0)</f>
        <v>1</v>
      </c>
      <c r="V4189">
        <f>IF(U4189=1,IF(COUNTIFS($C$2:C4189,C4189,$U$2:U4189,1)=1,1,0),0)</f>
        <v>0</v>
      </c>
    </row>
    <row r="4190" spans="1:22" x14ac:dyDescent="0.35">
      <c r="A4190">
        <v>14189</v>
      </c>
      <c r="B4190" s="1">
        <v>48750</v>
      </c>
      <c r="C4190">
        <v>1985</v>
      </c>
      <c r="D4190" t="s">
        <v>67</v>
      </c>
      <c r="E4190" t="s">
        <v>78</v>
      </c>
      <c r="F4190">
        <v>5</v>
      </c>
      <c r="G4190" s="2">
        <v>455.54</v>
      </c>
      <c r="H4190">
        <v>0.13</v>
      </c>
      <c r="I4190" t="s">
        <v>71</v>
      </c>
      <c r="J4190">
        <v>4</v>
      </c>
      <c r="K4190">
        <v>4.2</v>
      </c>
      <c r="L4190" s="2">
        <v>1981.6</v>
      </c>
      <c r="M4190">
        <v>2033</v>
      </c>
      <c r="N4190">
        <v>6</v>
      </c>
      <c r="O4190" t="s">
        <v>217</v>
      </c>
      <c r="P4190" s="2">
        <v>2277.6999999999998</v>
      </c>
      <c r="Q4190" s="2">
        <v>296.10000000000002</v>
      </c>
      <c r="R4190" t="s">
        <v>79</v>
      </c>
      <c r="S4190">
        <v>1</v>
      </c>
      <c r="T4190">
        <v>0</v>
      </c>
      <c r="U4190">
        <f>IF(AND(OR(Dashboard!$D$4="Semua",D4190=Dashboard!$D$4),OR(Dashboard!$H$4="Semua",E4190=Dashboard!$H$4)),1,0)</f>
        <v>1</v>
      </c>
      <c r="V4190">
        <f>IF(U4190=1,IF(COUNTIFS($C$2:C4190,C4190,$U$2:U4190,1)=1,1,0),0)</f>
        <v>0</v>
      </c>
    </row>
    <row r="4191" spans="1:22" x14ac:dyDescent="0.35">
      <c r="A4191">
        <v>14190</v>
      </c>
      <c r="B4191" s="1">
        <v>48751</v>
      </c>
      <c r="C4191">
        <v>1276</v>
      </c>
      <c r="D4191" t="s">
        <v>62</v>
      </c>
      <c r="E4191" t="s">
        <v>74</v>
      </c>
      <c r="F4191">
        <v>7</v>
      </c>
      <c r="G4191" s="2">
        <v>440.02</v>
      </c>
      <c r="H4191">
        <v>0.02</v>
      </c>
      <c r="I4191" t="s">
        <v>71</v>
      </c>
      <c r="J4191">
        <v>4</v>
      </c>
      <c r="K4191">
        <v>2.2999999999999998</v>
      </c>
      <c r="L4191" s="2">
        <v>3018.54</v>
      </c>
      <c r="M4191">
        <v>2033</v>
      </c>
      <c r="N4191">
        <v>6</v>
      </c>
      <c r="O4191" t="s">
        <v>217</v>
      </c>
      <c r="P4191" s="2">
        <v>3080.14</v>
      </c>
      <c r="Q4191" s="2">
        <v>61.6</v>
      </c>
      <c r="R4191" t="s">
        <v>75</v>
      </c>
      <c r="S4191">
        <v>1</v>
      </c>
      <c r="T4191">
        <v>0</v>
      </c>
      <c r="U4191">
        <f>IF(AND(OR(Dashboard!$D$4="Semua",D4191=Dashboard!$D$4),OR(Dashboard!$H$4="Semua",E4191=Dashboard!$H$4)),1,0)</f>
        <v>1</v>
      </c>
      <c r="V4191">
        <f>IF(U4191=1,IF(COUNTIFS($C$2:C4191,C4191,$U$2:U4191,1)=1,1,0),0)</f>
        <v>0</v>
      </c>
    </row>
    <row r="4192" spans="1:22" x14ac:dyDescent="0.35">
      <c r="A4192">
        <v>14191</v>
      </c>
      <c r="B4192" s="1">
        <v>48752</v>
      </c>
      <c r="C4192">
        <v>1155</v>
      </c>
      <c r="D4192" t="s">
        <v>73</v>
      </c>
      <c r="E4192" t="s">
        <v>63</v>
      </c>
      <c r="F4192">
        <v>3</v>
      </c>
      <c r="G4192" s="2">
        <v>548.87</v>
      </c>
      <c r="H4192">
        <v>0.18</v>
      </c>
      <c r="I4192" t="s">
        <v>71</v>
      </c>
      <c r="J4192">
        <v>5</v>
      </c>
      <c r="K4192">
        <v>1.7</v>
      </c>
      <c r="L4192" s="2">
        <v>1350.22</v>
      </c>
      <c r="M4192">
        <v>2033</v>
      </c>
      <c r="N4192">
        <v>6</v>
      </c>
      <c r="O4192" t="s">
        <v>217</v>
      </c>
      <c r="P4192" s="2">
        <v>1646.61</v>
      </c>
      <c r="Q4192" s="2">
        <v>296.39</v>
      </c>
      <c r="R4192" t="s">
        <v>76</v>
      </c>
      <c r="S4192">
        <v>1</v>
      </c>
      <c r="T4192">
        <v>0</v>
      </c>
      <c r="U4192">
        <f>IF(AND(OR(Dashboard!$D$4="Semua",D4192=Dashboard!$D$4),OR(Dashboard!$H$4="Semua",E4192=Dashboard!$H$4)),1,0)</f>
        <v>1</v>
      </c>
      <c r="V4192">
        <f>IF(U4192=1,IF(COUNTIFS($C$2:C4192,C4192,$U$2:U4192,1)=1,1,0),0)</f>
        <v>0</v>
      </c>
    </row>
    <row r="4193" spans="1:22" x14ac:dyDescent="0.35">
      <c r="A4193">
        <v>14192</v>
      </c>
      <c r="B4193" s="1">
        <v>48753</v>
      </c>
      <c r="C4193">
        <v>1759</v>
      </c>
      <c r="D4193" t="s">
        <v>73</v>
      </c>
      <c r="E4193" t="s">
        <v>78</v>
      </c>
      <c r="F4193">
        <v>5</v>
      </c>
      <c r="G4193" s="2">
        <v>442.36</v>
      </c>
      <c r="H4193">
        <v>0.23</v>
      </c>
      <c r="I4193" t="s">
        <v>71</v>
      </c>
      <c r="J4193">
        <v>7</v>
      </c>
      <c r="K4193">
        <v>2.6</v>
      </c>
      <c r="L4193" s="2">
        <v>1703.09</v>
      </c>
      <c r="M4193">
        <v>2033</v>
      </c>
      <c r="N4193">
        <v>6</v>
      </c>
      <c r="O4193" t="s">
        <v>217</v>
      </c>
      <c r="P4193" s="2">
        <v>2211.8000000000002</v>
      </c>
      <c r="Q4193" s="2">
        <v>508.71</v>
      </c>
      <c r="R4193" t="s">
        <v>77</v>
      </c>
      <c r="S4193">
        <v>1</v>
      </c>
      <c r="T4193">
        <v>0</v>
      </c>
      <c r="U4193">
        <f>IF(AND(OR(Dashboard!$D$4="Semua",D4193=Dashboard!$D$4),OR(Dashboard!$H$4="Semua",E4193=Dashboard!$H$4)),1,0)</f>
        <v>1</v>
      </c>
      <c r="V4193">
        <f>IF(U4193=1,IF(COUNTIFS($C$2:C4193,C4193,$U$2:U4193,1)=1,1,0),0)</f>
        <v>0</v>
      </c>
    </row>
    <row r="4194" spans="1:22" x14ac:dyDescent="0.35">
      <c r="A4194">
        <v>14193</v>
      </c>
      <c r="B4194" s="1">
        <v>48754</v>
      </c>
      <c r="C4194">
        <v>1217</v>
      </c>
      <c r="D4194" t="s">
        <v>73</v>
      </c>
      <c r="E4194" t="s">
        <v>63</v>
      </c>
      <c r="F4194">
        <v>3</v>
      </c>
      <c r="G4194" s="2">
        <v>499.79</v>
      </c>
      <c r="H4194">
        <v>0.06</v>
      </c>
      <c r="I4194" t="s">
        <v>71</v>
      </c>
      <c r="J4194">
        <v>6</v>
      </c>
      <c r="K4194">
        <v>1.5</v>
      </c>
      <c r="L4194" s="2">
        <v>1409.41</v>
      </c>
      <c r="M4194">
        <v>2033</v>
      </c>
      <c r="N4194">
        <v>6</v>
      </c>
      <c r="O4194" t="s">
        <v>217</v>
      </c>
      <c r="P4194" s="2">
        <v>1499.37</v>
      </c>
      <c r="Q4194" s="2">
        <v>89.96</v>
      </c>
      <c r="R4194" t="s">
        <v>69</v>
      </c>
      <c r="S4194">
        <v>1</v>
      </c>
      <c r="T4194">
        <v>0</v>
      </c>
      <c r="U4194">
        <f>IF(AND(OR(Dashboard!$D$4="Semua",D4194=Dashboard!$D$4),OR(Dashboard!$H$4="Semua",E4194=Dashboard!$H$4)),1,0)</f>
        <v>1</v>
      </c>
      <c r="V4194">
        <f>IF(U4194=1,IF(COUNTIFS($C$2:C4194,C4194,$U$2:U4194,1)=1,1,0),0)</f>
        <v>0</v>
      </c>
    </row>
    <row r="4195" spans="1:22" x14ac:dyDescent="0.35">
      <c r="A4195">
        <v>14194</v>
      </c>
      <c r="B4195" s="1">
        <v>48755</v>
      </c>
      <c r="C4195">
        <v>1189</v>
      </c>
      <c r="D4195" t="s">
        <v>73</v>
      </c>
      <c r="E4195" t="s">
        <v>63</v>
      </c>
      <c r="F4195">
        <v>7</v>
      </c>
      <c r="G4195" s="2">
        <v>451.38</v>
      </c>
      <c r="H4195">
        <v>0.13</v>
      </c>
      <c r="I4195" t="s">
        <v>64</v>
      </c>
      <c r="J4195">
        <v>1</v>
      </c>
      <c r="K4195">
        <v>2.9</v>
      </c>
      <c r="L4195" s="2">
        <v>2748.9</v>
      </c>
      <c r="M4195">
        <v>2033</v>
      </c>
      <c r="N4195">
        <v>6</v>
      </c>
      <c r="O4195" t="s">
        <v>217</v>
      </c>
      <c r="P4195" s="2">
        <v>3159.66</v>
      </c>
      <c r="Q4195" s="2">
        <v>410.76</v>
      </c>
      <c r="R4195" t="s">
        <v>79</v>
      </c>
      <c r="S4195">
        <v>1</v>
      </c>
      <c r="T4195">
        <v>0</v>
      </c>
      <c r="U4195">
        <f>IF(AND(OR(Dashboard!$D$4="Semua",D4195=Dashboard!$D$4),OR(Dashboard!$H$4="Semua",E4195=Dashboard!$H$4)),1,0)</f>
        <v>1</v>
      </c>
      <c r="V4195">
        <f>IF(U4195=1,IF(COUNTIFS($C$2:C4195,C4195,$U$2:U4195,1)=1,1,0),0)</f>
        <v>0</v>
      </c>
    </row>
    <row r="4196" spans="1:22" x14ac:dyDescent="0.35">
      <c r="A4196">
        <v>14195</v>
      </c>
      <c r="B4196" s="1">
        <v>48756</v>
      </c>
      <c r="C4196">
        <v>1416</v>
      </c>
      <c r="D4196" t="s">
        <v>73</v>
      </c>
      <c r="E4196" t="s">
        <v>78</v>
      </c>
      <c r="F4196">
        <v>6</v>
      </c>
      <c r="G4196" s="2">
        <v>383.95</v>
      </c>
      <c r="H4196">
        <v>0.33</v>
      </c>
      <c r="I4196" t="s">
        <v>64</v>
      </c>
      <c r="J4196">
        <v>6</v>
      </c>
      <c r="K4196">
        <v>3.7</v>
      </c>
      <c r="L4196" s="2">
        <v>1543.48</v>
      </c>
      <c r="M4196">
        <v>2033</v>
      </c>
      <c r="N4196">
        <v>6</v>
      </c>
      <c r="O4196" t="s">
        <v>217</v>
      </c>
      <c r="P4196" s="2">
        <v>2303.6999999999998</v>
      </c>
      <c r="Q4196" s="2">
        <v>760.22</v>
      </c>
      <c r="R4196" t="s">
        <v>72</v>
      </c>
      <c r="S4196">
        <v>1</v>
      </c>
      <c r="T4196">
        <v>0</v>
      </c>
      <c r="U4196">
        <f>IF(AND(OR(Dashboard!$D$4="Semua",D4196=Dashboard!$D$4),OR(Dashboard!$H$4="Semua",E4196=Dashboard!$H$4)),1,0)</f>
        <v>1</v>
      </c>
      <c r="V4196">
        <f>IF(U4196=1,IF(COUNTIFS($C$2:C4196,C4196,$U$2:U4196,1)=1,1,0),0)</f>
        <v>0</v>
      </c>
    </row>
    <row r="4197" spans="1:22" x14ac:dyDescent="0.35">
      <c r="A4197">
        <v>14196</v>
      </c>
      <c r="B4197" s="1">
        <v>48757</v>
      </c>
      <c r="C4197">
        <v>1980</v>
      </c>
      <c r="D4197" t="s">
        <v>80</v>
      </c>
      <c r="E4197" t="s">
        <v>74</v>
      </c>
      <c r="F4197">
        <v>3</v>
      </c>
      <c r="G4197" s="2">
        <v>264.77999999999997</v>
      </c>
      <c r="H4197">
        <v>0.15</v>
      </c>
      <c r="I4197" t="s">
        <v>64</v>
      </c>
      <c r="J4197">
        <v>3</v>
      </c>
      <c r="K4197">
        <v>2.5</v>
      </c>
      <c r="L4197" s="2">
        <v>675.19</v>
      </c>
      <c r="M4197">
        <v>2033</v>
      </c>
      <c r="N4197">
        <v>6</v>
      </c>
      <c r="O4197" t="s">
        <v>217</v>
      </c>
      <c r="P4197" s="2">
        <v>794.34</v>
      </c>
      <c r="Q4197" s="2">
        <v>119.15</v>
      </c>
      <c r="R4197" t="s">
        <v>79</v>
      </c>
      <c r="S4197">
        <v>1</v>
      </c>
      <c r="T4197">
        <v>0</v>
      </c>
      <c r="U4197">
        <f>IF(AND(OR(Dashboard!$D$4="Semua",D4197=Dashboard!$D$4),OR(Dashboard!$H$4="Semua",E4197=Dashboard!$H$4)),1,0)</f>
        <v>1</v>
      </c>
      <c r="V4197">
        <f>IF(U4197=1,IF(COUNTIFS($C$2:C4197,C4197,$U$2:U4197,1)=1,1,0),0)</f>
        <v>0</v>
      </c>
    </row>
    <row r="4198" spans="1:22" x14ac:dyDescent="0.35">
      <c r="A4198">
        <v>14197</v>
      </c>
      <c r="B4198" s="1">
        <v>48758</v>
      </c>
      <c r="C4198">
        <v>1674</v>
      </c>
      <c r="D4198" t="s">
        <v>62</v>
      </c>
      <c r="E4198" t="s">
        <v>70</v>
      </c>
      <c r="F4198">
        <v>6</v>
      </c>
      <c r="G4198" s="2">
        <v>542.74</v>
      </c>
      <c r="H4198">
        <v>0.28000000000000003</v>
      </c>
      <c r="I4198" t="s">
        <v>71</v>
      </c>
      <c r="J4198">
        <v>9</v>
      </c>
      <c r="K4198">
        <v>1.7</v>
      </c>
      <c r="L4198" s="2">
        <v>2344.64</v>
      </c>
      <c r="M4198">
        <v>2033</v>
      </c>
      <c r="N4198">
        <v>6</v>
      </c>
      <c r="O4198" t="s">
        <v>217</v>
      </c>
      <c r="P4198" s="2">
        <v>3256.44</v>
      </c>
      <c r="Q4198" s="2">
        <v>911.8</v>
      </c>
      <c r="R4198" t="s">
        <v>66</v>
      </c>
      <c r="S4198">
        <v>1</v>
      </c>
      <c r="T4198">
        <v>0</v>
      </c>
      <c r="U4198">
        <f>IF(AND(OR(Dashboard!$D$4="Semua",D4198=Dashboard!$D$4),OR(Dashboard!$H$4="Semua",E4198=Dashboard!$H$4)),1,0)</f>
        <v>1</v>
      </c>
      <c r="V4198">
        <f>IF(U4198=1,IF(COUNTIFS($C$2:C4198,C4198,$U$2:U4198,1)=1,1,0),0)</f>
        <v>0</v>
      </c>
    </row>
    <row r="4199" spans="1:22" x14ac:dyDescent="0.35">
      <c r="A4199">
        <v>14198</v>
      </c>
      <c r="B4199" s="1">
        <v>48759</v>
      </c>
      <c r="C4199">
        <v>1691</v>
      </c>
      <c r="D4199" t="s">
        <v>62</v>
      </c>
      <c r="E4199" t="s">
        <v>78</v>
      </c>
      <c r="F4199">
        <v>7</v>
      </c>
      <c r="G4199" s="2">
        <v>395.82</v>
      </c>
      <c r="H4199">
        <v>0.32</v>
      </c>
      <c r="I4199" t="s">
        <v>64</v>
      </c>
      <c r="J4199">
        <v>3</v>
      </c>
      <c r="K4199">
        <v>2.8</v>
      </c>
      <c r="L4199" s="2">
        <v>1884.1</v>
      </c>
      <c r="M4199">
        <v>2033</v>
      </c>
      <c r="N4199">
        <v>6</v>
      </c>
      <c r="O4199" t="s">
        <v>217</v>
      </c>
      <c r="P4199" s="2">
        <v>2770.74</v>
      </c>
      <c r="Q4199" s="2">
        <v>886.64</v>
      </c>
      <c r="R4199" t="s">
        <v>72</v>
      </c>
      <c r="S4199">
        <v>1</v>
      </c>
      <c r="T4199">
        <v>0</v>
      </c>
      <c r="U4199">
        <f>IF(AND(OR(Dashboard!$D$4="Semua",D4199=Dashboard!$D$4),OR(Dashboard!$H$4="Semua",E4199=Dashboard!$H$4)),1,0)</f>
        <v>1</v>
      </c>
      <c r="V4199">
        <f>IF(U4199=1,IF(COUNTIFS($C$2:C4199,C4199,$U$2:U4199,1)=1,1,0),0)</f>
        <v>0</v>
      </c>
    </row>
    <row r="4200" spans="1:22" x14ac:dyDescent="0.35">
      <c r="A4200">
        <v>14199</v>
      </c>
      <c r="B4200" s="1">
        <v>48760</v>
      </c>
      <c r="C4200">
        <v>1545</v>
      </c>
      <c r="D4200" t="s">
        <v>73</v>
      </c>
      <c r="E4200" t="s">
        <v>74</v>
      </c>
      <c r="F4200">
        <v>6</v>
      </c>
      <c r="G4200" s="2">
        <v>248.04</v>
      </c>
      <c r="H4200">
        <v>0.34</v>
      </c>
      <c r="I4200" t="s">
        <v>68</v>
      </c>
      <c r="J4200">
        <v>9</v>
      </c>
      <c r="K4200">
        <v>4</v>
      </c>
      <c r="L4200" s="2">
        <v>982.24</v>
      </c>
      <c r="M4200">
        <v>2033</v>
      </c>
      <c r="N4200">
        <v>6</v>
      </c>
      <c r="O4200" t="s">
        <v>217</v>
      </c>
      <c r="P4200" s="2">
        <v>1488.24</v>
      </c>
      <c r="Q4200" s="2">
        <v>506</v>
      </c>
      <c r="R4200" t="s">
        <v>72</v>
      </c>
      <c r="S4200">
        <v>1</v>
      </c>
      <c r="T4200">
        <v>0</v>
      </c>
      <c r="U4200">
        <f>IF(AND(OR(Dashboard!$D$4="Semua",D4200=Dashboard!$D$4),OR(Dashboard!$H$4="Semua",E4200=Dashboard!$H$4)),1,0)</f>
        <v>1</v>
      </c>
      <c r="V4200">
        <f>IF(U4200=1,IF(COUNTIFS($C$2:C4200,C4200,$U$2:U4200,1)=1,1,0),0)</f>
        <v>0</v>
      </c>
    </row>
    <row r="4201" spans="1:22" x14ac:dyDescent="0.35">
      <c r="A4201">
        <v>14200</v>
      </c>
      <c r="B4201" s="1">
        <v>48761</v>
      </c>
      <c r="C4201">
        <v>1040</v>
      </c>
      <c r="D4201" t="s">
        <v>62</v>
      </c>
      <c r="E4201" t="s">
        <v>63</v>
      </c>
      <c r="F4201">
        <v>2</v>
      </c>
      <c r="G4201" s="2">
        <v>63.83</v>
      </c>
      <c r="H4201">
        <v>0.31</v>
      </c>
      <c r="I4201" t="s">
        <v>64</v>
      </c>
      <c r="J4201">
        <v>5</v>
      </c>
      <c r="K4201">
        <v>1.3</v>
      </c>
      <c r="L4201" s="2">
        <v>88.09</v>
      </c>
      <c r="M4201">
        <v>2033</v>
      </c>
      <c r="N4201">
        <v>7</v>
      </c>
      <c r="O4201" t="s">
        <v>218</v>
      </c>
      <c r="P4201" s="2">
        <v>127.66</v>
      </c>
      <c r="Q4201" s="2">
        <v>39.57</v>
      </c>
      <c r="R4201" t="s">
        <v>72</v>
      </c>
      <c r="S4201">
        <v>1</v>
      </c>
      <c r="T4201">
        <v>0</v>
      </c>
      <c r="U4201">
        <f>IF(AND(OR(Dashboard!$D$4="Semua",D4201=Dashboard!$D$4),OR(Dashboard!$H$4="Semua",E4201=Dashboard!$H$4)),1,0)</f>
        <v>1</v>
      </c>
      <c r="V4201">
        <f>IF(U4201=1,IF(COUNTIFS($C$2:C4201,C4201,$U$2:U4201,1)=1,1,0),0)</f>
        <v>0</v>
      </c>
    </row>
    <row r="4202" spans="1:22" x14ac:dyDescent="0.35">
      <c r="A4202">
        <v>14201</v>
      </c>
      <c r="B4202" s="1">
        <v>48762</v>
      </c>
      <c r="C4202">
        <v>1306</v>
      </c>
      <c r="D4202" t="s">
        <v>73</v>
      </c>
      <c r="E4202" t="s">
        <v>78</v>
      </c>
      <c r="F4202">
        <v>6</v>
      </c>
      <c r="G4202" s="2">
        <v>185.06</v>
      </c>
      <c r="H4202">
        <v>0.11</v>
      </c>
      <c r="I4202" t="s">
        <v>64</v>
      </c>
      <c r="J4202">
        <v>10</v>
      </c>
      <c r="K4202">
        <v>1.3</v>
      </c>
      <c r="L4202" s="2">
        <v>988.22</v>
      </c>
      <c r="M4202">
        <v>2033</v>
      </c>
      <c r="N4202">
        <v>7</v>
      </c>
      <c r="O4202" t="s">
        <v>218</v>
      </c>
      <c r="P4202" s="2">
        <v>1110.3599999999999</v>
      </c>
      <c r="Q4202" s="2">
        <v>122.14</v>
      </c>
      <c r="R4202" t="s">
        <v>79</v>
      </c>
      <c r="S4202">
        <v>1</v>
      </c>
      <c r="T4202">
        <v>0</v>
      </c>
      <c r="U4202">
        <f>IF(AND(OR(Dashboard!$D$4="Semua",D4202=Dashboard!$D$4),OR(Dashboard!$H$4="Semua",E4202=Dashboard!$H$4)),1,0)</f>
        <v>1</v>
      </c>
      <c r="V4202">
        <f>IF(U4202=1,IF(COUNTIFS($C$2:C4202,C4202,$U$2:U4202,1)=1,1,0),0)</f>
        <v>0</v>
      </c>
    </row>
    <row r="4203" spans="1:22" x14ac:dyDescent="0.35">
      <c r="A4203">
        <v>14202</v>
      </c>
      <c r="B4203" s="1">
        <v>48763</v>
      </c>
      <c r="C4203">
        <v>1942</v>
      </c>
      <c r="D4203" t="s">
        <v>73</v>
      </c>
      <c r="E4203" t="s">
        <v>70</v>
      </c>
      <c r="F4203">
        <v>1</v>
      </c>
      <c r="G4203" s="2">
        <v>333.08</v>
      </c>
      <c r="H4203">
        <v>0.34</v>
      </c>
      <c r="I4203" t="s">
        <v>64</v>
      </c>
      <c r="J4203">
        <v>8</v>
      </c>
      <c r="K4203">
        <v>2.2999999999999998</v>
      </c>
      <c r="L4203" s="2">
        <v>219.83</v>
      </c>
      <c r="M4203">
        <v>2033</v>
      </c>
      <c r="N4203">
        <v>7</v>
      </c>
      <c r="O4203" t="s">
        <v>218</v>
      </c>
      <c r="P4203" s="2">
        <v>333.08</v>
      </c>
      <c r="Q4203" s="2">
        <v>113.25</v>
      </c>
      <c r="R4203" t="s">
        <v>72</v>
      </c>
      <c r="S4203">
        <v>1</v>
      </c>
      <c r="T4203">
        <v>0</v>
      </c>
      <c r="U4203">
        <f>IF(AND(OR(Dashboard!$D$4="Semua",D4203=Dashboard!$D$4),OR(Dashboard!$H$4="Semua",E4203=Dashboard!$H$4)),1,0)</f>
        <v>1</v>
      </c>
      <c r="V4203">
        <f>IF(U4203=1,IF(COUNTIFS($C$2:C4203,C4203,$U$2:U4203,1)=1,1,0),0)</f>
        <v>0</v>
      </c>
    </row>
    <row r="4204" spans="1:22" x14ac:dyDescent="0.35">
      <c r="A4204">
        <v>14203</v>
      </c>
      <c r="B4204" s="1">
        <v>48764</v>
      </c>
      <c r="C4204">
        <v>1337</v>
      </c>
      <c r="D4204" t="s">
        <v>62</v>
      </c>
      <c r="E4204" t="s">
        <v>70</v>
      </c>
      <c r="F4204">
        <v>3</v>
      </c>
      <c r="G4204" s="2">
        <v>176.25</v>
      </c>
      <c r="H4204">
        <v>0.28000000000000003</v>
      </c>
      <c r="I4204" t="s">
        <v>64</v>
      </c>
      <c r="J4204">
        <v>9</v>
      </c>
      <c r="K4204">
        <v>2.7</v>
      </c>
      <c r="L4204" s="2">
        <v>380.7</v>
      </c>
      <c r="M4204">
        <v>2033</v>
      </c>
      <c r="N4204">
        <v>7</v>
      </c>
      <c r="O4204" t="s">
        <v>218</v>
      </c>
      <c r="P4204" s="2">
        <v>528.75</v>
      </c>
      <c r="Q4204" s="2">
        <v>148.05000000000001</v>
      </c>
      <c r="R4204" t="s">
        <v>66</v>
      </c>
      <c r="S4204">
        <v>1</v>
      </c>
      <c r="T4204">
        <v>0</v>
      </c>
      <c r="U4204">
        <f>IF(AND(OR(Dashboard!$D$4="Semua",D4204=Dashboard!$D$4),OR(Dashboard!$H$4="Semua",E4204=Dashboard!$H$4)),1,0)</f>
        <v>1</v>
      </c>
      <c r="V4204">
        <f>IF(U4204=1,IF(COUNTIFS($C$2:C4204,C4204,$U$2:U4204,1)=1,1,0),0)</f>
        <v>0</v>
      </c>
    </row>
    <row r="4205" spans="1:22" x14ac:dyDescent="0.35">
      <c r="A4205">
        <v>14204</v>
      </c>
      <c r="B4205" s="1">
        <v>48765</v>
      </c>
      <c r="C4205">
        <v>1313</v>
      </c>
      <c r="D4205" t="s">
        <v>67</v>
      </c>
      <c r="E4205" t="s">
        <v>63</v>
      </c>
      <c r="F4205">
        <v>7</v>
      </c>
      <c r="G4205" s="2">
        <v>144.41999999999999</v>
      </c>
      <c r="H4205">
        <v>0.28999999999999998</v>
      </c>
      <c r="I4205" t="s">
        <v>68</v>
      </c>
      <c r="J4205">
        <v>9</v>
      </c>
      <c r="K4205">
        <v>1.9</v>
      </c>
      <c r="L4205" s="2">
        <v>717.77</v>
      </c>
      <c r="M4205">
        <v>2033</v>
      </c>
      <c r="N4205">
        <v>7</v>
      </c>
      <c r="O4205" t="s">
        <v>218</v>
      </c>
      <c r="P4205" s="2">
        <v>1010.94</v>
      </c>
      <c r="Q4205" s="2">
        <v>293.17</v>
      </c>
      <c r="R4205" t="s">
        <v>66</v>
      </c>
      <c r="S4205">
        <v>1</v>
      </c>
      <c r="T4205">
        <v>0</v>
      </c>
      <c r="U4205">
        <f>IF(AND(OR(Dashboard!$D$4="Semua",D4205=Dashboard!$D$4),OR(Dashboard!$H$4="Semua",E4205=Dashboard!$H$4)),1,0)</f>
        <v>1</v>
      </c>
      <c r="V4205">
        <f>IF(U4205=1,IF(COUNTIFS($C$2:C4205,C4205,$U$2:U4205,1)=1,1,0),0)</f>
        <v>0</v>
      </c>
    </row>
    <row r="4206" spans="1:22" x14ac:dyDescent="0.35">
      <c r="A4206">
        <v>14205</v>
      </c>
      <c r="B4206" s="1">
        <v>48766</v>
      </c>
      <c r="C4206">
        <v>1074</v>
      </c>
      <c r="D4206" t="s">
        <v>73</v>
      </c>
      <c r="E4206" t="s">
        <v>78</v>
      </c>
      <c r="F4206">
        <v>4</v>
      </c>
      <c r="G4206" s="2">
        <v>323.52999999999997</v>
      </c>
      <c r="H4206">
        <v>0.01</v>
      </c>
      <c r="I4206" t="s">
        <v>68</v>
      </c>
      <c r="J4206">
        <v>7</v>
      </c>
      <c r="K4206">
        <v>1.1000000000000001</v>
      </c>
      <c r="L4206" s="2">
        <v>1281.18</v>
      </c>
      <c r="M4206">
        <v>2033</v>
      </c>
      <c r="N4206">
        <v>7</v>
      </c>
      <c r="O4206" t="s">
        <v>218</v>
      </c>
      <c r="P4206" s="2">
        <v>1294.1199999999999</v>
      </c>
      <c r="Q4206" s="2">
        <v>12.94</v>
      </c>
      <c r="R4206" t="s">
        <v>75</v>
      </c>
      <c r="S4206">
        <v>1</v>
      </c>
      <c r="T4206">
        <v>0</v>
      </c>
      <c r="U4206">
        <f>IF(AND(OR(Dashboard!$D$4="Semua",D4206=Dashboard!$D$4),OR(Dashboard!$H$4="Semua",E4206=Dashboard!$H$4)),1,0)</f>
        <v>1</v>
      </c>
      <c r="V4206">
        <f>IF(U4206=1,IF(COUNTIFS($C$2:C4206,C4206,$U$2:U4206,1)=1,1,0),0)</f>
        <v>0</v>
      </c>
    </row>
    <row r="4207" spans="1:22" x14ac:dyDescent="0.35">
      <c r="A4207">
        <v>14206</v>
      </c>
      <c r="B4207" s="1">
        <v>48767</v>
      </c>
      <c r="C4207">
        <v>1952</v>
      </c>
      <c r="D4207" t="s">
        <v>67</v>
      </c>
      <c r="E4207" t="s">
        <v>70</v>
      </c>
      <c r="F4207">
        <v>4</v>
      </c>
      <c r="G4207" s="2">
        <v>114.34</v>
      </c>
      <c r="H4207">
        <v>0.33</v>
      </c>
      <c r="I4207" t="s">
        <v>68</v>
      </c>
      <c r="J4207">
        <v>10</v>
      </c>
      <c r="K4207">
        <v>1.9</v>
      </c>
      <c r="L4207" s="2">
        <v>306.43</v>
      </c>
      <c r="M4207">
        <v>2033</v>
      </c>
      <c r="N4207">
        <v>7</v>
      </c>
      <c r="O4207" t="s">
        <v>218</v>
      </c>
      <c r="P4207" s="2">
        <v>457.36</v>
      </c>
      <c r="Q4207" s="2">
        <v>150.93</v>
      </c>
      <c r="R4207" t="s">
        <v>72</v>
      </c>
      <c r="S4207">
        <v>1</v>
      </c>
      <c r="T4207">
        <v>0</v>
      </c>
      <c r="U4207">
        <f>IF(AND(OR(Dashboard!$D$4="Semua",D4207=Dashboard!$D$4),OR(Dashboard!$H$4="Semua",E4207=Dashboard!$H$4)),1,0)</f>
        <v>1</v>
      </c>
      <c r="V4207">
        <f>IF(U4207=1,IF(COUNTIFS($C$2:C4207,C4207,$U$2:U4207,1)=1,1,0),0)</f>
        <v>0</v>
      </c>
    </row>
    <row r="4208" spans="1:22" x14ac:dyDescent="0.35">
      <c r="A4208">
        <v>14207</v>
      </c>
      <c r="B4208" s="1">
        <v>48768</v>
      </c>
      <c r="C4208">
        <v>1278</v>
      </c>
      <c r="D4208" t="s">
        <v>73</v>
      </c>
      <c r="E4208" t="s">
        <v>78</v>
      </c>
      <c r="F4208">
        <v>4</v>
      </c>
      <c r="G4208" s="2">
        <v>483.24</v>
      </c>
      <c r="H4208">
        <v>0.27</v>
      </c>
      <c r="I4208" t="s">
        <v>71</v>
      </c>
      <c r="J4208">
        <v>1</v>
      </c>
      <c r="K4208">
        <v>2.7</v>
      </c>
      <c r="L4208" s="2">
        <v>1411.06</v>
      </c>
      <c r="M4208">
        <v>2033</v>
      </c>
      <c r="N4208">
        <v>7</v>
      </c>
      <c r="O4208" t="s">
        <v>218</v>
      </c>
      <c r="P4208" s="2">
        <v>1932.96</v>
      </c>
      <c r="Q4208" s="2">
        <v>521.9</v>
      </c>
      <c r="R4208" t="s">
        <v>66</v>
      </c>
      <c r="S4208">
        <v>1</v>
      </c>
      <c r="T4208">
        <v>0</v>
      </c>
      <c r="U4208">
        <f>IF(AND(OR(Dashboard!$D$4="Semua",D4208=Dashboard!$D$4),OR(Dashboard!$H$4="Semua",E4208=Dashboard!$H$4)),1,0)</f>
        <v>1</v>
      </c>
      <c r="V4208">
        <f>IF(U4208=1,IF(COUNTIFS($C$2:C4208,C4208,$U$2:U4208,1)=1,1,0),0)</f>
        <v>0</v>
      </c>
    </row>
    <row r="4209" spans="1:22" x14ac:dyDescent="0.35">
      <c r="A4209">
        <v>14208</v>
      </c>
      <c r="B4209" s="1">
        <v>48769</v>
      </c>
      <c r="C4209">
        <v>1175</v>
      </c>
      <c r="D4209" t="s">
        <v>80</v>
      </c>
      <c r="E4209" t="s">
        <v>70</v>
      </c>
      <c r="F4209">
        <v>7</v>
      </c>
      <c r="G4209" s="2">
        <v>298.36</v>
      </c>
      <c r="H4209">
        <v>0.27</v>
      </c>
      <c r="I4209" t="s">
        <v>68</v>
      </c>
      <c r="J4209">
        <v>8</v>
      </c>
      <c r="K4209">
        <v>1.3</v>
      </c>
      <c r="L4209" s="2">
        <v>1524.62</v>
      </c>
      <c r="M4209">
        <v>2033</v>
      </c>
      <c r="N4209">
        <v>7</v>
      </c>
      <c r="O4209" t="s">
        <v>218</v>
      </c>
      <c r="P4209" s="2">
        <v>2088.52</v>
      </c>
      <c r="Q4209" s="2">
        <v>563.9</v>
      </c>
      <c r="R4209" t="s">
        <v>66</v>
      </c>
      <c r="S4209">
        <v>1</v>
      </c>
      <c r="T4209">
        <v>0</v>
      </c>
      <c r="U4209">
        <f>IF(AND(OR(Dashboard!$D$4="Semua",D4209=Dashboard!$D$4),OR(Dashboard!$H$4="Semua",E4209=Dashboard!$H$4)),1,0)</f>
        <v>1</v>
      </c>
      <c r="V4209">
        <f>IF(U4209=1,IF(COUNTIFS($C$2:C4209,C4209,$U$2:U4209,1)=1,1,0),0)</f>
        <v>0</v>
      </c>
    </row>
    <row r="4210" spans="1:22" x14ac:dyDescent="0.35">
      <c r="A4210">
        <v>14209</v>
      </c>
      <c r="B4210" s="1">
        <v>48770</v>
      </c>
      <c r="C4210">
        <v>1895</v>
      </c>
      <c r="D4210" t="s">
        <v>67</v>
      </c>
      <c r="E4210" t="s">
        <v>63</v>
      </c>
      <c r="F4210">
        <v>1</v>
      </c>
      <c r="G4210" s="2">
        <v>350.71</v>
      </c>
      <c r="H4210">
        <v>0.03</v>
      </c>
      <c r="I4210" t="s">
        <v>71</v>
      </c>
      <c r="J4210">
        <v>7</v>
      </c>
      <c r="K4210">
        <v>3.9</v>
      </c>
      <c r="L4210" s="2">
        <v>340.19</v>
      </c>
      <c r="M4210">
        <v>2033</v>
      </c>
      <c r="N4210">
        <v>7</v>
      </c>
      <c r="O4210" t="s">
        <v>218</v>
      </c>
      <c r="P4210" s="2">
        <v>350.71</v>
      </c>
      <c r="Q4210" s="2">
        <v>10.52</v>
      </c>
      <c r="R4210" t="s">
        <v>75</v>
      </c>
      <c r="S4210">
        <v>1</v>
      </c>
      <c r="T4210">
        <v>0</v>
      </c>
      <c r="U4210">
        <f>IF(AND(OR(Dashboard!$D$4="Semua",D4210=Dashboard!$D$4),OR(Dashboard!$H$4="Semua",E4210=Dashboard!$H$4)),1,0)</f>
        <v>1</v>
      </c>
      <c r="V4210">
        <f>IF(U4210=1,IF(COUNTIFS($C$2:C4210,C4210,$U$2:U4210,1)=1,1,0),0)</f>
        <v>0</v>
      </c>
    </row>
    <row r="4211" spans="1:22" x14ac:dyDescent="0.35">
      <c r="A4211">
        <v>14210</v>
      </c>
      <c r="B4211" s="1">
        <v>48771</v>
      </c>
      <c r="C4211">
        <v>1661</v>
      </c>
      <c r="D4211" t="s">
        <v>62</v>
      </c>
      <c r="E4211" t="s">
        <v>63</v>
      </c>
      <c r="F4211">
        <v>6</v>
      </c>
      <c r="G4211" s="2">
        <v>101.22</v>
      </c>
      <c r="H4211">
        <v>0.08</v>
      </c>
      <c r="I4211" t="s">
        <v>71</v>
      </c>
      <c r="J4211">
        <v>4</v>
      </c>
      <c r="K4211">
        <v>3.2</v>
      </c>
      <c r="L4211" s="2">
        <v>558.73</v>
      </c>
      <c r="M4211">
        <v>2033</v>
      </c>
      <c r="N4211">
        <v>7</v>
      </c>
      <c r="O4211" t="s">
        <v>218</v>
      </c>
      <c r="P4211" s="2">
        <v>607.32000000000005</v>
      </c>
      <c r="Q4211" s="2">
        <v>48.59</v>
      </c>
      <c r="R4211" t="s">
        <v>69</v>
      </c>
      <c r="S4211">
        <v>1</v>
      </c>
      <c r="T4211">
        <v>0</v>
      </c>
      <c r="U4211">
        <f>IF(AND(OR(Dashboard!$D$4="Semua",D4211=Dashboard!$D$4),OR(Dashboard!$H$4="Semua",E4211=Dashboard!$H$4)),1,0)</f>
        <v>1</v>
      </c>
      <c r="V4211">
        <f>IF(U4211=1,IF(COUNTIFS($C$2:C4211,C4211,$U$2:U4211,1)=1,1,0),0)</f>
        <v>0</v>
      </c>
    </row>
    <row r="4212" spans="1:22" x14ac:dyDescent="0.35">
      <c r="A4212">
        <v>14211</v>
      </c>
      <c r="B4212" s="1">
        <v>48772</v>
      </c>
      <c r="C4212">
        <v>1272</v>
      </c>
      <c r="D4212" t="s">
        <v>73</v>
      </c>
      <c r="E4212" t="s">
        <v>78</v>
      </c>
      <c r="F4212">
        <v>3</v>
      </c>
      <c r="G4212" s="2">
        <v>204.88</v>
      </c>
      <c r="H4212">
        <v>0.34</v>
      </c>
      <c r="I4212" t="s">
        <v>71</v>
      </c>
      <c r="J4212">
        <v>6</v>
      </c>
      <c r="K4212">
        <v>2.7</v>
      </c>
      <c r="L4212" s="2">
        <v>405.66</v>
      </c>
      <c r="M4212">
        <v>2033</v>
      </c>
      <c r="N4212">
        <v>7</v>
      </c>
      <c r="O4212" t="s">
        <v>218</v>
      </c>
      <c r="P4212" s="2">
        <v>614.64</v>
      </c>
      <c r="Q4212" s="2">
        <v>208.98</v>
      </c>
      <c r="R4212" t="s">
        <v>72</v>
      </c>
      <c r="S4212">
        <v>1</v>
      </c>
      <c r="T4212">
        <v>0</v>
      </c>
      <c r="U4212">
        <f>IF(AND(OR(Dashboard!$D$4="Semua",D4212=Dashboard!$D$4),OR(Dashboard!$H$4="Semua",E4212=Dashboard!$H$4)),1,0)</f>
        <v>1</v>
      </c>
      <c r="V4212">
        <f>IF(U4212=1,IF(COUNTIFS($C$2:C4212,C4212,$U$2:U4212,1)=1,1,0),0)</f>
        <v>0</v>
      </c>
    </row>
    <row r="4213" spans="1:22" x14ac:dyDescent="0.35">
      <c r="A4213">
        <v>14212</v>
      </c>
      <c r="B4213" s="1">
        <v>48773</v>
      </c>
      <c r="C4213">
        <v>1836</v>
      </c>
      <c r="D4213" t="s">
        <v>67</v>
      </c>
      <c r="E4213" t="s">
        <v>74</v>
      </c>
      <c r="F4213">
        <v>5</v>
      </c>
      <c r="G4213" s="2">
        <v>254.9</v>
      </c>
      <c r="H4213">
        <v>0.18</v>
      </c>
      <c r="I4213" t="s">
        <v>64</v>
      </c>
      <c r="J4213">
        <v>10</v>
      </c>
      <c r="K4213">
        <v>3.1</v>
      </c>
      <c r="L4213" s="2">
        <v>1045.0899999999999</v>
      </c>
      <c r="M4213">
        <v>2033</v>
      </c>
      <c r="N4213">
        <v>7</v>
      </c>
      <c r="O4213" t="s">
        <v>218</v>
      </c>
      <c r="P4213" s="2">
        <v>1274.5</v>
      </c>
      <c r="Q4213" s="2">
        <v>229.41</v>
      </c>
      <c r="R4213" t="s">
        <v>76</v>
      </c>
      <c r="S4213">
        <v>1</v>
      </c>
      <c r="T4213">
        <v>0</v>
      </c>
      <c r="U4213">
        <f>IF(AND(OR(Dashboard!$D$4="Semua",D4213=Dashboard!$D$4),OR(Dashboard!$H$4="Semua",E4213=Dashboard!$H$4)),1,0)</f>
        <v>1</v>
      </c>
      <c r="V4213">
        <f>IF(U4213=1,IF(COUNTIFS($C$2:C4213,C4213,$U$2:U4213,1)=1,1,0),0)</f>
        <v>0</v>
      </c>
    </row>
    <row r="4214" spans="1:22" x14ac:dyDescent="0.35">
      <c r="A4214">
        <v>14213</v>
      </c>
      <c r="B4214" s="1">
        <v>48774</v>
      </c>
      <c r="C4214">
        <v>1619</v>
      </c>
      <c r="D4214" t="s">
        <v>67</v>
      </c>
      <c r="E4214" t="s">
        <v>74</v>
      </c>
      <c r="F4214">
        <v>5</v>
      </c>
      <c r="G4214" s="2">
        <v>487.8</v>
      </c>
      <c r="H4214">
        <v>0.14000000000000001</v>
      </c>
      <c r="I4214" t="s">
        <v>71</v>
      </c>
      <c r="J4214">
        <v>2</v>
      </c>
      <c r="K4214">
        <v>3.6</v>
      </c>
      <c r="L4214" s="2">
        <v>2097.54</v>
      </c>
      <c r="M4214">
        <v>2033</v>
      </c>
      <c r="N4214">
        <v>7</v>
      </c>
      <c r="O4214" t="s">
        <v>218</v>
      </c>
      <c r="P4214" s="2">
        <v>2439</v>
      </c>
      <c r="Q4214" s="2">
        <v>341.46</v>
      </c>
      <c r="R4214" t="s">
        <v>79</v>
      </c>
      <c r="S4214">
        <v>1</v>
      </c>
      <c r="T4214">
        <v>0</v>
      </c>
      <c r="U4214">
        <f>IF(AND(OR(Dashboard!$D$4="Semua",D4214=Dashboard!$D$4),OR(Dashboard!$H$4="Semua",E4214=Dashboard!$H$4)),1,0)</f>
        <v>1</v>
      </c>
      <c r="V4214">
        <f>IF(U4214=1,IF(COUNTIFS($C$2:C4214,C4214,$U$2:U4214,1)=1,1,0),0)</f>
        <v>0</v>
      </c>
    </row>
    <row r="4215" spans="1:22" x14ac:dyDescent="0.35">
      <c r="A4215">
        <v>14214</v>
      </c>
      <c r="B4215" s="1">
        <v>48775</v>
      </c>
      <c r="C4215">
        <v>1650</v>
      </c>
      <c r="D4215" t="s">
        <v>67</v>
      </c>
      <c r="E4215" t="s">
        <v>63</v>
      </c>
      <c r="F4215">
        <v>7</v>
      </c>
      <c r="G4215" s="2">
        <v>465.54</v>
      </c>
      <c r="H4215">
        <v>0.28999999999999998</v>
      </c>
      <c r="I4215" t="s">
        <v>71</v>
      </c>
      <c r="J4215">
        <v>4</v>
      </c>
      <c r="K4215">
        <v>5</v>
      </c>
      <c r="L4215" s="2">
        <v>2313.73</v>
      </c>
      <c r="M4215">
        <v>2033</v>
      </c>
      <c r="N4215">
        <v>7</v>
      </c>
      <c r="O4215" t="s">
        <v>218</v>
      </c>
      <c r="P4215" s="2">
        <v>3258.78</v>
      </c>
      <c r="Q4215" s="2">
        <v>945.05</v>
      </c>
      <c r="R4215" t="s">
        <v>66</v>
      </c>
      <c r="S4215">
        <v>1</v>
      </c>
      <c r="T4215">
        <v>0</v>
      </c>
      <c r="U4215">
        <f>IF(AND(OR(Dashboard!$D$4="Semua",D4215=Dashboard!$D$4),OR(Dashboard!$H$4="Semua",E4215=Dashboard!$H$4)),1,0)</f>
        <v>1</v>
      </c>
      <c r="V4215">
        <f>IF(U4215=1,IF(COUNTIFS($C$2:C4215,C4215,$U$2:U4215,1)=1,1,0),0)</f>
        <v>0</v>
      </c>
    </row>
    <row r="4216" spans="1:22" x14ac:dyDescent="0.35">
      <c r="A4216">
        <v>14215</v>
      </c>
      <c r="B4216" s="1">
        <v>48776</v>
      </c>
      <c r="C4216">
        <v>1861</v>
      </c>
      <c r="D4216" t="s">
        <v>73</v>
      </c>
      <c r="E4216" t="s">
        <v>70</v>
      </c>
      <c r="F4216">
        <v>2</v>
      </c>
      <c r="G4216" s="2">
        <v>145.44</v>
      </c>
      <c r="H4216">
        <v>0.03</v>
      </c>
      <c r="I4216" t="s">
        <v>71</v>
      </c>
      <c r="J4216">
        <v>8</v>
      </c>
      <c r="K4216">
        <v>4.0999999999999996</v>
      </c>
      <c r="L4216" s="2">
        <v>282.14999999999998</v>
      </c>
      <c r="M4216">
        <v>2033</v>
      </c>
      <c r="N4216">
        <v>7</v>
      </c>
      <c r="O4216" t="s">
        <v>218</v>
      </c>
      <c r="P4216" s="2">
        <v>290.88</v>
      </c>
      <c r="Q4216" s="2">
        <v>8.73</v>
      </c>
      <c r="R4216" t="s">
        <v>75</v>
      </c>
      <c r="S4216">
        <v>1</v>
      </c>
      <c r="T4216">
        <v>0</v>
      </c>
      <c r="U4216">
        <f>IF(AND(OR(Dashboard!$D$4="Semua",D4216=Dashboard!$D$4),OR(Dashboard!$H$4="Semua",E4216=Dashboard!$H$4)),1,0)</f>
        <v>1</v>
      </c>
      <c r="V4216">
        <f>IF(U4216=1,IF(COUNTIFS($C$2:C4216,C4216,$U$2:U4216,1)=1,1,0),0)</f>
        <v>0</v>
      </c>
    </row>
    <row r="4217" spans="1:22" x14ac:dyDescent="0.35">
      <c r="A4217">
        <v>14216</v>
      </c>
      <c r="B4217" s="1">
        <v>48777</v>
      </c>
      <c r="C4217">
        <v>1782</v>
      </c>
      <c r="D4217" t="s">
        <v>80</v>
      </c>
      <c r="E4217" t="s">
        <v>74</v>
      </c>
      <c r="F4217">
        <v>1</v>
      </c>
      <c r="G4217" s="2">
        <v>375.46</v>
      </c>
      <c r="H4217">
        <v>0.15</v>
      </c>
      <c r="I4217" t="s">
        <v>64</v>
      </c>
      <c r="J4217">
        <v>4</v>
      </c>
      <c r="K4217">
        <v>3.2</v>
      </c>
      <c r="L4217" s="2">
        <v>319.14</v>
      </c>
      <c r="M4217">
        <v>2033</v>
      </c>
      <c r="N4217">
        <v>7</v>
      </c>
      <c r="O4217" t="s">
        <v>218</v>
      </c>
      <c r="P4217" s="2">
        <v>375.46</v>
      </c>
      <c r="Q4217" s="2">
        <v>56.32</v>
      </c>
      <c r="R4217" t="s">
        <v>79</v>
      </c>
      <c r="S4217">
        <v>1</v>
      </c>
      <c r="T4217">
        <v>0</v>
      </c>
      <c r="U4217">
        <f>IF(AND(OR(Dashboard!$D$4="Semua",D4217=Dashboard!$D$4),OR(Dashboard!$H$4="Semua",E4217=Dashboard!$H$4)),1,0)</f>
        <v>1</v>
      </c>
      <c r="V4217">
        <f>IF(U4217=1,IF(COUNTIFS($C$2:C4217,C4217,$U$2:U4217,1)=1,1,0),0)</f>
        <v>0</v>
      </c>
    </row>
    <row r="4218" spans="1:22" x14ac:dyDescent="0.35">
      <c r="A4218">
        <v>14217</v>
      </c>
      <c r="B4218" s="1">
        <v>48778</v>
      </c>
      <c r="C4218">
        <v>1858</v>
      </c>
      <c r="D4218" t="s">
        <v>62</v>
      </c>
      <c r="E4218" t="s">
        <v>63</v>
      </c>
      <c r="F4218">
        <v>3</v>
      </c>
      <c r="G4218" s="2">
        <v>157.41999999999999</v>
      </c>
      <c r="H4218">
        <v>0.13</v>
      </c>
      <c r="I4218" t="s">
        <v>68</v>
      </c>
      <c r="J4218">
        <v>10</v>
      </c>
      <c r="K4218">
        <v>4.0999999999999996</v>
      </c>
      <c r="L4218" s="2">
        <v>410.87</v>
      </c>
      <c r="M4218">
        <v>2033</v>
      </c>
      <c r="N4218">
        <v>7</v>
      </c>
      <c r="O4218" t="s">
        <v>218</v>
      </c>
      <c r="P4218" s="2">
        <v>472.26</v>
      </c>
      <c r="Q4218" s="2">
        <v>61.39</v>
      </c>
      <c r="R4218" t="s">
        <v>79</v>
      </c>
      <c r="S4218">
        <v>1</v>
      </c>
      <c r="T4218">
        <v>0</v>
      </c>
      <c r="U4218">
        <f>IF(AND(OR(Dashboard!$D$4="Semua",D4218=Dashboard!$D$4),OR(Dashboard!$H$4="Semua",E4218=Dashboard!$H$4)),1,0)</f>
        <v>1</v>
      </c>
      <c r="V4218">
        <f>IF(U4218=1,IF(COUNTIFS($C$2:C4218,C4218,$U$2:U4218,1)=1,1,0),0)</f>
        <v>0</v>
      </c>
    </row>
    <row r="4219" spans="1:22" x14ac:dyDescent="0.35">
      <c r="A4219">
        <v>14218</v>
      </c>
      <c r="B4219" s="1">
        <v>48779</v>
      </c>
      <c r="C4219">
        <v>1930</v>
      </c>
      <c r="D4219" t="s">
        <v>62</v>
      </c>
      <c r="E4219" t="s">
        <v>70</v>
      </c>
      <c r="F4219">
        <v>6</v>
      </c>
      <c r="G4219" s="2">
        <v>593.12</v>
      </c>
      <c r="H4219">
        <v>0.12</v>
      </c>
      <c r="I4219" t="s">
        <v>68</v>
      </c>
      <c r="J4219">
        <v>4</v>
      </c>
      <c r="K4219">
        <v>2.9</v>
      </c>
      <c r="L4219" s="2">
        <v>3131.67</v>
      </c>
      <c r="M4219">
        <v>2033</v>
      </c>
      <c r="N4219">
        <v>7</v>
      </c>
      <c r="O4219" t="s">
        <v>218</v>
      </c>
      <c r="P4219" s="2">
        <v>3558.72</v>
      </c>
      <c r="Q4219" s="2">
        <v>427.05</v>
      </c>
      <c r="R4219" t="s">
        <v>79</v>
      </c>
      <c r="S4219">
        <v>1</v>
      </c>
      <c r="T4219">
        <v>0</v>
      </c>
      <c r="U4219">
        <f>IF(AND(OR(Dashboard!$D$4="Semua",D4219=Dashboard!$D$4),OR(Dashboard!$H$4="Semua",E4219=Dashboard!$H$4)),1,0)</f>
        <v>1</v>
      </c>
      <c r="V4219">
        <f>IF(U4219=1,IF(COUNTIFS($C$2:C4219,C4219,$U$2:U4219,1)=1,1,0),0)</f>
        <v>0</v>
      </c>
    </row>
    <row r="4220" spans="1:22" x14ac:dyDescent="0.35">
      <c r="A4220">
        <v>14219</v>
      </c>
      <c r="B4220" s="1">
        <v>48780</v>
      </c>
      <c r="C4220">
        <v>1288</v>
      </c>
      <c r="D4220" t="s">
        <v>80</v>
      </c>
      <c r="E4220" t="s">
        <v>70</v>
      </c>
      <c r="F4220">
        <v>4</v>
      </c>
      <c r="G4220" s="2">
        <v>571.99</v>
      </c>
      <c r="H4220">
        <v>0.11</v>
      </c>
      <c r="I4220" t="s">
        <v>64</v>
      </c>
      <c r="J4220">
        <v>4</v>
      </c>
      <c r="K4220">
        <v>2.2000000000000002</v>
      </c>
      <c r="L4220" s="2">
        <v>2036.28</v>
      </c>
      <c r="M4220">
        <v>2033</v>
      </c>
      <c r="N4220">
        <v>7</v>
      </c>
      <c r="O4220" t="s">
        <v>218</v>
      </c>
      <c r="P4220" s="2">
        <v>2287.96</v>
      </c>
      <c r="Q4220" s="2">
        <v>251.68</v>
      </c>
      <c r="R4220" t="s">
        <v>79</v>
      </c>
      <c r="S4220">
        <v>1</v>
      </c>
      <c r="T4220">
        <v>0</v>
      </c>
      <c r="U4220">
        <f>IF(AND(OR(Dashboard!$D$4="Semua",D4220=Dashboard!$D$4),OR(Dashboard!$H$4="Semua",E4220=Dashboard!$H$4)),1,0)</f>
        <v>1</v>
      </c>
      <c r="V4220">
        <f>IF(U4220=1,IF(COUNTIFS($C$2:C4220,C4220,$U$2:U4220,1)=1,1,0),0)</f>
        <v>0</v>
      </c>
    </row>
    <row r="4221" spans="1:22" x14ac:dyDescent="0.35">
      <c r="A4221">
        <v>14220</v>
      </c>
      <c r="B4221" s="1">
        <v>48781</v>
      </c>
      <c r="C4221">
        <v>1723</v>
      </c>
      <c r="D4221" t="s">
        <v>62</v>
      </c>
      <c r="E4221" t="s">
        <v>74</v>
      </c>
      <c r="F4221">
        <v>1</v>
      </c>
      <c r="G4221" s="2">
        <v>344.51</v>
      </c>
      <c r="H4221">
        <v>7.0000000000000007E-2</v>
      </c>
      <c r="I4221" t="s">
        <v>71</v>
      </c>
      <c r="J4221">
        <v>10</v>
      </c>
      <c r="K4221">
        <v>2</v>
      </c>
      <c r="L4221" s="2">
        <v>320.39</v>
      </c>
      <c r="M4221">
        <v>2033</v>
      </c>
      <c r="N4221">
        <v>7</v>
      </c>
      <c r="O4221" t="s">
        <v>218</v>
      </c>
      <c r="P4221" s="2">
        <v>344.51</v>
      </c>
      <c r="Q4221" s="2">
        <v>24.12</v>
      </c>
      <c r="R4221" t="s">
        <v>69</v>
      </c>
      <c r="S4221">
        <v>1</v>
      </c>
      <c r="T4221">
        <v>0</v>
      </c>
      <c r="U4221">
        <f>IF(AND(OR(Dashboard!$D$4="Semua",D4221=Dashboard!$D$4),OR(Dashboard!$H$4="Semua",E4221=Dashboard!$H$4)),1,0)</f>
        <v>1</v>
      </c>
      <c r="V4221">
        <f>IF(U4221=1,IF(COUNTIFS($C$2:C4221,C4221,$U$2:U4221,1)=1,1,0),0)</f>
        <v>0</v>
      </c>
    </row>
    <row r="4222" spans="1:22" x14ac:dyDescent="0.35">
      <c r="A4222">
        <v>14221</v>
      </c>
      <c r="B4222" s="1">
        <v>48782</v>
      </c>
      <c r="C4222">
        <v>1892</v>
      </c>
      <c r="D4222" t="s">
        <v>67</v>
      </c>
      <c r="E4222" t="s">
        <v>63</v>
      </c>
      <c r="F4222">
        <v>1</v>
      </c>
      <c r="G4222" s="2">
        <v>423.86</v>
      </c>
      <c r="H4222">
        <v>0.06</v>
      </c>
      <c r="I4222" t="s">
        <v>71</v>
      </c>
      <c r="J4222">
        <v>9</v>
      </c>
      <c r="K4222">
        <v>2.6</v>
      </c>
      <c r="L4222" s="2">
        <v>398.43</v>
      </c>
      <c r="M4222">
        <v>2033</v>
      </c>
      <c r="N4222">
        <v>7</v>
      </c>
      <c r="O4222" t="s">
        <v>218</v>
      </c>
      <c r="P4222" s="2">
        <v>423.86</v>
      </c>
      <c r="Q4222" s="2">
        <v>25.43</v>
      </c>
      <c r="R4222" t="s">
        <v>69</v>
      </c>
      <c r="S4222">
        <v>1</v>
      </c>
      <c r="T4222">
        <v>0</v>
      </c>
      <c r="U4222">
        <f>IF(AND(OR(Dashboard!$D$4="Semua",D4222=Dashboard!$D$4),OR(Dashboard!$H$4="Semua",E4222=Dashboard!$H$4)),1,0)</f>
        <v>1</v>
      </c>
      <c r="V4222">
        <f>IF(U4222=1,IF(COUNTIFS($C$2:C4222,C4222,$U$2:U4222,1)=1,1,0),0)</f>
        <v>0</v>
      </c>
    </row>
    <row r="4223" spans="1:22" x14ac:dyDescent="0.35">
      <c r="A4223">
        <v>14222</v>
      </c>
      <c r="B4223" s="1">
        <v>48783</v>
      </c>
      <c r="C4223">
        <v>1271</v>
      </c>
      <c r="D4223" t="s">
        <v>80</v>
      </c>
      <c r="E4223" t="s">
        <v>70</v>
      </c>
      <c r="F4223">
        <v>3</v>
      </c>
      <c r="G4223" s="2">
        <v>483.84</v>
      </c>
      <c r="H4223">
        <v>0.22</v>
      </c>
      <c r="I4223" t="s">
        <v>71</v>
      </c>
      <c r="J4223">
        <v>11</v>
      </c>
      <c r="K4223">
        <v>1</v>
      </c>
      <c r="L4223" s="2">
        <v>1132.19</v>
      </c>
      <c r="M4223">
        <v>2033</v>
      </c>
      <c r="N4223">
        <v>7</v>
      </c>
      <c r="O4223" t="s">
        <v>218</v>
      </c>
      <c r="P4223" s="2">
        <v>1451.52</v>
      </c>
      <c r="Q4223" s="2">
        <v>319.33</v>
      </c>
      <c r="R4223" t="s">
        <v>77</v>
      </c>
      <c r="S4223">
        <v>1</v>
      </c>
      <c r="T4223">
        <v>0</v>
      </c>
      <c r="U4223">
        <f>IF(AND(OR(Dashboard!$D$4="Semua",D4223=Dashboard!$D$4),OR(Dashboard!$H$4="Semua",E4223=Dashboard!$H$4)),1,0)</f>
        <v>1</v>
      </c>
      <c r="V4223">
        <f>IF(U4223=1,IF(COUNTIFS($C$2:C4223,C4223,$U$2:U4223,1)=1,1,0),0)</f>
        <v>0</v>
      </c>
    </row>
    <row r="4224" spans="1:22" x14ac:dyDescent="0.35">
      <c r="A4224">
        <v>14223</v>
      </c>
      <c r="B4224" s="1">
        <v>48784</v>
      </c>
      <c r="C4224">
        <v>1929</v>
      </c>
      <c r="D4224" t="s">
        <v>73</v>
      </c>
      <c r="E4224" t="s">
        <v>70</v>
      </c>
      <c r="F4224">
        <v>7</v>
      </c>
      <c r="G4224" s="2">
        <v>436.78</v>
      </c>
      <c r="H4224">
        <v>0.32</v>
      </c>
      <c r="I4224" t="s">
        <v>68</v>
      </c>
      <c r="J4224">
        <v>2</v>
      </c>
      <c r="K4224">
        <v>1.7</v>
      </c>
      <c r="L4224" s="2">
        <v>2079.0700000000002</v>
      </c>
      <c r="M4224">
        <v>2033</v>
      </c>
      <c r="N4224">
        <v>7</v>
      </c>
      <c r="O4224" t="s">
        <v>218</v>
      </c>
      <c r="P4224" s="2">
        <v>3057.46</v>
      </c>
      <c r="Q4224" s="2">
        <v>978.39</v>
      </c>
      <c r="R4224" t="s">
        <v>72</v>
      </c>
      <c r="S4224">
        <v>1</v>
      </c>
      <c r="T4224">
        <v>0</v>
      </c>
      <c r="U4224">
        <f>IF(AND(OR(Dashboard!$D$4="Semua",D4224=Dashboard!$D$4),OR(Dashboard!$H$4="Semua",E4224=Dashboard!$H$4)),1,0)</f>
        <v>1</v>
      </c>
      <c r="V4224">
        <f>IF(U4224=1,IF(COUNTIFS($C$2:C4224,C4224,$U$2:U4224,1)=1,1,0),0)</f>
        <v>0</v>
      </c>
    </row>
    <row r="4225" spans="1:22" x14ac:dyDescent="0.35">
      <c r="A4225">
        <v>14224</v>
      </c>
      <c r="B4225" s="1">
        <v>48785</v>
      </c>
      <c r="C4225">
        <v>1065</v>
      </c>
      <c r="D4225" t="s">
        <v>67</v>
      </c>
      <c r="E4225" t="s">
        <v>78</v>
      </c>
      <c r="F4225">
        <v>6</v>
      </c>
      <c r="G4225" s="2">
        <v>424.4</v>
      </c>
      <c r="H4225">
        <v>0.18</v>
      </c>
      <c r="I4225" t="s">
        <v>71</v>
      </c>
      <c r="J4225">
        <v>7</v>
      </c>
      <c r="K4225">
        <v>1.5</v>
      </c>
      <c r="L4225" s="2">
        <v>2088.0500000000002</v>
      </c>
      <c r="M4225">
        <v>2033</v>
      </c>
      <c r="N4225">
        <v>7</v>
      </c>
      <c r="O4225" t="s">
        <v>218</v>
      </c>
      <c r="P4225" s="2">
        <v>2546.4</v>
      </c>
      <c r="Q4225" s="2">
        <v>458.35</v>
      </c>
      <c r="R4225" t="s">
        <v>76</v>
      </c>
      <c r="S4225">
        <v>1</v>
      </c>
      <c r="T4225">
        <v>0</v>
      </c>
      <c r="U4225">
        <f>IF(AND(OR(Dashboard!$D$4="Semua",D4225=Dashboard!$D$4),OR(Dashboard!$H$4="Semua",E4225=Dashboard!$H$4)),1,0)</f>
        <v>1</v>
      </c>
      <c r="V4225">
        <f>IF(U4225=1,IF(COUNTIFS($C$2:C4225,C4225,$U$2:U4225,1)=1,1,0),0)</f>
        <v>0</v>
      </c>
    </row>
    <row r="4226" spans="1:22" x14ac:dyDescent="0.35">
      <c r="A4226">
        <v>14225</v>
      </c>
      <c r="B4226" s="1">
        <v>48786</v>
      </c>
      <c r="C4226">
        <v>1482</v>
      </c>
      <c r="D4226" t="s">
        <v>73</v>
      </c>
      <c r="E4226" t="s">
        <v>78</v>
      </c>
      <c r="F4226">
        <v>7</v>
      </c>
      <c r="G4226" s="2">
        <v>575.75</v>
      </c>
      <c r="H4226">
        <v>0.1</v>
      </c>
      <c r="I4226" t="s">
        <v>68</v>
      </c>
      <c r="J4226">
        <v>3</v>
      </c>
      <c r="K4226">
        <v>4.8</v>
      </c>
      <c r="L4226" s="2">
        <v>3627.22</v>
      </c>
      <c r="M4226">
        <v>2033</v>
      </c>
      <c r="N4226">
        <v>7</v>
      </c>
      <c r="O4226" t="s">
        <v>218</v>
      </c>
      <c r="P4226" s="2">
        <v>4030.25</v>
      </c>
      <c r="Q4226" s="2">
        <v>403.03</v>
      </c>
      <c r="R4226" t="s">
        <v>69</v>
      </c>
      <c r="S4226">
        <v>1</v>
      </c>
      <c r="T4226">
        <v>1</v>
      </c>
      <c r="U4226">
        <f>IF(AND(OR(Dashboard!$D$4="Semua",D4226=Dashboard!$D$4),OR(Dashboard!$H$4="Semua",E4226=Dashboard!$H$4)),1,0)</f>
        <v>1</v>
      </c>
      <c r="V4226">
        <f>IF(U4226=1,IF(COUNTIFS($C$2:C4226,C4226,$U$2:U4226,1)=1,1,0),0)</f>
        <v>0</v>
      </c>
    </row>
    <row r="4227" spans="1:22" x14ac:dyDescent="0.35">
      <c r="A4227">
        <v>14226</v>
      </c>
      <c r="B4227" s="1">
        <v>48787</v>
      </c>
      <c r="C4227">
        <v>1935</v>
      </c>
      <c r="D4227" t="s">
        <v>67</v>
      </c>
      <c r="E4227" t="s">
        <v>74</v>
      </c>
      <c r="F4227">
        <v>7</v>
      </c>
      <c r="G4227" s="2">
        <v>363.93</v>
      </c>
      <c r="H4227">
        <v>0.06</v>
      </c>
      <c r="I4227" t="s">
        <v>71</v>
      </c>
      <c r="J4227">
        <v>4</v>
      </c>
      <c r="K4227">
        <v>1.3</v>
      </c>
      <c r="L4227" s="2">
        <v>2394.66</v>
      </c>
      <c r="M4227">
        <v>2033</v>
      </c>
      <c r="N4227">
        <v>7</v>
      </c>
      <c r="O4227" t="s">
        <v>218</v>
      </c>
      <c r="P4227" s="2">
        <v>2547.5100000000002</v>
      </c>
      <c r="Q4227" s="2">
        <v>152.85</v>
      </c>
      <c r="R4227" t="s">
        <v>69</v>
      </c>
      <c r="S4227">
        <v>1</v>
      </c>
      <c r="T4227">
        <v>0</v>
      </c>
      <c r="U4227">
        <f>IF(AND(OR(Dashboard!$D$4="Semua",D4227=Dashboard!$D$4),OR(Dashboard!$H$4="Semua",E4227=Dashboard!$H$4)),1,0)</f>
        <v>1</v>
      </c>
      <c r="V4227">
        <f>IF(U4227=1,IF(COUNTIFS($C$2:C4227,C4227,$U$2:U4227,1)=1,1,0),0)</f>
        <v>0</v>
      </c>
    </row>
    <row r="4228" spans="1:22" x14ac:dyDescent="0.35">
      <c r="A4228">
        <v>14227</v>
      </c>
      <c r="B4228" s="1">
        <v>48788</v>
      </c>
      <c r="C4228">
        <v>1247</v>
      </c>
      <c r="D4228" t="s">
        <v>73</v>
      </c>
      <c r="E4228" t="s">
        <v>78</v>
      </c>
      <c r="F4228">
        <v>2</v>
      </c>
      <c r="G4228" s="2">
        <v>387.24</v>
      </c>
      <c r="H4228">
        <v>0.28999999999999998</v>
      </c>
      <c r="I4228" t="s">
        <v>71</v>
      </c>
      <c r="J4228">
        <v>1</v>
      </c>
      <c r="K4228">
        <v>3</v>
      </c>
      <c r="L4228" s="2">
        <v>549.88</v>
      </c>
      <c r="M4228">
        <v>2033</v>
      </c>
      <c r="N4228">
        <v>7</v>
      </c>
      <c r="O4228" t="s">
        <v>218</v>
      </c>
      <c r="P4228" s="2">
        <v>774.48</v>
      </c>
      <c r="Q4228" s="2">
        <v>224.6</v>
      </c>
      <c r="R4228" t="s">
        <v>66</v>
      </c>
      <c r="S4228">
        <v>1</v>
      </c>
      <c r="T4228">
        <v>0</v>
      </c>
      <c r="U4228">
        <f>IF(AND(OR(Dashboard!$D$4="Semua",D4228=Dashboard!$D$4),OR(Dashboard!$H$4="Semua",E4228=Dashboard!$H$4)),1,0)</f>
        <v>1</v>
      </c>
      <c r="V4228">
        <f>IF(U4228=1,IF(COUNTIFS($C$2:C4228,C4228,$U$2:U4228,1)=1,1,0),0)</f>
        <v>0</v>
      </c>
    </row>
    <row r="4229" spans="1:22" x14ac:dyDescent="0.35">
      <c r="A4229">
        <v>14228</v>
      </c>
      <c r="B4229" s="1">
        <v>48789</v>
      </c>
      <c r="C4229">
        <v>1155</v>
      </c>
      <c r="D4229" t="s">
        <v>62</v>
      </c>
      <c r="E4229" t="s">
        <v>63</v>
      </c>
      <c r="F4229">
        <v>7</v>
      </c>
      <c r="G4229" s="2">
        <v>511.82</v>
      </c>
      <c r="H4229">
        <v>0.34</v>
      </c>
      <c r="I4229" t="s">
        <v>71</v>
      </c>
      <c r="J4229">
        <v>3</v>
      </c>
      <c r="K4229">
        <v>4.7</v>
      </c>
      <c r="L4229" s="2">
        <v>2364.61</v>
      </c>
      <c r="M4229">
        <v>2033</v>
      </c>
      <c r="N4229">
        <v>7</v>
      </c>
      <c r="O4229" t="s">
        <v>218</v>
      </c>
      <c r="P4229" s="2">
        <v>3582.74</v>
      </c>
      <c r="Q4229" s="2">
        <v>1218.1300000000001</v>
      </c>
      <c r="R4229" t="s">
        <v>72</v>
      </c>
      <c r="S4229">
        <v>1</v>
      </c>
      <c r="T4229">
        <v>0</v>
      </c>
      <c r="U4229">
        <f>IF(AND(OR(Dashboard!$D$4="Semua",D4229=Dashboard!$D$4),OR(Dashboard!$H$4="Semua",E4229=Dashboard!$H$4)),1,0)</f>
        <v>1</v>
      </c>
      <c r="V4229">
        <f>IF(U4229=1,IF(COUNTIFS($C$2:C4229,C4229,$U$2:U4229,1)=1,1,0),0)</f>
        <v>0</v>
      </c>
    </row>
    <row r="4230" spans="1:22" x14ac:dyDescent="0.35">
      <c r="A4230">
        <v>14229</v>
      </c>
      <c r="B4230" s="1">
        <v>48790</v>
      </c>
      <c r="C4230">
        <v>1046</v>
      </c>
      <c r="D4230" t="s">
        <v>73</v>
      </c>
      <c r="E4230" t="s">
        <v>74</v>
      </c>
      <c r="F4230">
        <v>6</v>
      </c>
      <c r="G4230" s="2">
        <v>406.89</v>
      </c>
      <c r="H4230">
        <v>0.12</v>
      </c>
      <c r="I4230" t="s">
        <v>71</v>
      </c>
      <c r="J4230">
        <v>2</v>
      </c>
      <c r="K4230">
        <v>3.4</v>
      </c>
      <c r="L4230" s="2">
        <v>2148.38</v>
      </c>
      <c r="M4230">
        <v>2033</v>
      </c>
      <c r="N4230">
        <v>7</v>
      </c>
      <c r="O4230" t="s">
        <v>218</v>
      </c>
      <c r="P4230" s="2">
        <v>2441.34</v>
      </c>
      <c r="Q4230" s="2">
        <v>292.95999999999998</v>
      </c>
      <c r="R4230" t="s">
        <v>79</v>
      </c>
      <c r="S4230">
        <v>1</v>
      </c>
      <c r="T4230">
        <v>0</v>
      </c>
      <c r="U4230">
        <f>IF(AND(OR(Dashboard!$D$4="Semua",D4230=Dashboard!$D$4),OR(Dashboard!$H$4="Semua",E4230=Dashboard!$H$4)),1,0)</f>
        <v>1</v>
      </c>
      <c r="V4230">
        <f>IF(U4230=1,IF(COUNTIFS($C$2:C4230,C4230,$U$2:U4230,1)=1,1,0),0)</f>
        <v>0</v>
      </c>
    </row>
    <row r="4231" spans="1:22" x14ac:dyDescent="0.35">
      <c r="A4231">
        <v>14230</v>
      </c>
      <c r="B4231" s="1">
        <v>48791</v>
      </c>
      <c r="C4231">
        <v>1934</v>
      </c>
      <c r="D4231" t="s">
        <v>73</v>
      </c>
      <c r="E4231" t="s">
        <v>74</v>
      </c>
      <c r="F4231">
        <v>2</v>
      </c>
      <c r="G4231" s="2">
        <v>443.77</v>
      </c>
      <c r="H4231">
        <v>0.1</v>
      </c>
      <c r="I4231" t="s">
        <v>64</v>
      </c>
      <c r="J4231">
        <v>10</v>
      </c>
      <c r="K4231">
        <v>3</v>
      </c>
      <c r="L4231" s="2">
        <v>798.79</v>
      </c>
      <c r="M4231">
        <v>2033</v>
      </c>
      <c r="N4231">
        <v>7</v>
      </c>
      <c r="O4231" t="s">
        <v>218</v>
      </c>
      <c r="P4231" s="2">
        <v>887.54</v>
      </c>
      <c r="Q4231" s="2">
        <v>88.75</v>
      </c>
      <c r="R4231" t="s">
        <v>69</v>
      </c>
      <c r="S4231">
        <v>1</v>
      </c>
      <c r="T4231">
        <v>0</v>
      </c>
      <c r="U4231">
        <f>IF(AND(OR(Dashboard!$D$4="Semua",D4231=Dashboard!$D$4),OR(Dashboard!$H$4="Semua",E4231=Dashboard!$H$4)),1,0)</f>
        <v>1</v>
      </c>
      <c r="V4231">
        <f>IF(U4231=1,IF(COUNTIFS($C$2:C4231,C4231,$U$2:U4231,1)=1,1,0),0)</f>
        <v>0</v>
      </c>
    </row>
    <row r="4232" spans="1:22" x14ac:dyDescent="0.35">
      <c r="A4232">
        <v>14231</v>
      </c>
      <c r="B4232" s="1">
        <v>48792</v>
      </c>
      <c r="C4232">
        <v>1453</v>
      </c>
      <c r="D4232" t="s">
        <v>67</v>
      </c>
      <c r="E4232" t="s">
        <v>78</v>
      </c>
      <c r="F4232">
        <v>2</v>
      </c>
      <c r="G4232" s="2">
        <v>151.99</v>
      </c>
      <c r="H4232">
        <v>0.21</v>
      </c>
      <c r="I4232" t="s">
        <v>71</v>
      </c>
      <c r="J4232">
        <v>7</v>
      </c>
      <c r="K4232">
        <v>4</v>
      </c>
      <c r="L4232" s="2">
        <v>240.14</v>
      </c>
      <c r="M4232">
        <v>2033</v>
      </c>
      <c r="N4232">
        <v>8</v>
      </c>
      <c r="O4232" t="s">
        <v>219</v>
      </c>
      <c r="P4232" s="2">
        <v>303.98</v>
      </c>
      <c r="Q4232" s="2">
        <v>63.84</v>
      </c>
      <c r="R4232" t="s">
        <v>77</v>
      </c>
      <c r="S4232">
        <v>1</v>
      </c>
      <c r="T4232">
        <v>0</v>
      </c>
      <c r="U4232">
        <f>IF(AND(OR(Dashboard!$D$4="Semua",D4232=Dashboard!$D$4),OR(Dashboard!$H$4="Semua",E4232=Dashboard!$H$4)),1,0)</f>
        <v>1</v>
      </c>
      <c r="V4232">
        <f>IF(U4232=1,IF(COUNTIFS($C$2:C4232,C4232,$U$2:U4232,1)=1,1,0),0)</f>
        <v>0</v>
      </c>
    </row>
    <row r="4233" spans="1:22" x14ac:dyDescent="0.35">
      <c r="A4233">
        <v>14232</v>
      </c>
      <c r="B4233" s="1">
        <v>48793</v>
      </c>
      <c r="C4233">
        <v>1200</v>
      </c>
      <c r="D4233" t="s">
        <v>73</v>
      </c>
      <c r="E4233" t="s">
        <v>70</v>
      </c>
      <c r="F4233">
        <v>4</v>
      </c>
      <c r="G4233" s="2">
        <v>232.19</v>
      </c>
      <c r="H4233">
        <v>0.27</v>
      </c>
      <c r="I4233" t="s">
        <v>64</v>
      </c>
      <c r="J4233">
        <v>6</v>
      </c>
      <c r="K4233">
        <v>2.4</v>
      </c>
      <c r="L4233" s="2">
        <v>677.99</v>
      </c>
      <c r="M4233">
        <v>2033</v>
      </c>
      <c r="N4233">
        <v>8</v>
      </c>
      <c r="O4233" t="s">
        <v>219</v>
      </c>
      <c r="P4233" s="2">
        <v>928.76</v>
      </c>
      <c r="Q4233" s="2">
        <v>250.77</v>
      </c>
      <c r="R4233" t="s">
        <v>66</v>
      </c>
      <c r="S4233">
        <v>1</v>
      </c>
      <c r="T4233">
        <v>0</v>
      </c>
      <c r="U4233">
        <f>IF(AND(OR(Dashboard!$D$4="Semua",D4233=Dashboard!$D$4),OR(Dashboard!$H$4="Semua",E4233=Dashboard!$H$4)),1,0)</f>
        <v>1</v>
      </c>
      <c r="V4233">
        <f>IF(U4233=1,IF(COUNTIFS($C$2:C4233,C4233,$U$2:U4233,1)=1,1,0),0)</f>
        <v>0</v>
      </c>
    </row>
    <row r="4234" spans="1:22" x14ac:dyDescent="0.35">
      <c r="A4234">
        <v>14233</v>
      </c>
      <c r="B4234" s="1">
        <v>48794</v>
      </c>
      <c r="C4234">
        <v>1659</v>
      </c>
      <c r="D4234" t="s">
        <v>73</v>
      </c>
      <c r="E4234" t="s">
        <v>63</v>
      </c>
      <c r="F4234">
        <v>4</v>
      </c>
      <c r="G4234" s="2">
        <v>101.17</v>
      </c>
      <c r="H4234">
        <v>0.16</v>
      </c>
      <c r="I4234" t="s">
        <v>71</v>
      </c>
      <c r="J4234">
        <v>1</v>
      </c>
      <c r="K4234">
        <v>1.8</v>
      </c>
      <c r="L4234" s="2">
        <v>339.93</v>
      </c>
      <c r="M4234">
        <v>2033</v>
      </c>
      <c r="N4234">
        <v>8</v>
      </c>
      <c r="O4234" t="s">
        <v>219</v>
      </c>
      <c r="P4234" s="2">
        <v>404.68</v>
      </c>
      <c r="Q4234" s="2">
        <v>64.75</v>
      </c>
      <c r="R4234" t="s">
        <v>76</v>
      </c>
      <c r="S4234">
        <v>1</v>
      </c>
      <c r="T4234">
        <v>0</v>
      </c>
      <c r="U4234">
        <f>IF(AND(OR(Dashboard!$D$4="Semua",D4234=Dashboard!$D$4),OR(Dashboard!$H$4="Semua",E4234=Dashboard!$H$4)),1,0)</f>
        <v>1</v>
      </c>
      <c r="V4234">
        <f>IF(U4234=1,IF(COUNTIFS($C$2:C4234,C4234,$U$2:U4234,1)=1,1,0),0)</f>
        <v>0</v>
      </c>
    </row>
    <row r="4235" spans="1:22" x14ac:dyDescent="0.35">
      <c r="A4235">
        <v>14234</v>
      </c>
      <c r="B4235" s="1">
        <v>48795</v>
      </c>
      <c r="C4235">
        <v>1123</v>
      </c>
      <c r="D4235" t="s">
        <v>73</v>
      </c>
      <c r="E4235" t="s">
        <v>63</v>
      </c>
      <c r="F4235">
        <v>3</v>
      </c>
      <c r="G4235" s="2">
        <v>310.87</v>
      </c>
      <c r="H4235">
        <v>0.22</v>
      </c>
      <c r="I4235" t="s">
        <v>71</v>
      </c>
      <c r="J4235">
        <v>11</v>
      </c>
      <c r="K4235">
        <v>4.4000000000000004</v>
      </c>
      <c r="L4235" s="2">
        <v>727.44</v>
      </c>
      <c r="M4235">
        <v>2033</v>
      </c>
      <c r="N4235">
        <v>8</v>
      </c>
      <c r="O4235" t="s">
        <v>219</v>
      </c>
      <c r="P4235" s="2">
        <v>932.61</v>
      </c>
      <c r="Q4235" s="2">
        <v>205.17</v>
      </c>
      <c r="R4235" t="s">
        <v>77</v>
      </c>
      <c r="S4235">
        <v>1</v>
      </c>
      <c r="T4235">
        <v>0</v>
      </c>
      <c r="U4235">
        <f>IF(AND(OR(Dashboard!$D$4="Semua",D4235=Dashboard!$D$4),OR(Dashboard!$H$4="Semua",E4235=Dashboard!$H$4)),1,0)</f>
        <v>1</v>
      </c>
      <c r="V4235">
        <f>IF(U4235=1,IF(COUNTIFS($C$2:C4235,C4235,$U$2:U4235,1)=1,1,0),0)</f>
        <v>0</v>
      </c>
    </row>
    <row r="4236" spans="1:22" x14ac:dyDescent="0.35">
      <c r="A4236">
        <v>14235</v>
      </c>
      <c r="B4236" s="1">
        <v>48796</v>
      </c>
      <c r="C4236">
        <v>1000</v>
      </c>
      <c r="D4236" t="s">
        <v>67</v>
      </c>
      <c r="E4236" t="s">
        <v>63</v>
      </c>
      <c r="F4236">
        <v>6</v>
      </c>
      <c r="G4236" s="2">
        <v>281.60000000000002</v>
      </c>
      <c r="H4236">
        <v>0.25</v>
      </c>
      <c r="I4236" t="s">
        <v>68</v>
      </c>
      <c r="J4236">
        <v>8</v>
      </c>
      <c r="K4236">
        <v>1.2</v>
      </c>
      <c r="L4236" s="2">
        <v>1267.2</v>
      </c>
      <c r="M4236">
        <v>2033</v>
      </c>
      <c r="N4236">
        <v>8</v>
      </c>
      <c r="O4236" t="s">
        <v>219</v>
      </c>
      <c r="P4236" s="2">
        <v>1689.6</v>
      </c>
      <c r="Q4236" s="2">
        <v>422.4</v>
      </c>
      <c r="R4236" t="s">
        <v>77</v>
      </c>
      <c r="S4236">
        <v>1</v>
      </c>
      <c r="T4236">
        <v>0</v>
      </c>
      <c r="U4236">
        <f>IF(AND(OR(Dashboard!$D$4="Semua",D4236=Dashboard!$D$4),OR(Dashboard!$H$4="Semua",E4236=Dashboard!$H$4)),1,0)</f>
        <v>1</v>
      </c>
      <c r="V4236">
        <f>IF(U4236=1,IF(COUNTIFS($C$2:C4236,C4236,$U$2:U4236,1)=1,1,0),0)</f>
        <v>0</v>
      </c>
    </row>
    <row r="4237" spans="1:22" x14ac:dyDescent="0.35">
      <c r="A4237">
        <v>14236</v>
      </c>
      <c r="B4237" s="1">
        <v>48797</v>
      </c>
      <c r="C4237">
        <v>1967</v>
      </c>
      <c r="D4237" t="s">
        <v>67</v>
      </c>
      <c r="E4237" t="s">
        <v>74</v>
      </c>
      <c r="F4237">
        <v>7</v>
      </c>
      <c r="G4237" s="2">
        <v>598.34</v>
      </c>
      <c r="H4237">
        <v>0.34</v>
      </c>
      <c r="I4237" t="s">
        <v>68</v>
      </c>
      <c r="J4237">
        <v>9</v>
      </c>
      <c r="K4237">
        <v>4.2</v>
      </c>
      <c r="L4237" s="2">
        <v>2764.33</v>
      </c>
      <c r="M4237">
        <v>2033</v>
      </c>
      <c r="N4237">
        <v>8</v>
      </c>
      <c r="O4237" t="s">
        <v>219</v>
      </c>
      <c r="P4237" s="2">
        <v>4188.38</v>
      </c>
      <c r="Q4237" s="2">
        <v>1424.05</v>
      </c>
      <c r="R4237" t="s">
        <v>72</v>
      </c>
      <c r="S4237">
        <v>1</v>
      </c>
      <c r="T4237">
        <v>0</v>
      </c>
      <c r="U4237">
        <f>IF(AND(OR(Dashboard!$D$4="Semua",D4237=Dashboard!$D$4),OR(Dashboard!$H$4="Semua",E4237=Dashboard!$H$4)),1,0)</f>
        <v>1</v>
      </c>
      <c r="V4237">
        <f>IF(U4237=1,IF(COUNTIFS($C$2:C4237,C4237,$U$2:U4237,1)=1,1,0),0)</f>
        <v>0</v>
      </c>
    </row>
    <row r="4238" spans="1:22" x14ac:dyDescent="0.35">
      <c r="A4238">
        <v>14237</v>
      </c>
      <c r="B4238" s="1">
        <v>48798</v>
      </c>
      <c r="C4238">
        <v>1758</v>
      </c>
      <c r="D4238" t="s">
        <v>80</v>
      </c>
      <c r="E4238" t="s">
        <v>63</v>
      </c>
      <c r="F4238">
        <v>2</v>
      </c>
      <c r="G4238" s="2">
        <v>372.56</v>
      </c>
      <c r="H4238">
        <v>0.06</v>
      </c>
      <c r="I4238" t="s">
        <v>71</v>
      </c>
      <c r="J4238">
        <v>1</v>
      </c>
      <c r="K4238">
        <v>1.4</v>
      </c>
      <c r="L4238" s="2">
        <v>700.41</v>
      </c>
      <c r="M4238">
        <v>2033</v>
      </c>
      <c r="N4238">
        <v>8</v>
      </c>
      <c r="O4238" t="s">
        <v>219</v>
      </c>
      <c r="P4238" s="2">
        <v>745.12</v>
      </c>
      <c r="Q4238" s="2">
        <v>44.71</v>
      </c>
      <c r="R4238" t="s">
        <v>69</v>
      </c>
      <c r="S4238">
        <v>1</v>
      </c>
      <c r="T4238">
        <v>0</v>
      </c>
      <c r="U4238">
        <f>IF(AND(OR(Dashboard!$D$4="Semua",D4238=Dashboard!$D$4),OR(Dashboard!$H$4="Semua",E4238=Dashboard!$H$4)),1,0)</f>
        <v>1</v>
      </c>
      <c r="V4238">
        <f>IF(U4238=1,IF(COUNTIFS($C$2:C4238,C4238,$U$2:U4238,1)=1,1,0),0)</f>
        <v>0</v>
      </c>
    </row>
    <row r="4239" spans="1:22" x14ac:dyDescent="0.35">
      <c r="A4239">
        <v>14238</v>
      </c>
      <c r="B4239" s="1">
        <v>48799</v>
      </c>
      <c r="C4239">
        <v>1854</v>
      </c>
      <c r="D4239" t="s">
        <v>80</v>
      </c>
      <c r="E4239" t="s">
        <v>70</v>
      </c>
      <c r="F4239">
        <v>3</v>
      </c>
      <c r="G4239" s="2">
        <v>475.07</v>
      </c>
      <c r="H4239">
        <v>0.35</v>
      </c>
      <c r="I4239" t="s">
        <v>68</v>
      </c>
      <c r="J4239">
        <v>5</v>
      </c>
      <c r="K4239">
        <v>3.5</v>
      </c>
      <c r="L4239" s="2">
        <v>926.39</v>
      </c>
      <c r="M4239">
        <v>2033</v>
      </c>
      <c r="N4239">
        <v>8</v>
      </c>
      <c r="O4239" t="s">
        <v>219</v>
      </c>
      <c r="P4239" s="2">
        <v>1425.21</v>
      </c>
      <c r="Q4239" s="2">
        <v>498.82</v>
      </c>
      <c r="R4239" t="s">
        <v>72</v>
      </c>
      <c r="S4239">
        <v>1</v>
      </c>
      <c r="T4239">
        <v>0</v>
      </c>
      <c r="U4239">
        <f>IF(AND(OR(Dashboard!$D$4="Semua",D4239=Dashboard!$D$4),OR(Dashboard!$H$4="Semua",E4239=Dashboard!$H$4)),1,0)</f>
        <v>1</v>
      </c>
      <c r="V4239">
        <f>IF(U4239=1,IF(COUNTIFS($C$2:C4239,C4239,$U$2:U4239,1)=1,1,0),0)</f>
        <v>0</v>
      </c>
    </row>
    <row r="4240" spans="1:22" x14ac:dyDescent="0.35">
      <c r="A4240">
        <v>14239</v>
      </c>
      <c r="B4240" s="1">
        <v>48800</v>
      </c>
      <c r="C4240">
        <v>1639</v>
      </c>
      <c r="D4240" t="s">
        <v>67</v>
      </c>
      <c r="E4240" t="s">
        <v>70</v>
      </c>
      <c r="F4240">
        <v>2</v>
      </c>
      <c r="G4240" s="2">
        <v>210.4</v>
      </c>
      <c r="H4240">
        <v>0.14000000000000001</v>
      </c>
      <c r="I4240" t="s">
        <v>71</v>
      </c>
      <c r="J4240">
        <v>7</v>
      </c>
      <c r="K4240">
        <v>2.9</v>
      </c>
      <c r="L4240" s="2">
        <v>361.89</v>
      </c>
      <c r="M4240">
        <v>2033</v>
      </c>
      <c r="N4240">
        <v>8</v>
      </c>
      <c r="O4240" t="s">
        <v>219</v>
      </c>
      <c r="P4240" s="2">
        <v>420.8</v>
      </c>
      <c r="Q4240" s="2">
        <v>58.91</v>
      </c>
      <c r="R4240" t="s">
        <v>79</v>
      </c>
      <c r="S4240">
        <v>1</v>
      </c>
      <c r="T4240">
        <v>0</v>
      </c>
      <c r="U4240">
        <f>IF(AND(OR(Dashboard!$D$4="Semua",D4240=Dashboard!$D$4),OR(Dashboard!$H$4="Semua",E4240=Dashboard!$H$4)),1,0)</f>
        <v>1</v>
      </c>
      <c r="V4240">
        <f>IF(U4240=1,IF(COUNTIFS($C$2:C4240,C4240,$U$2:U4240,1)=1,1,0),0)</f>
        <v>0</v>
      </c>
    </row>
    <row r="4241" spans="1:22" x14ac:dyDescent="0.35">
      <c r="A4241">
        <v>14240</v>
      </c>
      <c r="B4241" s="1">
        <v>48801</v>
      </c>
      <c r="C4241">
        <v>1190</v>
      </c>
      <c r="D4241" t="s">
        <v>73</v>
      </c>
      <c r="E4241" t="s">
        <v>78</v>
      </c>
      <c r="F4241">
        <v>1</v>
      </c>
      <c r="G4241" s="2">
        <v>501.45</v>
      </c>
      <c r="H4241">
        <v>0.25</v>
      </c>
      <c r="I4241" t="s">
        <v>71</v>
      </c>
      <c r="J4241">
        <v>2</v>
      </c>
      <c r="K4241">
        <v>5</v>
      </c>
      <c r="L4241" s="2">
        <v>376.09</v>
      </c>
      <c r="M4241">
        <v>2033</v>
      </c>
      <c r="N4241">
        <v>8</v>
      </c>
      <c r="O4241" t="s">
        <v>219</v>
      </c>
      <c r="P4241" s="2">
        <v>501.45</v>
      </c>
      <c r="Q4241" s="2">
        <v>125.36</v>
      </c>
      <c r="R4241" t="s">
        <v>77</v>
      </c>
      <c r="S4241">
        <v>1</v>
      </c>
      <c r="T4241">
        <v>0</v>
      </c>
      <c r="U4241">
        <f>IF(AND(OR(Dashboard!$D$4="Semua",D4241=Dashboard!$D$4),OR(Dashboard!$H$4="Semua",E4241=Dashboard!$H$4)),1,0)</f>
        <v>1</v>
      </c>
      <c r="V4241">
        <f>IF(U4241=1,IF(COUNTIFS($C$2:C4241,C4241,$U$2:U4241,1)=1,1,0),0)</f>
        <v>0</v>
      </c>
    </row>
    <row r="4242" spans="1:22" x14ac:dyDescent="0.35">
      <c r="A4242">
        <v>14241</v>
      </c>
      <c r="B4242" s="1">
        <v>48802</v>
      </c>
      <c r="C4242">
        <v>1578</v>
      </c>
      <c r="D4242" t="s">
        <v>73</v>
      </c>
      <c r="E4242" t="s">
        <v>63</v>
      </c>
      <c r="F4242">
        <v>5</v>
      </c>
      <c r="G4242" s="2">
        <v>374.82</v>
      </c>
      <c r="H4242">
        <v>0.2</v>
      </c>
      <c r="I4242" t="s">
        <v>64</v>
      </c>
      <c r="J4242">
        <v>6</v>
      </c>
      <c r="K4242">
        <v>2.6</v>
      </c>
      <c r="L4242" s="2">
        <v>1499.28</v>
      </c>
      <c r="M4242">
        <v>2033</v>
      </c>
      <c r="N4242">
        <v>8</v>
      </c>
      <c r="O4242" t="s">
        <v>219</v>
      </c>
      <c r="P4242" s="2">
        <v>1874.1</v>
      </c>
      <c r="Q4242" s="2">
        <v>374.82</v>
      </c>
      <c r="R4242" t="s">
        <v>76</v>
      </c>
      <c r="S4242">
        <v>1</v>
      </c>
      <c r="T4242">
        <v>0</v>
      </c>
      <c r="U4242">
        <f>IF(AND(OR(Dashboard!$D$4="Semua",D4242=Dashboard!$D$4),OR(Dashboard!$H$4="Semua",E4242=Dashboard!$H$4)),1,0)</f>
        <v>1</v>
      </c>
      <c r="V4242">
        <f>IF(U4242=1,IF(COUNTIFS($C$2:C4242,C4242,$U$2:U4242,1)=1,1,0),0)</f>
        <v>0</v>
      </c>
    </row>
    <row r="4243" spans="1:22" x14ac:dyDescent="0.35">
      <c r="A4243">
        <v>14242</v>
      </c>
      <c r="B4243" s="1">
        <v>48803</v>
      </c>
      <c r="C4243">
        <v>1515</v>
      </c>
      <c r="D4243" t="s">
        <v>80</v>
      </c>
      <c r="E4243" t="s">
        <v>74</v>
      </c>
      <c r="F4243">
        <v>5</v>
      </c>
      <c r="G4243" s="2">
        <v>422.74</v>
      </c>
      <c r="H4243">
        <v>0.17</v>
      </c>
      <c r="I4243" t="s">
        <v>64</v>
      </c>
      <c r="J4243">
        <v>8</v>
      </c>
      <c r="K4243">
        <v>4.8</v>
      </c>
      <c r="L4243" s="2">
        <v>1754.37</v>
      </c>
      <c r="M4243">
        <v>2033</v>
      </c>
      <c r="N4243">
        <v>8</v>
      </c>
      <c r="O4243" t="s">
        <v>219</v>
      </c>
      <c r="P4243" s="2">
        <v>2113.6999999999998</v>
      </c>
      <c r="Q4243" s="2">
        <v>359.33</v>
      </c>
      <c r="R4243" t="s">
        <v>76</v>
      </c>
      <c r="S4243">
        <v>1</v>
      </c>
      <c r="T4243">
        <v>0</v>
      </c>
      <c r="U4243">
        <f>IF(AND(OR(Dashboard!$D$4="Semua",D4243=Dashboard!$D$4),OR(Dashboard!$H$4="Semua",E4243=Dashboard!$H$4)),1,0)</f>
        <v>1</v>
      </c>
      <c r="V4243">
        <f>IF(U4243=1,IF(COUNTIFS($C$2:C4243,C4243,$U$2:U4243,1)=1,1,0),0)</f>
        <v>0</v>
      </c>
    </row>
    <row r="4244" spans="1:22" x14ac:dyDescent="0.35">
      <c r="A4244">
        <v>14243</v>
      </c>
      <c r="B4244" s="1">
        <v>48804</v>
      </c>
      <c r="C4244">
        <v>1441</v>
      </c>
      <c r="D4244" t="s">
        <v>73</v>
      </c>
      <c r="E4244" t="s">
        <v>78</v>
      </c>
      <c r="F4244">
        <v>2</v>
      </c>
      <c r="G4244" s="2">
        <v>187.24</v>
      </c>
      <c r="H4244">
        <v>0.24</v>
      </c>
      <c r="I4244" t="s">
        <v>68</v>
      </c>
      <c r="J4244">
        <v>8</v>
      </c>
      <c r="K4244">
        <v>2.6</v>
      </c>
      <c r="L4244" s="2">
        <v>284.60000000000002</v>
      </c>
      <c r="M4244">
        <v>2033</v>
      </c>
      <c r="N4244">
        <v>8</v>
      </c>
      <c r="O4244" t="s">
        <v>219</v>
      </c>
      <c r="P4244" s="2">
        <v>374.48</v>
      </c>
      <c r="Q4244" s="2">
        <v>89.88</v>
      </c>
      <c r="R4244" t="s">
        <v>77</v>
      </c>
      <c r="S4244">
        <v>1</v>
      </c>
      <c r="T4244">
        <v>0</v>
      </c>
      <c r="U4244">
        <f>IF(AND(OR(Dashboard!$D$4="Semua",D4244=Dashboard!$D$4),OR(Dashboard!$H$4="Semua",E4244=Dashboard!$H$4)),1,0)</f>
        <v>1</v>
      </c>
      <c r="V4244">
        <f>IF(U4244=1,IF(COUNTIFS($C$2:C4244,C4244,$U$2:U4244,1)=1,1,0),0)</f>
        <v>0</v>
      </c>
    </row>
    <row r="4245" spans="1:22" x14ac:dyDescent="0.35">
      <c r="A4245">
        <v>14244</v>
      </c>
      <c r="B4245" s="1">
        <v>48805</v>
      </c>
      <c r="C4245">
        <v>1920</v>
      </c>
      <c r="D4245" t="s">
        <v>73</v>
      </c>
      <c r="E4245" t="s">
        <v>70</v>
      </c>
      <c r="F4245">
        <v>3</v>
      </c>
      <c r="G4245" s="2">
        <v>335.95</v>
      </c>
      <c r="H4245">
        <v>0.14000000000000001</v>
      </c>
      <c r="I4245" t="s">
        <v>68</v>
      </c>
      <c r="J4245">
        <v>10</v>
      </c>
      <c r="K4245">
        <v>3.7</v>
      </c>
      <c r="L4245" s="2">
        <v>866.75</v>
      </c>
      <c r="M4245">
        <v>2033</v>
      </c>
      <c r="N4245">
        <v>8</v>
      </c>
      <c r="O4245" t="s">
        <v>219</v>
      </c>
      <c r="P4245" s="2">
        <v>1007.85</v>
      </c>
      <c r="Q4245" s="2">
        <v>141.1</v>
      </c>
      <c r="R4245" t="s">
        <v>79</v>
      </c>
      <c r="S4245">
        <v>1</v>
      </c>
      <c r="T4245">
        <v>0</v>
      </c>
      <c r="U4245">
        <f>IF(AND(OR(Dashboard!$D$4="Semua",D4245=Dashboard!$D$4),OR(Dashboard!$H$4="Semua",E4245=Dashboard!$H$4)),1,0)</f>
        <v>1</v>
      </c>
      <c r="V4245">
        <f>IF(U4245=1,IF(COUNTIFS($C$2:C4245,C4245,$U$2:U4245,1)=1,1,0),0)</f>
        <v>0</v>
      </c>
    </row>
    <row r="4246" spans="1:22" x14ac:dyDescent="0.35">
      <c r="A4246">
        <v>14245</v>
      </c>
      <c r="B4246" s="1">
        <v>48806</v>
      </c>
      <c r="C4246">
        <v>1814</v>
      </c>
      <c r="D4246" t="s">
        <v>80</v>
      </c>
      <c r="E4246" t="s">
        <v>63</v>
      </c>
      <c r="F4246">
        <v>4</v>
      </c>
      <c r="G4246" s="2">
        <v>385.91</v>
      </c>
      <c r="H4246">
        <v>0.04</v>
      </c>
      <c r="I4246" t="s">
        <v>71</v>
      </c>
      <c r="J4246">
        <v>10</v>
      </c>
      <c r="K4246">
        <v>3.6</v>
      </c>
      <c r="L4246" s="2">
        <v>1481.89</v>
      </c>
      <c r="M4246">
        <v>2033</v>
      </c>
      <c r="N4246">
        <v>8</v>
      </c>
      <c r="O4246" t="s">
        <v>219</v>
      </c>
      <c r="P4246" s="2">
        <v>1543.64</v>
      </c>
      <c r="Q4246" s="2">
        <v>61.75</v>
      </c>
      <c r="R4246" t="s">
        <v>75</v>
      </c>
      <c r="S4246">
        <v>1</v>
      </c>
      <c r="T4246">
        <v>0</v>
      </c>
      <c r="U4246">
        <f>IF(AND(OR(Dashboard!$D$4="Semua",D4246=Dashboard!$D$4),OR(Dashboard!$H$4="Semua",E4246=Dashboard!$H$4)),1,0)</f>
        <v>1</v>
      </c>
      <c r="V4246">
        <f>IF(U4246=1,IF(COUNTIFS($C$2:C4246,C4246,$U$2:U4246,1)=1,1,0),0)</f>
        <v>0</v>
      </c>
    </row>
    <row r="4247" spans="1:22" x14ac:dyDescent="0.35">
      <c r="A4247">
        <v>14246</v>
      </c>
      <c r="B4247" s="1">
        <v>48807</v>
      </c>
      <c r="C4247">
        <v>1805</v>
      </c>
      <c r="D4247" t="s">
        <v>67</v>
      </c>
      <c r="E4247" t="s">
        <v>70</v>
      </c>
      <c r="F4247">
        <v>6</v>
      </c>
      <c r="G4247" s="2">
        <v>359.62</v>
      </c>
      <c r="H4247">
        <v>0.17</v>
      </c>
      <c r="I4247" t="s">
        <v>68</v>
      </c>
      <c r="J4247">
        <v>8</v>
      </c>
      <c r="K4247">
        <v>1.3</v>
      </c>
      <c r="L4247" s="2">
        <v>1790.91</v>
      </c>
      <c r="M4247">
        <v>2033</v>
      </c>
      <c r="N4247">
        <v>8</v>
      </c>
      <c r="O4247" t="s">
        <v>219</v>
      </c>
      <c r="P4247" s="2">
        <v>2157.7199999999998</v>
      </c>
      <c r="Q4247" s="2">
        <v>366.81</v>
      </c>
      <c r="R4247" t="s">
        <v>76</v>
      </c>
      <c r="S4247">
        <v>1</v>
      </c>
      <c r="T4247">
        <v>0</v>
      </c>
      <c r="U4247">
        <f>IF(AND(OR(Dashboard!$D$4="Semua",D4247=Dashboard!$D$4),OR(Dashboard!$H$4="Semua",E4247=Dashboard!$H$4)),1,0)</f>
        <v>1</v>
      </c>
      <c r="V4247">
        <f>IF(U4247=1,IF(COUNTIFS($C$2:C4247,C4247,$U$2:U4247,1)=1,1,0),0)</f>
        <v>0</v>
      </c>
    </row>
    <row r="4248" spans="1:22" x14ac:dyDescent="0.35">
      <c r="A4248">
        <v>14247</v>
      </c>
      <c r="B4248" s="1">
        <v>48808</v>
      </c>
      <c r="C4248">
        <v>1142</v>
      </c>
      <c r="D4248" t="s">
        <v>73</v>
      </c>
      <c r="E4248" t="s">
        <v>78</v>
      </c>
      <c r="F4248">
        <v>2</v>
      </c>
      <c r="G4248" s="2">
        <v>550.39</v>
      </c>
      <c r="H4248">
        <v>0.18</v>
      </c>
      <c r="I4248" t="s">
        <v>68</v>
      </c>
      <c r="J4248">
        <v>6</v>
      </c>
      <c r="K4248">
        <v>4</v>
      </c>
      <c r="L4248" s="2">
        <v>902.64</v>
      </c>
      <c r="M4248">
        <v>2033</v>
      </c>
      <c r="N4248">
        <v>8</v>
      </c>
      <c r="O4248" t="s">
        <v>219</v>
      </c>
      <c r="P4248" s="2">
        <v>1100.78</v>
      </c>
      <c r="Q4248" s="2">
        <v>198.14</v>
      </c>
      <c r="R4248" t="s">
        <v>76</v>
      </c>
      <c r="S4248">
        <v>1</v>
      </c>
      <c r="T4248">
        <v>0</v>
      </c>
      <c r="U4248">
        <f>IF(AND(OR(Dashboard!$D$4="Semua",D4248=Dashboard!$D$4),OR(Dashboard!$H$4="Semua",E4248=Dashboard!$H$4)),1,0)</f>
        <v>1</v>
      </c>
      <c r="V4248">
        <f>IF(U4248=1,IF(COUNTIFS($C$2:C4248,C4248,$U$2:U4248,1)=1,1,0),0)</f>
        <v>0</v>
      </c>
    </row>
    <row r="4249" spans="1:22" x14ac:dyDescent="0.35">
      <c r="A4249">
        <v>14248</v>
      </c>
      <c r="B4249" s="1">
        <v>48809</v>
      </c>
      <c r="C4249">
        <v>1190</v>
      </c>
      <c r="D4249" t="s">
        <v>73</v>
      </c>
      <c r="E4249" t="s">
        <v>70</v>
      </c>
      <c r="F4249">
        <v>2</v>
      </c>
      <c r="G4249" s="2">
        <v>540.49</v>
      </c>
      <c r="H4249">
        <v>7.0000000000000007E-2</v>
      </c>
      <c r="I4249" t="s">
        <v>64</v>
      </c>
      <c r="J4249">
        <v>6</v>
      </c>
      <c r="K4249">
        <v>1.8</v>
      </c>
      <c r="L4249" s="2">
        <v>1005.31</v>
      </c>
      <c r="M4249">
        <v>2033</v>
      </c>
      <c r="N4249">
        <v>8</v>
      </c>
      <c r="O4249" t="s">
        <v>219</v>
      </c>
      <c r="P4249" s="2">
        <v>1080.98</v>
      </c>
      <c r="Q4249" s="2">
        <v>75.67</v>
      </c>
      <c r="R4249" t="s">
        <v>69</v>
      </c>
      <c r="S4249">
        <v>1</v>
      </c>
      <c r="T4249">
        <v>0</v>
      </c>
      <c r="U4249">
        <f>IF(AND(OR(Dashboard!$D$4="Semua",D4249=Dashboard!$D$4),OR(Dashboard!$H$4="Semua",E4249=Dashboard!$H$4)),1,0)</f>
        <v>1</v>
      </c>
      <c r="V4249">
        <f>IF(U4249=1,IF(COUNTIFS($C$2:C4249,C4249,$U$2:U4249,1)=1,1,0),0)</f>
        <v>0</v>
      </c>
    </row>
    <row r="4250" spans="1:22" x14ac:dyDescent="0.35">
      <c r="A4250">
        <v>14249</v>
      </c>
      <c r="B4250" s="1">
        <v>48810</v>
      </c>
      <c r="C4250">
        <v>1532</v>
      </c>
      <c r="D4250" t="s">
        <v>62</v>
      </c>
      <c r="E4250" t="s">
        <v>63</v>
      </c>
      <c r="F4250">
        <v>6</v>
      </c>
      <c r="G4250" s="2">
        <v>583.03</v>
      </c>
      <c r="H4250">
        <v>0.33</v>
      </c>
      <c r="I4250" t="s">
        <v>64</v>
      </c>
      <c r="J4250">
        <v>11</v>
      </c>
      <c r="K4250">
        <v>2.6</v>
      </c>
      <c r="L4250" s="2">
        <v>2343.7800000000002</v>
      </c>
      <c r="M4250">
        <v>2033</v>
      </c>
      <c r="N4250">
        <v>8</v>
      </c>
      <c r="O4250" t="s">
        <v>219</v>
      </c>
      <c r="P4250" s="2">
        <v>3498.18</v>
      </c>
      <c r="Q4250" s="2">
        <v>1154.4000000000001</v>
      </c>
      <c r="R4250" t="s">
        <v>72</v>
      </c>
      <c r="S4250">
        <v>1</v>
      </c>
      <c r="T4250">
        <v>0</v>
      </c>
      <c r="U4250">
        <f>IF(AND(OR(Dashboard!$D$4="Semua",D4250=Dashboard!$D$4),OR(Dashboard!$H$4="Semua",E4250=Dashboard!$H$4)),1,0)</f>
        <v>1</v>
      </c>
      <c r="V4250">
        <f>IF(U4250=1,IF(COUNTIFS($C$2:C4250,C4250,$U$2:U4250,1)=1,1,0),0)</f>
        <v>0</v>
      </c>
    </row>
    <row r="4251" spans="1:22" x14ac:dyDescent="0.35">
      <c r="A4251">
        <v>14250</v>
      </c>
      <c r="B4251" s="1">
        <v>48811</v>
      </c>
      <c r="C4251">
        <v>1226</v>
      </c>
      <c r="D4251" t="s">
        <v>62</v>
      </c>
      <c r="E4251" t="s">
        <v>63</v>
      </c>
      <c r="F4251">
        <v>7</v>
      </c>
      <c r="G4251" s="2">
        <v>405.45</v>
      </c>
      <c r="H4251">
        <v>0.08</v>
      </c>
      <c r="I4251" t="s">
        <v>71</v>
      </c>
      <c r="J4251">
        <v>3</v>
      </c>
      <c r="K4251">
        <v>4.0999999999999996</v>
      </c>
      <c r="L4251" s="2">
        <v>2611.1</v>
      </c>
      <c r="M4251">
        <v>2033</v>
      </c>
      <c r="N4251">
        <v>8</v>
      </c>
      <c r="O4251" t="s">
        <v>219</v>
      </c>
      <c r="P4251" s="2">
        <v>2838.15</v>
      </c>
      <c r="Q4251" s="2">
        <v>227.05</v>
      </c>
      <c r="R4251" t="s">
        <v>69</v>
      </c>
      <c r="S4251">
        <v>1</v>
      </c>
      <c r="T4251">
        <v>0</v>
      </c>
      <c r="U4251">
        <f>IF(AND(OR(Dashboard!$D$4="Semua",D4251=Dashboard!$D$4),OR(Dashboard!$H$4="Semua",E4251=Dashboard!$H$4)),1,0)</f>
        <v>1</v>
      </c>
      <c r="V4251">
        <f>IF(U4251=1,IF(COUNTIFS($C$2:C4251,C4251,$U$2:U4251,1)=1,1,0),0)</f>
        <v>0</v>
      </c>
    </row>
    <row r="4252" spans="1:22" x14ac:dyDescent="0.35">
      <c r="A4252">
        <v>14251</v>
      </c>
      <c r="B4252" s="1">
        <v>48812</v>
      </c>
      <c r="C4252">
        <v>1312</v>
      </c>
      <c r="D4252" t="s">
        <v>80</v>
      </c>
      <c r="E4252" t="s">
        <v>78</v>
      </c>
      <c r="F4252">
        <v>4</v>
      </c>
      <c r="G4252" s="2">
        <v>583.57000000000005</v>
      </c>
      <c r="H4252">
        <v>0.14000000000000001</v>
      </c>
      <c r="I4252" t="s">
        <v>71</v>
      </c>
      <c r="J4252">
        <v>2</v>
      </c>
      <c r="K4252">
        <v>4.8</v>
      </c>
      <c r="L4252" s="2">
        <v>2007.48</v>
      </c>
      <c r="M4252">
        <v>2033</v>
      </c>
      <c r="N4252">
        <v>8</v>
      </c>
      <c r="O4252" t="s">
        <v>219</v>
      </c>
      <c r="P4252" s="2">
        <v>2334.2800000000002</v>
      </c>
      <c r="Q4252" s="2">
        <v>326.8</v>
      </c>
      <c r="R4252" t="s">
        <v>79</v>
      </c>
      <c r="S4252">
        <v>1</v>
      </c>
      <c r="T4252">
        <v>0</v>
      </c>
      <c r="U4252">
        <f>IF(AND(OR(Dashboard!$D$4="Semua",D4252=Dashboard!$D$4),OR(Dashboard!$H$4="Semua",E4252=Dashboard!$H$4)),1,0)</f>
        <v>1</v>
      </c>
      <c r="V4252">
        <f>IF(U4252=1,IF(COUNTIFS($C$2:C4252,C4252,$U$2:U4252,1)=1,1,0),0)</f>
        <v>0</v>
      </c>
    </row>
    <row r="4253" spans="1:22" x14ac:dyDescent="0.35">
      <c r="A4253">
        <v>14252</v>
      </c>
      <c r="B4253" s="1">
        <v>48813</v>
      </c>
      <c r="C4253">
        <v>1628</v>
      </c>
      <c r="D4253" t="s">
        <v>67</v>
      </c>
      <c r="E4253" t="s">
        <v>63</v>
      </c>
      <c r="F4253">
        <v>2</v>
      </c>
      <c r="G4253" s="2">
        <v>502</v>
      </c>
      <c r="H4253">
        <v>0.05</v>
      </c>
      <c r="I4253" t="s">
        <v>68</v>
      </c>
      <c r="J4253">
        <v>5</v>
      </c>
      <c r="K4253">
        <v>3.2</v>
      </c>
      <c r="L4253" s="2">
        <v>953.8</v>
      </c>
      <c r="M4253">
        <v>2033</v>
      </c>
      <c r="N4253">
        <v>8</v>
      </c>
      <c r="O4253" t="s">
        <v>219</v>
      </c>
      <c r="P4253" s="2">
        <v>1004</v>
      </c>
      <c r="Q4253" s="2">
        <v>50.2</v>
      </c>
      <c r="R4253" t="s">
        <v>75</v>
      </c>
      <c r="S4253">
        <v>1</v>
      </c>
      <c r="T4253">
        <v>0</v>
      </c>
      <c r="U4253">
        <f>IF(AND(OR(Dashboard!$D$4="Semua",D4253=Dashboard!$D$4),OR(Dashboard!$H$4="Semua",E4253=Dashboard!$H$4)),1,0)</f>
        <v>1</v>
      </c>
      <c r="V4253">
        <f>IF(U4253=1,IF(COUNTIFS($C$2:C4253,C4253,$U$2:U4253,1)=1,1,0),0)</f>
        <v>0</v>
      </c>
    </row>
    <row r="4254" spans="1:22" x14ac:dyDescent="0.35">
      <c r="A4254">
        <v>14253</v>
      </c>
      <c r="B4254" s="1">
        <v>48814</v>
      </c>
      <c r="C4254">
        <v>1948</v>
      </c>
      <c r="D4254" t="s">
        <v>67</v>
      </c>
      <c r="E4254" t="s">
        <v>70</v>
      </c>
      <c r="F4254">
        <v>1</v>
      </c>
      <c r="G4254" s="2">
        <v>173.44</v>
      </c>
      <c r="H4254">
        <v>0.19</v>
      </c>
      <c r="I4254" t="s">
        <v>71</v>
      </c>
      <c r="J4254">
        <v>9</v>
      </c>
      <c r="K4254">
        <v>3.1</v>
      </c>
      <c r="L4254" s="2">
        <v>140.49</v>
      </c>
      <c r="M4254">
        <v>2033</v>
      </c>
      <c r="N4254">
        <v>8</v>
      </c>
      <c r="O4254" t="s">
        <v>219</v>
      </c>
      <c r="P4254" s="2">
        <v>173.44</v>
      </c>
      <c r="Q4254" s="2">
        <v>32.950000000000003</v>
      </c>
      <c r="R4254" t="s">
        <v>76</v>
      </c>
      <c r="S4254">
        <v>1</v>
      </c>
      <c r="T4254">
        <v>0</v>
      </c>
      <c r="U4254">
        <f>IF(AND(OR(Dashboard!$D$4="Semua",D4254=Dashboard!$D$4),OR(Dashboard!$H$4="Semua",E4254=Dashboard!$H$4)),1,0)</f>
        <v>1</v>
      </c>
      <c r="V4254">
        <f>IF(U4254=1,IF(COUNTIFS($C$2:C4254,C4254,$U$2:U4254,1)=1,1,0),0)</f>
        <v>0</v>
      </c>
    </row>
    <row r="4255" spans="1:22" x14ac:dyDescent="0.35">
      <c r="A4255">
        <v>14254</v>
      </c>
      <c r="B4255" s="1">
        <v>48815</v>
      </c>
      <c r="C4255">
        <v>1301</v>
      </c>
      <c r="D4255" t="s">
        <v>62</v>
      </c>
      <c r="E4255" t="s">
        <v>70</v>
      </c>
      <c r="F4255">
        <v>4</v>
      </c>
      <c r="G4255" s="2">
        <v>265.05</v>
      </c>
      <c r="H4255">
        <v>0.11</v>
      </c>
      <c r="I4255" t="s">
        <v>71</v>
      </c>
      <c r="J4255">
        <v>4</v>
      </c>
      <c r="K4255">
        <v>3</v>
      </c>
      <c r="L4255" s="2">
        <v>943.58</v>
      </c>
      <c r="M4255">
        <v>2033</v>
      </c>
      <c r="N4255">
        <v>8</v>
      </c>
      <c r="O4255" t="s">
        <v>219</v>
      </c>
      <c r="P4255" s="2">
        <v>1060.2</v>
      </c>
      <c r="Q4255" s="2">
        <v>116.62</v>
      </c>
      <c r="R4255" t="s">
        <v>79</v>
      </c>
      <c r="S4255">
        <v>1</v>
      </c>
      <c r="T4255">
        <v>0</v>
      </c>
      <c r="U4255">
        <f>IF(AND(OR(Dashboard!$D$4="Semua",D4255=Dashboard!$D$4),OR(Dashboard!$H$4="Semua",E4255=Dashboard!$H$4)),1,0)</f>
        <v>1</v>
      </c>
      <c r="V4255">
        <f>IF(U4255=1,IF(COUNTIFS($C$2:C4255,C4255,$U$2:U4255,1)=1,1,0),0)</f>
        <v>0</v>
      </c>
    </row>
    <row r="4256" spans="1:22" x14ac:dyDescent="0.35">
      <c r="A4256">
        <v>14255</v>
      </c>
      <c r="B4256" s="1">
        <v>48816</v>
      </c>
      <c r="C4256">
        <v>1653</v>
      </c>
      <c r="D4256" t="s">
        <v>62</v>
      </c>
      <c r="E4256" t="s">
        <v>74</v>
      </c>
      <c r="F4256">
        <v>1</v>
      </c>
      <c r="G4256" s="2">
        <v>154.46</v>
      </c>
      <c r="H4256">
        <v>0.17</v>
      </c>
      <c r="I4256" t="s">
        <v>71</v>
      </c>
      <c r="J4256">
        <v>5</v>
      </c>
      <c r="K4256">
        <v>4.3</v>
      </c>
      <c r="L4256" s="2">
        <v>128.19999999999999</v>
      </c>
      <c r="M4256">
        <v>2033</v>
      </c>
      <c r="N4256">
        <v>8</v>
      </c>
      <c r="O4256" t="s">
        <v>219</v>
      </c>
      <c r="P4256" s="2">
        <v>154.46</v>
      </c>
      <c r="Q4256" s="2">
        <v>26.26</v>
      </c>
      <c r="R4256" t="s">
        <v>76</v>
      </c>
      <c r="S4256">
        <v>1</v>
      </c>
      <c r="T4256">
        <v>0</v>
      </c>
      <c r="U4256">
        <f>IF(AND(OR(Dashboard!$D$4="Semua",D4256=Dashboard!$D$4),OR(Dashboard!$H$4="Semua",E4256=Dashboard!$H$4)),1,0)</f>
        <v>1</v>
      </c>
      <c r="V4256">
        <f>IF(U4256=1,IF(COUNTIFS($C$2:C4256,C4256,$U$2:U4256,1)=1,1,0),0)</f>
        <v>0</v>
      </c>
    </row>
    <row r="4257" spans="1:22" x14ac:dyDescent="0.35">
      <c r="A4257">
        <v>14256</v>
      </c>
      <c r="B4257" s="1">
        <v>48817</v>
      </c>
      <c r="C4257">
        <v>1995</v>
      </c>
      <c r="D4257" t="s">
        <v>73</v>
      </c>
      <c r="E4257" t="s">
        <v>74</v>
      </c>
      <c r="F4257">
        <v>5</v>
      </c>
      <c r="G4257" s="2">
        <v>17.46</v>
      </c>
      <c r="H4257">
        <v>0.08</v>
      </c>
      <c r="I4257" t="s">
        <v>68</v>
      </c>
      <c r="J4257">
        <v>6</v>
      </c>
      <c r="K4257">
        <v>5</v>
      </c>
      <c r="L4257" s="2">
        <v>80.319999999999993</v>
      </c>
      <c r="M4257">
        <v>2033</v>
      </c>
      <c r="N4257">
        <v>8</v>
      </c>
      <c r="O4257" t="s">
        <v>219</v>
      </c>
      <c r="P4257" s="2">
        <v>87.3</v>
      </c>
      <c r="Q4257" s="2">
        <v>6.98</v>
      </c>
      <c r="R4257" t="s">
        <v>69</v>
      </c>
      <c r="S4257">
        <v>1</v>
      </c>
      <c r="T4257">
        <v>0</v>
      </c>
      <c r="U4257">
        <f>IF(AND(OR(Dashboard!$D$4="Semua",D4257=Dashboard!$D$4),OR(Dashboard!$H$4="Semua",E4257=Dashboard!$H$4)),1,0)</f>
        <v>1</v>
      </c>
      <c r="V4257">
        <f>IF(U4257=1,IF(COUNTIFS($C$2:C4257,C4257,$U$2:U4257,1)=1,1,0),0)</f>
        <v>0</v>
      </c>
    </row>
    <row r="4258" spans="1:22" x14ac:dyDescent="0.35">
      <c r="A4258">
        <v>14257</v>
      </c>
      <c r="B4258" s="1">
        <v>48818</v>
      </c>
      <c r="C4258">
        <v>1459</v>
      </c>
      <c r="D4258" t="s">
        <v>80</v>
      </c>
      <c r="E4258" t="s">
        <v>74</v>
      </c>
      <c r="F4258">
        <v>6</v>
      </c>
      <c r="G4258" s="2">
        <v>125.01</v>
      </c>
      <c r="H4258">
        <v>0.02</v>
      </c>
      <c r="I4258" t="s">
        <v>64</v>
      </c>
      <c r="J4258">
        <v>11</v>
      </c>
      <c r="K4258">
        <v>3.5</v>
      </c>
      <c r="L4258" s="2">
        <v>735.06</v>
      </c>
      <c r="M4258">
        <v>2033</v>
      </c>
      <c r="N4258">
        <v>8</v>
      </c>
      <c r="O4258" t="s">
        <v>219</v>
      </c>
      <c r="P4258" s="2">
        <v>750.06</v>
      </c>
      <c r="Q4258" s="2">
        <v>15</v>
      </c>
      <c r="R4258" t="s">
        <v>75</v>
      </c>
      <c r="S4258">
        <v>1</v>
      </c>
      <c r="T4258">
        <v>0</v>
      </c>
      <c r="U4258">
        <f>IF(AND(OR(Dashboard!$D$4="Semua",D4258=Dashboard!$D$4),OR(Dashboard!$H$4="Semua",E4258=Dashboard!$H$4)),1,0)</f>
        <v>1</v>
      </c>
      <c r="V4258">
        <f>IF(U4258=1,IF(COUNTIFS($C$2:C4258,C4258,$U$2:U4258,1)=1,1,0),0)</f>
        <v>0</v>
      </c>
    </row>
    <row r="4259" spans="1:22" x14ac:dyDescent="0.35">
      <c r="A4259">
        <v>14258</v>
      </c>
      <c r="B4259" s="1">
        <v>48819</v>
      </c>
      <c r="C4259">
        <v>1400</v>
      </c>
      <c r="D4259" t="s">
        <v>73</v>
      </c>
      <c r="E4259" t="s">
        <v>70</v>
      </c>
      <c r="F4259">
        <v>4</v>
      </c>
      <c r="G4259" s="2">
        <v>17.38</v>
      </c>
      <c r="H4259">
        <v>0.27</v>
      </c>
      <c r="I4259" t="s">
        <v>71</v>
      </c>
      <c r="J4259">
        <v>6</v>
      </c>
      <c r="K4259">
        <v>2.5</v>
      </c>
      <c r="L4259" s="2">
        <v>50.75</v>
      </c>
      <c r="M4259">
        <v>2033</v>
      </c>
      <c r="N4259">
        <v>8</v>
      </c>
      <c r="O4259" t="s">
        <v>219</v>
      </c>
      <c r="P4259" s="2">
        <v>69.52</v>
      </c>
      <c r="Q4259" s="2">
        <v>18.77</v>
      </c>
      <c r="R4259" t="s">
        <v>66</v>
      </c>
      <c r="S4259">
        <v>1</v>
      </c>
      <c r="T4259">
        <v>0</v>
      </c>
      <c r="U4259">
        <f>IF(AND(OR(Dashboard!$D$4="Semua",D4259=Dashboard!$D$4),OR(Dashboard!$H$4="Semua",E4259=Dashboard!$H$4)),1,0)</f>
        <v>1</v>
      </c>
      <c r="V4259">
        <f>IF(U4259=1,IF(COUNTIFS($C$2:C4259,C4259,$U$2:U4259,1)=1,1,0),0)</f>
        <v>0</v>
      </c>
    </row>
    <row r="4260" spans="1:22" x14ac:dyDescent="0.35">
      <c r="A4260">
        <v>14259</v>
      </c>
      <c r="B4260" s="1">
        <v>48820</v>
      </c>
      <c r="C4260">
        <v>1550</v>
      </c>
      <c r="D4260" t="s">
        <v>73</v>
      </c>
      <c r="E4260" t="s">
        <v>70</v>
      </c>
      <c r="F4260">
        <v>7</v>
      </c>
      <c r="G4260" s="2">
        <v>436.11</v>
      </c>
      <c r="H4260">
        <v>0.22</v>
      </c>
      <c r="I4260" t="s">
        <v>71</v>
      </c>
      <c r="J4260">
        <v>4</v>
      </c>
      <c r="K4260">
        <v>1.9</v>
      </c>
      <c r="L4260" s="2">
        <v>2381.16</v>
      </c>
      <c r="M4260">
        <v>2033</v>
      </c>
      <c r="N4260">
        <v>8</v>
      </c>
      <c r="O4260" t="s">
        <v>219</v>
      </c>
      <c r="P4260" s="2">
        <v>3052.77</v>
      </c>
      <c r="Q4260" s="2">
        <v>671.61</v>
      </c>
      <c r="R4260" t="s">
        <v>77</v>
      </c>
      <c r="S4260">
        <v>1</v>
      </c>
      <c r="T4260">
        <v>0</v>
      </c>
      <c r="U4260">
        <f>IF(AND(OR(Dashboard!$D$4="Semua",D4260=Dashboard!$D$4),OR(Dashboard!$H$4="Semua",E4260=Dashboard!$H$4)),1,0)</f>
        <v>1</v>
      </c>
      <c r="V4260">
        <f>IF(U4260=1,IF(COUNTIFS($C$2:C4260,C4260,$U$2:U4260,1)=1,1,0),0)</f>
        <v>0</v>
      </c>
    </row>
    <row r="4261" spans="1:22" x14ac:dyDescent="0.35">
      <c r="A4261">
        <v>14260</v>
      </c>
      <c r="B4261" s="1">
        <v>48821</v>
      </c>
      <c r="C4261">
        <v>1392</v>
      </c>
      <c r="D4261" t="s">
        <v>80</v>
      </c>
      <c r="E4261" t="s">
        <v>78</v>
      </c>
      <c r="F4261">
        <v>4</v>
      </c>
      <c r="G4261" s="2">
        <v>263.94</v>
      </c>
      <c r="H4261">
        <v>0.12</v>
      </c>
      <c r="I4261" t="s">
        <v>64</v>
      </c>
      <c r="J4261">
        <v>4</v>
      </c>
      <c r="K4261">
        <v>1.8</v>
      </c>
      <c r="L4261" s="2">
        <v>929.07</v>
      </c>
      <c r="M4261">
        <v>2033</v>
      </c>
      <c r="N4261">
        <v>8</v>
      </c>
      <c r="O4261" t="s">
        <v>219</v>
      </c>
      <c r="P4261" s="2">
        <v>1055.76</v>
      </c>
      <c r="Q4261" s="2">
        <v>126.69</v>
      </c>
      <c r="R4261" t="s">
        <v>79</v>
      </c>
      <c r="S4261">
        <v>1</v>
      </c>
      <c r="T4261">
        <v>0</v>
      </c>
      <c r="U4261">
        <f>IF(AND(OR(Dashboard!$D$4="Semua",D4261=Dashboard!$D$4),OR(Dashboard!$H$4="Semua",E4261=Dashboard!$H$4)),1,0)</f>
        <v>1</v>
      </c>
      <c r="V4261">
        <f>IF(U4261=1,IF(COUNTIFS($C$2:C4261,C4261,$U$2:U4261,1)=1,1,0),0)</f>
        <v>0</v>
      </c>
    </row>
    <row r="4262" spans="1:22" x14ac:dyDescent="0.35">
      <c r="A4262">
        <v>14261</v>
      </c>
      <c r="B4262" s="1">
        <v>48822</v>
      </c>
      <c r="C4262">
        <v>1866</v>
      </c>
      <c r="D4262" t="s">
        <v>67</v>
      </c>
      <c r="E4262" t="s">
        <v>74</v>
      </c>
      <c r="F4262">
        <v>3</v>
      </c>
      <c r="G4262" s="2">
        <v>197.86</v>
      </c>
      <c r="H4262">
        <v>0.02</v>
      </c>
      <c r="I4262" t="s">
        <v>68</v>
      </c>
      <c r="J4262">
        <v>8</v>
      </c>
      <c r="K4262">
        <v>4.4000000000000004</v>
      </c>
      <c r="L4262" s="2">
        <v>581.71</v>
      </c>
      <c r="M4262">
        <v>2033</v>
      </c>
      <c r="N4262">
        <v>8</v>
      </c>
      <c r="O4262" t="s">
        <v>219</v>
      </c>
      <c r="P4262" s="2">
        <v>593.58000000000004</v>
      </c>
      <c r="Q4262" s="2">
        <v>11.87</v>
      </c>
      <c r="R4262" t="s">
        <v>75</v>
      </c>
      <c r="S4262">
        <v>1</v>
      </c>
      <c r="T4262">
        <v>0</v>
      </c>
      <c r="U4262">
        <f>IF(AND(OR(Dashboard!$D$4="Semua",D4262=Dashboard!$D$4),OR(Dashboard!$H$4="Semua",E4262=Dashboard!$H$4)),1,0)</f>
        <v>1</v>
      </c>
      <c r="V4262">
        <f>IF(U4262=1,IF(COUNTIFS($C$2:C4262,C4262,$U$2:U4262,1)=1,1,0),0)</f>
        <v>0</v>
      </c>
    </row>
    <row r="4263" spans="1:22" x14ac:dyDescent="0.35">
      <c r="A4263">
        <v>14262</v>
      </c>
      <c r="B4263" s="1">
        <v>48823</v>
      </c>
      <c r="C4263">
        <v>1763</v>
      </c>
      <c r="D4263" t="s">
        <v>62</v>
      </c>
      <c r="E4263" t="s">
        <v>70</v>
      </c>
      <c r="F4263">
        <v>3</v>
      </c>
      <c r="G4263" s="2">
        <v>460.61</v>
      </c>
      <c r="H4263">
        <v>0.3</v>
      </c>
      <c r="I4263" t="s">
        <v>68</v>
      </c>
      <c r="J4263">
        <v>5</v>
      </c>
      <c r="K4263">
        <v>5</v>
      </c>
      <c r="L4263" s="2">
        <v>967.28</v>
      </c>
      <c r="M4263">
        <v>2033</v>
      </c>
      <c r="N4263">
        <v>9</v>
      </c>
      <c r="O4263" t="s">
        <v>220</v>
      </c>
      <c r="P4263" s="2">
        <v>1381.83</v>
      </c>
      <c r="Q4263" s="2">
        <v>414.55</v>
      </c>
      <c r="R4263" t="s">
        <v>66</v>
      </c>
      <c r="S4263">
        <v>1</v>
      </c>
      <c r="T4263">
        <v>0</v>
      </c>
      <c r="U4263">
        <f>IF(AND(OR(Dashboard!$D$4="Semua",D4263=Dashboard!$D$4),OR(Dashboard!$H$4="Semua",E4263=Dashboard!$H$4)),1,0)</f>
        <v>1</v>
      </c>
      <c r="V4263">
        <f>IF(U4263=1,IF(COUNTIFS($C$2:C4263,C4263,$U$2:U4263,1)=1,1,0),0)</f>
        <v>0</v>
      </c>
    </row>
    <row r="4264" spans="1:22" x14ac:dyDescent="0.35">
      <c r="A4264">
        <v>14263</v>
      </c>
      <c r="B4264" s="1">
        <v>48824</v>
      </c>
      <c r="C4264">
        <v>1844</v>
      </c>
      <c r="D4264" t="s">
        <v>73</v>
      </c>
      <c r="E4264" t="s">
        <v>78</v>
      </c>
      <c r="F4264">
        <v>6</v>
      </c>
      <c r="G4264" s="2">
        <v>502</v>
      </c>
      <c r="H4264">
        <v>0.06</v>
      </c>
      <c r="I4264" t="s">
        <v>64</v>
      </c>
      <c r="J4264">
        <v>11</v>
      </c>
      <c r="K4264">
        <v>3.8</v>
      </c>
      <c r="L4264" s="2">
        <v>2831.28</v>
      </c>
      <c r="M4264">
        <v>2033</v>
      </c>
      <c r="N4264">
        <v>9</v>
      </c>
      <c r="O4264" t="s">
        <v>220</v>
      </c>
      <c r="P4264" s="2">
        <v>3012</v>
      </c>
      <c r="Q4264" s="2">
        <v>180.72</v>
      </c>
      <c r="R4264" t="s">
        <v>69</v>
      </c>
      <c r="S4264">
        <v>1</v>
      </c>
      <c r="T4264">
        <v>0</v>
      </c>
      <c r="U4264">
        <f>IF(AND(OR(Dashboard!$D$4="Semua",D4264=Dashboard!$D$4),OR(Dashboard!$H$4="Semua",E4264=Dashboard!$H$4)),1,0)</f>
        <v>1</v>
      </c>
      <c r="V4264">
        <f>IF(U4264=1,IF(COUNTIFS($C$2:C4264,C4264,$U$2:U4264,1)=1,1,0),0)</f>
        <v>0</v>
      </c>
    </row>
    <row r="4265" spans="1:22" x14ac:dyDescent="0.35">
      <c r="A4265">
        <v>14264</v>
      </c>
      <c r="B4265" s="1">
        <v>48825</v>
      </c>
      <c r="C4265">
        <v>1206</v>
      </c>
      <c r="D4265" t="s">
        <v>67</v>
      </c>
      <c r="E4265" t="s">
        <v>70</v>
      </c>
      <c r="F4265">
        <v>7</v>
      </c>
      <c r="G4265" s="2">
        <v>585.54999999999995</v>
      </c>
      <c r="H4265">
        <v>0.33</v>
      </c>
      <c r="I4265" t="s">
        <v>64</v>
      </c>
      <c r="J4265">
        <v>5</v>
      </c>
      <c r="K4265">
        <v>4.8</v>
      </c>
      <c r="L4265" s="2">
        <v>2746.23</v>
      </c>
      <c r="M4265">
        <v>2033</v>
      </c>
      <c r="N4265">
        <v>9</v>
      </c>
      <c r="O4265" t="s">
        <v>220</v>
      </c>
      <c r="P4265" s="2">
        <v>4098.8500000000004</v>
      </c>
      <c r="Q4265" s="2">
        <v>1352.62</v>
      </c>
      <c r="R4265" t="s">
        <v>72</v>
      </c>
      <c r="S4265">
        <v>1</v>
      </c>
      <c r="T4265">
        <v>0</v>
      </c>
      <c r="U4265">
        <f>IF(AND(OR(Dashboard!$D$4="Semua",D4265=Dashboard!$D$4),OR(Dashboard!$H$4="Semua",E4265=Dashboard!$H$4)),1,0)</f>
        <v>1</v>
      </c>
      <c r="V4265">
        <f>IF(U4265=1,IF(COUNTIFS($C$2:C4265,C4265,$U$2:U4265,1)=1,1,0),0)</f>
        <v>0</v>
      </c>
    </row>
    <row r="4266" spans="1:22" x14ac:dyDescent="0.35">
      <c r="A4266">
        <v>14265</v>
      </c>
      <c r="B4266" s="1">
        <v>48826</v>
      </c>
      <c r="C4266">
        <v>1209</v>
      </c>
      <c r="D4266" t="s">
        <v>62</v>
      </c>
      <c r="E4266" t="s">
        <v>78</v>
      </c>
      <c r="F4266">
        <v>4</v>
      </c>
      <c r="G4266" s="2">
        <v>390.58</v>
      </c>
      <c r="H4266">
        <v>0.17</v>
      </c>
      <c r="I4266" t="s">
        <v>71</v>
      </c>
      <c r="J4266">
        <v>9</v>
      </c>
      <c r="K4266">
        <v>2.4</v>
      </c>
      <c r="L4266" s="2">
        <v>1296.73</v>
      </c>
      <c r="M4266">
        <v>2033</v>
      </c>
      <c r="N4266">
        <v>9</v>
      </c>
      <c r="O4266" t="s">
        <v>220</v>
      </c>
      <c r="P4266" s="2">
        <v>1562.32</v>
      </c>
      <c r="Q4266" s="2">
        <v>265.58999999999997</v>
      </c>
      <c r="R4266" t="s">
        <v>76</v>
      </c>
      <c r="S4266">
        <v>1</v>
      </c>
      <c r="T4266">
        <v>0</v>
      </c>
      <c r="U4266">
        <f>IF(AND(OR(Dashboard!$D$4="Semua",D4266=Dashboard!$D$4),OR(Dashboard!$H$4="Semua",E4266=Dashboard!$H$4)),1,0)</f>
        <v>1</v>
      </c>
      <c r="V4266">
        <f>IF(U4266=1,IF(COUNTIFS($C$2:C4266,C4266,$U$2:U4266,1)=1,1,0),0)</f>
        <v>0</v>
      </c>
    </row>
    <row r="4267" spans="1:22" x14ac:dyDescent="0.35">
      <c r="A4267">
        <v>14266</v>
      </c>
      <c r="B4267" s="1">
        <v>48827</v>
      </c>
      <c r="C4267">
        <v>1114</v>
      </c>
      <c r="D4267" t="s">
        <v>62</v>
      </c>
      <c r="E4267" t="s">
        <v>74</v>
      </c>
      <c r="F4267">
        <v>5</v>
      </c>
      <c r="G4267" s="2">
        <v>284.99</v>
      </c>
      <c r="H4267">
        <v>0.12</v>
      </c>
      <c r="I4267" t="s">
        <v>68</v>
      </c>
      <c r="J4267">
        <v>4</v>
      </c>
      <c r="K4267">
        <v>3.5</v>
      </c>
      <c r="L4267" s="2">
        <v>1253.96</v>
      </c>
      <c r="M4267">
        <v>2033</v>
      </c>
      <c r="N4267">
        <v>9</v>
      </c>
      <c r="O4267" t="s">
        <v>220</v>
      </c>
      <c r="P4267" s="2">
        <v>1424.95</v>
      </c>
      <c r="Q4267" s="2">
        <v>170.99</v>
      </c>
      <c r="R4267" t="s">
        <v>79</v>
      </c>
      <c r="S4267">
        <v>1</v>
      </c>
      <c r="T4267">
        <v>0</v>
      </c>
      <c r="U4267">
        <f>IF(AND(OR(Dashboard!$D$4="Semua",D4267=Dashboard!$D$4),OR(Dashboard!$H$4="Semua",E4267=Dashboard!$H$4)),1,0)</f>
        <v>1</v>
      </c>
      <c r="V4267">
        <f>IF(U4267=1,IF(COUNTIFS($C$2:C4267,C4267,$U$2:U4267,1)=1,1,0),0)</f>
        <v>0</v>
      </c>
    </row>
    <row r="4268" spans="1:22" x14ac:dyDescent="0.35">
      <c r="A4268">
        <v>14267</v>
      </c>
      <c r="B4268" s="1">
        <v>48828</v>
      </c>
      <c r="C4268">
        <v>1736</v>
      </c>
      <c r="D4268" t="s">
        <v>73</v>
      </c>
      <c r="E4268" t="s">
        <v>74</v>
      </c>
      <c r="F4268">
        <v>7</v>
      </c>
      <c r="G4268" s="2">
        <v>193.58</v>
      </c>
      <c r="H4268">
        <v>0.26</v>
      </c>
      <c r="I4268" t="s">
        <v>71</v>
      </c>
      <c r="J4268">
        <v>7</v>
      </c>
      <c r="K4268">
        <v>3</v>
      </c>
      <c r="L4268" s="2">
        <v>1002.74</v>
      </c>
      <c r="M4268">
        <v>2033</v>
      </c>
      <c r="N4268">
        <v>9</v>
      </c>
      <c r="O4268" t="s">
        <v>220</v>
      </c>
      <c r="P4268" s="2">
        <v>1355.06</v>
      </c>
      <c r="Q4268" s="2">
        <v>352.32</v>
      </c>
      <c r="R4268" t="s">
        <v>66</v>
      </c>
      <c r="S4268">
        <v>1</v>
      </c>
      <c r="T4268">
        <v>0</v>
      </c>
      <c r="U4268">
        <f>IF(AND(OR(Dashboard!$D$4="Semua",D4268=Dashboard!$D$4),OR(Dashboard!$H$4="Semua",E4268=Dashboard!$H$4)),1,0)</f>
        <v>1</v>
      </c>
      <c r="V4268">
        <f>IF(U4268=1,IF(COUNTIFS($C$2:C4268,C4268,$U$2:U4268,1)=1,1,0),0)</f>
        <v>0</v>
      </c>
    </row>
    <row r="4269" spans="1:22" x14ac:dyDescent="0.35">
      <c r="A4269">
        <v>14268</v>
      </c>
      <c r="B4269" s="1">
        <v>48829</v>
      </c>
      <c r="C4269">
        <v>1645</v>
      </c>
      <c r="D4269" t="s">
        <v>67</v>
      </c>
      <c r="E4269" t="s">
        <v>74</v>
      </c>
      <c r="F4269">
        <v>2</v>
      </c>
      <c r="G4269" s="2">
        <v>145.06</v>
      </c>
      <c r="H4269">
        <v>0.31</v>
      </c>
      <c r="I4269" t="s">
        <v>68</v>
      </c>
      <c r="J4269">
        <v>5</v>
      </c>
      <c r="K4269">
        <v>2.9</v>
      </c>
      <c r="L4269" s="2">
        <v>200.18</v>
      </c>
      <c r="M4269">
        <v>2033</v>
      </c>
      <c r="N4269">
        <v>9</v>
      </c>
      <c r="O4269" t="s">
        <v>220</v>
      </c>
      <c r="P4269" s="2">
        <v>290.12</v>
      </c>
      <c r="Q4269" s="2">
        <v>89.94</v>
      </c>
      <c r="R4269" t="s">
        <v>72</v>
      </c>
      <c r="S4269">
        <v>1</v>
      </c>
      <c r="T4269">
        <v>0</v>
      </c>
      <c r="U4269">
        <f>IF(AND(OR(Dashboard!$D$4="Semua",D4269=Dashboard!$D$4),OR(Dashboard!$H$4="Semua",E4269=Dashboard!$H$4)),1,0)</f>
        <v>1</v>
      </c>
      <c r="V4269">
        <f>IF(U4269=1,IF(COUNTIFS($C$2:C4269,C4269,$U$2:U4269,1)=1,1,0),0)</f>
        <v>0</v>
      </c>
    </row>
    <row r="4270" spans="1:22" x14ac:dyDescent="0.35">
      <c r="A4270">
        <v>14269</v>
      </c>
      <c r="B4270" s="1">
        <v>48830</v>
      </c>
      <c r="C4270">
        <v>1250</v>
      </c>
      <c r="D4270" t="s">
        <v>67</v>
      </c>
      <c r="E4270" t="s">
        <v>70</v>
      </c>
      <c r="F4270">
        <v>6</v>
      </c>
      <c r="G4270" s="2">
        <v>139.56</v>
      </c>
      <c r="H4270">
        <v>0.13</v>
      </c>
      <c r="I4270" t="s">
        <v>71</v>
      </c>
      <c r="J4270">
        <v>9</v>
      </c>
      <c r="K4270">
        <v>3.5</v>
      </c>
      <c r="L4270" s="2">
        <v>728.5</v>
      </c>
      <c r="M4270">
        <v>2033</v>
      </c>
      <c r="N4270">
        <v>9</v>
      </c>
      <c r="O4270" t="s">
        <v>220</v>
      </c>
      <c r="P4270" s="2">
        <v>837.36</v>
      </c>
      <c r="Q4270" s="2">
        <v>108.86</v>
      </c>
      <c r="R4270" t="s">
        <v>79</v>
      </c>
      <c r="S4270">
        <v>1</v>
      </c>
      <c r="T4270">
        <v>0</v>
      </c>
      <c r="U4270">
        <f>IF(AND(OR(Dashboard!$D$4="Semua",D4270=Dashboard!$D$4),OR(Dashboard!$H$4="Semua",E4270=Dashboard!$H$4)),1,0)</f>
        <v>1</v>
      </c>
      <c r="V4270">
        <f>IF(U4270=1,IF(COUNTIFS($C$2:C4270,C4270,$U$2:U4270,1)=1,1,0),0)</f>
        <v>0</v>
      </c>
    </row>
    <row r="4271" spans="1:22" x14ac:dyDescent="0.35">
      <c r="A4271">
        <v>14270</v>
      </c>
      <c r="B4271" s="1">
        <v>48831</v>
      </c>
      <c r="C4271">
        <v>1218</v>
      </c>
      <c r="D4271" t="s">
        <v>73</v>
      </c>
      <c r="E4271" t="s">
        <v>70</v>
      </c>
      <c r="F4271">
        <v>7</v>
      </c>
      <c r="G4271" s="2">
        <v>254.38</v>
      </c>
      <c r="H4271">
        <v>0.14000000000000001</v>
      </c>
      <c r="I4271" t="s">
        <v>68</v>
      </c>
      <c r="J4271">
        <v>8</v>
      </c>
      <c r="K4271">
        <v>2.2000000000000002</v>
      </c>
      <c r="L4271" s="2">
        <v>1531.37</v>
      </c>
      <c r="M4271">
        <v>2033</v>
      </c>
      <c r="N4271">
        <v>9</v>
      </c>
      <c r="O4271" t="s">
        <v>220</v>
      </c>
      <c r="P4271" s="2">
        <v>1780.66</v>
      </c>
      <c r="Q4271" s="2">
        <v>249.29</v>
      </c>
      <c r="R4271" t="s">
        <v>79</v>
      </c>
      <c r="S4271">
        <v>1</v>
      </c>
      <c r="T4271">
        <v>0</v>
      </c>
      <c r="U4271">
        <f>IF(AND(OR(Dashboard!$D$4="Semua",D4271=Dashboard!$D$4),OR(Dashboard!$H$4="Semua",E4271=Dashboard!$H$4)),1,0)</f>
        <v>1</v>
      </c>
      <c r="V4271">
        <f>IF(U4271=1,IF(COUNTIFS($C$2:C4271,C4271,$U$2:U4271,1)=1,1,0),0)</f>
        <v>1</v>
      </c>
    </row>
    <row r="4272" spans="1:22" x14ac:dyDescent="0.35">
      <c r="A4272">
        <v>14271</v>
      </c>
      <c r="B4272" s="1">
        <v>48832</v>
      </c>
      <c r="C4272">
        <v>1406</v>
      </c>
      <c r="D4272" t="s">
        <v>62</v>
      </c>
      <c r="E4272" t="s">
        <v>78</v>
      </c>
      <c r="F4272">
        <v>6</v>
      </c>
      <c r="G4272" s="2">
        <v>595.20000000000005</v>
      </c>
      <c r="H4272">
        <v>0.15</v>
      </c>
      <c r="I4272" t="s">
        <v>64</v>
      </c>
      <c r="J4272">
        <v>8</v>
      </c>
      <c r="K4272">
        <v>3.6</v>
      </c>
      <c r="L4272" s="2">
        <v>3035.52</v>
      </c>
      <c r="M4272">
        <v>2033</v>
      </c>
      <c r="N4272">
        <v>9</v>
      </c>
      <c r="O4272" t="s">
        <v>220</v>
      </c>
      <c r="P4272" s="2">
        <v>3571.2</v>
      </c>
      <c r="Q4272" s="2">
        <v>535.67999999999995</v>
      </c>
      <c r="R4272" t="s">
        <v>79</v>
      </c>
      <c r="S4272">
        <v>1</v>
      </c>
      <c r="T4272">
        <v>0</v>
      </c>
      <c r="U4272">
        <f>IF(AND(OR(Dashboard!$D$4="Semua",D4272=Dashboard!$D$4),OR(Dashboard!$H$4="Semua",E4272=Dashboard!$H$4)),1,0)</f>
        <v>1</v>
      </c>
      <c r="V4272">
        <f>IF(U4272=1,IF(COUNTIFS($C$2:C4272,C4272,$U$2:U4272,1)=1,1,0),0)</f>
        <v>0</v>
      </c>
    </row>
    <row r="4273" spans="1:22" x14ac:dyDescent="0.35">
      <c r="A4273">
        <v>14272</v>
      </c>
      <c r="B4273" s="1">
        <v>48833</v>
      </c>
      <c r="C4273">
        <v>1442</v>
      </c>
      <c r="D4273" t="s">
        <v>62</v>
      </c>
      <c r="E4273" t="s">
        <v>63</v>
      </c>
      <c r="F4273">
        <v>7</v>
      </c>
      <c r="G4273" s="2">
        <v>15.5</v>
      </c>
      <c r="H4273">
        <v>0.32</v>
      </c>
      <c r="I4273" t="s">
        <v>71</v>
      </c>
      <c r="J4273">
        <v>10</v>
      </c>
      <c r="K4273">
        <v>3.7</v>
      </c>
      <c r="L4273" s="2">
        <v>73.78</v>
      </c>
      <c r="M4273">
        <v>2033</v>
      </c>
      <c r="N4273">
        <v>9</v>
      </c>
      <c r="O4273" t="s">
        <v>220</v>
      </c>
      <c r="P4273" s="2">
        <v>108.5</v>
      </c>
      <c r="Q4273" s="2">
        <v>34.72</v>
      </c>
      <c r="R4273" t="s">
        <v>72</v>
      </c>
      <c r="S4273">
        <v>1</v>
      </c>
      <c r="T4273">
        <v>0</v>
      </c>
      <c r="U4273">
        <f>IF(AND(OR(Dashboard!$D$4="Semua",D4273=Dashboard!$D$4),OR(Dashboard!$H$4="Semua",E4273=Dashboard!$H$4)),1,0)</f>
        <v>1</v>
      </c>
      <c r="V4273">
        <f>IF(U4273=1,IF(COUNTIFS($C$2:C4273,C4273,$U$2:U4273,1)=1,1,0),0)</f>
        <v>0</v>
      </c>
    </row>
    <row r="4274" spans="1:22" x14ac:dyDescent="0.35">
      <c r="A4274">
        <v>14273</v>
      </c>
      <c r="B4274" s="1">
        <v>48834</v>
      </c>
      <c r="C4274">
        <v>1602</v>
      </c>
      <c r="D4274" t="s">
        <v>73</v>
      </c>
      <c r="E4274" t="s">
        <v>63</v>
      </c>
      <c r="F4274">
        <v>3</v>
      </c>
      <c r="G4274" s="2">
        <v>130.37</v>
      </c>
      <c r="H4274">
        <v>0.24</v>
      </c>
      <c r="I4274" t="s">
        <v>64</v>
      </c>
      <c r="J4274">
        <v>10</v>
      </c>
      <c r="K4274">
        <v>4.3</v>
      </c>
      <c r="L4274" s="2">
        <v>297.24</v>
      </c>
      <c r="M4274">
        <v>2033</v>
      </c>
      <c r="N4274">
        <v>9</v>
      </c>
      <c r="O4274" t="s">
        <v>220</v>
      </c>
      <c r="P4274" s="2">
        <v>391.11</v>
      </c>
      <c r="Q4274" s="2">
        <v>93.87</v>
      </c>
      <c r="R4274" t="s">
        <v>77</v>
      </c>
      <c r="S4274">
        <v>1</v>
      </c>
      <c r="T4274">
        <v>0</v>
      </c>
      <c r="U4274">
        <f>IF(AND(OR(Dashboard!$D$4="Semua",D4274=Dashboard!$D$4),OR(Dashboard!$H$4="Semua",E4274=Dashboard!$H$4)),1,0)</f>
        <v>1</v>
      </c>
      <c r="V4274">
        <f>IF(U4274=1,IF(COUNTIFS($C$2:C4274,C4274,$U$2:U4274,1)=1,1,0),0)</f>
        <v>1</v>
      </c>
    </row>
    <row r="4275" spans="1:22" x14ac:dyDescent="0.35">
      <c r="A4275">
        <v>14274</v>
      </c>
      <c r="B4275" s="1">
        <v>48835</v>
      </c>
      <c r="C4275">
        <v>1353</v>
      </c>
      <c r="D4275" t="s">
        <v>73</v>
      </c>
      <c r="E4275" t="s">
        <v>74</v>
      </c>
      <c r="F4275">
        <v>5</v>
      </c>
      <c r="G4275" s="2">
        <v>125.21</v>
      </c>
      <c r="H4275">
        <v>0.09</v>
      </c>
      <c r="I4275" t="s">
        <v>68</v>
      </c>
      <c r="J4275">
        <v>3</v>
      </c>
      <c r="K4275">
        <v>3.9</v>
      </c>
      <c r="L4275" s="2">
        <v>569.71</v>
      </c>
      <c r="M4275">
        <v>2033</v>
      </c>
      <c r="N4275">
        <v>9</v>
      </c>
      <c r="O4275" t="s">
        <v>220</v>
      </c>
      <c r="P4275" s="2">
        <v>626.04999999999995</v>
      </c>
      <c r="Q4275" s="2">
        <v>56.34</v>
      </c>
      <c r="R4275" t="s">
        <v>69</v>
      </c>
      <c r="S4275">
        <v>1</v>
      </c>
      <c r="T4275">
        <v>0</v>
      </c>
      <c r="U4275">
        <f>IF(AND(OR(Dashboard!$D$4="Semua",D4275=Dashboard!$D$4),OR(Dashboard!$H$4="Semua",E4275=Dashboard!$H$4)),1,0)</f>
        <v>1</v>
      </c>
      <c r="V4275">
        <f>IF(U4275=1,IF(COUNTIFS($C$2:C4275,C4275,$U$2:U4275,1)=1,1,0),0)</f>
        <v>0</v>
      </c>
    </row>
    <row r="4276" spans="1:22" x14ac:dyDescent="0.35">
      <c r="A4276">
        <v>14275</v>
      </c>
      <c r="B4276" s="1">
        <v>48836</v>
      </c>
      <c r="C4276">
        <v>1887</v>
      </c>
      <c r="D4276" t="s">
        <v>73</v>
      </c>
      <c r="E4276" t="s">
        <v>63</v>
      </c>
      <c r="F4276">
        <v>6</v>
      </c>
      <c r="G4276" s="2">
        <v>434.51</v>
      </c>
      <c r="H4276">
        <v>0.06</v>
      </c>
      <c r="I4276" t="s">
        <v>68</v>
      </c>
      <c r="J4276">
        <v>9</v>
      </c>
      <c r="K4276">
        <v>2.2999999999999998</v>
      </c>
      <c r="L4276" s="2">
        <v>2450.64</v>
      </c>
      <c r="M4276">
        <v>2033</v>
      </c>
      <c r="N4276">
        <v>9</v>
      </c>
      <c r="O4276" t="s">
        <v>220</v>
      </c>
      <c r="P4276" s="2">
        <v>2607.06</v>
      </c>
      <c r="Q4276" s="2">
        <v>156.41999999999999</v>
      </c>
      <c r="R4276" t="s">
        <v>69</v>
      </c>
      <c r="S4276">
        <v>1</v>
      </c>
      <c r="T4276">
        <v>0</v>
      </c>
      <c r="U4276">
        <f>IF(AND(OR(Dashboard!$D$4="Semua",D4276=Dashboard!$D$4),OR(Dashboard!$H$4="Semua",E4276=Dashboard!$H$4)),1,0)</f>
        <v>1</v>
      </c>
      <c r="V4276">
        <f>IF(U4276=1,IF(COUNTIFS($C$2:C4276,C4276,$U$2:U4276,1)=1,1,0),0)</f>
        <v>0</v>
      </c>
    </row>
    <row r="4277" spans="1:22" x14ac:dyDescent="0.35">
      <c r="A4277">
        <v>14276</v>
      </c>
      <c r="B4277" s="1">
        <v>48837</v>
      </c>
      <c r="C4277">
        <v>1557</v>
      </c>
      <c r="D4277" t="s">
        <v>62</v>
      </c>
      <c r="E4277" t="s">
        <v>74</v>
      </c>
      <c r="F4277">
        <v>5</v>
      </c>
      <c r="G4277" s="2">
        <v>221.2</v>
      </c>
      <c r="H4277">
        <v>0.08</v>
      </c>
      <c r="I4277" t="s">
        <v>64</v>
      </c>
      <c r="J4277">
        <v>8</v>
      </c>
      <c r="K4277">
        <v>2.8</v>
      </c>
      <c r="L4277" s="2">
        <v>1017.52</v>
      </c>
      <c r="M4277">
        <v>2033</v>
      </c>
      <c r="N4277">
        <v>9</v>
      </c>
      <c r="O4277" t="s">
        <v>220</v>
      </c>
      <c r="P4277" s="2">
        <v>1106</v>
      </c>
      <c r="Q4277" s="2">
        <v>88.48</v>
      </c>
      <c r="R4277" t="s">
        <v>69</v>
      </c>
      <c r="S4277">
        <v>1</v>
      </c>
      <c r="T4277">
        <v>0</v>
      </c>
      <c r="U4277">
        <f>IF(AND(OR(Dashboard!$D$4="Semua",D4277=Dashboard!$D$4),OR(Dashboard!$H$4="Semua",E4277=Dashboard!$H$4)),1,0)</f>
        <v>1</v>
      </c>
      <c r="V4277">
        <f>IF(U4277=1,IF(COUNTIFS($C$2:C4277,C4277,$U$2:U4277,1)=1,1,0),0)</f>
        <v>0</v>
      </c>
    </row>
    <row r="4278" spans="1:22" x14ac:dyDescent="0.35">
      <c r="A4278">
        <v>14277</v>
      </c>
      <c r="B4278" s="1">
        <v>48838</v>
      </c>
      <c r="C4278">
        <v>1549</v>
      </c>
      <c r="D4278" t="s">
        <v>73</v>
      </c>
      <c r="E4278" t="s">
        <v>78</v>
      </c>
      <c r="F4278">
        <v>6</v>
      </c>
      <c r="G4278" s="2">
        <v>282.5</v>
      </c>
      <c r="H4278">
        <v>0.09</v>
      </c>
      <c r="I4278" t="s">
        <v>68</v>
      </c>
      <c r="J4278">
        <v>3</v>
      </c>
      <c r="K4278">
        <v>1.5</v>
      </c>
      <c r="L4278" s="2">
        <v>1542.45</v>
      </c>
      <c r="M4278">
        <v>2033</v>
      </c>
      <c r="N4278">
        <v>9</v>
      </c>
      <c r="O4278" t="s">
        <v>220</v>
      </c>
      <c r="P4278" s="2">
        <v>1695</v>
      </c>
      <c r="Q4278" s="2">
        <v>152.55000000000001</v>
      </c>
      <c r="R4278" t="s">
        <v>69</v>
      </c>
      <c r="S4278">
        <v>1</v>
      </c>
      <c r="T4278">
        <v>0</v>
      </c>
      <c r="U4278">
        <f>IF(AND(OR(Dashboard!$D$4="Semua",D4278=Dashboard!$D$4),OR(Dashboard!$H$4="Semua",E4278=Dashboard!$H$4)),1,0)</f>
        <v>1</v>
      </c>
      <c r="V4278">
        <f>IF(U4278=1,IF(COUNTIFS($C$2:C4278,C4278,$U$2:U4278,1)=1,1,0),0)</f>
        <v>0</v>
      </c>
    </row>
    <row r="4279" spans="1:22" x14ac:dyDescent="0.35">
      <c r="A4279">
        <v>14278</v>
      </c>
      <c r="B4279" s="1">
        <v>48839</v>
      </c>
      <c r="C4279">
        <v>1141</v>
      </c>
      <c r="D4279" t="s">
        <v>67</v>
      </c>
      <c r="E4279" t="s">
        <v>63</v>
      </c>
      <c r="F4279">
        <v>3</v>
      </c>
      <c r="G4279" s="2">
        <v>101.95</v>
      </c>
      <c r="H4279">
        <v>0.08</v>
      </c>
      <c r="I4279" t="s">
        <v>71</v>
      </c>
      <c r="J4279">
        <v>10</v>
      </c>
      <c r="K4279">
        <v>2</v>
      </c>
      <c r="L4279" s="2">
        <v>281.38</v>
      </c>
      <c r="M4279">
        <v>2033</v>
      </c>
      <c r="N4279">
        <v>9</v>
      </c>
      <c r="O4279" t="s">
        <v>220</v>
      </c>
      <c r="P4279" s="2">
        <v>305.85000000000002</v>
      </c>
      <c r="Q4279" s="2">
        <v>24.47</v>
      </c>
      <c r="R4279" t="s">
        <v>69</v>
      </c>
      <c r="S4279">
        <v>1</v>
      </c>
      <c r="T4279">
        <v>0</v>
      </c>
      <c r="U4279">
        <f>IF(AND(OR(Dashboard!$D$4="Semua",D4279=Dashboard!$D$4),OR(Dashboard!$H$4="Semua",E4279=Dashboard!$H$4)),1,0)</f>
        <v>1</v>
      </c>
      <c r="V4279">
        <f>IF(U4279=1,IF(COUNTIFS($C$2:C4279,C4279,$U$2:U4279,1)=1,1,0),0)</f>
        <v>0</v>
      </c>
    </row>
    <row r="4280" spans="1:22" x14ac:dyDescent="0.35">
      <c r="A4280">
        <v>14279</v>
      </c>
      <c r="B4280" s="1">
        <v>48840</v>
      </c>
      <c r="C4280">
        <v>1611</v>
      </c>
      <c r="D4280" t="s">
        <v>67</v>
      </c>
      <c r="E4280" t="s">
        <v>63</v>
      </c>
      <c r="F4280">
        <v>2</v>
      </c>
      <c r="G4280" s="2">
        <v>251.92</v>
      </c>
      <c r="H4280">
        <v>0.23</v>
      </c>
      <c r="I4280" t="s">
        <v>68</v>
      </c>
      <c r="J4280">
        <v>1</v>
      </c>
      <c r="K4280">
        <v>3.1</v>
      </c>
      <c r="L4280" s="2">
        <v>387.96</v>
      </c>
      <c r="M4280">
        <v>2033</v>
      </c>
      <c r="N4280">
        <v>9</v>
      </c>
      <c r="O4280" t="s">
        <v>220</v>
      </c>
      <c r="P4280" s="2">
        <v>503.84</v>
      </c>
      <c r="Q4280" s="2">
        <v>115.88</v>
      </c>
      <c r="R4280" t="s">
        <v>77</v>
      </c>
      <c r="S4280">
        <v>1</v>
      </c>
      <c r="T4280">
        <v>0</v>
      </c>
      <c r="U4280">
        <f>IF(AND(OR(Dashboard!$D$4="Semua",D4280=Dashboard!$D$4),OR(Dashboard!$H$4="Semua",E4280=Dashboard!$H$4)),1,0)</f>
        <v>1</v>
      </c>
      <c r="V4280">
        <f>IF(U4280=1,IF(COUNTIFS($C$2:C4280,C4280,$U$2:U4280,1)=1,1,0),0)</f>
        <v>0</v>
      </c>
    </row>
    <row r="4281" spans="1:22" x14ac:dyDescent="0.35">
      <c r="A4281">
        <v>14280</v>
      </c>
      <c r="B4281" s="1">
        <v>48841</v>
      </c>
      <c r="C4281">
        <v>1500</v>
      </c>
      <c r="D4281" t="s">
        <v>67</v>
      </c>
      <c r="E4281" t="s">
        <v>74</v>
      </c>
      <c r="F4281">
        <v>3</v>
      </c>
      <c r="G4281" s="2">
        <v>75.37</v>
      </c>
      <c r="H4281">
        <v>0.04</v>
      </c>
      <c r="I4281" t="s">
        <v>71</v>
      </c>
      <c r="J4281">
        <v>5</v>
      </c>
      <c r="K4281">
        <v>1.4</v>
      </c>
      <c r="L4281" s="2">
        <v>217.07</v>
      </c>
      <c r="M4281">
        <v>2033</v>
      </c>
      <c r="N4281">
        <v>9</v>
      </c>
      <c r="O4281" t="s">
        <v>220</v>
      </c>
      <c r="P4281" s="2">
        <v>226.11</v>
      </c>
      <c r="Q4281" s="2">
        <v>9.0399999999999991</v>
      </c>
      <c r="R4281" t="s">
        <v>75</v>
      </c>
      <c r="S4281">
        <v>1</v>
      </c>
      <c r="T4281">
        <v>0</v>
      </c>
      <c r="U4281">
        <f>IF(AND(OR(Dashboard!$D$4="Semua",D4281=Dashboard!$D$4),OR(Dashboard!$H$4="Semua",E4281=Dashboard!$H$4)),1,0)</f>
        <v>1</v>
      </c>
      <c r="V4281">
        <f>IF(U4281=1,IF(COUNTIFS($C$2:C4281,C4281,$U$2:U4281,1)=1,1,0),0)</f>
        <v>0</v>
      </c>
    </row>
    <row r="4282" spans="1:22" x14ac:dyDescent="0.35">
      <c r="A4282">
        <v>14281</v>
      </c>
      <c r="B4282" s="1">
        <v>48842</v>
      </c>
      <c r="C4282">
        <v>1839</v>
      </c>
      <c r="D4282" t="s">
        <v>73</v>
      </c>
      <c r="E4282" t="s">
        <v>78</v>
      </c>
      <c r="F4282">
        <v>6</v>
      </c>
      <c r="G4282" s="2">
        <v>326.83</v>
      </c>
      <c r="H4282">
        <v>0.14000000000000001</v>
      </c>
      <c r="I4282" t="s">
        <v>68</v>
      </c>
      <c r="J4282">
        <v>4</v>
      </c>
      <c r="K4282">
        <v>3.3</v>
      </c>
      <c r="L4282" s="2">
        <v>1686.44</v>
      </c>
      <c r="M4282">
        <v>2033</v>
      </c>
      <c r="N4282">
        <v>9</v>
      </c>
      <c r="O4282" t="s">
        <v>220</v>
      </c>
      <c r="P4282" s="2">
        <v>1960.98</v>
      </c>
      <c r="Q4282" s="2">
        <v>274.54000000000002</v>
      </c>
      <c r="R4282" t="s">
        <v>79</v>
      </c>
      <c r="S4282">
        <v>1</v>
      </c>
      <c r="T4282">
        <v>0</v>
      </c>
      <c r="U4282">
        <f>IF(AND(OR(Dashboard!$D$4="Semua",D4282=Dashboard!$D$4),OR(Dashboard!$H$4="Semua",E4282=Dashboard!$H$4)),1,0)</f>
        <v>1</v>
      </c>
      <c r="V4282">
        <f>IF(U4282=1,IF(COUNTIFS($C$2:C4282,C4282,$U$2:U4282,1)=1,1,0),0)</f>
        <v>0</v>
      </c>
    </row>
    <row r="4283" spans="1:22" x14ac:dyDescent="0.35">
      <c r="A4283">
        <v>14282</v>
      </c>
      <c r="B4283" s="1">
        <v>48843</v>
      </c>
      <c r="C4283">
        <v>1701</v>
      </c>
      <c r="D4283" t="s">
        <v>73</v>
      </c>
      <c r="E4283" t="s">
        <v>63</v>
      </c>
      <c r="F4283">
        <v>5</v>
      </c>
      <c r="G4283" s="2">
        <v>72.290000000000006</v>
      </c>
      <c r="H4283">
        <v>0.22</v>
      </c>
      <c r="I4283" t="s">
        <v>68</v>
      </c>
      <c r="J4283">
        <v>8</v>
      </c>
      <c r="K4283">
        <v>2.6</v>
      </c>
      <c r="L4283" s="2">
        <v>281.93</v>
      </c>
      <c r="M4283">
        <v>2033</v>
      </c>
      <c r="N4283">
        <v>9</v>
      </c>
      <c r="O4283" t="s">
        <v>220</v>
      </c>
      <c r="P4283" s="2">
        <v>361.45</v>
      </c>
      <c r="Q4283" s="2">
        <v>79.52</v>
      </c>
      <c r="R4283" t="s">
        <v>77</v>
      </c>
      <c r="S4283">
        <v>1</v>
      </c>
      <c r="T4283">
        <v>0</v>
      </c>
      <c r="U4283">
        <f>IF(AND(OR(Dashboard!$D$4="Semua",D4283=Dashboard!$D$4),OR(Dashboard!$H$4="Semua",E4283=Dashboard!$H$4)),1,0)</f>
        <v>1</v>
      </c>
      <c r="V4283">
        <f>IF(U4283=1,IF(COUNTIFS($C$2:C4283,C4283,$U$2:U4283,1)=1,1,0),0)</f>
        <v>0</v>
      </c>
    </row>
    <row r="4284" spans="1:22" x14ac:dyDescent="0.35">
      <c r="A4284">
        <v>14283</v>
      </c>
      <c r="B4284" s="1">
        <v>48844</v>
      </c>
      <c r="C4284">
        <v>1546</v>
      </c>
      <c r="D4284" t="s">
        <v>62</v>
      </c>
      <c r="E4284" t="s">
        <v>63</v>
      </c>
      <c r="F4284">
        <v>1</v>
      </c>
      <c r="G4284" s="2">
        <v>477.45</v>
      </c>
      <c r="H4284">
        <v>0.1</v>
      </c>
      <c r="I4284" t="s">
        <v>71</v>
      </c>
      <c r="J4284">
        <v>6</v>
      </c>
      <c r="K4284">
        <v>1.1000000000000001</v>
      </c>
      <c r="L4284" s="2">
        <v>429.7</v>
      </c>
      <c r="M4284">
        <v>2033</v>
      </c>
      <c r="N4284">
        <v>9</v>
      </c>
      <c r="O4284" t="s">
        <v>220</v>
      </c>
      <c r="P4284" s="2">
        <v>477.45</v>
      </c>
      <c r="Q4284" s="2">
        <v>47.75</v>
      </c>
      <c r="R4284" t="s">
        <v>69</v>
      </c>
      <c r="S4284">
        <v>1</v>
      </c>
      <c r="T4284">
        <v>0</v>
      </c>
      <c r="U4284">
        <f>IF(AND(OR(Dashboard!$D$4="Semua",D4284=Dashboard!$D$4),OR(Dashboard!$H$4="Semua",E4284=Dashboard!$H$4)),1,0)</f>
        <v>1</v>
      </c>
      <c r="V4284">
        <f>IF(U4284=1,IF(COUNTIFS($C$2:C4284,C4284,$U$2:U4284,1)=1,1,0),0)</f>
        <v>0</v>
      </c>
    </row>
    <row r="4285" spans="1:22" x14ac:dyDescent="0.35">
      <c r="A4285">
        <v>14284</v>
      </c>
      <c r="B4285" s="1">
        <v>48845</v>
      </c>
      <c r="C4285">
        <v>1658</v>
      </c>
      <c r="D4285" t="s">
        <v>62</v>
      </c>
      <c r="E4285" t="s">
        <v>63</v>
      </c>
      <c r="F4285">
        <v>3</v>
      </c>
      <c r="G4285" s="2">
        <v>346.46</v>
      </c>
      <c r="H4285">
        <v>0.02</v>
      </c>
      <c r="I4285" t="s">
        <v>68</v>
      </c>
      <c r="J4285">
        <v>10</v>
      </c>
      <c r="K4285">
        <v>2.7</v>
      </c>
      <c r="L4285" s="2">
        <v>1018.59</v>
      </c>
      <c r="M4285">
        <v>2033</v>
      </c>
      <c r="N4285">
        <v>9</v>
      </c>
      <c r="O4285" t="s">
        <v>220</v>
      </c>
      <c r="P4285" s="2">
        <v>1039.3800000000001</v>
      </c>
      <c r="Q4285" s="2">
        <v>20.79</v>
      </c>
      <c r="R4285" t="s">
        <v>75</v>
      </c>
      <c r="S4285">
        <v>1</v>
      </c>
      <c r="T4285">
        <v>0</v>
      </c>
      <c r="U4285">
        <f>IF(AND(OR(Dashboard!$D$4="Semua",D4285=Dashboard!$D$4),OR(Dashboard!$H$4="Semua",E4285=Dashboard!$H$4)),1,0)</f>
        <v>1</v>
      </c>
      <c r="V4285">
        <f>IF(U4285=1,IF(COUNTIFS($C$2:C4285,C4285,$U$2:U4285,1)=1,1,0),0)</f>
        <v>0</v>
      </c>
    </row>
    <row r="4286" spans="1:22" x14ac:dyDescent="0.35">
      <c r="A4286">
        <v>14285</v>
      </c>
      <c r="B4286" s="1">
        <v>48846</v>
      </c>
      <c r="C4286">
        <v>1541</v>
      </c>
      <c r="D4286" t="s">
        <v>80</v>
      </c>
      <c r="E4286" t="s">
        <v>78</v>
      </c>
      <c r="F4286">
        <v>5</v>
      </c>
      <c r="G4286" s="2">
        <v>438.52</v>
      </c>
      <c r="H4286">
        <v>0.03</v>
      </c>
      <c r="I4286" t="s">
        <v>68</v>
      </c>
      <c r="J4286">
        <v>5</v>
      </c>
      <c r="K4286">
        <v>2.1</v>
      </c>
      <c r="L4286" s="2">
        <v>2126.8200000000002</v>
      </c>
      <c r="M4286">
        <v>2033</v>
      </c>
      <c r="N4286">
        <v>9</v>
      </c>
      <c r="O4286" t="s">
        <v>220</v>
      </c>
      <c r="P4286" s="2">
        <v>2192.6</v>
      </c>
      <c r="Q4286" s="2">
        <v>65.78</v>
      </c>
      <c r="R4286" t="s">
        <v>75</v>
      </c>
      <c r="S4286">
        <v>1</v>
      </c>
      <c r="T4286">
        <v>0</v>
      </c>
      <c r="U4286">
        <f>IF(AND(OR(Dashboard!$D$4="Semua",D4286=Dashboard!$D$4),OR(Dashboard!$H$4="Semua",E4286=Dashboard!$H$4)),1,0)</f>
        <v>1</v>
      </c>
      <c r="V4286">
        <f>IF(U4286=1,IF(COUNTIFS($C$2:C4286,C4286,$U$2:U4286,1)=1,1,0),0)</f>
        <v>0</v>
      </c>
    </row>
    <row r="4287" spans="1:22" x14ac:dyDescent="0.35">
      <c r="A4287">
        <v>14286</v>
      </c>
      <c r="B4287" s="1">
        <v>48847</v>
      </c>
      <c r="C4287">
        <v>1845</v>
      </c>
      <c r="D4287" t="s">
        <v>73</v>
      </c>
      <c r="E4287" t="s">
        <v>78</v>
      </c>
      <c r="F4287">
        <v>7</v>
      </c>
      <c r="G4287" s="2">
        <v>259.83</v>
      </c>
      <c r="H4287">
        <v>0.04</v>
      </c>
      <c r="I4287" t="s">
        <v>71</v>
      </c>
      <c r="J4287">
        <v>9</v>
      </c>
      <c r="K4287">
        <v>1.3</v>
      </c>
      <c r="L4287" s="2">
        <v>1746.06</v>
      </c>
      <c r="M4287">
        <v>2033</v>
      </c>
      <c r="N4287">
        <v>9</v>
      </c>
      <c r="O4287" t="s">
        <v>220</v>
      </c>
      <c r="P4287" s="2">
        <v>1818.81</v>
      </c>
      <c r="Q4287" s="2">
        <v>72.75</v>
      </c>
      <c r="R4287" t="s">
        <v>75</v>
      </c>
      <c r="S4287">
        <v>1</v>
      </c>
      <c r="T4287">
        <v>0</v>
      </c>
      <c r="U4287">
        <f>IF(AND(OR(Dashboard!$D$4="Semua",D4287=Dashboard!$D$4),OR(Dashboard!$H$4="Semua",E4287=Dashboard!$H$4)),1,0)</f>
        <v>1</v>
      </c>
      <c r="V4287">
        <f>IF(U4287=1,IF(COUNTIFS($C$2:C4287,C4287,$U$2:U4287,1)=1,1,0),0)</f>
        <v>0</v>
      </c>
    </row>
    <row r="4288" spans="1:22" x14ac:dyDescent="0.35">
      <c r="A4288">
        <v>14287</v>
      </c>
      <c r="B4288" s="1">
        <v>48848</v>
      </c>
      <c r="C4288">
        <v>1506</v>
      </c>
      <c r="D4288" t="s">
        <v>73</v>
      </c>
      <c r="E4288" t="s">
        <v>63</v>
      </c>
      <c r="F4288">
        <v>7</v>
      </c>
      <c r="G4288" s="2">
        <v>238.17</v>
      </c>
      <c r="H4288">
        <v>0.28999999999999998</v>
      </c>
      <c r="I4288" t="s">
        <v>71</v>
      </c>
      <c r="J4288">
        <v>6</v>
      </c>
      <c r="K4288">
        <v>2.2000000000000002</v>
      </c>
      <c r="L4288" s="2">
        <v>1183.7</v>
      </c>
      <c r="M4288">
        <v>2033</v>
      </c>
      <c r="N4288">
        <v>9</v>
      </c>
      <c r="O4288" t="s">
        <v>220</v>
      </c>
      <c r="P4288" s="2">
        <v>1667.19</v>
      </c>
      <c r="Q4288" s="2">
        <v>483.49</v>
      </c>
      <c r="R4288" t="s">
        <v>66</v>
      </c>
      <c r="S4288">
        <v>1</v>
      </c>
      <c r="T4288">
        <v>0</v>
      </c>
      <c r="U4288">
        <f>IF(AND(OR(Dashboard!$D$4="Semua",D4288=Dashboard!$D$4),OR(Dashboard!$H$4="Semua",E4288=Dashboard!$H$4)),1,0)</f>
        <v>1</v>
      </c>
      <c r="V4288">
        <f>IF(U4288=1,IF(COUNTIFS($C$2:C4288,C4288,$U$2:U4288,1)=1,1,0),0)</f>
        <v>0</v>
      </c>
    </row>
    <row r="4289" spans="1:22" x14ac:dyDescent="0.35">
      <c r="A4289">
        <v>14288</v>
      </c>
      <c r="B4289" s="1">
        <v>48849</v>
      </c>
      <c r="C4289">
        <v>1595</v>
      </c>
      <c r="D4289" t="s">
        <v>67</v>
      </c>
      <c r="E4289" t="s">
        <v>74</v>
      </c>
      <c r="F4289">
        <v>3</v>
      </c>
      <c r="G4289" s="2">
        <v>72.45</v>
      </c>
      <c r="H4289">
        <v>0.23</v>
      </c>
      <c r="I4289" t="s">
        <v>68</v>
      </c>
      <c r="J4289">
        <v>11</v>
      </c>
      <c r="K4289">
        <v>2.2000000000000002</v>
      </c>
      <c r="L4289" s="2">
        <v>167.36</v>
      </c>
      <c r="M4289">
        <v>2033</v>
      </c>
      <c r="N4289">
        <v>9</v>
      </c>
      <c r="O4289" t="s">
        <v>220</v>
      </c>
      <c r="P4289" s="2">
        <v>217.35</v>
      </c>
      <c r="Q4289" s="2">
        <v>49.99</v>
      </c>
      <c r="R4289" t="s">
        <v>77</v>
      </c>
      <c r="S4289">
        <v>1</v>
      </c>
      <c r="T4289">
        <v>0</v>
      </c>
      <c r="U4289">
        <f>IF(AND(OR(Dashboard!$D$4="Semua",D4289=Dashboard!$D$4),OR(Dashboard!$H$4="Semua",E4289=Dashboard!$H$4)),1,0)</f>
        <v>1</v>
      </c>
      <c r="V4289">
        <f>IF(U4289=1,IF(COUNTIFS($C$2:C4289,C4289,$U$2:U4289,1)=1,1,0),0)</f>
        <v>0</v>
      </c>
    </row>
    <row r="4290" spans="1:22" x14ac:dyDescent="0.35">
      <c r="A4290">
        <v>14289</v>
      </c>
      <c r="B4290" s="1">
        <v>48850</v>
      </c>
      <c r="C4290">
        <v>1880</v>
      </c>
      <c r="D4290" t="s">
        <v>73</v>
      </c>
      <c r="E4290" t="s">
        <v>74</v>
      </c>
      <c r="F4290">
        <v>6</v>
      </c>
      <c r="G4290" s="2">
        <v>321.45999999999998</v>
      </c>
      <c r="H4290">
        <v>0.02</v>
      </c>
      <c r="I4290" t="s">
        <v>71</v>
      </c>
      <c r="J4290">
        <v>11</v>
      </c>
      <c r="K4290">
        <v>2.4</v>
      </c>
      <c r="L4290" s="2">
        <v>1890.18</v>
      </c>
      <c r="M4290">
        <v>2033</v>
      </c>
      <c r="N4290">
        <v>9</v>
      </c>
      <c r="O4290" t="s">
        <v>220</v>
      </c>
      <c r="P4290" s="2">
        <v>1928.76</v>
      </c>
      <c r="Q4290" s="2">
        <v>38.58</v>
      </c>
      <c r="R4290" t="s">
        <v>75</v>
      </c>
      <c r="S4290">
        <v>1</v>
      </c>
      <c r="T4290">
        <v>0</v>
      </c>
      <c r="U4290">
        <f>IF(AND(OR(Dashboard!$D$4="Semua",D4290=Dashboard!$D$4),OR(Dashboard!$H$4="Semua",E4290=Dashboard!$H$4)),1,0)</f>
        <v>1</v>
      </c>
      <c r="V4290">
        <f>IF(U4290=1,IF(COUNTIFS($C$2:C4290,C4290,$U$2:U4290,1)=1,1,0),0)</f>
        <v>0</v>
      </c>
    </row>
    <row r="4291" spans="1:22" x14ac:dyDescent="0.35">
      <c r="A4291">
        <v>14290</v>
      </c>
      <c r="B4291" s="1">
        <v>48851</v>
      </c>
      <c r="C4291">
        <v>1280</v>
      </c>
      <c r="D4291" t="s">
        <v>62</v>
      </c>
      <c r="E4291" t="s">
        <v>63</v>
      </c>
      <c r="F4291">
        <v>7</v>
      </c>
      <c r="G4291" s="2">
        <v>315.98</v>
      </c>
      <c r="H4291">
        <v>0.14000000000000001</v>
      </c>
      <c r="I4291" t="s">
        <v>64</v>
      </c>
      <c r="J4291">
        <v>11</v>
      </c>
      <c r="K4291">
        <v>2.5</v>
      </c>
      <c r="L4291" s="2">
        <v>1902.2</v>
      </c>
      <c r="M4291">
        <v>2033</v>
      </c>
      <c r="N4291">
        <v>9</v>
      </c>
      <c r="O4291" t="s">
        <v>220</v>
      </c>
      <c r="P4291" s="2">
        <v>2211.86</v>
      </c>
      <c r="Q4291" s="2">
        <v>309.66000000000003</v>
      </c>
      <c r="R4291" t="s">
        <v>79</v>
      </c>
      <c r="S4291">
        <v>1</v>
      </c>
      <c r="T4291">
        <v>0</v>
      </c>
      <c r="U4291">
        <f>IF(AND(OR(Dashboard!$D$4="Semua",D4291=Dashboard!$D$4),OR(Dashboard!$H$4="Semua",E4291=Dashboard!$H$4)),1,0)</f>
        <v>1</v>
      </c>
      <c r="V4291">
        <f>IF(U4291=1,IF(COUNTIFS($C$2:C4291,C4291,$U$2:U4291,1)=1,1,0),0)</f>
        <v>0</v>
      </c>
    </row>
    <row r="4292" spans="1:22" x14ac:dyDescent="0.35">
      <c r="A4292">
        <v>14291</v>
      </c>
      <c r="B4292" s="1">
        <v>48852</v>
      </c>
      <c r="C4292">
        <v>1423</v>
      </c>
      <c r="D4292" t="s">
        <v>67</v>
      </c>
      <c r="E4292" t="s">
        <v>78</v>
      </c>
      <c r="F4292">
        <v>5</v>
      </c>
      <c r="G4292" s="2">
        <v>288.83999999999997</v>
      </c>
      <c r="H4292">
        <v>0.1</v>
      </c>
      <c r="I4292" t="s">
        <v>68</v>
      </c>
      <c r="J4292">
        <v>11</v>
      </c>
      <c r="K4292">
        <v>2.7</v>
      </c>
      <c r="L4292" s="2">
        <v>1299.78</v>
      </c>
      <c r="M4292">
        <v>2033</v>
      </c>
      <c r="N4292">
        <v>9</v>
      </c>
      <c r="O4292" t="s">
        <v>220</v>
      </c>
      <c r="P4292" s="2">
        <v>1444.2</v>
      </c>
      <c r="Q4292" s="2">
        <v>144.41999999999999</v>
      </c>
      <c r="R4292" t="s">
        <v>69</v>
      </c>
      <c r="S4292">
        <v>1</v>
      </c>
      <c r="T4292">
        <v>0</v>
      </c>
      <c r="U4292">
        <f>IF(AND(OR(Dashboard!$D$4="Semua",D4292=Dashboard!$D$4),OR(Dashboard!$H$4="Semua",E4292=Dashboard!$H$4)),1,0)</f>
        <v>1</v>
      </c>
      <c r="V4292">
        <f>IF(U4292=1,IF(COUNTIFS($C$2:C4292,C4292,$U$2:U4292,1)=1,1,0),0)</f>
        <v>0</v>
      </c>
    </row>
    <row r="4293" spans="1:22" x14ac:dyDescent="0.35">
      <c r="A4293">
        <v>14292</v>
      </c>
      <c r="B4293" s="1">
        <v>48853</v>
      </c>
      <c r="C4293">
        <v>1855</v>
      </c>
      <c r="D4293" t="s">
        <v>73</v>
      </c>
      <c r="E4293" t="s">
        <v>63</v>
      </c>
      <c r="F4293">
        <v>2</v>
      </c>
      <c r="G4293" s="2">
        <v>448.2</v>
      </c>
      <c r="H4293">
        <v>0.2</v>
      </c>
      <c r="I4293" t="s">
        <v>71</v>
      </c>
      <c r="J4293">
        <v>3</v>
      </c>
      <c r="K4293">
        <v>1.4</v>
      </c>
      <c r="L4293" s="2">
        <v>717.12</v>
      </c>
      <c r="M4293">
        <v>2033</v>
      </c>
      <c r="N4293">
        <v>10</v>
      </c>
      <c r="O4293" t="s">
        <v>221</v>
      </c>
      <c r="P4293" s="2">
        <v>896.4</v>
      </c>
      <c r="Q4293" s="2">
        <v>179.28</v>
      </c>
      <c r="R4293" t="s">
        <v>76</v>
      </c>
      <c r="S4293">
        <v>1</v>
      </c>
      <c r="T4293">
        <v>0</v>
      </c>
      <c r="U4293">
        <f>IF(AND(OR(Dashboard!$D$4="Semua",D4293=Dashboard!$D$4),OR(Dashboard!$H$4="Semua",E4293=Dashboard!$H$4)),1,0)</f>
        <v>1</v>
      </c>
      <c r="V4293">
        <f>IF(U4293=1,IF(COUNTIFS($C$2:C4293,C4293,$U$2:U4293,1)=1,1,0),0)</f>
        <v>0</v>
      </c>
    </row>
    <row r="4294" spans="1:22" x14ac:dyDescent="0.35">
      <c r="A4294">
        <v>14293</v>
      </c>
      <c r="B4294" s="1">
        <v>48854</v>
      </c>
      <c r="C4294">
        <v>1269</v>
      </c>
      <c r="D4294" t="s">
        <v>62</v>
      </c>
      <c r="E4294" t="s">
        <v>78</v>
      </c>
      <c r="F4294">
        <v>5</v>
      </c>
      <c r="G4294" s="2">
        <v>502.02</v>
      </c>
      <c r="H4294">
        <v>0.18</v>
      </c>
      <c r="I4294" t="s">
        <v>71</v>
      </c>
      <c r="J4294">
        <v>6</v>
      </c>
      <c r="K4294">
        <v>1</v>
      </c>
      <c r="L4294" s="2">
        <v>2058.2800000000002</v>
      </c>
      <c r="M4294">
        <v>2033</v>
      </c>
      <c r="N4294">
        <v>10</v>
      </c>
      <c r="O4294" t="s">
        <v>221</v>
      </c>
      <c r="P4294" s="2">
        <v>2510.1</v>
      </c>
      <c r="Q4294" s="2">
        <v>451.82</v>
      </c>
      <c r="R4294" t="s">
        <v>76</v>
      </c>
      <c r="S4294">
        <v>1</v>
      </c>
      <c r="T4294">
        <v>0</v>
      </c>
      <c r="U4294">
        <f>IF(AND(OR(Dashboard!$D$4="Semua",D4294=Dashboard!$D$4),OR(Dashboard!$H$4="Semua",E4294=Dashboard!$H$4)),1,0)</f>
        <v>1</v>
      </c>
      <c r="V4294">
        <f>IF(U4294=1,IF(COUNTIFS($C$2:C4294,C4294,$U$2:U4294,1)=1,1,0),0)</f>
        <v>0</v>
      </c>
    </row>
    <row r="4295" spans="1:22" x14ac:dyDescent="0.35">
      <c r="A4295">
        <v>14294</v>
      </c>
      <c r="B4295" s="1">
        <v>48855</v>
      </c>
      <c r="C4295">
        <v>1153</v>
      </c>
      <c r="D4295" t="s">
        <v>62</v>
      </c>
      <c r="E4295" t="s">
        <v>63</v>
      </c>
      <c r="F4295">
        <v>7</v>
      </c>
      <c r="G4295" s="2">
        <v>454.21</v>
      </c>
      <c r="H4295">
        <v>0.17</v>
      </c>
      <c r="I4295" t="s">
        <v>68</v>
      </c>
      <c r="J4295">
        <v>11</v>
      </c>
      <c r="K4295">
        <v>3.9</v>
      </c>
      <c r="L4295" s="2">
        <v>2638.96</v>
      </c>
      <c r="M4295">
        <v>2033</v>
      </c>
      <c r="N4295">
        <v>10</v>
      </c>
      <c r="O4295" t="s">
        <v>221</v>
      </c>
      <c r="P4295" s="2">
        <v>3179.47</v>
      </c>
      <c r="Q4295" s="2">
        <v>540.51</v>
      </c>
      <c r="R4295" t="s">
        <v>76</v>
      </c>
      <c r="S4295">
        <v>1</v>
      </c>
      <c r="T4295">
        <v>0</v>
      </c>
      <c r="U4295">
        <f>IF(AND(OR(Dashboard!$D$4="Semua",D4295=Dashboard!$D$4),OR(Dashboard!$H$4="Semua",E4295=Dashboard!$H$4)),1,0)</f>
        <v>1</v>
      </c>
      <c r="V4295">
        <f>IF(U4295=1,IF(COUNTIFS($C$2:C4295,C4295,$U$2:U4295,1)=1,1,0),0)</f>
        <v>0</v>
      </c>
    </row>
    <row r="4296" spans="1:22" x14ac:dyDescent="0.35">
      <c r="A4296">
        <v>14295</v>
      </c>
      <c r="B4296" s="1">
        <v>48856</v>
      </c>
      <c r="C4296">
        <v>1613</v>
      </c>
      <c r="D4296" t="s">
        <v>73</v>
      </c>
      <c r="E4296" t="s">
        <v>78</v>
      </c>
      <c r="F4296">
        <v>7</v>
      </c>
      <c r="G4296" s="2">
        <v>99.16</v>
      </c>
      <c r="H4296">
        <v>0.11</v>
      </c>
      <c r="I4296" t="s">
        <v>68</v>
      </c>
      <c r="J4296">
        <v>4</v>
      </c>
      <c r="K4296">
        <v>2.2999999999999998</v>
      </c>
      <c r="L4296" s="2">
        <v>617.77</v>
      </c>
      <c r="M4296">
        <v>2033</v>
      </c>
      <c r="N4296">
        <v>10</v>
      </c>
      <c r="O4296" t="s">
        <v>221</v>
      </c>
      <c r="P4296" s="2">
        <v>694.12</v>
      </c>
      <c r="Q4296" s="2">
        <v>76.349999999999994</v>
      </c>
      <c r="R4296" t="s">
        <v>79</v>
      </c>
      <c r="S4296">
        <v>1</v>
      </c>
      <c r="T4296">
        <v>0</v>
      </c>
      <c r="U4296">
        <f>IF(AND(OR(Dashboard!$D$4="Semua",D4296=Dashboard!$D$4),OR(Dashboard!$H$4="Semua",E4296=Dashboard!$H$4)),1,0)</f>
        <v>1</v>
      </c>
      <c r="V4296">
        <f>IF(U4296=1,IF(COUNTIFS($C$2:C4296,C4296,$U$2:U4296,1)=1,1,0),0)</f>
        <v>0</v>
      </c>
    </row>
    <row r="4297" spans="1:22" x14ac:dyDescent="0.35">
      <c r="A4297">
        <v>14296</v>
      </c>
      <c r="B4297" s="1">
        <v>48857</v>
      </c>
      <c r="C4297">
        <v>1726</v>
      </c>
      <c r="D4297" t="s">
        <v>67</v>
      </c>
      <c r="E4297" t="s">
        <v>70</v>
      </c>
      <c r="F4297">
        <v>4</v>
      </c>
      <c r="G4297" s="2">
        <v>378.9</v>
      </c>
      <c r="H4297">
        <v>0.05</v>
      </c>
      <c r="I4297" t="s">
        <v>71</v>
      </c>
      <c r="J4297">
        <v>5</v>
      </c>
      <c r="K4297">
        <v>3.5</v>
      </c>
      <c r="L4297" s="2">
        <v>1439.82</v>
      </c>
      <c r="M4297">
        <v>2033</v>
      </c>
      <c r="N4297">
        <v>10</v>
      </c>
      <c r="O4297" t="s">
        <v>221</v>
      </c>
      <c r="P4297" s="2">
        <v>1515.6</v>
      </c>
      <c r="Q4297" s="2">
        <v>75.78</v>
      </c>
      <c r="R4297" t="s">
        <v>75</v>
      </c>
      <c r="S4297">
        <v>1</v>
      </c>
      <c r="T4297">
        <v>0</v>
      </c>
      <c r="U4297">
        <f>IF(AND(OR(Dashboard!$D$4="Semua",D4297=Dashboard!$D$4),OR(Dashboard!$H$4="Semua",E4297=Dashboard!$H$4)),1,0)</f>
        <v>1</v>
      </c>
      <c r="V4297">
        <f>IF(U4297=1,IF(COUNTIFS($C$2:C4297,C4297,$U$2:U4297,1)=1,1,0),0)</f>
        <v>0</v>
      </c>
    </row>
    <row r="4298" spans="1:22" x14ac:dyDescent="0.35">
      <c r="A4298">
        <v>14297</v>
      </c>
      <c r="B4298" s="1">
        <v>48858</v>
      </c>
      <c r="C4298">
        <v>1661</v>
      </c>
      <c r="D4298" t="s">
        <v>73</v>
      </c>
      <c r="E4298" t="s">
        <v>74</v>
      </c>
      <c r="F4298">
        <v>1</v>
      </c>
      <c r="G4298" s="2">
        <v>61.99</v>
      </c>
      <c r="H4298">
        <v>0.26</v>
      </c>
      <c r="I4298" t="s">
        <v>71</v>
      </c>
      <c r="J4298">
        <v>6</v>
      </c>
      <c r="K4298">
        <v>2.2000000000000002</v>
      </c>
      <c r="L4298" s="2">
        <v>45.87</v>
      </c>
      <c r="M4298">
        <v>2033</v>
      </c>
      <c r="N4298">
        <v>10</v>
      </c>
      <c r="O4298" t="s">
        <v>221</v>
      </c>
      <c r="P4298" s="2">
        <v>61.99</v>
      </c>
      <c r="Q4298" s="2">
        <v>16.12</v>
      </c>
      <c r="R4298" t="s">
        <v>66</v>
      </c>
      <c r="S4298">
        <v>1</v>
      </c>
      <c r="T4298">
        <v>0</v>
      </c>
      <c r="U4298">
        <f>IF(AND(OR(Dashboard!$D$4="Semua",D4298=Dashboard!$D$4),OR(Dashboard!$H$4="Semua",E4298=Dashboard!$H$4)),1,0)</f>
        <v>1</v>
      </c>
      <c r="V4298">
        <f>IF(U4298=1,IF(COUNTIFS($C$2:C4298,C4298,$U$2:U4298,1)=1,1,0),0)</f>
        <v>0</v>
      </c>
    </row>
    <row r="4299" spans="1:22" x14ac:dyDescent="0.35">
      <c r="A4299">
        <v>14298</v>
      </c>
      <c r="B4299" s="1">
        <v>48859</v>
      </c>
      <c r="C4299">
        <v>1943</v>
      </c>
      <c r="D4299" t="s">
        <v>67</v>
      </c>
      <c r="E4299" t="s">
        <v>70</v>
      </c>
      <c r="F4299">
        <v>6</v>
      </c>
      <c r="G4299" s="2">
        <v>421.35</v>
      </c>
      <c r="H4299">
        <v>0.31</v>
      </c>
      <c r="I4299" t="s">
        <v>68</v>
      </c>
      <c r="J4299">
        <v>9</v>
      </c>
      <c r="K4299">
        <v>4.9000000000000004</v>
      </c>
      <c r="L4299" s="2">
        <v>1744.39</v>
      </c>
      <c r="M4299">
        <v>2033</v>
      </c>
      <c r="N4299">
        <v>10</v>
      </c>
      <c r="O4299" t="s">
        <v>221</v>
      </c>
      <c r="P4299" s="2">
        <v>2528.1</v>
      </c>
      <c r="Q4299" s="2">
        <v>783.71</v>
      </c>
      <c r="R4299" t="s">
        <v>72</v>
      </c>
      <c r="S4299">
        <v>1</v>
      </c>
      <c r="T4299">
        <v>0</v>
      </c>
      <c r="U4299">
        <f>IF(AND(OR(Dashboard!$D$4="Semua",D4299=Dashboard!$D$4),OR(Dashboard!$H$4="Semua",E4299=Dashboard!$H$4)),1,0)</f>
        <v>1</v>
      </c>
      <c r="V4299">
        <f>IF(U4299=1,IF(COUNTIFS($C$2:C4299,C4299,$U$2:U4299,1)=1,1,0),0)</f>
        <v>0</v>
      </c>
    </row>
    <row r="4300" spans="1:22" x14ac:dyDescent="0.35">
      <c r="A4300">
        <v>14299</v>
      </c>
      <c r="B4300" s="1">
        <v>48860</v>
      </c>
      <c r="C4300">
        <v>1082</v>
      </c>
      <c r="D4300" t="s">
        <v>73</v>
      </c>
      <c r="E4300" t="s">
        <v>74</v>
      </c>
      <c r="F4300">
        <v>5</v>
      </c>
      <c r="G4300" s="2">
        <v>238.38</v>
      </c>
      <c r="H4300">
        <v>0.33</v>
      </c>
      <c r="I4300" t="s">
        <v>64</v>
      </c>
      <c r="J4300">
        <v>3</v>
      </c>
      <c r="K4300">
        <v>2.2999999999999998</v>
      </c>
      <c r="L4300" s="2">
        <v>798.57</v>
      </c>
      <c r="M4300">
        <v>2033</v>
      </c>
      <c r="N4300">
        <v>10</v>
      </c>
      <c r="O4300" t="s">
        <v>221</v>
      </c>
      <c r="P4300" s="2">
        <v>1191.9000000000001</v>
      </c>
      <c r="Q4300" s="2">
        <v>393.33</v>
      </c>
      <c r="R4300" t="s">
        <v>72</v>
      </c>
      <c r="S4300">
        <v>1</v>
      </c>
      <c r="T4300">
        <v>0</v>
      </c>
      <c r="U4300">
        <f>IF(AND(OR(Dashboard!$D$4="Semua",D4300=Dashboard!$D$4),OR(Dashboard!$H$4="Semua",E4300=Dashboard!$H$4)),1,0)</f>
        <v>1</v>
      </c>
      <c r="V4300">
        <f>IF(U4300=1,IF(COUNTIFS($C$2:C4300,C4300,$U$2:U4300,1)=1,1,0),0)</f>
        <v>0</v>
      </c>
    </row>
    <row r="4301" spans="1:22" x14ac:dyDescent="0.35">
      <c r="A4301">
        <v>14300</v>
      </c>
      <c r="B4301" s="1">
        <v>48861</v>
      </c>
      <c r="C4301">
        <v>1621</v>
      </c>
      <c r="D4301" t="s">
        <v>67</v>
      </c>
      <c r="E4301" t="s">
        <v>78</v>
      </c>
      <c r="F4301">
        <v>7</v>
      </c>
      <c r="G4301" s="2">
        <v>92.51</v>
      </c>
      <c r="H4301">
        <v>0.02</v>
      </c>
      <c r="I4301" t="s">
        <v>71</v>
      </c>
      <c r="J4301">
        <v>1</v>
      </c>
      <c r="K4301">
        <v>3.4</v>
      </c>
      <c r="L4301" s="2">
        <v>634.62</v>
      </c>
      <c r="M4301">
        <v>2033</v>
      </c>
      <c r="N4301">
        <v>10</v>
      </c>
      <c r="O4301" t="s">
        <v>221</v>
      </c>
      <c r="P4301" s="2">
        <v>647.57000000000005</v>
      </c>
      <c r="Q4301" s="2">
        <v>12.95</v>
      </c>
      <c r="R4301" t="s">
        <v>75</v>
      </c>
      <c r="S4301">
        <v>1</v>
      </c>
      <c r="T4301">
        <v>0</v>
      </c>
      <c r="U4301">
        <f>IF(AND(OR(Dashboard!$D$4="Semua",D4301=Dashboard!$D$4),OR(Dashboard!$H$4="Semua",E4301=Dashboard!$H$4)),1,0)</f>
        <v>1</v>
      </c>
      <c r="V4301">
        <f>IF(U4301=1,IF(COUNTIFS($C$2:C4301,C4301,$U$2:U4301,1)=1,1,0),0)</f>
        <v>0</v>
      </c>
    </row>
    <row r="4302" spans="1:22" x14ac:dyDescent="0.35">
      <c r="A4302">
        <v>14301</v>
      </c>
      <c r="B4302" s="1">
        <v>48862</v>
      </c>
      <c r="C4302">
        <v>1946</v>
      </c>
      <c r="D4302" t="s">
        <v>62</v>
      </c>
      <c r="E4302" t="s">
        <v>70</v>
      </c>
      <c r="F4302">
        <v>6</v>
      </c>
      <c r="G4302" s="2">
        <v>519.29999999999995</v>
      </c>
      <c r="H4302">
        <v>0.26</v>
      </c>
      <c r="I4302" t="s">
        <v>68</v>
      </c>
      <c r="J4302">
        <v>2</v>
      </c>
      <c r="K4302">
        <v>1.9</v>
      </c>
      <c r="L4302" s="2">
        <v>2305.69</v>
      </c>
      <c r="M4302">
        <v>2033</v>
      </c>
      <c r="N4302">
        <v>10</v>
      </c>
      <c r="O4302" t="s">
        <v>221</v>
      </c>
      <c r="P4302" s="2">
        <v>3115.8</v>
      </c>
      <c r="Q4302" s="2">
        <v>810.11</v>
      </c>
      <c r="R4302" t="s">
        <v>66</v>
      </c>
      <c r="S4302">
        <v>1</v>
      </c>
      <c r="T4302">
        <v>0</v>
      </c>
      <c r="U4302">
        <f>IF(AND(OR(Dashboard!$D$4="Semua",D4302=Dashboard!$D$4),OR(Dashboard!$H$4="Semua",E4302=Dashboard!$H$4)),1,0)</f>
        <v>1</v>
      </c>
      <c r="V4302">
        <f>IF(U4302=1,IF(COUNTIFS($C$2:C4302,C4302,$U$2:U4302,1)=1,1,0),0)</f>
        <v>0</v>
      </c>
    </row>
    <row r="4303" spans="1:22" x14ac:dyDescent="0.35">
      <c r="A4303">
        <v>14302</v>
      </c>
      <c r="B4303" s="1">
        <v>48863</v>
      </c>
      <c r="C4303">
        <v>1898</v>
      </c>
      <c r="D4303" t="s">
        <v>67</v>
      </c>
      <c r="E4303" t="s">
        <v>74</v>
      </c>
      <c r="F4303">
        <v>3</v>
      </c>
      <c r="G4303" s="2">
        <v>374.19</v>
      </c>
      <c r="H4303">
        <v>0.25</v>
      </c>
      <c r="I4303" t="s">
        <v>71</v>
      </c>
      <c r="J4303">
        <v>8</v>
      </c>
      <c r="K4303">
        <v>3.1</v>
      </c>
      <c r="L4303" s="2">
        <v>841.93</v>
      </c>
      <c r="M4303">
        <v>2033</v>
      </c>
      <c r="N4303">
        <v>10</v>
      </c>
      <c r="O4303" t="s">
        <v>221</v>
      </c>
      <c r="P4303" s="2">
        <v>1122.57</v>
      </c>
      <c r="Q4303" s="2">
        <v>280.64</v>
      </c>
      <c r="R4303" t="s">
        <v>77</v>
      </c>
      <c r="S4303">
        <v>1</v>
      </c>
      <c r="T4303">
        <v>0</v>
      </c>
      <c r="U4303">
        <f>IF(AND(OR(Dashboard!$D$4="Semua",D4303=Dashboard!$D$4),OR(Dashboard!$H$4="Semua",E4303=Dashboard!$H$4)),1,0)</f>
        <v>1</v>
      </c>
      <c r="V4303">
        <f>IF(U4303=1,IF(COUNTIFS($C$2:C4303,C4303,$U$2:U4303,1)=1,1,0),0)</f>
        <v>0</v>
      </c>
    </row>
    <row r="4304" spans="1:22" x14ac:dyDescent="0.35">
      <c r="A4304">
        <v>14303</v>
      </c>
      <c r="B4304" s="1">
        <v>48864</v>
      </c>
      <c r="C4304">
        <v>1425</v>
      </c>
      <c r="D4304" t="s">
        <v>73</v>
      </c>
      <c r="E4304" t="s">
        <v>63</v>
      </c>
      <c r="F4304">
        <v>3</v>
      </c>
      <c r="G4304" s="2">
        <v>222.51</v>
      </c>
      <c r="H4304">
        <v>0.33</v>
      </c>
      <c r="I4304" t="s">
        <v>64</v>
      </c>
      <c r="J4304">
        <v>4</v>
      </c>
      <c r="K4304">
        <v>3.3</v>
      </c>
      <c r="L4304" s="2">
        <v>447.25</v>
      </c>
      <c r="M4304">
        <v>2033</v>
      </c>
      <c r="N4304">
        <v>10</v>
      </c>
      <c r="O4304" t="s">
        <v>221</v>
      </c>
      <c r="P4304" s="2">
        <v>667.53</v>
      </c>
      <c r="Q4304" s="2">
        <v>220.28</v>
      </c>
      <c r="R4304" t="s">
        <v>72</v>
      </c>
      <c r="S4304">
        <v>1</v>
      </c>
      <c r="T4304">
        <v>0</v>
      </c>
      <c r="U4304">
        <f>IF(AND(OR(Dashboard!$D$4="Semua",D4304=Dashboard!$D$4),OR(Dashboard!$H$4="Semua",E4304=Dashboard!$H$4)),1,0)</f>
        <v>1</v>
      </c>
      <c r="V4304">
        <f>IF(U4304=1,IF(COUNTIFS($C$2:C4304,C4304,$U$2:U4304,1)=1,1,0),0)</f>
        <v>0</v>
      </c>
    </row>
    <row r="4305" spans="1:22" x14ac:dyDescent="0.35">
      <c r="A4305">
        <v>14304</v>
      </c>
      <c r="B4305" s="1">
        <v>48865</v>
      </c>
      <c r="C4305">
        <v>1274</v>
      </c>
      <c r="D4305" t="s">
        <v>67</v>
      </c>
      <c r="E4305" t="s">
        <v>78</v>
      </c>
      <c r="F4305">
        <v>5</v>
      </c>
      <c r="G4305" s="2">
        <v>32.979999999999997</v>
      </c>
      <c r="H4305">
        <v>0.09</v>
      </c>
      <c r="I4305" t="s">
        <v>68</v>
      </c>
      <c r="J4305">
        <v>7</v>
      </c>
      <c r="K4305">
        <v>1.7</v>
      </c>
      <c r="L4305" s="2">
        <v>150.06</v>
      </c>
      <c r="M4305">
        <v>2033</v>
      </c>
      <c r="N4305">
        <v>10</v>
      </c>
      <c r="O4305" t="s">
        <v>221</v>
      </c>
      <c r="P4305" s="2">
        <v>164.9</v>
      </c>
      <c r="Q4305" s="2">
        <v>14.84</v>
      </c>
      <c r="R4305" t="s">
        <v>69</v>
      </c>
      <c r="S4305">
        <v>1</v>
      </c>
      <c r="T4305">
        <v>0</v>
      </c>
      <c r="U4305">
        <f>IF(AND(OR(Dashboard!$D$4="Semua",D4305=Dashboard!$D$4),OR(Dashboard!$H$4="Semua",E4305=Dashboard!$H$4)),1,0)</f>
        <v>1</v>
      </c>
      <c r="V4305">
        <f>IF(U4305=1,IF(COUNTIFS($C$2:C4305,C4305,$U$2:U4305,1)=1,1,0),0)</f>
        <v>0</v>
      </c>
    </row>
    <row r="4306" spans="1:22" x14ac:dyDescent="0.35">
      <c r="A4306">
        <v>14305</v>
      </c>
      <c r="B4306" s="1">
        <v>48866</v>
      </c>
      <c r="C4306">
        <v>1712</v>
      </c>
      <c r="D4306" t="s">
        <v>73</v>
      </c>
      <c r="E4306" t="s">
        <v>78</v>
      </c>
      <c r="F4306">
        <v>4</v>
      </c>
      <c r="G4306" s="2">
        <v>329.33</v>
      </c>
      <c r="H4306">
        <v>0.26</v>
      </c>
      <c r="I4306" t="s">
        <v>71</v>
      </c>
      <c r="J4306">
        <v>2</v>
      </c>
      <c r="K4306">
        <v>1.5</v>
      </c>
      <c r="L4306" s="2">
        <v>974.82</v>
      </c>
      <c r="M4306">
        <v>2033</v>
      </c>
      <c r="N4306">
        <v>10</v>
      </c>
      <c r="O4306" t="s">
        <v>221</v>
      </c>
      <c r="P4306" s="2">
        <v>1317.32</v>
      </c>
      <c r="Q4306" s="2">
        <v>342.5</v>
      </c>
      <c r="R4306" t="s">
        <v>66</v>
      </c>
      <c r="S4306">
        <v>1</v>
      </c>
      <c r="T4306">
        <v>0</v>
      </c>
      <c r="U4306">
        <f>IF(AND(OR(Dashboard!$D$4="Semua",D4306=Dashboard!$D$4),OR(Dashboard!$H$4="Semua",E4306=Dashboard!$H$4)),1,0)</f>
        <v>1</v>
      </c>
      <c r="V4306">
        <f>IF(U4306=1,IF(COUNTIFS($C$2:C4306,C4306,$U$2:U4306,1)=1,1,0),0)</f>
        <v>0</v>
      </c>
    </row>
    <row r="4307" spans="1:22" x14ac:dyDescent="0.35">
      <c r="A4307">
        <v>14306</v>
      </c>
      <c r="B4307" s="1">
        <v>48867</v>
      </c>
      <c r="C4307">
        <v>1283</v>
      </c>
      <c r="D4307" t="s">
        <v>62</v>
      </c>
      <c r="E4307" t="s">
        <v>63</v>
      </c>
      <c r="F4307">
        <v>7</v>
      </c>
      <c r="G4307" s="2">
        <v>555.09</v>
      </c>
      <c r="H4307">
        <v>0.02</v>
      </c>
      <c r="I4307" t="s">
        <v>71</v>
      </c>
      <c r="J4307">
        <v>11</v>
      </c>
      <c r="K4307">
        <v>4.9000000000000004</v>
      </c>
      <c r="L4307" s="2">
        <v>3807.92</v>
      </c>
      <c r="M4307">
        <v>2033</v>
      </c>
      <c r="N4307">
        <v>10</v>
      </c>
      <c r="O4307" t="s">
        <v>221</v>
      </c>
      <c r="P4307" s="2">
        <v>3885.63</v>
      </c>
      <c r="Q4307" s="2">
        <v>77.709999999999994</v>
      </c>
      <c r="R4307" t="s">
        <v>75</v>
      </c>
      <c r="S4307">
        <v>1</v>
      </c>
      <c r="T4307">
        <v>1</v>
      </c>
      <c r="U4307">
        <f>IF(AND(OR(Dashboard!$D$4="Semua",D4307=Dashboard!$D$4),OR(Dashboard!$H$4="Semua",E4307=Dashboard!$H$4)),1,0)</f>
        <v>1</v>
      </c>
      <c r="V4307">
        <f>IF(U4307=1,IF(COUNTIFS($C$2:C4307,C4307,$U$2:U4307,1)=1,1,0),0)</f>
        <v>0</v>
      </c>
    </row>
    <row r="4308" spans="1:22" x14ac:dyDescent="0.35">
      <c r="A4308">
        <v>14307</v>
      </c>
      <c r="B4308" s="1">
        <v>48868</v>
      </c>
      <c r="C4308">
        <v>1979</v>
      </c>
      <c r="D4308" t="s">
        <v>67</v>
      </c>
      <c r="E4308" t="s">
        <v>63</v>
      </c>
      <c r="F4308">
        <v>5</v>
      </c>
      <c r="G4308" s="2">
        <v>363.88</v>
      </c>
      <c r="H4308">
        <v>0.22</v>
      </c>
      <c r="I4308" t="s">
        <v>68</v>
      </c>
      <c r="J4308">
        <v>10</v>
      </c>
      <c r="K4308">
        <v>4.5999999999999996</v>
      </c>
      <c r="L4308" s="2">
        <v>1419.13</v>
      </c>
      <c r="M4308">
        <v>2033</v>
      </c>
      <c r="N4308">
        <v>10</v>
      </c>
      <c r="O4308" t="s">
        <v>221</v>
      </c>
      <c r="P4308" s="2">
        <v>1819.4</v>
      </c>
      <c r="Q4308" s="2">
        <v>400.27</v>
      </c>
      <c r="R4308" t="s">
        <v>77</v>
      </c>
      <c r="S4308">
        <v>1</v>
      </c>
      <c r="T4308">
        <v>0</v>
      </c>
      <c r="U4308">
        <f>IF(AND(OR(Dashboard!$D$4="Semua",D4308=Dashboard!$D$4),OR(Dashboard!$H$4="Semua",E4308=Dashboard!$H$4)),1,0)</f>
        <v>1</v>
      </c>
      <c r="V4308">
        <f>IF(U4308=1,IF(COUNTIFS($C$2:C4308,C4308,$U$2:U4308,1)=1,1,0),0)</f>
        <v>0</v>
      </c>
    </row>
    <row r="4309" spans="1:22" x14ac:dyDescent="0.35">
      <c r="A4309">
        <v>14308</v>
      </c>
      <c r="B4309" s="1">
        <v>48869</v>
      </c>
      <c r="C4309">
        <v>1172</v>
      </c>
      <c r="D4309" t="s">
        <v>73</v>
      </c>
      <c r="E4309" t="s">
        <v>74</v>
      </c>
      <c r="F4309">
        <v>2</v>
      </c>
      <c r="G4309" s="2">
        <v>583.41999999999996</v>
      </c>
      <c r="H4309">
        <v>0.12</v>
      </c>
      <c r="I4309" t="s">
        <v>68</v>
      </c>
      <c r="J4309">
        <v>8</v>
      </c>
      <c r="K4309">
        <v>3.6</v>
      </c>
      <c r="L4309" s="2">
        <v>1026.82</v>
      </c>
      <c r="M4309">
        <v>2033</v>
      </c>
      <c r="N4309">
        <v>10</v>
      </c>
      <c r="O4309" t="s">
        <v>221</v>
      </c>
      <c r="P4309" s="2">
        <v>1166.8399999999999</v>
      </c>
      <c r="Q4309" s="2">
        <v>140.02000000000001</v>
      </c>
      <c r="R4309" t="s">
        <v>79</v>
      </c>
      <c r="S4309">
        <v>1</v>
      </c>
      <c r="T4309">
        <v>0</v>
      </c>
      <c r="U4309">
        <f>IF(AND(OR(Dashboard!$D$4="Semua",D4309=Dashboard!$D$4),OR(Dashboard!$H$4="Semua",E4309=Dashboard!$H$4)),1,0)</f>
        <v>1</v>
      </c>
      <c r="V4309">
        <f>IF(U4309=1,IF(COUNTIFS($C$2:C4309,C4309,$U$2:U4309,1)=1,1,0),0)</f>
        <v>0</v>
      </c>
    </row>
    <row r="4310" spans="1:22" x14ac:dyDescent="0.35">
      <c r="A4310">
        <v>14309</v>
      </c>
      <c r="B4310" s="1">
        <v>48870</v>
      </c>
      <c r="C4310">
        <v>1326</v>
      </c>
      <c r="D4310" t="s">
        <v>73</v>
      </c>
      <c r="E4310" t="s">
        <v>78</v>
      </c>
      <c r="F4310">
        <v>4</v>
      </c>
      <c r="G4310" s="2">
        <v>94.82</v>
      </c>
      <c r="H4310">
        <v>0.27</v>
      </c>
      <c r="I4310" t="s">
        <v>68</v>
      </c>
      <c r="J4310">
        <v>10</v>
      </c>
      <c r="K4310">
        <v>4.4000000000000004</v>
      </c>
      <c r="L4310" s="2">
        <v>276.87</v>
      </c>
      <c r="M4310">
        <v>2033</v>
      </c>
      <c r="N4310">
        <v>10</v>
      </c>
      <c r="O4310" t="s">
        <v>221</v>
      </c>
      <c r="P4310" s="2">
        <v>379.28</v>
      </c>
      <c r="Q4310" s="2">
        <v>102.41</v>
      </c>
      <c r="R4310" t="s">
        <v>66</v>
      </c>
      <c r="S4310">
        <v>1</v>
      </c>
      <c r="T4310">
        <v>0</v>
      </c>
      <c r="U4310">
        <f>IF(AND(OR(Dashboard!$D$4="Semua",D4310=Dashboard!$D$4),OR(Dashboard!$H$4="Semua",E4310=Dashboard!$H$4)),1,0)</f>
        <v>1</v>
      </c>
      <c r="V4310">
        <f>IF(U4310=1,IF(COUNTIFS($C$2:C4310,C4310,$U$2:U4310,1)=1,1,0),0)</f>
        <v>0</v>
      </c>
    </row>
    <row r="4311" spans="1:22" x14ac:dyDescent="0.35">
      <c r="A4311">
        <v>14310</v>
      </c>
      <c r="B4311" s="1">
        <v>48871</v>
      </c>
      <c r="C4311">
        <v>1717</v>
      </c>
      <c r="D4311" t="s">
        <v>80</v>
      </c>
      <c r="E4311" t="s">
        <v>74</v>
      </c>
      <c r="F4311">
        <v>7</v>
      </c>
      <c r="G4311" s="2">
        <v>347.46</v>
      </c>
      <c r="H4311">
        <v>0.3</v>
      </c>
      <c r="I4311" t="s">
        <v>68</v>
      </c>
      <c r="J4311">
        <v>9</v>
      </c>
      <c r="K4311">
        <v>1.4</v>
      </c>
      <c r="L4311" s="2">
        <v>1702.55</v>
      </c>
      <c r="M4311">
        <v>2033</v>
      </c>
      <c r="N4311">
        <v>10</v>
      </c>
      <c r="O4311" t="s">
        <v>221</v>
      </c>
      <c r="P4311" s="2">
        <v>2432.2199999999998</v>
      </c>
      <c r="Q4311" s="2">
        <v>729.67</v>
      </c>
      <c r="R4311" t="s">
        <v>66</v>
      </c>
      <c r="S4311">
        <v>1</v>
      </c>
      <c r="T4311">
        <v>0</v>
      </c>
      <c r="U4311">
        <f>IF(AND(OR(Dashboard!$D$4="Semua",D4311=Dashboard!$D$4),OR(Dashboard!$H$4="Semua",E4311=Dashboard!$H$4)),1,0)</f>
        <v>1</v>
      </c>
      <c r="V4311">
        <f>IF(U4311=1,IF(COUNTIFS($C$2:C4311,C4311,$U$2:U4311,1)=1,1,0),0)</f>
        <v>0</v>
      </c>
    </row>
    <row r="4312" spans="1:22" x14ac:dyDescent="0.35">
      <c r="A4312">
        <v>14311</v>
      </c>
      <c r="B4312" s="1">
        <v>48872</v>
      </c>
      <c r="C4312">
        <v>1062</v>
      </c>
      <c r="D4312" t="s">
        <v>73</v>
      </c>
      <c r="E4312" t="s">
        <v>63</v>
      </c>
      <c r="F4312">
        <v>7</v>
      </c>
      <c r="G4312" s="2">
        <v>481.9</v>
      </c>
      <c r="H4312">
        <v>0.13</v>
      </c>
      <c r="I4312" t="s">
        <v>68</v>
      </c>
      <c r="J4312">
        <v>7</v>
      </c>
      <c r="K4312">
        <v>3.9</v>
      </c>
      <c r="L4312" s="2">
        <v>2934.77</v>
      </c>
      <c r="M4312">
        <v>2033</v>
      </c>
      <c r="N4312">
        <v>10</v>
      </c>
      <c r="O4312" t="s">
        <v>221</v>
      </c>
      <c r="P4312" s="2">
        <v>3373.3</v>
      </c>
      <c r="Q4312" s="2">
        <v>438.53</v>
      </c>
      <c r="R4312" t="s">
        <v>79</v>
      </c>
      <c r="S4312">
        <v>1</v>
      </c>
      <c r="T4312">
        <v>0</v>
      </c>
      <c r="U4312">
        <f>IF(AND(OR(Dashboard!$D$4="Semua",D4312=Dashboard!$D$4),OR(Dashboard!$H$4="Semua",E4312=Dashboard!$H$4)),1,0)</f>
        <v>1</v>
      </c>
      <c r="V4312">
        <f>IF(U4312=1,IF(COUNTIFS($C$2:C4312,C4312,$U$2:U4312,1)=1,1,0),0)</f>
        <v>0</v>
      </c>
    </row>
    <row r="4313" spans="1:22" x14ac:dyDescent="0.35">
      <c r="A4313">
        <v>14312</v>
      </c>
      <c r="B4313" s="1">
        <v>48873</v>
      </c>
      <c r="C4313">
        <v>1072</v>
      </c>
      <c r="D4313" t="s">
        <v>80</v>
      </c>
      <c r="E4313" t="s">
        <v>78</v>
      </c>
      <c r="F4313">
        <v>6</v>
      </c>
      <c r="G4313" s="2">
        <v>322.44</v>
      </c>
      <c r="H4313">
        <v>0.18</v>
      </c>
      <c r="I4313" t="s">
        <v>64</v>
      </c>
      <c r="J4313">
        <v>10</v>
      </c>
      <c r="K4313">
        <v>2.1</v>
      </c>
      <c r="L4313" s="2">
        <v>1586.4</v>
      </c>
      <c r="M4313">
        <v>2033</v>
      </c>
      <c r="N4313">
        <v>10</v>
      </c>
      <c r="O4313" t="s">
        <v>221</v>
      </c>
      <c r="P4313" s="2">
        <v>1934.64</v>
      </c>
      <c r="Q4313" s="2">
        <v>348.24</v>
      </c>
      <c r="R4313" t="s">
        <v>76</v>
      </c>
      <c r="S4313">
        <v>1</v>
      </c>
      <c r="T4313">
        <v>0</v>
      </c>
      <c r="U4313">
        <f>IF(AND(OR(Dashboard!$D$4="Semua",D4313=Dashboard!$D$4),OR(Dashboard!$H$4="Semua",E4313=Dashboard!$H$4)),1,0)</f>
        <v>1</v>
      </c>
      <c r="V4313">
        <f>IF(U4313=1,IF(COUNTIFS($C$2:C4313,C4313,$U$2:U4313,1)=1,1,0),0)</f>
        <v>0</v>
      </c>
    </row>
    <row r="4314" spans="1:22" x14ac:dyDescent="0.35">
      <c r="A4314">
        <v>14313</v>
      </c>
      <c r="B4314" s="1">
        <v>48874</v>
      </c>
      <c r="C4314">
        <v>1762</v>
      </c>
      <c r="D4314" t="s">
        <v>73</v>
      </c>
      <c r="E4314" t="s">
        <v>63</v>
      </c>
      <c r="F4314">
        <v>5</v>
      </c>
      <c r="G4314" s="2">
        <v>68.27</v>
      </c>
      <c r="H4314">
        <v>0.04</v>
      </c>
      <c r="I4314" t="s">
        <v>64</v>
      </c>
      <c r="J4314">
        <v>11</v>
      </c>
      <c r="K4314">
        <v>3.2</v>
      </c>
      <c r="L4314" s="2">
        <v>327.7</v>
      </c>
      <c r="M4314">
        <v>2033</v>
      </c>
      <c r="N4314">
        <v>10</v>
      </c>
      <c r="O4314" t="s">
        <v>221</v>
      </c>
      <c r="P4314" s="2">
        <v>341.35</v>
      </c>
      <c r="Q4314" s="2">
        <v>13.65</v>
      </c>
      <c r="R4314" t="s">
        <v>75</v>
      </c>
      <c r="S4314">
        <v>1</v>
      </c>
      <c r="T4314">
        <v>0</v>
      </c>
      <c r="U4314">
        <f>IF(AND(OR(Dashboard!$D$4="Semua",D4314=Dashboard!$D$4),OR(Dashboard!$H$4="Semua",E4314=Dashboard!$H$4)),1,0)</f>
        <v>1</v>
      </c>
      <c r="V4314">
        <f>IF(U4314=1,IF(COUNTIFS($C$2:C4314,C4314,$U$2:U4314,1)=1,1,0),0)</f>
        <v>0</v>
      </c>
    </row>
    <row r="4315" spans="1:22" x14ac:dyDescent="0.35">
      <c r="A4315">
        <v>14314</v>
      </c>
      <c r="B4315" s="1">
        <v>48875</v>
      </c>
      <c r="C4315">
        <v>1635</v>
      </c>
      <c r="D4315" t="s">
        <v>73</v>
      </c>
      <c r="E4315" t="s">
        <v>74</v>
      </c>
      <c r="F4315">
        <v>7</v>
      </c>
      <c r="G4315" s="2">
        <v>355.99</v>
      </c>
      <c r="H4315">
        <v>0.15</v>
      </c>
      <c r="I4315" t="s">
        <v>68</v>
      </c>
      <c r="J4315">
        <v>1</v>
      </c>
      <c r="K4315">
        <v>4.0999999999999996</v>
      </c>
      <c r="L4315" s="2">
        <v>2118.14</v>
      </c>
      <c r="M4315">
        <v>2033</v>
      </c>
      <c r="N4315">
        <v>10</v>
      </c>
      <c r="O4315" t="s">
        <v>221</v>
      </c>
      <c r="P4315" s="2">
        <v>2491.9299999999998</v>
      </c>
      <c r="Q4315" s="2">
        <v>373.79</v>
      </c>
      <c r="R4315" t="s">
        <v>79</v>
      </c>
      <c r="S4315">
        <v>1</v>
      </c>
      <c r="T4315">
        <v>0</v>
      </c>
      <c r="U4315">
        <f>IF(AND(OR(Dashboard!$D$4="Semua",D4315=Dashboard!$D$4),OR(Dashboard!$H$4="Semua",E4315=Dashboard!$H$4)),1,0)</f>
        <v>1</v>
      </c>
      <c r="V4315">
        <f>IF(U4315=1,IF(COUNTIFS($C$2:C4315,C4315,$U$2:U4315,1)=1,1,0),0)</f>
        <v>0</v>
      </c>
    </row>
    <row r="4316" spans="1:22" x14ac:dyDescent="0.35">
      <c r="A4316">
        <v>14315</v>
      </c>
      <c r="B4316" s="1">
        <v>48876</v>
      </c>
      <c r="C4316">
        <v>1374</v>
      </c>
      <c r="D4316" t="s">
        <v>67</v>
      </c>
      <c r="E4316" t="s">
        <v>74</v>
      </c>
      <c r="F4316">
        <v>6</v>
      </c>
      <c r="G4316" s="2">
        <v>372.87</v>
      </c>
      <c r="H4316">
        <v>0.13</v>
      </c>
      <c r="I4316" t="s">
        <v>68</v>
      </c>
      <c r="J4316">
        <v>2</v>
      </c>
      <c r="K4316">
        <v>1.1000000000000001</v>
      </c>
      <c r="L4316" s="2">
        <v>1946.38</v>
      </c>
      <c r="M4316">
        <v>2033</v>
      </c>
      <c r="N4316">
        <v>10</v>
      </c>
      <c r="O4316" t="s">
        <v>221</v>
      </c>
      <c r="P4316" s="2">
        <v>2237.2199999999998</v>
      </c>
      <c r="Q4316" s="2">
        <v>290.83999999999997</v>
      </c>
      <c r="R4316" t="s">
        <v>79</v>
      </c>
      <c r="S4316">
        <v>1</v>
      </c>
      <c r="T4316">
        <v>0</v>
      </c>
      <c r="U4316">
        <f>IF(AND(OR(Dashboard!$D$4="Semua",D4316=Dashboard!$D$4),OR(Dashboard!$H$4="Semua",E4316=Dashboard!$H$4)),1,0)</f>
        <v>1</v>
      </c>
      <c r="V4316">
        <f>IF(U4316=1,IF(COUNTIFS($C$2:C4316,C4316,$U$2:U4316,1)=1,1,0),0)</f>
        <v>0</v>
      </c>
    </row>
    <row r="4317" spans="1:22" x14ac:dyDescent="0.35">
      <c r="A4317">
        <v>14316</v>
      </c>
      <c r="B4317" s="1">
        <v>48877</v>
      </c>
      <c r="C4317">
        <v>1632</v>
      </c>
      <c r="D4317" t="s">
        <v>62</v>
      </c>
      <c r="E4317" t="s">
        <v>74</v>
      </c>
      <c r="F4317">
        <v>7</v>
      </c>
      <c r="G4317" s="2">
        <v>441.29</v>
      </c>
      <c r="H4317">
        <v>0.06</v>
      </c>
      <c r="I4317" t="s">
        <v>68</v>
      </c>
      <c r="J4317">
        <v>9</v>
      </c>
      <c r="K4317">
        <v>3.8</v>
      </c>
      <c r="L4317" s="2">
        <v>2903.69</v>
      </c>
      <c r="M4317">
        <v>2033</v>
      </c>
      <c r="N4317">
        <v>10</v>
      </c>
      <c r="O4317" t="s">
        <v>221</v>
      </c>
      <c r="P4317" s="2">
        <v>3089.03</v>
      </c>
      <c r="Q4317" s="2">
        <v>185.34</v>
      </c>
      <c r="R4317" t="s">
        <v>69</v>
      </c>
      <c r="S4317">
        <v>1</v>
      </c>
      <c r="T4317">
        <v>0</v>
      </c>
      <c r="U4317">
        <f>IF(AND(OR(Dashboard!$D$4="Semua",D4317=Dashboard!$D$4),OR(Dashboard!$H$4="Semua",E4317=Dashboard!$H$4)),1,0)</f>
        <v>1</v>
      </c>
      <c r="V4317">
        <f>IF(U4317=1,IF(COUNTIFS($C$2:C4317,C4317,$U$2:U4317,1)=1,1,0),0)</f>
        <v>0</v>
      </c>
    </row>
    <row r="4318" spans="1:22" x14ac:dyDescent="0.35">
      <c r="A4318">
        <v>14317</v>
      </c>
      <c r="B4318" s="1">
        <v>48878</v>
      </c>
      <c r="C4318">
        <v>1507</v>
      </c>
      <c r="D4318" t="s">
        <v>62</v>
      </c>
      <c r="E4318" t="s">
        <v>78</v>
      </c>
      <c r="F4318">
        <v>1</v>
      </c>
      <c r="G4318" s="2">
        <v>460.31</v>
      </c>
      <c r="H4318">
        <v>0.31</v>
      </c>
      <c r="I4318" t="s">
        <v>68</v>
      </c>
      <c r="J4318">
        <v>10</v>
      </c>
      <c r="K4318">
        <v>2.7</v>
      </c>
      <c r="L4318" s="2">
        <v>317.61</v>
      </c>
      <c r="M4318">
        <v>2033</v>
      </c>
      <c r="N4318">
        <v>10</v>
      </c>
      <c r="O4318" t="s">
        <v>221</v>
      </c>
      <c r="P4318" s="2">
        <v>460.31</v>
      </c>
      <c r="Q4318" s="2">
        <v>142.69999999999999</v>
      </c>
      <c r="R4318" t="s">
        <v>72</v>
      </c>
      <c r="S4318">
        <v>1</v>
      </c>
      <c r="T4318">
        <v>0</v>
      </c>
      <c r="U4318">
        <f>IF(AND(OR(Dashboard!$D$4="Semua",D4318=Dashboard!$D$4),OR(Dashboard!$H$4="Semua",E4318=Dashboard!$H$4)),1,0)</f>
        <v>1</v>
      </c>
      <c r="V4318">
        <f>IF(U4318=1,IF(COUNTIFS($C$2:C4318,C4318,$U$2:U4318,1)=1,1,0),0)</f>
        <v>0</v>
      </c>
    </row>
    <row r="4319" spans="1:22" x14ac:dyDescent="0.35">
      <c r="A4319">
        <v>14318</v>
      </c>
      <c r="B4319" s="1">
        <v>48879</v>
      </c>
      <c r="C4319">
        <v>1786</v>
      </c>
      <c r="D4319" t="s">
        <v>73</v>
      </c>
      <c r="E4319" t="s">
        <v>63</v>
      </c>
      <c r="F4319">
        <v>4</v>
      </c>
      <c r="G4319" s="2">
        <v>465.9</v>
      </c>
      <c r="H4319">
        <v>0.05</v>
      </c>
      <c r="I4319" t="s">
        <v>68</v>
      </c>
      <c r="J4319">
        <v>7</v>
      </c>
      <c r="K4319">
        <v>2.8</v>
      </c>
      <c r="L4319" s="2">
        <v>1770.42</v>
      </c>
      <c r="M4319">
        <v>2033</v>
      </c>
      <c r="N4319">
        <v>10</v>
      </c>
      <c r="O4319" t="s">
        <v>221</v>
      </c>
      <c r="P4319" s="2">
        <v>1863.6</v>
      </c>
      <c r="Q4319" s="2">
        <v>93.18</v>
      </c>
      <c r="R4319" t="s">
        <v>75</v>
      </c>
      <c r="S4319">
        <v>1</v>
      </c>
      <c r="T4319">
        <v>0</v>
      </c>
      <c r="U4319">
        <f>IF(AND(OR(Dashboard!$D$4="Semua",D4319=Dashboard!$D$4),OR(Dashboard!$H$4="Semua",E4319=Dashboard!$H$4)),1,0)</f>
        <v>1</v>
      </c>
      <c r="V4319">
        <f>IF(U4319=1,IF(COUNTIFS($C$2:C4319,C4319,$U$2:U4319,1)=1,1,0),0)</f>
        <v>0</v>
      </c>
    </row>
    <row r="4320" spans="1:22" x14ac:dyDescent="0.35">
      <c r="A4320">
        <v>14319</v>
      </c>
      <c r="B4320" s="1">
        <v>48880</v>
      </c>
      <c r="C4320">
        <v>1942</v>
      </c>
      <c r="D4320" t="s">
        <v>67</v>
      </c>
      <c r="E4320" t="s">
        <v>63</v>
      </c>
      <c r="F4320">
        <v>5</v>
      </c>
      <c r="G4320" s="2">
        <v>403.11</v>
      </c>
      <c r="H4320">
        <v>0.22</v>
      </c>
      <c r="I4320" t="s">
        <v>68</v>
      </c>
      <c r="J4320">
        <v>11</v>
      </c>
      <c r="K4320">
        <v>4.5999999999999996</v>
      </c>
      <c r="L4320" s="2">
        <v>1572.13</v>
      </c>
      <c r="M4320">
        <v>2033</v>
      </c>
      <c r="N4320">
        <v>10</v>
      </c>
      <c r="O4320" t="s">
        <v>221</v>
      </c>
      <c r="P4320" s="2">
        <v>2015.55</v>
      </c>
      <c r="Q4320" s="2">
        <v>443.42</v>
      </c>
      <c r="R4320" t="s">
        <v>77</v>
      </c>
      <c r="S4320">
        <v>1</v>
      </c>
      <c r="T4320">
        <v>0</v>
      </c>
      <c r="U4320">
        <f>IF(AND(OR(Dashboard!$D$4="Semua",D4320=Dashboard!$D$4),OR(Dashboard!$H$4="Semua",E4320=Dashboard!$H$4)),1,0)</f>
        <v>1</v>
      </c>
      <c r="V4320">
        <f>IF(U4320=1,IF(COUNTIFS($C$2:C4320,C4320,$U$2:U4320,1)=1,1,0),0)</f>
        <v>0</v>
      </c>
    </row>
    <row r="4321" spans="1:22" x14ac:dyDescent="0.35">
      <c r="A4321">
        <v>14320</v>
      </c>
      <c r="B4321" s="1">
        <v>48881</v>
      </c>
      <c r="C4321">
        <v>1397</v>
      </c>
      <c r="D4321" t="s">
        <v>73</v>
      </c>
      <c r="E4321" t="s">
        <v>74</v>
      </c>
      <c r="F4321">
        <v>1</v>
      </c>
      <c r="G4321" s="2">
        <v>141.25</v>
      </c>
      <c r="H4321">
        <v>0.31</v>
      </c>
      <c r="I4321" t="s">
        <v>64</v>
      </c>
      <c r="J4321">
        <v>3</v>
      </c>
      <c r="K4321">
        <v>4.4000000000000004</v>
      </c>
      <c r="L4321" s="2">
        <v>97.46</v>
      </c>
      <c r="M4321">
        <v>2033</v>
      </c>
      <c r="N4321">
        <v>10</v>
      </c>
      <c r="O4321" t="s">
        <v>221</v>
      </c>
      <c r="P4321" s="2">
        <v>141.25</v>
      </c>
      <c r="Q4321" s="2">
        <v>43.79</v>
      </c>
      <c r="R4321" t="s">
        <v>72</v>
      </c>
      <c r="S4321">
        <v>1</v>
      </c>
      <c r="T4321">
        <v>0</v>
      </c>
      <c r="U4321">
        <f>IF(AND(OR(Dashboard!$D$4="Semua",D4321=Dashboard!$D$4),OR(Dashboard!$H$4="Semua",E4321=Dashboard!$H$4)),1,0)</f>
        <v>1</v>
      </c>
      <c r="V4321">
        <f>IF(U4321=1,IF(COUNTIFS($C$2:C4321,C4321,$U$2:U4321,1)=1,1,0),0)</f>
        <v>0</v>
      </c>
    </row>
    <row r="4322" spans="1:22" x14ac:dyDescent="0.35">
      <c r="A4322">
        <v>14321</v>
      </c>
      <c r="B4322" s="1">
        <v>48882</v>
      </c>
      <c r="C4322">
        <v>1119</v>
      </c>
      <c r="D4322" t="s">
        <v>67</v>
      </c>
      <c r="E4322" t="s">
        <v>74</v>
      </c>
      <c r="F4322">
        <v>5</v>
      </c>
      <c r="G4322" s="2">
        <v>251.48</v>
      </c>
      <c r="H4322">
        <v>0.32</v>
      </c>
      <c r="I4322" t="s">
        <v>68</v>
      </c>
      <c r="J4322">
        <v>5</v>
      </c>
      <c r="K4322">
        <v>1.2</v>
      </c>
      <c r="L4322" s="2">
        <v>855.03</v>
      </c>
      <c r="M4322">
        <v>2033</v>
      </c>
      <c r="N4322">
        <v>10</v>
      </c>
      <c r="O4322" t="s">
        <v>221</v>
      </c>
      <c r="P4322" s="2">
        <v>1257.4000000000001</v>
      </c>
      <c r="Q4322" s="2">
        <v>402.37</v>
      </c>
      <c r="R4322" t="s">
        <v>72</v>
      </c>
      <c r="S4322">
        <v>1</v>
      </c>
      <c r="T4322">
        <v>0</v>
      </c>
      <c r="U4322">
        <f>IF(AND(OR(Dashboard!$D$4="Semua",D4322=Dashboard!$D$4),OR(Dashboard!$H$4="Semua",E4322=Dashboard!$H$4)),1,0)</f>
        <v>1</v>
      </c>
      <c r="V4322">
        <f>IF(U4322=1,IF(COUNTIFS($C$2:C4322,C4322,$U$2:U4322,1)=1,1,0),0)</f>
        <v>0</v>
      </c>
    </row>
    <row r="4323" spans="1:22" x14ac:dyDescent="0.35">
      <c r="A4323">
        <v>14322</v>
      </c>
      <c r="B4323" s="1">
        <v>48883</v>
      </c>
      <c r="C4323">
        <v>1933</v>
      </c>
      <c r="D4323" t="s">
        <v>67</v>
      </c>
      <c r="E4323" t="s">
        <v>74</v>
      </c>
      <c r="F4323">
        <v>2</v>
      </c>
      <c r="G4323" s="2">
        <v>469.04</v>
      </c>
      <c r="H4323">
        <v>0.28000000000000003</v>
      </c>
      <c r="I4323" t="s">
        <v>71</v>
      </c>
      <c r="J4323">
        <v>1</v>
      </c>
      <c r="K4323">
        <v>3.5</v>
      </c>
      <c r="L4323" s="2">
        <v>675.42</v>
      </c>
      <c r="M4323">
        <v>2033</v>
      </c>
      <c r="N4323">
        <v>10</v>
      </c>
      <c r="O4323" t="s">
        <v>221</v>
      </c>
      <c r="P4323" s="2">
        <v>938.08</v>
      </c>
      <c r="Q4323" s="2">
        <v>262.66000000000003</v>
      </c>
      <c r="R4323" t="s">
        <v>66</v>
      </c>
      <c r="S4323">
        <v>1</v>
      </c>
      <c r="T4323">
        <v>0</v>
      </c>
      <c r="U4323">
        <f>IF(AND(OR(Dashboard!$D$4="Semua",D4323=Dashboard!$D$4),OR(Dashboard!$H$4="Semua",E4323=Dashboard!$H$4)),1,0)</f>
        <v>1</v>
      </c>
      <c r="V4323">
        <f>IF(U4323=1,IF(COUNTIFS($C$2:C4323,C4323,$U$2:U4323,1)=1,1,0),0)</f>
        <v>0</v>
      </c>
    </row>
    <row r="4324" spans="1:22" x14ac:dyDescent="0.35">
      <c r="A4324">
        <v>14323</v>
      </c>
      <c r="B4324" s="1">
        <v>48884</v>
      </c>
      <c r="C4324">
        <v>1436</v>
      </c>
      <c r="D4324" t="s">
        <v>62</v>
      </c>
      <c r="E4324" t="s">
        <v>74</v>
      </c>
      <c r="F4324">
        <v>3</v>
      </c>
      <c r="G4324" s="2">
        <v>572.75</v>
      </c>
      <c r="H4324">
        <v>0.06</v>
      </c>
      <c r="I4324" t="s">
        <v>68</v>
      </c>
      <c r="J4324">
        <v>10</v>
      </c>
      <c r="K4324">
        <v>2.7</v>
      </c>
      <c r="L4324" s="2">
        <v>1615.16</v>
      </c>
      <c r="M4324">
        <v>2033</v>
      </c>
      <c r="N4324">
        <v>11</v>
      </c>
      <c r="O4324" t="s">
        <v>222</v>
      </c>
      <c r="P4324" s="2">
        <v>1718.25</v>
      </c>
      <c r="Q4324" s="2">
        <v>103.09</v>
      </c>
      <c r="R4324" t="s">
        <v>69</v>
      </c>
      <c r="S4324">
        <v>1</v>
      </c>
      <c r="T4324">
        <v>0</v>
      </c>
      <c r="U4324">
        <f>IF(AND(OR(Dashboard!$D$4="Semua",D4324=Dashboard!$D$4),OR(Dashboard!$H$4="Semua",E4324=Dashboard!$H$4)),1,0)</f>
        <v>1</v>
      </c>
      <c r="V4324">
        <f>IF(U4324=1,IF(COUNTIFS($C$2:C4324,C4324,$U$2:U4324,1)=1,1,0),0)</f>
        <v>0</v>
      </c>
    </row>
    <row r="4325" spans="1:22" x14ac:dyDescent="0.35">
      <c r="A4325">
        <v>14324</v>
      </c>
      <c r="B4325" s="1">
        <v>48885</v>
      </c>
      <c r="C4325">
        <v>1828</v>
      </c>
      <c r="D4325" t="s">
        <v>62</v>
      </c>
      <c r="E4325" t="s">
        <v>70</v>
      </c>
      <c r="F4325">
        <v>6</v>
      </c>
      <c r="G4325" s="2">
        <v>61.18</v>
      </c>
      <c r="H4325">
        <v>0.28999999999999998</v>
      </c>
      <c r="I4325" t="s">
        <v>68</v>
      </c>
      <c r="J4325">
        <v>3</v>
      </c>
      <c r="K4325">
        <v>1.5</v>
      </c>
      <c r="L4325" s="2">
        <v>260.63</v>
      </c>
      <c r="M4325">
        <v>2033</v>
      </c>
      <c r="N4325">
        <v>11</v>
      </c>
      <c r="O4325" t="s">
        <v>222</v>
      </c>
      <c r="P4325" s="2">
        <v>367.08</v>
      </c>
      <c r="Q4325" s="2">
        <v>106.45</v>
      </c>
      <c r="R4325" t="s">
        <v>66</v>
      </c>
      <c r="S4325">
        <v>1</v>
      </c>
      <c r="T4325">
        <v>0</v>
      </c>
      <c r="U4325">
        <f>IF(AND(OR(Dashboard!$D$4="Semua",D4325=Dashboard!$D$4),OR(Dashboard!$H$4="Semua",E4325=Dashboard!$H$4)),1,0)</f>
        <v>1</v>
      </c>
      <c r="V4325">
        <f>IF(U4325=1,IF(COUNTIFS($C$2:C4325,C4325,$U$2:U4325,1)=1,1,0),0)</f>
        <v>0</v>
      </c>
    </row>
    <row r="4326" spans="1:22" x14ac:dyDescent="0.35">
      <c r="A4326">
        <v>14325</v>
      </c>
      <c r="B4326" s="1">
        <v>48886</v>
      </c>
      <c r="C4326">
        <v>1675</v>
      </c>
      <c r="D4326" t="s">
        <v>67</v>
      </c>
      <c r="E4326" t="s">
        <v>70</v>
      </c>
      <c r="F4326">
        <v>5</v>
      </c>
      <c r="G4326" s="2">
        <v>328.29</v>
      </c>
      <c r="H4326">
        <v>0.1</v>
      </c>
      <c r="I4326" t="s">
        <v>64</v>
      </c>
      <c r="J4326">
        <v>11</v>
      </c>
      <c r="K4326">
        <v>4.4000000000000004</v>
      </c>
      <c r="L4326" s="2">
        <v>1477.3</v>
      </c>
      <c r="M4326">
        <v>2033</v>
      </c>
      <c r="N4326">
        <v>11</v>
      </c>
      <c r="O4326" t="s">
        <v>222</v>
      </c>
      <c r="P4326" s="2">
        <v>1641.45</v>
      </c>
      <c r="Q4326" s="2">
        <v>164.15</v>
      </c>
      <c r="R4326" t="s">
        <v>69</v>
      </c>
      <c r="S4326">
        <v>1</v>
      </c>
      <c r="T4326">
        <v>0</v>
      </c>
      <c r="U4326">
        <f>IF(AND(OR(Dashboard!$D$4="Semua",D4326=Dashboard!$D$4),OR(Dashboard!$H$4="Semua",E4326=Dashboard!$H$4)),1,0)</f>
        <v>1</v>
      </c>
      <c r="V4326">
        <f>IF(U4326=1,IF(COUNTIFS($C$2:C4326,C4326,$U$2:U4326,1)=1,1,0),0)</f>
        <v>0</v>
      </c>
    </row>
    <row r="4327" spans="1:22" x14ac:dyDescent="0.35">
      <c r="A4327">
        <v>14326</v>
      </c>
      <c r="B4327" s="1">
        <v>48887</v>
      </c>
      <c r="C4327">
        <v>1935</v>
      </c>
      <c r="D4327" t="s">
        <v>67</v>
      </c>
      <c r="E4327" t="s">
        <v>70</v>
      </c>
      <c r="F4327">
        <v>4</v>
      </c>
      <c r="G4327" s="2">
        <v>197.83</v>
      </c>
      <c r="H4327">
        <v>0.32</v>
      </c>
      <c r="I4327" t="s">
        <v>68</v>
      </c>
      <c r="J4327">
        <v>4</v>
      </c>
      <c r="K4327">
        <v>1.3</v>
      </c>
      <c r="L4327" s="2">
        <v>538.1</v>
      </c>
      <c r="M4327">
        <v>2033</v>
      </c>
      <c r="N4327">
        <v>11</v>
      </c>
      <c r="O4327" t="s">
        <v>222</v>
      </c>
      <c r="P4327" s="2">
        <v>791.32</v>
      </c>
      <c r="Q4327" s="2">
        <v>253.22</v>
      </c>
      <c r="R4327" t="s">
        <v>72</v>
      </c>
      <c r="S4327">
        <v>1</v>
      </c>
      <c r="T4327">
        <v>0</v>
      </c>
      <c r="U4327">
        <f>IF(AND(OR(Dashboard!$D$4="Semua",D4327=Dashboard!$D$4),OR(Dashboard!$H$4="Semua",E4327=Dashboard!$H$4)),1,0)</f>
        <v>1</v>
      </c>
      <c r="V4327">
        <f>IF(U4327=1,IF(COUNTIFS($C$2:C4327,C4327,$U$2:U4327,1)=1,1,0),0)</f>
        <v>0</v>
      </c>
    </row>
    <row r="4328" spans="1:22" x14ac:dyDescent="0.35">
      <c r="A4328">
        <v>14327</v>
      </c>
      <c r="B4328" s="1">
        <v>48888</v>
      </c>
      <c r="C4328">
        <v>1464</v>
      </c>
      <c r="D4328" t="s">
        <v>62</v>
      </c>
      <c r="E4328" t="s">
        <v>74</v>
      </c>
      <c r="F4328">
        <v>5</v>
      </c>
      <c r="G4328" s="2">
        <v>146.86000000000001</v>
      </c>
      <c r="H4328">
        <v>0.25</v>
      </c>
      <c r="I4328" t="s">
        <v>64</v>
      </c>
      <c r="J4328">
        <v>4</v>
      </c>
      <c r="K4328">
        <v>1.1000000000000001</v>
      </c>
      <c r="L4328" s="2">
        <v>550.72</v>
      </c>
      <c r="M4328">
        <v>2033</v>
      </c>
      <c r="N4328">
        <v>11</v>
      </c>
      <c r="O4328" t="s">
        <v>222</v>
      </c>
      <c r="P4328" s="2">
        <v>734.3</v>
      </c>
      <c r="Q4328" s="2">
        <v>183.58</v>
      </c>
      <c r="R4328" t="s">
        <v>77</v>
      </c>
      <c r="S4328">
        <v>1</v>
      </c>
      <c r="T4328">
        <v>0</v>
      </c>
      <c r="U4328">
        <f>IF(AND(OR(Dashboard!$D$4="Semua",D4328=Dashboard!$D$4),OR(Dashboard!$H$4="Semua",E4328=Dashboard!$H$4)),1,0)</f>
        <v>1</v>
      </c>
      <c r="V4328">
        <f>IF(U4328=1,IF(COUNTIFS($C$2:C4328,C4328,$U$2:U4328,1)=1,1,0),0)</f>
        <v>0</v>
      </c>
    </row>
    <row r="4329" spans="1:22" x14ac:dyDescent="0.35">
      <c r="A4329">
        <v>14328</v>
      </c>
      <c r="B4329" s="1">
        <v>48889</v>
      </c>
      <c r="C4329">
        <v>1285</v>
      </c>
      <c r="D4329" t="s">
        <v>80</v>
      </c>
      <c r="E4329" t="s">
        <v>74</v>
      </c>
      <c r="F4329">
        <v>5</v>
      </c>
      <c r="G4329" s="2">
        <v>310.89999999999998</v>
      </c>
      <c r="H4329">
        <v>0.27</v>
      </c>
      <c r="I4329" t="s">
        <v>68</v>
      </c>
      <c r="J4329">
        <v>7</v>
      </c>
      <c r="K4329">
        <v>1.8</v>
      </c>
      <c r="L4329" s="2">
        <v>1134.79</v>
      </c>
      <c r="M4329">
        <v>2033</v>
      </c>
      <c r="N4329">
        <v>11</v>
      </c>
      <c r="O4329" t="s">
        <v>222</v>
      </c>
      <c r="P4329" s="2">
        <v>1554.5</v>
      </c>
      <c r="Q4329" s="2">
        <v>419.71</v>
      </c>
      <c r="R4329" t="s">
        <v>66</v>
      </c>
      <c r="S4329">
        <v>1</v>
      </c>
      <c r="T4329">
        <v>0</v>
      </c>
      <c r="U4329">
        <f>IF(AND(OR(Dashboard!$D$4="Semua",D4329=Dashboard!$D$4),OR(Dashboard!$H$4="Semua",E4329=Dashboard!$H$4)),1,0)</f>
        <v>1</v>
      </c>
      <c r="V4329">
        <f>IF(U4329=1,IF(COUNTIFS($C$2:C4329,C4329,$U$2:U4329,1)=1,1,0),0)</f>
        <v>0</v>
      </c>
    </row>
    <row r="4330" spans="1:22" x14ac:dyDescent="0.35">
      <c r="A4330">
        <v>14329</v>
      </c>
      <c r="B4330" s="1">
        <v>48890</v>
      </c>
      <c r="C4330">
        <v>1264</v>
      </c>
      <c r="D4330" t="s">
        <v>73</v>
      </c>
      <c r="E4330" t="s">
        <v>63</v>
      </c>
      <c r="F4330">
        <v>5</v>
      </c>
      <c r="G4330" s="2">
        <v>369.56</v>
      </c>
      <c r="H4330">
        <v>0.03</v>
      </c>
      <c r="I4330" t="s">
        <v>71</v>
      </c>
      <c r="J4330">
        <v>5</v>
      </c>
      <c r="K4330">
        <v>2.2000000000000002</v>
      </c>
      <c r="L4330" s="2">
        <v>1792.37</v>
      </c>
      <c r="M4330">
        <v>2033</v>
      </c>
      <c r="N4330">
        <v>11</v>
      </c>
      <c r="O4330" t="s">
        <v>222</v>
      </c>
      <c r="P4330" s="2">
        <v>1847.8</v>
      </c>
      <c r="Q4330" s="2">
        <v>55.43</v>
      </c>
      <c r="R4330" t="s">
        <v>75</v>
      </c>
      <c r="S4330">
        <v>1</v>
      </c>
      <c r="T4330">
        <v>0</v>
      </c>
      <c r="U4330">
        <f>IF(AND(OR(Dashboard!$D$4="Semua",D4330=Dashboard!$D$4),OR(Dashboard!$H$4="Semua",E4330=Dashboard!$H$4)),1,0)</f>
        <v>1</v>
      </c>
      <c r="V4330">
        <f>IF(U4330=1,IF(COUNTIFS($C$2:C4330,C4330,$U$2:U4330,1)=1,1,0),0)</f>
        <v>0</v>
      </c>
    </row>
    <row r="4331" spans="1:22" x14ac:dyDescent="0.35">
      <c r="A4331">
        <v>14330</v>
      </c>
      <c r="B4331" s="1">
        <v>48891</v>
      </c>
      <c r="C4331">
        <v>1319</v>
      </c>
      <c r="D4331" t="s">
        <v>73</v>
      </c>
      <c r="E4331" t="s">
        <v>78</v>
      </c>
      <c r="F4331">
        <v>7</v>
      </c>
      <c r="G4331" s="2">
        <v>20.72</v>
      </c>
      <c r="H4331">
        <v>0.2</v>
      </c>
      <c r="I4331" t="s">
        <v>64</v>
      </c>
      <c r="J4331">
        <v>9</v>
      </c>
      <c r="K4331">
        <v>1.2</v>
      </c>
      <c r="L4331" s="2">
        <v>116.03</v>
      </c>
      <c r="M4331">
        <v>2033</v>
      </c>
      <c r="N4331">
        <v>11</v>
      </c>
      <c r="O4331" t="s">
        <v>222</v>
      </c>
      <c r="P4331" s="2">
        <v>145.04</v>
      </c>
      <c r="Q4331" s="2">
        <v>29.01</v>
      </c>
      <c r="R4331" t="s">
        <v>76</v>
      </c>
      <c r="S4331">
        <v>1</v>
      </c>
      <c r="T4331">
        <v>0</v>
      </c>
      <c r="U4331">
        <f>IF(AND(OR(Dashboard!$D$4="Semua",D4331=Dashboard!$D$4),OR(Dashboard!$H$4="Semua",E4331=Dashboard!$H$4)),1,0)</f>
        <v>1</v>
      </c>
      <c r="V4331">
        <f>IF(U4331=1,IF(COUNTIFS($C$2:C4331,C4331,$U$2:U4331,1)=1,1,0),0)</f>
        <v>0</v>
      </c>
    </row>
    <row r="4332" spans="1:22" x14ac:dyDescent="0.35">
      <c r="A4332">
        <v>14331</v>
      </c>
      <c r="B4332" s="1">
        <v>48892</v>
      </c>
      <c r="C4332">
        <v>1672</v>
      </c>
      <c r="D4332" t="s">
        <v>67</v>
      </c>
      <c r="E4332" t="s">
        <v>63</v>
      </c>
      <c r="F4332">
        <v>5</v>
      </c>
      <c r="G4332" s="2">
        <v>471.42</v>
      </c>
      <c r="H4332">
        <v>0.28999999999999998</v>
      </c>
      <c r="I4332" t="s">
        <v>68</v>
      </c>
      <c r="J4332">
        <v>7</v>
      </c>
      <c r="K4332">
        <v>3.6</v>
      </c>
      <c r="L4332" s="2">
        <v>1673.54</v>
      </c>
      <c r="M4332">
        <v>2033</v>
      </c>
      <c r="N4332">
        <v>11</v>
      </c>
      <c r="O4332" t="s">
        <v>222</v>
      </c>
      <c r="P4332" s="2">
        <v>2357.1</v>
      </c>
      <c r="Q4332" s="2">
        <v>683.56</v>
      </c>
      <c r="R4332" t="s">
        <v>66</v>
      </c>
      <c r="S4332">
        <v>1</v>
      </c>
      <c r="T4332">
        <v>0</v>
      </c>
      <c r="U4332">
        <f>IF(AND(OR(Dashboard!$D$4="Semua",D4332=Dashboard!$D$4),OR(Dashboard!$H$4="Semua",E4332=Dashboard!$H$4)),1,0)</f>
        <v>1</v>
      </c>
      <c r="V4332">
        <f>IF(U4332=1,IF(COUNTIFS($C$2:C4332,C4332,$U$2:U4332,1)=1,1,0),0)</f>
        <v>0</v>
      </c>
    </row>
    <row r="4333" spans="1:22" x14ac:dyDescent="0.35">
      <c r="A4333">
        <v>14332</v>
      </c>
      <c r="B4333" s="1">
        <v>48893</v>
      </c>
      <c r="C4333">
        <v>1375</v>
      </c>
      <c r="D4333" t="s">
        <v>73</v>
      </c>
      <c r="E4333" t="s">
        <v>70</v>
      </c>
      <c r="F4333">
        <v>7</v>
      </c>
      <c r="G4333" s="2">
        <v>494.63</v>
      </c>
      <c r="H4333">
        <v>0.3</v>
      </c>
      <c r="I4333" t="s">
        <v>68</v>
      </c>
      <c r="J4333">
        <v>2</v>
      </c>
      <c r="K4333">
        <v>2.7</v>
      </c>
      <c r="L4333" s="2">
        <v>2423.69</v>
      </c>
      <c r="M4333">
        <v>2033</v>
      </c>
      <c r="N4333">
        <v>11</v>
      </c>
      <c r="O4333" t="s">
        <v>222</v>
      </c>
      <c r="P4333" s="2">
        <v>3462.41</v>
      </c>
      <c r="Q4333" s="2">
        <v>1038.72</v>
      </c>
      <c r="R4333" t="s">
        <v>66</v>
      </c>
      <c r="S4333">
        <v>1</v>
      </c>
      <c r="T4333">
        <v>0</v>
      </c>
      <c r="U4333">
        <f>IF(AND(OR(Dashboard!$D$4="Semua",D4333=Dashboard!$D$4),OR(Dashboard!$H$4="Semua",E4333=Dashboard!$H$4)),1,0)</f>
        <v>1</v>
      </c>
      <c r="V4333">
        <f>IF(U4333=1,IF(COUNTIFS($C$2:C4333,C4333,$U$2:U4333,1)=1,1,0),0)</f>
        <v>0</v>
      </c>
    </row>
    <row r="4334" spans="1:22" x14ac:dyDescent="0.35">
      <c r="A4334">
        <v>14333</v>
      </c>
      <c r="B4334" s="1">
        <v>48894</v>
      </c>
      <c r="C4334">
        <v>1819</v>
      </c>
      <c r="D4334" t="s">
        <v>73</v>
      </c>
      <c r="E4334" t="s">
        <v>63</v>
      </c>
      <c r="F4334">
        <v>4</v>
      </c>
      <c r="G4334" s="2">
        <v>579.82000000000005</v>
      </c>
      <c r="H4334">
        <v>0.01</v>
      </c>
      <c r="I4334" t="s">
        <v>71</v>
      </c>
      <c r="J4334">
        <v>11</v>
      </c>
      <c r="K4334">
        <v>2.6</v>
      </c>
      <c r="L4334" s="2">
        <v>2296.09</v>
      </c>
      <c r="M4334">
        <v>2033</v>
      </c>
      <c r="N4334">
        <v>11</v>
      </c>
      <c r="O4334" t="s">
        <v>222</v>
      </c>
      <c r="P4334" s="2">
        <v>2319.2800000000002</v>
      </c>
      <c r="Q4334" s="2">
        <v>23.19</v>
      </c>
      <c r="R4334" t="s">
        <v>75</v>
      </c>
      <c r="S4334">
        <v>1</v>
      </c>
      <c r="T4334">
        <v>0</v>
      </c>
      <c r="U4334">
        <f>IF(AND(OR(Dashboard!$D$4="Semua",D4334=Dashboard!$D$4),OR(Dashboard!$H$4="Semua",E4334=Dashboard!$H$4)),1,0)</f>
        <v>1</v>
      </c>
      <c r="V4334">
        <f>IF(U4334=1,IF(COUNTIFS($C$2:C4334,C4334,$U$2:U4334,1)=1,1,0),0)</f>
        <v>0</v>
      </c>
    </row>
    <row r="4335" spans="1:22" x14ac:dyDescent="0.35">
      <c r="A4335">
        <v>14334</v>
      </c>
      <c r="B4335" s="1">
        <v>48895</v>
      </c>
      <c r="C4335">
        <v>1088</v>
      </c>
      <c r="D4335" t="s">
        <v>73</v>
      </c>
      <c r="E4335" t="s">
        <v>74</v>
      </c>
      <c r="F4335">
        <v>4</v>
      </c>
      <c r="G4335" s="2">
        <v>120.68</v>
      </c>
      <c r="H4335">
        <v>0.33</v>
      </c>
      <c r="I4335" t="s">
        <v>68</v>
      </c>
      <c r="J4335">
        <v>11</v>
      </c>
      <c r="K4335">
        <v>1.6</v>
      </c>
      <c r="L4335" s="2">
        <v>323.42</v>
      </c>
      <c r="M4335">
        <v>2033</v>
      </c>
      <c r="N4335">
        <v>11</v>
      </c>
      <c r="O4335" t="s">
        <v>222</v>
      </c>
      <c r="P4335" s="2">
        <v>482.72</v>
      </c>
      <c r="Q4335" s="2">
        <v>159.30000000000001</v>
      </c>
      <c r="R4335" t="s">
        <v>72</v>
      </c>
      <c r="S4335">
        <v>1</v>
      </c>
      <c r="T4335">
        <v>0</v>
      </c>
      <c r="U4335">
        <f>IF(AND(OR(Dashboard!$D$4="Semua",D4335=Dashboard!$D$4),OR(Dashboard!$H$4="Semua",E4335=Dashboard!$H$4)),1,0)</f>
        <v>1</v>
      </c>
      <c r="V4335">
        <f>IF(U4335=1,IF(COUNTIFS($C$2:C4335,C4335,$U$2:U4335,1)=1,1,0),0)</f>
        <v>0</v>
      </c>
    </row>
    <row r="4336" spans="1:22" x14ac:dyDescent="0.35">
      <c r="A4336">
        <v>14335</v>
      </c>
      <c r="B4336" s="1">
        <v>48896</v>
      </c>
      <c r="C4336">
        <v>1653</v>
      </c>
      <c r="D4336" t="s">
        <v>67</v>
      </c>
      <c r="E4336" t="s">
        <v>70</v>
      </c>
      <c r="F4336">
        <v>5</v>
      </c>
      <c r="G4336" s="2">
        <v>362.81</v>
      </c>
      <c r="H4336">
        <v>0.02</v>
      </c>
      <c r="I4336" t="s">
        <v>71</v>
      </c>
      <c r="J4336">
        <v>8</v>
      </c>
      <c r="K4336">
        <v>2.8</v>
      </c>
      <c r="L4336" s="2">
        <v>1777.77</v>
      </c>
      <c r="M4336">
        <v>2033</v>
      </c>
      <c r="N4336">
        <v>11</v>
      </c>
      <c r="O4336" t="s">
        <v>222</v>
      </c>
      <c r="P4336" s="2">
        <v>1814.05</v>
      </c>
      <c r="Q4336" s="2">
        <v>36.28</v>
      </c>
      <c r="R4336" t="s">
        <v>75</v>
      </c>
      <c r="S4336">
        <v>1</v>
      </c>
      <c r="T4336">
        <v>0</v>
      </c>
      <c r="U4336">
        <f>IF(AND(OR(Dashboard!$D$4="Semua",D4336=Dashboard!$D$4),OR(Dashboard!$H$4="Semua",E4336=Dashboard!$H$4)),1,0)</f>
        <v>1</v>
      </c>
      <c r="V4336">
        <f>IF(U4336=1,IF(COUNTIFS($C$2:C4336,C4336,$U$2:U4336,1)=1,1,0),0)</f>
        <v>0</v>
      </c>
    </row>
    <row r="4337" spans="1:22" x14ac:dyDescent="0.35">
      <c r="A4337">
        <v>14336</v>
      </c>
      <c r="B4337" s="1">
        <v>48897</v>
      </c>
      <c r="C4337">
        <v>1202</v>
      </c>
      <c r="D4337" t="s">
        <v>73</v>
      </c>
      <c r="E4337" t="s">
        <v>70</v>
      </c>
      <c r="F4337">
        <v>7</v>
      </c>
      <c r="G4337" s="2">
        <v>264.58</v>
      </c>
      <c r="H4337">
        <v>0.22</v>
      </c>
      <c r="I4337" t="s">
        <v>68</v>
      </c>
      <c r="J4337">
        <v>11</v>
      </c>
      <c r="K4337">
        <v>2.6</v>
      </c>
      <c r="L4337" s="2">
        <v>1444.61</v>
      </c>
      <c r="M4337">
        <v>2033</v>
      </c>
      <c r="N4337">
        <v>11</v>
      </c>
      <c r="O4337" t="s">
        <v>222</v>
      </c>
      <c r="P4337" s="2">
        <v>1852.06</v>
      </c>
      <c r="Q4337" s="2">
        <v>407.45</v>
      </c>
      <c r="R4337" t="s">
        <v>77</v>
      </c>
      <c r="S4337">
        <v>1</v>
      </c>
      <c r="T4337">
        <v>0</v>
      </c>
      <c r="U4337">
        <f>IF(AND(OR(Dashboard!$D$4="Semua",D4337=Dashboard!$D$4),OR(Dashboard!$H$4="Semua",E4337=Dashboard!$H$4)),1,0)</f>
        <v>1</v>
      </c>
      <c r="V4337">
        <f>IF(U4337=1,IF(COUNTIFS($C$2:C4337,C4337,$U$2:U4337,1)=1,1,0),0)</f>
        <v>0</v>
      </c>
    </row>
    <row r="4338" spans="1:22" x14ac:dyDescent="0.35">
      <c r="A4338">
        <v>14337</v>
      </c>
      <c r="B4338" s="1">
        <v>48898</v>
      </c>
      <c r="C4338">
        <v>1820</v>
      </c>
      <c r="D4338" t="s">
        <v>73</v>
      </c>
      <c r="E4338" t="s">
        <v>78</v>
      </c>
      <c r="F4338">
        <v>3</v>
      </c>
      <c r="G4338" s="2">
        <v>210.87</v>
      </c>
      <c r="H4338">
        <v>0.24</v>
      </c>
      <c r="I4338" t="s">
        <v>68</v>
      </c>
      <c r="J4338">
        <v>2</v>
      </c>
      <c r="K4338">
        <v>2.5</v>
      </c>
      <c r="L4338" s="2">
        <v>480.78</v>
      </c>
      <c r="M4338">
        <v>2033</v>
      </c>
      <c r="N4338">
        <v>11</v>
      </c>
      <c r="O4338" t="s">
        <v>222</v>
      </c>
      <c r="P4338" s="2">
        <v>632.61</v>
      </c>
      <c r="Q4338" s="2">
        <v>151.83000000000001</v>
      </c>
      <c r="R4338" t="s">
        <v>77</v>
      </c>
      <c r="S4338">
        <v>1</v>
      </c>
      <c r="T4338">
        <v>0</v>
      </c>
      <c r="U4338">
        <f>IF(AND(OR(Dashboard!$D$4="Semua",D4338=Dashboard!$D$4),OR(Dashboard!$H$4="Semua",E4338=Dashboard!$H$4)),1,0)</f>
        <v>1</v>
      </c>
      <c r="V4338">
        <f>IF(U4338=1,IF(COUNTIFS($C$2:C4338,C4338,$U$2:U4338,1)=1,1,0),0)</f>
        <v>0</v>
      </c>
    </row>
    <row r="4339" spans="1:22" x14ac:dyDescent="0.35">
      <c r="A4339">
        <v>14338</v>
      </c>
      <c r="B4339" s="1">
        <v>48899</v>
      </c>
      <c r="C4339">
        <v>1738</v>
      </c>
      <c r="D4339" t="s">
        <v>73</v>
      </c>
      <c r="E4339" t="s">
        <v>78</v>
      </c>
      <c r="F4339">
        <v>5</v>
      </c>
      <c r="G4339" s="2">
        <v>345.9</v>
      </c>
      <c r="H4339">
        <v>0.04</v>
      </c>
      <c r="I4339" t="s">
        <v>68</v>
      </c>
      <c r="J4339">
        <v>7</v>
      </c>
      <c r="K4339">
        <v>1.9</v>
      </c>
      <c r="L4339" s="2">
        <v>1660.32</v>
      </c>
      <c r="M4339">
        <v>2033</v>
      </c>
      <c r="N4339">
        <v>11</v>
      </c>
      <c r="O4339" t="s">
        <v>222</v>
      </c>
      <c r="P4339" s="2">
        <v>1729.5</v>
      </c>
      <c r="Q4339" s="2">
        <v>69.180000000000007</v>
      </c>
      <c r="R4339" t="s">
        <v>75</v>
      </c>
      <c r="S4339">
        <v>1</v>
      </c>
      <c r="T4339">
        <v>0</v>
      </c>
      <c r="U4339">
        <f>IF(AND(OR(Dashboard!$D$4="Semua",D4339=Dashboard!$D$4),OR(Dashboard!$H$4="Semua",E4339=Dashboard!$H$4)),1,0)</f>
        <v>1</v>
      </c>
      <c r="V4339">
        <f>IF(U4339=1,IF(COUNTIFS($C$2:C4339,C4339,$U$2:U4339,1)=1,1,0),0)</f>
        <v>0</v>
      </c>
    </row>
    <row r="4340" spans="1:22" x14ac:dyDescent="0.35">
      <c r="A4340">
        <v>14339</v>
      </c>
      <c r="B4340" s="1">
        <v>48900</v>
      </c>
      <c r="C4340">
        <v>1954</v>
      </c>
      <c r="D4340" t="s">
        <v>80</v>
      </c>
      <c r="E4340" t="s">
        <v>70</v>
      </c>
      <c r="F4340">
        <v>6</v>
      </c>
      <c r="G4340" s="2">
        <v>472.69</v>
      </c>
      <c r="H4340">
        <v>0.02</v>
      </c>
      <c r="I4340" t="s">
        <v>64</v>
      </c>
      <c r="J4340">
        <v>5</v>
      </c>
      <c r="K4340">
        <v>1.4</v>
      </c>
      <c r="L4340" s="2">
        <v>2779.42</v>
      </c>
      <c r="M4340">
        <v>2033</v>
      </c>
      <c r="N4340">
        <v>11</v>
      </c>
      <c r="O4340" t="s">
        <v>222</v>
      </c>
      <c r="P4340" s="2">
        <v>2836.14</v>
      </c>
      <c r="Q4340" s="2">
        <v>56.72</v>
      </c>
      <c r="R4340" t="s">
        <v>75</v>
      </c>
      <c r="S4340">
        <v>1</v>
      </c>
      <c r="T4340">
        <v>0</v>
      </c>
      <c r="U4340">
        <f>IF(AND(OR(Dashboard!$D$4="Semua",D4340=Dashboard!$D$4),OR(Dashboard!$H$4="Semua",E4340=Dashboard!$H$4)),1,0)</f>
        <v>1</v>
      </c>
      <c r="V4340">
        <f>IF(U4340=1,IF(COUNTIFS($C$2:C4340,C4340,$U$2:U4340,1)=1,1,0),0)</f>
        <v>0</v>
      </c>
    </row>
    <row r="4341" spans="1:22" x14ac:dyDescent="0.35">
      <c r="A4341">
        <v>14340</v>
      </c>
      <c r="B4341" s="1">
        <v>48901</v>
      </c>
      <c r="C4341">
        <v>1333</v>
      </c>
      <c r="D4341" t="s">
        <v>62</v>
      </c>
      <c r="E4341" t="s">
        <v>70</v>
      </c>
      <c r="F4341">
        <v>6</v>
      </c>
      <c r="G4341" s="2">
        <v>28.49</v>
      </c>
      <c r="H4341">
        <v>0.27</v>
      </c>
      <c r="I4341" t="s">
        <v>68</v>
      </c>
      <c r="J4341">
        <v>10</v>
      </c>
      <c r="K4341">
        <v>2</v>
      </c>
      <c r="L4341" s="2">
        <v>124.79</v>
      </c>
      <c r="M4341">
        <v>2033</v>
      </c>
      <c r="N4341">
        <v>11</v>
      </c>
      <c r="O4341" t="s">
        <v>222</v>
      </c>
      <c r="P4341" s="2">
        <v>170.94</v>
      </c>
      <c r="Q4341" s="2">
        <v>46.15</v>
      </c>
      <c r="R4341" t="s">
        <v>66</v>
      </c>
      <c r="S4341">
        <v>1</v>
      </c>
      <c r="T4341">
        <v>0</v>
      </c>
      <c r="U4341">
        <f>IF(AND(OR(Dashboard!$D$4="Semua",D4341=Dashboard!$D$4),OR(Dashboard!$H$4="Semua",E4341=Dashboard!$H$4)),1,0)</f>
        <v>1</v>
      </c>
      <c r="V4341">
        <f>IF(U4341=1,IF(COUNTIFS($C$2:C4341,C4341,$U$2:U4341,1)=1,1,0),0)</f>
        <v>0</v>
      </c>
    </row>
    <row r="4342" spans="1:22" x14ac:dyDescent="0.35">
      <c r="A4342">
        <v>14341</v>
      </c>
      <c r="B4342" s="1">
        <v>48902</v>
      </c>
      <c r="C4342">
        <v>1221</v>
      </c>
      <c r="D4342" t="s">
        <v>67</v>
      </c>
      <c r="E4342" t="s">
        <v>63</v>
      </c>
      <c r="F4342">
        <v>4</v>
      </c>
      <c r="G4342" s="2">
        <v>582.1</v>
      </c>
      <c r="H4342">
        <v>0.13</v>
      </c>
      <c r="I4342" t="s">
        <v>68</v>
      </c>
      <c r="J4342">
        <v>6</v>
      </c>
      <c r="K4342">
        <v>3.7</v>
      </c>
      <c r="L4342" s="2">
        <v>2025.71</v>
      </c>
      <c r="M4342">
        <v>2033</v>
      </c>
      <c r="N4342">
        <v>11</v>
      </c>
      <c r="O4342" t="s">
        <v>222</v>
      </c>
      <c r="P4342" s="2">
        <v>2328.4</v>
      </c>
      <c r="Q4342" s="2">
        <v>302.69</v>
      </c>
      <c r="R4342" t="s">
        <v>79</v>
      </c>
      <c r="S4342">
        <v>1</v>
      </c>
      <c r="T4342">
        <v>0</v>
      </c>
      <c r="U4342">
        <f>IF(AND(OR(Dashboard!$D$4="Semua",D4342=Dashboard!$D$4),OR(Dashboard!$H$4="Semua",E4342=Dashboard!$H$4)),1,0)</f>
        <v>1</v>
      </c>
      <c r="V4342">
        <f>IF(U4342=1,IF(COUNTIFS($C$2:C4342,C4342,$U$2:U4342,1)=1,1,0),0)</f>
        <v>0</v>
      </c>
    </row>
    <row r="4343" spans="1:22" x14ac:dyDescent="0.35">
      <c r="A4343">
        <v>14342</v>
      </c>
      <c r="B4343" s="1">
        <v>48903</v>
      </c>
      <c r="C4343">
        <v>1040</v>
      </c>
      <c r="D4343" t="s">
        <v>67</v>
      </c>
      <c r="E4343" t="s">
        <v>70</v>
      </c>
      <c r="F4343">
        <v>6</v>
      </c>
      <c r="G4343" s="2">
        <v>488.78</v>
      </c>
      <c r="H4343">
        <v>0.04</v>
      </c>
      <c r="I4343" t="s">
        <v>71</v>
      </c>
      <c r="J4343">
        <v>11</v>
      </c>
      <c r="K4343">
        <v>1.3</v>
      </c>
      <c r="L4343" s="2">
        <v>2815.37</v>
      </c>
      <c r="M4343">
        <v>2033</v>
      </c>
      <c r="N4343">
        <v>11</v>
      </c>
      <c r="O4343" t="s">
        <v>222</v>
      </c>
      <c r="P4343" s="2">
        <v>2932.68</v>
      </c>
      <c r="Q4343" s="2">
        <v>117.31</v>
      </c>
      <c r="R4343" t="s">
        <v>75</v>
      </c>
      <c r="S4343">
        <v>1</v>
      </c>
      <c r="T4343">
        <v>0</v>
      </c>
      <c r="U4343">
        <f>IF(AND(OR(Dashboard!$D$4="Semua",D4343=Dashboard!$D$4),OR(Dashboard!$H$4="Semua",E4343=Dashboard!$H$4)),1,0)</f>
        <v>1</v>
      </c>
      <c r="V4343">
        <f>IF(U4343=1,IF(COUNTIFS($C$2:C4343,C4343,$U$2:U4343,1)=1,1,0),0)</f>
        <v>0</v>
      </c>
    </row>
    <row r="4344" spans="1:22" x14ac:dyDescent="0.35">
      <c r="A4344">
        <v>14343</v>
      </c>
      <c r="B4344" s="1">
        <v>48904</v>
      </c>
      <c r="C4344">
        <v>1707</v>
      </c>
      <c r="D4344" t="s">
        <v>62</v>
      </c>
      <c r="E4344" t="s">
        <v>74</v>
      </c>
      <c r="F4344">
        <v>6</v>
      </c>
      <c r="G4344" s="2">
        <v>454.42</v>
      </c>
      <c r="H4344">
        <v>0.27</v>
      </c>
      <c r="I4344" t="s">
        <v>68</v>
      </c>
      <c r="J4344">
        <v>4</v>
      </c>
      <c r="K4344">
        <v>2.5</v>
      </c>
      <c r="L4344" s="2">
        <v>1990.36</v>
      </c>
      <c r="M4344">
        <v>2033</v>
      </c>
      <c r="N4344">
        <v>11</v>
      </c>
      <c r="O4344" t="s">
        <v>222</v>
      </c>
      <c r="P4344" s="2">
        <v>2726.52</v>
      </c>
      <c r="Q4344" s="2">
        <v>736.16</v>
      </c>
      <c r="R4344" t="s">
        <v>66</v>
      </c>
      <c r="S4344">
        <v>1</v>
      </c>
      <c r="T4344">
        <v>0</v>
      </c>
      <c r="U4344">
        <f>IF(AND(OR(Dashboard!$D$4="Semua",D4344=Dashboard!$D$4),OR(Dashboard!$H$4="Semua",E4344=Dashboard!$H$4)),1,0)</f>
        <v>1</v>
      </c>
      <c r="V4344">
        <f>IF(U4344=1,IF(COUNTIFS($C$2:C4344,C4344,$U$2:U4344,1)=1,1,0),0)</f>
        <v>0</v>
      </c>
    </row>
    <row r="4345" spans="1:22" x14ac:dyDescent="0.35">
      <c r="A4345">
        <v>14344</v>
      </c>
      <c r="B4345" s="1">
        <v>48905</v>
      </c>
      <c r="C4345">
        <v>1067</v>
      </c>
      <c r="D4345" t="s">
        <v>73</v>
      </c>
      <c r="E4345" t="s">
        <v>63</v>
      </c>
      <c r="F4345">
        <v>2</v>
      </c>
      <c r="G4345" s="2">
        <v>459.83</v>
      </c>
      <c r="H4345">
        <v>0.3</v>
      </c>
      <c r="I4345" t="s">
        <v>68</v>
      </c>
      <c r="J4345">
        <v>5</v>
      </c>
      <c r="K4345">
        <v>3.1</v>
      </c>
      <c r="L4345" s="2">
        <v>643.76</v>
      </c>
      <c r="M4345">
        <v>2033</v>
      </c>
      <c r="N4345">
        <v>11</v>
      </c>
      <c r="O4345" t="s">
        <v>222</v>
      </c>
      <c r="P4345" s="2">
        <v>919.66</v>
      </c>
      <c r="Q4345" s="2">
        <v>275.89999999999998</v>
      </c>
      <c r="R4345" t="s">
        <v>66</v>
      </c>
      <c r="S4345">
        <v>1</v>
      </c>
      <c r="T4345">
        <v>0</v>
      </c>
      <c r="U4345">
        <f>IF(AND(OR(Dashboard!$D$4="Semua",D4345=Dashboard!$D$4),OR(Dashboard!$H$4="Semua",E4345=Dashboard!$H$4)),1,0)</f>
        <v>1</v>
      </c>
      <c r="V4345">
        <f>IF(U4345=1,IF(COUNTIFS($C$2:C4345,C4345,$U$2:U4345,1)=1,1,0),0)</f>
        <v>0</v>
      </c>
    </row>
    <row r="4346" spans="1:22" x14ac:dyDescent="0.35">
      <c r="A4346">
        <v>14345</v>
      </c>
      <c r="B4346" s="1">
        <v>48906</v>
      </c>
      <c r="C4346">
        <v>1987</v>
      </c>
      <c r="D4346" t="s">
        <v>73</v>
      </c>
      <c r="E4346" t="s">
        <v>74</v>
      </c>
      <c r="F4346">
        <v>5</v>
      </c>
      <c r="G4346" s="2">
        <v>242.6</v>
      </c>
      <c r="H4346">
        <v>0.21</v>
      </c>
      <c r="I4346" t="s">
        <v>68</v>
      </c>
      <c r="J4346">
        <v>5</v>
      </c>
      <c r="K4346">
        <v>4.9000000000000004</v>
      </c>
      <c r="L4346" s="2">
        <v>958.27</v>
      </c>
      <c r="M4346">
        <v>2033</v>
      </c>
      <c r="N4346">
        <v>11</v>
      </c>
      <c r="O4346" t="s">
        <v>222</v>
      </c>
      <c r="P4346" s="2">
        <v>1213</v>
      </c>
      <c r="Q4346" s="2">
        <v>254.73</v>
      </c>
      <c r="R4346" t="s">
        <v>77</v>
      </c>
      <c r="S4346">
        <v>1</v>
      </c>
      <c r="T4346">
        <v>0</v>
      </c>
      <c r="U4346">
        <f>IF(AND(OR(Dashboard!$D$4="Semua",D4346=Dashboard!$D$4),OR(Dashboard!$H$4="Semua",E4346=Dashboard!$H$4)),1,0)</f>
        <v>1</v>
      </c>
      <c r="V4346">
        <f>IF(U4346=1,IF(COUNTIFS($C$2:C4346,C4346,$U$2:U4346,1)=1,1,0),0)</f>
        <v>0</v>
      </c>
    </row>
    <row r="4347" spans="1:22" x14ac:dyDescent="0.35">
      <c r="A4347">
        <v>14346</v>
      </c>
      <c r="B4347" s="1">
        <v>48907</v>
      </c>
      <c r="C4347">
        <v>1775</v>
      </c>
      <c r="D4347" t="s">
        <v>73</v>
      </c>
      <c r="E4347" t="s">
        <v>74</v>
      </c>
      <c r="F4347">
        <v>5</v>
      </c>
      <c r="G4347" s="2">
        <v>454.7</v>
      </c>
      <c r="H4347">
        <v>0.06</v>
      </c>
      <c r="I4347" t="s">
        <v>71</v>
      </c>
      <c r="J4347">
        <v>7</v>
      </c>
      <c r="K4347">
        <v>4.4000000000000004</v>
      </c>
      <c r="L4347" s="2">
        <v>2137.09</v>
      </c>
      <c r="M4347">
        <v>2033</v>
      </c>
      <c r="N4347">
        <v>11</v>
      </c>
      <c r="O4347" t="s">
        <v>222</v>
      </c>
      <c r="P4347" s="2">
        <v>2273.5</v>
      </c>
      <c r="Q4347" s="2">
        <v>136.41</v>
      </c>
      <c r="R4347" t="s">
        <v>69</v>
      </c>
      <c r="S4347">
        <v>1</v>
      </c>
      <c r="T4347">
        <v>0</v>
      </c>
      <c r="U4347">
        <f>IF(AND(OR(Dashboard!$D$4="Semua",D4347=Dashboard!$D$4),OR(Dashboard!$H$4="Semua",E4347=Dashboard!$H$4)),1,0)</f>
        <v>1</v>
      </c>
      <c r="V4347">
        <f>IF(U4347=1,IF(COUNTIFS($C$2:C4347,C4347,$U$2:U4347,1)=1,1,0),0)</f>
        <v>0</v>
      </c>
    </row>
    <row r="4348" spans="1:22" x14ac:dyDescent="0.35">
      <c r="A4348">
        <v>14347</v>
      </c>
      <c r="B4348" s="1">
        <v>48908</v>
      </c>
      <c r="C4348">
        <v>1513</v>
      </c>
      <c r="D4348" t="s">
        <v>73</v>
      </c>
      <c r="E4348" t="s">
        <v>74</v>
      </c>
      <c r="F4348">
        <v>5</v>
      </c>
      <c r="G4348" s="2">
        <v>241.26</v>
      </c>
      <c r="H4348">
        <v>0.01</v>
      </c>
      <c r="I4348" t="s">
        <v>71</v>
      </c>
      <c r="J4348">
        <v>11</v>
      </c>
      <c r="K4348">
        <v>4.7</v>
      </c>
      <c r="L4348" s="2">
        <v>1194.24</v>
      </c>
      <c r="M4348">
        <v>2033</v>
      </c>
      <c r="N4348">
        <v>11</v>
      </c>
      <c r="O4348" t="s">
        <v>222</v>
      </c>
      <c r="P4348" s="2">
        <v>1206.3</v>
      </c>
      <c r="Q4348" s="2">
        <v>12.06</v>
      </c>
      <c r="R4348" t="s">
        <v>75</v>
      </c>
      <c r="S4348">
        <v>1</v>
      </c>
      <c r="T4348">
        <v>0</v>
      </c>
      <c r="U4348">
        <f>IF(AND(OR(Dashboard!$D$4="Semua",D4348=Dashboard!$D$4),OR(Dashboard!$H$4="Semua",E4348=Dashboard!$H$4)),1,0)</f>
        <v>1</v>
      </c>
      <c r="V4348">
        <f>IF(U4348=1,IF(COUNTIFS($C$2:C4348,C4348,$U$2:U4348,1)=1,1,0),0)</f>
        <v>0</v>
      </c>
    </row>
    <row r="4349" spans="1:22" x14ac:dyDescent="0.35">
      <c r="A4349">
        <v>14348</v>
      </c>
      <c r="B4349" s="1">
        <v>48909</v>
      </c>
      <c r="C4349">
        <v>1872</v>
      </c>
      <c r="D4349" t="s">
        <v>67</v>
      </c>
      <c r="E4349" t="s">
        <v>70</v>
      </c>
      <c r="F4349">
        <v>5</v>
      </c>
      <c r="G4349" s="2">
        <v>540.74</v>
      </c>
      <c r="H4349">
        <v>0.25</v>
      </c>
      <c r="I4349" t="s">
        <v>68</v>
      </c>
      <c r="J4349">
        <v>4</v>
      </c>
      <c r="K4349">
        <v>4.3</v>
      </c>
      <c r="L4349" s="2">
        <v>2027.78</v>
      </c>
      <c r="M4349">
        <v>2033</v>
      </c>
      <c r="N4349">
        <v>11</v>
      </c>
      <c r="O4349" t="s">
        <v>222</v>
      </c>
      <c r="P4349" s="2">
        <v>2703.7</v>
      </c>
      <c r="Q4349" s="2">
        <v>675.92</v>
      </c>
      <c r="R4349" t="s">
        <v>77</v>
      </c>
      <c r="S4349">
        <v>1</v>
      </c>
      <c r="T4349">
        <v>0</v>
      </c>
      <c r="U4349">
        <f>IF(AND(OR(Dashboard!$D$4="Semua",D4349=Dashboard!$D$4),OR(Dashboard!$H$4="Semua",E4349=Dashboard!$H$4)),1,0)</f>
        <v>1</v>
      </c>
      <c r="V4349">
        <f>IF(U4349=1,IF(COUNTIFS($C$2:C4349,C4349,$U$2:U4349,1)=1,1,0),0)</f>
        <v>0</v>
      </c>
    </row>
    <row r="4350" spans="1:22" x14ac:dyDescent="0.35">
      <c r="A4350">
        <v>14349</v>
      </c>
      <c r="B4350" s="1">
        <v>48910</v>
      </c>
      <c r="C4350">
        <v>1636</v>
      </c>
      <c r="D4350" t="s">
        <v>62</v>
      </c>
      <c r="E4350" t="s">
        <v>78</v>
      </c>
      <c r="F4350">
        <v>1</v>
      </c>
      <c r="G4350" s="2">
        <v>118.68</v>
      </c>
      <c r="H4350">
        <v>0.19</v>
      </c>
      <c r="I4350" t="s">
        <v>68</v>
      </c>
      <c r="J4350">
        <v>5</v>
      </c>
      <c r="K4350">
        <v>3.4</v>
      </c>
      <c r="L4350" s="2">
        <v>96.13</v>
      </c>
      <c r="M4350">
        <v>2033</v>
      </c>
      <c r="N4350">
        <v>11</v>
      </c>
      <c r="O4350" t="s">
        <v>222</v>
      </c>
      <c r="P4350" s="2">
        <v>118.68</v>
      </c>
      <c r="Q4350" s="2">
        <v>22.55</v>
      </c>
      <c r="R4350" t="s">
        <v>76</v>
      </c>
      <c r="S4350">
        <v>1</v>
      </c>
      <c r="T4350">
        <v>0</v>
      </c>
      <c r="U4350">
        <f>IF(AND(OR(Dashboard!$D$4="Semua",D4350=Dashboard!$D$4),OR(Dashboard!$H$4="Semua",E4350=Dashboard!$H$4)),1,0)</f>
        <v>1</v>
      </c>
      <c r="V4350">
        <f>IF(U4350=1,IF(COUNTIFS($C$2:C4350,C4350,$U$2:U4350,1)=1,1,0),0)</f>
        <v>0</v>
      </c>
    </row>
    <row r="4351" spans="1:22" x14ac:dyDescent="0.35">
      <c r="A4351">
        <v>14350</v>
      </c>
      <c r="B4351" s="1">
        <v>48911</v>
      </c>
      <c r="C4351">
        <v>1621</v>
      </c>
      <c r="D4351" t="s">
        <v>67</v>
      </c>
      <c r="E4351" t="s">
        <v>78</v>
      </c>
      <c r="F4351">
        <v>5</v>
      </c>
      <c r="G4351" s="2">
        <v>186.02</v>
      </c>
      <c r="H4351">
        <v>0.23</v>
      </c>
      <c r="I4351" t="s">
        <v>71</v>
      </c>
      <c r="J4351">
        <v>4</v>
      </c>
      <c r="K4351">
        <v>4.4000000000000004</v>
      </c>
      <c r="L4351" s="2">
        <v>716.18</v>
      </c>
      <c r="M4351">
        <v>2033</v>
      </c>
      <c r="N4351">
        <v>11</v>
      </c>
      <c r="O4351" t="s">
        <v>222</v>
      </c>
      <c r="P4351" s="2">
        <v>930.1</v>
      </c>
      <c r="Q4351" s="2">
        <v>213.92</v>
      </c>
      <c r="R4351" t="s">
        <v>77</v>
      </c>
      <c r="S4351">
        <v>1</v>
      </c>
      <c r="T4351">
        <v>0</v>
      </c>
      <c r="U4351">
        <f>IF(AND(OR(Dashboard!$D$4="Semua",D4351=Dashboard!$D$4),OR(Dashboard!$H$4="Semua",E4351=Dashboard!$H$4)),1,0)</f>
        <v>1</v>
      </c>
      <c r="V4351">
        <f>IF(U4351=1,IF(COUNTIFS($C$2:C4351,C4351,$U$2:U4351,1)=1,1,0),0)</f>
        <v>0</v>
      </c>
    </row>
    <row r="4352" spans="1:22" x14ac:dyDescent="0.35">
      <c r="A4352">
        <v>14351</v>
      </c>
      <c r="B4352" s="1">
        <v>48912</v>
      </c>
      <c r="C4352">
        <v>1597</v>
      </c>
      <c r="D4352" t="s">
        <v>67</v>
      </c>
      <c r="E4352" t="s">
        <v>74</v>
      </c>
      <c r="F4352">
        <v>7</v>
      </c>
      <c r="G4352" s="2">
        <v>337.53</v>
      </c>
      <c r="H4352">
        <v>0.28000000000000003</v>
      </c>
      <c r="I4352" t="s">
        <v>71</v>
      </c>
      <c r="J4352">
        <v>4</v>
      </c>
      <c r="K4352">
        <v>3.3</v>
      </c>
      <c r="L4352" s="2">
        <v>1701.15</v>
      </c>
      <c r="M4352">
        <v>2033</v>
      </c>
      <c r="N4352">
        <v>11</v>
      </c>
      <c r="O4352" t="s">
        <v>222</v>
      </c>
      <c r="P4352" s="2">
        <v>2362.71</v>
      </c>
      <c r="Q4352" s="2">
        <v>661.56</v>
      </c>
      <c r="R4352" t="s">
        <v>66</v>
      </c>
      <c r="S4352">
        <v>1</v>
      </c>
      <c r="T4352">
        <v>0</v>
      </c>
      <c r="U4352">
        <f>IF(AND(OR(Dashboard!$D$4="Semua",D4352=Dashboard!$D$4),OR(Dashboard!$H$4="Semua",E4352=Dashboard!$H$4)),1,0)</f>
        <v>1</v>
      </c>
      <c r="V4352">
        <f>IF(U4352=1,IF(COUNTIFS($C$2:C4352,C4352,$U$2:U4352,1)=1,1,0),0)</f>
        <v>0</v>
      </c>
    </row>
    <row r="4353" spans="1:22" x14ac:dyDescent="0.35">
      <c r="A4353">
        <v>14352</v>
      </c>
      <c r="B4353" s="1">
        <v>48913</v>
      </c>
      <c r="C4353">
        <v>1936</v>
      </c>
      <c r="D4353" t="s">
        <v>62</v>
      </c>
      <c r="E4353" t="s">
        <v>70</v>
      </c>
      <c r="F4353">
        <v>4</v>
      </c>
      <c r="G4353" s="2">
        <v>201.74</v>
      </c>
      <c r="H4353">
        <v>0.15</v>
      </c>
      <c r="I4353" t="s">
        <v>68</v>
      </c>
      <c r="J4353">
        <v>8</v>
      </c>
      <c r="K4353">
        <v>2.4</v>
      </c>
      <c r="L4353" s="2">
        <v>685.92</v>
      </c>
      <c r="M4353">
        <v>2033</v>
      </c>
      <c r="N4353">
        <v>11</v>
      </c>
      <c r="O4353" t="s">
        <v>222</v>
      </c>
      <c r="P4353" s="2">
        <v>806.96</v>
      </c>
      <c r="Q4353" s="2">
        <v>121.04</v>
      </c>
      <c r="R4353" t="s">
        <v>79</v>
      </c>
      <c r="S4353">
        <v>1</v>
      </c>
      <c r="T4353">
        <v>0</v>
      </c>
      <c r="U4353">
        <f>IF(AND(OR(Dashboard!$D$4="Semua",D4353=Dashboard!$D$4),OR(Dashboard!$H$4="Semua",E4353=Dashboard!$H$4)),1,0)</f>
        <v>1</v>
      </c>
      <c r="V4353">
        <f>IF(U4353=1,IF(COUNTIFS($C$2:C4353,C4353,$U$2:U4353,1)=1,1,0),0)</f>
        <v>0</v>
      </c>
    </row>
    <row r="4354" spans="1:22" x14ac:dyDescent="0.35">
      <c r="A4354">
        <v>14353</v>
      </c>
      <c r="B4354" s="1">
        <v>48914</v>
      </c>
      <c r="C4354">
        <v>1631</v>
      </c>
      <c r="D4354" t="s">
        <v>73</v>
      </c>
      <c r="E4354" t="s">
        <v>63</v>
      </c>
      <c r="F4354">
        <v>7</v>
      </c>
      <c r="G4354" s="2">
        <v>263.18</v>
      </c>
      <c r="H4354">
        <v>0.04</v>
      </c>
      <c r="I4354" t="s">
        <v>68</v>
      </c>
      <c r="J4354">
        <v>11</v>
      </c>
      <c r="K4354">
        <v>2.5</v>
      </c>
      <c r="L4354" s="2">
        <v>1768.57</v>
      </c>
      <c r="M4354">
        <v>2033</v>
      </c>
      <c r="N4354">
        <v>12</v>
      </c>
      <c r="O4354" t="s">
        <v>223</v>
      </c>
      <c r="P4354" s="2">
        <v>1842.26</v>
      </c>
      <c r="Q4354" s="2">
        <v>73.69</v>
      </c>
      <c r="R4354" t="s">
        <v>75</v>
      </c>
      <c r="S4354">
        <v>1</v>
      </c>
      <c r="T4354">
        <v>0</v>
      </c>
      <c r="U4354">
        <f>IF(AND(OR(Dashboard!$D$4="Semua",D4354=Dashboard!$D$4),OR(Dashboard!$H$4="Semua",E4354=Dashboard!$H$4)),1,0)</f>
        <v>1</v>
      </c>
      <c r="V4354">
        <f>IF(U4354=1,IF(COUNTIFS($C$2:C4354,C4354,$U$2:U4354,1)=1,1,0),0)</f>
        <v>0</v>
      </c>
    </row>
    <row r="4355" spans="1:22" x14ac:dyDescent="0.35">
      <c r="A4355">
        <v>14354</v>
      </c>
      <c r="B4355" s="1">
        <v>48915</v>
      </c>
      <c r="C4355">
        <v>1126</v>
      </c>
      <c r="D4355" t="s">
        <v>73</v>
      </c>
      <c r="E4355" t="s">
        <v>74</v>
      </c>
      <c r="F4355">
        <v>4</v>
      </c>
      <c r="G4355" s="2">
        <v>303.07</v>
      </c>
      <c r="H4355">
        <v>0.33</v>
      </c>
      <c r="I4355" t="s">
        <v>68</v>
      </c>
      <c r="J4355">
        <v>5</v>
      </c>
      <c r="K4355">
        <v>3.3</v>
      </c>
      <c r="L4355" s="2">
        <v>812.23</v>
      </c>
      <c r="M4355">
        <v>2033</v>
      </c>
      <c r="N4355">
        <v>12</v>
      </c>
      <c r="O4355" t="s">
        <v>223</v>
      </c>
      <c r="P4355" s="2">
        <v>1212.28</v>
      </c>
      <c r="Q4355" s="2">
        <v>400.05</v>
      </c>
      <c r="R4355" t="s">
        <v>72</v>
      </c>
      <c r="S4355">
        <v>1</v>
      </c>
      <c r="T4355">
        <v>0</v>
      </c>
      <c r="U4355">
        <f>IF(AND(OR(Dashboard!$D$4="Semua",D4355=Dashboard!$D$4),OR(Dashboard!$H$4="Semua",E4355=Dashboard!$H$4)),1,0)</f>
        <v>1</v>
      </c>
      <c r="V4355">
        <f>IF(U4355=1,IF(COUNTIFS($C$2:C4355,C4355,$U$2:U4355,1)=1,1,0),0)</f>
        <v>0</v>
      </c>
    </row>
    <row r="4356" spans="1:22" x14ac:dyDescent="0.35">
      <c r="A4356">
        <v>14355</v>
      </c>
      <c r="B4356" s="1">
        <v>48916</v>
      </c>
      <c r="C4356">
        <v>1254</v>
      </c>
      <c r="D4356" t="s">
        <v>67</v>
      </c>
      <c r="E4356" t="s">
        <v>63</v>
      </c>
      <c r="F4356">
        <v>1</v>
      </c>
      <c r="G4356" s="2">
        <v>515.97</v>
      </c>
      <c r="H4356">
        <v>0.19</v>
      </c>
      <c r="I4356" t="s">
        <v>71</v>
      </c>
      <c r="J4356">
        <v>9</v>
      </c>
      <c r="K4356">
        <v>4.2</v>
      </c>
      <c r="L4356" s="2">
        <v>417.94</v>
      </c>
      <c r="M4356">
        <v>2033</v>
      </c>
      <c r="N4356">
        <v>12</v>
      </c>
      <c r="O4356" t="s">
        <v>223</v>
      </c>
      <c r="P4356" s="2">
        <v>515.97</v>
      </c>
      <c r="Q4356" s="2">
        <v>98.03</v>
      </c>
      <c r="R4356" t="s">
        <v>76</v>
      </c>
      <c r="S4356">
        <v>1</v>
      </c>
      <c r="T4356">
        <v>0</v>
      </c>
      <c r="U4356">
        <f>IF(AND(OR(Dashboard!$D$4="Semua",D4356=Dashboard!$D$4),OR(Dashboard!$H$4="Semua",E4356=Dashboard!$H$4)),1,0)</f>
        <v>1</v>
      </c>
      <c r="V4356">
        <f>IF(U4356=1,IF(COUNTIFS($C$2:C4356,C4356,$U$2:U4356,1)=1,1,0),0)</f>
        <v>1</v>
      </c>
    </row>
    <row r="4357" spans="1:22" x14ac:dyDescent="0.35">
      <c r="A4357">
        <v>14356</v>
      </c>
      <c r="B4357" s="1">
        <v>48917</v>
      </c>
      <c r="C4357">
        <v>1694</v>
      </c>
      <c r="D4357" t="s">
        <v>67</v>
      </c>
      <c r="E4357" t="s">
        <v>63</v>
      </c>
      <c r="F4357">
        <v>5</v>
      </c>
      <c r="G4357" s="2">
        <v>321.07</v>
      </c>
      <c r="H4357">
        <v>0.22</v>
      </c>
      <c r="I4357" t="s">
        <v>64</v>
      </c>
      <c r="J4357">
        <v>5</v>
      </c>
      <c r="K4357">
        <v>1.5</v>
      </c>
      <c r="L4357" s="2">
        <v>1252.17</v>
      </c>
      <c r="M4357">
        <v>2033</v>
      </c>
      <c r="N4357">
        <v>12</v>
      </c>
      <c r="O4357" t="s">
        <v>223</v>
      </c>
      <c r="P4357" s="2">
        <v>1605.35</v>
      </c>
      <c r="Q4357" s="2">
        <v>353.18</v>
      </c>
      <c r="R4357" t="s">
        <v>77</v>
      </c>
      <c r="S4357">
        <v>1</v>
      </c>
      <c r="T4357">
        <v>0</v>
      </c>
      <c r="U4357">
        <f>IF(AND(OR(Dashboard!$D$4="Semua",D4357=Dashboard!$D$4),OR(Dashboard!$H$4="Semua",E4357=Dashboard!$H$4)),1,0)</f>
        <v>1</v>
      </c>
      <c r="V4357">
        <f>IF(U4357=1,IF(COUNTIFS($C$2:C4357,C4357,$U$2:U4357,1)=1,1,0),0)</f>
        <v>0</v>
      </c>
    </row>
    <row r="4358" spans="1:22" x14ac:dyDescent="0.35">
      <c r="A4358">
        <v>14357</v>
      </c>
      <c r="B4358" s="1">
        <v>48918</v>
      </c>
      <c r="C4358">
        <v>1015</v>
      </c>
      <c r="D4358" t="s">
        <v>73</v>
      </c>
      <c r="E4358" t="s">
        <v>70</v>
      </c>
      <c r="F4358">
        <v>3</v>
      </c>
      <c r="G4358" s="2">
        <v>227.04</v>
      </c>
      <c r="H4358">
        <v>0.33</v>
      </c>
      <c r="I4358" t="s">
        <v>68</v>
      </c>
      <c r="J4358">
        <v>8</v>
      </c>
      <c r="K4358">
        <v>1.2</v>
      </c>
      <c r="L4358" s="2">
        <v>456.35</v>
      </c>
      <c r="M4358">
        <v>2033</v>
      </c>
      <c r="N4358">
        <v>12</v>
      </c>
      <c r="O4358" t="s">
        <v>223</v>
      </c>
      <c r="P4358" s="2">
        <v>681.12</v>
      </c>
      <c r="Q4358" s="2">
        <v>224.77</v>
      </c>
      <c r="R4358" t="s">
        <v>72</v>
      </c>
      <c r="S4358">
        <v>1</v>
      </c>
      <c r="T4358">
        <v>0</v>
      </c>
      <c r="U4358">
        <f>IF(AND(OR(Dashboard!$D$4="Semua",D4358=Dashboard!$D$4),OR(Dashboard!$H$4="Semua",E4358=Dashboard!$H$4)),1,0)</f>
        <v>1</v>
      </c>
      <c r="V4358">
        <f>IF(U4358=1,IF(COUNTIFS($C$2:C4358,C4358,$U$2:U4358,1)=1,1,0),0)</f>
        <v>0</v>
      </c>
    </row>
    <row r="4359" spans="1:22" x14ac:dyDescent="0.35">
      <c r="A4359">
        <v>14358</v>
      </c>
      <c r="B4359" s="1">
        <v>48919</v>
      </c>
      <c r="C4359">
        <v>1476</v>
      </c>
      <c r="D4359" t="s">
        <v>67</v>
      </c>
      <c r="E4359" t="s">
        <v>70</v>
      </c>
      <c r="F4359">
        <v>7</v>
      </c>
      <c r="G4359" s="2">
        <v>159.93</v>
      </c>
      <c r="H4359">
        <v>0.33</v>
      </c>
      <c r="I4359" t="s">
        <v>68</v>
      </c>
      <c r="J4359">
        <v>3</v>
      </c>
      <c r="K4359">
        <v>4.2</v>
      </c>
      <c r="L4359" s="2">
        <v>750.07</v>
      </c>
      <c r="M4359">
        <v>2033</v>
      </c>
      <c r="N4359">
        <v>12</v>
      </c>
      <c r="O4359" t="s">
        <v>223</v>
      </c>
      <c r="P4359" s="2">
        <v>1119.51</v>
      </c>
      <c r="Q4359" s="2">
        <v>369.44</v>
      </c>
      <c r="R4359" t="s">
        <v>72</v>
      </c>
      <c r="S4359">
        <v>1</v>
      </c>
      <c r="T4359">
        <v>0</v>
      </c>
      <c r="U4359">
        <f>IF(AND(OR(Dashboard!$D$4="Semua",D4359=Dashboard!$D$4),OR(Dashboard!$H$4="Semua",E4359=Dashboard!$H$4)),1,0)</f>
        <v>1</v>
      </c>
      <c r="V4359">
        <f>IF(U4359=1,IF(COUNTIFS($C$2:C4359,C4359,$U$2:U4359,1)=1,1,0),0)</f>
        <v>0</v>
      </c>
    </row>
    <row r="4360" spans="1:22" x14ac:dyDescent="0.35">
      <c r="A4360">
        <v>14359</v>
      </c>
      <c r="B4360" s="1">
        <v>48920</v>
      </c>
      <c r="C4360">
        <v>1061</v>
      </c>
      <c r="D4360" t="s">
        <v>67</v>
      </c>
      <c r="E4360" t="s">
        <v>78</v>
      </c>
      <c r="F4360">
        <v>5</v>
      </c>
      <c r="G4360" s="2">
        <v>254.08</v>
      </c>
      <c r="H4360">
        <v>0.2</v>
      </c>
      <c r="I4360" t="s">
        <v>68</v>
      </c>
      <c r="J4360">
        <v>7</v>
      </c>
      <c r="K4360">
        <v>3.6</v>
      </c>
      <c r="L4360" s="2">
        <v>1016.32</v>
      </c>
      <c r="M4360">
        <v>2033</v>
      </c>
      <c r="N4360">
        <v>12</v>
      </c>
      <c r="O4360" t="s">
        <v>223</v>
      </c>
      <c r="P4360" s="2">
        <v>1270.4000000000001</v>
      </c>
      <c r="Q4360" s="2">
        <v>254.08</v>
      </c>
      <c r="R4360" t="s">
        <v>76</v>
      </c>
      <c r="S4360">
        <v>1</v>
      </c>
      <c r="T4360">
        <v>0</v>
      </c>
      <c r="U4360">
        <f>IF(AND(OR(Dashboard!$D$4="Semua",D4360=Dashboard!$D$4),OR(Dashboard!$H$4="Semua",E4360=Dashboard!$H$4)),1,0)</f>
        <v>1</v>
      </c>
      <c r="V4360">
        <f>IF(U4360=1,IF(COUNTIFS($C$2:C4360,C4360,$U$2:U4360,1)=1,1,0),0)</f>
        <v>0</v>
      </c>
    </row>
    <row r="4361" spans="1:22" x14ac:dyDescent="0.35">
      <c r="A4361">
        <v>14360</v>
      </c>
      <c r="B4361" s="1">
        <v>48921</v>
      </c>
      <c r="C4361">
        <v>1880</v>
      </c>
      <c r="D4361" t="s">
        <v>80</v>
      </c>
      <c r="E4361" t="s">
        <v>78</v>
      </c>
      <c r="F4361">
        <v>4</v>
      </c>
      <c r="G4361" s="2">
        <v>316.70999999999998</v>
      </c>
      <c r="H4361">
        <v>0.1</v>
      </c>
      <c r="I4361" t="s">
        <v>68</v>
      </c>
      <c r="J4361">
        <v>1</v>
      </c>
      <c r="K4361">
        <v>4.3</v>
      </c>
      <c r="L4361" s="2">
        <v>1140.1600000000001</v>
      </c>
      <c r="M4361">
        <v>2033</v>
      </c>
      <c r="N4361">
        <v>12</v>
      </c>
      <c r="O4361" t="s">
        <v>223</v>
      </c>
      <c r="P4361" s="2">
        <v>1266.8399999999999</v>
      </c>
      <c r="Q4361" s="2">
        <v>126.68</v>
      </c>
      <c r="R4361" t="s">
        <v>69</v>
      </c>
      <c r="S4361">
        <v>1</v>
      </c>
      <c r="T4361">
        <v>0</v>
      </c>
      <c r="U4361">
        <f>IF(AND(OR(Dashboard!$D$4="Semua",D4361=Dashboard!$D$4),OR(Dashboard!$H$4="Semua",E4361=Dashboard!$H$4)),1,0)</f>
        <v>1</v>
      </c>
      <c r="V4361">
        <f>IF(U4361=1,IF(COUNTIFS($C$2:C4361,C4361,$U$2:U4361,1)=1,1,0),0)</f>
        <v>0</v>
      </c>
    </row>
    <row r="4362" spans="1:22" x14ac:dyDescent="0.35">
      <c r="A4362">
        <v>14361</v>
      </c>
      <c r="B4362" s="1">
        <v>48922</v>
      </c>
      <c r="C4362">
        <v>1431</v>
      </c>
      <c r="D4362" t="s">
        <v>67</v>
      </c>
      <c r="E4362" t="s">
        <v>70</v>
      </c>
      <c r="F4362">
        <v>7</v>
      </c>
      <c r="G4362" s="2">
        <v>451.48</v>
      </c>
      <c r="H4362">
        <v>0.35</v>
      </c>
      <c r="I4362" t="s">
        <v>68</v>
      </c>
      <c r="J4362">
        <v>5</v>
      </c>
      <c r="K4362">
        <v>4.9000000000000004</v>
      </c>
      <c r="L4362" s="2">
        <v>2054.23</v>
      </c>
      <c r="M4362">
        <v>2033</v>
      </c>
      <c r="N4362">
        <v>12</v>
      </c>
      <c r="O4362" t="s">
        <v>223</v>
      </c>
      <c r="P4362" s="2">
        <v>3160.36</v>
      </c>
      <c r="Q4362" s="2">
        <v>1106.1300000000001</v>
      </c>
      <c r="R4362" t="s">
        <v>72</v>
      </c>
      <c r="S4362">
        <v>1</v>
      </c>
      <c r="T4362">
        <v>0</v>
      </c>
      <c r="U4362">
        <f>IF(AND(OR(Dashboard!$D$4="Semua",D4362=Dashboard!$D$4),OR(Dashboard!$H$4="Semua",E4362=Dashboard!$H$4)),1,0)</f>
        <v>1</v>
      </c>
      <c r="V4362">
        <f>IF(U4362=1,IF(COUNTIFS($C$2:C4362,C4362,$U$2:U4362,1)=1,1,0),0)</f>
        <v>0</v>
      </c>
    </row>
    <row r="4363" spans="1:22" x14ac:dyDescent="0.35">
      <c r="A4363">
        <v>14362</v>
      </c>
      <c r="B4363" s="1">
        <v>48923</v>
      </c>
      <c r="C4363">
        <v>1669</v>
      </c>
      <c r="D4363" t="s">
        <v>73</v>
      </c>
      <c r="E4363" t="s">
        <v>74</v>
      </c>
      <c r="F4363">
        <v>2</v>
      </c>
      <c r="G4363" s="2">
        <v>85.81</v>
      </c>
      <c r="H4363">
        <v>0.24</v>
      </c>
      <c r="I4363" t="s">
        <v>64</v>
      </c>
      <c r="J4363">
        <v>2</v>
      </c>
      <c r="K4363">
        <v>2</v>
      </c>
      <c r="L4363" s="2">
        <v>130.43</v>
      </c>
      <c r="M4363">
        <v>2033</v>
      </c>
      <c r="N4363">
        <v>12</v>
      </c>
      <c r="O4363" t="s">
        <v>223</v>
      </c>
      <c r="P4363" s="2">
        <v>171.62</v>
      </c>
      <c r="Q4363" s="2">
        <v>41.19</v>
      </c>
      <c r="R4363" t="s">
        <v>77</v>
      </c>
      <c r="S4363">
        <v>1</v>
      </c>
      <c r="T4363">
        <v>0</v>
      </c>
      <c r="U4363">
        <f>IF(AND(OR(Dashboard!$D$4="Semua",D4363=Dashboard!$D$4),OR(Dashboard!$H$4="Semua",E4363=Dashboard!$H$4)),1,0)</f>
        <v>1</v>
      </c>
      <c r="V4363">
        <f>IF(U4363=1,IF(COUNTIFS($C$2:C4363,C4363,$U$2:U4363,1)=1,1,0),0)</f>
        <v>0</v>
      </c>
    </row>
    <row r="4364" spans="1:22" x14ac:dyDescent="0.35">
      <c r="A4364">
        <v>14363</v>
      </c>
      <c r="B4364" s="1">
        <v>48924</v>
      </c>
      <c r="C4364">
        <v>1267</v>
      </c>
      <c r="D4364" t="s">
        <v>73</v>
      </c>
      <c r="E4364" t="s">
        <v>78</v>
      </c>
      <c r="F4364">
        <v>6</v>
      </c>
      <c r="G4364" s="2">
        <v>144.63999999999999</v>
      </c>
      <c r="H4364">
        <v>0.14000000000000001</v>
      </c>
      <c r="I4364" t="s">
        <v>68</v>
      </c>
      <c r="J4364">
        <v>8</v>
      </c>
      <c r="K4364">
        <v>1.8</v>
      </c>
      <c r="L4364" s="2">
        <v>746.34</v>
      </c>
      <c r="M4364">
        <v>2033</v>
      </c>
      <c r="N4364">
        <v>12</v>
      </c>
      <c r="O4364" t="s">
        <v>223</v>
      </c>
      <c r="P4364" s="2">
        <v>867.84</v>
      </c>
      <c r="Q4364" s="2">
        <v>121.5</v>
      </c>
      <c r="R4364" t="s">
        <v>79</v>
      </c>
      <c r="S4364">
        <v>1</v>
      </c>
      <c r="T4364">
        <v>0</v>
      </c>
      <c r="U4364">
        <f>IF(AND(OR(Dashboard!$D$4="Semua",D4364=Dashboard!$D$4),OR(Dashboard!$H$4="Semua",E4364=Dashboard!$H$4)),1,0)</f>
        <v>1</v>
      </c>
      <c r="V4364">
        <f>IF(U4364=1,IF(COUNTIFS($C$2:C4364,C4364,$U$2:U4364,1)=1,1,0),0)</f>
        <v>0</v>
      </c>
    </row>
    <row r="4365" spans="1:22" x14ac:dyDescent="0.35">
      <c r="A4365">
        <v>14364</v>
      </c>
      <c r="B4365" s="1">
        <v>48925</v>
      </c>
      <c r="C4365">
        <v>1034</v>
      </c>
      <c r="D4365" t="s">
        <v>67</v>
      </c>
      <c r="E4365" t="s">
        <v>63</v>
      </c>
      <c r="F4365">
        <v>2</v>
      </c>
      <c r="G4365" s="2">
        <v>237.1</v>
      </c>
      <c r="H4365">
        <v>0.2</v>
      </c>
      <c r="I4365" t="s">
        <v>71</v>
      </c>
      <c r="J4365">
        <v>6</v>
      </c>
      <c r="K4365">
        <v>2.4</v>
      </c>
      <c r="L4365" s="2">
        <v>379.36</v>
      </c>
      <c r="M4365">
        <v>2033</v>
      </c>
      <c r="N4365">
        <v>12</v>
      </c>
      <c r="O4365" t="s">
        <v>223</v>
      </c>
      <c r="P4365" s="2">
        <v>474.2</v>
      </c>
      <c r="Q4365" s="2">
        <v>94.84</v>
      </c>
      <c r="R4365" t="s">
        <v>76</v>
      </c>
      <c r="S4365">
        <v>1</v>
      </c>
      <c r="T4365">
        <v>0</v>
      </c>
      <c r="U4365">
        <f>IF(AND(OR(Dashboard!$D$4="Semua",D4365=Dashboard!$D$4),OR(Dashboard!$H$4="Semua",E4365=Dashboard!$H$4)),1,0)</f>
        <v>1</v>
      </c>
      <c r="V4365">
        <f>IF(U4365=1,IF(COUNTIFS($C$2:C4365,C4365,$U$2:U4365,1)=1,1,0),0)</f>
        <v>0</v>
      </c>
    </row>
    <row r="4366" spans="1:22" x14ac:dyDescent="0.35">
      <c r="A4366">
        <v>14365</v>
      </c>
      <c r="B4366" s="1">
        <v>48926</v>
      </c>
      <c r="C4366">
        <v>1778</v>
      </c>
      <c r="D4366" t="s">
        <v>73</v>
      </c>
      <c r="E4366" t="s">
        <v>74</v>
      </c>
      <c r="F4366">
        <v>3</v>
      </c>
      <c r="G4366" s="2">
        <v>225.83</v>
      </c>
      <c r="H4366">
        <v>0.15</v>
      </c>
      <c r="I4366" t="s">
        <v>68</v>
      </c>
      <c r="J4366">
        <v>5</v>
      </c>
      <c r="K4366">
        <v>4.5</v>
      </c>
      <c r="L4366" s="2">
        <v>575.87</v>
      </c>
      <c r="M4366">
        <v>2033</v>
      </c>
      <c r="N4366">
        <v>12</v>
      </c>
      <c r="O4366" t="s">
        <v>223</v>
      </c>
      <c r="P4366" s="2">
        <v>677.49</v>
      </c>
      <c r="Q4366" s="2">
        <v>101.62</v>
      </c>
      <c r="R4366" t="s">
        <v>79</v>
      </c>
      <c r="S4366">
        <v>1</v>
      </c>
      <c r="T4366">
        <v>0</v>
      </c>
      <c r="U4366">
        <f>IF(AND(OR(Dashboard!$D$4="Semua",D4366=Dashboard!$D$4),OR(Dashboard!$H$4="Semua",E4366=Dashboard!$H$4)),1,0)</f>
        <v>1</v>
      </c>
      <c r="V4366">
        <f>IF(U4366=1,IF(COUNTIFS($C$2:C4366,C4366,$U$2:U4366,1)=1,1,0),0)</f>
        <v>0</v>
      </c>
    </row>
    <row r="4367" spans="1:22" x14ac:dyDescent="0.35">
      <c r="A4367">
        <v>14366</v>
      </c>
      <c r="B4367" s="1">
        <v>48927</v>
      </c>
      <c r="C4367">
        <v>1575</v>
      </c>
      <c r="D4367" t="s">
        <v>62</v>
      </c>
      <c r="E4367" t="s">
        <v>63</v>
      </c>
      <c r="F4367">
        <v>5</v>
      </c>
      <c r="G4367" s="2">
        <v>244.17</v>
      </c>
      <c r="H4367">
        <v>0.31</v>
      </c>
      <c r="I4367" t="s">
        <v>64</v>
      </c>
      <c r="J4367">
        <v>3</v>
      </c>
      <c r="K4367">
        <v>1.1000000000000001</v>
      </c>
      <c r="L4367" s="2">
        <v>842.39</v>
      </c>
      <c r="M4367">
        <v>2033</v>
      </c>
      <c r="N4367">
        <v>12</v>
      </c>
      <c r="O4367" t="s">
        <v>223</v>
      </c>
      <c r="P4367" s="2">
        <v>1220.8499999999999</v>
      </c>
      <c r="Q4367" s="2">
        <v>378.46</v>
      </c>
      <c r="R4367" t="s">
        <v>72</v>
      </c>
      <c r="S4367">
        <v>1</v>
      </c>
      <c r="T4367">
        <v>0</v>
      </c>
      <c r="U4367">
        <f>IF(AND(OR(Dashboard!$D$4="Semua",D4367=Dashboard!$D$4),OR(Dashboard!$H$4="Semua",E4367=Dashboard!$H$4)),1,0)</f>
        <v>1</v>
      </c>
      <c r="V4367">
        <f>IF(U4367=1,IF(COUNTIFS($C$2:C4367,C4367,$U$2:U4367,1)=1,1,0),0)</f>
        <v>0</v>
      </c>
    </row>
    <row r="4368" spans="1:22" x14ac:dyDescent="0.35">
      <c r="A4368">
        <v>14367</v>
      </c>
      <c r="B4368" s="1">
        <v>48928</v>
      </c>
      <c r="C4368">
        <v>1493</v>
      </c>
      <c r="D4368" t="s">
        <v>67</v>
      </c>
      <c r="E4368" t="s">
        <v>70</v>
      </c>
      <c r="F4368">
        <v>1</v>
      </c>
      <c r="G4368" s="2">
        <v>479.21</v>
      </c>
      <c r="H4368">
        <v>0.17</v>
      </c>
      <c r="I4368" t="s">
        <v>71</v>
      </c>
      <c r="J4368">
        <v>1</v>
      </c>
      <c r="K4368">
        <v>1</v>
      </c>
      <c r="L4368" s="2">
        <v>397.74</v>
      </c>
      <c r="M4368">
        <v>2033</v>
      </c>
      <c r="N4368">
        <v>12</v>
      </c>
      <c r="O4368" t="s">
        <v>223</v>
      </c>
      <c r="P4368" s="2">
        <v>479.21</v>
      </c>
      <c r="Q4368" s="2">
        <v>81.47</v>
      </c>
      <c r="R4368" t="s">
        <v>76</v>
      </c>
      <c r="S4368">
        <v>1</v>
      </c>
      <c r="T4368">
        <v>0</v>
      </c>
      <c r="U4368">
        <f>IF(AND(OR(Dashboard!$D$4="Semua",D4368=Dashboard!$D$4),OR(Dashboard!$H$4="Semua",E4368=Dashboard!$H$4)),1,0)</f>
        <v>1</v>
      </c>
      <c r="V4368">
        <f>IF(U4368=1,IF(COUNTIFS($C$2:C4368,C4368,$U$2:U4368,1)=1,1,0),0)</f>
        <v>0</v>
      </c>
    </row>
    <row r="4369" spans="1:22" x14ac:dyDescent="0.35">
      <c r="A4369">
        <v>14368</v>
      </c>
      <c r="B4369" s="1">
        <v>48929</v>
      </c>
      <c r="C4369">
        <v>1561</v>
      </c>
      <c r="D4369" t="s">
        <v>73</v>
      </c>
      <c r="E4369" t="s">
        <v>63</v>
      </c>
      <c r="F4369">
        <v>5</v>
      </c>
      <c r="G4369" s="2">
        <v>204.63</v>
      </c>
      <c r="H4369">
        <v>0.28999999999999998</v>
      </c>
      <c r="I4369" t="s">
        <v>68</v>
      </c>
      <c r="J4369">
        <v>10</v>
      </c>
      <c r="K4369">
        <v>1.9</v>
      </c>
      <c r="L4369" s="2">
        <v>726.44</v>
      </c>
      <c r="M4369">
        <v>2033</v>
      </c>
      <c r="N4369">
        <v>12</v>
      </c>
      <c r="O4369" t="s">
        <v>223</v>
      </c>
      <c r="P4369" s="2">
        <v>1023.15</v>
      </c>
      <c r="Q4369" s="2">
        <v>296.70999999999998</v>
      </c>
      <c r="R4369" t="s">
        <v>66</v>
      </c>
      <c r="S4369">
        <v>1</v>
      </c>
      <c r="T4369">
        <v>0</v>
      </c>
      <c r="U4369">
        <f>IF(AND(OR(Dashboard!$D$4="Semua",D4369=Dashboard!$D$4),OR(Dashboard!$H$4="Semua",E4369=Dashboard!$H$4)),1,0)</f>
        <v>1</v>
      </c>
      <c r="V4369">
        <f>IF(U4369=1,IF(COUNTIFS($C$2:C4369,C4369,$U$2:U4369,1)=1,1,0),0)</f>
        <v>0</v>
      </c>
    </row>
    <row r="4370" spans="1:22" x14ac:dyDescent="0.35">
      <c r="A4370">
        <v>14369</v>
      </c>
      <c r="B4370" s="1">
        <v>48930</v>
      </c>
      <c r="C4370">
        <v>1468</v>
      </c>
      <c r="D4370" t="s">
        <v>80</v>
      </c>
      <c r="E4370" t="s">
        <v>74</v>
      </c>
      <c r="F4370">
        <v>3</v>
      </c>
      <c r="G4370" s="2">
        <v>308.61</v>
      </c>
      <c r="H4370">
        <v>0.28999999999999998</v>
      </c>
      <c r="I4370" t="s">
        <v>64</v>
      </c>
      <c r="J4370">
        <v>10</v>
      </c>
      <c r="K4370">
        <v>2.5</v>
      </c>
      <c r="L4370" s="2">
        <v>657.34</v>
      </c>
      <c r="M4370">
        <v>2033</v>
      </c>
      <c r="N4370">
        <v>12</v>
      </c>
      <c r="O4370" t="s">
        <v>223</v>
      </c>
      <c r="P4370" s="2">
        <v>925.83</v>
      </c>
      <c r="Q4370" s="2">
        <v>268.49</v>
      </c>
      <c r="R4370" t="s">
        <v>66</v>
      </c>
      <c r="S4370">
        <v>1</v>
      </c>
      <c r="T4370">
        <v>0</v>
      </c>
      <c r="U4370">
        <f>IF(AND(OR(Dashboard!$D$4="Semua",D4370=Dashboard!$D$4),OR(Dashboard!$H$4="Semua",E4370=Dashboard!$H$4)),1,0)</f>
        <v>1</v>
      </c>
      <c r="V4370">
        <f>IF(U4370=1,IF(COUNTIFS($C$2:C4370,C4370,$U$2:U4370,1)=1,1,0),0)</f>
        <v>0</v>
      </c>
    </row>
    <row r="4371" spans="1:22" x14ac:dyDescent="0.35">
      <c r="A4371">
        <v>14370</v>
      </c>
      <c r="B4371" s="1">
        <v>48931</v>
      </c>
      <c r="C4371">
        <v>1766</v>
      </c>
      <c r="D4371" t="s">
        <v>67</v>
      </c>
      <c r="E4371" t="s">
        <v>70</v>
      </c>
      <c r="F4371">
        <v>3</v>
      </c>
      <c r="G4371" s="2">
        <v>379.99</v>
      </c>
      <c r="H4371">
        <v>0.28999999999999998</v>
      </c>
      <c r="I4371" t="s">
        <v>68</v>
      </c>
      <c r="J4371">
        <v>10</v>
      </c>
      <c r="K4371">
        <v>2.2000000000000002</v>
      </c>
      <c r="L4371" s="2">
        <v>809.38</v>
      </c>
      <c r="M4371">
        <v>2033</v>
      </c>
      <c r="N4371">
        <v>12</v>
      </c>
      <c r="O4371" t="s">
        <v>223</v>
      </c>
      <c r="P4371" s="2">
        <v>1139.97</v>
      </c>
      <c r="Q4371" s="2">
        <v>330.59</v>
      </c>
      <c r="R4371" t="s">
        <v>66</v>
      </c>
      <c r="S4371">
        <v>1</v>
      </c>
      <c r="T4371">
        <v>0</v>
      </c>
      <c r="U4371">
        <f>IF(AND(OR(Dashboard!$D$4="Semua",D4371=Dashboard!$D$4),OR(Dashboard!$H$4="Semua",E4371=Dashboard!$H$4)),1,0)</f>
        <v>1</v>
      </c>
      <c r="V4371">
        <f>IF(U4371=1,IF(COUNTIFS($C$2:C4371,C4371,$U$2:U4371,1)=1,1,0),0)</f>
        <v>0</v>
      </c>
    </row>
    <row r="4372" spans="1:22" x14ac:dyDescent="0.35">
      <c r="A4372">
        <v>14371</v>
      </c>
      <c r="B4372" s="1">
        <v>48932</v>
      </c>
      <c r="C4372">
        <v>1660</v>
      </c>
      <c r="D4372" t="s">
        <v>73</v>
      </c>
      <c r="E4372" t="s">
        <v>74</v>
      </c>
      <c r="F4372">
        <v>6</v>
      </c>
      <c r="G4372" s="2">
        <v>150.82</v>
      </c>
      <c r="H4372">
        <v>0.25</v>
      </c>
      <c r="I4372" t="s">
        <v>71</v>
      </c>
      <c r="J4372">
        <v>11</v>
      </c>
      <c r="K4372">
        <v>4.3</v>
      </c>
      <c r="L4372" s="2">
        <v>678.69</v>
      </c>
      <c r="M4372">
        <v>2033</v>
      </c>
      <c r="N4372">
        <v>12</v>
      </c>
      <c r="O4372" t="s">
        <v>223</v>
      </c>
      <c r="P4372" s="2">
        <v>904.92</v>
      </c>
      <c r="Q4372" s="2">
        <v>226.23</v>
      </c>
      <c r="R4372" t="s">
        <v>77</v>
      </c>
      <c r="S4372">
        <v>1</v>
      </c>
      <c r="T4372">
        <v>0</v>
      </c>
      <c r="U4372">
        <f>IF(AND(OR(Dashboard!$D$4="Semua",D4372=Dashboard!$D$4),OR(Dashboard!$H$4="Semua",E4372=Dashboard!$H$4)),1,0)</f>
        <v>1</v>
      </c>
      <c r="V4372">
        <f>IF(U4372=1,IF(COUNTIFS($C$2:C4372,C4372,$U$2:U4372,1)=1,1,0),0)</f>
        <v>0</v>
      </c>
    </row>
    <row r="4373" spans="1:22" x14ac:dyDescent="0.35">
      <c r="A4373">
        <v>14372</v>
      </c>
      <c r="B4373" s="1">
        <v>48933</v>
      </c>
      <c r="C4373">
        <v>1324</v>
      </c>
      <c r="D4373" t="s">
        <v>80</v>
      </c>
      <c r="E4373" t="s">
        <v>63</v>
      </c>
      <c r="F4373">
        <v>3</v>
      </c>
      <c r="G4373" s="2">
        <v>435.44</v>
      </c>
      <c r="H4373">
        <v>0.3</v>
      </c>
      <c r="I4373" t="s">
        <v>64</v>
      </c>
      <c r="J4373">
        <v>10</v>
      </c>
      <c r="K4373">
        <v>3.8</v>
      </c>
      <c r="L4373" s="2">
        <v>914.42</v>
      </c>
      <c r="M4373">
        <v>2033</v>
      </c>
      <c r="N4373">
        <v>12</v>
      </c>
      <c r="O4373" t="s">
        <v>223</v>
      </c>
      <c r="P4373" s="2">
        <v>1306.32</v>
      </c>
      <c r="Q4373" s="2">
        <v>391.9</v>
      </c>
      <c r="R4373" t="s">
        <v>66</v>
      </c>
      <c r="S4373">
        <v>1</v>
      </c>
      <c r="T4373">
        <v>0</v>
      </c>
      <c r="U4373">
        <f>IF(AND(OR(Dashboard!$D$4="Semua",D4373=Dashboard!$D$4),OR(Dashboard!$H$4="Semua",E4373=Dashboard!$H$4)),1,0)</f>
        <v>1</v>
      </c>
      <c r="V4373">
        <f>IF(U4373=1,IF(COUNTIFS($C$2:C4373,C4373,$U$2:U4373,1)=1,1,0),0)</f>
        <v>0</v>
      </c>
    </row>
    <row r="4374" spans="1:22" x14ac:dyDescent="0.35">
      <c r="A4374">
        <v>14373</v>
      </c>
      <c r="B4374" s="1">
        <v>48934</v>
      </c>
      <c r="C4374">
        <v>1303</v>
      </c>
      <c r="D4374" t="s">
        <v>62</v>
      </c>
      <c r="E4374" t="s">
        <v>74</v>
      </c>
      <c r="F4374">
        <v>2</v>
      </c>
      <c r="G4374" s="2">
        <v>335.06</v>
      </c>
      <c r="H4374">
        <v>0.14000000000000001</v>
      </c>
      <c r="I4374" t="s">
        <v>68</v>
      </c>
      <c r="J4374">
        <v>8</v>
      </c>
      <c r="K4374">
        <v>4.4000000000000004</v>
      </c>
      <c r="L4374" s="2">
        <v>576.29999999999995</v>
      </c>
      <c r="M4374">
        <v>2033</v>
      </c>
      <c r="N4374">
        <v>12</v>
      </c>
      <c r="O4374" t="s">
        <v>223</v>
      </c>
      <c r="P4374" s="2">
        <v>670.12</v>
      </c>
      <c r="Q4374" s="2">
        <v>93.82</v>
      </c>
      <c r="R4374" t="s">
        <v>79</v>
      </c>
      <c r="S4374">
        <v>1</v>
      </c>
      <c r="T4374">
        <v>0</v>
      </c>
      <c r="U4374">
        <f>IF(AND(OR(Dashboard!$D$4="Semua",D4374=Dashboard!$D$4),OR(Dashboard!$H$4="Semua",E4374=Dashboard!$H$4)),1,0)</f>
        <v>1</v>
      </c>
      <c r="V4374">
        <f>IF(U4374=1,IF(COUNTIFS($C$2:C4374,C4374,$U$2:U4374,1)=1,1,0),0)</f>
        <v>0</v>
      </c>
    </row>
    <row r="4375" spans="1:22" x14ac:dyDescent="0.35">
      <c r="A4375">
        <v>14374</v>
      </c>
      <c r="B4375" s="1">
        <v>48935</v>
      </c>
      <c r="C4375">
        <v>1275</v>
      </c>
      <c r="D4375" t="s">
        <v>80</v>
      </c>
      <c r="E4375" t="s">
        <v>70</v>
      </c>
      <c r="F4375">
        <v>6</v>
      </c>
      <c r="G4375" s="2">
        <v>276.37</v>
      </c>
      <c r="H4375">
        <v>0.04</v>
      </c>
      <c r="I4375" t="s">
        <v>71</v>
      </c>
      <c r="J4375">
        <v>11</v>
      </c>
      <c r="K4375">
        <v>2.5</v>
      </c>
      <c r="L4375" s="2">
        <v>1591.89</v>
      </c>
      <c r="M4375">
        <v>2033</v>
      </c>
      <c r="N4375">
        <v>12</v>
      </c>
      <c r="O4375" t="s">
        <v>223</v>
      </c>
      <c r="P4375" s="2">
        <v>1658.22</v>
      </c>
      <c r="Q4375" s="2">
        <v>66.33</v>
      </c>
      <c r="R4375" t="s">
        <v>75</v>
      </c>
      <c r="S4375">
        <v>1</v>
      </c>
      <c r="T4375">
        <v>0</v>
      </c>
      <c r="U4375">
        <f>IF(AND(OR(Dashboard!$D$4="Semua",D4375=Dashboard!$D$4),OR(Dashboard!$H$4="Semua",E4375=Dashboard!$H$4)),1,0)</f>
        <v>1</v>
      </c>
      <c r="V4375">
        <f>IF(U4375=1,IF(COUNTIFS($C$2:C4375,C4375,$U$2:U4375,1)=1,1,0),0)</f>
        <v>0</v>
      </c>
    </row>
    <row r="4376" spans="1:22" x14ac:dyDescent="0.35">
      <c r="A4376">
        <v>14375</v>
      </c>
      <c r="B4376" s="1">
        <v>48936</v>
      </c>
      <c r="C4376">
        <v>1868</v>
      </c>
      <c r="D4376" t="s">
        <v>73</v>
      </c>
      <c r="E4376" t="s">
        <v>63</v>
      </c>
      <c r="F4376">
        <v>5</v>
      </c>
      <c r="G4376" s="2">
        <v>488.72</v>
      </c>
      <c r="H4376">
        <v>0.28999999999999998</v>
      </c>
      <c r="I4376" t="s">
        <v>64</v>
      </c>
      <c r="J4376">
        <v>5</v>
      </c>
      <c r="K4376">
        <v>3.4</v>
      </c>
      <c r="L4376" s="2">
        <v>1734.96</v>
      </c>
      <c r="M4376">
        <v>2033</v>
      </c>
      <c r="N4376">
        <v>12</v>
      </c>
      <c r="O4376" t="s">
        <v>223</v>
      </c>
      <c r="P4376" s="2">
        <v>2443.6</v>
      </c>
      <c r="Q4376" s="2">
        <v>708.64</v>
      </c>
      <c r="R4376" t="s">
        <v>66</v>
      </c>
      <c r="S4376">
        <v>1</v>
      </c>
      <c r="T4376">
        <v>0</v>
      </c>
      <c r="U4376">
        <f>IF(AND(OR(Dashboard!$D$4="Semua",D4376=Dashboard!$D$4),OR(Dashboard!$H$4="Semua",E4376=Dashboard!$H$4)),1,0)</f>
        <v>1</v>
      </c>
      <c r="V4376">
        <f>IF(U4376=1,IF(COUNTIFS($C$2:C4376,C4376,$U$2:U4376,1)=1,1,0),0)</f>
        <v>0</v>
      </c>
    </row>
    <row r="4377" spans="1:22" x14ac:dyDescent="0.35">
      <c r="A4377">
        <v>14376</v>
      </c>
      <c r="B4377" s="1">
        <v>48937</v>
      </c>
      <c r="C4377">
        <v>1962</v>
      </c>
      <c r="D4377" t="s">
        <v>67</v>
      </c>
      <c r="E4377" t="s">
        <v>63</v>
      </c>
      <c r="F4377">
        <v>7</v>
      </c>
      <c r="G4377" s="2">
        <v>157.44</v>
      </c>
      <c r="H4377">
        <v>0.17</v>
      </c>
      <c r="I4377" t="s">
        <v>64</v>
      </c>
      <c r="J4377">
        <v>9</v>
      </c>
      <c r="K4377">
        <v>3.1</v>
      </c>
      <c r="L4377" s="2">
        <v>914.73</v>
      </c>
      <c r="M4377">
        <v>2033</v>
      </c>
      <c r="N4377">
        <v>12</v>
      </c>
      <c r="O4377" t="s">
        <v>223</v>
      </c>
      <c r="P4377" s="2">
        <v>1102.08</v>
      </c>
      <c r="Q4377" s="2">
        <v>187.35</v>
      </c>
      <c r="R4377" t="s">
        <v>76</v>
      </c>
      <c r="S4377">
        <v>1</v>
      </c>
      <c r="T4377">
        <v>0</v>
      </c>
      <c r="U4377">
        <f>IF(AND(OR(Dashboard!$D$4="Semua",D4377=Dashboard!$D$4),OR(Dashboard!$H$4="Semua",E4377=Dashboard!$H$4)),1,0)</f>
        <v>1</v>
      </c>
      <c r="V4377">
        <f>IF(U4377=1,IF(COUNTIFS($C$2:C4377,C4377,$U$2:U4377,1)=1,1,0),0)</f>
        <v>0</v>
      </c>
    </row>
    <row r="4378" spans="1:22" x14ac:dyDescent="0.35">
      <c r="A4378">
        <v>14377</v>
      </c>
      <c r="B4378" s="1">
        <v>48938</v>
      </c>
      <c r="C4378">
        <v>1683</v>
      </c>
      <c r="D4378" t="s">
        <v>80</v>
      </c>
      <c r="E4378" t="s">
        <v>78</v>
      </c>
      <c r="F4378">
        <v>5</v>
      </c>
      <c r="G4378" s="2">
        <v>531.66</v>
      </c>
      <c r="H4378">
        <v>0.04</v>
      </c>
      <c r="I4378" t="s">
        <v>71</v>
      </c>
      <c r="J4378">
        <v>11</v>
      </c>
      <c r="K4378">
        <v>2.9</v>
      </c>
      <c r="L4378" s="2">
        <v>2551.9699999999998</v>
      </c>
      <c r="M4378">
        <v>2033</v>
      </c>
      <c r="N4378">
        <v>12</v>
      </c>
      <c r="O4378" t="s">
        <v>223</v>
      </c>
      <c r="P4378" s="2">
        <v>2658.3</v>
      </c>
      <c r="Q4378" s="2">
        <v>106.33</v>
      </c>
      <c r="R4378" t="s">
        <v>75</v>
      </c>
      <c r="S4378">
        <v>1</v>
      </c>
      <c r="T4378">
        <v>0</v>
      </c>
      <c r="U4378">
        <f>IF(AND(OR(Dashboard!$D$4="Semua",D4378=Dashboard!$D$4),OR(Dashboard!$H$4="Semua",E4378=Dashboard!$H$4)),1,0)</f>
        <v>1</v>
      </c>
      <c r="V4378">
        <f>IF(U4378=1,IF(COUNTIFS($C$2:C4378,C4378,$U$2:U4378,1)=1,1,0),0)</f>
        <v>0</v>
      </c>
    </row>
    <row r="4379" spans="1:22" x14ac:dyDescent="0.35">
      <c r="A4379">
        <v>14378</v>
      </c>
      <c r="B4379" s="1">
        <v>48939</v>
      </c>
      <c r="C4379">
        <v>1928</v>
      </c>
      <c r="D4379" t="s">
        <v>73</v>
      </c>
      <c r="E4379" t="s">
        <v>78</v>
      </c>
      <c r="F4379">
        <v>1</v>
      </c>
      <c r="G4379" s="2">
        <v>343.21</v>
      </c>
      <c r="H4379">
        <v>0.04</v>
      </c>
      <c r="I4379" t="s">
        <v>68</v>
      </c>
      <c r="J4379">
        <v>7</v>
      </c>
      <c r="K4379">
        <v>2.2000000000000002</v>
      </c>
      <c r="L4379" s="2">
        <v>329.48</v>
      </c>
      <c r="M4379">
        <v>2033</v>
      </c>
      <c r="N4379">
        <v>12</v>
      </c>
      <c r="O4379" t="s">
        <v>223</v>
      </c>
      <c r="P4379" s="2">
        <v>343.21</v>
      </c>
      <c r="Q4379" s="2">
        <v>13.73</v>
      </c>
      <c r="R4379" t="s">
        <v>75</v>
      </c>
      <c r="S4379">
        <v>1</v>
      </c>
      <c r="T4379">
        <v>0</v>
      </c>
      <c r="U4379">
        <f>IF(AND(OR(Dashboard!$D$4="Semua",D4379=Dashboard!$D$4),OR(Dashboard!$H$4="Semua",E4379=Dashboard!$H$4)),1,0)</f>
        <v>1</v>
      </c>
      <c r="V4379">
        <f>IF(U4379=1,IF(COUNTIFS($C$2:C4379,C4379,$U$2:U4379,1)=1,1,0),0)</f>
        <v>0</v>
      </c>
    </row>
    <row r="4380" spans="1:22" x14ac:dyDescent="0.35">
      <c r="A4380">
        <v>14379</v>
      </c>
      <c r="B4380" s="1">
        <v>48940</v>
      </c>
      <c r="C4380">
        <v>1200</v>
      </c>
      <c r="D4380" t="s">
        <v>73</v>
      </c>
      <c r="E4380" t="s">
        <v>74</v>
      </c>
      <c r="F4380">
        <v>3</v>
      </c>
      <c r="G4380" s="2">
        <v>371.37</v>
      </c>
      <c r="H4380">
        <v>0.06</v>
      </c>
      <c r="I4380" t="s">
        <v>71</v>
      </c>
      <c r="J4380">
        <v>1</v>
      </c>
      <c r="K4380">
        <v>3.8</v>
      </c>
      <c r="L4380" s="2">
        <v>1047.26</v>
      </c>
      <c r="M4380">
        <v>2033</v>
      </c>
      <c r="N4380">
        <v>12</v>
      </c>
      <c r="O4380" t="s">
        <v>223</v>
      </c>
      <c r="P4380" s="2">
        <v>1114.1099999999999</v>
      </c>
      <c r="Q4380" s="2">
        <v>66.849999999999994</v>
      </c>
      <c r="R4380" t="s">
        <v>69</v>
      </c>
      <c r="S4380">
        <v>1</v>
      </c>
      <c r="T4380">
        <v>0</v>
      </c>
      <c r="U4380">
        <f>IF(AND(OR(Dashboard!$D$4="Semua",D4380=Dashboard!$D$4),OR(Dashboard!$H$4="Semua",E4380=Dashboard!$H$4)),1,0)</f>
        <v>1</v>
      </c>
      <c r="V4380">
        <f>IF(U4380=1,IF(COUNTIFS($C$2:C4380,C4380,$U$2:U4380,1)=1,1,0),0)</f>
        <v>0</v>
      </c>
    </row>
    <row r="4381" spans="1:22" x14ac:dyDescent="0.35">
      <c r="A4381">
        <v>14380</v>
      </c>
      <c r="B4381" s="1">
        <v>48941</v>
      </c>
      <c r="C4381">
        <v>1444</v>
      </c>
      <c r="D4381" t="s">
        <v>62</v>
      </c>
      <c r="E4381" t="s">
        <v>78</v>
      </c>
      <c r="F4381">
        <v>3</v>
      </c>
      <c r="G4381" s="2">
        <v>526.91</v>
      </c>
      <c r="H4381">
        <v>0.26</v>
      </c>
      <c r="I4381" t="s">
        <v>71</v>
      </c>
      <c r="J4381">
        <v>11</v>
      </c>
      <c r="K4381">
        <v>3.1</v>
      </c>
      <c r="L4381" s="2">
        <v>1169.74</v>
      </c>
      <c r="M4381">
        <v>2033</v>
      </c>
      <c r="N4381">
        <v>12</v>
      </c>
      <c r="O4381" t="s">
        <v>223</v>
      </c>
      <c r="P4381" s="2">
        <v>1580.73</v>
      </c>
      <c r="Q4381" s="2">
        <v>410.99</v>
      </c>
      <c r="R4381" t="s">
        <v>66</v>
      </c>
      <c r="S4381">
        <v>1</v>
      </c>
      <c r="T4381">
        <v>0</v>
      </c>
      <c r="U4381">
        <f>IF(AND(OR(Dashboard!$D$4="Semua",D4381=Dashboard!$D$4),OR(Dashboard!$H$4="Semua",E4381=Dashboard!$H$4)),1,0)</f>
        <v>1</v>
      </c>
      <c r="V4381">
        <f>IF(U4381=1,IF(COUNTIFS($C$2:C4381,C4381,$U$2:U4381,1)=1,1,0),0)</f>
        <v>0</v>
      </c>
    </row>
    <row r="4382" spans="1:22" x14ac:dyDescent="0.35">
      <c r="A4382">
        <v>14381</v>
      </c>
      <c r="B4382" s="1">
        <v>48942</v>
      </c>
      <c r="C4382">
        <v>1904</v>
      </c>
      <c r="D4382" t="s">
        <v>73</v>
      </c>
      <c r="E4382" t="s">
        <v>78</v>
      </c>
      <c r="F4382">
        <v>4</v>
      </c>
      <c r="G4382" s="2">
        <v>493.29</v>
      </c>
      <c r="H4382">
        <v>0.25</v>
      </c>
      <c r="I4382" t="s">
        <v>71</v>
      </c>
      <c r="J4382">
        <v>1</v>
      </c>
      <c r="K4382">
        <v>1.3</v>
      </c>
      <c r="L4382" s="2">
        <v>1479.87</v>
      </c>
      <c r="M4382">
        <v>2033</v>
      </c>
      <c r="N4382">
        <v>12</v>
      </c>
      <c r="O4382" t="s">
        <v>223</v>
      </c>
      <c r="P4382" s="2">
        <v>1973.16</v>
      </c>
      <c r="Q4382" s="2">
        <v>493.29</v>
      </c>
      <c r="R4382" t="s">
        <v>77</v>
      </c>
      <c r="S4382">
        <v>1</v>
      </c>
      <c r="T4382">
        <v>0</v>
      </c>
      <c r="U4382">
        <f>IF(AND(OR(Dashboard!$D$4="Semua",D4382=Dashboard!$D$4),OR(Dashboard!$H$4="Semua",E4382=Dashboard!$H$4)),1,0)</f>
        <v>1</v>
      </c>
      <c r="V4382">
        <f>IF(U4382=1,IF(COUNTIFS($C$2:C4382,C4382,$U$2:U4382,1)=1,1,0),0)</f>
        <v>0</v>
      </c>
    </row>
    <row r="4383" spans="1:22" x14ac:dyDescent="0.35">
      <c r="A4383">
        <v>14382</v>
      </c>
      <c r="B4383" s="1">
        <v>48943</v>
      </c>
      <c r="C4383">
        <v>1323</v>
      </c>
      <c r="D4383" t="s">
        <v>80</v>
      </c>
      <c r="E4383" t="s">
        <v>78</v>
      </c>
      <c r="F4383">
        <v>6</v>
      </c>
      <c r="G4383" s="2">
        <v>366.91</v>
      </c>
      <c r="H4383">
        <v>7.0000000000000007E-2</v>
      </c>
      <c r="I4383" t="s">
        <v>64</v>
      </c>
      <c r="J4383">
        <v>7</v>
      </c>
      <c r="K4383">
        <v>1</v>
      </c>
      <c r="L4383" s="2">
        <v>2047.36</v>
      </c>
      <c r="M4383">
        <v>2033</v>
      </c>
      <c r="N4383">
        <v>12</v>
      </c>
      <c r="O4383" t="s">
        <v>223</v>
      </c>
      <c r="P4383" s="2">
        <v>2201.46</v>
      </c>
      <c r="Q4383" s="2">
        <v>154.1</v>
      </c>
      <c r="R4383" t="s">
        <v>69</v>
      </c>
      <c r="S4383">
        <v>1</v>
      </c>
      <c r="T4383">
        <v>0</v>
      </c>
      <c r="U4383">
        <f>IF(AND(OR(Dashboard!$D$4="Semua",D4383=Dashboard!$D$4),OR(Dashboard!$H$4="Semua",E4383=Dashboard!$H$4)),1,0)</f>
        <v>1</v>
      </c>
      <c r="V4383">
        <f>IF(U4383=1,IF(COUNTIFS($C$2:C4383,C4383,$U$2:U4383,1)=1,1,0),0)</f>
        <v>0</v>
      </c>
    </row>
    <row r="4384" spans="1:22" x14ac:dyDescent="0.35">
      <c r="A4384">
        <v>14383</v>
      </c>
      <c r="B4384" s="1">
        <v>48944</v>
      </c>
      <c r="C4384">
        <v>1034</v>
      </c>
      <c r="D4384" t="s">
        <v>67</v>
      </c>
      <c r="E4384" t="s">
        <v>78</v>
      </c>
      <c r="F4384">
        <v>4</v>
      </c>
      <c r="G4384" s="2">
        <v>455.61</v>
      </c>
      <c r="H4384">
        <v>0.3</v>
      </c>
      <c r="I4384" t="s">
        <v>68</v>
      </c>
      <c r="J4384">
        <v>11</v>
      </c>
      <c r="K4384">
        <v>1.1000000000000001</v>
      </c>
      <c r="L4384" s="2">
        <v>1275.71</v>
      </c>
      <c r="M4384">
        <v>2033</v>
      </c>
      <c r="N4384">
        <v>12</v>
      </c>
      <c r="O4384" t="s">
        <v>223</v>
      </c>
      <c r="P4384" s="2">
        <v>1822.44</v>
      </c>
      <c r="Q4384" s="2">
        <v>546.73</v>
      </c>
      <c r="R4384" t="s">
        <v>66</v>
      </c>
      <c r="S4384">
        <v>1</v>
      </c>
      <c r="T4384">
        <v>0</v>
      </c>
      <c r="U4384">
        <f>IF(AND(OR(Dashboard!$D$4="Semua",D4384=Dashboard!$D$4),OR(Dashboard!$H$4="Semua",E4384=Dashboard!$H$4)),1,0)</f>
        <v>1</v>
      </c>
      <c r="V4384">
        <f>IF(U4384=1,IF(COUNTIFS($C$2:C4384,C4384,$U$2:U4384,1)=1,1,0),0)</f>
        <v>0</v>
      </c>
    </row>
    <row r="4385" spans="1:22" x14ac:dyDescent="0.35">
      <c r="A4385">
        <v>14384</v>
      </c>
      <c r="B4385" s="1">
        <v>48945</v>
      </c>
      <c r="C4385">
        <v>1976</v>
      </c>
      <c r="D4385" t="s">
        <v>67</v>
      </c>
      <c r="E4385" t="s">
        <v>70</v>
      </c>
      <c r="F4385">
        <v>6</v>
      </c>
      <c r="G4385" s="2">
        <v>268.49</v>
      </c>
      <c r="H4385">
        <v>0.1</v>
      </c>
      <c r="I4385" t="s">
        <v>68</v>
      </c>
      <c r="J4385">
        <v>7</v>
      </c>
      <c r="K4385">
        <v>1.3</v>
      </c>
      <c r="L4385" s="2">
        <v>1449.85</v>
      </c>
      <c r="M4385">
        <v>2034</v>
      </c>
      <c r="N4385">
        <v>1</v>
      </c>
      <c r="O4385" t="s">
        <v>224</v>
      </c>
      <c r="P4385" s="2">
        <v>1610.94</v>
      </c>
      <c r="Q4385" s="2">
        <v>161.09</v>
      </c>
      <c r="R4385" t="s">
        <v>69</v>
      </c>
      <c r="S4385">
        <v>1</v>
      </c>
      <c r="T4385">
        <v>0</v>
      </c>
      <c r="U4385">
        <f>IF(AND(OR(Dashboard!$D$4="Semua",D4385=Dashboard!$D$4),OR(Dashboard!$H$4="Semua",E4385=Dashboard!$H$4)),1,0)</f>
        <v>1</v>
      </c>
      <c r="V4385">
        <f>IF(U4385=1,IF(COUNTIFS($C$2:C4385,C4385,$U$2:U4385,1)=1,1,0),0)</f>
        <v>0</v>
      </c>
    </row>
    <row r="4386" spans="1:22" x14ac:dyDescent="0.35">
      <c r="A4386">
        <v>14385</v>
      </c>
      <c r="B4386" s="1">
        <v>48946</v>
      </c>
      <c r="C4386">
        <v>1481</v>
      </c>
      <c r="D4386" t="s">
        <v>73</v>
      </c>
      <c r="E4386" t="s">
        <v>70</v>
      </c>
      <c r="F4386">
        <v>2</v>
      </c>
      <c r="G4386" s="2">
        <v>335.22</v>
      </c>
      <c r="H4386">
        <v>0.28000000000000003</v>
      </c>
      <c r="I4386" t="s">
        <v>71</v>
      </c>
      <c r="J4386">
        <v>9</v>
      </c>
      <c r="K4386">
        <v>2.5</v>
      </c>
      <c r="L4386" s="2">
        <v>482.72</v>
      </c>
      <c r="M4386">
        <v>2034</v>
      </c>
      <c r="N4386">
        <v>1</v>
      </c>
      <c r="O4386" t="s">
        <v>224</v>
      </c>
      <c r="P4386" s="2">
        <v>670.44</v>
      </c>
      <c r="Q4386" s="2">
        <v>187.72</v>
      </c>
      <c r="R4386" t="s">
        <v>66</v>
      </c>
      <c r="S4386">
        <v>1</v>
      </c>
      <c r="T4386">
        <v>0</v>
      </c>
      <c r="U4386">
        <f>IF(AND(OR(Dashboard!$D$4="Semua",D4386=Dashboard!$D$4),OR(Dashboard!$H$4="Semua",E4386=Dashboard!$H$4)),1,0)</f>
        <v>1</v>
      </c>
      <c r="V4386">
        <f>IF(U4386=1,IF(COUNTIFS($C$2:C4386,C4386,$U$2:U4386,1)=1,1,0),0)</f>
        <v>0</v>
      </c>
    </row>
    <row r="4387" spans="1:22" x14ac:dyDescent="0.35">
      <c r="A4387">
        <v>14386</v>
      </c>
      <c r="B4387" s="1">
        <v>48947</v>
      </c>
      <c r="C4387">
        <v>1727</v>
      </c>
      <c r="D4387" t="s">
        <v>80</v>
      </c>
      <c r="E4387" t="s">
        <v>78</v>
      </c>
      <c r="F4387">
        <v>6</v>
      </c>
      <c r="G4387" s="2">
        <v>51.31</v>
      </c>
      <c r="H4387">
        <v>0.17</v>
      </c>
      <c r="I4387" t="s">
        <v>64</v>
      </c>
      <c r="J4387">
        <v>2</v>
      </c>
      <c r="K4387">
        <v>2.2000000000000002</v>
      </c>
      <c r="L4387" s="2">
        <v>255.52</v>
      </c>
      <c r="M4387">
        <v>2034</v>
      </c>
      <c r="N4387">
        <v>1</v>
      </c>
      <c r="O4387" t="s">
        <v>224</v>
      </c>
      <c r="P4387" s="2">
        <v>307.86</v>
      </c>
      <c r="Q4387" s="2">
        <v>52.34</v>
      </c>
      <c r="R4387" t="s">
        <v>76</v>
      </c>
      <c r="S4387">
        <v>1</v>
      </c>
      <c r="T4387">
        <v>0</v>
      </c>
      <c r="U4387">
        <f>IF(AND(OR(Dashboard!$D$4="Semua",D4387=Dashboard!$D$4),OR(Dashboard!$H$4="Semua",E4387=Dashboard!$H$4)),1,0)</f>
        <v>1</v>
      </c>
      <c r="V4387">
        <f>IF(U4387=1,IF(COUNTIFS($C$2:C4387,C4387,$U$2:U4387,1)=1,1,0),0)</f>
        <v>0</v>
      </c>
    </row>
    <row r="4388" spans="1:22" x14ac:dyDescent="0.35">
      <c r="A4388">
        <v>14387</v>
      </c>
      <c r="B4388" s="1">
        <v>48948</v>
      </c>
      <c r="C4388">
        <v>1479</v>
      </c>
      <c r="D4388" t="s">
        <v>67</v>
      </c>
      <c r="E4388" t="s">
        <v>74</v>
      </c>
      <c r="F4388">
        <v>5</v>
      </c>
      <c r="G4388" s="2">
        <v>67.569999999999993</v>
      </c>
      <c r="H4388">
        <v>0.26</v>
      </c>
      <c r="I4388" t="s">
        <v>71</v>
      </c>
      <c r="J4388">
        <v>7</v>
      </c>
      <c r="K4388">
        <v>1.6</v>
      </c>
      <c r="L4388" s="2">
        <v>250.01</v>
      </c>
      <c r="M4388">
        <v>2034</v>
      </c>
      <c r="N4388">
        <v>1</v>
      </c>
      <c r="O4388" t="s">
        <v>224</v>
      </c>
      <c r="P4388" s="2">
        <v>337.85</v>
      </c>
      <c r="Q4388" s="2">
        <v>87.84</v>
      </c>
      <c r="R4388" t="s">
        <v>66</v>
      </c>
      <c r="S4388">
        <v>1</v>
      </c>
      <c r="T4388">
        <v>0</v>
      </c>
      <c r="U4388">
        <f>IF(AND(OR(Dashboard!$D$4="Semua",D4388=Dashboard!$D$4),OR(Dashboard!$H$4="Semua",E4388=Dashboard!$H$4)),1,0)</f>
        <v>1</v>
      </c>
      <c r="V4388">
        <f>IF(U4388=1,IF(COUNTIFS($C$2:C4388,C4388,$U$2:U4388,1)=1,1,0),0)</f>
        <v>1</v>
      </c>
    </row>
    <row r="4389" spans="1:22" x14ac:dyDescent="0.35">
      <c r="A4389">
        <v>14388</v>
      </c>
      <c r="B4389" s="1">
        <v>48949</v>
      </c>
      <c r="C4389">
        <v>1064</v>
      </c>
      <c r="D4389" t="s">
        <v>67</v>
      </c>
      <c r="E4389" t="s">
        <v>70</v>
      </c>
      <c r="F4389">
        <v>1</v>
      </c>
      <c r="G4389" s="2">
        <v>500.21</v>
      </c>
      <c r="H4389">
        <v>0.13</v>
      </c>
      <c r="I4389" t="s">
        <v>64</v>
      </c>
      <c r="J4389">
        <v>2</v>
      </c>
      <c r="K4389">
        <v>3.1</v>
      </c>
      <c r="L4389" s="2">
        <v>435.18</v>
      </c>
      <c r="M4389">
        <v>2034</v>
      </c>
      <c r="N4389">
        <v>1</v>
      </c>
      <c r="O4389" t="s">
        <v>224</v>
      </c>
      <c r="P4389" s="2">
        <v>500.21</v>
      </c>
      <c r="Q4389" s="2">
        <v>65.03</v>
      </c>
      <c r="R4389" t="s">
        <v>79</v>
      </c>
      <c r="S4389">
        <v>1</v>
      </c>
      <c r="T4389">
        <v>0</v>
      </c>
      <c r="U4389">
        <f>IF(AND(OR(Dashboard!$D$4="Semua",D4389=Dashboard!$D$4),OR(Dashboard!$H$4="Semua",E4389=Dashboard!$H$4)),1,0)</f>
        <v>1</v>
      </c>
      <c r="V4389">
        <f>IF(U4389=1,IF(COUNTIFS($C$2:C4389,C4389,$U$2:U4389,1)=1,1,0),0)</f>
        <v>0</v>
      </c>
    </row>
    <row r="4390" spans="1:22" x14ac:dyDescent="0.35">
      <c r="A4390">
        <v>14389</v>
      </c>
      <c r="B4390" s="1">
        <v>48950</v>
      </c>
      <c r="C4390">
        <v>1007</v>
      </c>
      <c r="D4390" t="s">
        <v>80</v>
      </c>
      <c r="E4390" t="s">
        <v>78</v>
      </c>
      <c r="F4390">
        <v>7</v>
      </c>
      <c r="G4390" s="2">
        <v>49.91</v>
      </c>
      <c r="H4390">
        <v>0.12</v>
      </c>
      <c r="I4390" t="s">
        <v>64</v>
      </c>
      <c r="J4390">
        <v>10</v>
      </c>
      <c r="K4390">
        <v>4.9000000000000004</v>
      </c>
      <c r="L4390" s="2">
        <v>307.45</v>
      </c>
      <c r="M4390">
        <v>2034</v>
      </c>
      <c r="N4390">
        <v>1</v>
      </c>
      <c r="O4390" t="s">
        <v>224</v>
      </c>
      <c r="P4390" s="2">
        <v>349.37</v>
      </c>
      <c r="Q4390" s="2">
        <v>41.92</v>
      </c>
      <c r="R4390" t="s">
        <v>79</v>
      </c>
      <c r="S4390">
        <v>1</v>
      </c>
      <c r="T4390">
        <v>0</v>
      </c>
      <c r="U4390">
        <f>IF(AND(OR(Dashboard!$D$4="Semua",D4390=Dashboard!$D$4),OR(Dashboard!$H$4="Semua",E4390=Dashboard!$H$4)),1,0)</f>
        <v>1</v>
      </c>
      <c r="V4390">
        <f>IF(U4390=1,IF(COUNTIFS($C$2:C4390,C4390,$U$2:U4390,1)=1,1,0),0)</f>
        <v>0</v>
      </c>
    </row>
    <row r="4391" spans="1:22" x14ac:dyDescent="0.35">
      <c r="A4391">
        <v>14390</v>
      </c>
      <c r="B4391" s="1">
        <v>48951</v>
      </c>
      <c r="C4391">
        <v>1300</v>
      </c>
      <c r="D4391" t="s">
        <v>80</v>
      </c>
      <c r="E4391" t="s">
        <v>70</v>
      </c>
      <c r="F4391">
        <v>6</v>
      </c>
      <c r="G4391" s="2">
        <v>114.1</v>
      </c>
      <c r="H4391">
        <v>0.28999999999999998</v>
      </c>
      <c r="I4391" t="s">
        <v>64</v>
      </c>
      <c r="J4391">
        <v>10</v>
      </c>
      <c r="K4391">
        <v>1.6</v>
      </c>
      <c r="L4391" s="2">
        <v>486.07</v>
      </c>
      <c r="M4391">
        <v>2034</v>
      </c>
      <c r="N4391">
        <v>1</v>
      </c>
      <c r="O4391" t="s">
        <v>224</v>
      </c>
      <c r="P4391" s="2">
        <v>684.6</v>
      </c>
      <c r="Q4391" s="2">
        <v>198.53</v>
      </c>
      <c r="R4391" t="s">
        <v>66</v>
      </c>
      <c r="S4391">
        <v>1</v>
      </c>
      <c r="T4391">
        <v>0</v>
      </c>
      <c r="U4391">
        <f>IF(AND(OR(Dashboard!$D$4="Semua",D4391=Dashboard!$D$4),OR(Dashboard!$H$4="Semua",E4391=Dashboard!$H$4)),1,0)</f>
        <v>1</v>
      </c>
      <c r="V4391">
        <f>IF(U4391=1,IF(COUNTIFS($C$2:C4391,C4391,$U$2:U4391,1)=1,1,0),0)</f>
        <v>0</v>
      </c>
    </row>
    <row r="4392" spans="1:22" x14ac:dyDescent="0.35">
      <c r="A4392">
        <v>14391</v>
      </c>
      <c r="B4392" s="1">
        <v>48952</v>
      </c>
      <c r="C4392">
        <v>1342</v>
      </c>
      <c r="D4392" t="s">
        <v>62</v>
      </c>
      <c r="E4392" t="s">
        <v>63</v>
      </c>
      <c r="F4392">
        <v>6</v>
      </c>
      <c r="G4392" s="2">
        <v>480.56</v>
      </c>
      <c r="H4392">
        <v>0.01</v>
      </c>
      <c r="I4392" t="s">
        <v>64</v>
      </c>
      <c r="J4392">
        <v>2</v>
      </c>
      <c r="K4392">
        <v>2</v>
      </c>
      <c r="L4392" s="2">
        <v>2854.53</v>
      </c>
      <c r="M4392">
        <v>2034</v>
      </c>
      <c r="N4392">
        <v>1</v>
      </c>
      <c r="O4392" t="s">
        <v>224</v>
      </c>
      <c r="P4392" s="2">
        <v>2883.36</v>
      </c>
      <c r="Q4392" s="2">
        <v>28.83</v>
      </c>
      <c r="R4392" t="s">
        <v>75</v>
      </c>
      <c r="S4392">
        <v>1</v>
      </c>
      <c r="T4392">
        <v>0</v>
      </c>
      <c r="U4392">
        <f>IF(AND(OR(Dashboard!$D$4="Semua",D4392=Dashboard!$D$4),OR(Dashboard!$H$4="Semua",E4392=Dashboard!$H$4)),1,0)</f>
        <v>1</v>
      </c>
      <c r="V4392">
        <f>IF(U4392=1,IF(COUNTIFS($C$2:C4392,C4392,$U$2:U4392,1)=1,1,0),0)</f>
        <v>0</v>
      </c>
    </row>
    <row r="4393" spans="1:22" x14ac:dyDescent="0.35">
      <c r="A4393">
        <v>14392</v>
      </c>
      <c r="B4393" s="1">
        <v>48953</v>
      </c>
      <c r="C4393">
        <v>1430</v>
      </c>
      <c r="D4393" t="s">
        <v>67</v>
      </c>
      <c r="E4393" t="s">
        <v>70</v>
      </c>
      <c r="F4393">
        <v>6</v>
      </c>
      <c r="G4393" s="2">
        <v>15.67</v>
      </c>
      <c r="H4393">
        <v>0.34</v>
      </c>
      <c r="I4393" t="s">
        <v>64</v>
      </c>
      <c r="J4393">
        <v>5</v>
      </c>
      <c r="K4393">
        <v>2.8</v>
      </c>
      <c r="L4393" s="2">
        <v>62.05</v>
      </c>
      <c r="M4393">
        <v>2034</v>
      </c>
      <c r="N4393">
        <v>1</v>
      </c>
      <c r="O4393" t="s">
        <v>224</v>
      </c>
      <c r="P4393" s="2">
        <v>94.02</v>
      </c>
      <c r="Q4393" s="2">
        <v>31.97</v>
      </c>
      <c r="R4393" t="s">
        <v>72</v>
      </c>
      <c r="S4393">
        <v>1</v>
      </c>
      <c r="T4393">
        <v>0</v>
      </c>
      <c r="U4393">
        <f>IF(AND(OR(Dashboard!$D$4="Semua",D4393=Dashboard!$D$4),OR(Dashboard!$H$4="Semua",E4393=Dashboard!$H$4)),1,0)</f>
        <v>1</v>
      </c>
      <c r="V4393">
        <f>IF(U4393=1,IF(COUNTIFS($C$2:C4393,C4393,$U$2:U4393,1)=1,1,0),0)</f>
        <v>0</v>
      </c>
    </row>
    <row r="4394" spans="1:22" x14ac:dyDescent="0.35">
      <c r="A4394">
        <v>14393</v>
      </c>
      <c r="B4394" s="1">
        <v>48954</v>
      </c>
      <c r="C4394">
        <v>1423</v>
      </c>
      <c r="D4394" t="s">
        <v>67</v>
      </c>
      <c r="E4394" t="s">
        <v>70</v>
      </c>
      <c r="F4394">
        <v>1</v>
      </c>
      <c r="G4394" s="2">
        <v>180.21</v>
      </c>
      <c r="H4394">
        <v>0.23</v>
      </c>
      <c r="I4394" t="s">
        <v>64</v>
      </c>
      <c r="J4394">
        <v>9</v>
      </c>
      <c r="K4394">
        <v>3.6</v>
      </c>
      <c r="L4394" s="2">
        <v>138.76</v>
      </c>
      <c r="M4394">
        <v>2034</v>
      </c>
      <c r="N4394">
        <v>1</v>
      </c>
      <c r="O4394" t="s">
        <v>224</v>
      </c>
      <c r="P4394" s="2">
        <v>180.21</v>
      </c>
      <c r="Q4394" s="2">
        <v>41.45</v>
      </c>
      <c r="R4394" t="s">
        <v>77</v>
      </c>
      <c r="S4394">
        <v>1</v>
      </c>
      <c r="T4394">
        <v>0</v>
      </c>
      <c r="U4394">
        <f>IF(AND(OR(Dashboard!$D$4="Semua",D4394=Dashboard!$D$4),OR(Dashboard!$H$4="Semua",E4394=Dashboard!$H$4)),1,0)</f>
        <v>1</v>
      </c>
      <c r="V4394">
        <f>IF(U4394=1,IF(COUNTIFS($C$2:C4394,C4394,$U$2:U4394,1)=1,1,0),0)</f>
        <v>0</v>
      </c>
    </row>
    <row r="4395" spans="1:22" x14ac:dyDescent="0.35">
      <c r="A4395">
        <v>14394</v>
      </c>
      <c r="B4395" s="1">
        <v>48955</v>
      </c>
      <c r="C4395">
        <v>1331</v>
      </c>
      <c r="D4395" t="s">
        <v>62</v>
      </c>
      <c r="E4395" t="s">
        <v>74</v>
      </c>
      <c r="F4395">
        <v>3</v>
      </c>
      <c r="G4395" s="2">
        <v>356.66</v>
      </c>
      <c r="H4395">
        <v>0.15</v>
      </c>
      <c r="I4395" t="s">
        <v>71</v>
      </c>
      <c r="J4395">
        <v>9</v>
      </c>
      <c r="K4395">
        <v>3.4</v>
      </c>
      <c r="L4395" s="2">
        <v>909.48</v>
      </c>
      <c r="M4395">
        <v>2034</v>
      </c>
      <c r="N4395">
        <v>1</v>
      </c>
      <c r="O4395" t="s">
        <v>224</v>
      </c>
      <c r="P4395" s="2">
        <v>1069.98</v>
      </c>
      <c r="Q4395" s="2">
        <v>160.5</v>
      </c>
      <c r="R4395" t="s">
        <v>79</v>
      </c>
      <c r="S4395">
        <v>1</v>
      </c>
      <c r="T4395">
        <v>0</v>
      </c>
      <c r="U4395">
        <f>IF(AND(OR(Dashboard!$D$4="Semua",D4395=Dashboard!$D$4),OR(Dashboard!$H$4="Semua",E4395=Dashboard!$H$4)),1,0)</f>
        <v>1</v>
      </c>
      <c r="V4395">
        <f>IF(U4395=1,IF(COUNTIFS($C$2:C4395,C4395,$U$2:U4395,1)=1,1,0),0)</f>
        <v>0</v>
      </c>
    </row>
    <row r="4396" spans="1:22" x14ac:dyDescent="0.35">
      <c r="A4396">
        <v>14395</v>
      </c>
      <c r="B4396" s="1">
        <v>48956</v>
      </c>
      <c r="C4396">
        <v>1437</v>
      </c>
      <c r="D4396" t="s">
        <v>67</v>
      </c>
      <c r="E4396" t="s">
        <v>70</v>
      </c>
      <c r="F4396">
        <v>1</v>
      </c>
      <c r="G4396" s="2">
        <v>363.34</v>
      </c>
      <c r="H4396">
        <v>0.22</v>
      </c>
      <c r="I4396" t="s">
        <v>68</v>
      </c>
      <c r="J4396">
        <v>10</v>
      </c>
      <c r="K4396">
        <v>3.1</v>
      </c>
      <c r="L4396" s="2">
        <v>283.41000000000003</v>
      </c>
      <c r="M4396">
        <v>2034</v>
      </c>
      <c r="N4396">
        <v>1</v>
      </c>
      <c r="O4396" t="s">
        <v>224</v>
      </c>
      <c r="P4396" s="2">
        <v>363.34</v>
      </c>
      <c r="Q4396" s="2">
        <v>79.930000000000007</v>
      </c>
      <c r="R4396" t="s">
        <v>77</v>
      </c>
      <c r="S4396">
        <v>1</v>
      </c>
      <c r="T4396">
        <v>0</v>
      </c>
      <c r="U4396">
        <f>IF(AND(OR(Dashboard!$D$4="Semua",D4396=Dashboard!$D$4),OR(Dashboard!$H$4="Semua",E4396=Dashboard!$H$4)),1,0)</f>
        <v>1</v>
      </c>
      <c r="V4396">
        <f>IF(U4396=1,IF(COUNTIFS($C$2:C4396,C4396,$U$2:U4396,1)=1,1,0),0)</f>
        <v>0</v>
      </c>
    </row>
    <row r="4397" spans="1:22" x14ac:dyDescent="0.35">
      <c r="A4397">
        <v>14396</v>
      </c>
      <c r="B4397" s="1">
        <v>48957</v>
      </c>
      <c r="C4397">
        <v>1587</v>
      </c>
      <c r="D4397" t="s">
        <v>73</v>
      </c>
      <c r="E4397" t="s">
        <v>74</v>
      </c>
      <c r="F4397">
        <v>3</v>
      </c>
      <c r="G4397" s="2">
        <v>469.63</v>
      </c>
      <c r="H4397">
        <v>0.04</v>
      </c>
      <c r="I4397" t="s">
        <v>68</v>
      </c>
      <c r="J4397">
        <v>1</v>
      </c>
      <c r="K4397">
        <v>3.9</v>
      </c>
      <c r="L4397" s="2">
        <v>1352.53</v>
      </c>
      <c r="M4397">
        <v>2034</v>
      </c>
      <c r="N4397">
        <v>1</v>
      </c>
      <c r="O4397" t="s">
        <v>224</v>
      </c>
      <c r="P4397" s="2">
        <v>1408.89</v>
      </c>
      <c r="Q4397" s="2">
        <v>56.36</v>
      </c>
      <c r="R4397" t="s">
        <v>75</v>
      </c>
      <c r="S4397">
        <v>1</v>
      </c>
      <c r="T4397">
        <v>0</v>
      </c>
      <c r="U4397">
        <f>IF(AND(OR(Dashboard!$D$4="Semua",D4397=Dashboard!$D$4),OR(Dashboard!$H$4="Semua",E4397=Dashboard!$H$4)),1,0)</f>
        <v>1</v>
      </c>
      <c r="V4397">
        <f>IF(U4397=1,IF(COUNTIFS($C$2:C4397,C4397,$U$2:U4397,1)=1,1,0),0)</f>
        <v>0</v>
      </c>
    </row>
    <row r="4398" spans="1:22" x14ac:dyDescent="0.35">
      <c r="A4398">
        <v>14397</v>
      </c>
      <c r="B4398" s="1">
        <v>48958</v>
      </c>
      <c r="C4398">
        <v>1173</v>
      </c>
      <c r="D4398" t="s">
        <v>73</v>
      </c>
      <c r="E4398" t="s">
        <v>63</v>
      </c>
      <c r="F4398">
        <v>7</v>
      </c>
      <c r="G4398" s="2">
        <v>310.97000000000003</v>
      </c>
      <c r="H4398">
        <v>0.18</v>
      </c>
      <c r="I4398" t="s">
        <v>68</v>
      </c>
      <c r="J4398">
        <v>11</v>
      </c>
      <c r="K4398">
        <v>4.4000000000000004</v>
      </c>
      <c r="L4398" s="2">
        <v>1784.97</v>
      </c>
      <c r="M4398">
        <v>2034</v>
      </c>
      <c r="N4398">
        <v>1</v>
      </c>
      <c r="O4398" t="s">
        <v>224</v>
      </c>
      <c r="P4398" s="2">
        <v>2176.79</v>
      </c>
      <c r="Q4398" s="2">
        <v>391.82</v>
      </c>
      <c r="R4398" t="s">
        <v>76</v>
      </c>
      <c r="S4398">
        <v>1</v>
      </c>
      <c r="T4398">
        <v>0</v>
      </c>
      <c r="U4398">
        <f>IF(AND(OR(Dashboard!$D$4="Semua",D4398=Dashboard!$D$4),OR(Dashboard!$H$4="Semua",E4398=Dashboard!$H$4)),1,0)</f>
        <v>1</v>
      </c>
      <c r="V4398">
        <f>IF(U4398=1,IF(COUNTIFS($C$2:C4398,C4398,$U$2:U4398,1)=1,1,0),0)</f>
        <v>0</v>
      </c>
    </row>
    <row r="4399" spans="1:22" x14ac:dyDescent="0.35">
      <c r="A4399">
        <v>14398</v>
      </c>
      <c r="B4399" s="1">
        <v>48959</v>
      </c>
      <c r="C4399">
        <v>1558</v>
      </c>
      <c r="D4399" t="s">
        <v>80</v>
      </c>
      <c r="E4399" t="s">
        <v>78</v>
      </c>
      <c r="F4399">
        <v>5</v>
      </c>
      <c r="G4399" s="2">
        <v>313</v>
      </c>
      <c r="H4399">
        <v>0.34</v>
      </c>
      <c r="I4399" t="s">
        <v>68</v>
      </c>
      <c r="J4399">
        <v>7</v>
      </c>
      <c r="K4399">
        <v>5</v>
      </c>
      <c r="L4399" s="2">
        <v>1032.9000000000001</v>
      </c>
      <c r="M4399">
        <v>2034</v>
      </c>
      <c r="N4399">
        <v>1</v>
      </c>
      <c r="O4399" t="s">
        <v>224</v>
      </c>
      <c r="P4399" s="2">
        <v>1565</v>
      </c>
      <c r="Q4399" s="2">
        <v>532.1</v>
      </c>
      <c r="R4399" t="s">
        <v>72</v>
      </c>
      <c r="S4399">
        <v>1</v>
      </c>
      <c r="T4399">
        <v>0</v>
      </c>
      <c r="U4399">
        <f>IF(AND(OR(Dashboard!$D$4="Semua",D4399=Dashboard!$D$4),OR(Dashboard!$H$4="Semua",E4399=Dashboard!$H$4)),1,0)</f>
        <v>1</v>
      </c>
      <c r="V4399">
        <f>IF(U4399=1,IF(COUNTIFS($C$2:C4399,C4399,$U$2:U4399,1)=1,1,0),0)</f>
        <v>0</v>
      </c>
    </row>
    <row r="4400" spans="1:22" x14ac:dyDescent="0.35">
      <c r="A4400">
        <v>14399</v>
      </c>
      <c r="B4400" s="1">
        <v>48960</v>
      </c>
      <c r="C4400">
        <v>1526</v>
      </c>
      <c r="D4400" t="s">
        <v>67</v>
      </c>
      <c r="E4400" t="s">
        <v>74</v>
      </c>
      <c r="F4400">
        <v>1</v>
      </c>
      <c r="G4400" s="2">
        <v>439.31</v>
      </c>
      <c r="H4400">
        <v>0.08</v>
      </c>
      <c r="I4400" t="s">
        <v>68</v>
      </c>
      <c r="J4400">
        <v>10</v>
      </c>
      <c r="K4400">
        <v>2.9</v>
      </c>
      <c r="L4400" s="2">
        <v>404.17</v>
      </c>
      <c r="M4400">
        <v>2034</v>
      </c>
      <c r="N4400">
        <v>1</v>
      </c>
      <c r="O4400" t="s">
        <v>224</v>
      </c>
      <c r="P4400" s="2">
        <v>439.31</v>
      </c>
      <c r="Q4400" s="2">
        <v>35.14</v>
      </c>
      <c r="R4400" t="s">
        <v>69</v>
      </c>
      <c r="S4400">
        <v>1</v>
      </c>
      <c r="T4400">
        <v>0</v>
      </c>
      <c r="U4400">
        <f>IF(AND(OR(Dashboard!$D$4="Semua",D4400=Dashboard!$D$4),OR(Dashboard!$H$4="Semua",E4400=Dashboard!$H$4)),1,0)</f>
        <v>1</v>
      </c>
      <c r="V4400">
        <f>IF(U4400=1,IF(COUNTIFS($C$2:C4400,C4400,$U$2:U4400,1)=1,1,0),0)</f>
        <v>0</v>
      </c>
    </row>
    <row r="4401" spans="1:22" x14ac:dyDescent="0.35">
      <c r="A4401">
        <v>14400</v>
      </c>
      <c r="B4401" s="1">
        <v>48961</v>
      </c>
      <c r="C4401">
        <v>1872</v>
      </c>
      <c r="D4401" t="s">
        <v>80</v>
      </c>
      <c r="E4401" t="s">
        <v>70</v>
      </c>
      <c r="F4401">
        <v>3</v>
      </c>
      <c r="G4401" s="2">
        <v>306.7</v>
      </c>
      <c r="H4401">
        <v>0.25</v>
      </c>
      <c r="I4401" t="s">
        <v>64</v>
      </c>
      <c r="J4401">
        <v>10</v>
      </c>
      <c r="K4401">
        <v>5</v>
      </c>
      <c r="L4401" s="2">
        <v>690.08</v>
      </c>
      <c r="M4401">
        <v>2034</v>
      </c>
      <c r="N4401">
        <v>1</v>
      </c>
      <c r="O4401" t="s">
        <v>224</v>
      </c>
      <c r="P4401" s="2">
        <v>920.1</v>
      </c>
      <c r="Q4401" s="2">
        <v>230.02</v>
      </c>
      <c r="R4401" t="s">
        <v>77</v>
      </c>
      <c r="S4401">
        <v>1</v>
      </c>
      <c r="T4401">
        <v>0</v>
      </c>
      <c r="U4401">
        <f>IF(AND(OR(Dashboard!$D$4="Semua",D4401=Dashboard!$D$4),OR(Dashboard!$H$4="Semua",E4401=Dashboard!$H$4)),1,0)</f>
        <v>1</v>
      </c>
      <c r="V4401">
        <f>IF(U4401=1,IF(COUNTIFS($C$2:C4401,C4401,$U$2:U4401,1)=1,1,0),0)</f>
        <v>0</v>
      </c>
    </row>
    <row r="4402" spans="1:22" x14ac:dyDescent="0.35">
      <c r="A4402">
        <v>14401</v>
      </c>
      <c r="B4402" s="1">
        <v>48962</v>
      </c>
      <c r="C4402">
        <v>1658</v>
      </c>
      <c r="D4402" t="s">
        <v>67</v>
      </c>
      <c r="E4402" t="s">
        <v>70</v>
      </c>
      <c r="F4402">
        <v>5</v>
      </c>
      <c r="G4402" s="2">
        <v>370.97</v>
      </c>
      <c r="H4402">
        <v>0.15</v>
      </c>
      <c r="I4402" t="s">
        <v>71</v>
      </c>
      <c r="J4402">
        <v>3</v>
      </c>
      <c r="K4402">
        <v>3.9</v>
      </c>
      <c r="L4402" s="2">
        <v>1576.62</v>
      </c>
      <c r="M4402">
        <v>2034</v>
      </c>
      <c r="N4402">
        <v>1</v>
      </c>
      <c r="O4402" t="s">
        <v>224</v>
      </c>
      <c r="P4402" s="2">
        <v>1854.85</v>
      </c>
      <c r="Q4402" s="2">
        <v>278.23</v>
      </c>
      <c r="R4402" t="s">
        <v>79</v>
      </c>
      <c r="S4402">
        <v>1</v>
      </c>
      <c r="T4402">
        <v>0</v>
      </c>
      <c r="U4402">
        <f>IF(AND(OR(Dashboard!$D$4="Semua",D4402=Dashboard!$D$4),OR(Dashboard!$H$4="Semua",E4402=Dashboard!$H$4)),1,0)</f>
        <v>1</v>
      </c>
      <c r="V4402">
        <f>IF(U4402=1,IF(COUNTIFS($C$2:C4402,C4402,$U$2:U4402,1)=1,1,0),0)</f>
        <v>0</v>
      </c>
    </row>
    <row r="4403" spans="1:22" x14ac:dyDescent="0.35">
      <c r="A4403">
        <v>14402</v>
      </c>
      <c r="B4403" s="1">
        <v>48963</v>
      </c>
      <c r="C4403">
        <v>1025</v>
      </c>
      <c r="D4403" t="s">
        <v>73</v>
      </c>
      <c r="E4403" t="s">
        <v>74</v>
      </c>
      <c r="F4403">
        <v>5</v>
      </c>
      <c r="G4403" s="2">
        <v>540.20000000000005</v>
      </c>
      <c r="H4403">
        <v>0.23</v>
      </c>
      <c r="I4403" t="s">
        <v>68</v>
      </c>
      <c r="J4403">
        <v>10</v>
      </c>
      <c r="K4403">
        <v>3.6</v>
      </c>
      <c r="L4403" s="2">
        <v>2079.77</v>
      </c>
      <c r="M4403">
        <v>2034</v>
      </c>
      <c r="N4403">
        <v>1</v>
      </c>
      <c r="O4403" t="s">
        <v>224</v>
      </c>
      <c r="P4403" s="2">
        <v>2701</v>
      </c>
      <c r="Q4403" s="2">
        <v>621.23</v>
      </c>
      <c r="R4403" t="s">
        <v>77</v>
      </c>
      <c r="S4403">
        <v>1</v>
      </c>
      <c r="T4403">
        <v>0</v>
      </c>
      <c r="U4403">
        <f>IF(AND(OR(Dashboard!$D$4="Semua",D4403=Dashboard!$D$4),OR(Dashboard!$H$4="Semua",E4403=Dashboard!$H$4)),1,0)</f>
        <v>1</v>
      </c>
      <c r="V4403">
        <f>IF(U4403=1,IF(COUNTIFS($C$2:C4403,C4403,$U$2:U4403,1)=1,1,0),0)</f>
        <v>0</v>
      </c>
    </row>
    <row r="4404" spans="1:22" x14ac:dyDescent="0.35">
      <c r="A4404">
        <v>14403</v>
      </c>
      <c r="B4404" s="1">
        <v>48964</v>
      </c>
      <c r="C4404">
        <v>1819</v>
      </c>
      <c r="D4404" t="s">
        <v>67</v>
      </c>
      <c r="E4404" t="s">
        <v>63</v>
      </c>
      <c r="F4404">
        <v>3</v>
      </c>
      <c r="G4404" s="2">
        <v>249.85</v>
      </c>
      <c r="H4404">
        <v>7.0000000000000007E-2</v>
      </c>
      <c r="I4404" t="s">
        <v>71</v>
      </c>
      <c r="J4404">
        <v>10</v>
      </c>
      <c r="K4404">
        <v>3.6</v>
      </c>
      <c r="L4404" s="2">
        <v>697.08</v>
      </c>
      <c r="M4404">
        <v>2034</v>
      </c>
      <c r="N4404">
        <v>1</v>
      </c>
      <c r="O4404" t="s">
        <v>224</v>
      </c>
      <c r="P4404" s="2">
        <v>749.55</v>
      </c>
      <c r="Q4404" s="2">
        <v>52.47</v>
      </c>
      <c r="R4404" t="s">
        <v>69</v>
      </c>
      <c r="S4404">
        <v>1</v>
      </c>
      <c r="T4404">
        <v>0</v>
      </c>
      <c r="U4404">
        <f>IF(AND(OR(Dashboard!$D$4="Semua",D4404=Dashboard!$D$4),OR(Dashboard!$H$4="Semua",E4404=Dashboard!$H$4)),1,0)</f>
        <v>1</v>
      </c>
      <c r="V4404">
        <f>IF(U4404=1,IF(COUNTIFS($C$2:C4404,C4404,$U$2:U4404,1)=1,1,0),0)</f>
        <v>0</v>
      </c>
    </row>
    <row r="4405" spans="1:22" x14ac:dyDescent="0.35">
      <c r="A4405">
        <v>14404</v>
      </c>
      <c r="B4405" s="1">
        <v>48965</v>
      </c>
      <c r="C4405">
        <v>1604</v>
      </c>
      <c r="D4405" t="s">
        <v>73</v>
      </c>
      <c r="E4405" t="s">
        <v>78</v>
      </c>
      <c r="F4405">
        <v>3</v>
      </c>
      <c r="G4405" s="2">
        <v>240.3</v>
      </c>
      <c r="H4405">
        <v>0.16</v>
      </c>
      <c r="I4405" t="s">
        <v>71</v>
      </c>
      <c r="J4405">
        <v>1</v>
      </c>
      <c r="K4405">
        <v>4.5999999999999996</v>
      </c>
      <c r="L4405" s="2">
        <v>605.55999999999995</v>
      </c>
      <c r="M4405">
        <v>2034</v>
      </c>
      <c r="N4405">
        <v>1</v>
      </c>
      <c r="O4405" t="s">
        <v>224</v>
      </c>
      <c r="P4405" s="2">
        <v>720.9</v>
      </c>
      <c r="Q4405" s="2">
        <v>115.34</v>
      </c>
      <c r="R4405" t="s">
        <v>76</v>
      </c>
      <c r="S4405">
        <v>1</v>
      </c>
      <c r="T4405">
        <v>0</v>
      </c>
      <c r="U4405">
        <f>IF(AND(OR(Dashboard!$D$4="Semua",D4405=Dashboard!$D$4),OR(Dashboard!$H$4="Semua",E4405=Dashboard!$H$4)),1,0)</f>
        <v>1</v>
      </c>
      <c r="V4405">
        <f>IF(U4405=1,IF(COUNTIFS($C$2:C4405,C4405,$U$2:U4405,1)=1,1,0),0)</f>
        <v>0</v>
      </c>
    </row>
    <row r="4406" spans="1:22" x14ac:dyDescent="0.35">
      <c r="A4406">
        <v>14405</v>
      </c>
      <c r="B4406" s="1">
        <v>48966</v>
      </c>
      <c r="C4406">
        <v>1405</v>
      </c>
      <c r="D4406" t="s">
        <v>67</v>
      </c>
      <c r="E4406" t="s">
        <v>70</v>
      </c>
      <c r="F4406">
        <v>2</v>
      </c>
      <c r="G4406" s="2">
        <v>17.079999999999998</v>
      </c>
      <c r="H4406">
        <v>0.34</v>
      </c>
      <c r="I4406" t="s">
        <v>68</v>
      </c>
      <c r="J4406">
        <v>2</v>
      </c>
      <c r="K4406">
        <v>4.8</v>
      </c>
      <c r="L4406" s="2">
        <v>22.55</v>
      </c>
      <c r="M4406">
        <v>2034</v>
      </c>
      <c r="N4406">
        <v>1</v>
      </c>
      <c r="O4406" t="s">
        <v>224</v>
      </c>
      <c r="P4406" s="2">
        <v>34.159999999999997</v>
      </c>
      <c r="Q4406" s="2">
        <v>11.61</v>
      </c>
      <c r="R4406" t="s">
        <v>72</v>
      </c>
      <c r="S4406">
        <v>1</v>
      </c>
      <c r="T4406">
        <v>0</v>
      </c>
      <c r="U4406">
        <f>IF(AND(OR(Dashboard!$D$4="Semua",D4406=Dashboard!$D$4),OR(Dashboard!$H$4="Semua",E4406=Dashboard!$H$4)),1,0)</f>
        <v>1</v>
      </c>
      <c r="V4406">
        <f>IF(U4406=1,IF(COUNTIFS($C$2:C4406,C4406,$U$2:U4406,1)=1,1,0),0)</f>
        <v>0</v>
      </c>
    </row>
    <row r="4407" spans="1:22" x14ac:dyDescent="0.35">
      <c r="A4407">
        <v>14406</v>
      </c>
      <c r="B4407" s="1">
        <v>48967</v>
      </c>
      <c r="C4407">
        <v>1231</v>
      </c>
      <c r="D4407" t="s">
        <v>67</v>
      </c>
      <c r="E4407" t="s">
        <v>63</v>
      </c>
      <c r="F4407">
        <v>5</v>
      </c>
      <c r="G4407" s="2">
        <v>373.85</v>
      </c>
      <c r="H4407">
        <v>7.0000000000000007E-2</v>
      </c>
      <c r="I4407" t="s">
        <v>64</v>
      </c>
      <c r="J4407">
        <v>6</v>
      </c>
      <c r="K4407">
        <v>1.7</v>
      </c>
      <c r="L4407" s="2">
        <v>1738.4</v>
      </c>
      <c r="M4407">
        <v>2034</v>
      </c>
      <c r="N4407">
        <v>1</v>
      </c>
      <c r="O4407" t="s">
        <v>224</v>
      </c>
      <c r="P4407" s="2">
        <v>1869.25</v>
      </c>
      <c r="Q4407" s="2">
        <v>130.85</v>
      </c>
      <c r="R4407" t="s">
        <v>69</v>
      </c>
      <c r="S4407">
        <v>1</v>
      </c>
      <c r="T4407">
        <v>0</v>
      </c>
      <c r="U4407">
        <f>IF(AND(OR(Dashboard!$D$4="Semua",D4407=Dashboard!$D$4),OR(Dashboard!$H$4="Semua",E4407=Dashboard!$H$4)),1,0)</f>
        <v>1</v>
      </c>
      <c r="V4407">
        <f>IF(U4407=1,IF(COUNTIFS($C$2:C4407,C4407,$U$2:U4407,1)=1,1,0),0)</f>
        <v>0</v>
      </c>
    </row>
    <row r="4408" spans="1:22" x14ac:dyDescent="0.35">
      <c r="A4408">
        <v>14407</v>
      </c>
      <c r="B4408" s="1">
        <v>48968</v>
      </c>
      <c r="C4408">
        <v>1532</v>
      </c>
      <c r="D4408" t="s">
        <v>67</v>
      </c>
      <c r="E4408" t="s">
        <v>78</v>
      </c>
      <c r="F4408">
        <v>3</v>
      </c>
      <c r="G4408" s="2">
        <v>32.42</v>
      </c>
      <c r="H4408">
        <v>0.22</v>
      </c>
      <c r="I4408" t="s">
        <v>68</v>
      </c>
      <c r="J4408">
        <v>10</v>
      </c>
      <c r="K4408">
        <v>3</v>
      </c>
      <c r="L4408" s="2">
        <v>75.86</v>
      </c>
      <c r="M4408">
        <v>2034</v>
      </c>
      <c r="N4408">
        <v>1</v>
      </c>
      <c r="O4408" t="s">
        <v>224</v>
      </c>
      <c r="P4408" s="2">
        <v>97.26</v>
      </c>
      <c r="Q4408" s="2">
        <v>21.4</v>
      </c>
      <c r="R4408" t="s">
        <v>77</v>
      </c>
      <c r="S4408">
        <v>1</v>
      </c>
      <c r="T4408">
        <v>0</v>
      </c>
      <c r="U4408">
        <f>IF(AND(OR(Dashboard!$D$4="Semua",D4408=Dashboard!$D$4),OR(Dashboard!$H$4="Semua",E4408=Dashboard!$H$4)),1,0)</f>
        <v>1</v>
      </c>
      <c r="V4408">
        <f>IF(U4408=1,IF(COUNTIFS($C$2:C4408,C4408,$U$2:U4408,1)=1,1,0),0)</f>
        <v>0</v>
      </c>
    </row>
    <row r="4409" spans="1:22" x14ac:dyDescent="0.35">
      <c r="A4409">
        <v>14408</v>
      </c>
      <c r="B4409" s="1">
        <v>48969</v>
      </c>
      <c r="C4409">
        <v>1818</v>
      </c>
      <c r="D4409" t="s">
        <v>80</v>
      </c>
      <c r="E4409" t="s">
        <v>78</v>
      </c>
      <c r="F4409">
        <v>5</v>
      </c>
      <c r="G4409" s="2">
        <v>309.93</v>
      </c>
      <c r="H4409">
        <v>0.2</v>
      </c>
      <c r="I4409" t="s">
        <v>71</v>
      </c>
      <c r="J4409">
        <v>2</v>
      </c>
      <c r="K4409">
        <v>4.8</v>
      </c>
      <c r="L4409" s="2">
        <v>1239.72</v>
      </c>
      <c r="M4409">
        <v>2034</v>
      </c>
      <c r="N4409">
        <v>1</v>
      </c>
      <c r="O4409" t="s">
        <v>224</v>
      </c>
      <c r="P4409" s="2">
        <v>1549.65</v>
      </c>
      <c r="Q4409" s="2">
        <v>309.93</v>
      </c>
      <c r="R4409" t="s">
        <v>76</v>
      </c>
      <c r="S4409">
        <v>1</v>
      </c>
      <c r="T4409">
        <v>0</v>
      </c>
      <c r="U4409">
        <f>IF(AND(OR(Dashboard!$D$4="Semua",D4409=Dashboard!$D$4),OR(Dashboard!$H$4="Semua",E4409=Dashboard!$H$4)),1,0)</f>
        <v>1</v>
      </c>
      <c r="V4409">
        <f>IF(U4409=1,IF(COUNTIFS($C$2:C4409,C4409,$U$2:U4409,1)=1,1,0),0)</f>
        <v>0</v>
      </c>
    </row>
    <row r="4410" spans="1:22" x14ac:dyDescent="0.35">
      <c r="A4410">
        <v>14409</v>
      </c>
      <c r="B4410" s="1">
        <v>48970</v>
      </c>
      <c r="C4410">
        <v>1549</v>
      </c>
      <c r="D4410" t="s">
        <v>80</v>
      </c>
      <c r="E4410" t="s">
        <v>70</v>
      </c>
      <c r="F4410">
        <v>1</v>
      </c>
      <c r="G4410" s="2">
        <v>485.48</v>
      </c>
      <c r="H4410">
        <v>0.2</v>
      </c>
      <c r="I4410" t="s">
        <v>68</v>
      </c>
      <c r="J4410">
        <v>2</v>
      </c>
      <c r="K4410">
        <v>2.5</v>
      </c>
      <c r="L4410" s="2">
        <v>388.38</v>
      </c>
      <c r="M4410">
        <v>2034</v>
      </c>
      <c r="N4410">
        <v>1</v>
      </c>
      <c r="O4410" t="s">
        <v>224</v>
      </c>
      <c r="P4410" s="2">
        <v>485.48</v>
      </c>
      <c r="Q4410" s="2">
        <v>97.1</v>
      </c>
      <c r="R4410" t="s">
        <v>76</v>
      </c>
      <c r="S4410">
        <v>1</v>
      </c>
      <c r="T4410">
        <v>0</v>
      </c>
      <c r="U4410">
        <f>IF(AND(OR(Dashboard!$D$4="Semua",D4410=Dashboard!$D$4),OR(Dashboard!$H$4="Semua",E4410=Dashboard!$H$4)),1,0)</f>
        <v>1</v>
      </c>
      <c r="V4410">
        <f>IF(U4410=1,IF(COUNTIFS($C$2:C4410,C4410,$U$2:U4410,1)=1,1,0),0)</f>
        <v>0</v>
      </c>
    </row>
    <row r="4411" spans="1:22" x14ac:dyDescent="0.35">
      <c r="A4411">
        <v>14410</v>
      </c>
      <c r="B4411" s="1">
        <v>48971</v>
      </c>
      <c r="C4411">
        <v>1787</v>
      </c>
      <c r="D4411" t="s">
        <v>80</v>
      </c>
      <c r="E4411" t="s">
        <v>74</v>
      </c>
      <c r="F4411">
        <v>7</v>
      </c>
      <c r="G4411" s="2">
        <v>336.7</v>
      </c>
      <c r="H4411">
        <v>0.22</v>
      </c>
      <c r="I4411" t="s">
        <v>71</v>
      </c>
      <c r="J4411">
        <v>4</v>
      </c>
      <c r="K4411">
        <v>1.9</v>
      </c>
      <c r="L4411" s="2">
        <v>1838.38</v>
      </c>
      <c r="M4411">
        <v>2034</v>
      </c>
      <c r="N4411">
        <v>1</v>
      </c>
      <c r="O4411" t="s">
        <v>224</v>
      </c>
      <c r="P4411" s="2">
        <v>2356.9</v>
      </c>
      <c r="Q4411" s="2">
        <v>518.52</v>
      </c>
      <c r="R4411" t="s">
        <v>77</v>
      </c>
      <c r="S4411">
        <v>1</v>
      </c>
      <c r="T4411">
        <v>0</v>
      </c>
      <c r="U4411">
        <f>IF(AND(OR(Dashboard!$D$4="Semua",D4411=Dashboard!$D$4),OR(Dashboard!$H$4="Semua",E4411=Dashboard!$H$4)),1,0)</f>
        <v>1</v>
      </c>
      <c r="V4411">
        <f>IF(U4411=1,IF(COUNTIFS($C$2:C4411,C4411,$U$2:U4411,1)=1,1,0),0)</f>
        <v>0</v>
      </c>
    </row>
    <row r="4412" spans="1:22" x14ac:dyDescent="0.35">
      <c r="A4412">
        <v>14411</v>
      </c>
      <c r="B4412" s="1">
        <v>48972</v>
      </c>
      <c r="C4412">
        <v>1504</v>
      </c>
      <c r="D4412" t="s">
        <v>73</v>
      </c>
      <c r="E4412" t="s">
        <v>70</v>
      </c>
      <c r="F4412">
        <v>4</v>
      </c>
      <c r="G4412" s="2">
        <v>172.74</v>
      </c>
      <c r="H4412">
        <v>0.18</v>
      </c>
      <c r="I4412" t="s">
        <v>64</v>
      </c>
      <c r="J4412">
        <v>3</v>
      </c>
      <c r="K4412">
        <v>1.4</v>
      </c>
      <c r="L4412" s="2">
        <v>566.59</v>
      </c>
      <c r="M4412">
        <v>2034</v>
      </c>
      <c r="N4412">
        <v>1</v>
      </c>
      <c r="O4412" t="s">
        <v>224</v>
      </c>
      <c r="P4412" s="2">
        <v>690.96</v>
      </c>
      <c r="Q4412" s="2">
        <v>124.37</v>
      </c>
      <c r="R4412" t="s">
        <v>76</v>
      </c>
      <c r="S4412">
        <v>1</v>
      </c>
      <c r="T4412">
        <v>0</v>
      </c>
      <c r="U4412">
        <f>IF(AND(OR(Dashboard!$D$4="Semua",D4412=Dashboard!$D$4),OR(Dashboard!$H$4="Semua",E4412=Dashboard!$H$4)),1,0)</f>
        <v>1</v>
      </c>
      <c r="V4412">
        <f>IF(U4412=1,IF(COUNTIFS($C$2:C4412,C4412,$U$2:U4412,1)=1,1,0),0)</f>
        <v>0</v>
      </c>
    </row>
    <row r="4413" spans="1:22" x14ac:dyDescent="0.35">
      <c r="A4413">
        <v>14412</v>
      </c>
      <c r="B4413" s="1">
        <v>48973</v>
      </c>
      <c r="C4413">
        <v>1668</v>
      </c>
      <c r="D4413" t="s">
        <v>73</v>
      </c>
      <c r="E4413" t="s">
        <v>70</v>
      </c>
      <c r="F4413">
        <v>4</v>
      </c>
      <c r="G4413" s="2">
        <v>474.91</v>
      </c>
      <c r="H4413">
        <v>0.01</v>
      </c>
      <c r="I4413" t="s">
        <v>68</v>
      </c>
      <c r="J4413">
        <v>8</v>
      </c>
      <c r="K4413">
        <v>3.4</v>
      </c>
      <c r="L4413" s="2">
        <v>1880.64</v>
      </c>
      <c r="M4413">
        <v>2034</v>
      </c>
      <c r="N4413">
        <v>1</v>
      </c>
      <c r="O4413" t="s">
        <v>224</v>
      </c>
      <c r="P4413" s="2">
        <v>1899.64</v>
      </c>
      <c r="Q4413" s="2">
        <v>19</v>
      </c>
      <c r="R4413" t="s">
        <v>75</v>
      </c>
      <c r="S4413">
        <v>1</v>
      </c>
      <c r="T4413">
        <v>0</v>
      </c>
      <c r="U4413">
        <f>IF(AND(OR(Dashboard!$D$4="Semua",D4413=Dashboard!$D$4),OR(Dashboard!$H$4="Semua",E4413=Dashboard!$H$4)),1,0)</f>
        <v>1</v>
      </c>
      <c r="V4413">
        <f>IF(U4413=1,IF(COUNTIFS($C$2:C4413,C4413,$U$2:U4413,1)=1,1,0),0)</f>
        <v>0</v>
      </c>
    </row>
    <row r="4414" spans="1:22" x14ac:dyDescent="0.35">
      <c r="A4414">
        <v>14413</v>
      </c>
      <c r="B4414" s="1">
        <v>48974</v>
      </c>
      <c r="C4414">
        <v>1178</v>
      </c>
      <c r="D4414" t="s">
        <v>67</v>
      </c>
      <c r="E4414" t="s">
        <v>70</v>
      </c>
      <c r="F4414">
        <v>6</v>
      </c>
      <c r="G4414" s="2">
        <v>172.78</v>
      </c>
      <c r="H4414">
        <v>0.32</v>
      </c>
      <c r="I4414" t="s">
        <v>64</v>
      </c>
      <c r="J4414">
        <v>8</v>
      </c>
      <c r="K4414">
        <v>3.8</v>
      </c>
      <c r="L4414" s="2">
        <v>704.94</v>
      </c>
      <c r="M4414">
        <v>2034</v>
      </c>
      <c r="N4414">
        <v>1</v>
      </c>
      <c r="O4414" t="s">
        <v>224</v>
      </c>
      <c r="P4414" s="2">
        <v>1036.68</v>
      </c>
      <c r="Q4414" s="2">
        <v>331.74</v>
      </c>
      <c r="R4414" t="s">
        <v>72</v>
      </c>
      <c r="S4414">
        <v>1</v>
      </c>
      <c r="T4414">
        <v>0</v>
      </c>
      <c r="U4414">
        <f>IF(AND(OR(Dashboard!$D$4="Semua",D4414=Dashboard!$D$4),OR(Dashboard!$H$4="Semua",E4414=Dashboard!$H$4)),1,0)</f>
        <v>1</v>
      </c>
      <c r="V4414">
        <f>IF(U4414=1,IF(COUNTIFS($C$2:C4414,C4414,$U$2:U4414,1)=1,1,0),0)</f>
        <v>0</v>
      </c>
    </row>
    <row r="4415" spans="1:22" x14ac:dyDescent="0.35">
      <c r="A4415">
        <v>14414</v>
      </c>
      <c r="B4415" s="1">
        <v>48975</v>
      </c>
      <c r="C4415">
        <v>1131</v>
      </c>
      <c r="D4415" t="s">
        <v>62</v>
      </c>
      <c r="E4415" t="s">
        <v>63</v>
      </c>
      <c r="F4415">
        <v>3</v>
      </c>
      <c r="G4415" s="2">
        <v>443.82</v>
      </c>
      <c r="H4415">
        <v>0.28999999999999998</v>
      </c>
      <c r="I4415" t="s">
        <v>68</v>
      </c>
      <c r="J4415">
        <v>6</v>
      </c>
      <c r="K4415">
        <v>1.8</v>
      </c>
      <c r="L4415" s="2">
        <v>945.34</v>
      </c>
      <c r="M4415">
        <v>2034</v>
      </c>
      <c r="N4415">
        <v>1</v>
      </c>
      <c r="O4415" t="s">
        <v>224</v>
      </c>
      <c r="P4415" s="2">
        <v>1331.46</v>
      </c>
      <c r="Q4415" s="2">
        <v>386.12</v>
      </c>
      <c r="R4415" t="s">
        <v>66</v>
      </c>
      <c r="S4415">
        <v>1</v>
      </c>
      <c r="T4415">
        <v>0</v>
      </c>
      <c r="U4415">
        <f>IF(AND(OR(Dashboard!$D$4="Semua",D4415=Dashboard!$D$4),OR(Dashboard!$H$4="Semua",E4415=Dashboard!$H$4)),1,0)</f>
        <v>1</v>
      </c>
      <c r="V4415">
        <f>IF(U4415=1,IF(COUNTIFS($C$2:C4415,C4415,$U$2:U4415,1)=1,1,0),0)</f>
        <v>0</v>
      </c>
    </row>
    <row r="4416" spans="1:22" x14ac:dyDescent="0.35">
      <c r="A4416">
        <v>14415</v>
      </c>
      <c r="B4416" s="1">
        <v>48976</v>
      </c>
      <c r="C4416">
        <v>1822</v>
      </c>
      <c r="D4416" t="s">
        <v>80</v>
      </c>
      <c r="E4416" t="s">
        <v>74</v>
      </c>
      <c r="F4416">
        <v>3</v>
      </c>
      <c r="G4416" s="2">
        <v>372</v>
      </c>
      <c r="H4416">
        <v>0.06</v>
      </c>
      <c r="I4416" t="s">
        <v>71</v>
      </c>
      <c r="J4416">
        <v>4</v>
      </c>
      <c r="K4416">
        <v>3.7</v>
      </c>
      <c r="L4416" s="2">
        <v>1049.04</v>
      </c>
      <c r="M4416">
        <v>2034</v>
      </c>
      <c r="N4416">
        <v>2</v>
      </c>
      <c r="O4416" t="s">
        <v>225</v>
      </c>
      <c r="P4416" s="2">
        <v>1116</v>
      </c>
      <c r="Q4416" s="2">
        <v>66.959999999999994</v>
      </c>
      <c r="R4416" t="s">
        <v>69</v>
      </c>
      <c r="S4416">
        <v>1</v>
      </c>
      <c r="T4416">
        <v>0</v>
      </c>
      <c r="U4416">
        <f>IF(AND(OR(Dashboard!$D$4="Semua",D4416=Dashboard!$D$4),OR(Dashboard!$H$4="Semua",E4416=Dashboard!$H$4)),1,0)</f>
        <v>1</v>
      </c>
      <c r="V4416">
        <f>IF(U4416=1,IF(COUNTIFS($C$2:C4416,C4416,$U$2:U4416,1)=1,1,0),0)</f>
        <v>0</v>
      </c>
    </row>
    <row r="4417" spans="1:22" x14ac:dyDescent="0.35">
      <c r="A4417">
        <v>14416</v>
      </c>
      <c r="B4417" s="1">
        <v>48977</v>
      </c>
      <c r="C4417">
        <v>1454</v>
      </c>
      <c r="D4417" t="s">
        <v>80</v>
      </c>
      <c r="E4417" t="s">
        <v>63</v>
      </c>
      <c r="F4417">
        <v>5</v>
      </c>
      <c r="G4417" s="2">
        <v>114.45</v>
      </c>
      <c r="H4417">
        <v>0.14000000000000001</v>
      </c>
      <c r="I4417" t="s">
        <v>64</v>
      </c>
      <c r="J4417">
        <v>7</v>
      </c>
      <c r="K4417">
        <v>4.5999999999999996</v>
      </c>
      <c r="L4417" s="2">
        <v>492.14</v>
      </c>
      <c r="M4417">
        <v>2034</v>
      </c>
      <c r="N4417">
        <v>2</v>
      </c>
      <c r="O4417" t="s">
        <v>225</v>
      </c>
      <c r="P4417" s="2">
        <v>572.25</v>
      </c>
      <c r="Q4417" s="2">
        <v>80.11</v>
      </c>
      <c r="R4417" t="s">
        <v>79</v>
      </c>
      <c r="S4417">
        <v>1</v>
      </c>
      <c r="T4417">
        <v>0</v>
      </c>
      <c r="U4417">
        <f>IF(AND(OR(Dashboard!$D$4="Semua",D4417=Dashboard!$D$4),OR(Dashboard!$H$4="Semua",E4417=Dashboard!$H$4)),1,0)</f>
        <v>1</v>
      </c>
      <c r="V4417">
        <f>IF(U4417=1,IF(COUNTIFS($C$2:C4417,C4417,$U$2:U4417,1)=1,1,0),0)</f>
        <v>0</v>
      </c>
    </row>
    <row r="4418" spans="1:22" x14ac:dyDescent="0.35">
      <c r="A4418">
        <v>14417</v>
      </c>
      <c r="B4418" s="1">
        <v>48978</v>
      </c>
      <c r="C4418">
        <v>1347</v>
      </c>
      <c r="D4418" t="s">
        <v>73</v>
      </c>
      <c r="E4418" t="s">
        <v>70</v>
      </c>
      <c r="F4418">
        <v>6</v>
      </c>
      <c r="G4418" s="2">
        <v>544.5</v>
      </c>
      <c r="H4418">
        <v>0.27</v>
      </c>
      <c r="I4418" t="s">
        <v>64</v>
      </c>
      <c r="J4418">
        <v>9</v>
      </c>
      <c r="K4418">
        <v>2</v>
      </c>
      <c r="L4418" s="2">
        <v>2384.91</v>
      </c>
      <c r="M4418">
        <v>2034</v>
      </c>
      <c r="N4418">
        <v>2</v>
      </c>
      <c r="O4418" t="s">
        <v>225</v>
      </c>
      <c r="P4418" s="2">
        <v>3267</v>
      </c>
      <c r="Q4418" s="2">
        <v>882.09</v>
      </c>
      <c r="R4418" t="s">
        <v>66</v>
      </c>
      <c r="S4418">
        <v>1</v>
      </c>
      <c r="T4418">
        <v>0</v>
      </c>
      <c r="U4418">
        <f>IF(AND(OR(Dashboard!$D$4="Semua",D4418=Dashboard!$D$4),OR(Dashboard!$H$4="Semua",E4418=Dashboard!$H$4)),1,0)</f>
        <v>1</v>
      </c>
      <c r="V4418">
        <f>IF(U4418=1,IF(COUNTIFS($C$2:C4418,C4418,$U$2:U4418,1)=1,1,0),0)</f>
        <v>0</v>
      </c>
    </row>
    <row r="4419" spans="1:22" x14ac:dyDescent="0.35">
      <c r="A4419">
        <v>14418</v>
      </c>
      <c r="B4419" s="1">
        <v>48979</v>
      </c>
      <c r="C4419">
        <v>1539</v>
      </c>
      <c r="D4419" t="s">
        <v>67</v>
      </c>
      <c r="E4419" t="s">
        <v>74</v>
      </c>
      <c r="F4419">
        <v>3</v>
      </c>
      <c r="G4419" s="2">
        <v>132.38</v>
      </c>
      <c r="H4419">
        <v>0.34</v>
      </c>
      <c r="I4419" t="s">
        <v>68</v>
      </c>
      <c r="J4419">
        <v>2</v>
      </c>
      <c r="K4419">
        <v>1.5</v>
      </c>
      <c r="L4419" s="2">
        <v>262.11</v>
      </c>
      <c r="M4419">
        <v>2034</v>
      </c>
      <c r="N4419">
        <v>2</v>
      </c>
      <c r="O4419" t="s">
        <v>225</v>
      </c>
      <c r="P4419" s="2">
        <v>397.14</v>
      </c>
      <c r="Q4419" s="2">
        <v>135.03</v>
      </c>
      <c r="R4419" t="s">
        <v>72</v>
      </c>
      <c r="S4419">
        <v>1</v>
      </c>
      <c r="T4419">
        <v>0</v>
      </c>
      <c r="U4419">
        <f>IF(AND(OR(Dashboard!$D$4="Semua",D4419=Dashboard!$D$4),OR(Dashboard!$H$4="Semua",E4419=Dashboard!$H$4)),1,0)</f>
        <v>1</v>
      </c>
      <c r="V4419">
        <f>IF(U4419=1,IF(COUNTIFS($C$2:C4419,C4419,$U$2:U4419,1)=1,1,0),0)</f>
        <v>0</v>
      </c>
    </row>
    <row r="4420" spans="1:22" x14ac:dyDescent="0.35">
      <c r="A4420">
        <v>14419</v>
      </c>
      <c r="B4420" s="1">
        <v>48980</v>
      </c>
      <c r="C4420">
        <v>1771</v>
      </c>
      <c r="D4420" t="s">
        <v>67</v>
      </c>
      <c r="E4420" t="s">
        <v>78</v>
      </c>
      <c r="F4420">
        <v>5</v>
      </c>
      <c r="G4420" s="2">
        <v>593.91</v>
      </c>
      <c r="H4420">
        <v>0.33</v>
      </c>
      <c r="I4420" t="s">
        <v>68</v>
      </c>
      <c r="J4420">
        <v>6</v>
      </c>
      <c r="K4420">
        <v>4.3</v>
      </c>
      <c r="L4420" s="2">
        <v>1989.6</v>
      </c>
      <c r="M4420">
        <v>2034</v>
      </c>
      <c r="N4420">
        <v>2</v>
      </c>
      <c r="O4420" t="s">
        <v>225</v>
      </c>
      <c r="P4420" s="2">
        <v>2969.55</v>
      </c>
      <c r="Q4420" s="2">
        <v>979.95</v>
      </c>
      <c r="R4420" t="s">
        <v>72</v>
      </c>
      <c r="S4420">
        <v>1</v>
      </c>
      <c r="T4420">
        <v>0</v>
      </c>
      <c r="U4420">
        <f>IF(AND(OR(Dashboard!$D$4="Semua",D4420=Dashboard!$D$4),OR(Dashboard!$H$4="Semua",E4420=Dashboard!$H$4)),1,0)</f>
        <v>1</v>
      </c>
      <c r="V4420">
        <f>IF(U4420=1,IF(COUNTIFS($C$2:C4420,C4420,$U$2:U4420,1)=1,1,0),0)</f>
        <v>0</v>
      </c>
    </row>
    <row r="4421" spans="1:22" x14ac:dyDescent="0.35">
      <c r="A4421">
        <v>14420</v>
      </c>
      <c r="B4421" s="1">
        <v>48981</v>
      </c>
      <c r="C4421">
        <v>1405</v>
      </c>
      <c r="D4421" t="s">
        <v>73</v>
      </c>
      <c r="E4421" t="s">
        <v>74</v>
      </c>
      <c r="F4421">
        <v>3</v>
      </c>
      <c r="G4421" s="2">
        <v>19.28</v>
      </c>
      <c r="H4421">
        <v>0.31</v>
      </c>
      <c r="I4421" t="s">
        <v>71</v>
      </c>
      <c r="J4421">
        <v>7</v>
      </c>
      <c r="K4421">
        <v>4.7</v>
      </c>
      <c r="L4421" s="2">
        <v>39.909999999999997</v>
      </c>
      <c r="M4421">
        <v>2034</v>
      </c>
      <c r="N4421">
        <v>2</v>
      </c>
      <c r="O4421" t="s">
        <v>225</v>
      </c>
      <c r="P4421" s="2">
        <v>57.84</v>
      </c>
      <c r="Q4421" s="2">
        <v>17.93</v>
      </c>
      <c r="R4421" t="s">
        <v>72</v>
      </c>
      <c r="S4421">
        <v>1</v>
      </c>
      <c r="T4421">
        <v>0</v>
      </c>
      <c r="U4421">
        <f>IF(AND(OR(Dashboard!$D$4="Semua",D4421=Dashboard!$D$4),OR(Dashboard!$H$4="Semua",E4421=Dashboard!$H$4)),1,0)</f>
        <v>1</v>
      </c>
      <c r="V4421">
        <f>IF(U4421=1,IF(COUNTIFS($C$2:C4421,C4421,$U$2:U4421,1)=1,1,0),0)</f>
        <v>0</v>
      </c>
    </row>
    <row r="4422" spans="1:22" x14ac:dyDescent="0.35">
      <c r="A4422">
        <v>14421</v>
      </c>
      <c r="B4422" s="1">
        <v>48982</v>
      </c>
      <c r="C4422">
        <v>1075</v>
      </c>
      <c r="D4422" t="s">
        <v>73</v>
      </c>
      <c r="E4422" t="s">
        <v>70</v>
      </c>
      <c r="F4422">
        <v>5</v>
      </c>
      <c r="G4422" s="2">
        <v>169.14</v>
      </c>
      <c r="H4422">
        <v>0.06</v>
      </c>
      <c r="I4422" t="s">
        <v>68</v>
      </c>
      <c r="J4422">
        <v>1</v>
      </c>
      <c r="K4422">
        <v>1.9</v>
      </c>
      <c r="L4422" s="2">
        <v>794.96</v>
      </c>
      <c r="M4422">
        <v>2034</v>
      </c>
      <c r="N4422">
        <v>2</v>
      </c>
      <c r="O4422" t="s">
        <v>225</v>
      </c>
      <c r="P4422" s="2">
        <v>845.7</v>
      </c>
      <c r="Q4422" s="2">
        <v>50.74</v>
      </c>
      <c r="R4422" t="s">
        <v>69</v>
      </c>
      <c r="S4422">
        <v>1</v>
      </c>
      <c r="T4422">
        <v>0</v>
      </c>
      <c r="U4422">
        <f>IF(AND(OR(Dashboard!$D$4="Semua",D4422=Dashboard!$D$4),OR(Dashboard!$H$4="Semua",E4422=Dashboard!$H$4)),1,0)</f>
        <v>1</v>
      </c>
      <c r="V4422">
        <f>IF(U4422=1,IF(COUNTIFS($C$2:C4422,C4422,$U$2:U4422,1)=1,1,0),0)</f>
        <v>0</v>
      </c>
    </row>
    <row r="4423" spans="1:22" x14ac:dyDescent="0.35">
      <c r="A4423">
        <v>14422</v>
      </c>
      <c r="B4423" s="1">
        <v>48983</v>
      </c>
      <c r="C4423">
        <v>1940</v>
      </c>
      <c r="D4423" t="s">
        <v>62</v>
      </c>
      <c r="E4423" t="s">
        <v>74</v>
      </c>
      <c r="F4423">
        <v>3</v>
      </c>
      <c r="G4423" s="2">
        <v>131.91999999999999</v>
      </c>
      <c r="H4423">
        <v>0.32</v>
      </c>
      <c r="I4423" t="s">
        <v>71</v>
      </c>
      <c r="J4423">
        <v>6</v>
      </c>
      <c r="K4423">
        <v>3.9</v>
      </c>
      <c r="L4423" s="2">
        <v>269.12</v>
      </c>
      <c r="M4423">
        <v>2034</v>
      </c>
      <c r="N4423">
        <v>2</v>
      </c>
      <c r="O4423" t="s">
        <v>225</v>
      </c>
      <c r="P4423" s="2">
        <v>395.76</v>
      </c>
      <c r="Q4423" s="2">
        <v>126.64</v>
      </c>
      <c r="R4423" t="s">
        <v>72</v>
      </c>
      <c r="S4423">
        <v>1</v>
      </c>
      <c r="T4423">
        <v>0</v>
      </c>
      <c r="U4423">
        <f>IF(AND(OR(Dashboard!$D$4="Semua",D4423=Dashboard!$D$4),OR(Dashboard!$H$4="Semua",E4423=Dashboard!$H$4)),1,0)</f>
        <v>1</v>
      </c>
      <c r="V4423">
        <f>IF(U4423=1,IF(COUNTIFS($C$2:C4423,C4423,$U$2:U4423,1)=1,1,0),0)</f>
        <v>0</v>
      </c>
    </row>
    <row r="4424" spans="1:22" x14ac:dyDescent="0.35">
      <c r="A4424">
        <v>14423</v>
      </c>
      <c r="B4424" s="1">
        <v>48984</v>
      </c>
      <c r="C4424">
        <v>1578</v>
      </c>
      <c r="D4424" t="s">
        <v>73</v>
      </c>
      <c r="E4424" t="s">
        <v>78</v>
      </c>
      <c r="F4424">
        <v>2</v>
      </c>
      <c r="G4424" s="2">
        <v>23.19</v>
      </c>
      <c r="H4424">
        <v>0.31</v>
      </c>
      <c r="I4424" t="s">
        <v>71</v>
      </c>
      <c r="J4424">
        <v>8</v>
      </c>
      <c r="K4424">
        <v>3.4</v>
      </c>
      <c r="L4424" s="2">
        <v>32</v>
      </c>
      <c r="M4424">
        <v>2034</v>
      </c>
      <c r="N4424">
        <v>2</v>
      </c>
      <c r="O4424" t="s">
        <v>225</v>
      </c>
      <c r="P4424" s="2">
        <v>46.38</v>
      </c>
      <c r="Q4424" s="2">
        <v>14.38</v>
      </c>
      <c r="R4424" t="s">
        <v>72</v>
      </c>
      <c r="S4424">
        <v>1</v>
      </c>
      <c r="T4424">
        <v>0</v>
      </c>
      <c r="U4424">
        <f>IF(AND(OR(Dashboard!$D$4="Semua",D4424=Dashboard!$D$4),OR(Dashboard!$H$4="Semua",E4424=Dashboard!$H$4)),1,0)</f>
        <v>1</v>
      </c>
      <c r="V4424">
        <f>IF(U4424=1,IF(COUNTIFS($C$2:C4424,C4424,$U$2:U4424,1)=1,1,0),0)</f>
        <v>0</v>
      </c>
    </row>
    <row r="4425" spans="1:22" x14ac:dyDescent="0.35">
      <c r="A4425">
        <v>14424</v>
      </c>
      <c r="B4425" s="1">
        <v>48985</v>
      </c>
      <c r="C4425">
        <v>1853</v>
      </c>
      <c r="D4425" t="s">
        <v>73</v>
      </c>
      <c r="E4425" t="s">
        <v>78</v>
      </c>
      <c r="F4425">
        <v>7</v>
      </c>
      <c r="G4425" s="2">
        <v>443.44</v>
      </c>
      <c r="H4425">
        <v>0.13</v>
      </c>
      <c r="I4425" t="s">
        <v>71</v>
      </c>
      <c r="J4425">
        <v>7</v>
      </c>
      <c r="K4425">
        <v>2</v>
      </c>
      <c r="L4425" s="2">
        <v>2700.55</v>
      </c>
      <c r="M4425">
        <v>2034</v>
      </c>
      <c r="N4425">
        <v>2</v>
      </c>
      <c r="O4425" t="s">
        <v>225</v>
      </c>
      <c r="P4425" s="2">
        <v>3104.08</v>
      </c>
      <c r="Q4425" s="2">
        <v>403.53</v>
      </c>
      <c r="R4425" t="s">
        <v>79</v>
      </c>
      <c r="S4425">
        <v>1</v>
      </c>
      <c r="T4425">
        <v>0</v>
      </c>
      <c r="U4425">
        <f>IF(AND(OR(Dashboard!$D$4="Semua",D4425=Dashboard!$D$4),OR(Dashboard!$H$4="Semua",E4425=Dashboard!$H$4)),1,0)</f>
        <v>1</v>
      </c>
      <c r="V4425">
        <f>IF(U4425=1,IF(COUNTIFS($C$2:C4425,C4425,$U$2:U4425,1)=1,1,0),0)</f>
        <v>0</v>
      </c>
    </row>
    <row r="4426" spans="1:22" x14ac:dyDescent="0.35">
      <c r="A4426">
        <v>14425</v>
      </c>
      <c r="B4426" s="1">
        <v>48986</v>
      </c>
      <c r="C4426">
        <v>1491</v>
      </c>
      <c r="D4426" t="s">
        <v>73</v>
      </c>
      <c r="E4426" t="s">
        <v>74</v>
      </c>
      <c r="F4426">
        <v>5</v>
      </c>
      <c r="G4426" s="2">
        <v>420.65</v>
      </c>
      <c r="H4426">
        <v>0.14000000000000001</v>
      </c>
      <c r="I4426" t="s">
        <v>68</v>
      </c>
      <c r="J4426">
        <v>2</v>
      </c>
      <c r="K4426">
        <v>4.3</v>
      </c>
      <c r="L4426" s="2">
        <v>1808.8</v>
      </c>
      <c r="M4426">
        <v>2034</v>
      </c>
      <c r="N4426">
        <v>2</v>
      </c>
      <c r="O4426" t="s">
        <v>225</v>
      </c>
      <c r="P4426" s="2">
        <v>2103.25</v>
      </c>
      <c r="Q4426" s="2">
        <v>294.45</v>
      </c>
      <c r="R4426" t="s">
        <v>79</v>
      </c>
      <c r="S4426">
        <v>1</v>
      </c>
      <c r="T4426">
        <v>0</v>
      </c>
      <c r="U4426">
        <f>IF(AND(OR(Dashboard!$D$4="Semua",D4426=Dashboard!$D$4),OR(Dashboard!$H$4="Semua",E4426=Dashboard!$H$4)),1,0)</f>
        <v>1</v>
      </c>
      <c r="V4426">
        <f>IF(U4426=1,IF(COUNTIFS($C$2:C4426,C4426,$U$2:U4426,1)=1,1,0),0)</f>
        <v>0</v>
      </c>
    </row>
    <row r="4427" spans="1:22" x14ac:dyDescent="0.35">
      <c r="A4427">
        <v>14426</v>
      </c>
      <c r="B4427" s="1">
        <v>48987</v>
      </c>
      <c r="C4427">
        <v>1193</v>
      </c>
      <c r="D4427" t="s">
        <v>62</v>
      </c>
      <c r="E4427" t="s">
        <v>78</v>
      </c>
      <c r="F4427">
        <v>7</v>
      </c>
      <c r="G4427" s="2">
        <v>478.53</v>
      </c>
      <c r="H4427">
        <v>0.16</v>
      </c>
      <c r="I4427" t="s">
        <v>71</v>
      </c>
      <c r="J4427">
        <v>2</v>
      </c>
      <c r="K4427">
        <v>2.9</v>
      </c>
      <c r="L4427" s="2">
        <v>2813.76</v>
      </c>
      <c r="M4427">
        <v>2034</v>
      </c>
      <c r="N4427">
        <v>2</v>
      </c>
      <c r="O4427" t="s">
        <v>225</v>
      </c>
      <c r="P4427" s="2">
        <v>3349.71</v>
      </c>
      <c r="Q4427" s="2">
        <v>535.95000000000005</v>
      </c>
      <c r="R4427" t="s">
        <v>76</v>
      </c>
      <c r="S4427">
        <v>1</v>
      </c>
      <c r="T4427">
        <v>0</v>
      </c>
      <c r="U4427">
        <f>IF(AND(OR(Dashboard!$D$4="Semua",D4427=Dashboard!$D$4),OR(Dashboard!$H$4="Semua",E4427=Dashboard!$H$4)),1,0)</f>
        <v>1</v>
      </c>
      <c r="V4427">
        <f>IF(U4427=1,IF(COUNTIFS($C$2:C4427,C4427,$U$2:U4427,1)=1,1,0),0)</f>
        <v>0</v>
      </c>
    </row>
    <row r="4428" spans="1:22" x14ac:dyDescent="0.35">
      <c r="A4428">
        <v>14427</v>
      </c>
      <c r="B4428" s="1">
        <v>48988</v>
      </c>
      <c r="C4428">
        <v>1983</v>
      </c>
      <c r="D4428" t="s">
        <v>67</v>
      </c>
      <c r="E4428" t="s">
        <v>63</v>
      </c>
      <c r="F4428">
        <v>2</v>
      </c>
      <c r="G4428" s="2">
        <v>165.17</v>
      </c>
      <c r="H4428">
        <v>0.23</v>
      </c>
      <c r="I4428" t="s">
        <v>64</v>
      </c>
      <c r="J4428">
        <v>4</v>
      </c>
      <c r="K4428">
        <v>3.8</v>
      </c>
      <c r="L4428" s="2">
        <v>254.36</v>
      </c>
      <c r="M4428">
        <v>2034</v>
      </c>
      <c r="N4428">
        <v>2</v>
      </c>
      <c r="O4428" t="s">
        <v>225</v>
      </c>
      <c r="P4428" s="2">
        <v>330.34</v>
      </c>
      <c r="Q4428" s="2">
        <v>75.98</v>
      </c>
      <c r="R4428" t="s">
        <v>77</v>
      </c>
      <c r="S4428">
        <v>1</v>
      </c>
      <c r="T4428">
        <v>0</v>
      </c>
      <c r="U4428">
        <f>IF(AND(OR(Dashboard!$D$4="Semua",D4428=Dashboard!$D$4),OR(Dashboard!$H$4="Semua",E4428=Dashboard!$H$4)),1,0)</f>
        <v>1</v>
      </c>
      <c r="V4428">
        <f>IF(U4428=1,IF(COUNTIFS($C$2:C4428,C4428,$U$2:U4428,1)=1,1,0),0)</f>
        <v>0</v>
      </c>
    </row>
    <row r="4429" spans="1:22" x14ac:dyDescent="0.35">
      <c r="A4429">
        <v>14428</v>
      </c>
      <c r="B4429" s="1">
        <v>48989</v>
      </c>
      <c r="C4429">
        <v>1161</v>
      </c>
      <c r="D4429" t="s">
        <v>80</v>
      </c>
      <c r="E4429" t="s">
        <v>74</v>
      </c>
      <c r="F4429">
        <v>2</v>
      </c>
      <c r="G4429" s="2">
        <v>274.94</v>
      </c>
      <c r="H4429">
        <v>0.09</v>
      </c>
      <c r="I4429" t="s">
        <v>71</v>
      </c>
      <c r="J4429">
        <v>5</v>
      </c>
      <c r="K4429">
        <v>2.2000000000000002</v>
      </c>
      <c r="L4429" s="2">
        <v>500.39</v>
      </c>
      <c r="M4429">
        <v>2034</v>
      </c>
      <c r="N4429">
        <v>2</v>
      </c>
      <c r="O4429" t="s">
        <v>225</v>
      </c>
      <c r="P4429" s="2">
        <v>549.88</v>
      </c>
      <c r="Q4429" s="2">
        <v>49.49</v>
      </c>
      <c r="R4429" t="s">
        <v>69</v>
      </c>
      <c r="S4429">
        <v>1</v>
      </c>
      <c r="T4429">
        <v>0</v>
      </c>
      <c r="U4429">
        <f>IF(AND(OR(Dashboard!$D$4="Semua",D4429=Dashboard!$D$4),OR(Dashboard!$H$4="Semua",E4429=Dashboard!$H$4)),1,0)</f>
        <v>1</v>
      </c>
      <c r="V4429">
        <f>IF(U4429=1,IF(COUNTIFS($C$2:C4429,C4429,$U$2:U4429,1)=1,1,0),0)</f>
        <v>0</v>
      </c>
    </row>
    <row r="4430" spans="1:22" x14ac:dyDescent="0.35">
      <c r="A4430">
        <v>14429</v>
      </c>
      <c r="B4430" s="1">
        <v>48990</v>
      </c>
      <c r="C4430">
        <v>1346</v>
      </c>
      <c r="D4430" t="s">
        <v>62</v>
      </c>
      <c r="E4430" t="s">
        <v>78</v>
      </c>
      <c r="F4430">
        <v>2</v>
      </c>
      <c r="G4430" s="2">
        <v>400.58</v>
      </c>
      <c r="H4430">
        <v>0.01</v>
      </c>
      <c r="I4430" t="s">
        <v>71</v>
      </c>
      <c r="J4430">
        <v>5</v>
      </c>
      <c r="K4430">
        <v>4.3</v>
      </c>
      <c r="L4430" s="2">
        <v>793.15</v>
      </c>
      <c r="M4430">
        <v>2034</v>
      </c>
      <c r="N4430">
        <v>2</v>
      </c>
      <c r="O4430" t="s">
        <v>225</v>
      </c>
      <c r="P4430" s="2">
        <v>801.16</v>
      </c>
      <c r="Q4430" s="2">
        <v>8.01</v>
      </c>
      <c r="R4430" t="s">
        <v>75</v>
      </c>
      <c r="S4430">
        <v>1</v>
      </c>
      <c r="T4430">
        <v>0</v>
      </c>
      <c r="U4430">
        <f>IF(AND(OR(Dashboard!$D$4="Semua",D4430=Dashboard!$D$4),OR(Dashboard!$H$4="Semua",E4430=Dashboard!$H$4)),1,0)</f>
        <v>1</v>
      </c>
      <c r="V4430">
        <f>IF(U4430=1,IF(COUNTIFS($C$2:C4430,C4430,$U$2:U4430,1)=1,1,0),0)</f>
        <v>0</v>
      </c>
    </row>
    <row r="4431" spans="1:22" x14ac:dyDescent="0.35">
      <c r="A4431">
        <v>14430</v>
      </c>
      <c r="B4431" s="1">
        <v>48991</v>
      </c>
      <c r="C4431">
        <v>1950</v>
      </c>
      <c r="D4431" t="s">
        <v>73</v>
      </c>
      <c r="E4431" t="s">
        <v>78</v>
      </c>
      <c r="F4431">
        <v>2</v>
      </c>
      <c r="G4431" s="2">
        <v>272.26</v>
      </c>
      <c r="H4431">
        <v>0.05</v>
      </c>
      <c r="I4431" t="s">
        <v>68</v>
      </c>
      <c r="J4431">
        <v>11</v>
      </c>
      <c r="K4431">
        <v>2.1</v>
      </c>
      <c r="L4431" s="2">
        <v>517.29</v>
      </c>
      <c r="M4431">
        <v>2034</v>
      </c>
      <c r="N4431">
        <v>2</v>
      </c>
      <c r="O4431" t="s">
        <v>225</v>
      </c>
      <c r="P4431" s="2">
        <v>544.52</v>
      </c>
      <c r="Q4431" s="2">
        <v>27.23</v>
      </c>
      <c r="R4431" t="s">
        <v>75</v>
      </c>
      <c r="S4431">
        <v>1</v>
      </c>
      <c r="T4431">
        <v>0</v>
      </c>
      <c r="U4431">
        <f>IF(AND(OR(Dashboard!$D$4="Semua",D4431=Dashboard!$D$4),OR(Dashboard!$H$4="Semua",E4431=Dashboard!$H$4)),1,0)</f>
        <v>1</v>
      </c>
      <c r="V4431">
        <f>IF(U4431=1,IF(COUNTIFS($C$2:C4431,C4431,$U$2:U4431,1)=1,1,0),0)</f>
        <v>0</v>
      </c>
    </row>
    <row r="4432" spans="1:22" x14ac:dyDescent="0.35">
      <c r="A4432">
        <v>14431</v>
      </c>
      <c r="B4432" s="1">
        <v>48992</v>
      </c>
      <c r="C4432">
        <v>1360</v>
      </c>
      <c r="D4432" t="s">
        <v>67</v>
      </c>
      <c r="E4432" t="s">
        <v>74</v>
      </c>
      <c r="F4432">
        <v>1</v>
      </c>
      <c r="G4432" s="2">
        <v>422.94</v>
      </c>
      <c r="H4432">
        <v>0.15</v>
      </c>
      <c r="I4432" t="s">
        <v>68</v>
      </c>
      <c r="J4432">
        <v>2</v>
      </c>
      <c r="K4432">
        <v>2.5</v>
      </c>
      <c r="L4432" s="2">
        <v>359.5</v>
      </c>
      <c r="M4432">
        <v>2034</v>
      </c>
      <c r="N4432">
        <v>2</v>
      </c>
      <c r="O4432" t="s">
        <v>225</v>
      </c>
      <c r="P4432" s="2">
        <v>422.94</v>
      </c>
      <c r="Q4432" s="2">
        <v>63.44</v>
      </c>
      <c r="R4432" t="s">
        <v>79</v>
      </c>
      <c r="S4432">
        <v>1</v>
      </c>
      <c r="T4432">
        <v>0</v>
      </c>
      <c r="U4432">
        <f>IF(AND(OR(Dashboard!$D$4="Semua",D4432=Dashboard!$D$4),OR(Dashboard!$H$4="Semua",E4432=Dashboard!$H$4)),1,0)</f>
        <v>1</v>
      </c>
      <c r="V4432">
        <f>IF(U4432=1,IF(COUNTIFS($C$2:C4432,C4432,$U$2:U4432,1)=1,1,0),0)</f>
        <v>0</v>
      </c>
    </row>
    <row r="4433" spans="1:22" x14ac:dyDescent="0.35">
      <c r="A4433">
        <v>14432</v>
      </c>
      <c r="B4433" s="1">
        <v>48993</v>
      </c>
      <c r="C4433">
        <v>1768</v>
      </c>
      <c r="D4433" t="s">
        <v>73</v>
      </c>
      <c r="E4433" t="s">
        <v>63</v>
      </c>
      <c r="F4433">
        <v>7</v>
      </c>
      <c r="G4433" s="2">
        <v>385.87</v>
      </c>
      <c r="H4433">
        <v>0.1</v>
      </c>
      <c r="I4433" t="s">
        <v>68</v>
      </c>
      <c r="J4433">
        <v>7</v>
      </c>
      <c r="K4433">
        <v>2.6</v>
      </c>
      <c r="L4433" s="2">
        <v>2430.98</v>
      </c>
      <c r="M4433">
        <v>2034</v>
      </c>
      <c r="N4433">
        <v>2</v>
      </c>
      <c r="O4433" t="s">
        <v>225</v>
      </c>
      <c r="P4433" s="2">
        <v>2701.09</v>
      </c>
      <c r="Q4433" s="2">
        <v>270.11</v>
      </c>
      <c r="R4433" t="s">
        <v>69</v>
      </c>
      <c r="S4433">
        <v>1</v>
      </c>
      <c r="T4433">
        <v>0</v>
      </c>
      <c r="U4433">
        <f>IF(AND(OR(Dashboard!$D$4="Semua",D4433=Dashboard!$D$4),OR(Dashboard!$H$4="Semua",E4433=Dashboard!$H$4)),1,0)</f>
        <v>1</v>
      </c>
      <c r="V4433">
        <f>IF(U4433=1,IF(COUNTIFS($C$2:C4433,C4433,$U$2:U4433,1)=1,1,0),0)</f>
        <v>0</v>
      </c>
    </row>
    <row r="4434" spans="1:22" x14ac:dyDescent="0.35">
      <c r="A4434">
        <v>14433</v>
      </c>
      <c r="B4434" s="1">
        <v>48994</v>
      </c>
      <c r="C4434">
        <v>1583</v>
      </c>
      <c r="D4434" t="s">
        <v>73</v>
      </c>
      <c r="E4434" t="s">
        <v>74</v>
      </c>
      <c r="F4434">
        <v>6</v>
      </c>
      <c r="G4434" s="2">
        <v>82.07</v>
      </c>
      <c r="H4434">
        <v>0.27</v>
      </c>
      <c r="I4434" t="s">
        <v>71</v>
      </c>
      <c r="J4434">
        <v>8</v>
      </c>
      <c r="K4434">
        <v>1.8</v>
      </c>
      <c r="L4434" s="2">
        <v>359.47</v>
      </c>
      <c r="M4434">
        <v>2034</v>
      </c>
      <c r="N4434">
        <v>2</v>
      </c>
      <c r="O4434" t="s">
        <v>225</v>
      </c>
      <c r="P4434" s="2">
        <v>492.42</v>
      </c>
      <c r="Q4434" s="2">
        <v>132.94999999999999</v>
      </c>
      <c r="R4434" t="s">
        <v>66</v>
      </c>
      <c r="S4434">
        <v>1</v>
      </c>
      <c r="T4434">
        <v>0</v>
      </c>
      <c r="U4434">
        <f>IF(AND(OR(Dashboard!$D$4="Semua",D4434=Dashboard!$D$4),OR(Dashboard!$H$4="Semua",E4434=Dashboard!$H$4)),1,0)</f>
        <v>1</v>
      </c>
      <c r="V4434">
        <f>IF(U4434=1,IF(COUNTIFS($C$2:C4434,C4434,$U$2:U4434,1)=1,1,0),0)</f>
        <v>0</v>
      </c>
    </row>
    <row r="4435" spans="1:22" x14ac:dyDescent="0.35">
      <c r="A4435">
        <v>14434</v>
      </c>
      <c r="B4435" s="1">
        <v>48995</v>
      </c>
      <c r="C4435">
        <v>1086</v>
      </c>
      <c r="D4435" t="s">
        <v>80</v>
      </c>
      <c r="E4435" t="s">
        <v>78</v>
      </c>
      <c r="F4435">
        <v>7</v>
      </c>
      <c r="G4435" s="2">
        <v>471.91</v>
      </c>
      <c r="H4435">
        <v>0.04</v>
      </c>
      <c r="I4435" t="s">
        <v>68</v>
      </c>
      <c r="J4435">
        <v>2</v>
      </c>
      <c r="K4435">
        <v>4.5</v>
      </c>
      <c r="L4435" s="2">
        <v>3171.24</v>
      </c>
      <c r="M4435">
        <v>2034</v>
      </c>
      <c r="N4435">
        <v>2</v>
      </c>
      <c r="O4435" t="s">
        <v>225</v>
      </c>
      <c r="P4435" s="2">
        <v>3303.37</v>
      </c>
      <c r="Q4435" s="2">
        <v>132.13</v>
      </c>
      <c r="R4435" t="s">
        <v>75</v>
      </c>
      <c r="S4435">
        <v>1</v>
      </c>
      <c r="T4435">
        <v>0</v>
      </c>
      <c r="U4435">
        <f>IF(AND(OR(Dashboard!$D$4="Semua",D4435=Dashboard!$D$4),OR(Dashboard!$H$4="Semua",E4435=Dashboard!$H$4)),1,0)</f>
        <v>1</v>
      </c>
      <c r="V4435">
        <f>IF(U4435=1,IF(COUNTIFS($C$2:C4435,C4435,$U$2:U4435,1)=1,1,0),0)</f>
        <v>0</v>
      </c>
    </row>
    <row r="4436" spans="1:22" x14ac:dyDescent="0.35">
      <c r="A4436">
        <v>14435</v>
      </c>
      <c r="B4436" s="1">
        <v>48996</v>
      </c>
      <c r="C4436">
        <v>1933</v>
      </c>
      <c r="D4436" t="s">
        <v>80</v>
      </c>
      <c r="E4436" t="s">
        <v>74</v>
      </c>
      <c r="F4436">
        <v>4</v>
      </c>
      <c r="G4436" s="2">
        <v>436.6</v>
      </c>
      <c r="H4436">
        <v>0.32</v>
      </c>
      <c r="I4436" t="s">
        <v>71</v>
      </c>
      <c r="J4436">
        <v>4</v>
      </c>
      <c r="K4436">
        <v>1.5</v>
      </c>
      <c r="L4436" s="2">
        <v>1187.55</v>
      </c>
      <c r="M4436">
        <v>2034</v>
      </c>
      <c r="N4436">
        <v>2</v>
      </c>
      <c r="O4436" t="s">
        <v>225</v>
      </c>
      <c r="P4436" s="2">
        <v>1746.4</v>
      </c>
      <c r="Q4436" s="2">
        <v>558.85</v>
      </c>
      <c r="R4436" t="s">
        <v>72</v>
      </c>
      <c r="S4436">
        <v>1</v>
      </c>
      <c r="T4436">
        <v>0</v>
      </c>
      <c r="U4436">
        <f>IF(AND(OR(Dashboard!$D$4="Semua",D4436=Dashboard!$D$4),OR(Dashboard!$H$4="Semua",E4436=Dashboard!$H$4)),1,0)</f>
        <v>1</v>
      </c>
      <c r="V4436">
        <f>IF(U4436=1,IF(COUNTIFS($C$2:C4436,C4436,$U$2:U4436,1)=1,1,0),0)</f>
        <v>0</v>
      </c>
    </row>
    <row r="4437" spans="1:22" x14ac:dyDescent="0.35">
      <c r="A4437">
        <v>14436</v>
      </c>
      <c r="B4437" s="1">
        <v>48997</v>
      </c>
      <c r="C4437">
        <v>1261</v>
      </c>
      <c r="D4437" t="s">
        <v>67</v>
      </c>
      <c r="E4437" t="s">
        <v>78</v>
      </c>
      <c r="F4437">
        <v>1</v>
      </c>
      <c r="G4437" s="2">
        <v>398.66</v>
      </c>
      <c r="H4437">
        <v>0.31</v>
      </c>
      <c r="I4437" t="s">
        <v>71</v>
      </c>
      <c r="J4437">
        <v>11</v>
      </c>
      <c r="K4437">
        <v>3.3</v>
      </c>
      <c r="L4437" s="2">
        <v>275.08</v>
      </c>
      <c r="M4437">
        <v>2034</v>
      </c>
      <c r="N4437">
        <v>2</v>
      </c>
      <c r="O4437" t="s">
        <v>225</v>
      </c>
      <c r="P4437" s="2">
        <v>398.66</v>
      </c>
      <c r="Q4437" s="2">
        <v>123.58</v>
      </c>
      <c r="R4437" t="s">
        <v>72</v>
      </c>
      <c r="S4437">
        <v>1</v>
      </c>
      <c r="T4437">
        <v>0</v>
      </c>
      <c r="U4437">
        <f>IF(AND(OR(Dashboard!$D$4="Semua",D4437=Dashboard!$D$4),OR(Dashboard!$H$4="Semua",E4437=Dashboard!$H$4)),1,0)</f>
        <v>1</v>
      </c>
      <c r="V4437">
        <f>IF(U4437=1,IF(COUNTIFS($C$2:C4437,C4437,$U$2:U4437,1)=1,1,0),0)</f>
        <v>0</v>
      </c>
    </row>
    <row r="4438" spans="1:22" x14ac:dyDescent="0.35">
      <c r="A4438">
        <v>14437</v>
      </c>
      <c r="B4438" s="1">
        <v>48998</v>
      </c>
      <c r="C4438">
        <v>1213</v>
      </c>
      <c r="D4438" t="s">
        <v>67</v>
      </c>
      <c r="E4438" t="s">
        <v>70</v>
      </c>
      <c r="F4438">
        <v>3</v>
      </c>
      <c r="G4438" s="2">
        <v>105.73</v>
      </c>
      <c r="H4438">
        <v>0.32</v>
      </c>
      <c r="I4438" t="s">
        <v>71</v>
      </c>
      <c r="J4438">
        <v>11</v>
      </c>
      <c r="K4438">
        <v>4.3</v>
      </c>
      <c r="L4438" s="2">
        <v>215.69</v>
      </c>
      <c r="M4438">
        <v>2034</v>
      </c>
      <c r="N4438">
        <v>2</v>
      </c>
      <c r="O4438" t="s">
        <v>225</v>
      </c>
      <c r="P4438" s="2">
        <v>317.19</v>
      </c>
      <c r="Q4438" s="2">
        <v>101.5</v>
      </c>
      <c r="R4438" t="s">
        <v>72</v>
      </c>
      <c r="S4438">
        <v>1</v>
      </c>
      <c r="T4438">
        <v>0</v>
      </c>
      <c r="U4438">
        <f>IF(AND(OR(Dashboard!$D$4="Semua",D4438=Dashboard!$D$4),OR(Dashboard!$H$4="Semua",E4438=Dashboard!$H$4)),1,0)</f>
        <v>1</v>
      </c>
      <c r="V4438">
        <f>IF(U4438=1,IF(COUNTIFS($C$2:C4438,C4438,$U$2:U4438,1)=1,1,0),0)</f>
        <v>0</v>
      </c>
    </row>
    <row r="4439" spans="1:22" x14ac:dyDescent="0.35">
      <c r="A4439">
        <v>14438</v>
      </c>
      <c r="B4439" s="1">
        <v>48999</v>
      </c>
      <c r="C4439">
        <v>1664</v>
      </c>
      <c r="D4439" t="s">
        <v>67</v>
      </c>
      <c r="E4439" t="s">
        <v>74</v>
      </c>
      <c r="F4439">
        <v>3</v>
      </c>
      <c r="G4439" s="2">
        <v>171.78</v>
      </c>
      <c r="H4439">
        <v>0.26</v>
      </c>
      <c r="I4439" t="s">
        <v>68</v>
      </c>
      <c r="J4439">
        <v>3</v>
      </c>
      <c r="K4439">
        <v>3.3</v>
      </c>
      <c r="L4439" s="2">
        <v>381.35</v>
      </c>
      <c r="M4439">
        <v>2034</v>
      </c>
      <c r="N4439">
        <v>2</v>
      </c>
      <c r="O4439" t="s">
        <v>225</v>
      </c>
      <c r="P4439" s="2">
        <v>515.34</v>
      </c>
      <c r="Q4439" s="2">
        <v>133.99</v>
      </c>
      <c r="R4439" t="s">
        <v>66</v>
      </c>
      <c r="S4439">
        <v>1</v>
      </c>
      <c r="T4439">
        <v>0</v>
      </c>
      <c r="U4439">
        <f>IF(AND(OR(Dashboard!$D$4="Semua",D4439=Dashboard!$D$4),OR(Dashboard!$H$4="Semua",E4439=Dashboard!$H$4)),1,0)</f>
        <v>1</v>
      </c>
      <c r="V4439">
        <f>IF(U4439=1,IF(COUNTIFS($C$2:C4439,C4439,$U$2:U4439,1)=1,1,0),0)</f>
        <v>0</v>
      </c>
    </row>
    <row r="4440" spans="1:22" x14ac:dyDescent="0.35">
      <c r="A4440">
        <v>14439</v>
      </c>
      <c r="B4440" s="1">
        <v>49000</v>
      </c>
      <c r="C4440">
        <v>1721</v>
      </c>
      <c r="D4440" t="s">
        <v>73</v>
      </c>
      <c r="E4440" t="s">
        <v>74</v>
      </c>
      <c r="F4440">
        <v>6</v>
      </c>
      <c r="G4440" s="2">
        <v>245.01</v>
      </c>
      <c r="H4440">
        <v>0.04</v>
      </c>
      <c r="I4440" t="s">
        <v>71</v>
      </c>
      <c r="J4440">
        <v>4</v>
      </c>
      <c r="K4440">
        <v>2.2999999999999998</v>
      </c>
      <c r="L4440" s="2">
        <v>1411.26</v>
      </c>
      <c r="M4440">
        <v>2034</v>
      </c>
      <c r="N4440">
        <v>2</v>
      </c>
      <c r="O4440" t="s">
        <v>225</v>
      </c>
      <c r="P4440" s="2">
        <v>1470.06</v>
      </c>
      <c r="Q4440" s="2">
        <v>58.8</v>
      </c>
      <c r="R4440" t="s">
        <v>75</v>
      </c>
      <c r="S4440">
        <v>1</v>
      </c>
      <c r="T4440">
        <v>0</v>
      </c>
      <c r="U4440">
        <f>IF(AND(OR(Dashboard!$D$4="Semua",D4440=Dashboard!$D$4),OR(Dashboard!$H$4="Semua",E4440=Dashboard!$H$4)),1,0)</f>
        <v>1</v>
      </c>
      <c r="V4440">
        <f>IF(U4440=1,IF(COUNTIFS($C$2:C4440,C4440,$U$2:U4440,1)=1,1,0),0)</f>
        <v>0</v>
      </c>
    </row>
    <row r="4441" spans="1:22" x14ac:dyDescent="0.35">
      <c r="A4441">
        <v>14440</v>
      </c>
      <c r="B4441" s="1">
        <v>49001</v>
      </c>
      <c r="C4441">
        <v>1912</v>
      </c>
      <c r="D4441" t="s">
        <v>73</v>
      </c>
      <c r="E4441" t="s">
        <v>78</v>
      </c>
      <c r="F4441">
        <v>4</v>
      </c>
      <c r="G4441" s="2">
        <v>178.76</v>
      </c>
      <c r="H4441">
        <v>0.15</v>
      </c>
      <c r="I4441" t="s">
        <v>71</v>
      </c>
      <c r="J4441">
        <v>5</v>
      </c>
      <c r="K4441">
        <v>4.0999999999999996</v>
      </c>
      <c r="L4441" s="2">
        <v>607.78</v>
      </c>
      <c r="M4441">
        <v>2034</v>
      </c>
      <c r="N4441">
        <v>2</v>
      </c>
      <c r="O4441" t="s">
        <v>225</v>
      </c>
      <c r="P4441" s="2">
        <v>715.04</v>
      </c>
      <c r="Q4441" s="2">
        <v>107.26</v>
      </c>
      <c r="R4441" t="s">
        <v>79</v>
      </c>
      <c r="S4441">
        <v>1</v>
      </c>
      <c r="T4441">
        <v>0</v>
      </c>
      <c r="U4441">
        <f>IF(AND(OR(Dashboard!$D$4="Semua",D4441=Dashboard!$D$4),OR(Dashboard!$H$4="Semua",E4441=Dashboard!$H$4)),1,0)</f>
        <v>1</v>
      </c>
      <c r="V4441">
        <f>IF(U4441=1,IF(COUNTIFS($C$2:C4441,C4441,$U$2:U4441,1)=1,1,0),0)</f>
        <v>0</v>
      </c>
    </row>
    <row r="4442" spans="1:22" x14ac:dyDescent="0.35">
      <c r="A4442">
        <v>14441</v>
      </c>
      <c r="B4442" s="1">
        <v>49002</v>
      </c>
      <c r="C4442">
        <v>1572</v>
      </c>
      <c r="D4442" t="s">
        <v>73</v>
      </c>
      <c r="E4442" t="s">
        <v>78</v>
      </c>
      <c r="F4442">
        <v>4</v>
      </c>
      <c r="G4442" s="2">
        <v>148.27000000000001</v>
      </c>
      <c r="H4442">
        <v>0.05</v>
      </c>
      <c r="I4442" t="s">
        <v>68</v>
      </c>
      <c r="J4442">
        <v>6</v>
      </c>
      <c r="K4442">
        <v>3</v>
      </c>
      <c r="L4442" s="2">
        <v>563.42999999999995</v>
      </c>
      <c r="M4442">
        <v>2034</v>
      </c>
      <c r="N4442">
        <v>2</v>
      </c>
      <c r="O4442" t="s">
        <v>225</v>
      </c>
      <c r="P4442" s="2">
        <v>593.08000000000004</v>
      </c>
      <c r="Q4442" s="2">
        <v>29.65</v>
      </c>
      <c r="R4442" t="s">
        <v>75</v>
      </c>
      <c r="S4442">
        <v>1</v>
      </c>
      <c r="T4442">
        <v>0</v>
      </c>
      <c r="U4442">
        <f>IF(AND(OR(Dashboard!$D$4="Semua",D4442=Dashboard!$D$4),OR(Dashboard!$H$4="Semua",E4442=Dashboard!$H$4)),1,0)</f>
        <v>1</v>
      </c>
      <c r="V4442">
        <f>IF(U4442=1,IF(COUNTIFS($C$2:C4442,C4442,$U$2:U4442,1)=1,1,0),0)</f>
        <v>0</v>
      </c>
    </row>
    <row r="4443" spans="1:22" x14ac:dyDescent="0.35">
      <c r="A4443">
        <v>14442</v>
      </c>
      <c r="B4443" s="1">
        <v>49003</v>
      </c>
      <c r="C4443">
        <v>1779</v>
      </c>
      <c r="D4443" t="s">
        <v>73</v>
      </c>
      <c r="E4443" t="s">
        <v>78</v>
      </c>
      <c r="F4443">
        <v>4</v>
      </c>
      <c r="G4443" s="2">
        <v>486.13</v>
      </c>
      <c r="H4443">
        <v>0.35</v>
      </c>
      <c r="I4443" t="s">
        <v>68</v>
      </c>
      <c r="J4443">
        <v>2</v>
      </c>
      <c r="K4443">
        <v>1.7</v>
      </c>
      <c r="L4443" s="2">
        <v>1263.94</v>
      </c>
      <c r="M4443">
        <v>2034</v>
      </c>
      <c r="N4443">
        <v>2</v>
      </c>
      <c r="O4443" t="s">
        <v>225</v>
      </c>
      <c r="P4443" s="2">
        <v>1944.52</v>
      </c>
      <c r="Q4443" s="2">
        <v>680.58</v>
      </c>
      <c r="R4443" t="s">
        <v>72</v>
      </c>
      <c r="S4443">
        <v>1</v>
      </c>
      <c r="T4443">
        <v>0</v>
      </c>
      <c r="U4443">
        <f>IF(AND(OR(Dashboard!$D$4="Semua",D4443=Dashboard!$D$4),OR(Dashboard!$H$4="Semua",E4443=Dashboard!$H$4)),1,0)</f>
        <v>1</v>
      </c>
      <c r="V4443">
        <f>IF(U4443=1,IF(COUNTIFS($C$2:C4443,C4443,$U$2:U4443,1)=1,1,0),0)</f>
        <v>0</v>
      </c>
    </row>
    <row r="4444" spans="1:22" x14ac:dyDescent="0.35">
      <c r="A4444">
        <v>14443</v>
      </c>
      <c r="B4444" s="1">
        <v>49004</v>
      </c>
      <c r="C4444">
        <v>1261</v>
      </c>
      <c r="D4444" t="s">
        <v>80</v>
      </c>
      <c r="E4444" t="s">
        <v>78</v>
      </c>
      <c r="F4444">
        <v>2</v>
      </c>
      <c r="G4444" s="2">
        <v>388.37</v>
      </c>
      <c r="H4444">
        <v>0.12</v>
      </c>
      <c r="I4444" t="s">
        <v>71</v>
      </c>
      <c r="J4444">
        <v>10</v>
      </c>
      <c r="K4444">
        <v>2.2999999999999998</v>
      </c>
      <c r="L4444" s="2">
        <v>683.53</v>
      </c>
      <c r="M4444">
        <v>2034</v>
      </c>
      <c r="N4444">
        <v>3</v>
      </c>
      <c r="O4444" t="s">
        <v>226</v>
      </c>
      <c r="P4444" s="2">
        <v>776.74</v>
      </c>
      <c r="Q4444" s="2">
        <v>93.21</v>
      </c>
      <c r="R4444" t="s">
        <v>79</v>
      </c>
      <c r="S4444">
        <v>1</v>
      </c>
      <c r="T4444">
        <v>0</v>
      </c>
      <c r="U4444">
        <f>IF(AND(OR(Dashboard!$D$4="Semua",D4444=Dashboard!$D$4),OR(Dashboard!$H$4="Semua",E4444=Dashboard!$H$4)),1,0)</f>
        <v>1</v>
      </c>
      <c r="V4444">
        <f>IF(U4444=1,IF(COUNTIFS($C$2:C4444,C4444,$U$2:U4444,1)=1,1,0),0)</f>
        <v>0</v>
      </c>
    </row>
    <row r="4445" spans="1:22" x14ac:dyDescent="0.35">
      <c r="A4445">
        <v>14444</v>
      </c>
      <c r="B4445" s="1">
        <v>49005</v>
      </c>
      <c r="C4445">
        <v>1729</v>
      </c>
      <c r="D4445" t="s">
        <v>73</v>
      </c>
      <c r="E4445" t="s">
        <v>74</v>
      </c>
      <c r="F4445">
        <v>1</v>
      </c>
      <c r="G4445" s="2">
        <v>345.8</v>
      </c>
      <c r="H4445">
        <v>0.2</v>
      </c>
      <c r="I4445" t="s">
        <v>68</v>
      </c>
      <c r="J4445">
        <v>6</v>
      </c>
      <c r="K4445">
        <v>3.4</v>
      </c>
      <c r="L4445" s="2">
        <v>276.64</v>
      </c>
      <c r="M4445">
        <v>2034</v>
      </c>
      <c r="N4445">
        <v>3</v>
      </c>
      <c r="O4445" t="s">
        <v>226</v>
      </c>
      <c r="P4445" s="2">
        <v>345.8</v>
      </c>
      <c r="Q4445" s="2">
        <v>69.16</v>
      </c>
      <c r="R4445" t="s">
        <v>76</v>
      </c>
      <c r="S4445">
        <v>1</v>
      </c>
      <c r="T4445">
        <v>0</v>
      </c>
      <c r="U4445">
        <f>IF(AND(OR(Dashboard!$D$4="Semua",D4445=Dashboard!$D$4),OR(Dashboard!$H$4="Semua",E4445=Dashboard!$H$4)),1,0)</f>
        <v>1</v>
      </c>
      <c r="V4445">
        <f>IF(U4445=1,IF(COUNTIFS($C$2:C4445,C4445,$U$2:U4445,1)=1,1,0),0)</f>
        <v>0</v>
      </c>
    </row>
    <row r="4446" spans="1:22" x14ac:dyDescent="0.35">
      <c r="A4446">
        <v>14445</v>
      </c>
      <c r="B4446" s="1">
        <v>49006</v>
      </c>
      <c r="C4446">
        <v>1282</v>
      </c>
      <c r="D4446" t="s">
        <v>73</v>
      </c>
      <c r="E4446" t="s">
        <v>78</v>
      </c>
      <c r="F4446">
        <v>3</v>
      </c>
      <c r="G4446" s="2">
        <v>147.18</v>
      </c>
      <c r="H4446">
        <v>0.27</v>
      </c>
      <c r="I4446" t="s">
        <v>68</v>
      </c>
      <c r="J4446">
        <v>9</v>
      </c>
      <c r="K4446">
        <v>3.6</v>
      </c>
      <c r="L4446" s="2">
        <v>322.32</v>
      </c>
      <c r="M4446">
        <v>2034</v>
      </c>
      <c r="N4446">
        <v>3</v>
      </c>
      <c r="O4446" t="s">
        <v>226</v>
      </c>
      <c r="P4446" s="2">
        <v>441.54</v>
      </c>
      <c r="Q4446" s="2">
        <v>119.22</v>
      </c>
      <c r="R4446" t="s">
        <v>66</v>
      </c>
      <c r="S4446">
        <v>1</v>
      </c>
      <c r="T4446">
        <v>0</v>
      </c>
      <c r="U4446">
        <f>IF(AND(OR(Dashboard!$D$4="Semua",D4446=Dashboard!$D$4),OR(Dashboard!$H$4="Semua",E4446=Dashboard!$H$4)),1,0)</f>
        <v>1</v>
      </c>
      <c r="V4446">
        <f>IF(U4446=1,IF(COUNTIFS($C$2:C4446,C4446,$U$2:U4446,1)=1,1,0),0)</f>
        <v>0</v>
      </c>
    </row>
    <row r="4447" spans="1:22" x14ac:dyDescent="0.35">
      <c r="A4447">
        <v>14446</v>
      </c>
      <c r="B4447" s="1">
        <v>49007</v>
      </c>
      <c r="C4447">
        <v>1647</v>
      </c>
      <c r="D4447" t="s">
        <v>67</v>
      </c>
      <c r="E4447" t="s">
        <v>74</v>
      </c>
      <c r="F4447">
        <v>1</v>
      </c>
      <c r="G4447" s="2">
        <v>552.07000000000005</v>
      </c>
      <c r="H4447">
        <v>0.32</v>
      </c>
      <c r="I4447" t="s">
        <v>68</v>
      </c>
      <c r="J4447">
        <v>11</v>
      </c>
      <c r="K4447">
        <v>3.2</v>
      </c>
      <c r="L4447" s="2">
        <v>375.41</v>
      </c>
      <c r="M4447">
        <v>2034</v>
      </c>
      <c r="N4447">
        <v>3</v>
      </c>
      <c r="O4447" t="s">
        <v>226</v>
      </c>
      <c r="P4447" s="2">
        <v>552.07000000000005</v>
      </c>
      <c r="Q4447" s="2">
        <v>176.66</v>
      </c>
      <c r="R4447" t="s">
        <v>72</v>
      </c>
      <c r="S4447">
        <v>1</v>
      </c>
      <c r="T4447">
        <v>0</v>
      </c>
      <c r="U4447">
        <f>IF(AND(OR(Dashboard!$D$4="Semua",D4447=Dashboard!$D$4),OR(Dashboard!$H$4="Semua",E4447=Dashboard!$H$4)),1,0)</f>
        <v>1</v>
      </c>
      <c r="V4447">
        <f>IF(U4447=1,IF(COUNTIFS($C$2:C4447,C4447,$U$2:U4447,1)=1,1,0),0)</f>
        <v>0</v>
      </c>
    </row>
    <row r="4448" spans="1:22" x14ac:dyDescent="0.35">
      <c r="A4448">
        <v>14447</v>
      </c>
      <c r="B4448" s="1">
        <v>49008</v>
      </c>
      <c r="C4448">
        <v>1466</v>
      </c>
      <c r="D4448" t="s">
        <v>62</v>
      </c>
      <c r="E4448" t="s">
        <v>63</v>
      </c>
      <c r="F4448">
        <v>1</v>
      </c>
      <c r="G4448" s="2">
        <v>126.84</v>
      </c>
      <c r="H4448">
        <v>0.26</v>
      </c>
      <c r="I4448" t="s">
        <v>68</v>
      </c>
      <c r="J4448">
        <v>8</v>
      </c>
      <c r="K4448">
        <v>2.1</v>
      </c>
      <c r="L4448" s="2">
        <v>93.86</v>
      </c>
      <c r="M4448">
        <v>2034</v>
      </c>
      <c r="N4448">
        <v>3</v>
      </c>
      <c r="O4448" t="s">
        <v>226</v>
      </c>
      <c r="P4448" s="2">
        <v>126.84</v>
      </c>
      <c r="Q4448" s="2">
        <v>32.979999999999997</v>
      </c>
      <c r="R4448" t="s">
        <v>66</v>
      </c>
      <c r="S4448">
        <v>1</v>
      </c>
      <c r="T4448">
        <v>0</v>
      </c>
      <c r="U4448">
        <f>IF(AND(OR(Dashboard!$D$4="Semua",D4448=Dashboard!$D$4),OR(Dashboard!$H$4="Semua",E4448=Dashboard!$H$4)),1,0)</f>
        <v>1</v>
      </c>
      <c r="V4448">
        <f>IF(U4448=1,IF(COUNTIFS($C$2:C4448,C4448,$U$2:U4448,1)=1,1,0),0)</f>
        <v>0</v>
      </c>
    </row>
    <row r="4449" spans="1:22" x14ac:dyDescent="0.35">
      <c r="A4449">
        <v>14448</v>
      </c>
      <c r="B4449" s="1">
        <v>49009</v>
      </c>
      <c r="C4449">
        <v>1379</v>
      </c>
      <c r="D4449" t="s">
        <v>73</v>
      </c>
      <c r="E4449" t="s">
        <v>74</v>
      </c>
      <c r="F4449">
        <v>1</v>
      </c>
      <c r="G4449" s="2">
        <v>480.05</v>
      </c>
      <c r="H4449">
        <v>0.24</v>
      </c>
      <c r="I4449" t="s">
        <v>64</v>
      </c>
      <c r="J4449">
        <v>1</v>
      </c>
      <c r="K4449">
        <v>3.4</v>
      </c>
      <c r="L4449" s="2">
        <v>364.84</v>
      </c>
      <c r="M4449">
        <v>2034</v>
      </c>
      <c r="N4449">
        <v>3</v>
      </c>
      <c r="O4449" t="s">
        <v>226</v>
      </c>
      <c r="P4449" s="2">
        <v>480.05</v>
      </c>
      <c r="Q4449" s="2">
        <v>115.21</v>
      </c>
      <c r="R4449" t="s">
        <v>77</v>
      </c>
      <c r="S4449">
        <v>1</v>
      </c>
      <c r="T4449">
        <v>0</v>
      </c>
      <c r="U4449">
        <f>IF(AND(OR(Dashboard!$D$4="Semua",D4449=Dashboard!$D$4),OR(Dashboard!$H$4="Semua",E4449=Dashboard!$H$4)),1,0)</f>
        <v>1</v>
      </c>
      <c r="V4449">
        <f>IF(U4449=1,IF(COUNTIFS($C$2:C4449,C4449,$U$2:U4449,1)=1,1,0),0)</f>
        <v>0</v>
      </c>
    </row>
    <row r="4450" spans="1:22" x14ac:dyDescent="0.35">
      <c r="A4450">
        <v>14449</v>
      </c>
      <c r="B4450" s="1">
        <v>49010</v>
      </c>
      <c r="C4450">
        <v>1361</v>
      </c>
      <c r="D4450" t="s">
        <v>73</v>
      </c>
      <c r="E4450" t="s">
        <v>78</v>
      </c>
      <c r="F4450">
        <v>4</v>
      </c>
      <c r="G4450" s="2">
        <v>580.5</v>
      </c>
      <c r="H4450">
        <v>0.16</v>
      </c>
      <c r="I4450" t="s">
        <v>71</v>
      </c>
      <c r="J4450">
        <v>9</v>
      </c>
      <c r="K4450">
        <v>2.2999999999999998</v>
      </c>
      <c r="L4450" s="2">
        <v>1950.48</v>
      </c>
      <c r="M4450">
        <v>2034</v>
      </c>
      <c r="N4450">
        <v>3</v>
      </c>
      <c r="O4450" t="s">
        <v>226</v>
      </c>
      <c r="P4450" s="2">
        <v>2322</v>
      </c>
      <c r="Q4450" s="2">
        <v>371.52</v>
      </c>
      <c r="R4450" t="s">
        <v>76</v>
      </c>
      <c r="S4450">
        <v>1</v>
      </c>
      <c r="T4450">
        <v>0</v>
      </c>
      <c r="U4450">
        <f>IF(AND(OR(Dashboard!$D$4="Semua",D4450=Dashboard!$D$4),OR(Dashboard!$H$4="Semua",E4450=Dashboard!$H$4)),1,0)</f>
        <v>1</v>
      </c>
      <c r="V4450">
        <f>IF(U4450=1,IF(COUNTIFS($C$2:C4450,C4450,$U$2:U4450,1)=1,1,0),0)</f>
        <v>0</v>
      </c>
    </row>
    <row r="4451" spans="1:22" x14ac:dyDescent="0.35">
      <c r="A4451">
        <v>14450</v>
      </c>
      <c r="B4451" s="1">
        <v>49011</v>
      </c>
      <c r="C4451">
        <v>1448</v>
      </c>
      <c r="D4451" t="s">
        <v>67</v>
      </c>
      <c r="E4451" t="s">
        <v>78</v>
      </c>
      <c r="F4451">
        <v>6</v>
      </c>
      <c r="G4451" s="2">
        <v>440.35</v>
      </c>
      <c r="H4451">
        <v>0.21</v>
      </c>
      <c r="I4451" t="s">
        <v>71</v>
      </c>
      <c r="J4451">
        <v>11</v>
      </c>
      <c r="K4451">
        <v>1.9</v>
      </c>
      <c r="L4451" s="2">
        <v>2087.2600000000002</v>
      </c>
      <c r="M4451">
        <v>2034</v>
      </c>
      <c r="N4451">
        <v>3</v>
      </c>
      <c r="O4451" t="s">
        <v>226</v>
      </c>
      <c r="P4451" s="2">
        <v>2642.1</v>
      </c>
      <c r="Q4451" s="2">
        <v>554.84</v>
      </c>
      <c r="R4451" t="s">
        <v>77</v>
      </c>
      <c r="S4451">
        <v>1</v>
      </c>
      <c r="T4451">
        <v>0</v>
      </c>
      <c r="U4451">
        <f>IF(AND(OR(Dashboard!$D$4="Semua",D4451=Dashboard!$D$4),OR(Dashboard!$H$4="Semua",E4451=Dashboard!$H$4)),1,0)</f>
        <v>1</v>
      </c>
      <c r="V4451">
        <f>IF(U4451=1,IF(COUNTIFS($C$2:C4451,C4451,$U$2:U4451,1)=1,1,0),0)</f>
        <v>0</v>
      </c>
    </row>
    <row r="4452" spans="1:22" x14ac:dyDescent="0.35">
      <c r="A4452">
        <v>14451</v>
      </c>
      <c r="B4452" s="1">
        <v>49012</v>
      </c>
      <c r="C4452">
        <v>1440</v>
      </c>
      <c r="D4452" t="s">
        <v>80</v>
      </c>
      <c r="E4452" t="s">
        <v>63</v>
      </c>
      <c r="F4452">
        <v>6</v>
      </c>
      <c r="G4452" s="2">
        <v>595.82000000000005</v>
      </c>
      <c r="H4452">
        <v>0.03</v>
      </c>
      <c r="I4452" t="s">
        <v>64</v>
      </c>
      <c r="J4452">
        <v>10</v>
      </c>
      <c r="K4452">
        <v>4.8</v>
      </c>
      <c r="L4452" s="2">
        <v>3467.67</v>
      </c>
      <c r="M4452">
        <v>2034</v>
      </c>
      <c r="N4452">
        <v>3</v>
      </c>
      <c r="O4452" t="s">
        <v>226</v>
      </c>
      <c r="P4452" s="2">
        <v>3574.92</v>
      </c>
      <c r="Q4452" s="2">
        <v>107.25</v>
      </c>
      <c r="R4452" t="s">
        <v>75</v>
      </c>
      <c r="S4452">
        <v>1</v>
      </c>
      <c r="T4452">
        <v>1</v>
      </c>
      <c r="U4452">
        <f>IF(AND(OR(Dashboard!$D$4="Semua",D4452=Dashboard!$D$4),OR(Dashboard!$H$4="Semua",E4452=Dashboard!$H$4)),1,0)</f>
        <v>1</v>
      </c>
      <c r="V4452">
        <f>IF(U4452=1,IF(COUNTIFS($C$2:C4452,C4452,$U$2:U4452,1)=1,1,0),0)</f>
        <v>0</v>
      </c>
    </row>
    <row r="4453" spans="1:22" x14ac:dyDescent="0.35">
      <c r="A4453">
        <v>14452</v>
      </c>
      <c r="B4453" s="1">
        <v>49013</v>
      </c>
      <c r="C4453">
        <v>1092</v>
      </c>
      <c r="D4453" t="s">
        <v>67</v>
      </c>
      <c r="E4453" t="s">
        <v>74</v>
      </c>
      <c r="F4453">
        <v>4</v>
      </c>
      <c r="G4453" s="2">
        <v>395.86</v>
      </c>
      <c r="H4453">
        <v>0.31</v>
      </c>
      <c r="I4453" t="s">
        <v>71</v>
      </c>
      <c r="J4453">
        <v>11</v>
      </c>
      <c r="K4453">
        <v>2.2999999999999998</v>
      </c>
      <c r="L4453" s="2">
        <v>1092.57</v>
      </c>
      <c r="M4453">
        <v>2034</v>
      </c>
      <c r="N4453">
        <v>3</v>
      </c>
      <c r="O4453" t="s">
        <v>226</v>
      </c>
      <c r="P4453" s="2">
        <v>1583.44</v>
      </c>
      <c r="Q4453" s="2">
        <v>490.87</v>
      </c>
      <c r="R4453" t="s">
        <v>72</v>
      </c>
      <c r="S4453">
        <v>1</v>
      </c>
      <c r="T4453">
        <v>0</v>
      </c>
      <c r="U4453">
        <f>IF(AND(OR(Dashboard!$D$4="Semua",D4453=Dashboard!$D$4),OR(Dashboard!$H$4="Semua",E4453=Dashboard!$H$4)),1,0)</f>
        <v>1</v>
      </c>
      <c r="V4453">
        <f>IF(U4453=1,IF(COUNTIFS($C$2:C4453,C4453,$U$2:U4453,1)=1,1,0),0)</f>
        <v>0</v>
      </c>
    </row>
    <row r="4454" spans="1:22" x14ac:dyDescent="0.35">
      <c r="A4454">
        <v>14453</v>
      </c>
      <c r="B4454" s="1">
        <v>49014</v>
      </c>
      <c r="C4454">
        <v>1620</v>
      </c>
      <c r="D4454" t="s">
        <v>80</v>
      </c>
      <c r="E4454" t="s">
        <v>63</v>
      </c>
      <c r="F4454">
        <v>3</v>
      </c>
      <c r="G4454" s="2">
        <v>142.21</v>
      </c>
      <c r="H4454">
        <v>0.19</v>
      </c>
      <c r="I4454" t="s">
        <v>71</v>
      </c>
      <c r="J4454">
        <v>2</v>
      </c>
      <c r="K4454">
        <v>2.2999999999999998</v>
      </c>
      <c r="L4454" s="2">
        <v>345.57</v>
      </c>
      <c r="M4454">
        <v>2034</v>
      </c>
      <c r="N4454">
        <v>3</v>
      </c>
      <c r="O4454" t="s">
        <v>226</v>
      </c>
      <c r="P4454" s="2">
        <v>426.63</v>
      </c>
      <c r="Q4454" s="2">
        <v>81.06</v>
      </c>
      <c r="R4454" t="s">
        <v>76</v>
      </c>
      <c r="S4454">
        <v>1</v>
      </c>
      <c r="T4454">
        <v>0</v>
      </c>
      <c r="U4454">
        <f>IF(AND(OR(Dashboard!$D$4="Semua",D4454=Dashboard!$D$4),OR(Dashboard!$H$4="Semua",E4454=Dashboard!$H$4)),1,0)</f>
        <v>1</v>
      </c>
      <c r="V4454">
        <f>IF(U4454=1,IF(COUNTIFS($C$2:C4454,C4454,$U$2:U4454,1)=1,1,0),0)</f>
        <v>0</v>
      </c>
    </row>
    <row r="4455" spans="1:22" x14ac:dyDescent="0.35">
      <c r="A4455">
        <v>14454</v>
      </c>
      <c r="B4455" s="1">
        <v>49015</v>
      </c>
      <c r="C4455">
        <v>1752</v>
      </c>
      <c r="D4455" t="s">
        <v>62</v>
      </c>
      <c r="E4455" t="s">
        <v>74</v>
      </c>
      <c r="F4455">
        <v>3</v>
      </c>
      <c r="G4455" s="2">
        <v>134.22999999999999</v>
      </c>
      <c r="H4455">
        <v>0.01</v>
      </c>
      <c r="I4455" t="s">
        <v>68</v>
      </c>
      <c r="J4455">
        <v>11</v>
      </c>
      <c r="K4455">
        <v>4.5999999999999996</v>
      </c>
      <c r="L4455" s="2">
        <v>398.66</v>
      </c>
      <c r="M4455">
        <v>2034</v>
      </c>
      <c r="N4455">
        <v>3</v>
      </c>
      <c r="O4455" t="s">
        <v>226</v>
      </c>
      <c r="P4455" s="2">
        <v>402.69</v>
      </c>
      <c r="Q4455" s="2">
        <v>4.03</v>
      </c>
      <c r="R4455" t="s">
        <v>75</v>
      </c>
      <c r="S4455">
        <v>1</v>
      </c>
      <c r="T4455">
        <v>0</v>
      </c>
      <c r="U4455">
        <f>IF(AND(OR(Dashboard!$D$4="Semua",D4455=Dashboard!$D$4),OR(Dashboard!$H$4="Semua",E4455=Dashboard!$H$4)),1,0)</f>
        <v>1</v>
      </c>
      <c r="V4455">
        <f>IF(U4455=1,IF(COUNTIFS($C$2:C4455,C4455,$U$2:U4455,1)=1,1,0),0)</f>
        <v>0</v>
      </c>
    </row>
    <row r="4456" spans="1:22" x14ac:dyDescent="0.35">
      <c r="A4456">
        <v>14455</v>
      </c>
      <c r="B4456" s="1">
        <v>49016</v>
      </c>
      <c r="C4456">
        <v>1866</v>
      </c>
      <c r="D4456" t="s">
        <v>80</v>
      </c>
      <c r="E4456" t="s">
        <v>78</v>
      </c>
      <c r="F4456">
        <v>3</v>
      </c>
      <c r="G4456" s="2">
        <v>204.87</v>
      </c>
      <c r="H4456">
        <v>0.32</v>
      </c>
      <c r="I4456" t="s">
        <v>71</v>
      </c>
      <c r="J4456">
        <v>1</v>
      </c>
      <c r="K4456">
        <v>1.6</v>
      </c>
      <c r="L4456" s="2">
        <v>417.93</v>
      </c>
      <c r="M4456">
        <v>2034</v>
      </c>
      <c r="N4456">
        <v>3</v>
      </c>
      <c r="O4456" t="s">
        <v>226</v>
      </c>
      <c r="P4456" s="2">
        <v>614.61</v>
      </c>
      <c r="Q4456" s="2">
        <v>196.68</v>
      </c>
      <c r="R4456" t="s">
        <v>72</v>
      </c>
      <c r="S4456">
        <v>1</v>
      </c>
      <c r="T4456">
        <v>0</v>
      </c>
      <c r="U4456">
        <f>IF(AND(OR(Dashboard!$D$4="Semua",D4456=Dashboard!$D$4),OR(Dashboard!$H$4="Semua",E4456=Dashboard!$H$4)),1,0)</f>
        <v>1</v>
      </c>
      <c r="V4456">
        <f>IF(U4456=1,IF(COUNTIFS($C$2:C4456,C4456,$U$2:U4456,1)=1,1,0),0)</f>
        <v>0</v>
      </c>
    </row>
    <row r="4457" spans="1:22" x14ac:dyDescent="0.35">
      <c r="A4457">
        <v>14456</v>
      </c>
      <c r="B4457" s="1">
        <v>49017</v>
      </c>
      <c r="C4457">
        <v>1423</v>
      </c>
      <c r="D4457" t="s">
        <v>67</v>
      </c>
      <c r="E4457" t="s">
        <v>74</v>
      </c>
      <c r="F4457">
        <v>6</v>
      </c>
      <c r="G4457" s="2">
        <v>19.170000000000002</v>
      </c>
      <c r="H4457">
        <v>0.17</v>
      </c>
      <c r="I4457" t="s">
        <v>68</v>
      </c>
      <c r="J4457">
        <v>6</v>
      </c>
      <c r="K4457">
        <v>3.3</v>
      </c>
      <c r="L4457" s="2">
        <v>95.47</v>
      </c>
      <c r="M4457">
        <v>2034</v>
      </c>
      <c r="N4457">
        <v>3</v>
      </c>
      <c r="O4457" t="s">
        <v>226</v>
      </c>
      <c r="P4457" s="2">
        <v>115.02</v>
      </c>
      <c r="Q4457" s="2">
        <v>19.55</v>
      </c>
      <c r="R4457" t="s">
        <v>76</v>
      </c>
      <c r="S4457">
        <v>1</v>
      </c>
      <c r="T4457">
        <v>0</v>
      </c>
      <c r="U4457">
        <f>IF(AND(OR(Dashboard!$D$4="Semua",D4457=Dashboard!$D$4),OR(Dashboard!$H$4="Semua",E4457=Dashboard!$H$4)),1,0)</f>
        <v>1</v>
      </c>
      <c r="V4457">
        <f>IF(U4457=1,IF(COUNTIFS($C$2:C4457,C4457,$U$2:U4457,1)=1,1,0),0)</f>
        <v>0</v>
      </c>
    </row>
    <row r="4458" spans="1:22" x14ac:dyDescent="0.35">
      <c r="A4458">
        <v>14457</v>
      </c>
      <c r="B4458" s="1">
        <v>49018</v>
      </c>
      <c r="C4458">
        <v>1141</v>
      </c>
      <c r="D4458" t="s">
        <v>67</v>
      </c>
      <c r="E4458" t="s">
        <v>78</v>
      </c>
      <c r="F4458">
        <v>6</v>
      </c>
      <c r="G4458" s="2">
        <v>413.79</v>
      </c>
      <c r="H4458">
        <v>0.3</v>
      </c>
      <c r="I4458" t="s">
        <v>68</v>
      </c>
      <c r="J4458">
        <v>1</v>
      </c>
      <c r="K4458">
        <v>4.0999999999999996</v>
      </c>
      <c r="L4458" s="2">
        <v>1737.92</v>
      </c>
      <c r="M4458">
        <v>2034</v>
      </c>
      <c r="N4458">
        <v>3</v>
      </c>
      <c r="O4458" t="s">
        <v>226</v>
      </c>
      <c r="P4458" s="2">
        <v>2482.7399999999998</v>
      </c>
      <c r="Q4458" s="2">
        <v>744.82</v>
      </c>
      <c r="R4458" t="s">
        <v>66</v>
      </c>
      <c r="S4458">
        <v>1</v>
      </c>
      <c r="T4458">
        <v>0</v>
      </c>
      <c r="U4458">
        <f>IF(AND(OR(Dashboard!$D$4="Semua",D4458=Dashboard!$D$4),OR(Dashboard!$H$4="Semua",E4458=Dashboard!$H$4)),1,0)</f>
        <v>1</v>
      </c>
      <c r="V4458">
        <f>IF(U4458=1,IF(COUNTIFS($C$2:C4458,C4458,$U$2:U4458,1)=1,1,0),0)</f>
        <v>0</v>
      </c>
    </row>
    <row r="4459" spans="1:22" x14ac:dyDescent="0.35">
      <c r="A4459">
        <v>14458</v>
      </c>
      <c r="B4459" s="1">
        <v>49019</v>
      </c>
      <c r="C4459">
        <v>1290</v>
      </c>
      <c r="D4459" t="s">
        <v>73</v>
      </c>
      <c r="E4459" t="s">
        <v>78</v>
      </c>
      <c r="F4459">
        <v>1</v>
      </c>
      <c r="G4459" s="2">
        <v>172.17</v>
      </c>
      <c r="H4459">
        <v>0.3</v>
      </c>
      <c r="I4459" t="s">
        <v>68</v>
      </c>
      <c r="J4459">
        <v>6</v>
      </c>
      <c r="K4459">
        <v>2.1</v>
      </c>
      <c r="L4459" s="2">
        <v>120.52</v>
      </c>
      <c r="M4459">
        <v>2034</v>
      </c>
      <c r="N4459">
        <v>3</v>
      </c>
      <c r="O4459" t="s">
        <v>226</v>
      </c>
      <c r="P4459" s="2">
        <v>172.17</v>
      </c>
      <c r="Q4459" s="2">
        <v>51.65</v>
      </c>
      <c r="R4459" t="s">
        <v>66</v>
      </c>
      <c r="S4459">
        <v>1</v>
      </c>
      <c r="T4459">
        <v>0</v>
      </c>
      <c r="U4459">
        <f>IF(AND(OR(Dashboard!$D$4="Semua",D4459=Dashboard!$D$4),OR(Dashboard!$H$4="Semua",E4459=Dashboard!$H$4)),1,0)</f>
        <v>1</v>
      </c>
      <c r="V4459">
        <f>IF(U4459=1,IF(COUNTIFS($C$2:C4459,C4459,$U$2:U4459,1)=1,1,0),0)</f>
        <v>0</v>
      </c>
    </row>
    <row r="4460" spans="1:22" x14ac:dyDescent="0.35">
      <c r="A4460">
        <v>14459</v>
      </c>
      <c r="B4460" s="1">
        <v>49020</v>
      </c>
      <c r="C4460">
        <v>1431</v>
      </c>
      <c r="D4460" t="s">
        <v>62</v>
      </c>
      <c r="E4460" t="s">
        <v>70</v>
      </c>
      <c r="F4460">
        <v>4</v>
      </c>
      <c r="G4460" s="2">
        <v>491.88</v>
      </c>
      <c r="H4460">
        <v>0.28999999999999998</v>
      </c>
      <c r="I4460" t="s">
        <v>68</v>
      </c>
      <c r="J4460">
        <v>2</v>
      </c>
      <c r="K4460">
        <v>4.4000000000000004</v>
      </c>
      <c r="L4460" s="2">
        <v>1396.94</v>
      </c>
      <c r="M4460">
        <v>2034</v>
      </c>
      <c r="N4460">
        <v>3</v>
      </c>
      <c r="O4460" t="s">
        <v>226</v>
      </c>
      <c r="P4460" s="2">
        <v>1967.52</v>
      </c>
      <c r="Q4460" s="2">
        <v>570.58000000000004</v>
      </c>
      <c r="R4460" t="s">
        <v>66</v>
      </c>
      <c r="S4460">
        <v>1</v>
      </c>
      <c r="T4460">
        <v>0</v>
      </c>
      <c r="U4460">
        <f>IF(AND(OR(Dashboard!$D$4="Semua",D4460=Dashboard!$D$4),OR(Dashboard!$H$4="Semua",E4460=Dashboard!$H$4)),1,0)</f>
        <v>1</v>
      </c>
      <c r="V4460">
        <f>IF(U4460=1,IF(COUNTIFS($C$2:C4460,C4460,$U$2:U4460,1)=1,1,0),0)</f>
        <v>0</v>
      </c>
    </row>
    <row r="4461" spans="1:22" x14ac:dyDescent="0.35">
      <c r="A4461">
        <v>14460</v>
      </c>
      <c r="B4461" s="1">
        <v>49021</v>
      </c>
      <c r="C4461">
        <v>1748</v>
      </c>
      <c r="D4461" t="s">
        <v>67</v>
      </c>
      <c r="E4461" t="s">
        <v>70</v>
      </c>
      <c r="F4461">
        <v>2</v>
      </c>
      <c r="G4461" s="2">
        <v>225.12</v>
      </c>
      <c r="H4461">
        <v>0.02</v>
      </c>
      <c r="I4461" t="s">
        <v>68</v>
      </c>
      <c r="J4461">
        <v>11</v>
      </c>
      <c r="K4461">
        <v>4.0999999999999996</v>
      </c>
      <c r="L4461" s="2">
        <v>441.24</v>
      </c>
      <c r="M4461">
        <v>2034</v>
      </c>
      <c r="N4461">
        <v>3</v>
      </c>
      <c r="O4461" t="s">
        <v>226</v>
      </c>
      <c r="P4461" s="2">
        <v>450.24</v>
      </c>
      <c r="Q4461" s="2">
        <v>9</v>
      </c>
      <c r="R4461" t="s">
        <v>75</v>
      </c>
      <c r="S4461">
        <v>1</v>
      </c>
      <c r="T4461">
        <v>0</v>
      </c>
      <c r="U4461">
        <f>IF(AND(OR(Dashboard!$D$4="Semua",D4461=Dashboard!$D$4),OR(Dashboard!$H$4="Semua",E4461=Dashboard!$H$4)),1,0)</f>
        <v>1</v>
      </c>
      <c r="V4461">
        <f>IF(U4461=1,IF(COUNTIFS($C$2:C4461,C4461,$U$2:U4461,1)=1,1,0),0)</f>
        <v>0</v>
      </c>
    </row>
    <row r="4462" spans="1:22" x14ac:dyDescent="0.35">
      <c r="A4462">
        <v>14461</v>
      </c>
      <c r="B4462" s="1">
        <v>49022</v>
      </c>
      <c r="C4462">
        <v>1851</v>
      </c>
      <c r="D4462" t="s">
        <v>73</v>
      </c>
      <c r="E4462" t="s">
        <v>74</v>
      </c>
      <c r="F4462">
        <v>1</v>
      </c>
      <c r="G4462" s="2">
        <v>295.77</v>
      </c>
      <c r="H4462">
        <v>0.09</v>
      </c>
      <c r="I4462" t="s">
        <v>68</v>
      </c>
      <c r="J4462">
        <v>7</v>
      </c>
      <c r="K4462">
        <v>2.9</v>
      </c>
      <c r="L4462" s="2">
        <v>269.14999999999998</v>
      </c>
      <c r="M4462">
        <v>2034</v>
      </c>
      <c r="N4462">
        <v>3</v>
      </c>
      <c r="O4462" t="s">
        <v>226</v>
      </c>
      <c r="P4462" s="2">
        <v>295.77</v>
      </c>
      <c r="Q4462" s="2">
        <v>26.62</v>
      </c>
      <c r="R4462" t="s">
        <v>69</v>
      </c>
      <c r="S4462">
        <v>1</v>
      </c>
      <c r="T4462">
        <v>0</v>
      </c>
      <c r="U4462">
        <f>IF(AND(OR(Dashboard!$D$4="Semua",D4462=Dashboard!$D$4),OR(Dashboard!$H$4="Semua",E4462=Dashboard!$H$4)),1,0)</f>
        <v>1</v>
      </c>
      <c r="V4462">
        <f>IF(U4462=1,IF(COUNTIFS($C$2:C4462,C4462,$U$2:U4462,1)=1,1,0),0)</f>
        <v>0</v>
      </c>
    </row>
    <row r="4463" spans="1:22" x14ac:dyDescent="0.35">
      <c r="A4463">
        <v>14462</v>
      </c>
      <c r="B4463" s="1">
        <v>49023</v>
      </c>
      <c r="C4463">
        <v>1823</v>
      </c>
      <c r="D4463" t="s">
        <v>80</v>
      </c>
      <c r="E4463" t="s">
        <v>78</v>
      </c>
      <c r="F4463">
        <v>5</v>
      </c>
      <c r="G4463" s="2">
        <v>579.92999999999995</v>
      </c>
      <c r="H4463">
        <v>0.31</v>
      </c>
      <c r="I4463" t="s">
        <v>64</v>
      </c>
      <c r="J4463">
        <v>7</v>
      </c>
      <c r="K4463">
        <v>1.5</v>
      </c>
      <c r="L4463" s="2">
        <v>2000.76</v>
      </c>
      <c r="M4463">
        <v>2034</v>
      </c>
      <c r="N4463">
        <v>3</v>
      </c>
      <c r="O4463" t="s">
        <v>226</v>
      </c>
      <c r="P4463" s="2">
        <v>2899.65</v>
      </c>
      <c r="Q4463" s="2">
        <v>898.89</v>
      </c>
      <c r="R4463" t="s">
        <v>72</v>
      </c>
      <c r="S4463">
        <v>1</v>
      </c>
      <c r="T4463">
        <v>0</v>
      </c>
      <c r="U4463">
        <f>IF(AND(OR(Dashboard!$D$4="Semua",D4463=Dashboard!$D$4),OR(Dashboard!$H$4="Semua",E4463=Dashboard!$H$4)),1,0)</f>
        <v>1</v>
      </c>
      <c r="V4463">
        <f>IF(U4463=1,IF(COUNTIFS($C$2:C4463,C4463,$U$2:U4463,1)=1,1,0),0)</f>
        <v>0</v>
      </c>
    </row>
    <row r="4464" spans="1:22" x14ac:dyDescent="0.35">
      <c r="A4464">
        <v>14463</v>
      </c>
      <c r="B4464" s="1">
        <v>49024</v>
      </c>
      <c r="C4464">
        <v>1688</v>
      </c>
      <c r="D4464" t="s">
        <v>73</v>
      </c>
      <c r="E4464" t="s">
        <v>63</v>
      </c>
      <c r="F4464">
        <v>6</v>
      </c>
      <c r="G4464" s="2">
        <v>156.66999999999999</v>
      </c>
      <c r="H4464">
        <v>0.31</v>
      </c>
      <c r="I4464" t="s">
        <v>68</v>
      </c>
      <c r="J4464">
        <v>4</v>
      </c>
      <c r="K4464">
        <v>4.9000000000000004</v>
      </c>
      <c r="L4464" s="2">
        <v>648.61</v>
      </c>
      <c r="M4464">
        <v>2034</v>
      </c>
      <c r="N4464">
        <v>3</v>
      </c>
      <c r="O4464" t="s">
        <v>226</v>
      </c>
      <c r="P4464" s="2">
        <v>940.02</v>
      </c>
      <c r="Q4464" s="2">
        <v>291.41000000000003</v>
      </c>
      <c r="R4464" t="s">
        <v>72</v>
      </c>
      <c r="S4464">
        <v>1</v>
      </c>
      <c r="T4464">
        <v>0</v>
      </c>
      <c r="U4464">
        <f>IF(AND(OR(Dashboard!$D$4="Semua",D4464=Dashboard!$D$4),OR(Dashboard!$H$4="Semua",E4464=Dashboard!$H$4)),1,0)</f>
        <v>1</v>
      </c>
      <c r="V4464">
        <f>IF(U4464=1,IF(COUNTIFS($C$2:C4464,C4464,$U$2:U4464,1)=1,1,0),0)</f>
        <v>0</v>
      </c>
    </row>
    <row r="4465" spans="1:22" x14ac:dyDescent="0.35">
      <c r="A4465">
        <v>14464</v>
      </c>
      <c r="B4465" s="1">
        <v>49025</v>
      </c>
      <c r="C4465">
        <v>1652</v>
      </c>
      <c r="D4465" t="s">
        <v>67</v>
      </c>
      <c r="E4465" t="s">
        <v>78</v>
      </c>
      <c r="F4465">
        <v>1</v>
      </c>
      <c r="G4465" s="2">
        <v>436.93</v>
      </c>
      <c r="H4465">
        <v>0.16</v>
      </c>
      <c r="I4465" t="s">
        <v>64</v>
      </c>
      <c r="J4465">
        <v>2</v>
      </c>
      <c r="K4465">
        <v>3.5</v>
      </c>
      <c r="L4465" s="2">
        <v>367.02</v>
      </c>
      <c r="M4465">
        <v>2034</v>
      </c>
      <c r="N4465">
        <v>3</v>
      </c>
      <c r="O4465" t="s">
        <v>226</v>
      </c>
      <c r="P4465" s="2">
        <v>436.93</v>
      </c>
      <c r="Q4465" s="2">
        <v>69.91</v>
      </c>
      <c r="R4465" t="s">
        <v>76</v>
      </c>
      <c r="S4465">
        <v>1</v>
      </c>
      <c r="T4465">
        <v>0</v>
      </c>
      <c r="U4465">
        <f>IF(AND(OR(Dashboard!$D$4="Semua",D4465=Dashboard!$D$4),OR(Dashboard!$H$4="Semua",E4465=Dashboard!$H$4)),1,0)</f>
        <v>1</v>
      </c>
      <c r="V4465">
        <f>IF(U4465=1,IF(COUNTIFS($C$2:C4465,C4465,$U$2:U4465,1)=1,1,0),0)</f>
        <v>0</v>
      </c>
    </row>
    <row r="4466" spans="1:22" x14ac:dyDescent="0.35">
      <c r="A4466">
        <v>14465</v>
      </c>
      <c r="B4466" s="1">
        <v>49026</v>
      </c>
      <c r="C4466">
        <v>1700</v>
      </c>
      <c r="D4466" t="s">
        <v>67</v>
      </c>
      <c r="E4466" t="s">
        <v>63</v>
      </c>
      <c r="F4466">
        <v>4</v>
      </c>
      <c r="G4466" s="2">
        <v>456.74</v>
      </c>
      <c r="H4466">
        <v>0.15</v>
      </c>
      <c r="I4466" t="s">
        <v>71</v>
      </c>
      <c r="J4466">
        <v>11</v>
      </c>
      <c r="K4466">
        <v>3.1</v>
      </c>
      <c r="L4466" s="2">
        <v>1552.92</v>
      </c>
      <c r="M4466">
        <v>2034</v>
      </c>
      <c r="N4466">
        <v>3</v>
      </c>
      <c r="O4466" t="s">
        <v>226</v>
      </c>
      <c r="P4466" s="2">
        <v>1826.96</v>
      </c>
      <c r="Q4466" s="2">
        <v>274.04000000000002</v>
      </c>
      <c r="R4466" t="s">
        <v>79</v>
      </c>
      <c r="S4466">
        <v>1</v>
      </c>
      <c r="T4466">
        <v>0</v>
      </c>
      <c r="U4466">
        <f>IF(AND(OR(Dashboard!$D$4="Semua",D4466=Dashboard!$D$4),OR(Dashboard!$H$4="Semua",E4466=Dashboard!$H$4)),1,0)</f>
        <v>1</v>
      </c>
      <c r="V4466">
        <f>IF(U4466=1,IF(COUNTIFS($C$2:C4466,C4466,$U$2:U4466,1)=1,1,0),0)</f>
        <v>0</v>
      </c>
    </row>
    <row r="4467" spans="1:22" x14ac:dyDescent="0.35">
      <c r="A4467">
        <v>14466</v>
      </c>
      <c r="B4467" s="1">
        <v>49027</v>
      </c>
      <c r="C4467">
        <v>1997</v>
      </c>
      <c r="D4467" t="s">
        <v>67</v>
      </c>
      <c r="E4467" t="s">
        <v>74</v>
      </c>
      <c r="F4467">
        <v>5</v>
      </c>
      <c r="G4467" s="2">
        <v>144.28</v>
      </c>
      <c r="H4467">
        <v>0.06</v>
      </c>
      <c r="I4467" t="s">
        <v>71</v>
      </c>
      <c r="J4467">
        <v>7</v>
      </c>
      <c r="K4467">
        <v>4.5</v>
      </c>
      <c r="L4467" s="2">
        <v>678.12</v>
      </c>
      <c r="M4467">
        <v>2034</v>
      </c>
      <c r="N4467">
        <v>3</v>
      </c>
      <c r="O4467" t="s">
        <v>226</v>
      </c>
      <c r="P4467" s="2">
        <v>721.4</v>
      </c>
      <c r="Q4467" s="2">
        <v>43.28</v>
      </c>
      <c r="R4467" t="s">
        <v>69</v>
      </c>
      <c r="S4467">
        <v>1</v>
      </c>
      <c r="T4467">
        <v>0</v>
      </c>
      <c r="U4467">
        <f>IF(AND(OR(Dashboard!$D$4="Semua",D4467=Dashboard!$D$4),OR(Dashboard!$H$4="Semua",E4467=Dashboard!$H$4)),1,0)</f>
        <v>1</v>
      </c>
      <c r="V4467">
        <f>IF(U4467=1,IF(COUNTIFS($C$2:C4467,C4467,$U$2:U4467,1)=1,1,0),0)</f>
        <v>0</v>
      </c>
    </row>
    <row r="4468" spans="1:22" x14ac:dyDescent="0.35">
      <c r="A4468">
        <v>14467</v>
      </c>
      <c r="B4468" s="1">
        <v>49028</v>
      </c>
      <c r="C4468">
        <v>1048</v>
      </c>
      <c r="D4468" t="s">
        <v>80</v>
      </c>
      <c r="E4468" t="s">
        <v>74</v>
      </c>
      <c r="F4468">
        <v>7</v>
      </c>
      <c r="G4468" s="2">
        <v>308.08</v>
      </c>
      <c r="H4468">
        <v>0.34</v>
      </c>
      <c r="I4468" t="s">
        <v>68</v>
      </c>
      <c r="J4468">
        <v>1</v>
      </c>
      <c r="K4468">
        <v>2.7</v>
      </c>
      <c r="L4468" s="2">
        <v>1423.33</v>
      </c>
      <c r="M4468">
        <v>2034</v>
      </c>
      <c r="N4468">
        <v>3</v>
      </c>
      <c r="O4468" t="s">
        <v>226</v>
      </c>
      <c r="P4468" s="2">
        <v>2156.56</v>
      </c>
      <c r="Q4468" s="2">
        <v>733.23</v>
      </c>
      <c r="R4468" t="s">
        <v>72</v>
      </c>
      <c r="S4468">
        <v>1</v>
      </c>
      <c r="T4468">
        <v>0</v>
      </c>
      <c r="U4468">
        <f>IF(AND(OR(Dashboard!$D$4="Semua",D4468=Dashboard!$D$4),OR(Dashboard!$H$4="Semua",E4468=Dashboard!$H$4)),1,0)</f>
        <v>1</v>
      </c>
      <c r="V4468">
        <f>IF(U4468=1,IF(COUNTIFS($C$2:C4468,C4468,$U$2:U4468,1)=1,1,0),0)</f>
        <v>0</v>
      </c>
    </row>
    <row r="4469" spans="1:22" x14ac:dyDescent="0.35">
      <c r="A4469">
        <v>14468</v>
      </c>
      <c r="B4469" s="1">
        <v>49029</v>
      </c>
      <c r="C4469">
        <v>1301</v>
      </c>
      <c r="D4469" t="s">
        <v>73</v>
      </c>
      <c r="E4469" t="s">
        <v>63</v>
      </c>
      <c r="F4469">
        <v>1</v>
      </c>
      <c r="G4469" s="2">
        <v>219.87</v>
      </c>
      <c r="H4469">
        <v>7.0000000000000007E-2</v>
      </c>
      <c r="I4469" t="s">
        <v>64</v>
      </c>
      <c r="J4469">
        <v>11</v>
      </c>
      <c r="K4469">
        <v>3.3</v>
      </c>
      <c r="L4469" s="2">
        <v>204.48</v>
      </c>
      <c r="M4469">
        <v>2034</v>
      </c>
      <c r="N4469">
        <v>3</v>
      </c>
      <c r="O4469" t="s">
        <v>226</v>
      </c>
      <c r="P4469" s="2">
        <v>219.87</v>
      </c>
      <c r="Q4469" s="2">
        <v>15.39</v>
      </c>
      <c r="R4469" t="s">
        <v>69</v>
      </c>
      <c r="S4469">
        <v>1</v>
      </c>
      <c r="T4469">
        <v>0</v>
      </c>
      <c r="U4469">
        <f>IF(AND(OR(Dashboard!$D$4="Semua",D4469=Dashboard!$D$4),OR(Dashboard!$H$4="Semua",E4469=Dashboard!$H$4)),1,0)</f>
        <v>1</v>
      </c>
      <c r="V4469">
        <f>IF(U4469=1,IF(COUNTIFS($C$2:C4469,C4469,$U$2:U4469,1)=1,1,0),0)</f>
        <v>0</v>
      </c>
    </row>
    <row r="4470" spans="1:22" x14ac:dyDescent="0.35">
      <c r="A4470">
        <v>14469</v>
      </c>
      <c r="B4470" s="1">
        <v>49030</v>
      </c>
      <c r="C4470">
        <v>1880</v>
      </c>
      <c r="D4470" t="s">
        <v>67</v>
      </c>
      <c r="E4470" t="s">
        <v>63</v>
      </c>
      <c r="F4470">
        <v>4</v>
      </c>
      <c r="G4470" s="2">
        <v>466.57</v>
      </c>
      <c r="H4470">
        <v>7.0000000000000007E-2</v>
      </c>
      <c r="I4470" t="s">
        <v>68</v>
      </c>
      <c r="J4470">
        <v>11</v>
      </c>
      <c r="K4470">
        <v>4.4000000000000004</v>
      </c>
      <c r="L4470" s="2">
        <v>1735.64</v>
      </c>
      <c r="M4470">
        <v>2034</v>
      </c>
      <c r="N4470">
        <v>3</v>
      </c>
      <c r="O4470" t="s">
        <v>226</v>
      </c>
      <c r="P4470" s="2">
        <v>1866.28</v>
      </c>
      <c r="Q4470" s="2">
        <v>130.63999999999999</v>
      </c>
      <c r="R4470" t="s">
        <v>69</v>
      </c>
      <c r="S4470">
        <v>1</v>
      </c>
      <c r="T4470">
        <v>0</v>
      </c>
      <c r="U4470">
        <f>IF(AND(OR(Dashboard!$D$4="Semua",D4470=Dashboard!$D$4),OR(Dashboard!$H$4="Semua",E4470=Dashboard!$H$4)),1,0)</f>
        <v>1</v>
      </c>
      <c r="V4470">
        <f>IF(U4470=1,IF(COUNTIFS($C$2:C4470,C4470,$U$2:U4470,1)=1,1,0),0)</f>
        <v>0</v>
      </c>
    </row>
    <row r="4471" spans="1:22" x14ac:dyDescent="0.35">
      <c r="A4471">
        <v>14470</v>
      </c>
      <c r="B4471" s="1">
        <v>49031</v>
      </c>
      <c r="C4471">
        <v>1189</v>
      </c>
      <c r="D4471" t="s">
        <v>67</v>
      </c>
      <c r="E4471" t="s">
        <v>78</v>
      </c>
      <c r="F4471">
        <v>4</v>
      </c>
      <c r="G4471" s="2">
        <v>379.15</v>
      </c>
      <c r="H4471">
        <v>0.23</v>
      </c>
      <c r="I4471" t="s">
        <v>71</v>
      </c>
      <c r="J4471">
        <v>2</v>
      </c>
      <c r="K4471">
        <v>2.6</v>
      </c>
      <c r="L4471" s="2">
        <v>1167.78</v>
      </c>
      <c r="M4471">
        <v>2034</v>
      </c>
      <c r="N4471">
        <v>3</v>
      </c>
      <c r="O4471" t="s">
        <v>226</v>
      </c>
      <c r="P4471" s="2">
        <v>1516.6</v>
      </c>
      <c r="Q4471" s="2">
        <v>348.82</v>
      </c>
      <c r="R4471" t="s">
        <v>77</v>
      </c>
      <c r="S4471">
        <v>1</v>
      </c>
      <c r="T4471">
        <v>0</v>
      </c>
      <c r="U4471">
        <f>IF(AND(OR(Dashboard!$D$4="Semua",D4471=Dashboard!$D$4),OR(Dashboard!$H$4="Semua",E4471=Dashboard!$H$4)),1,0)</f>
        <v>1</v>
      </c>
      <c r="V4471">
        <f>IF(U4471=1,IF(COUNTIFS($C$2:C4471,C4471,$U$2:U4471,1)=1,1,0),0)</f>
        <v>0</v>
      </c>
    </row>
    <row r="4472" spans="1:22" x14ac:dyDescent="0.35">
      <c r="A4472">
        <v>14471</v>
      </c>
      <c r="B4472" s="1">
        <v>49032</v>
      </c>
      <c r="C4472">
        <v>1135</v>
      </c>
      <c r="D4472" t="s">
        <v>80</v>
      </c>
      <c r="E4472" t="s">
        <v>74</v>
      </c>
      <c r="F4472">
        <v>6</v>
      </c>
      <c r="G4472" s="2">
        <v>293.45</v>
      </c>
      <c r="H4472">
        <v>0.08</v>
      </c>
      <c r="I4472" t="s">
        <v>71</v>
      </c>
      <c r="J4472">
        <v>2</v>
      </c>
      <c r="K4472">
        <v>4.0999999999999996</v>
      </c>
      <c r="L4472" s="2">
        <v>1619.84</v>
      </c>
      <c r="M4472">
        <v>2034</v>
      </c>
      <c r="N4472">
        <v>3</v>
      </c>
      <c r="O4472" t="s">
        <v>226</v>
      </c>
      <c r="P4472" s="2">
        <v>1760.7</v>
      </c>
      <c r="Q4472" s="2">
        <v>140.86000000000001</v>
      </c>
      <c r="R4472" t="s">
        <v>69</v>
      </c>
      <c r="S4472">
        <v>1</v>
      </c>
      <c r="T4472">
        <v>0</v>
      </c>
      <c r="U4472">
        <f>IF(AND(OR(Dashboard!$D$4="Semua",D4472=Dashboard!$D$4),OR(Dashboard!$H$4="Semua",E4472=Dashboard!$H$4)),1,0)</f>
        <v>1</v>
      </c>
      <c r="V4472">
        <f>IF(U4472=1,IF(COUNTIFS($C$2:C4472,C4472,$U$2:U4472,1)=1,1,0),0)</f>
        <v>0</v>
      </c>
    </row>
    <row r="4473" spans="1:22" x14ac:dyDescent="0.35">
      <c r="A4473">
        <v>14472</v>
      </c>
      <c r="B4473" s="1">
        <v>49033</v>
      </c>
      <c r="C4473">
        <v>1554</v>
      </c>
      <c r="D4473" t="s">
        <v>80</v>
      </c>
      <c r="E4473" t="s">
        <v>78</v>
      </c>
      <c r="F4473">
        <v>2</v>
      </c>
      <c r="G4473" s="2">
        <v>470.93</v>
      </c>
      <c r="H4473">
        <v>0.33</v>
      </c>
      <c r="I4473" t="s">
        <v>68</v>
      </c>
      <c r="J4473">
        <v>1</v>
      </c>
      <c r="K4473">
        <v>2</v>
      </c>
      <c r="L4473" s="2">
        <v>631.04999999999995</v>
      </c>
      <c r="M4473">
        <v>2034</v>
      </c>
      <c r="N4473">
        <v>3</v>
      </c>
      <c r="O4473" t="s">
        <v>226</v>
      </c>
      <c r="P4473" s="2">
        <v>941.86</v>
      </c>
      <c r="Q4473" s="2">
        <v>310.81</v>
      </c>
      <c r="R4473" t="s">
        <v>72</v>
      </c>
      <c r="S4473">
        <v>1</v>
      </c>
      <c r="T4473">
        <v>0</v>
      </c>
      <c r="U4473">
        <f>IF(AND(OR(Dashboard!$D$4="Semua",D4473=Dashboard!$D$4),OR(Dashboard!$H$4="Semua",E4473=Dashboard!$H$4)),1,0)</f>
        <v>1</v>
      </c>
      <c r="V4473">
        <f>IF(U4473=1,IF(COUNTIFS($C$2:C4473,C4473,$U$2:U4473,1)=1,1,0),0)</f>
        <v>1</v>
      </c>
    </row>
    <row r="4474" spans="1:22" x14ac:dyDescent="0.35">
      <c r="A4474">
        <v>14473</v>
      </c>
      <c r="B4474" s="1">
        <v>49034</v>
      </c>
      <c r="C4474">
        <v>1403</v>
      </c>
      <c r="D4474" t="s">
        <v>67</v>
      </c>
      <c r="E4474" t="s">
        <v>63</v>
      </c>
      <c r="F4474">
        <v>1</v>
      </c>
      <c r="G4474" s="2">
        <v>152.57</v>
      </c>
      <c r="H4474">
        <v>0</v>
      </c>
      <c r="I4474" t="s">
        <v>68</v>
      </c>
      <c r="J4474">
        <v>9</v>
      </c>
      <c r="K4474">
        <v>3.8</v>
      </c>
      <c r="L4474" s="2">
        <v>152.57</v>
      </c>
      <c r="M4474">
        <v>2034</v>
      </c>
      <c r="N4474">
        <v>3</v>
      </c>
      <c r="O4474" t="s">
        <v>226</v>
      </c>
      <c r="P4474" s="2">
        <v>152.57</v>
      </c>
      <c r="Q4474" s="2">
        <v>0</v>
      </c>
      <c r="R4474" t="s">
        <v>75</v>
      </c>
      <c r="S4474">
        <v>1</v>
      </c>
      <c r="T4474">
        <v>0</v>
      </c>
      <c r="U4474">
        <f>IF(AND(OR(Dashboard!$D$4="Semua",D4474=Dashboard!$D$4),OR(Dashboard!$H$4="Semua",E4474=Dashboard!$H$4)),1,0)</f>
        <v>1</v>
      </c>
      <c r="V4474">
        <f>IF(U4474=1,IF(COUNTIFS($C$2:C4474,C4474,$U$2:U4474,1)=1,1,0),0)</f>
        <v>0</v>
      </c>
    </row>
    <row r="4475" spans="1:22" x14ac:dyDescent="0.35">
      <c r="A4475">
        <v>14474</v>
      </c>
      <c r="B4475" s="1">
        <v>49035</v>
      </c>
      <c r="C4475">
        <v>1891</v>
      </c>
      <c r="D4475" t="s">
        <v>67</v>
      </c>
      <c r="E4475" t="s">
        <v>70</v>
      </c>
      <c r="F4475">
        <v>4</v>
      </c>
      <c r="G4475" s="2">
        <v>455.87</v>
      </c>
      <c r="H4475">
        <v>0</v>
      </c>
      <c r="I4475" t="s">
        <v>68</v>
      </c>
      <c r="J4475">
        <v>6</v>
      </c>
      <c r="K4475">
        <v>3</v>
      </c>
      <c r="L4475" s="2">
        <v>1823.48</v>
      </c>
      <c r="M4475">
        <v>2034</v>
      </c>
      <c r="N4475">
        <v>4</v>
      </c>
      <c r="O4475" t="s">
        <v>227</v>
      </c>
      <c r="P4475" s="2">
        <v>1823.48</v>
      </c>
      <c r="Q4475" s="2">
        <v>0</v>
      </c>
      <c r="R4475" t="s">
        <v>75</v>
      </c>
      <c r="S4475">
        <v>1</v>
      </c>
      <c r="T4475">
        <v>0</v>
      </c>
      <c r="U4475">
        <f>IF(AND(OR(Dashboard!$D$4="Semua",D4475=Dashboard!$D$4),OR(Dashboard!$H$4="Semua",E4475=Dashboard!$H$4)),1,0)</f>
        <v>1</v>
      </c>
      <c r="V4475">
        <f>IF(U4475=1,IF(COUNTIFS($C$2:C4475,C4475,$U$2:U4475,1)=1,1,0),0)</f>
        <v>0</v>
      </c>
    </row>
    <row r="4476" spans="1:22" x14ac:dyDescent="0.35">
      <c r="A4476">
        <v>14475</v>
      </c>
      <c r="B4476" s="1">
        <v>49036</v>
      </c>
      <c r="C4476">
        <v>1864</v>
      </c>
      <c r="D4476" t="s">
        <v>73</v>
      </c>
      <c r="E4476" t="s">
        <v>70</v>
      </c>
      <c r="F4476">
        <v>3</v>
      </c>
      <c r="G4476" s="2">
        <v>521.24</v>
      </c>
      <c r="H4476">
        <v>0.18</v>
      </c>
      <c r="I4476" t="s">
        <v>64</v>
      </c>
      <c r="J4476">
        <v>3</v>
      </c>
      <c r="K4476">
        <v>1.7</v>
      </c>
      <c r="L4476" s="2">
        <v>1282.25</v>
      </c>
      <c r="M4476">
        <v>2034</v>
      </c>
      <c r="N4476">
        <v>4</v>
      </c>
      <c r="O4476" t="s">
        <v>227</v>
      </c>
      <c r="P4476" s="2">
        <v>1563.72</v>
      </c>
      <c r="Q4476" s="2">
        <v>281.47000000000003</v>
      </c>
      <c r="R4476" t="s">
        <v>76</v>
      </c>
      <c r="S4476">
        <v>1</v>
      </c>
      <c r="T4476">
        <v>0</v>
      </c>
      <c r="U4476">
        <f>IF(AND(OR(Dashboard!$D$4="Semua",D4476=Dashboard!$D$4),OR(Dashboard!$H$4="Semua",E4476=Dashboard!$H$4)),1,0)</f>
        <v>1</v>
      </c>
      <c r="V4476">
        <f>IF(U4476=1,IF(COUNTIFS($C$2:C4476,C4476,$U$2:U4476,1)=1,1,0),0)</f>
        <v>0</v>
      </c>
    </row>
    <row r="4477" spans="1:22" x14ac:dyDescent="0.35">
      <c r="A4477">
        <v>14476</v>
      </c>
      <c r="B4477" s="1">
        <v>49037</v>
      </c>
      <c r="C4477">
        <v>1601</v>
      </c>
      <c r="D4477" t="s">
        <v>62</v>
      </c>
      <c r="E4477" t="s">
        <v>70</v>
      </c>
      <c r="F4477">
        <v>4</v>
      </c>
      <c r="G4477" s="2">
        <v>528.99</v>
      </c>
      <c r="H4477">
        <v>0.17</v>
      </c>
      <c r="I4477" t="s">
        <v>64</v>
      </c>
      <c r="J4477">
        <v>6</v>
      </c>
      <c r="K4477">
        <v>1.5</v>
      </c>
      <c r="L4477" s="2">
        <v>1756.25</v>
      </c>
      <c r="M4477">
        <v>2034</v>
      </c>
      <c r="N4477">
        <v>4</v>
      </c>
      <c r="O4477" t="s">
        <v>227</v>
      </c>
      <c r="P4477" s="2">
        <v>2115.96</v>
      </c>
      <c r="Q4477" s="2">
        <v>359.71</v>
      </c>
      <c r="R4477" t="s">
        <v>76</v>
      </c>
      <c r="S4477">
        <v>1</v>
      </c>
      <c r="T4477">
        <v>0</v>
      </c>
      <c r="U4477">
        <f>IF(AND(OR(Dashboard!$D$4="Semua",D4477=Dashboard!$D$4),OR(Dashboard!$H$4="Semua",E4477=Dashboard!$H$4)),1,0)</f>
        <v>1</v>
      </c>
      <c r="V4477">
        <f>IF(U4477=1,IF(COUNTIFS($C$2:C4477,C4477,$U$2:U4477,1)=1,1,0),0)</f>
        <v>0</v>
      </c>
    </row>
    <row r="4478" spans="1:22" x14ac:dyDescent="0.35">
      <c r="A4478">
        <v>14477</v>
      </c>
      <c r="B4478" s="1">
        <v>49038</v>
      </c>
      <c r="C4478">
        <v>1806</v>
      </c>
      <c r="D4478" t="s">
        <v>67</v>
      </c>
      <c r="E4478" t="s">
        <v>63</v>
      </c>
      <c r="F4478">
        <v>2</v>
      </c>
      <c r="G4478" s="2">
        <v>473.45</v>
      </c>
      <c r="H4478">
        <v>0.06</v>
      </c>
      <c r="I4478" t="s">
        <v>64</v>
      </c>
      <c r="J4478">
        <v>7</v>
      </c>
      <c r="K4478">
        <v>2.8</v>
      </c>
      <c r="L4478" s="2">
        <v>890.09</v>
      </c>
      <c r="M4478">
        <v>2034</v>
      </c>
      <c r="N4478">
        <v>4</v>
      </c>
      <c r="O4478" t="s">
        <v>227</v>
      </c>
      <c r="P4478" s="2">
        <v>946.9</v>
      </c>
      <c r="Q4478" s="2">
        <v>56.81</v>
      </c>
      <c r="R4478" t="s">
        <v>69</v>
      </c>
      <c r="S4478">
        <v>1</v>
      </c>
      <c r="T4478">
        <v>0</v>
      </c>
      <c r="U4478">
        <f>IF(AND(OR(Dashboard!$D$4="Semua",D4478=Dashboard!$D$4),OR(Dashboard!$H$4="Semua",E4478=Dashboard!$H$4)),1,0)</f>
        <v>1</v>
      </c>
      <c r="V4478">
        <f>IF(U4478=1,IF(COUNTIFS($C$2:C4478,C4478,$U$2:U4478,1)=1,1,0),0)</f>
        <v>0</v>
      </c>
    </row>
    <row r="4479" spans="1:22" x14ac:dyDescent="0.35">
      <c r="A4479">
        <v>14478</v>
      </c>
      <c r="B4479" s="1">
        <v>49039</v>
      </c>
      <c r="C4479">
        <v>1340</v>
      </c>
      <c r="D4479" t="s">
        <v>80</v>
      </c>
      <c r="E4479" t="s">
        <v>78</v>
      </c>
      <c r="F4479">
        <v>4</v>
      </c>
      <c r="G4479" s="2">
        <v>253.69</v>
      </c>
      <c r="H4479">
        <v>0.17</v>
      </c>
      <c r="I4479" t="s">
        <v>68</v>
      </c>
      <c r="J4479">
        <v>3</v>
      </c>
      <c r="K4479">
        <v>3.8</v>
      </c>
      <c r="L4479" s="2">
        <v>842.25</v>
      </c>
      <c r="M4479">
        <v>2034</v>
      </c>
      <c r="N4479">
        <v>4</v>
      </c>
      <c r="O4479" t="s">
        <v>227</v>
      </c>
      <c r="P4479" s="2">
        <v>1014.76</v>
      </c>
      <c r="Q4479" s="2">
        <v>172.51</v>
      </c>
      <c r="R4479" t="s">
        <v>76</v>
      </c>
      <c r="S4479">
        <v>1</v>
      </c>
      <c r="T4479">
        <v>0</v>
      </c>
      <c r="U4479">
        <f>IF(AND(OR(Dashboard!$D$4="Semua",D4479=Dashboard!$D$4),OR(Dashboard!$H$4="Semua",E4479=Dashboard!$H$4)),1,0)</f>
        <v>1</v>
      </c>
      <c r="V4479">
        <f>IF(U4479=1,IF(COUNTIFS($C$2:C4479,C4479,$U$2:U4479,1)=1,1,0),0)</f>
        <v>0</v>
      </c>
    </row>
    <row r="4480" spans="1:22" x14ac:dyDescent="0.35">
      <c r="A4480">
        <v>14479</v>
      </c>
      <c r="B4480" s="1">
        <v>49040</v>
      </c>
      <c r="C4480">
        <v>1756</v>
      </c>
      <c r="D4480" t="s">
        <v>73</v>
      </c>
      <c r="E4480" t="s">
        <v>74</v>
      </c>
      <c r="F4480">
        <v>6</v>
      </c>
      <c r="G4480" s="2">
        <v>589.36</v>
      </c>
      <c r="H4480">
        <v>0.14000000000000001</v>
      </c>
      <c r="I4480" t="s">
        <v>68</v>
      </c>
      <c r="J4480">
        <v>4</v>
      </c>
      <c r="K4480">
        <v>3.4</v>
      </c>
      <c r="L4480" s="2">
        <v>3041.1</v>
      </c>
      <c r="M4480">
        <v>2034</v>
      </c>
      <c r="N4480">
        <v>4</v>
      </c>
      <c r="O4480" t="s">
        <v>227</v>
      </c>
      <c r="P4480" s="2">
        <v>3536.16</v>
      </c>
      <c r="Q4480" s="2">
        <v>495.06</v>
      </c>
      <c r="R4480" t="s">
        <v>79</v>
      </c>
      <c r="S4480">
        <v>1</v>
      </c>
      <c r="T4480">
        <v>0</v>
      </c>
      <c r="U4480">
        <f>IF(AND(OR(Dashboard!$D$4="Semua",D4480=Dashboard!$D$4),OR(Dashboard!$H$4="Semua",E4480=Dashboard!$H$4)),1,0)</f>
        <v>1</v>
      </c>
      <c r="V4480">
        <f>IF(U4480=1,IF(COUNTIFS($C$2:C4480,C4480,$U$2:U4480,1)=1,1,0),0)</f>
        <v>0</v>
      </c>
    </row>
    <row r="4481" spans="1:22" x14ac:dyDescent="0.35">
      <c r="A4481">
        <v>14480</v>
      </c>
      <c r="B4481" s="1">
        <v>49041</v>
      </c>
      <c r="C4481">
        <v>1944</v>
      </c>
      <c r="D4481" t="s">
        <v>73</v>
      </c>
      <c r="E4481" t="s">
        <v>63</v>
      </c>
      <c r="F4481">
        <v>7</v>
      </c>
      <c r="G4481" s="2">
        <v>237.06</v>
      </c>
      <c r="H4481">
        <v>0.31</v>
      </c>
      <c r="I4481" t="s">
        <v>68</v>
      </c>
      <c r="J4481">
        <v>10</v>
      </c>
      <c r="K4481">
        <v>4.4000000000000004</v>
      </c>
      <c r="L4481" s="2">
        <v>1145</v>
      </c>
      <c r="M4481">
        <v>2034</v>
      </c>
      <c r="N4481">
        <v>4</v>
      </c>
      <c r="O4481" t="s">
        <v>227</v>
      </c>
      <c r="P4481" s="2">
        <v>1659.42</v>
      </c>
      <c r="Q4481" s="2">
        <v>514.41999999999996</v>
      </c>
      <c r="R4481" t="s">
        <v>72</v>
      </c>
      <c r="S4481">
        <v>1</v>
      </c>
      <c r="T4481">
        <v>0</v>
      </c>
      <c r="U4481">
        <f>IF(AND(OR(Dashboard!$D$4="Semua",D4481=Dashboard!$D$4),OR(Dashboard!$H$4="Semua",E4481=Dashboard!$H$4)),1,0)</f>
        <v>1</v>
      </c>
      <c r="V4481">
        <f>IF(U4481=1,IF(COUNTIFS($C$2:C4481,C4481,$U$2:U4481,1)=1,1,0),0)</f>
        <v>0</v>
      </c>
    </row>
    <row r="4482" spans="1:22" x14ac:dyDescent="0.35">
      <c r="A4482">
        <v>14481</v>
      </c>
      <c r="B4482" s="1">
        <v>49042</v>
      </c>
      <c r="C4482">
        <v>1703</v>
      </c>
      <c r="D4482" t="s">
        <v>67</v>
      </c>
      <c r="E4482" t="s">
        <v>70</v>
      </c>
      <c r="F4482">
        <v>1</v>
      </c>
      <c r="G4482" s="2">
        <v>388.6</v>
      </c>
      <c r="H4482">
        <v>0</v>
      </c>
      <c r="I4482" t="s">
        <v>64</v>
      </c>
      <c r="J4482">
        <v>1</v>
      </c>
      <c r="K4482">
        <v>2.6</v>
      </c>
      <c r="L4482" s="2">
        <v>388.6</v>
      </c>
      <c r="M4482">
        <v>2034</v>
      </c>
      <c r="N4482">
        <v>4</v>
      </c>
      <c r="O4482" t="s">
        <v>227</v>
      </c>
      <c r="P4482" s="2">
        <v>388.6</v>
      </c>
      <c r="Q4482" s="2">
        <v>0</v>
      </c>
      <c r="R4482" t="s">
        <v>75</v>
      </c>
      <c r="S4482">
        <v>1</v>
      </c>
      <c r="T4482">
        <v>0</v>
      </c>
      <c r="U4482">
        <f>IF(AND(OR(Dashboard!$D$4="Semua",D4482=Dashboard!$D$4),OR(Dashboard!$H$4="Semua",E4482=Dashboard!$H$4)),1,0)</f>
        <v>1</v>
      </c>
      <c r="V4482">
        <f>IF(U4482=1,IF(COUNTIFS($C$2:C4482,C4482,$U$2:U4482,1)=1,1,0),0)</f>
        <v>0</v>
      </c>
    </row>
    <row r="4483" spans="1:22" x14ac:dyDescent="0.35">
      <c r="A4483">
        <v>14482</v>
      </c>
      <c r="B4483" s="1">
        <v>49043</v>
      </c>
      <c r="C4483">
        <v>1317</v>
      </c>
      <c r="D4483" t="s">
        <v>62</v>
      </c>
      <c r="E4483" t="s">
        <v>78</v>
      </c>
      <c r="F4483">
        <v>6</v>
      </c>
      <c r="G4483" s="2">
        <v>109.23</v>
      </c>
      <c r="H4483">
        <v>0.34</v>
      </c>
      <c r="I4483" t="s">
        <v>68</v>
      </c>
      <c r="J4483">
        <v>6</v>
      </c>
      <c r="K4483">
        <v>4.4000000000000004</v>
      </c>
      <c r="L4483" s="2">
        <v>432.55</v>
      </c>
      <c r="M4483">
        <v>2034</v>
      </c>
      <c r="N4483">
        <v>4</v>
      </c>
      <c r="O4483" t="s">
        <v>227</v>
      </c>
      <c r="P4483" s="2">
        <v>655.38</v>
      </c>
      <c r="Q4483" s="2">
        <v>222.83</v>
      </c>
      <c r="R4483" t="s">
        <v>72</v>
      </c>
      <c r="S4483">
        <v>1</v>
      </c>
      <c r="T4483">
        <v>0</v>
      </c>
      <c r="U4483">
        <f>IF(AND(OR(Dashboard!$D$4="Semua",D4483=Dashboard!$D$4),OR(Dashboard!$H$4="Semua",E4483=Dashboard!$H$4)),1,0)</f>
        <v>1</v>
      </c>
      <c r="V4483">
        <f>IF(U4483=1,IF(COUNTIFS($C$2:C4483,C4483,$U$2:U4483,1)=1,1,0),0)</f>
        <v>0</v>
      </c>
    </row>
    <row r="4484" spans="1:22" x14ac:dyDescent="0.35">
      <c r="A4484">
        <v>14483</v>
      </c>
      <c r="B4484" s="1">
        <v>49044</v>
      </c>
      <c r="C4484">
        <v>1617</v>
      </c>
      <c r="D4484" t="s">
        <v>67</v>
      </c>
      <c r="E4484" t="s">
        <v>74</v>
      </c>
      <c r="F4484">
        <v>1</v>
      </c>
      <c r="G4484" s="2">
        <v>588.55999999999995</v>
      </c>
      <c r="H4484">
        <v>0.22</v>
      </c>
      <c r="I4484" t="s">
        <v>68</v>
      </c>
      <c r="J4484">
        <v>6</v>
      </c>
      <c r="K4484">
        <v>1.1000000000000001</v>
      </c>
      <c r="L4484" s="2">
        <v>459.08</v>
      </c>
      <c r="M4484">
        <v>2034</v>
      </c>
      <c r="N4484">
        <v>4</v>
      </c>
      <c r="O4484" t="s">
        <v>227</v>
      </c>
      <c r="P4484" s="2">
        <v>588.55999999999995</v>
      </c>
      <c r="Q4484" s="2">
        <v>129.47999999999999</v>
      </c>
      <c r="R4484" t="s">
        <v>77</v>
      </c>
      <c r="S4484">
        <v>1</v>
      </c>
      <c r="T4484">
        <v>0</v>
      </c>
      <c r="U4484">
        <f>IF(AND(OR(Dashboard!$D$4="Semua",D4484=Dashboard!$D$4),OR(Dashboard!$H$4="Semua",E4484=Dashboard!$H$4)),1,0)</f>
        <v>1</v>
      </c>
      <c r="V4484">
        <f>IF(U4484=1,IF(COUNTIFS($C$2:C4484,C4484,$U$2:U4484,1)=1,1,0),0)</f>
        <v>0</v>
      </c>
    </row>
    <row r="4485" spans="1:22" x14ac:dyDescent="0.35">
      <c r="A4485">
        <v>14484</v>
      </c>
      <c r="B4485" s="1">
        <v>49045</v>
      </c>
      <c r="C4485">
        <v>1362</v>
      </c>
      <c r="D4485" t="s">
        <v>62</v>
      </c>
      <c r="E4485" t="s">
        <v>74</v>
      </c>
      <c r="F4485">
        <v>5</v>
      </c>
      <c r="G4485" s="2">
        <v>426.83</v>
      </c>
      <c r="H4485">
        <v>0.05</v>
      </c>
      <c r="I4485" t="s">
        <v>64</v>
      </c>
      <c r="J4485">
        <v>9</v>
      </c>
      <c r="K4485">
        <v>2.5</v>
      </c>
      <c r="L4485" s="2">
        <v>2027.44</v>
      </c>
      <c r="M4485">
        <v>2034</v>
      </c>
      <c r="N4485">
        <v>4</v>
      </c>
      <c r="O4485" t="s">
        <v>227</v>
      </c>
      <c r="P4485" s="2">
        <v>2134.15</v>
      </c>
      <c r="Q4485" s="2">
        <v>106.71</v>
      </c>
      <c r="R4485" t="s">
        <v>75</v>
      </c>
      <c r="S4485">
        <v>1</v>
      </c>
      <c r="T4485">
        <v>0</v>
      </c>
      <c r="U4485">
        <f>IF(AND(OR(Dashboard!$D$4="Semua",D4485=Dashboard!$D$4),OR(Dashboard!$H$4="Semua",E4485=Dashboard!$H$4)),1,0)</f>
        <v>1</v>
      </c>
      <c r="V4485">
        <f>IF(U4485=1,IF(COUNTIFS($C$2:C4485,C4485,$U$2:U4485,1)=1,1,0),0)</f>
        <v>0</v>
      </c>
    </row>
    <row r="4486" spans="1:22" x14ac:dyDescent="0.35">
      <c r="A4486">
        <v>14485</v>
      </c>
      <c r="B4486" s="1">
        <v>49046</v>
      </c>
      <c r="C4486">
        <v>1821</v>
      </c>
      <c r="D4486" t="s">
        <v>67</v>
      </c>
      <c r="E4486" t="s">
        <v>63</v>
      </c>
      <c r="F4486">
        <v>1</v>
      </c>
      <c r="G4486" s="2">
        <v>455.73</v>
      </c>
      <c r="H4486">
        <v>0.02</v>
      </c>
      <c r="I4486" t="s">
        <v>71</v>
      </c>
      <c r="J4486">
        <v>2</v>
      </c>
      <c r="K4486">
        <v>1.3</v>
      </c>
      <c r="L4486" s="2">
        <v>446.62</v>
      </c>
      <c r="M4486">
        <v>2034</v>
      </c>
      <c r="N4486">
        <v>4</v>
      </c>
      <c r="O4486" t="s">
        <v>227</v>
      </c>
      <c r="P4486" s="2">
        <v>455.73</v>
      </c>
      <c r="Q4486" s="2">
        <v>9.11</v>
      </c>
      <c r="R4486" t="s">
        <v>75</v>
      </c>
      <c r="S4486">
        <v>1</v>
      </c>
      <c r="T4486">
        <v>0</v>
      </c>
      <c r="U4486">
        <f>IF(AND(OR(Dashboard!$D$4="Semua",D4486=Dashboard!$D$4),OR(Dashboard!$H$4="Semua",E4486=Dashboard!$H$4)),1,0)</f>
        <v>1</v>
      </c>
      <c r="V4486">
        <f>IF(U4486=1,IF(COUNTIFS($C$2:C4486,C4486,$U$2:U4486,1)=1,1,0),0)</f>
        <v>0</v>
      </c>
    </row>
    <row r="4487" spans="1:22" x14ac:dyDescent="0.35">
      <c r="A4487">
        <v>14486</v>
      </c>
      <c r="B4487" s="1">
        <v>49047</v>
      </c>
      <c r="C4487">
        <v>1381</v>
      </c>
      <c r="D4487" t="s">
        <v>67</v>
      </c>
      <c r="E4487" t="s">
        <v>63</v>
      </c>
      <c r="F4487">
        <v>5</v>
      </c>
      <c r="G4487" s="2">
        <v>53.48</v>
      </c>
      <c r="H4487">
        <v>0.19</v>
      </c>
      <c r="I4487" t="s">
        <v>71</v>
      </c>
      <c r="J4487">
        <v>5</v>
      </c>
      <c r="K4487">
        <v>4.7</v>
      </c>
      <c r="L4487" s="2">
        <v>216.59</v>
      </c>
      <c r="M4487">
        <v>2034</v>
      </c>
      <c r="N4487">
        <v>4</v>
      </c>
      <c r="O4487" t="s">
        <v>227</v>
      </c>
      <c r="P4487" s="2">
        <v>267.39999999999998</v>
      </c>
      <c r="Q4487" s="2">
        <v>50.81</v>
      </c>
      <c r="R4487" t="s">
        <v>76</v>
      </c>
      <c r="S4487">
        <v>1</v>
      </c>
      <c r="T4487">
        <v>0</v>
      </c>
      <c r="U4487">
        <f>IF(AND(OR(Dashboard!$D$4="Semua",D4487=Dashboard!$D$4),OR(Dashboard!$H$4="Semua",E4487=Dashboard!$H$4)),1,0)</f>
        <v>1</v>
      </c>
      <c r="V4487">
        <f>IF(U4487=1,IF(COUNTIFS($C$2:C4487,C4487,$U$2:U4487,1)=1,1,0),0)</f>
        <v>0</v>
      </c>
    </row>
    <row r="4488" spans="1:22" x14ac:dyDescent="0.35">
      <c r="A4488">
        <v>14487</v>
      </c>
      <c r="B4488" s="1">
        <v>49048</v>
      </c>
      <c r="C4488">
        <v>1232</v>
      </c>
      <c r="D4488" t="s">
        <v>73</v>
      </c>
      <c r="E4488" t="s">
        <v>74</v>
      </c>
      <c r="F4488">
        <v>6</v>
      </c>
      <c r="G4488" s="2">
        <v>461.6</v>
      </c>
      <c r="H4488">
        <v>0.08</v>
      </c>
      <c r="I4488" t="s">
        <v>68</v>
      </c>
      <c r="J4488">
        <v>5</v>
      </c>
      <c r="K4488">
        <v>2.9</v>
      </c>
      <c r="L4488" s="2">
        <v>2548.0300000000002</v>
      </c>
      <c r="M4488">
        <v>2034</v>
      </c>
      <c r="N4488">
        <v>4</v>
      </c>
      <c r="O4488" t="s">
        <v>227</v>
      </c>
      <c r="P4488" s="2">
        <v>2769.6</v>
      </c>
      <c r="Q4488" s="2">
        <v>221.57</v>
      </c>
      <c r="R4488" t="s">
        <v>69</v>
      </c>
      <c r="S4488">
        <v>1</v>
      </c>
      <c r="T4488">
        <v>0</v>
      </c>
      <c r="U4488">
        <f>IF(AND(OR(Dashboard!$D$4="Semua",D4488=Dashboard!$D$4),OR(Dashboard!$H$4="Semua",E4488=Dashboard!$H$4)),1,0)</f>
        <v>1</v>
      </c>
      <c r="V4488">
        <f>IF(U4488=1,IF(COUNTIFS($C$2:C4488,C4488,$U$2:U4488,1)=1,1,0),0)</f>
        <v>0</v>
      </c>
    </row>
    <row r="4489" spans="1:22" x14ac:dyDescent="0.35">
      <c r="A4489">
        <v>14488</v>
      </c>
      <c r="B4489" s="1">
        <v>49049</v>
      </c>
      <c r="C4489">
        <v>1776</v>
      </c>
      <c r="D4489" t="s">
        <v>80</v>
      </c>
      <c r="E4489" t="s">
        <v>74</v>
      </c>
      <c r="F4489">
        <v>3</v>
      </c>
      <c r="G4489" s="2">
        <v>468.21</v>
      </c>
      <c r="H4489">
        <v>0.11</v>
      </c>
      <c r="I4489" t="s">
        <v>71</v>
      </c>
      <c r="J4489">
        <v>7</v>
      </c>
      <c r="K4489">
        <v>2.2999999999999998</v>
      </c>
      <c r="L4489" s="2">
        <v>1250.1199999999999</v>
      </c>
      <c r="M4489">
        <v>2034</v>
      </c>
      <c r="N4489">
        <v>4</v>
      </c>
      <c r="O4489" t="s">
        <v>227</v>
      </c>
      <c r="P4489" s="2">
        <v>1404.63</v>
      </c>
      <c r="Q4489" s="2">
        <v>154.51</v>
      </c>
      <c r="R4489" t="s">
        <v>79</v>
      </c>
      <c r="S4489">
        <v>1</v>
      </c>
      <c r="T4489">
        <v>0</v>
      </c>
      <c r="U4489">
        <f>IF(AND(OR(Dashboard!$D$4="Semua",D4489=Dashboard!$D$4),OR(Dashboard!$H$4="Semua",E4489=Dashboard!$H$4)),1,0)</f>
        <v>1</v>
      </c>
      <c r="V4489">
        <f>IF(U4489=1,IF(COUNTIFS($C$2:C4489,C4489,$U$2:U4489,1)=1,1,0),0)</f>
        <v>0</v>
      </c>
    </row>
    <row r="4490" spans="1:22" x14ac:dyDescent="0.35">
      <c r="A4490">
        <v>14489</v>
      </c>
      <c r="B4490" s="1">
        <v>49050</v>
      </c>
      <c r="C4490">
        <v>1343</v>
      </c>
      <c r="D4490" t="s">
        <v>73</v>
      </c>
      <c r="E4490" t="s">
        <v>70</v>
      </c>
      <c r="F4490">
        <v>2</v>
      </c>
      <c r="G4490" s="2">
        <v>407.99</v>
      </c>
      <c r="H4490">
        <v>0.09</v>
      </c>
      <c r="I4490" t="s">
        <v>64</v>
      </c>
      <c r="J4490">
        <v>5</v>
      </c>
      <c r="K4490">
        <v>3</v>
      </c>
      <c r="L4490" s="2">
        <v>742.54</v>
      </c>
      <c r="M4490">
        <v>2034</v>
      </c>
      <c r="N4490">
        <v>4</v>
      </c>
      <c r="O4490" t="s">
        <v>227</v>
      </c>
      <c r="P4490" s="2">
        <v>815.98</v>
      </c>
      <c r="Q4490" s="2">
        <v>73.44</v>
      </c>
      <c r="R4490" t="s">
        <v>69</v>
      </c>
      <c r="S4490">
        <v>1</v>
      </c>
      <c r="T4490">
        <v>0</v>
      </c>
      <c r="U4490">
        <f>IF(AND(OR(Dashboard!$D$4="Semua",D4490=Dashboard!$D$4),OR(Dashboard!$H$4="Semua",E4490=Dashboard!$H$4)),1,0)</f>
        <v>1</v>
      </c>
      <c r="V4490">
        <f>IF(U4490=1,IF(COUNTIFS($C$2:C4490,C4490,$U$2:U4490,1)=1,1,0),0)</f>
        <v>0</v>
      </c>
    </row>
    <row r="4491" spans="1:22" x14ac:dyDescent="0.35">
      <c r="A4491">
        <v>14490</v>
      </c>
      <c r="B4491" s="1">
        <v>49051</v>
      </c>
      <c r="C4491">
        <v>1548</v>
      </c>
      <c r="D4491" t="s">
        <v>62</v>
      </c>
      <c r="E4491" t="s">
        <v>74</v>
      </c>
      <c r="F4491">
        <v>3</v>
      </c>
      <c r="G4491" s="2">
        <v>185.77</v>
      </c>
      <c r="H4491">
        <v>0.23</v>
      </c>
      <c r="I4491" t="s">
        <v>71</v>
      </c>
      <c r="J4491">
        <v>10</v>
      </c>
      <c r="K4491">
        <v>3.1</v>
      </c>
      <c r="L4491" s="2">
        <v>429.13</v>
      </c>
      <c r="M4491">
        <v>2034</v>
      </c>
      <c r="N4491">
        <v>4</v>
      </c>
      <c r="O4491" t="s">
        <v>227</v>
      </c>
      <c r="P4491" s="2">
        <v>557.30999999999995</v>
      </c>
      <c r="Q4491" s="2">
        <v>128.18</v>
      </c>
      <c r="R4491" t="s">
        <v>77</v>
      </c>
      <c r="S4491">
        <v>1</v>
      </c>
      <c r="T4491">
        <v>0</v>
      </c>
      <c r="U4491">
        <f>IF(AND(OR(Dashboard!$D$4="Semua",D4491=Dashboard!$D$4),OR(Dashboard!$H$4="Semua",E4491=Dashboard!$H$4)),1,0)</f>
        <v>1</v>
      </c>
      <c r="V4491">
        <f>IF(U4491=1,IF(COUNTIFS($C$2:C4491,C4491,$U$2:U4491,1)=1,1,0),0)</f>
        <v>0</v>
      </c>
    </row>
    <row r="4492" spans="1:22" x14ac:dyDescent="0.35">
      <c r="A4492">
        <v>14491</v>
      </c>
      <c r="B4492" s="1">
        <v>49052</v>
      </c>
      <c r="C4492">
        <v>1816</v>
      </c>
      <c r="D4492" t="s">
        <v>62</v>
      </c>
      <c r="E4492" t="s">
        <v>63</v>
      </c>
      <c r="F4492">
        <v>5</v>
      </c>
      <c r="G4492" s="2">
        <v>301.47000000000003</v>
      </c>
      <c r="H4492">
        <v>0.19</v>
      </c>
      <c r="I4492" t="s">
        <v>68</v>
      </c>
      <c r="J4492">
        <v>4</v>
      </c>
      <c r="K4492">
        <v>4.4000000000000004</v>
      </c>
      <c r="L4492" s="2">
        <v>1220.95</v>
      </c>
      <c r="M4492">
        <v>2034</v>
      </c>
      <c r="N4492">
        <v>4</v>
      </c>
      <c r="O4492" t="s">
        <v>227</v>
      </c>
      <c r="P4492" s="2">
        <v>1507.35</v>
      </c>
      <c r="Q4492" s="2">
        <v>286.39999999999998</v>
      </c>
      <c r="R4492" t="s">
        <v>76</v>
      </c>
      <c r="S4492">
        <v>1</v>
      </c>
      <c r="T4492">
        <v>0</v>
      </c>
      <c r="U4492">
        <f>IF(AND(OR(Dashboard!$D$4="Semua",D4492=Dashboard!$D$4),OR(Dashboard!$H$4="Semua",E4492=Dashboard!$H$4)),1,0)</f>
        <v>1</v>
      </c>
      <c r="V4492">
        <f>IF(U4492=1,IF(COUNTIFS($C$2:C4492,C4492,$U$2:U4492,1)=1,1,0),0)</f>
        <v>0</v>
      </c>
    </row>
    <row r="4493" spans="1:22" x14ac:dyDescent="0.35">
      <c r="A4493">
        <v>14492</v>
      </c>
      <c r="B4493" s="1">
        <v>49053</v>
      </c>
      <c r="C4493">
        <v>1552</v>
      </c>
      <c r="D4493" t="s">
        <v>62</v>
      </c>
      <c r="E4493" t="s">
        <v>78</v>
      </c>
      <c r="F4493">
        <v>4</v>
      </c>
      <c r="G4493" s="2">
        <v>79.599999999999994</v>
      </c>
      <c r="H4493">
        <v>0.03</v>
      </c>
      <c r="I4493" t="s">
        <v>68</v>
      </c>
      <c r="J4493">
        <v>10</v>
      </c>
      <c r="K4493">
        <v>3.2</v>
      </c>
      <c r="L4493" s="2">
        <v>308.85000000000002</v>
      </c>
      <c r="M4493">
        <v>2034</v>
      </c>
      <c r="N4493">
        <v>4</v>
      </c>
      <c r="O4493" t="s">
        <v>227</v>
      </c>
      <c r="P4493" s="2">
        <v>318.39999999999998</v>
      </c>
      <c r="Q4493" s="2">
        <v>9.5500000000000007</v>
      </c>
      <c r="R4493" t="s">
        <v>75</v>
      </c>
      <c r="S4493">
        <v>1</v>
      </c>
      <c r="T4493">
        <v>0</v>
      </c>
      <c r="U4493">
        <f>IF(AND(OR(Dashboard!$D$4="Semua",D4493=Dashboard!$D$4),OR(Dashboard!$H$4="Semua",E4493=Dashboard!$H$4)),1,0)</f>
        <v>1</v>
      </c>
      <c r="V4493">
        <f>IF(U4493=1,IF(COUNTIFS($C$2:C4493,C4493,$U$2:U4493,1)=1,1,0),0)</f>
        <v>0</v>
      </c>
    </row>
    <row r="4494" spans="1:22" x14ac:dyDescent="0.35">
      <c r="A4494">
        <v>14493</v>
      </c>
      <c r="B4494" s="1">
        <v>49054</v>
      </c>
      <c r="C4494">
        <v>1528</v>
      </c>
      <c r="D4494" t="s">
        <v>67</v>
      </c>
      <c r="E4494" t="s">
        <v>70</v>
      </c>
      <c r="F4494">
        <v>4</v>
      </c>
      <c r="G4494" s="2">
        <v>290.88</v>
      </c>
      <c r="H4494">
        <v>0.18</v>
      </c>
      <c r="I4494" t="s">
        <v>68</v>
      </c>
      <c r="J4494">
        <v>2</v>
      </c>
      <c r="K4494">
        <v>2.7</v>
      </c>
      <c r="L4494" s="2">
        <v>954.09</v>
      </c>
      <c r="M4494">
        <v>2034</v>
      </c>
      <c r="N4494">
        <v>4</v>
      </c>
      <c r="O4494" t="s">
        <v>227</v>
      </c>
      <c r="P4494" s="2">
        <v>1163.52</v>
      </c>
      <c r="Q4494" s="2">
        <v>209.43</v>
      </c>
      <c r="R4494" t="s">
        <v>76</v>
      </c>
      <c r="S4494">
        <v>1</v>
      </c>
      <c r="T4494">
        <v>0</v>
      </c>
      <c r="U4494">
        <f>IF(AND(OR(Dashboard!$D$4="Semua",D4494=Dashboard!$D$4),OR(Dashboard!$H$4="Semua",E4494=Dashboard!$H$4)),1,0)</f>
        <v>1</v>
      </c>
      <c r="V4494">
        <f>IF(U4494=1,IF(COUNTIFS($C$2:C4494,C4494,$U$2:U4494,1)=1,1,0),0)</f>
        <v>0</v>
      </c>
    </row>
    <row r="4495" spans="1:22" x14ac:dyDescent="0.35">
      <c r="A4495">
        <v>14494</v>
      </c>
      <c r="B4495" s="1">
        <v>49055</v>
      </c>
      <c r="C4495">
        <v>1855</v>
      </c>
      <c r="D4495" t="s">
        <v>80</v>
      </c>
      <c r="E4495" t="s">
        <v>70</v>
      </c>
      <c r="F4495">
        <v>3</v>
      </c>
      <c r="G4495" s="2">
        <v>157.63999999999999</v>
      </c>
      <c r="H4495">
        <v>0.28000000000000003</v>
      </c>
      <c r="I4495" t="s">
        <v>71</v>
      </c>
      <c r="J4495">
        <v>8</v>
      </c>
      <c r="K4495">
        <v>4.8</v>
      </c>
      <c r="L4495" s="2">
        <v>340.5</v>
      </c>
      <c r="M4495">
        <v>2034</v>
      </c>
      <c r="N4495">
        <v>4</v>
      </c>
      <c r="O4495" t="s">
        <v>227</v>
      </c>
      <c r="P4495" s="2">
        <v>472.92</v>
      </c>
      <c r="Q4495" s="2">
        <v>132.41999999999999</v>
      </c>
      <c r="R4495" t="s">
        <v>66</v>
      </c>
      <c r="S4495">
        <v>1</v>
      </c>
      <c r="T4495">
        <v>0</v>
      </c>
      <c r="U4495">
        <f>IF(AND(OR(Dashboard!$D$4="Semua",D4495=Dashboard!$D$4),OR(Dashboard!$H$4="Semua",E4495=Dashboard!$H$4)),1,0)</f>
        <v>1</v>
      </c>
      <c r="V4495">
        <f>IF(U4495=1,IF(COUNTIFS($C$2:C4495,C4495,$U$2:U4495,1)=1,1,0),0)</f>
        <v>0</v>
      </c>
    </row>
    <row r="4496" spans="1:22" x14ac:dyDescent="0.35">
      <c r="A4496">
        <v>14495</v>
      </c>
      <c r="B4496" s="1">
        <v>49056</v>
      </c>
      <c r="C4496">
        <v>1788</v>
      </c>
      <c r="D4496" t="s">
        <v>80</v>
      </c>
      <c r="E4496" t="s">
        <v>74</v>
      </c>
      <c r="F4496">
        <v>4</v>
      </c>
      <c r="G4496" s="2">
        <v>219.22</v>
      </c>
      <c r="H4496">
        <v>0.03</v>
      </c>
      <c r="I4496" t="s">
        <v>68</v>
      </c>
      <c r="J4496">
        <v>5</v>
      </c>
      <c r="K4496">
        <v>4.9000000000000004</v>
      </c>
      <c r="L4496" s="2">
        <v>850.57</v>
      </c>
      <c r="M4496">
        <v>2034</v>
      </c>
      <c r="N4496">
        <v>4</v>
      </c>
      <c r="O4496" t="s">
        <v>227</v>
      </c>
      <c r="P4496" s="2">
        <v>876.88</v>
      </c>
      <c r="Q4496" s="2">
        <v>26.31</v>
      </c>
      <c r="R4496" t="s">
        <v>75</v>
      </c>
      <c r="S4496">
        <v>1</v>
      </c>
      <c r="T4496">
        <v>0</v>
      </c>
      <c r="U4496">
        <f>IF(AND(OR(Dashboard!$D$4="Semua",D4496=Dashboard!$D$4),OR(Dashboard!$H$4="Semua",E4496=Dashboard!$H$4)),1,0)</f>
        <v>1</v>
      </c>
      <c r="V4496">
        <f>IF(U4496=1,IF(COUNTIFS($C$2:C4496,C4496,$U$2:U4496,1)=1,1,0),0)</f>
        <v>0</v>
      </c>
    </row>
    <row r="4497" spans="1:22" x14ac:dyDescent="0.35">
      <c r="A4497">
        <v>14496</v>
      </c>
      <c r="B4497" s="1">
        <v>49057</v>
      </c>
      <c r="C4497">
        <v>1818</v>
      </c>
      <c r="D4497" t="s">
        <v>73</v>
      </c>
      <c r="E4497" t="s">
        <v>78</v>
      </c>
      <c r="F4497">
        <v>5</v>
      </c>
      <c r="G4497" s="2">
        <v>110.12</v>
      </c>
      <c r="H4497">
        <v>0.31</v>
      </c>
      <c r="I4497" t="s">
        <v>71</v>
      </c>
      <c r="J4497">
        <v>4</v>
      </c>
      <c r="K4497">
        <v>1.2</v>
      </c>
      <c r="L4497" s="2">
        <v>379.91</v>
      </c>
      <c r="M4497">
        <v>2034</v>
      </c>
      <c r="N4497">
        <v>4</v>
      </c>
      <c r="O4497" t="s">
        <v>227</v>
      </c>
      <c r="P4497" s="2">
        <v>550.6</v>
      </c>
      <c r="Q4497" s="2">
        <v>170.69</v>
      </c>
      <c r="R4497" t="s">
        <v>72</v>
      </c>
      <c r="S4497">
        <v>1</v>
      </c>
      <c r="T4497">
        <v>0</v>
      </c>
      <c r="U4497">
        <f>IF(AND(OR(Dashboard!$D$4="Semua",D4497=Dashboard!$D$4),OR(Dashboard!$H$4="Semua",E4497=Dashboard!$H$4)),1,0)</f>
        <v>1</v>
      </c>
      <c r="V4497">
        <f>IF(U4497=1,IF(COUNTIFS($C$2:C4497,C4497,$U$2:U4497,1)=1,1,0),0)</f>
        <v>0</v>
      </c>
    </row>
    <row r="4498" spans="1:22" x14ac:dyDescent="0.35">
      <c r="A4498">
        <v>14497</v>
      </c>
      <c r="B4498" s="1">
        <v>49058</v>
      </c>
      <c r="C4498">
        <v>1570</v>
      </c>
      <c r="D4498" t="s">
        <v>67</v>
      </c>
      <c r="E4498" t="s">
        <v>70</v>
      </c>
      <c r="F4498">
        <v>6</v>
      </c>
      <c r="G4498" s="2">
        <v>149.58000000000001</v>
      </c>
      <c r="H4498">
        <v>0.2</v>
      </c>
      <c r="I4498" t="s">
        <v>71</v>
      </c>
      <c r="J4498">
        <v>9</v>
      </c>
      <c r="K4498">
        <v>3.8</v>
      </c>
      <c r="L4498" s="2">
        <v>717.98</v>
      </c>
      <c r="M4498">
        <v>2034</v>
      </c>
      <c r="N4498">
        <v>4</v>
      </c>
      <c r="O4498" t="s">
        <v>227</v>
      </c>
      <c r="P4498" s="2">
        <v>897.48</v>
      </c>
      <c r="Q4498" s="2">
        <v>179.5</v>
      </c>
      <c r="R4498" t="s">
        <v>76</v>
      </c>
      <c r="S4498">
        <v>1</v>
      </c>
      <c r="T4498">
        <v>0</v>
      </c>
      <c r="U4498">
        <f>IF(AND(OR(Dashboard!$D$4="Semua",D4498=Dashboard!$D$4),OR(Dashboard!$H$4="Semua",E4498=Dashboard!$H$4)),1,0)</f>
        <v>1</v>
      </c>
      <c r="V4498">
        <f>IF(U4498=1,IF(COUNTIFS($C$2:C4498,C4498,$U$2:U4498,1)=1,1,0),0)</f>
        <v>0</v>
      </c>
    </row>
    <row r="4499" spans="1:22" x14ac:dyDescent="0.35">
      <c r="A4499">
        <v>14498</v>
      </c>
      <c r="B4499" s="1">
        <v>49059</v>
      </c>
      <c r="C4499">
        <v>1934</v>
      </c>
      <c r="D4499" t="s">
        <v>73</v>
      </c>
      <c r="E4499" t="s">
        <v>63</v>
      </c>
      <c r="F4499">
        <v>2</v>
      </c>
      <c r="G4499" s="2">
        <v>59.79</v>
      </c>
      <c r="H4499">
        <v>0.33</v>
      </c>
      <c r="I4499" t="s">
        <v>71</v>
      </c>
      <c r="J4499">
        <v>2</v>
      </c>
      <c r="K4499">
        <v>2.5</v>
      </c>
      <c r="L4499" s="2">
        <v>80.12</v>
      </c>
      <c r="M4499">
        <v>2034</v>
      </c>
      <c r="N4499">
        <v>4</v>
      </c>
      <c r="O4499" t="s">
        <v>227</v>
      </c>
      <c r="P4499" s="2">
        <v>119.58</v>
      </c>
      <c r="Q4499" s="2">
        <v>39.46</v>
      </c>
      <c r="R4499" t="s">
        <v>72</v>
      </c>
      <c r="S4499">
        <v>1</v>
      </c>
      <c r="T4499">
        <v>0</v>
      </c>
      <c r="U4499">
        <f>IF(AND(OR(Dashboard!$D$4="Semua",D4499=Dashboard!$D$4),OR(Dashboard!$H$4="Semua",E4499=Dashboard!$H$4)),1,0)</f>
        <v>1</v>
      </c>
      <c r="V4499">
        <f>IF(U4499=1,IF(COUNTIFS($C$2:C4499,C4499,$U$2:U4499,1)=1,1,0),0)</f>
        <v>0</v>
      </c>
    </row>
    <row r="4500" spans="1:22" x14ac:dyDescent="0.35">
      <c r="A4500">
        <v>14499</v>
      </c>
      <c r="B4500" s="1">
        <v>49060</v>
      </c>
      <c r="C4500">
        <v>1182</v>
      </c>
      <c r="D4500" t="s">
        <v>67</v>
      </c>
      <c r="E4500" t="s">
        <v>74</v>
      </c>
      <c r="F4500">
        <v>7</v>
      </c>
      <c r="G4500" s="2">
        <v>553.14</v>
      </c>
      <c r="H4500">
        <v>0.05</v>
      </c>
      <c r="I4500" t="s">
        <v>68</v>
      </c>
      <c r="J4500">
        <v>3</v>
      </c>
      <c r="K4500">
        <v>3.7</v>
      </c>
      <c r="L4500" s="2">
        <v>3678.38</v>
      </c>
      <c r="M4500">
        <v>2034</v>
      </c>
      <c r="N4500">
        <v>4</v>
      </c>
      <c r="O4500" t="s">
        <v>227</v>
      </c>
      <c r="P4500" s="2">
        <v>3871.98</v>
      </c>
      <c r="Q4500" s="2">
        <v>193.6</v>
      </c>
      <c r="R4500" t="s">
        <v>75</v>
      </c>
      <c r="S4500">
        <v>1</v>
      </c>
      <c r="T4500">
        <v>1</v>
      </c>
      <c r="U4500">
        <f>IF(AND(OR(Dashboard!$D$4="Semua",D4500=Dashboard!$D$4),OR(Dashboard!$H$4="Semua",E4500=Dashboard!$H$4)),1,0)</f>
        <v>1</v>
      </c>
      <c r="V4500">
        <f>IF(U4500=1,IF(COUNTIFS($C$2:C4500,C4500,$U$2:U4500,1)=1,1,0),0)</f>
        <v>0</v>
      </c>
    </row>
    <row r="4501" spans="1:22" x14ac:dyDescent="0.35">
      <c r="A4501">
        <v>14500</v>
      </c>
      <c r="B4501" s="1">
        <v>49061</v>
      </c>
      <c r="C4501">
        <v>1040</v>
      </c>
      <c r="D4501" t="s">
        <v>73</v>
      </c>
      <c r="E4501" t="s">
        <v>63</v>
      </c>
      <c r="F4501">
        <v>1</v>
      </c>
      <c r="G4501" s="2">
        <v>325.29000000000002</v>
      </c>
      <c r="H4501">
        <v>0.35</v>
      </c>
      <c r="I4501" t="s">
        <v>71</v>
      </c>
      <c r="J4501">
        <v>8</v>
      </c>
      <c r="K4501">
        <v>3.5</v>
      </c>
      <c r="L4501" s="2">
        <v>211.44</v>
      </c>
      <c r="M4501">
        <v>2034</v>
      </c>
      <c r="N4501">
        <v>4</v>
      </c>
      <c r="O4501" t="s">
        <v>227</v>
      </c>
      <c r="P4501" s="2">
        <v>325.29000000000002</v>
      </c>
      <c r="Q4501" s="2">
        <v>113.85</v>
      </c>
      <c r="R4501" t="s">
        <v>72</v>
      </c>
      <c r="S4501">
        <v>1</v>
      </c>
      <c r="T4501">
        <v>0</v>
      </c>
      <c r="U4501">
        <f>IF(AND(OR(Dashboard!$D$4="Semua",D4501=Dashboard!$D$4),OR(Dashboard!$H$4="Semua",E4501=Dashboard!$H$4)),1,0)</f>
        <v>1</v>
      </c>
      <c r="V4501">
        <f>IF(U4501=1,IF(COUNTIFS($C$2:C4501,C4501,$U$2:U4501,1)=1,1,0),0)</f>
        <v>0</v>
      </c>
    </row>
    <row r="4502" spans="1:22" x14ac:dyDescent="0.35">
      <c r="A4502">
        <v>14501</v>
      </c>
      <c r="B4502" s="1">
        <v>49062</v>
      </c>
      <c r="C4502">
        <v>1550</v>
      </c>
      <c r="D4502" t="s">
        <v>73</v>
      </c>
      <c r="E4502" t="s">
        <v>74</v>
      </c>
      <c r="F4502">
        <v>5</v>
      </c>
      <c r="G4502" s="2">
        <v>247.09</v>
      </c>
      <c r="H4502">
        <v>0.23</v>
      </c>
      <c r="I4502" t="s">
        <v>71</v>
      </c>
      <c r="J4502">
        <v>11</v>
      </c>
      <c r="K4502">
        <v>2.2999999999999998</v>
      </c>
      <c r="L4502" s="2">
        <v>951.3</v>
      </c>
      <c r="M4502">
        <v>2034</v>
      </c>
      <c r="N4502">
        <v>4</v>
      </c>
      <c r="O4502" t="s">
        <v>227</v>
      </c>
      <c r="P4502" s="2">
        <v>1235.45</v>
      </c>
      <c r="Q4502" s="2">
        <v>284.14999999999998</v>
      </c>
      <c r="R4502" t="s">
        <v>77</v>
      </c>
      <c r="S4502">
        <v>1</v>
      </c>
      <c r="T4502">
        <v>0</v>
      </c>
      <c r="U4502">
        <f>IF(AND(OR(Dashboard!$D$4="Semua",D4502=Dashboard!$D$4),OR(Dashboard!$H$4="Semua",E4502=Dashboard!$H$4)),1,0)</f>
        <v>1</v>
      </c>
      <c r="V4502">
        <f>IF(U4502=1,IF(COUNTIFS($C$2:C4502,C4502,$U$2:U4502,1)=1,1,0),0)</f>
        <v>0</v>
      </c>
    </row>
    <row r="4503" spans="1:22" x14ac:dyDescent="0.35">
      <c r="A4503">
        <v>14502</v>
      </c>
      <c r="B4503" s="1">
        <v>49063</v>
      </c>
      <c r="C4503">
        <v>1396</v>
      </c>
      <c r="D4503" t="s">
        <v>67</v>
      </c>
      <c r="E4503" t="s">
        <v>70</v>
      </c>
      <c r="F4503">
        <v>7</v>
      </c>
      <c r="G4503" s="2">
        <v>327.99</v>
      </c>
      <c r="H4503">
        <v>0.2</v>
      </c>
      <c r="I4503" t="s">
        <v>68</v>
      </c>
      <c r="J4503">
        <v>4</v>
      </c>
      <c r="K4503">
        <v>4.9000000000000004</v>
      </c>
      <c r="L4503" s="2">
        <v>1836.74</v>
      </c>
      <c r="M4503">
        <v>2034</v>
      </c>
      <c r="N4503">
        <v>4</v>
      </c>
      <c r="O4503" t="s">
        <v>227</v>
      </c>
      <c r="P4503" s="2">
        <v>2295.9299999999998</v>
      </c>
      <c r="Q4503" s="2">
        <v>459.19</v>
      </c>
      <c r="R4503" t="s">
        <v>76</v>
      </c>
      <c r="S4503">
        <v>1</v>
      </c>
      <c r="T4503">
        <v>0</v>
      </c>
      <c r="U4503">
        <f>IF(AND(OR(Dashboard!$D$4="Semua",D4503=Dashboard!$D$4),OR(Dashboard!$H$4="Semua",E4503=Dashboard!$H$4)),1,0)</f>
        <v>1</v>
      </c>
      <c r="V4503">
        <f>IF(U4503=1,IF(COUNTIFS($C$2:C4503,C4503,$U$2:U4503,1)=1,1,0),0)</f>
        <v>0</v>
      </c>
    </row>
    <row r="4504" spans="1:22" x14ac:dyDescent="0.35">
      <c r="A4504">
        <v>14503</v>
      </c>
      <c r="B4504" s="1">
        <v>49064</v>
      </c>
      <c r="C4504">
        <v>1703</v>
      </c>
      <c r="D4504" t="s">
        <v>67</v>
      </c>
      <c r="E4504" t="s">
        <v>74</v>
      </c>
      <c r="F4504">
        <v>5</v>
      </c>
      <c r="G4504" s="2">
        <v>382.55</v>
      </c>
      <c r="H4504">
        <v>0.18</v>
      </c>
      <c r="I4504" t="s">
        <v>64</v>
      </c>
      <c r="J4504">
        <v>9</v>
      </c>
      <c r="K4504">
        <v>2.4</v>
      </c>
      <c r="L4504" s="2">
        <v>1568.46</v>
      </c>
      <c r="M4504">
        <v>2034</v>
      </c>
      <c r="N4504">
        <v>4</v>
      </c>
      <c r="O4504" t="s">
        <v>227</v>
      </c>
      <c r="P4504" s="2">
        <v>1912.75</v>
      </c>
      <c r="Q4504" s="2">
        <v>344.29</v>
      </c>
      <c r="R4504" t="s">
        <v>76</v>
      </c>
      <c r="S4504">
        <v>1</v>
      </c>
      <c r="T4504">
        <v>0</v>
      </c>
      <c r="U4504">
        <f>IF(AND(OR(Dashboard!$D$4="Semua",D4504=Dashboard!$D$4),OR(Dashboard!$H$4="Semua",E4504=Dashboard!$H$4)),1,0)</f>
        <v>1</v>
      </c>
      <c r="V4504">
        <f>IF(U4504=1,IF(COUNTIFS($C$2:C4504,C4504,$U$2:U4504,1)=1,1,0),0)</f>
        <v>0</v>
      </c>
    </row>
    <row r="4505" spans="1:22" x14ac:dyDescent="0.35">
      <c r="A4505">
        <v>14504</v>
      </c>
      <c r="B4505" s="1">
        <v>49065</v>
      </c>
      <c r="C4505">
        <v>1778</v>
      </c>
      <c r="D4505" t="s">
        <v>67</v>
      </c>
      <c r="E4505" t="s">
        <v>78</v>
      </c>
      <c r="F4505">
        <v>1</v>
      </c>
      <c r="G4505" s="2">
        <v>554.29999999999995</v>
      </c>
      <c r="H4505">
        <v>0.01</v>
      </c>
      <c r="I4505" t="s">
        <v>68</v>
      </c>
      <c r="J4505">
        <v>10</v>
      </c>
      <c r="K4505">
        <v>3.5</v>
      </c>
      <c r="L4505" s="2">
        <v>548.76</v>
      </c>
      <c r="M4505">
        <v>2034</v>
      </c>
      <c r="N4505">
        <v>5</v>
      </c>
      <c r="O4505" t="s">
        <v>228</v>
      </c>
      <c r="P4505" s="2">
        <v>554.29999999999995</v>
      </c>
      <c r="Q4505" s="2">
        <v>5.54</v>
      </c>
      <c r="R4505" t="s">
        <v>75</v>
      </c>
      <c r="S4505">
        <v>1</v>
      </c>
      <c r="T4505">
        <v>0</v>
      </c>
      <c r="U4505">
        <f>IF(AND(OR(Dashboard!$D$4="Semua",D4505=Dashboard!$D$4),OR(Dashboard!$H$4="Semua",E4505=Dashboard!$H$4)),1,0)</f>
        <v>1</v>
      </c>
      <c r="V4505">
        <f>IF(U4505=1,IF(COUNTIFS($C$2:C4505,C4505,$U$2:U4505,1)=1,1,0),0)</f>
        <v>0</v>
      </c>
    </row>
    <row r="4506" spans="1:22" x14ac:dyDescent="0.35">
      <c r="A4506">
        <v>14505</v>
      </c>
      <c r="B4506" s="1">
        <v>49066</v>
      </c>
      <c r="C4506">
        <v>1493</v>
      </c>
      <c r="D4506" t="s">
        <v>73</v>
      </c>
      <c r="E4506" t="s">
        <v>63</v>
      </c>
      <c r="F4506">
        <v>1</v>
      </c>
      <c r="G4506" s="2">
        <v>119.54</v>
      </c>
      <c r="H4506">
        <v>0.33</v>
      </c>
      <c r="I4506" t="s">
        <v>71</v>
      </c>
      <c r="J4506">
        <v>10</v>
      </c>
      <c r="K4506">
        <v>4.3</v>
      </c>
      <c r="L4506" s="2">
        <v>80.09</v>
      </c>
      <c r="M4506">
        <v>2034</v>
      </c>
      <c r="N4506">
        <v>5</v>
      </c>
      <c r="O4506" t="s">
        <v>228</v>
      </c>
      <c r="P4506" s="2">
        <v>119.54</v>
      </c>
      <c r="Q4506" s="2">
        <v>39.450000000000003</v>
      </c>
      <c r="R4506" t="s">
        <v>72</v>
      </c>
      <c r="S4506">
        <v>1</v>
      </c>
      <c r="T4506">
        <v>0</v>
      </c>
      <c r="U4506">
        <f>IF(AND(OR(Dashboard!$D$4="Semua",D4506=Dashboard!$D$4),OR(Dashboard!$H$4="Semua",E4506=Dashboard!$H$4)),1,0)</f>
        <v>1</v>
      </c>
      <c r="V4506">
        <f>IF(U4506=1,IF(COUNTIFS($C$2:C4506,C4506,$U$2:U4506,1)=1,1,0),0)</f>
        <v>0</v>
      </c>
    </row>
    <row r="4507" spans="1:22" x14ac:dyDescent="0.35">
      <c r="A4507">
        <v>14506</v>
      </c>
      <c r="B4507" s="1">
        <v>49067</v>
      </c>
      <c r="C4507">
        <v>1658</v>
      </c>
      <c r="D4507" t="s">
        <v>67</v>
      </c>
      <c r="E4507" t="s">
        <v>78</v>
      </c>
      <c r="F4507">
        <v>2</v>
      </c>
      <c r="G4507" s="2">
        <v>187.9</v>
      </c>
      <c r="H4507">
        <v>0.23</v>
      </c>
      <c r="I4507" t="s">
        <v>68</v>
      </c>
      <c r="J4507">
        <v>10</v>
      </c>
      <c r="K4507">
        <v>1.6</v>
      </c>
      <c r="L4507" s="2">
        <v>289.37</v>
      </c>
      <c r="M4507">
        <v>2034</v>
      </c>
      <c r="N4507">
        <v>5</v>
      </c>
      <c r="O4507" t="s">
        <v>228</v>
      </c>
      <c r="P4507" s="2">
        <v>375.8</v>
      </c>
      <c r="Q4507" s="2">
        <v>86.43</v>
      </c>
      <c r="R4507" t="s">
        <v>77</v>
      </c>
      <c r="S4507">
        <v>1</v>
      </c>
      <c r="T4507">
        <v>0</v>
      </c>
      <c r="U4507">
        <f>IF(AND(OR(Dashboard!$D$4="Semua",D4507=Dashboard!$D$4),OR(Dashboard!$H$4="Semua",E4507=Dashboard!$H$4)),1,0)</f>
        <v>1</v>
      </c>
      <c r="V4507">
        <f>IF(U4507=1,IF(COUNTIFS($C$2:C4507,C4507,$U$2:U4507,1)=1,1,0),0)</f>
        <v>0</v>
      </c>
    </row>
    <row r="4508" spans="1:22" x14ac:dyDescent="0.35">
      <c r="A4508">
        <v>14507</v>
      </c>
      <c r="B4508" s="1">
        <v>49068</v>
      </c>
      <c r="C4508">
        <v>1906</v>
      </c>
      <c r="D4508" t="s">
        <v>73</v>
      </c>
      <c r="E4508" t="s">
        <v>63</v>
      </c>
      <c r="F4508">
        <v>2</v>
      </c>
      <c r="G4508" s="2">
        <v>585.84</v>
      </c>
      <c r="H4508">
        <v>0.03</v>
      </c>
      <c r="I4508" t="s">
        <v>71</v>
      </c>
      <c r="J4508">
        <v>10</v>
      </c>
      <c r="K4508">
        <v>2.2000000000000002</v>
      </c>
      <c r="L4508" s="2">
        <v>1136.53</v>
      </c>
      <c r="M4508">
        <v>2034</v>
      </c>
      <c r="N4508">
        <v>5</v>
      </c>
      <c r="O4508" t="s">
        <v>228</v>
      </c>
      <c r="P4508" s="2">
        <v>1171.68</v>
      </c>
      <c r="Q4508" s="2">
        <v>35.15</v>
      </c>
      <c r="R4508" t="s">
        <v>75</v>
      </c>
      <c r="S4508">
        <v>1</v>
      </c>
      <c r="T4508">
        <v>0</v>
      </c>
      <c r="U4508">
        <f>IF(AND(OR(Dashboard!$D$4="Semua",D4508=Dashboard!$D$4),OR(Dashboard!$H$4="Semua",E4508=Dashboard!$H$4)),1,0)</f>
        <v>1</v>
      </c>
      <c r="V4508">
        <f>IF(U4508=1,IF(COUNTIFS($C$2:C4508,C4508,$U$2:U4508,1)=1,1,0),0)</f>
        <v>0</v>
      </c>
    </row>
    <row r="4509" spans="1:22" x14ac:dyDescent="0.35">
      <c r="A4509">
        <v>14508</v>
      </c>
      <c r="B4509" s="1">
        <v>49069</v>
      </c>
      <c r="C4509">
        <v>1332</v>
      </c>
      <c r="D4509" t="s">
        <v>67</v>
      </c>
      <c r="E4509" t="s">
        <v>63</v>
      </c>
      <c r="F4509">
        <v>2</v>
      </c>
      <c r="G4509" s="2">
        <v>232.15</v>
      </c>
      <c r="H4509">
        <v>0.01</v>
      </c>
      <c r="I4509" t="s">
        <v>71</v>
      </c>
      <c r="J4509">
        <v>9</v>
      </c>
      <c r="K4509">
        <v>1.8</v>
      </c>
      <c r="L4509" s="2">
        <v>459.66</v>
      </c>
      <c r="M4509">
        <v>2034</v>
      </c>
      <c r="N4509">
        <v>5</v>
      </c>
      <c r="O4509" t="s">
        <v>228</v>
      </c>
      <c r="P4509" s="2">
        <v>464.3</v>
      </c>
      <c r="Q4509" s="2">
        <v>4.6399999999999997</v>
      </c>
      <c r="R4509" t="s">
        <v>75</v>
      </c>
      <c r="S4509">
        <v>1</v>
      </c>
      <c r="T4509">
        <v>0</v>
      </c>
      <c r="U4509">
        <f>IF(AND(OR(Dashboard!$D$4="Semua",D4509=Dashboard!$D$4),OR(Dashboard!$H$4="Semua",E4509=Dashboard!$H$4)),1,0)</f>
        <v>1</v>
      </c>
      <c r="V4509">
        <f>IF(U4509=1,IF(COUNTIFS($C$2:C4509,C4509,$U$2:U4509,1)=1,1,0),0)</f>
        <v>1</v>
      </c>
    </row>
    <row r="4510" spans="1:22" x14ac:dyDescent="0.35">
      <c r="A4510">
        <v>14509</v>
      </c>
      <c r="B4510" s="1">
        <v>49070</v>
      </c>
      <c r="C4510">
        <v>1126</v>
      </c>
      <c r="D4510" t="s">
        <v>67</v>
      </c>
      <c r="E4510" t="s">
        <v>74</v>
      </c>
      <c r="F4510">
        <v>4</v>
      </c>
      <c r="G4510" s="2">
        <v>28.2</v>
      </c>
      <c r="H4510">
        <v>0.02</v>
      </c>
      <c r="I4510" t="s">
        <v>68</v>
      </c>
      <c r="J4510">
        <v>10</v>
      </c>
      <c r="K4510">
        <v>4.0999999999999996</v>
      </c>
      <c r="L4510" s="2">
        <v>110.54</v>
      </c>
      <c r="M4510">
        <v>2034</v>
      </c>
      <c r="N4510">
        <v>5</v>
      </c>
      <c r="O4510" t="s">
        <v>228</v>
      </c>
      <c r="P4510" s="2">
        <v>112.8</v>
      </c>
      <c r="Q4510" s="2">
        <v>2.2599999999999998</v>
      </c>
      <c r="R4510" t="s">
        <v>75</v>
      </c>
      <c r="S4510">
        <v>1</v>
      </c>
      <c r="T4510">
        <v>0</v>
      </c>
      <c r="U4510">
        <f>IF(AND(OR(Dashboard!$D$4="Semua",D4510=Dashboard!$D$4),OR(Dashboard!$H$4="Semua",E4510=Dashboard!$H$4)),1,0)</f>
        <v>1</v>
      </c>
      <c r="V4510">
        <f>IF(U4510=1,IF(COUNTIFS($C$2:C4510,C4510,$U$2:U4510,1)=1,1,0),0)</f>
        <v>0</v>
      </c>
    </row>
    <row r="4511" spans="1:22" x14ac:dyDescent="0.35">
      <c r="A4511">
        <v>14510</v>
      </c>
      <c r="B4511" s="1">
        <v>49071</v>
      </c>
      <c r="C4511">
        <v>1557</v>
      </c>
      <c r="D4511" t="s">
        <v>67</v>
      </c>
      <c r="E4511" t="s">
        <v>70</v>
      </c>
      <c r="F4511">
        <v>5</v>
      </c>
      <c r="G4511" s="2">
        <v>101.37</v>
      </c>
      <c r="H4511">
        <v>0.21</v>
      </c>
      <c r="I4511" t="s">
        <v>71</v>
      </c>
      <c r="J4511">
        <v>9</v>
      </c>
      <c r="K4511">
        <v>4.2</v>
      </c>
      <c r="L4511" s="2">
        <v>400.41</v>
      </c>
      <c r="M4511">
        <v>2034</v>
      </c>
      <c r="N4511">
        <v>5</v>
      </c>
      <c r="O4511" t="s">
        <v>228</v>
      </c>
      <c r="P4511" s="2">
        <v>506.85</v>
      </c>
      <c r="Q4511" s="2">
        <v>106.44</v>
      </c>
      <c r="R4511" t="s">
        <v>77</v>
      </c>
      <c r="S4511">
        <v>1</v>
      </c>
      <c r="T4511">
        <v>0</v>
      </c>
      <c r="U4511">
        <f>IF(AND(OR(Dashboard!$D$4="Semua",D4511=Dashboard!$D$4),OR(Dashboard!$H$4="Semua",E4511=Dashboard!$H$4)),1,0)</f>
        <v>1</v>
      </c>
      <c r="V4511">
        <f>IF(U4511=1,IF(COUNTIFS($C$2:C4511,C4511,$U$2:U4511,1)=1,1,0),0)</f>
        <v>0</v>
      </c>
    </row>
    <row r="4512" spans="1:22" x14ac:dyDescent="0.35">
      <c r="A4512">
        <v>14511</v>
      </c>
      <c r="B4512" s="1">
        <v>49072</v>
      </c>
      <c r="C4512">
        <v>1556</v>
      </c>
      <c r="D4512" t="s">
        <v>80</v>
      </c>
      <c r="E4512" t="s">
        <v>70</v>
      </c>
      <c r="F4512">
        <v>6</v>
      </c>
      <c r="G4512" s="2">
        <v>30.41</v>
      </c>
      <c r="H4512">
        <v>0.21</v>
      </c>
      <c r="I4512" t="s">
        <v>71</v>
      </c>
      <c r="J4512">
        <v>1</v>
      </c>
      <c r="K4512">
        <v>2</v>
      </c>
      <c r="L4512" s="2">
        <v>144.13999999999999</v>
      </c>
      <c r="M4512">
        <v>2034</v>
      </c>
      <c r="N4512">
        <v>5</v>
      </c>
      <c r="O4512" t="s">
        <v>228</v>
      </c>
      <c r="P4512" s="2">
        <v>182.46</v>
      </c>
      <c r="Q4512" s="2">
        <v>38.32</v>
      </c>
      <c r="R4512" t="s">
        <v>77</v>
      </c>
      <c r="S4512">
        <v>1</v>
      </c>
      <c r="T4512">
        <v>0</v>
      </c>
      <c r="U4512">
        <f>IF(AND(OR(Dashboard!$D$4="Semua",D4512=Dashboard!$D$4),OR(Dashboard!$H$4="Semua",E4512=Dashboard!$H$4)),1,0)</f>
        <v>1</v>
      </c>
      <c r="V4512">
        <f>IF(U4512=1,IF(COUNTIFS($C$2:C4512,C4512,$U$2:U4512,1)=1,1,0),0)</f>
        <v>0</v>
      </c>
    </row>
    <row r="4513" spans="1:22" x14ac:dyDescent="0.35">
      <c r="A4513">
        <v>14512</v>
      </c>
      <c r="B4513" s="1">
        <v>49073</v>
      </c>
      <c r="C4513">
        <v>1000</v>
      </c>
      <c r="D4513" t="s">
        <v>73</v>
      </c>
      <c r="E4513" t="s">
        <v>78</v>
      </c>
      <c r="F4513">
        <v>1</v>
      </c>
      <c r="G4513" s="2">
        <v>594.11</v>
      </c>
      <c r="H4513">
        <v>0.17</v>
      </c>
      <c r="I4513" t="s">
        <v>71</v>
      </c>
      <c r="J4513">
        <v>6</v>
      </c>
      <c r="K4513">
        <v>1</v>
      </c>
      <c r="L4513" s="2">
        <v>493.11</v>
      </c>
      <c r="M4513">
        <v>2034</v>
      </c>
      <c r="N4513">
        <v>5</v>
      </c>
      <c r="O4513" t="s">
        <v>228</v>
      </c>
      <c r="P4513" s="2">
        <v>594.11</v>
      </c>
      <c r="Q4513" s="2">
        <v>101</v>
      </c>
      <c r="R4513" t="s">
        <v>76</v>
      </c>
      <c r="S4513">
        <v>1</v>
      </c>
      <c r="T4513">
        <v>0</v>
      </c>
      <c r="U4513">
        <f>IF(AND(OR(Dashboard!$D$4="Semua",D4513=Dashboard!$D$4),OR(Dashboard!$H$4="Semua",E4513=Dashboard!$H$4)),1,0)</f>
        <v>1</v>
      </c>
      <c r="V4513">
        <f>IF(U4513=1,IF(COUNTIFS($C$2:C4513,C4513,$U$2:U4513,1)=1,1,0),0)</f>
        <v>0</v>
      </c>
    </row>
    <row r="4514" spans="1:22" x14ac:dyDescent="0.35">
      <c r="A4514">
        <v>14513</v>
      </c>
      <c r="B4514" s="1">
        <v>49074</v>
      </c>
      <c r="C4514">
        <v>1167</v>
      </c>
      <c r="D4514" t="s">
        <v>80</v>
      </c>
      <c r="E4514" t="s">
        <v>74</v>
      </c>
      <c r="F4514">
        <v>5</v>
      </c>
      <c r="G4514" s="2">
        <v>178.14</v>
      </c>
      <c r="H4514">
        <v>0.11</v>
      </c>
      <c r="I4514" t="s">
        <v>68</v>
      </c>
      <c r="J4514">
        <v>10</v>
      </c>
      <c r="K4514">
        <v>2.7</v>
      </c>
      <c r="L4514" s="2">
        <v>792.72</v>
      </c>
      <c r="M4514">
        <v>2034</v>
      </c>
      <c r="N4514">
        <v>5</v>
      </c>
      <c r="O4514" t="s">
        <v>228</v>
      </c>
      <c r="P4514" s="2">
        <v>890.7</v>
      </c>
      <c r="Q4514" s="2">
        <v>97.98</v>
      </c>
      <c r="R4514" t="s">
        <v>79</v>
      </c>
      <c r="S4514">
        <v>1</v>
      </c>
      <c r="T4514">
        <v>0</v>
      </c>
      <c r="U4514">
        <f>IF(AND(OR(Dashboard!$D$4="Semua",D4514=Dashboard!$D$4),OR(Dashboard!$H$4="Semua",E4514=Dashboard!$H$4)),1,0)</f>
        <v>1</v>
      </c>
      <c r="V4514">
        <f>IF(U4514=1,IF(COUNTIFS($C$2:C4514,C4514,$U$2:U4514,1)=1,1,0),0)</f>
        <v>0</v>
      </c>
    </row>
    <row r="4515" spans="1:22" x14ac:dyDescent="0.35">
      <c r="A4515">
        <v>14514</v>
      </c>
      <c r="B4515" s="1">
        <v>49075</v>
      </c>
      <c r="C4515">
        <v>1619</v>
      </c>
      <c r="D4515" t="s">
        <v>67</v>
      </c>
      <c r="E4515" t="s">
        <v>70</v>
      </c>
      <c r="F4515">
        <v>7</v>
      </c>
      <c r="G4515" s="2">
        <v>555.27</v>
      </c>
      <c r="H4515">
        <v>0.19</v>
      </c>
      <c r="I4515" t="s">
        <v>68</v>
      </c>
      <c r="J4515">
        <v>6</v>
      </c>
      <c r="K4515">
        <v>3.7</v>
      </c>
      <c r="L4515" s="2">
        <v>3148.38</v>
      </c>
      <c r="M4515">
        <v>2034</v>
      </c>
      <c r="N4515">
        <v>5</v>
      </c>
      <c r="O4515" t="s">
        <v>228</v>
      </c>
      <c r="P4515" s="2">
        <v>3886.89</v>
      </c>
      <c r="Q4515" s="2">
        <v>738.51</v>
      </c>
      <c r="R4515" t="s">
        <v>76</v>
      </c>
      <c r="S4515">
        <v>1</v>
      </c>
      <c r="T4515">
        <v>0</v>
      </c>
      <c r="U4515">
        <f>IF(AND(OR(Dashboard!$D$4="Semua",D4515=Dashboard!$D$4),OR(Dashboard!$H$4="Semua",E4515=Dashboard!$H$4)),1,0)</f>
        <v>1</v>
      </c>
      <c r="V4515">
        <f>IF(U4515=1,IF(COUNTIFS($C$2:C4515,C4515,$U$2:U4515,1)=1,1,0),0)</f>
        <v>0</v>
      </c>
    </row>
    <row r="4516" spans="1:22" x14ac:dyDescent="0.35">
      <c r="A4516">
        <v>14515</v>
      </c>
      <c r="B4516" s="1">
        <v>49076</v>
      </c>
      <c r="C4516">
        <v>1018</v>
      </c>
      <c r="D4516" t="s">
        <v>67</v>
      </c>
      <c r="E4516" t="s">
        <v>63</v>
      </c>
      <c r="F4516">
        <v>5</v>
      </c>
      <c r="G4516" s="2">
        <v>597.59</v>
      </c>
      <c r="H4516">
        <v>0.18</v>
      </c>
      <c r="I4516" t="s">
        <v>71</v>
      </c>
      <c r="J4516">
        <v>8</v>
      </c>
      <c r="K4516">
        <v>3.5</v>
      </c>
      <c r="L4516" s="2">
        <v>2450.12</v>
      </c>
      <c r="M4516">
        <v>2034</v>
      </c>
      <c r="N4516">
        <v>5</v>
      </c>
      <c r="O4516" t="s">
        <v>228</v>
      </c>
      <c r="P4516" s="2">
        <v>2987.95</v>
      </c>
      <c r="Q4516" s="2">
        <v>537.83000000000004</v>
      </c>
      <c r="R4516" t="s">
        <v>76</v>
      </c>
      <c r="S4516">
        <v>1</v>
      </c>
      <c r="T4516">
        <v>0</v>
      </c>
      <c r="U4516">
        <f>IF(AND(OR(Dashboard!$D$4="Semua",D4516=Dashboard!$D$4),OR(Dashboard!$H$4="Semua",E4516=Dashboard!$H$4)),1,0)</f>
        <v>1</v>
      </c>
      <c r="V4516">
        <f>IF(U4516=1,IF(COUNTIFS($C$2:C4516,C4516,$U$2:U4516,1)=1,1,0),0)</f>
        <v>0</v>
      </c>
    </row>
    <row r="4517" spans="1:22" x14ac:dyDescent="0.35">
      <c r="A4517">
        <v>14516</v>
      </c>
      <c r="B4517" s="1">
        <v>49077</v>
      </c>
      <c r="C4517">
        <v>1331</v>
      </c>
      <c r="D4517" t="s">
        <v>67</v>
      </c>
      <c r="E4517" t="s">
        <v>63</v>
      </c>
      <c r="F4517">
        <v>2</v>
      </c>
      <c r="G4517" s="2">
        <v>365.91</v>
      </c>
      <c r="H4517">
        <v>0.01</v>
      </c>
      <c r="I4517" t="s">
        <v>68</v>
      </c>
      <c r="J4517">
        <v>7</v>
      </c>
      <c r="K4517">
        <v>2.8</v>
      </c>
      <c r="L4517" s="2">
        <v>724.5</v>
      </c>
      <c r="M4517">
        <v>2034</v>
      </c>
      <c r="N4517">
        <v>5</v>
      </c>
      <c r="O4517" t="s">
        <v>228</v>
      </c>
      <c r="P4517" s="2">
        <v>731.82</v>
      </c>
      <c r="Q4517" s="2">
        <v>7.32</v>
      </c>
      <c r="R4517" t="s">
        <v>75</v>
      </c>
      <c r="S4517">
        <v>1</v>
      </c>
      <c r="T4517">
        <v>0</v>
      </c>
      <c r="U4517">
        <f>IF(AND(OR(Dashboard!$D$4="Semua",D4517=Dashboard!$D$4),OR(Dashboard!$H$4="Semua",E4517=Dashboard!$H$4)),1,0)</f>
        <v>1</v>
      </c>
      <c r="V4517">
        <f>IF(U4517=1,IF(COUNTIFS($C$2:C4517,C4517,$U$2:U4517,1)=1,1,0),0)</f>
        <v>0</v>
      </c>
    </row>
    <row r="4518" spans="1:22" x14ac:dyDescent="0.35">
      <c r="A4518">
        <v>14517</v>
      </c>
      <c r="B4518" s="1">
        <v>49078</v>
      </c>
      <c r="C4518">
        <v>1583</v>
      </c>
      <c r="D4518" t="s">
        <v>73</v>
      </c>
      <c r="E4518" t="s">
        <v>74</v>
      </c>
      <c r="F4518">
        <v>2</v>
      </c>
      <c r="G4518" s="2">
        <v>34.42</v>
      </c>
      <c r="H4518">
        <v>0.1</v>
      </c>
      <c r="I4518" t="s">
        <v>71</v>
      </c>
      <c r="J4518">
        <v>7</v>
      </c>
      <c r="K4518">
        <v>2.2000000000000002</v>
      </c>
      <c r="L4518" s="2">
        <v>61.96</v>
      </c>
      <c r="M4518">
        <v>2034</v>
      </c>
      <c r="N4518">
        <v>5</v>
      </c>
      <c r="O4518" t="s">
        <v>228</v>
      </c>
      <c r="P4518" s="2">
        <v>68.84</v>
      </c>
      <c r="Q4518" s="2">
        <v>6.88</v>
      </c>
      <c r="R4518" t="s">
        <v>69</v>
      </c>
      <c r="S4518">
        <v>1</v>
      </c>
      <c r="T4518">
        <v>0</v>
      </c>
      <c r="U4518">
        <f>IF(AND(OR(Dashboard!$D$4="Semua",D4518=Dashboard!$D$4),OR(Dashboard!$H$4="Semua",E4518=Dashboard!$H$4)),1,0)</f>
        <v>1</v>
      </c>
      <c r="V4518">
        <f>IF(U4518=1,IF(COUNTIFS($C$2:C4518,C4518,$U$2:U4518,1)=1,1,0),0)</f>
        <v>0</v>
      </c>
    </row>
    <row r="4519" spans="1:22" x14ac:dyDescent="0.35">
      <c r="A4519">
        <v>14518</v>
      </c>
      <c r="B4519" s="1">
        <v>49079</v>
      </c>
      <c r="C4519">
        <v>1455</v>
      </c>
      <c r="D4519" t="s">
        <v>80</v>
      </c>
      <c r="E4519" t="s">
        <v>78</v>
      </c>
      <c r="F4519">
        <v>5</v>
      </c>
      <c r="G4519" s="2">
        <v>62.73</v>
      </c>
      <c r="H4519">
        <v>0.02</v>
      </c>
      <c r="I4519" t="s">
        <v>68</v>
      </c>
      <c r="J4519">
        <v>2</v>
      </c>
      <c r="K4519">
        <v>2.9</v>
      </c>
      <c r="L4519" s="2">
        <v>307.38</v>
      </c>
      <c r="M4519">
        <v>2034</v>
      </c>
      <c r="N4519">
        <v>5</v>
      </c>
      <c r="O4519" t="s">
        <v>228</v>
      </c>
      <c r="P4519" s="2">
        <v>313.64999999999998</v>
      </c>
      <c r="Q4519" s="2">
        <v>6.27</v>
      </c>
      <c r="R4519" t="s">
        <v>75</v>
      </c>
      <c r="S4519">
        <v>1</v>
      </c>
      <c r="T4519">
        <v>0</v>
      </c>
      <c r="U4519">
        <f>IF(AND(OR(Dashboard!$D$4="Semua",D4519=Dashboard!$D$4),OR(Dashboard!$H$4="Semua",E4519=Dashboard!$H$4)),1,0)</f>
        <v>1</v>
      </c>
      <c r="V4519">
        <f>IF(U4519=1,IF(COUNTIFS($C$2:C4519,C4519,$U$2:U4519,1)=1,1,0),0)</f>
        <v>0</v>
      </c>
    </row>
    <row r="4520" spans="1:22" x14ac:dyDescent="0.35">
      <c r="A4520">
        <v>14519</v>
      </c>
      <c r="B4520" s="1">
        <v>49080</v>
      </c>
      <c r="C4520">
        <v>1956</v>
      </c>
      <c r="D4520" t="s">
        <v>67</v>
      </c>
      <c r="E4520" t="s">
        <v>74</v>
      </c>
      <c r="F4520">
        <v>2</v>
      </c>
      <c r="G4520" s="2">
        <v>296.73</v>
      </c>
      <c r="H4520">
        <v>0.32</v>
      </c>
      <c r="I4520" t="s">
        <v>68</v>
      </c>
      <c r="J4520">
        <v>11</v>
      </c>
      <c r="K4520">
        <v>1.1000000000000001</v>
      </c>
      <c r="L4520" s="2">
        <v>403.55</v>
      </c>
      <c r="M4520">
        <v>2034</v>
      </c>
      <c r="N4520">
        <v>5</v>
      </c>
      <c r="O4520" t="s">
        <v>228</v>
      </c>
      <c r="P4520" s="2">
        <v>593.46</v>
      </c>
      <c r="Q4520" s="2">
        <v>189.91</v>
      </c>
      <c r="R4520" t="s">
        <v>72</v>
      </c>
      <c r="S4520">
        <v>1</v>
      </c>
      <c r="T4520">
        <v>0</v>
      </c>
      <c r="U4520">
        <f>IF(AND(OR(Dashboard!$D$4="Semua",D4520=Dashboard!$D$4),OR(Dashboard!$H$4="Semua",E4520=Dashboard!$H$4)),1,0)</f>
        <v>1</v>
      </c>
      <c r="V4520">
        <f>IF(U4520=1,IF(COUNTIFS($C$2:C4520,C4520,$U$2:U4520,1)=1,1,0),0)</f>
        <v>0</v>
      </c>
    </row>
    <row r="4521" spans="1:22" x14ac:dyDescent="0.35">
      <c r="A4521">
        <v>14520</v>
      </c>
      <c r="B4521" s="1">
        <v>49081</v>
      </c>
      <c r="C4521">
        <v>1108</v>
      </c>
      <c r="D4521" t="s">
        <v>73</v>
      </c>
      <c r="E4521" t="s">
        <v>78</v>
      </c>
      <c r="F4521">
        <v>4</v>
      </c>
      <c r="G4521" s="2">
        <v>252.61</v>
      </c>
      <c r="H4521">
        <v>0.25</v>
      </c>
      <c r="I4521" t="s">
        <v>64</v>
      </c>
      <c r="J4521">
        <v>4</v>
      </c>
      <c r="K4521">
        <v>1.3</v>
      </c>
      <c r="L4521" s="2">
        <v>757.83</v>
      </c>
      <c r="M4521">
        <v>2034</v>
      </c>
      <c r="N4521">
        <v>5</v>
      </c>
      <c r="O4521" t="s">
        <v>228</v>
      </c>
      <c r="P4521" s="2">
        <v>1010.44</v>
      </c>
      <c r="Q4521" s="2">
        <v>252.61</v>
      </c>
      <c r="R4521" t="s">
        <v>77</v>
      </c>
      <c r="S4521">
        <v>1</v>
      </c>
      <c r="T4521">
        <v>0</v>
      </c>
      <c r="U4521">
        <f>IF(AND(OR(Dashboard!$D$4="Semua",D4521=Dashboard!$D$4),OR(Dashboard!$H$4="Semua",E4521=Dashboard!$H$4)),1,0)</f>
        <v>1</v>
      </c>
      <c r="V4521">
        <f>IF(U4521=1,IF(COUNTIFS($C$2:C4521,C4521,$U$2:U4521,1)=1,1,0),0)</f>
        <v>0</v>
      </c>
    </row>
    <row r="4522" spans="1:22" x14ac:dyDescent="0.35">
      <c r="A4522">
        <v>14521</v>
      </c>
      <c r="B4522" s="1">
        <v>49082</v>
      </c>
      <c r="C4522">
        <v>1267</v>
      </c>
      <c r="D4522" t="s">
        <v>73</v>
      </c>
      <c r="E4522" t="s">
        <v>74</v>
      </c>
      <c r="F4522">
        <v>1</v>
      </c>
      <c r="G4522" s="2">
        <v>369.61</v>
      </c>
      <c r="H4522">
        <v>0.35</v>
      </c>
      <c r="I4522" t="s">
        <v>71</v>
      </c>
      <c r="J4522">
        <v>1</v>
      </c>
      <c r="K4522">
        <v>1.7</v>
      </c>
      <c r="L4522" s="2">
        <v>240.25</v>
      </c>
      <c r="M4522">
        <v>2034</v>
      </c>
      <c r="N4522">
        <v>5</v>
      </c>
      <c r="O4522" t="s">
        <v>228</v>
      </c>
      <c r="P4522" s="2">
        <v>369.61</v>
      </c>
      <c r="Q4522" s="2">
        <v>129.36000000000001</v>
      </c>
      <c r="R4522" t="s">
        <v>72</v>
      </c>
      <c r="S4522">
        <v>1</v>
      </c>
      <c r="T4522">
        <v>0</v>
      </c>
      <c r="U4522">
        <f>IF(AND(OR(Dashboard!$D$4="Semua",D4522=Dashboard!$D$4),OR(Dashboard!$H$4="Semua",E4522=Dashboard!$H$4)),1,0)</f>
        <v>1</v>
      </c>
      <c r="V4522">
        <f>IF(U4522=1,IF(COUNTIFS($C$2:C4522,C4522,$U$2:U4522,1)=1,1,0),0)</f>
        <v>0</v>
      </c>
    </row>
    <row r="4523" spans="1:22" x14ac:dyDescent="0.35">
      <c r="A4523">
        <v>14522</v>
      </c>
      <c r="B4523" s="1">
        <v>49083</v>
      </c>
      <c r="C4523">
        <v>1444</v>
      </c>
      <c r="D4523" t="s">
        <v>73</v>
      </c>
      <c r="E4523" t="s">
        <v>63</v>
      </c>
      <c r="F4523">
        <v>7</v>
      </c>
      <c r="G4523" s="2">
        <v>271.73</v>
      </c>
      <c r="H4523">
        <v>0.11</v>
      </c>
      <c r="I4523" t="s">
        <v>71</v>
      </c>
      <c r="J4523">
        <v>11</v>
      </c>
      <c r="K4523">
        <v>3.5</v>
      </c>
      <c r="L4523" s="2">
        <v>1692.88</v>
      </c>
      <c r="M4523">
        <v>2034</v>
      </c>
      <c r="N4523">
        <v>5</v>
      </c>
      <c r="O4523" t="s">
        <v>228</v>
      </c>
      <c r="P4523" s="2">
        <v>1902.11</v>
      </c>
      <c r="Q4523" s="2">
        <v>209.23</v>
      </c>
      <c r="R4523" t="s">
        <v>79</v>
      </c>
      <c r="S4523">
        <v>1</v>
      </c>
      <c r="T4523">
        <v>0</v>
      </c>
      <c r="U4523">
        <f>IF(AND(OR(Dashboard!$D$4="Semua",D4523=Dashboard!$D$4),OR(Dashboard!$H$4="Semua",E4523=Dashboard!$H$4)),1,0)</f>
        <v>1</v>
      </c>
      <c r="V4523">
        <f>IF(U4523=1,IF(COUNTIFS($C$2:C4523,C4523,$U$2:U4523,1)=1,1,0),0)</f>
        <v>0</v>
      </c>
    </row>
    <row r="4524" spans="1:22" x14ac:dyDescent="0.35">
      <c r="A4524">
        <v>14523</v>
      </c>
      <c r="B4524" s="1">
        <v>49084</v>
      </c>
      <c r="C4524">
        <v>1239</v>
      </c>
      <c r="D4524" t="s">
        <v>62</v>
      </c>
      <c r="E4524" t="s">
        <v>74</v>
      </c>
      <c r="F4524">
        <v>5</v>
      </c>
      <c r="G4524" s="2">
        <v>561.42999999999995</v>
      </c>
      <c r="H4524">
        <v>0.31</v>
      </c>
      <c r="I4524" t="s">
        <v>64</v>
      </c>
      <c r="J4524">
        <v>11</v>
      </c>
      <c r="K4524">
        <v>1.9</v>
      </c>
      <c r="L4524" s="2">
        <v>1936.93</v>
      </c>
      <c r="M4524">
        <v>2034</v>
      </c>
      <c r="N4524">
        <v>5</v>
      </c>
      <c r="O4524" t="s">
        <v>228</v>
      </c>
      <c r="P4524" s="2">
        <v>2807.15</v>
      </c>
      <c r="Q4524" s="2">
        <v>870.22</v>
      </c>
      <c r="R4524" t="s">
        <v>72</v>
      </c>
      <c r="S4524">
        <v>1</v>
      </c>
      <c r="T4524">
        <v>0</v>
      </c>
      <c r="U4524">
        <f>IF(AND(OR(Dashboard!$D$4="Semua",D4524=Dashboard!$D$4),OR(Dashboard!$H$4="Semua",E4524=Dashboard!$H$4)),1,0)</f>
        <v>1</v>
      </c>
      <c r="V4524">
        <f>IF(U4524=1,IF(COUNTIFS($C$2:C4524,C4524,$U$2:U4524,1)=1,1,0),0)</f>
        <v>1</v>
      </c>
    </row>
    <row r="4525" spans="1:22" x14ac:dyDescent="0.35">
      <c r="A4525">
        <v>14524</v>
      </c>
      <c r="B4525" s="1">
        <v>49085</v>
      </c>
      <c r="C4525">
        <v>1928</v>
      </c>
      <c r="D4525" t="s">
        <v>80</v>
      </c>
      <c r="E4525" t="s">
        <v>70</v>
      </c>
      <c r="F4525">
        <v>1</v>
      </c>
      <c r="G4525" s="2">
        <v>327.82</v>
      </c>
      <c r="H4525">
        <v>0.21</v>
      </c>
      <c r="I4525" t="s">
        <v>71</v>
      </c>
      <c r="J4525">
        <v>7</v>
      </c>
      <c r="K4525">
        <v>2.7</v>
      </c>
      <c r="L4525" s="2">
        <v>258.98</v>
      </c>
      <c r="M4525">
        <v>2034</v>
      </c>
      <c r="N4525">
        <v>5</v>
      </c>
      <c r="O4525" t="s">
        <v>228</v>
      </c>
      <c r="P4525" s="2">
        <v>327.82</v>
      </c>
      <c r="Q4525" s="2">
        <v>68.84</v>
      </c>
      <c r="R4525" t="s">
        <v>77</v>
      </c>
      <c r="S4525">
        <v>1</v>
      </c>
      <c r="T4525">
        <v>0</v>
      </c>
      <c r="U4525">
        <f>IF(AND(OR(Dashboard!$D$4="Semua",D4525=Dashboard!$D$4),OR(Dashboard!$H$4="Semua",E4525=Dashboard!$H$4)),1,0)</f>
        <v>1</v>
      </c>
      <c r="V4525">
        <f>IF(U4525=1,IF(COUNTIFS($C$2:C4525,C4525,$U$2:U4525,1)=1,1,0),0)</f>
        <v>0</v>
      </c>
    </row>
    <row r="4526" spans="1:22" x14ac:dyDescent="0.35">
      <c r="A4526">
        <v>14525</v>
      </c>
      <c r="B4526" s="1">
        <v>49086</v>
      </c>
      <c r="C4526">
        <v>1300</v>
      </c>
      <c r="D4526" t="s">
        <v>73</v>
      </c>
      <c r="E4526" t="s">
        <v>70</v>
      </c>
      <c r="F4526">
        <v>4</v>
      </c>
      <c r="G4526" s="2">
        <v>420.83</v>
      </c>
      <c r="H4526">
        <v>0.16</v>
      </c>
      <c r="I4526" t="s">
        <v>71</v>
      </c>
      <c r="J4526">
        <v>4</v>
      </c>
      <c r="K4526">
        <v>3.5</v>
      </c>
      <c r="L4526" s="2">
        <v>1413.99</v>
      </c>
      <c r="M4526">
        <v>2034</v>
      </c>
      <c r="N4526">
        <v>5</v>
      </c>
      <c r="O4526" t="s">
        <v>228</v>
      </c>
      <c r="P4526" s="2">
        <v>1683.32</v>
      </c>
      <c r="Q4526" s="2">
        <v>269.33</v>
      </c>
      <c r="R4526" t="s">
        <v>76</v>
      </c>
      <c r="S4526">
        <v>1</v>
      </c>
      <c r="T4526">
        <v>0</v>
      </c>
      <c r="U4526">
        <f>IF(AND(OR(Dashboard!$D$4="Semua",D4526=Dashboard!$D$4),OR(Dashboard!$H$4="Semua",E4526=Dashboard!$H$4)),1,0)</f>
        <v>1</v>
      </c>
      <c r="V4526">
        <f>IF(U4526=1,IF(COUNTIFS($C$2:C4526,C4526,$U$2:U4526,1)=1,1,0),0)</f>
        <v>0</v>
      </c>
    </row>
    <row r="4527" spans="1:22" x14ac:dyDescent="0.35">
      <c r="A4527">
        <v>14526</v>
      </c>
      <c r="B4527" s="1">
        <v>49087</v>
      </c>
      <c r="C4527">
        <v>1601</v>
      </c>
      <c r="D4527" t="s">
        <v>67</v>
      </c>
      <c r="E4527" t="s">
        <v>74</v>
      </c>
      <c r="F4527">
        <v>7</v>
      </c>
      <c r="G4527" s="2">
        <v>539.44000000000005</v>
      </c>
      <c r="H4527">
        <v>0.08</v>
      </c>
      <c r="I4527" t="s">
        <v>64</v>
      </c>
      <c r="J4527">
        <v>9</v>
      </c>
      <c r="K4527">
        <v>4.3</v>
      </c>
      <c r="L4527" s="2">
        <v>3473.99</v>
      </c>
      <c r="M4527">
        <v>2034</v>
      </c>
      <c r="N4527">
        <v>5</v>
      </c>
      <c r="O4527" t="s">
        <v>228</v>
      </c>
      <c r="P4527" s="2">
        <v>3776.08</v>
      </c>
      <c r="Q4527" s="2">
        <v>302.08999999999997</v>
      </c>
      <c r="R4527" t="s">
        <v>69</v>
      </c>
      <c r="S4527">
        <v>1</v>
      </c>
      <c r="T4527">
        <v>1</v>
      </c>
      <c r="U4527">
        <f>IF(AND(OR(Dashboard!$D$4="Semua",D4527=Dashboard!$D$4),OR(Dashboard!$H$4="Semua",E4527=Dashboard!$H$4)),1,0)</f>
        <v>1</v>
      </c>
      <c r="V4527">
        <f>IF(U4527=1,IF(COUNTIFS($C$2:C4527,C4527,$U$2:U4527,1)=1,1,0),0)</f>
        <v>0</v>
      </c>
    </row>
    <row r="4528" spans="1:22" x14ac:dyDescent="0.35">
      <c r="A4528">
        <v>14527</v>
      </c>
      <c r="B4528" s="1">
        <v>49088</v>
      </c>
      <c r="C4528">
        <v>1102</v>
      </c>
      <c r="D4528" t="s">
        <v>67</v>
      </c>
      <c r="E4528" t="s">
        <v>78</v>
      </c>
      <c r="F4528">
        <v>2</v>
      </c>
      <c r="G4528" s="2">
        <v>100.92</v>
      </c>
      <c r="H4528">
        <v>0.26</v>
      </c>
      <c r="I4528" t="s">
        <v>71</v>
      </c>
      <c r="J4528">
        <v>6</v>
      </c>
      <c r="K4528">
        <v>3.2</v>
      </c>
      <c r="L4528" s="2">
        <v>149.36000000000001</v>
      </c>
      <c r="M4528">
        <v>2034</v>
      </c>
      <c r="N4528">
        <v>5</v>
      </c>
      <c r="O4528" t="s">
        <v>228</v>
      </c>
      <c r="P4528" s="2">
        <v>201.84</v>
      </c>
      <c r="Q4528" s="2">
        <v>52.48</v>
      </c>
      <c r="R4528" t="s">
        <v>66</v>
      </c>
      <c r="S4528">
        <v>1</v>
      </c>
      <c r="T4528">
        <v>0</v>
      </c>
      <c r="U4528">
        <f>IF(AND(OR(Dashboard!$D$4="Semua",D4528=Dashboard!$D$4),OR(Dashboard!$H$4="Semua",E4528=Dashboard!$H$4)),1,0)</f>
        <v>1</v>
      </c>
      <c r="V4528">
        <f>IF(U4528=1,IF(COUNTIFS($C$2:C4528,C4528,$U$2:U4528,1)=1,1,0),0)</f>
        <v>0</v>
      </c>
    </row>
    <row r="4529" spans="1:22" x14ac:dyDescent="0.35">
      <c r="A4529">
        <v>14528</v>
      </c>
      <c r="B4529" s="1">
        <v>49089</v>
      </c>
      <c r="C4529">
        <v>1987</v>
      </c>
      <c r="D4529" t="s">
        <v>80</v>
      </c>
      <c r="E4529" t="s">
        <v>78</v>
      </c>
      <c r="F4529">
        <v>3</v>
      </c>
      <c r="G4529" s="2">
        <v>149.38999999999999</v>
      </c>
      <c r="H4529">
        <v>0.32</v>
      </c>
      <c r="I4529" t="s">
        <v>71</v>
      </c>
      <c r="J4529">
        <v>6</v>
      </c>
      <c r="K4529">
        <v>1.7</v>
      </c>
      <c r="L4529" s="2">
        <v>304.76</v>
      </c>
      <c r="M4529">
        <v>2034</v>
      </c>
      <c r="N4529">
        <v>5</v>
      </c>
      <c r="O4529" t="s">
        <v>228</v>
      </c>
      <c r="P4529" s="2">
        <v>448.17</v>
      </c>
      <c r="Q4529" s="2">
        <v>143.41</v>
      </c>
      <c r="R4529" t="s">
        <v>72</v>
      </c>
      <c r="S4529">
        <v>1</v>
      </c>
      <c r="T4529">
        <v>0</v>
      </c>
      <c r="U4529">
        <f>IF(AND(OR(Dashboard!$D$4="Semua",D4529=Dashboard!$D$4),OR(Dashboard!$H$4="Semua",E4529=Dashboard!$H$4)),1,0)</f>
        <v>1</v>
      </c>
      <c r="V4529">
        <f>IF(U4529=1,IF(COUNTIFS($C$2:C4529,C4529,$U$2:U4529,1)=1,1,0),0)</f>
        <v>0</v>
      </c>
    </row>
    <row r="4530" spans="1:22" x14ac:dyDescent="0.35">
      <c r="A4530">
        <v>14529</v>
      </c>
      <c r="B4530" s="1">
        <v>49090</v>
      </c>
      <c r="C4530">
        <v>1249</v>
      </c>
      <c r="D4530" t="s">
        <v>73</v>
      </c>
      <c r="E4530" t="s">
        <v>63</v>
      </c>
      <c r="F4530">
        <v>4</v>
      </c>
      <c r="G4530" s="2">
        <v>77.78</v>
      </c>
      <c r="H4530">
        <v>0.08</v>
      </c>
      <c r="I4530" t="s">
        <v>68</v>
      </c>
      <c r="J4530">
        <v>9</v>
      </c>
      <c r="K4530">
        <v>4.8</v>
      </c>
      <c r="L4530" s="2">
        <v>286.23</v>
      </c>
      <c r="M4530">
        <v>2034</v>
      </c>
      <c r="N4530">
        <v>5</v>
      </c>
      <c r="O4530" t="s">
        <v>228</v>
      </c>
      <c r="P4530" s="2">
        <v>311.12</v>
      </c>
      <c r="Q4530" s="2">
        <v>24.89</v>
      </c>
      <c r="R4530" t="s">
        <v>69</v>
      </c>
      <c r="S4530">
        <v>1</v>
      </c>
      <c r="T4530">
        <v>0</v>
      </c>
      <c r="U4530">
        <f>IF(AND(OR(Dashboard!$D$4="Semua",D4530=Dashboard!$D$4),OR(Dashboard!$H$4="Semua",E4530=Dashboard!$H$4)),1,0)</f>
        <v>1</v>
      </c>
      <c r="V4530">
        <f>IF(U4530=1,IF(COUNTIFS($C$2:C4530,C4530,$U$2:U4530,1)=1,1,0),0)</f>
        <v>0</v>
      </c>
    </row>
    <row r="4531" spans="1:22" x14ac:dyDescent="0.35">
      <c r="A4531">
        <v>14530</v>
      </c>
      <c r="B4531" s="1">
        <v>49091</v>
      </c>
      <c r="C4531">
        <v>1452</v>
      </c>
      <c r="D4531" t="s">
        <v>73</v>
      </c>
      <c r="E4531" t="s">
        <v>63</v>
      </c>
      <c r="F4531">
        <v>3</v>
      </c>
      <c r="G4531" s="2">
        <v>96.69</v>
      </c>
      <c r="H4531">
        <v>0.06</v>
      </c>
      <c r="I4531" t="s">
        <v>64</v>
      </c>
      <c r="J4531">
        <v>8</v>
      </c>
      <c r="K4531">
        <v>1.4</v>
      </c>
      <c r="L4531" s="2">
        <v>272.67</v>
      </c>
      <c r="M4531">
        <v>2034</v>
      </c>
      <c r="N4531">
        <v>5</v>
      </c>
      <c r="O4531" t="s">
        <v>228</v>
      </c>
      <c r="P4531" s="2">
        <v>290.07</v>
      </c>
      <c r="Q4531" s="2">
        <v>17.399999999999999</v>
      </c>
      <c r="R4531" t="s">
        <v>69</v>
      </c>
      <c r="S4531">
        <v>1</v>
      </c>
      <c r="T4531">
        <v>0</v>
      </c>
      <c r="U4531">
        <f>IF(AND(OR(Dashboard!$D$4="Semua",D4531=Dashboard!$D$4),OR(Dashboard!$H$4="Semua",E4531=Dashboard!$H$4)),1,0)</f>
        <v>1</v>
      </c>
      <c r="V4531">
        <f>IF(U4531=1,IF(COUNTIFS($C$2:C4531,C4531,$U$2:U4531,1)=1,1,0),0)</f>
        <v>0</v>
      </c>
    </row>
    <row r="4532" spans="1:22" x14ac:dyDescent="0.35">
      <c r="A4532">
        <v>14531</v>
      </c>
      <c r="B4532" s="1">
        <v>49092</v>
      </c>
      <c r="C4532">
        <v>1519</v>
      </c>
      <c r="D4532" t="s">
        <v>62</v>
      </c>
      <c r="E4532" t="s">
        <v>78</v>
      </c>
      <c r="F4532">
        <v>1</v>
      </c>
      <c r="G4532" s="2">
        <v>314.86</v>
      </c>
      <c r="H4532">
        <v>0.24</v>
      </c>
      <c r="I4532" t="s">
        <v>68</v>
      </c>
      <c r="J4532">
        <v>6</v>
      </c>
      <c r="K4532">
        <v>2.5</v>
      </c>
      <c r="L4532" s="2">
        <v>239.29</v>
      </c>
      <c r="M4532">
        <v>2034</v>
      </c>
      <c r="N4532">
        <v>5</v>
      </c>
      <c r="O4532" t="s">
        <v>228</v>
      </c>
      <c r="P4532" s="2">
        <v>314.86</v>
      </c>
      <c r="Q4532" s="2">
        <v>75.569999999999993</v>
      </c>
      <c r="R4532" t="s">
        <v>77</v>
      </c>
      <c r="S4532">
        <v>1</v>
      </c>
      <c r="T4532">
        <v>0</v>
      </c>
      <c r="U4532">
        <f>IF(AND(OR(Dashboard!$D$4="Semua",D4532=Dashboard!$D$4),OR(Dashboard!$H$4="Semua",E4532=Dashboard!$H$4)),1,0)</f>
        <v>1</v>
      </c>
      <c r="V4532">
        <f>IF(U4532=1,IF(COUNTIFS($C$2:C4532,C4532,$U$2:U4532,1)=1,1,0),0)</f>
        <v>0</v>
      </c>
    </row>
    <row r="4533" spans="1:22" x14ac:dyDescent="0.35">
      <c r="A4533">
        <v>14532</v>
      </c>
      <c r="B4533" s="1">
        <v>49093</v>
      </c>
      <c r="C4533">
        <v>1152</v>
      </c>
      <c r="D4533" t="s">
        <v>73</v>
      </c>
      <c r="E4533" t="s">
        <v>74</v>
      </c>
      <c r="F4533">
        <v>5</v>
      </c>
      <c r="G4533" s="2">
        <v>202.89</v>
      </c>
      <c r="H4533">
        <v>0.34</v>
      </c>
      <c r="I4533" t="s">
        <v>68</v>
      </c>
      <c r="J4533">
        <v>6</v>
      </c>
      <c r="K4533">
        <v>4.7</v>
      </c>
      <c r="L4533" s="2">
        <v>669.54</v>
      </c>
      <c r="M4533">
        <v>2034</v>
      </c>
      <c r="N4533">
        <v>5</v>
      </c>
      <c r="O4533" t="s">
        <v>228</v>
      </c>
      <c r="P4533" s="2">
        <v>1014.45</v>
      </c>
      <c r="Q4533" s="2">
        <v>344.91</v>
      </c>
      <c r="R4533" t="s">
        <v>72</v>
      </c>
      <c r="S4533">
        <v>1</v>
      </c>
      <c r="T4533">
        <v>0</v>
      </c>
      <c r="U4533">
        <f>IF(AND(OR(Dashboard!$D$4="Semua",D4533=Dashboard!$D$4),OR(Dashboard!$H$4="Semua",E4533=Dashboard!$H$4)),1,0)</f>
        <v>1</v>
      </c>
      <c r="V4533">
        <f>IF(U4533=1,IF(COUNTIFS($C$2:C4533,C4533,$U$2:U4533,1)=1,1,0),0)</f>
        <v>0</v>
      </c>
    </row>
    <row r="4534" spans="1:22" x14ac:dyDescent="0.35">
      <c r="A4534">
        <v>14533</v>
      </c>
      <c r="B4534" s="1">
        <v>49094</v>
      </c>
      <c r="C4534">
        <v>1858</v>
      </c>
      <c r="D4534" t="s">
        <v>73</v>
      </c>
      <c r="E4534" t="s">
        <v>63</v>
      </c>
      <c r="F4534">
        <v>7</v>
      </c>
      <c r="G4534" s="2">
        <v>262.56</v>
      </c>
      <c r="H4534">
        <v>0.26</v>
      </c>
      <c r="I4534" t="s">
        <v>68</v>
      </c>
      <c r="J4534">
        <v>6</v>
      </c>
      <c r="K4534">
        <v>3.4</v>
      </c>
      <c r="L4534" s="2">
        <v>1360.06</v>
      </c>
      <c r="M4534">
        <v>2034</v>
      </c>
      <c r="N4534">
        <v>5</v>
      </c>
      <c r="O4534" t="s">
        <v>228</v>
      </c>
      <c r="P4534" s="2">
        <v>1837.92</v>
      </c>
      <c r="Q4534" s="2">
        <v>477.86</v>
      </c>
      <c r="R4534" t="s">
        <v>66</v>
      </c>
      <c r="S4534">
        <v>1</v>
      </c>
      <c r="T4534">
        <v>0</v>
      </c>
      <c r="U4534">
        <f>IF(AND(OR(Dashboard!$D$4="Semua",D4534=Dashboard!$D$4),OR(Dashboard!$H$4="Semua",E4534=Dashboard!$H$4)),1,0)</f>
        <v>1</v>
      </c>
      <c r="V4534">
        <f>IF(U4534=1,IF(COUNTIFS($C$2:C4534,C4534,$U$2:U4534,1)=1,1,0),0)</f>
        <v>0</v>
      </c>
    </row>
    <row r="4535" spans="1:22" x14ac:dyDescent="0.35">
      <c r="A4535">
        <v>14534</v>
      </c>
      <c r="B4535" s="1">
        <v>49095</v>
      </c>
      <c r="C4535">
        <v>1173</v>
      </c>
      <c r="D4535" t="s">
        <v>62</v>
      </c>
      <c r="E4535" t="s">
        <v>78</v>
      </c>
      <c r="F4535">
        <v>2</v>
      </c>
      <c r="G4535" s="2">
        <v>589.76</v>
      </c>
      <c r="H4535">
        <v>0.1</v>
      </c>
      <c r="I4535" t="s">
        <v>68</v>
      </c>
      <c r="J4535">
        <v>4</v>
      </c>
      <c r="K4535">
        <v>3.7</v>
      </c>
      <c r="L4535" s="2">
        <v>1061.57</v>
      </c>
      <c r="M4535">
        <v>2034</v>
      </c>
      <c r="N4535">
        <v>5</v>
      </c>
      <c r="O4535" t="s">
        <v>228</v>
      </c>
      <c r="P4535" s="2">
        <v>1179.52</v>
      </c>
      <c r="Q4535" s="2">
        <v>117.95</v>
      </c>
      <c r="R4535" t="s">
        <v>69</v>
      </c>
      <c r="S4535">
        <v>1</v>
      </c>
      <c r="T4535">
        <v>0</v>
      </c>
      <c r="U4535">
        <f>IF(AND(OR(Dashboard!$D$4="Semua",D4535=Dashboard!$D$4),OR(Dashboard!$H$4="Semua",E4535=Dashboard!$H$4)),1,0)</f>
        <v>1</v>
      </c>
      <c r="V4535">
        <f>IF(U4535=1,IF(COUNTIFS($C$2:C4535,C4535,$U$2:U4535,1)=1,1,0),0)</f>
        <v>0</v>
      </c>
    </row>
    <row r="4536" spans="1:22" x14ac:dyDescent="0.35">
      <c r="A4536">
        <v>14535</v>
      </c>
      <c r="B4536" s="1">
        <v>49096</v>
      </c>
      <c r="C4536">
        <v>1342</v>
      </c>
      <c r="D4536" t="s">
        <v>67</v>
      </c>
      <c r="E4536" t="s">
        <v>78</v>
      </c>
      <c r="F4536">
        <v>7</v>
      </c>
      <c r="G4536" s="2">
        <v>106.67</v>
      </c>
      <c r="H4536">
        <v>0.15</v>
      </c>
      <c r="I4536" t="s">
        <v>68</v>
      </c>
      <c r="J4536">
        <v>5</v>
      </c>
      <c r="K4536">
        <v>2.2000000000000002</v>
      </c>
      <c r="L4536" s="2">
        <v>634.69000000000005</v>
      </c>
      <c r="M4536">
        <v>2034</v>
      </c>
      <c r="N4536">
        <v>6</v>
      </c>
      <c r="O4536" t="s">
        <v>229</v>
      </c>
      <c r="P4536" s="2">
        <v>746.69</v>
      </c>
      <c r="Q4536" s="2">
        <v>112</v>
      </c>
      <c r="R4536" t="s">
        <v>79</v>
      </c>
      <c r="S4536">
        <v>1</v>
      </c>
      <c r="T4536">
        <v>0</v>
      </c>
      <c r="U4536">
        <f>IF(AND(OR(Dashboard!$D$4="Semua",D4536=Dashboard!$D$4),OR(Dashboard!$H$4="Semua",E4536=Dashboard!$H$4)),1,0)</f>
        <v>1</v>
      </c>
      <c r="V4536">
        <f>IF(U4536=1,IF(COUNTIFS($C$2:C4536,C4536,$U$2:U4536,1)=1,1,0),0)</f>
        <v>0</v>
      </c>
    </row>
    <row r="4537" spans="1:22" x14ac:dyDescent="0.35">
      <c r="A4537">
        <v>14536</v>
      </c>
      <c r="B4537" s="1">
        <v>49097</v>
      </c>
      <c r="C4537">
        <v>1669</v>
      </c>
      <c r="D4537" t="s">
        <v>73</v>
      </c>
      <c r="E4537" t="s">
        <v>74</v>
      </c>
      <c r="F4537">
        <v>4</v>
      </c>
      <c r="G4537" s="2">
        <v>331.38</v>
      </c>
      <c r="H4537">
        <v>0.13</v>
      </c>
      <c r="I4537" t="s">
        <v>64</v>
      </c>
      <c r="J4537">
        <v>3</v>
      </c>
      <c r="K4537">
        <v>1.3</v>
      </c>
      <c r="L4537" s="2">
        <v>1153.2</v>
      </c>
      <c r="M4537">
        <v>2034</v>
      </c>
      <c r="N4537">
        <v>6</v>
      </c>
      <c r="O4537" t="s">
        <v>229</v>
      </c>
      <c r="P4537" s="2">
        <v>1325.52</v>
      </c>
      <c r="Q4537" s="2">
        <v>172.32</v>
      </c>
      <c r="R4537" t="s">
        <v>79</v>
      </c>
      <c r="S4537">
        <v>1</v>
      </c>
      <c r="T4537">
        <v>0</v>
      </c>
      <c r="U4537">
        <f>IF(AND(OR(Dashboard!$D$4="Semua",D4537=Dashboard!$D$4),OR(Dashboard!$H$4="Semua",E4537=Dashboard!$H$4)),1,0)</f>
        <v>1</v>
      </c>
      <c r="V4537">
        <f>IF(U4537=1,IF(COUNTIFS($C$2:C4537,C4537,$U$2:U4537,1)=1,1,0),0)</f>
        <v>0</v>
      </c>
    </row>
    <row r="4538" spans="1:22" x14ac:dyDescent="0.35">
      <c r="A4538">
        <v>14537</v>
      </c>
      <c r="B4538" s="1">
        <v>49098</v>
      </c>
      <c r="C4538">
        <v>1430</v>
      </c>
      <c r="D4538" t="s">
        <v>73</v>
      </c>
      <c r="E4538" t="s">
        <v>70</v>
      </c>
      <c r="F4538">
        <v>2</v>
      </c>
      <c r="G4538" s="2">
        <v>72.84</v>
      </c>
      <c r="H4538">
        <v>0.3</v>
      </c>
      <c r="I4538" t="s">
        <v>71</v>
      </c>
      <c r="J4538">
        <v>9</v>
      </c>
      <c r="K4538">
        <v>2.5</v>
      </c>
      <c r="L4538" s="2">
        <v>101.98</v>
      </c>
      <c r="M4538">
        <v>2034</v>
      </c>
      <c r="N4538">
        <v>6</v>
      </c>
      <c r="O4538" t="s">
        <v>229</v>
      </c>
      <c r="P4538" s="2">
        <v>145.68</v>
      </c>
      <c r="Q4538" s="2">
        <v>43.7</v>
      </c>
      <c r="R4538" t="s">
        <v>66</v>
      </c>
      <c r="S4538">
        <v>1</v>
      </c>
      <c r="T4538">
        <v>0</v>
      </c>
      <c r="U4538">
        <f>IF(AND(OR(Dashboard!$D$4="Semua",D4538=Dashboard!$D$4),OR(Dashboard!$H$4="Semua",E4538=Dashboard!$H$4)),1,0)</f>
        <v>1</v>
      </c>
      <c r="V4538">
        <f>IF(U4538=1,IF(COUNTIFS($C$2:C4538,C4538,$U$2:U4538,1)=1,1,0),0)</f>
        <v>0</v>
      </c>
    </row>
    <row r="4539" spans="1:22" x14ac:dyDescent="0.35">
      <c r="A4539">
        <v>14538</v>
      </c>
      <c r="B4539" s="1">
        <v>49099</v>
      </c>
      <c r="C4539">
        <v>1726</v>
      </c>
      <c r="D4539" t="s">
        <v>73</v>
      </c>
      <c r="E4539" t="s">
        <v>78</v>
      </c>
      <c r="F4539">
        <v>3</v>
      </c>
      <c r="G4539" s="2">
        <v>201.32</v>
      </c>
      <c r="H4539">
        <v>0.27</v>
      </c>
      <c r="I4539" t="s">
        <v>68</v>
      </c>
      <c r="J4539">
        <v>11</v>
      </c>
      <c r="K4539">
        <v>2.6</v>
      </c>
      <c r="L4539" s="2">
        <v>440.89</v>
      </c>
      <c r="M4539">
        <v>2034</v>
      </c>
      <c r="N4539">
        <v>6</v>
      </c>
      <c r="O4539" t="s">
        <v>229</v>
      </c>
      <c r="P4539" s="2">
        <v>603.96</v>
      </c>
      <c r="Q4539" s="2">
        <v>163.07</v>
      </c>
      <c r="R4539" t="s">
        <v>66</v>
      </c>
      <c r="S4539">
        <v>1</v>
      </c>
      <c r="T4539">
        <v>0</v>
      </c>
      <c r="U4539">
        <f>IF(AND(OR(Dashboard!$D$4="Semua",D4539=Dashboard!$D$4),OR(Dashboard!$H$4="Semua",E4539=Dashboard!$H$4)),1,0)</f>
        <v>1</v>
      </c>
      <c r="V4539">
        <f>IF(U4539=1,IF(COUNTIFS($C$2:C4539,C4539,$U$2:U4539,1)=1,1,0),0)</f>
        <v>0</v>
      </c>
    </row>
    <row r="4540" spans="1:22" x14ac:dyDescent="0.35">
      <c r="A4540">
        <v>14539</v>
      </c>
      <c r="B4540" s="1">
        <v>49100</v>
      </c>
      <c r="C4540">
        <v>1688</v>
      </c>
      <c r="D4540" t="s">
        <v>73</v>
      </c>
      <c r="E4540" t="s">
        <v>63</v>
      </c>
      <c r="F4540">
        <v>3</v>
      </c>
      <c r="G4540" s="2">
        <v>323.60000000000002</v>
      </c>
      <c r="H4540">
        <v>0.21</v>
      </c>
      <c r="I4540" t="s">
        <v>71</v>
      </c>
      <c r="J4540">
        <v>2</v>
      </c>
      <c r="K4540">
        <v>2.1</v>
      </c>
      <c r="L4540" s="2">
        <v>766.93</v>
      </c>
      <c r="M4540">
        <v>2034</v>
      </c>
      <c r="N4540">
        <v>6</v>
      </c>
      <c r="O4540" t="s">
        <v>229</v>
      </c>
      <c r="P4540" s="2">
        <v>970.8</v>
      </c>
      <c r="Q4540" s="2">
        <v>203.87</v>
      </c>
      <c r="R4540" t="s">
        <v>77</v>
      </c>
      <c r="S4540">
        <v>1</v>
      </c>
      <c r="T4540">
        <v>0</v>
      </c>
      <c r="U4540">
        <f>IF(AND(OR(Dashboard!$D$4="Semua",D4540=Dashboard!$D$4),OR(Dashboard!$H$4="Semua",E4540=Dashboard!$H$4)),1,0)</f>
        <v>1</v>
      </c>
      <c r="V4540">
        <f>IF(U4540=1,IF(COUNTIFS($C$2:C4540,C4540,$U$2:U4540,1)=1,1,0),0)</f>
        <v>0</v>
      </c>
    </row>
    <row r="4541" spans="1:22" x14ac:dyDescent="0.35">
      <c r="A4541">
        <v>14540</v>
      </c>
      <c r="B4541" s="1">
        <v>49101</v>
      </c>
      <c r="C4541">
        <v>1686</v>
      </c>
      <c r="D4541" t="s">
        <v>62</v>
      </c>
      <c r="E4541" t="s">
        <v>74</v>
      </c>
      <c r="F4541">
        <v>6</v>
      </c>
      <c r="G4541" s="2">
        <v>568.78</v>
      </c>
      <c r="H4541">
        <v>0.1</v>
      </c>
      <c r="I4541" t="s">
        <v>71</v>
      </c>
      <c r="J4541">
        <v>11</v>
      </c>
      <c r="K4541">
        <v>1.9</v>
      </c>
      <c r="L4541" s="2">
        <v>3071.41</v>
      </c>
      <c r="M4541">
        <v>2034</v>
      </c>
      <c r="N4541">
        <v>6</v>
      </c>
      <c r="O4541" t="s">
        <v>229</v>
      </c>
      <c r="P4541" s="2">
        <v>3412.68</v>
      </c>
      <c r="Q4541" s="2">
        <v>341.27</v>
      </c>
      <c r="R4541" t="s">
        <v>69</v>
      </c>
      <c r="S4541">
        <v>1</v>
      </c>
      <c r="T4541">
        <v>0</v>
      </c>
      <c r="U4541">
        <f>IF(AND(OR(Dashboard!$D$4="Semua",D4541=Dashboard!$D$4),OR(Dashboard!$H$4="Semua",E4541=Dashboard!$H$4)),1,0)</f>
        <v>1</v>
      </c>
      <c r="V4541">
        <f>IF(U4541=1,IF(COUNTIFS($C$2:C4541,C4541,$U$2:U4541,1)=1,1,0),0)</f>
        <v>0</v>
      </c>
    </row>
    <row r="4542" spans="1:22" x14ac:dyDescent="0.35">
      <c r="A4542">
        <v>14541</v>
      </c>
      <c r="B4542" s="1">
        <v>49102</v>
      </c>
      <c r="C4542">
        <v>1851</v>
      </c>
      <c r="D4542" t="s">
        <v>67</v>
      </c>
      <c r="E4542" t="s">
        <v>74</v>
      </c>
      <c r="F4542">
        <v>7</v>
      </c>
      <c r="G4542" s="2">
        <v>243.87</v>
      </c>
      <c r="H4542">
        <v>0.33</v>
      </c>
      <c r="I4542" t="s">
        <v>71</v>
      </c>
      <c r="J4542">
        <v>7</v>
      </c>
      <c r="K4542">
        <v>2.4</v>
      </c>
      <c r="L4542" s="2">
        <v>1143.75</v>
      </c>
      <c r="M4542">
        <v>2034</v>
      </c>
      <c r="N4542">
        <v>6</v>
      </c>
      <c r="O4542" t="s">
        <v>229</v>
      </c>
      <c r="P4542" s="2">
        <v>1707.09</v>
      </c>
      <c r="Q4542" s="2">
        <v>563.34</v>
      </c>
      <c r="R4542" t="s">
        <v>72</v>
      </c>
      <c r="S4542">
        <v>1</v>
      </c>
      <c r="T4542">
        <v>0</v>
      </c>
      <c r="U4542">
        <f>IF(AND(OR(Dashboard!$D$4="Semua",D4542=Dashboard!$D$4),OR(Dashboard!$H$4="Semua",E4542=Dashboard!$H$4)),1,0)</f>
        <v>1</v>
      </c>
      <c r="V4542">
        <f>IF(U4542=1,IF(COUNTIFS($C$2:C4542,C4542,$U$2:U4542,1)=1,1,0),0)</f>
        <v>0</v>
      </c>
    </row>
    <row r="4543" spans="1:22" x14ac:dyDescent="0.35">
      <c r="A4543">
        <v>14542</v>
      </c>
      <c r="B4543" s="1">
        <v>49103</v>
      </c>
      <c r="C4543">
        <v>1849</v>
      </c>
      <c r="D4543" t="s">
        <v>80</v>
      </c>
      <c r="E4543" t="s">
        <v>74</v>
      </c>
      <c r="F4543">
        <v>5</v>
      </c>
      <c r="G4543" s="2">
        <v>52.97</v>
      </c>
      <c r="H4543">
        <v>0.23</v>
      </c>
      <c r="I4543" t="s">
        <v>68</v>
      </c>
      <c r="J4543">
        <v>1</v>
      </c>
      <c r="K4543">
        <v>3.6</v>
      </c>
      <c r="L4543" s="2">
        <v>203.93</v>
      </c>
      <c r="M4543">
        <v>2034</v>
      </c>
      <c r="N4543">
        <v>6</v>
      </c>
      <c r="O4543" t="s">
        <v>229</v>
      </c>
      <c r="P4543" s="2">
        <v>264.85000000000002</v>
      </c>
      <c r="Q4543" s="2">
        <v>60.92</v>
      </c>
      <c r="R4543" t="s">
        <v>77</v>
      </c>
      <c r="S4543">
        <v>1</v>
      </c>
      <c r="T4543">
        <v>0</v>
      </c>
      <c r="U4543">
        <f>IF(AND(OR(Dashboard!$D$4="Semua",D4543=Dashboard!$D$4),OR(Dashboard!$H$4="Semua",E4543=Dashboard!$H$4)),1,0)</f>
        <v>1</v>
      </c>
      <c r="V4543">
        <f>IF(U4543=1,IF(COUNTIFS($C$2:C4543,C4543,$U$2:U4543,1)=1,1,0),0)</f>
        <v>0</v>
      </c>
    </row>
    <row r="4544" spans="1:22" x14ac:dyDescent="0.35">
      <c r="A4544">
        <v>14543</v>
      </c>
      <c r="B4544" s="1">
        <v>49104</v>
      </c>
      <c r="C4544">
        <v>1657</v>
      </c>
      <c r="D4544" t="s">
        <v>62</v>
      </c>
      <c r="E4544" t="s">
        <v>70</v>
      </c>
      <c r="F4544">
        <v>3</v>
      </c>
      <c r="G4544" s="2">
        <v>242.07</v>
      </c>
      <c r="H4544">
        <v>0.34</v>
      </c>
      <c r="I4544" t="s">
        <v>64</v>
      </c>
      <c r="J4544">
        <v>10</v>
      </c>
      <c r="K4544">
        <v>4.8</v>
      </c>
      <c r="L4544" s="2">
        <v>479.3</v>
      </c>
      <c r="M4544">
        <v>2034</v>
      </c>
      <c r="N4544">
        <v>6</v>
      </c>
      <c r="O4544" t="s">
        <v>229</v>
      </c>
      <c r="P4544" s="2">
        <v>726.21</v>
      </c>
      <c r="Q4544" s="2">
        <v>246.91</v>
      </c>
      <c r="R4544" t="s">
        <v>72</v>
      </c>
      <c r="S4544">
        <v>1</v>
      </c>
      <c r="T4544">
        <v>0</v>
      </c>
      <c r="U4544">
        <f>IF(AND(OR(Dashboard!$D$4="Semua",D4544=Dashboard!$D$4),OR(Dashboard!$H$4="Semua",E4544=Dashboard!$H$4)),1,0)</f>
        <v>1</v>
      </c>
      <c r="V4544">
        <f>IF(U4544=1,IF(COUNTIFS($C$2:C4544,C4544,$U$2:U4544,1)=1,1,0),0)</f>
        <v>0</v>
      </c>
    </row>
    <row r="4545" spans="1:22" x14ac:dyDescent="0.35">
      <c r="A4545">
        <v>14544</v>
      </c>
      <c r="B4545" s="1">
        <v>49105</v>
      </c>
      <c r="C4545">
        <v>1961</v>
      </c>
      <c r="D4545" t="s">
        <v>67</v>
      </c>
      <c r="E4545" t="s">
        <v>70</v>
      </c>
      <c r="F4545">
        <v>5</v>
      </c>
      <c r="G4545" s="2">
        <v>100.26</v>
      </c>
      <c r="H4545">
        <v>0.2</v>
      </c>
      <c r="I4545" t="s">
        <v>68</v>
      </c>
      <c r="J4545">
        <v>7</v>
      </c>
      <c r="K4545">
        <v>3.8</v>
      </c>
      <c r="L4545" s="2">
        <v>401.04</v>
      </c>
      <c r="M4545">
        <v>2034</v>
      </c>
      <c r="N4545">
        <v>6</v>
      </c>
      <c r="O4545" t="s">
        <v>229</v>
      </c>
      <c r="P4545" s="2">
        <v>501.3</v>
      </c>
      <c r="Q4545" s="2">
        <v>100.26</v>
      </c>
      <c r="R4545" t="s">
        <v>76</v>
      </c>
      <c r="S4545">
        <v>1</v>
      </c>
      <c r="T4545">
        <v>0</v>
      </c>
      <c r="U4545">
        <f>IF(AND(OR(Dashboard!$D$4="Semua",D4545=Dashboard!$D$4),OR(Dashboard!$H$4="Semua",E4545=Dashboard!$H$4)),1,0)</f>
        <v>1</v>
      </c>
      <c r="V4545">
        <f>IF(U4545=1,IF(COUNTIFS($C$2:C4545,C4545,$U$2:U4545,1)=1,1,0),0)</f>
        <v>0</v>
      </c>
    </row>
    <row r="4546" spans="1:22" x14ac:dyDescent="0.35">
      <c r="A4546">
        <v>14545</v>
      </c>
      <c r="B4546" s="1">
        <v>49106</v>
      </c>
      <c r="C4546">
        <v>1323</v>
      </c>
      <c r="D4546" t="s">
        <v>73</v>
      </c>
      <c r="E4546" t="s">
        <v>63</v>
      </c>
      <c r="F4546">
        <v>6</v>
      </c>
      <c r="G4546" s="2">
        <v>149.54</v>
      </c>
      <c r="H4546">
        <v>0.28999999999999998</v>
      </c>
      <c r="I4546" t="s">
        <v>68</v>
      </c>
      <c r="J4546">
        <v>2</v>
      </c>
      <c r="K4546">
        <v>4.0999999999999996</v>
      </c>
      <c r="L4546" s="2">
        <v>637.04</v>
      </c>
      <c r="M4546">
        <v>2034</v>
      </c>
      <c r="N4546">
        <v>6</v>
      </c>
      <c r="O4546" t="s">
        <v>229</v>
      </c>
      <c r="P4546" s="2">
        <v>897.24</v>
      </c>
      <c r="Q4546" s="2">
        <v>260.2</v>
      </c>
      <c r="R4546" t="s">
        <v>66</v>
      </c>
      <c r="S4546">
        <v>1</v>
      </c>
      <c r="T4546">
        <v>0</v>
      </c>
      <c r="U4546">
        <f>IF(AND(OR(Dashboard!$D$4="Semua",D4546=Dashboard!$D$4),OR(Dashboard!$H$4="Semua",E4546=Dashboard!$H$4)),1,0)</f>
        <v>1</v>
      </c>
      <c r="V4546">
        <f>IF(U4546=1,IF(COUNTIFS($C$2:C4546,C4546,$U$2:U4546,1)=1,1,0),0)</f>
        <v>0</v>
      </c>
    </row>
    <row r="4547" spans="1:22" x14ac:dyDescent="0.35">
      <c r="A4547">
        <v>14546</v>
      </c>
      <c r="B4547" s="1">
        <v>49107</v>
      </c>
      <c r="C4547">
        <v>1989</v>
      </c>
      <c r="D4547" t="s">
        <v>67</v>
      </c>
      <c r="E4547" t="s">
        <v>63</v>
      </c>
      <c r="F4547">
        <v>4</v>
      </c>
      <c r="G4547" s="2">
        <v>376.58</v>
      </c>
      <c r="H4547">
        <v>0.28000000000000003</v>
      </c>
      <c r="I4547" t="s">
        <v>68</v>
      </c>
      <c r="J4547">
        <v>5</v>
      </c>
      <c r="K4547">
        <v>2.2000000000000002</v>
      </c>
      <c r="L4547" s="2">
        <v>1084.55</v>
      </c>
      <c r="M4547">
        <v>2034</v>
      </c>
      <c r="N4547">
        <v>6</v>
      </c>
      <c r="O4547" t="s">
        <v>229</v>
      </c>
      <c r="P4547" s="2">
        <v>1506.32</v>
      </c>
      <c r="Q4547" s="2">
        <v>421.77</v>
      </c>
      <c r="R4547" t="s">
        <v>66</v>
      </c>
      <c r="S4547">
        <v>1</v>
      </c>
      <c r="T4547">
        <v>0</v>
      </c>
      <c r="U4547">
        <f>IF(AND(OR(Dashboard!$D$4="Semua",D4547=Dashboard!$D$4),OR(Dashboard!$H$4="Semua",E4547=Dashboard!$H$4)),1,0)</f>
        <v>1</v>
      </c>
      <c r="V4547">
        <f>IF(U4547=1,IF(COUNTIFS($C$2:C4547,C4547,$U$2:U4547,1)=1,1,0),0)</f>
        <v>0</v>
      </c>
    </row>
    <row r="4548" spans="1:22" x14ac:dyDescent="0.35">
      <c r="A4548">
        <v>14547</v>
      </c>
      <c r="B4548" s="1">
        <v>49108</v>
      </c>
      <c r="C4548">
        <v>1672</v>
      </c>
      <c r="D4548" t="s">
        <v>62</v>
      </c>
      <c r="E4548" t="s">
        <v>74</v>
      </c>
      <c r="F4548">
        <v>6</v>
      </c>
      <c r="G4548" s="2">
        <v>54.44</v>
      </c>
      <c r="H4548">
        <v>0.12</v>
      </c>
      <c r="I4548" t="s">
        <v>71</v>
      </c>
      <c r="J4548">
        <v>1</v>
      </c>
      <c r="K4548">
        <v>1.4</v>
      </c>
      <c r="L4548" s="2">
        <v>287.44</v>
      </c>
      <c r="M4548">
        <v>2034</v>
      </c>
      <c r="N4548">
        <v>6</v>
      </c>
      <c r="O4548" t="s">
        <v>229</v>
      </c>
      <c r="P4548" s="2">
        <v>326.64</v>
      </c>
      <c r="Q4548" s="2">
        <v>39.200000000000003</v>
      </c>
      <c r="R4548" t="s">
        <v>79</v>
      </c>
      <c r="S4548">
        <v>1</v>
      </c>
      <c r="T4548">
        <v>0</v>
      </c>
      <c r="U4548">
        <f>IF(AND(OR(Dashboard!$D$4="Semua",D4548=Dashboard!$D$4),OR(Dashboard!$H$4="Semua",E4548=Dashboard!$H$4)),1,0)</f>
        <v>1</v>
      </c>
      <c r="V4548">
        <f>IF(U4548=1,IF(COUNTIFS($C$2:C4548,C4548,$U$2:U4548,1)=1,1,0),0)</f>
        <v>0</v>
      </c>
    </row>
    <row r="4549" spans="1:22" x14ac:dyDescent="0.35">
      <c r="A4549">
        <v>14548</v>
      </c>
      <c r="B4549" s="1">
        <v>49109</v>
      </c>
      <c r="C4549">
        <v>1638</v>
      </c>
      <c r="D4549" t="s">
        <v>80</v>
      </c>
      <c r="E4549" t="s">
        <v>63</v>
      </c>
      <c r="F4549">
        <v>5</v>
      </c>
      <c r="G4549" s="2">
        <v>286.86</v>
      </c>
      <c r="H4549">
        <v>0.34</v>
      </c>
      <c r="I4549" t="s">
        <v>71</v>
      </c>
      <c r="J4549">
        <v>5</v>
      </c>
      <c r="K4549">
        <v>2.2000000000000002</v>
      </c>
      <c r="L4549" s="2">
        <v>946.64</v>
      </c>
      <c r="M4549">
        <v>2034</v>
      </c>
      <c r="N4549">
        <v>6</v>
      </c>
      <c r="O4549" t="s">
        <v>229</v>
      </c>
      <c r="P4549" s="2">
        <v>1434.3</v>
      </c>
      <c r="Q4549" s="2">
        <v>487.66</v>
      </c>
      <c r="R4549" t="s">
        <v>72</v>
      </c>
      <c r="S4549">
        <v>1</v>
      </c>
      <c r="T4549">
        <v>0</v>
      </c>
      <c r="U4549">
        <f>IF(AND(OR(Dashboard!$D$4="Semua",D4549=Dashboard!$D$4),OR(Dashboard!$H$4="Semua",E4549=Dashboard!$H$4)),1,0)</f>
        <v>1</v>
      </c>
      <c r="V4549">
        <f>IF(U4549=1,IF(COUNTIFS($C$2:C4549,C4549,$U$2:U4549,1)=1,1,0),0)</f>
        <v>0</v>
      </c>
    </row>
    <row r="4550" spans="1:22" x14ac:dyDescent="0.35">
      <c r="A4550">
        <v>14549</v>
      </c>
      <c r="B4550" s="1">
        <v>49110</v>
      </c>
      <c r="C4550">
        <v>1419</v>
      </c>
      <c r="D4550" t="s">
        <v>73</v>
      </c>
      <c r="E4550" t="s">
        <v>78</v>
      </c>
      <c r="F4550">
        <v>3</v>
      </c>
      <c r="G4550" s="2">
        <v>371.54</v>
      </c>
      <c r="H4550">
        <v>0.01</v>
      </c>
      <c r="I4550" t="s">
        <v>68</v>
      </c>
      <c r="J4550">
        <v>11</v>
      </c>
      <c r="K4550">
        <v>2.6</v>
      </c>
      <c r="L4550" s="2">
        <v>1103.47</v>
      </c>
      <c r="M4550">
        <v>2034</v>
      </c>
      <c r="N4550">
        <v>6</v>
      </c>
      <c r="O4550" t="s">
        <v>229</v>
      </c>
      <c r="P4550" s="2">
        <v>1114.6199999999999</v>
      </c>
      <c r="Q4550" s="2">
        <v>11.15</v>
      </c>
      <c r="R4550" t="s">
        <v>75</v>
      </c>
      <c r="S4550">
        <v>1</v>
      </c>
      <c r="T4550">
        <v>0</v>
      </c>
      <c r="U4550">
        <f>IF(AND(OR(Dashboard!$D$4="Semua",D4550=Dashboard!$D$4),OR(Dashboard!$H$4="Semua",E4550=Dashboard!$H$4)),1,0)</f>
        <v>1</v>
      </c>
      <c r="V4550">
        <f>IF(U4550=1,IF(COUNTIFS($C$2:C4550,C4550,$U$2:U4550,1)=1,1,0),0)</f>
        <v>0</v>
      </c>
    </row>
    <row r="4551" spans="1:22" x14ac:dyDescent="0.35">
      <c r="A4551">
        <v>14550</v>
      </c>
      <c r="B4551" s="1">
        <v>49111</v>
      </c>
      <c r="C4551">
        <v>1593</v>
      </c>
      <c r="D4551" t="s">
        <v>80</v>
      </c>
      <c r="E4551" t="s">
        <v>70</v>
      </c>
      <c r="F4551">
        <v>1</v>
      </c>
      <c r="G4551" s="2">
        <v>261.79000000000002</v>
      </c>
      <c r="H4551">
        <v>0.27</v>
      </c>
      <c r="I4551" t="s">
        <v>68</v>
      </c>
      <c r="J4551">
        <v>4</v>
      </c>
      <c r="K4551">
        <v>3.8</v>
      </c>
      <c r="L4551" s="2">
        <v>191.11</v>
      </c>
      <c r="M4551">
        <v>2034</v>
      </c>
      <c r="N4551">
        <v>6</v>
      </c>
      <c r="O4551" t="s">
        <v>229</v>
      </c>
      <c r="P4551" s="2">
        <v>261.79000000000002</v>
      </c>
      <c r="Q4551" s="2">
        <v>70.680000000000007</v>
      </c>
      <c r="R4551" t="s">
        <v>66</v>
      </c>
      <c r="S4551">
        <v>1</v>
      </c>
      <c r="T4551">
        <v>0</v>
      </c>
      <c r="U4551">
        <f>IF(AND(OR(Dashboard!$D$4="Semua",D4551=Dashboard!$D$4),OR(Dashboard!$H$4="Semua",E4551=Dashboard!$H$4)),1,0)</f>
        <v>1</v>
      </c>
      <c r="V4551">
        <f>IF(U4551=1,IF(COUNTIFS($C$2:C4551,C4551,$U$2:U4551,1)=1,1,0),0)</f>
        <v>0</v>
      </c>
    </row>
    <row r="4552" spans="1:22" x14ac:dyDescent="0.35">
      <c r="A4552">
        <v>14551</v>
      </c>
      <c r="B4552" s="1">
        <v>49112</v>
      </c>
      <c r="C4552">
        <v>1484</v>
      </c>
      <c r="D4552" t="s">
        <v>67</v>
      </c>
      <c r="E4552" t="s">
        <v>74</v>
      </c>
      <c r="F4552">
        <v>5</v>
      </c>
      <c r="G4552" s="2">
        <v>26.19</v>
      </c>
      <c r="H4552">
        <v>0.34</v>
      </c>
      <c r="I4552" t="s">
        <v>71</v>
      </c>
      <c r="J4552">
        <v>1</v>
      </c>
      <c r="K4552">
        <v>4.8</v>
      </c>
      <c r="L4552" s="2">
        <v>86.43</v>
      </c>
      <c r="M4552">
        <v>2034</v>
      </c>
      <c r="N4552">
        <v>6</v>
      </c>
      <c r="O4552" t="s">
        <v>229</v>
      </c>
      <c r="P4552" s="2">
        <v>130.94999999999999</v>
      </c>
      <c r="Q4552" s="2">
        <v>44.52</v>
      </c>
      <c r="R4552" t="s">
        <v>72</v>
      </c>
      <c r="S4552">
        <v>1</v>
      </c>
      <c r="T4552">
        <v>0</v>
      </c>
      <c r="U4552">
        <f>IF(AND(OR(Dashboard!$D$4="Semua",D4552=Dashboard!$D$4),OR(Dashboard!$H$4="Semua",E4552=Dashboard!$H$4)),1,0)</f>
        <v>1</v>
      </c>
      <c r="V4552">
        <f>IF(U4552=1,IF(COUNTIFS($C$2:C4552,C4552,$U$2:U4552,1)=1,1,0),0)</f>
        <v>0</v>
      </c>
    </row>
    <row r="4553" spans="1:22" x14ac:dyDescent="0.35">
      <c r="A4553">
        <v>14552</v>
      </c>
      <c r="B4553" s="1">
        <v>49113</v>
      </c>
      <c r="C4553">
        <v>1658</v>
      </c>
      <c r="D4553" t="s">
        <v>62</v>
      </c>
      <c r="E4553" t="s">
        <v>74</v>
      </c>
      <c r="F4553">
        <v>2</v>
      </c>
      <c r="G4553" s="2">
        <v>591.53</v>
      </c>
      <c r="H4553">
        <v>0.12</v>
      </c>
      <c r="I4553" t="s">
        <v>71</v>
      </c>
      <c r="J4553">
        <v>1</v>
      </c>
      <c r="K4553">
        <v>4.2</v>
      </c>
      <c r="L4553" s="2">
        <v>1041.0899999999999</v>
      </c>
      <c r="M4553">
        <v>2034</v>
      </c>
      <c r="N4553">
        <v>6</v>
      </c>
      <c r="O4553" t="s">
        <v>229</v>
      </c>
      <c r="P4553" s="2">
        <v>1183.06</v>
      </c>
      <c r="Q4553" s="2">
        <v>141.97</v>
      </c>
      <c r="R4553" t="s">
        <v>79</v>
      </c>
      <c r="S4553">
        <v>1</v>
      </c>
      <c r="T4553">
        <v>0</v>
      </c>
      <c r="U4553">
        <f>IF(AND(OR(Dashboard!$D$4="Semua",D4553=Dashboard!$D$4),OR(Dashboard!$H$4="Semua",E4553=Dashboard!$H$4)),1,0)</f>
        <v>1</v>
      </c>
      <c r="V4553">
        <f>IF(U4553=1,IF(COUNTIFS($C$2:C4553,C4553,$U$2:U4553,1)=1,1,0),0)</f>
        <v>0</v>
      </c>
    </row>
    <row r="4554" spans="1:22" x14ac:dyDescent="0.35">
      <c r="A4554">
        <v>14553</v>
      </c>
      <c r="B4554" s="1">
        <v>49114</v>
      </c>
      <c r="C4554">
        <v>1750</v>
      </c>
      <c r="D4554" t="s">
        <v>73</v>
      </c>
      <c r="E4554" t="s">
        <v>78</v>
      </c>
      <c r="F4554">
        <v>1</v>
      </c>
      <c r="G4554" s="2">
        <v>229.76</v>
      </c>
      <c r="H4554">
        <v>0.23</v>
      </c>
      <c r="I4554" t="s">
        <v>68</v>
      </c>
      <c r="J4554">
        <v>7</v>
      </c>
      <c r="K4554">
        <v>2.1</v>
      </c>
      <c r="L4554" s="2">
        <v>176.92</v>
      </c>
      <c r="M4554">
        <v>2034</v>
      </c>
      <c r="N4554">
        <v>6</v>
      </c>
      <c r="O4554" t="s">
        <v>229</v>
      </c>
      <c r="P4554" s="2">
        <v>229.76</v>
      </c>
      <c r="Q4554" s="2">
        <v>52.84</v>
      </c>
      <c r="R4554" t="s">
        <v>77</v>
      </c>
      <c r="S4554">
        <v>1</v>
      </c>
      <c r="T4554">
        <v>0</v>
      </c>
      <c r="U4554">
        <f>IF(AND(OR(Dashboard!$D$4="Semua",D4554=Dashboard!$D$4),OR(Dashboard!$H$4="Semua",E4554=Dashboard!$H$4)),1,0)</f>
        <v>1</v>
      </c>
      <c r="V4554">
        <f>IF(U4554=1,IF(COUNTIFS($C$2:C4554,C4554,$U$2:U4554,1)=1,1,0),0)</f>
        <v>0</v>
      </c>
    </row>
    <row r="4555" spans="1:22" x14ac:dyDescent="0.35">
      <c r="A4555">
        <v>14554</v>
      </c>
      <c r="B4555" s="1">
        <v>49115</v>
      </c>
      <c r="C4555">
        <v>1411</v>
      </c>
      <c r="D4555" t="s">
        <v>67</v>
      </c>
      <c r="E4555" t="s">
        <v>78</v>
      </c>
      <c r="F4555">
        <v>7</v>
      </c>
      <c r="G4555" s="2">
        <v>470.47</v>
      </c>
      <c r="H4555">
        <v>0.2</v>
      </c>
      <c r="I4555" t="s">
        <v>64</v>
      </c>
      <c r="J4555">
        <v>3</v>
      </c>
      <c r="K4555">
        <v>4.3</v>
      </c>
      <c r="L4555" s="2">
        <v>2634.63</v>
      </c>
      <c r="M4555">
        <v>2034</v>
      </c>
      <c r="N4555">
        <v>6</v>
      </c>
      <c r="O4555" t="s">
        <v>229</v>
      </c>
      <c r="P4555" s="2">
        <v>3293.29</v>
      </c>
      <c r="Q4555" s="2">
        <v>658.66</v>
      </c>
      <c r="R4555" t="s">
        <v>76</v>
      </c>
      <c r="S4555">
        <v>1</v>
      </c>
      <c r="T4555">
        <v>0</v>
      </c>
      <c r="U4555">
        <f>IF(AND(OR(Dashboard!$D$4="Semua",D4555=Dashboard!$D$4),OR(Dashboard!$H$4="Semua",E4555=Dashboard!$H$4)),1,0)</f>
        <v>1</v>
      </c>
      <c r="V4555">
        <f>IF(U4555=1,IF(COUNTIFS($C$2:C4555,C4555,$U$2:U4555,1)=1,1,0),0)</f>
        <v>0</v>
      </c>
    </row>
    <row r="4556" spans="1:22" x14ac:dyDescent="0.35">
      <c r="A4556">
        <v>14555</v>
      </c>
      <c r="B4556" s="1">
        <v>49116</v>
      </c>
      <c r="C4556">
        <v>1935</v>
      </c>
      <c r="D4556" t="s">
        <v>62</v>
      </c>
      <c r="E4556" t="s">
        <v>78</v>
      </c>
      <c r="F4556">
        <v>5</v>
      </c>
      <c r="G4556" s="2">
        <v>205.5</v>
      </c>
      <c r="H4556">
        <v>0.27</v>
      </c>
      <c r="I4556" t="s">
        <v>64</v>
      </c>
      <c r="J4556">
        <v>10</v>
      </c>
      <c r="K4556">
        <v>2.6</v>
      </c>
      <c r="L4556" s="2">
        <v>750.08</v>
      </c>
      <c r="M4556">
        <v>2034</v>
      </c>
      <c r="N4556">
        <v>6</v>
      </c>
      <c r="O4556" t="s">
        <v>229</v>
      </c>
      <c r="P4556" s="2">
        <v>1027.5</v>
      </c>
      <c r="Q4556" s="2">
        <v>277.42</v>
      </c>
      <c r="R4556" t="s">
        <v>66</v>
      </c>
      <c r="S4556">
        <v>1</v>
      </c>
      <c r="T4556">
        <v>0</v>
      </c>
      <c r="U4556">
        <f>IF(AND(OR(Dashboard!$D$4="Semua",D4556=Dashboard!$D$4),OR(Dashboard!$H$4="Semua",E4556=Dashboard!$H$4)),1,0)</f>
        <v>1</v>
      </c>
      <c r="V4556">
        <f>IF(U4556=1,IF(COUNTIFS($C$2:C4556,C4556,$U$2:U4556,1)=1,1,0),0)</f>
        <v>0</v>
      </c>
    </row>
    <row r="4557" spans="1:22" x14ac:dyDescent="0.35">
      <c r="A4557">
        <v>14556</v>
      </c>
      <c r="B4557" s="1">
        <v>49117</v>
      </c>
      <c r="C4557">
        <v>1083</v>
      </c>
      <c r="D4557" t="s">
        <v>67</v>
      </c>
      <c r="E4557" t="s">
        <v>78</v>
      </c>
      <c r="F4557">
        <v>2</v>
      </c>
      <c r="G4557" s="2">
        <v>292.88</v>
      </c>
      <c r="H4557">
        <v>0.3</v>
      </c>
      <c r="I4557" t="s">
        <v>68</v>
      </c>
      <c r="J4557">
        <v>9</v>
      </c>
      <c r="K4557">
        <v>1.7</v>
      </c>
      <c r="L4557" s="2">
        <v>410.03</v>
      </c>
      <c r="M4557">
        <v>2034</v>
      </c>
      <c r="N4557">
        <v>6</v>
      </c>
      <c r="O4557" t="s">
        <v>229</v>
      </c>
      <c r="P4557" s="2">
        <v>585.76</v>
      </c>
      <c r="Q4557" s="2">
        <v>175.73</v>
      </c>
      <c r="R4557" t="s">
        <v>66</v>
      </c>
      <c r="S4557">
        <v>1</v>
      </c>
      <c r="T4557">
        <v>0</v>
      </c>
      <c r="U4557">
        <f>IF(AND(OR(Dashboard!$D$4="Semua",D4557=Dashboard!$D$4),OR(Dashboard!$H$4="Semua",E4557=Dashboard!$H$4)),1,0)</f>
        <v>1</v>
      </c>
      <c r="V4557">
        <f>IF(U4557=1,IF(COUNTIFS($C$2:C4557,C4557,$U$2:U4557,1)=1,1,0),0)</f>
        <v>0</v>
      </c>
    </row>
    <row r="4558" spans="1:22" x14ac:dyDescent="0.35">
      <c r="A4558">
        <v>14557</v>
      </c>
      <c r="B4558" s="1">
        <v>49118</v>
      </c>
      <c r="C4558">
        <v>1112</v>
      </c>
      <c r="D4558" t="s">
        <v>67</v>
      </c>
      <c r="E4558" t="s">
        <v>74</v>
      </c>
      <c r="F4558">
        <v>7</v>
      </c>
      <c r="G4558" s="2">
        <v>242.25</v>
      </c>
      <c r="H4558">
        <v>0.21</v>
      </c>
      <c r="I4558" t="s">
        <v>71</v>
      </c>
      <c r="J4558">
        <v>9</v>
      </c>
      <c r="K4558">
        <v>2.8</v>
      </c>
      <c r="L4558" s="2">
        <v>1339.64</v>
      </c>
      <c r="M4558">
        <v>2034</v>
      </c>
      <c r="N4558">
        <v>6</v>
      </c>
      <c r="O4558" t="s">
        <v>229</v>
      </c>
      <c r="P4558" s="2">
        <v>1695.75</v>
      </c>
      <c r="Q4558" s="2">
        <v>356.11</v>
      </c>
      <c r="R4558" t="s">
        <v>77</v>
      </c>
      <c r="S4558">
        <v>1</v>
      </c>
      <c r="T4558">
        <v>0</v>
      </c>
      <c r="U4558">
        <f>IF(AND(OR(Dashboard!$D$4="Semua",D4558=Dashboard!$D$4),OR(Dashboard!$H$4="Semua",E4558=Dashboard!$H$4)),1,0)</f>
        <v>1</v>
      </c>
      <c r="V4558">
        <f>IF(U4558=1,IF(COUNTIFS($C$2:C4558,C4558,$U$2:U4558,1)=1,1,0),0)</f>
        <v>0</v>
      </c>
    </row>
    <row r="4559" spans="1:22" x14ac:dyDescent="0.35">
      <c r="A4559">
        <v>14558</v>
      </c>
      <c r="B4559" s="1">
        <v>49119</v>
      </c>
      <c r="C4559">
        <v>1736</v>
      </c>
      <c r="D4559" t="s">
        <v>73</v>
      </c>
      <c r="E4559" t="s">
        <v>70</v>
      </c>
      <c r="F4559">
        <v>6</v>
      </c>
      <c r="G4559" s="2">
        <v>215.39</v>
      </c>
      <c r="H4559">
        <v>0.28999999999999998</v>
      </c>
      <c r="I4559" t="s">
        <v>68</v>
      </c>
      <c r="J4559">
        <v>10</v>
      </c>
      <c r="K4559">
        <v>3.3</v>
      </c>
      <c r="L4559" s="2">
        <v>917.56</v>
      </c>
      <c r="M4559">
        <v>2034</v>
      </c>
      <c r="N4559">
        <v>6</v>
      </c>
      <c r="O4559" t="s">
        <v>229</v>
      </c>
      <c r="P4559" s="2">
        <v>1292.3399999999999</v>
      </c>
      <c r="Q4559" s="2">
        <v>374.78</v>
      </c>
      <c r="R4559" t="s">
        <v>66</v>
      </c>
      <c r="S4559">
        <v>1</v>
      </c>
      <c r="T4559">
        <v>0</v>
      </c>
      <c r="U4559">
        <f>IF(AND(OR(Dashboard!$D$4="Semua",D4559=Dashboard!$D$4),OR(Dashboard!$H$4="Semua",E4559=Dashboard!$H$4)),1,0)</f>
        <v>1</v>
      </c>
      <c r="V4559">
        <f>IF(U4559=1,IF(COUNTIFS($C$2:C4559,C4559,$U$2:U4559,1)=1,1,0),0)</f>
        <v>0</v>
      </c>
    </row>
    <row r="4560" spans="1:22" x14ac:dyDescent="0.35">
      <c r="A4560">
        <v>14559</v>
      </c>
      <c r="B4560" s="1">
        <v>49120</v>
      </c>
      <c r="C4560">
        <v>1331</v>
      </c>
      <c r="D4560" t="s">
        <v>73</v>
      </c>
      <c r="E4560" t="s">
        <v>70</v>
      </c>
      <c r="F4560">
        <v>1</v>
      </c>
      <c r="G4560" s="2">
        <v>27.78</v>
      </c>
      <c r="H4560">
        <v>0.11</v>
      </c>
      <c r="I4560" t="s">
        <v>71</v>
      </c>
      <c r="J4560">
        <v>11</v>
      </c>
      <c r="K4560">
        <v>4.0999999999999996</v>
      </c>
      <c r="L4560" s="2">
        <v>24.72</v>
      </c>
      <c r="M4560">
        <v>2034</v>
      </c>
      <c r="N4560">
        <v>6</v>
      </c>
      <c r="O4560" t="s">
        <v>229</v>
      </c>
      <c r="P4560" s="2">
        <v>27.78</v>
      </c>
      <c r="Q4560" s="2">
        <v>3.06</v>
      </c>
      <c r="R4560" t="s">
        <v>79</v>
      </c>
      <c r="S4560">
        <v>1</v>
      </c>
      <c r="T4560">
        <v>0</v>
      </c>
      <c r="U4560">
        <f>IF(AND(OR(Dashboard!$D$4="Semua",D4560=Dashboard!$D$4),OR(Dashboard!$H$4="Semua",E4560=Dashboard!$H$4)),1,0)</f>
        <v>1</v>
      </c>
      <c r="V4560">
        <f>IF(U4560=1,IF(COUNTIFS($C$2:C4560,C4560,$U$2:U4560,1)=1,1,0),0)</f>
        <v>0</v>
      </c>
    </row>
    <row r="4561" spans="1:22" x14ac:dyDescent="0.35">
      <c r="A4561">
        <v>14560</v>
      </c>
      <c r="B4561" s="1">
        <v>49121</v>
      </c>
      <c r="C4561">
        <v>1377</v>
      </c>
      <c r="D4561" t="s">
        <v>73</v>
      </c>
      <c r="E4561" t="s">
        <v>78</v>
      </c>
      <c r="F4561">
        <v>5</v>
      </c>
      <c r="G4561" s="2">
        <v>225.61</v>
      </c>
      <c r="H4561">
        <v>0.08</v>
      </c>
      <c r="I4561" t="s">
        <v>68</v>
      </c>
      <c r="J4561">
        <v>9</v>
      </c>
      <c r="K4561">
        <v>2.4</v>
      </c>
      <c r="L4561" s="2">
        <v>1037.81</v>
      </c>
      <c r="M4561">
        <v>2034</v>
      </c>
      <c r="N4561">
        <v>6</v>
      </c>
      <c r="O4561" t="s">
        <v>229</v>
      </c>
      <c r="P4561" s="2">
        <v>1128.05</v>
      </c>
      <c r="Q4561" s="2">
        <v>90.24</v>
      </c>
      <c r="R4561" t="s">
        <v>69</v>
      </c>
      <c r="S4561">
        <v>1</v>
      </c>
      <c r="T4561">
        <v>0</v>
      </c>
      <c r="U4561">
        <f>IF(AND(OR(Dashboard!$D$4="Semua",D4561=Dashboard!$D$4),OR(Dashboard!$H$4="Semua",E4561=Dashboard!$H$4)),1,0)</f>
        <v>1</v>
      </c>
      <c r="V4561">
        <f>IF(U4561=1,IF(COUNTIFS($C$2:C4561,C4561,$U$2:U4561,1)=1,1,0),0)</f>
        <v>0</v>
      </c>
    </row>
    <row r="4562" spans="1:22" x14ac:dyDescent="0.35">
      <c r="A4562">
        <v>14561</v>
      </c>
      <c r="B4562" s="1">
        <v>49122</v>
      </c>
      <c r="C4562">
        <v>1754</v>
      </c>
      <c r="D4562" t="s">
        <v>62</v>
      </c>
      <c r="E4562" t="s">
        <v>63</v>
      </c>
      <c r="F4562">
        <v>4</v>
      </c>
      <c r="G4562" s="2">
        <v>535.35</v>
      </c>
      <c r="H4562">
        <v>0.15</v>
      </c>
      <c r="I4562" t="s">
        <v>68</v>
      </c>
      <c r="J4562">
        <v>1</v>
      </c>
      <c r="K4562">
        <v>1.6</v>
      </c>
      <c r="L4562" s="2">
        <v>1820.19</v>
      </c>
      <c r="M4562">
        <v>2034</v>
      </c>
      <c r="N4562">
        <v>6</v>
      </c>
      <c r="O4562" t="s">
        <v>229</v>
      </c>
      <c r="P4562" s="2">
        <v>2141.4</v>
      </c>
      <c r="Q4562" s="2">
        <v>321.20999999999998</v>
      </c>
      <c r="R4562" t="s">
        <v>79</v>
      </c>
      <c r="S4562">
        <v>1</v>
      </c>
      <c r="T4562">
        <v>0</v>
      </c>
      <c r="U4562">
        <f>IF(AND(OR(Dashboard!$D$4="Semua",D4562=Dashboard!$D$4),OR(Dashboard!$H$4="Semua",E4562=Dashboard!$H$4)),1,0)</f>
        <v>1</v>
      </c>
      <c r="V4562">
        <f>IF(U4562=1,IF(COUNTIFS($C$2:C4562,C4562,$U$2:U4562,1)=1,1,0),0)</f>
        <v>0</v>
      </c>
    </row>
    <row r="4563" spans="1:22" x14ac:dyDescent="0.35">
      <c r="A4563">
        <v>14562</v>
      </c>
      <c r="B4563" s="1">
        <v>49123</v>
      </c>
      <c r="C4563">
        <v>1654</v>
      </c>
      <c r="D4563" t="s">
        <v>73</v>
      </c>
      <c r="E4563" t="s">
        <v>74</v>
      </c>
      <c r="F4563">
        <v>6</v>
      </c>
      <c r="G4563" s="2">
        <v>418.88</v>
      </c>
      <c r="H4563">
        <v>0.24</v>
      </c>
      <c r="I4563" t="s">
        <v>71</v>
      </c>
      <c r="J4563">
        <v>4</v>
      </c>
      <c r="K4563">
        <v>1.4</v>
      </c>
      <c r="L4563" s="2">
        <v>1910.09</v>
      </c>
      <c r="M4563">
        <v>2034</v>
      </c>
      <c r="N4563">
        <v>6</v>
      </c>
      <c r="O4563" t="s">
        <v>229</v>
      </c>
      <c r="P4563" s="2">
        <v>2513.2800000000002</v>
      </c>
      <c r="Q4563" s="2">
        <v>603.19000000000005</v>
      </c>
      <c r="R4563" t="s">
        <v>77</v>
      </c>
      <c r="S4563">
        <v>1</v>
      </c>
      <c r="T4563">
        <v>0</v>
      </c>
      <c r="U4563">
        <f>IF(AND(OR(Dashboard!$D$4="Semua",D4563=Dashboard!$D$4),OR(Dashboard!$H$4="Semua",E4563=Dashboard!$H$4)),1,0)</f>
        <v>1</v>
      </c>
      <c r="V4563">
        <f>IF(U4563=1,IF(COUNTIFS($C$2:C4563,C4563,$U$2:U4563,1)=1,1,0),0)</f>
        <v>0</v>
      </c>
    </row>
    <row r="4564" spans="1:22" x14ac:dyDescent="0.35">
      <c r="A4564">
        <v>14563</v>
      </c>
      <c r="B4564" s="1">
        <v>49124</v>
      </c>
      <c r="C4564">
        <v>1040</v>
      </c>
      <c r="D4564" t="s">
        <v>67</v>
      </c>
      <c r="E4564" t="s">
        <v>70</v>
      </c>
      <c r="F4564">
        <v>2</v>
      </c>
      <c r="G4564" s="2">
        <v>100.07</v>
      </c>
      <c r="H4564">
        <v>7.0000000000000007E-2</v>
      </c>
      <c r="I4564" t="s">
        <v>64</v>
      </c>
      <c r="J4564">
        <v>1</v>
      </c>
      <c r="K4564">
        <v>1.4</v>
      </c>
      <c r="L4564" s="2">
        <v>186.13</v>
      </c>
      <c r="M4564">
        <v>2034</v>
      </c>
      <c r="N4564">
        <v>6</v>
      </c>
      <c r="O4564" t="s">
        <v>229</v>
      </c>
      <c r="P4564" s="2">
        <v>200.14</v>
      </c>
      <c r="Q4564" s="2">
        <v>14.01</v>
      </c>
      <c r="R4564" t="s">
        <v>69</v>
      </c>
      <c r="S4564">
        <v>1</v>
      </c>
      <c r="T4564">
        <v>0</v>
      </c>
      <c r="U4564">
        <f>IF(AND(OR(Dashboard!$D$4="Semua",D4564=Dashboard!$D$4),OR(Dashboard!$H$4="Semua",E4564=Dashboard!$H$4)),1,0)</f>
        <v>1</v>
      </c>
      <c r="V4564">
        <f>IF(U4564=1,IF(COUNTIFS($C$2:C4564,C4564,$U$2:U4564,1)=1,1,0),0)</f>
        <v>0</v>
      </c>
    </row>
    <row r="4565" spans="1:22" x14ac:dyDescent="0.35">
      <c r="A4565">
        <v>14564</v>
      </c>
      <c r="B4565" s="1">
        <v>49125</v>
      </c>
      <c r="C4565">
        <v>1934</v>
      </c>
      <c r="D4565" t="s">
        <v>80</v>
      </c>
      <c r="E4565" t="s">
        <v>78</v>
      </c>
      <c r="F4565">
        <v>4</v>
      </c>
      <c r="G4565" s="2">
        <v>360.83</v>
      </c>
      <c r="H4565">
        <v>0.24</v>
      </c>
      <c r="I4565" t="s">
        <v>68</v>
      </c>
      <c r="J4565">
        <v>1</v>
      </c>
      <c r="K4565">
        <v>4.8</v>
      </c>
      <c r="L4565" s="2">
        <v>1096.92</v>
      </c>
      <c r="M4565">
        <v>2034</v>
      </c>
      <c r="N4565">
        <v>6</v>
      </c>
      <c r="O4565" t="s">
        <v>229</v>
      </c>
      <c r="P4565" s="2">
        <v>1443.32</v>
      </c>
      <c r="Q4565" s="2">
        <v>346.4</v>
      </c>
      <c r="R4565" t="s">
        <v>77</v>
      </c>
      <c r="S4565">
        <v>1</v>
      </c>
      <c r="T4565">
        <v>0</v>
      </c>
      <c r="U4565">
        <f>IF(AND(OR(Dashboard!$D$4="Semua",D4565=Dashboard!$D$4),OR(Dashboard!$H$4="Semua",E4565=Dashboard!$H$4)),1,0)</f>
        <v>1</v>
      </c>
      <c r="V4565">
        <f>IF(U4565=1,IF(COUNTIFS($C$2:C4565,C4565,$U$2:U4565,1)=1,1,0),0)</f>
        <v>0</v>
      </c>
    </row>
    <row r="4566" spans="1:22" x14ac:dyDescent="0.35">
      <c r="A4566">
        <v>14565</v>
      </c>
      <c r="B4566" s="1">
        <v>49126</v>
      </c>
      <c r="C4566">
        <v>1769</v>
      </c>
      <c r="D4566" t="s">
        <v>73</v>
      </c>
      <c r="E4566" t="s">
        <v>63</v>
      </c>
      <c r="F4566">
        <v>3</v>
      </c>
      <c r="G4566" s="2">
        <v>536.96</v>
      </c>
      <c r="H4566">
        <v>0.14000000000000001</v>
      </c>
      <c r="I4566" t="s">
        <v>68</v>
      </c>
      <c r="J4566">
        <v>9</v>
      </c>
      <c r="K4566">
        <v>4.8</v>
      </c>
      <c r="L4566" s="2">
        <v>1385.36</v>
      </c>
      <c r="M4566">
        <v>2034</v>
      </c>
      <c r="N4566">
        <v>7</v>
      </c>
      <c r="O4566" t="s">
        <v>230</v>
      </c>
      <c r="P4566" s="2">
        <v>1610.88</v>
      </c>
      <c r="Q4566" s="2">
        <v>225.52</v>
      </c>
      <c r="R4566" t="s">
        <v>79</v>
      </c>
      <c r="S4566">
        <v>1</v>
      </c>
      <c r="T4566">
        <v>0</v>
      </c>
      <c r="U4566">
        <f>IF(AND(OR(Dashboard!$D$4="Semua",D4566=Dashboard!$D$4),OR(Dashboard!$H$4="Semua",E4566=Dashboard!$H$4)),1,0)</f>
        <v>1</v>
      </c>
      <c r="V4566">
        <f>IF(U4566=1,IF(COUNTIFS($C$2:C4566,C4566,$U$2:U4566,1)=1,1,0),0)</f>
        <v>0</v>
      </c>
    </row>
    <row r="4567" spans="1:22" x14ac:dyDescent="0.35">
      <c r="A4567">
        <v>14566</v>
      </c>
      <c r="B4567" s="1">
        <v>49127</v>
      </c>
      <c r="C4567">
        <v>1958</v>
      </c>
      <c r="D4567" t="s">
        <v>67</v>
      </c>
      <c r="E4567" t="s">
        <v>63</v>
      </c>
      <c r="F4567">
        <v>6</v>
      </c>
      <c r="G4567" s="2">
        <v>424.52</v>
      </c>
      <c r="H4567">
        <v>0.28000000000000003</v>
      </c>
      <c r="I4567" t="s">
        <v>68</v>
      </c>
      <c r="J4567">
        <v>5</v>
      </c>
      <c r="K4567">
        <v>4.9000000000000004</v>
      </c>
      <c r="L4567" s="2">
        <v>1833.93</v>
      </c>
      <c r="M4567">
        <v>2034</v>
      </c>
      <c r="N4567">
        <v>7</v>
      </c>
      <c r="O4567" t="s">
        <v>230</v>
      </c>
      <c r="P4567" s="2">
        <v>2547.12</v>
      </c>
      <c r="Q4567" s="2">
        <v>713.19</v>
      </c>
      <c r="R4567" t="s">
        <v>66</v>
      </c>
      <c r="S4567">
        <v>1</v>
      </c>
      <c r="T4567">
        <v>0</v>
      </c>
      <c r="U4567">
        <f>IF(AND(OR(Dashboard!$D$4="Semua",D4567=Dashboard!$D$4),OR(Dashboard!$H$4="Semua",E4567=Dashboard!$H$4)),1,0)</f>
        <v>1</v>
      </c>
      <c r="V4567">
        <f>IF(U4567=1,IF(COUNTIFS($C$2:C4567,C4567,$U$2:U4567,1)=1,1,0),0)</f>
        <v>0</v>
      </c>
    </row>
    <row r="4568" spans="1:22" x14ac:dyDescent="0.35">
      <c r="A4568">
        <v>14567</v>
      </c>
      <c r="B4568" s="1">
        <v>49128</v>
      </c>
      <c r="C4568">
        <v>1796</v>
      </c>
      <c r="D4568" t="s">
        <v>80</v>
      </c>
      <c r="E4568" t="s">
        <v>78</v>
      </c>
      <c r="F4568">
        <v>6</v>
      </c>
      <c r="G4568" s="2">
        <v>101.98</v>
      </c>
      <c r="H4568">
        <v>0.01</v>
      </c>
      <c r="I4568" t="s">
        <v>71</v>
      </c>
      <c r="J4568">
        <v>1</v>
      </c>
      <c r="K4568">
        <v>2.2000000000000002</v>
      </c>
      <c r="L4568" s="2">
        <v>605.76</v>
      </c>
      <c r="M4568">
        <v>2034</v>
      </c>
      <c r="N4568">
        <v>7</v>
      </c>
      <c r="O4568" t="s">
        <v>230</v>
      </c>
      <c r="P4568" s="2">
        <v>611.88</v>
      </c>
      <c r="Q4568" s="2">
        <v>6.12</v>
      </c>
      <c r="R4568" t="s">
        <v>75</v>
      </c>
      <c r="S4568">
        <v>1</v>
      </c>
      <c r="T4568">
        <v>0</v>
      </c>
      <c r="U4568">
        <f>IF(AND(OR(Dashboard!$D$4="Semua",D4568=Dashboard!$D$4),OR(Dashboard!$H$4="Semua",E4568=Dashboard!$H$4)),1,0)</f>
        <v>1</v>
      </c>
      <c r="V4568">
        <f>IF(U4568=1,IF(COUNTIFS($C$2:C4568,C4568,$U$2:U4568,1)=1,1,0),0)</f>
        <v>0</v>
      </c>
    </row>
    <row r="4569" spans="1:22" x14ac:dyDescent="0.35">
      <c r="A4569">
        <v>14568</v>
      </c>
      <c r="B4569" s="1">
        <v>49129</v>
      </c>
      <c r="C4569">
        <v>1104</v>
      </c>
      <c r="D4569" t="s">
        <v>62</v>
      </c>
      <c r="E4569" t="s">
        <v>74</v>
      </c>
      <c r="F4569">
        <v>5</v>
      </c>
      <c r="G4569" s="2">
        <v>522.67999999999995</v>
      </c>
      <c r="H4569">
        <v>0.23</v>
      </c>
      <c r="I4569" t="s">
        <v>71</v>
      </c>
      <c r="J4569">
        <v>11</v>
      </c>
      <c r="K4569">
        <v>1.8</v>
      </c>
      <c r="L4569" s="2">
        <v>2012.32</v>
      </c>
      <c r="M4569">
        <v>2034</v>
      </c>
      <c r="N4569">
        <v>7</v>
      </c>
      <c r="O4569" t="s">
        <v>230</v>
      </c>
      <c r="P4569" s="2">
        <v>2613.4</v>
      </c>
      <c r="Q4569" s="2">
        <v>601.08000000000004</v>
      </c>
      <c r="R4569" t="s">
        <v>77</v>
      </c>
      <c r="S4569">
        <v>1</v>
      </c>
      <c r="T4569">
        <v>0</v>
      </c>
      <c r="U4569">
        <f>IF(AND(OR(Dashboard!$D$4="Semua",D4569=Dashboard!$D$4),OR(Dashboard!$H$4="Semua",E4569=Dashboard!$H$4)),1,0)</f>
        <v>1</v>
      </c>
      <c r="V4569">
        <f>IF(U4569=1,IF(COUNTIFS($C$2:C4569,C4569,$U$2:U4569,1)=1,1,0),0)</f>
        <v>0</v>
      </c>
    </row>
    <row r="4570" spans="1:22" x14ac:dyDescent="0.35">
      <c r="A4570">
        <v>14569</v>
      </c>
      <c r="B4570" s="1">
        <v>49130</v>
      </c>
      <c r="C4570">
        <v>1201</v>
      </c>
      <c r="D4570" t="s">
        <v>67</v>
      </c>
      <c r="E4570" t="s">
        <v>70</v>
      </c>
      <c r="F4570">
        <v>5</v>
      </c>
      <c r="G4570" s="2">
        <v>191.4</v>
      </c>
      <c r="H4570">
        <v>0.23</v>
      </c>
      <c r="I4570" t="s">
        <v>71</v>
      </c>
      <c r="J4570">
        <v>3</v>
      </c>
      <c r="K4570">
        <v>4.9000000000000004</v>
      </c>
      <c r="L4570" s="2">
        <v>736.89</v>
      </c>
      <c r="M4570">
        <v>2034</v>
      </c>
      <c r="N4570">
        <v>7</v>
      </c>
      <c r="O4570" t="s">
        <v>230</v>
      </c>
      <c r="P4570" s="2">
        <v>957</v>
      </c>
      <c r="Q4570" s="2">
        <v>220.11</v>
      </c>
      <c r="R4570" t="s">
        <v>77</v>
      </c>
      <c r="S4570">
        <v>1</v>
      </c>
      <c r="T4570">
        <v>0</v>
      </c>
      <c r="U4570">
        <f>IF(AND(OR(Dashboard!$D$4="Semua",D4570=Dashboard!$D$4),OR(Dashboard!$H$4="Semua",E4570=Dashboard!$H$4)),1,0)</f>
        <v>1</v>
      </c>
      <c r="V4570">
        <f>IF(U4570=1,IF(COUNTIFS($C$2:C4570,C4570,$U$2:U4570,1)=1,1,0),0)</f>
        <v>0</v>
      </c>
    </row>
    <row r="4571" spans="1:22" x14ac:dyDescent="0.35">
      <c r="A4571">
        <v>14570</v>
      </c>
      <c r="B4571" s="1">
        <v>49131</v>
      </c>
      <c r="C4571">
        <v>1449</v>
      </c>
      <c r="D4571" t="s">
        <v>80</v>
      </c>
      <c r="E4571" t="s">
        <v>63</v>
      </c>
      <c r="F4571">
        <v>2</v>
      </c>
      <c r="G4571" s="2">
        <v>280.63</v>
      </c>
      <c r="H4571">
        <v>0.33</v>
      </c>
      <c r="I4571" t="s">
        <v>71</v>
      </c>
      <c r="J4571">
        <v>7</v>
      </c>
      <c r="K4571">
        <v>5</v>
      </c>
      <c r="L4571" s="2">
        <v>376.04</v>
      </c>
      <c r="M4571">
        <v>2034</v>
      </c>
      <c r="N4571">
        <v>7</v>
      </c>
      <c r="O4571" t="s">
        <v>230</v>
      </c>
      <c r="P4571" s="2">
        <v>561.26</v>
      </c>
      <c r="Q4571" s="2">
        <v>185.22</v>
      </c>
      <c r="R4571" t="s">
        <v>72</v>
      </c>
      <c r="S4571">
        <v>1</v>
      </c>
      <c r="T4571">
        <v>0</v>
      </c>
      <c r="U4571">
        <f>IF(AND(OR(Dashboard!$D$4="Semua",D4571=Dashboard!$D$4),OR(Dashboard!$H$4="Semua",E4571=Dashboard!$H$4)),1,0)</f>
        <v>1</v>
      </c>
      <c r="V4571">
        <f>IF(U4571=1,IF(COUNTIFS($C$2:C4571,C4571,$U$2:U4571,1)=1,1,0),0)</f>
        <v>0</v>
      </c>
    </row>
    <row r="4572" spans="1:22" x14ac:dyDescent="0.35">
      <c r="A4572">
        <v>14571</v>
      </c>
      <c r="B4572" s="1">
        <v>49132</v>
      </c>
      <c r="C4572">
        <v>1818</v>
      </c>
      <c r="D4572" t="s">
        <v>73</v>
      </c>
      <c r="E4572" t="s">
        <v>70</v>
      </c>
      <c r="F4572">
        <v>6</v>
      </c>
      <c r="G4572" s="2">
        <v>322.79000000000002</v>
      </c>
      <c r="H4572">
        <v>0.25</v>
      </c>
      <c r="I4572" t="s">
        <v>71</v>
      </c>
      <c r="J4572">
        <v>2</v>
      </c>
      <c r="K4572">
        <v>1.3</v>
      </c>
      <c r="L4572" s="2">
        <v>1452.56</v>
      </c>
      <c r="M4572">
        <v>2034</v>
      </c>
      <c r="N4572">
        <v>7</v>
      </c>
      <c r="O4572" t="s">
        <v>230</v>
      </c>
      <c r="P4572" s="2">
        <v>1936.74</v>
      </c>
      <c r="Q4572" s="2">
        <v>484.18</v>
      </c>
      <c r="R4572" t="s">
        <v>77</v>
      </c>
      <c r="S4572">
        <v>1</v>
      </c>
      <c r="T4572">
        <v>0</v>
      </c>
      <c r="U4572">
        <f>IF(AND(OR(Dashboard!$D$4="Semua",D4572=Dashboard!$D$4),OR(Dashboard!$H$4="Semua",E4572=Dashboard!$H$4)),1,0)</f>
        <v>1</v>
      </c>
      <c r="V4572">
        <f>IF(U4572=1,IF(COUNTIFS($C$2:C4572,C4572,$U$2:U4572,1)=1,1,0),0)</f>
        <v>0</v>
      </c>
    </row>
    <row r="4573" spans="1:22" x14ac:dyDescent="0.35">
      <c r="A4573">
        <v>14572</v>
      </c>
      <c r="B4573" s="1">
        <v>49133</v>
      </c>
      <c r="C4573">
        <v>1842</v>
      </c>
      <c r="D4573" t="s">
        <v>62</v>
      </c>
      <c r="E4573" t="s">
        <v>70</v>
      </c>
      <c r="F4573">
        <v>5</v>
      </c>
      <c r="G4573" s="2">
        <v>512.54999999999995</v>
      </c>
      <c r="H4573">
        <v>0.28000000000000003</v>
      </c>
      <c r="I4573" t="s">
        <v>71</v>
      </c>
      <c r="J4573">
        <v>4</v>
      </c>
      <c r="K4573">
        <v>4</v>
      </c>
      <c r="L4573" s="2">
        <v>1845.18</v>
      </c>
      <c r="M4573">
        <v>2034</v>
      </c>
      <c r="N4573">
        <v>7</v>
      </c>
      <c r="O4573" t="s">
        <v>230</v>
      </c>
      <c r="P4573" s="2">
        <v>2562.75</v>
      </c>
      <c r="Q4573" s="2">
        <v>717.57</v>
      </c>
      <c r="R4573" t="s">
        <v>66</v>
      </c>
      <c r="S4573">
        <v>1</v>
      </c>
      <c r="T4573">
        <v>0</v>
      </c>
      <c r="U4573">
        <f>IF(AND(OR(Dashboard!$D$4="Semua",D4573=Dashboard!$D$4),OR(Dashboard!$H$4="Semua",E4573=Dashboard!$H$4)),1,0)</f>
        <v>1</v>
      </c>
      <c r="V4573">
        <f>IF(U4573=1,IF(COUNTIFS($C$2:C4573,C4573,$U$2:U4573,1)=1,1,0),0)</f>
        <v>0</v>
      </c>
    </row>
    <row r="4574" spans="1:22" x14ac:dyDescent="0.35">
      <c r="A4574">
        <v>14573</v>
      </c>
      <c r="B4574" s="1">
        <v>49134</v>
      </c>
      <c r="C4574">
        <v>1972</v>
      </c>
      <c r="D4574" t="s">
        <v>73</v>
      </c>
      <c r="E4574" t="s">
        <v>63</v>
      </c>
      <c r="F4574">
        <v>3</v>
      </c>
      <c r="G4574" s="2">
        <v>559.99</v>
      </c>
      <c r="H4574">
        <v>0.32</v>
      </c>
      <c r="I4574" t="s">
        <v>71</v>
      </c>
      <c r="J4574">
        <v>2</v>
      </c>
      <c r="K4574">
        <v>2.2000000000000002</v>
      </c>
      <c r="L4574" s="2">
        <v>1142.3800000000001</v>
      </c>
      <c r="M4574">
        <v>2034</v>
      </c>
      <c r="N4574">
        <v>7</v>
      </c>
      <c r="O4574" t="s">
        <v>230</v>
      </c>
      <c r="P4574" s="2">
        <v>1679.97</v>
      </c>
      <c r="Q4574" s="2">
        <v>537.59</v>
      </c>
      <c r="R4574" t="s">
        <v>72</v>
      </c>
      <c r="S4574">
        <v>1</v>
      </c>
      <c r="T4574">
        <v>0</v>
      </c>
      <c r="U4574">
        <f>IF(AND(OR(Dashboard!$D$4="Semua",D4574=Dashboard!$D$4),OR(Dashboard!$H$4="Semua",E4574=Dashboard!$H$4)),1,0)</f>
        <v>1</v>
      </c>
      <c r="V4574">
        <f>IF(U4574=1,IF(COUNTIFS($C$2:C4574,C4574,$U$2:U4574,1)=1,1,0),0)</f>
        <v>0</v>
      </c>
    </row>
    <row r="4575" spans="1:22" x14ac:dyDescent="0.35">
      <c r="A4575">
        <v>14574</v>
      </c>
      <c r="B4575" s="1">
        <v>49135</v>
      </c>
      <c r="C4575">
        <v>1265</v>
      </c>
      <c r="D4575" t="s">
        <v>80</v>
      </c>
      <c r="E4575" t="s">
        <v>78</v>
      </c>
      <c r="F4575">
        <v>7</v>
      </c>
      <c r="G4575" s="2">
        <v>558.85</v>
      </c>
      <c r="H4575">
        <v>0.24</v>
      </c>
      <c r="I4575" t="s">
        <v>71</v>
      </c>
      <c r="J4575">
        <v>9</v>
      </c>
      <c r="K4575">
        <v>4.5999999999999996</v>
      </c>
      <c r="L4575" s="2">
        <v>2973.08</v>
      </c>
      <c r="M4575">
        <v>2034</v>
      </c>
      <c r="N4575">
        <v>7</v>
      </c>
      <c r="O4575" t="s">
        <v>230</v>
      </c>
      <c r="P4575" s="2">
        <v>3911.95</v>
      </c>
      <c r="Q4575" s="2">
        <v>938.87</v>
      </c>
      <c r="R4575" t="s">
        <v>77</v>
      </c>
      <c r="S4575">
        <v>1</v>
      </c>
      <c r="T4575">
        <v>0</v>
      </c>
      <c r="U4575">
        <f>IF(AND(OR(Dashboard!$D$4="Semua",D4575=Dashboard!$D$4),OR(Dashboard!$H$4="Semua",E4575=Dashboard!$H$4)),1,0)</f>
        <v>1</v>
      </c>
      <c r="V4575">
        <f>IF(U4575=1,IF(COUNTIFS($C$2:C4575,C4575,$U$2:U4575,1)=1,1,0),0)</f>
        <v>0</v>
      </c>
    </row>
    <row r="4576" spans="1:22" x14ac:dyDescent="0.35">
      <c r="A4576">
        <v>14575</v>
      </c>
      <c r="B4576" s="1">
        <v>49136</v>
      </c>
      <c r="C4576">
        <v>1909</v>
      </c>
      <c r="D4576" t="s">
        <v>73</v>
      </c>
      <c r="E4576" t="s">
        <v>63</v>
      </c>
      <c r="F4576">
        <v>7</v>
      </c>
      <c r="G4576" s="2">
        <v>19.649999999999999</v>
      </c>
      <c r="H4576">
        <v>0.1</v>
      </c>
      <c r="I4576" t="s">
        <v>64</v>
      </c>
      <c r="J4576">
        <v>9</v>
      </c>
      <c r="K4576">
        <v>1.4</v>
      </c>
      <c r="L4576" s="2">
        <v>123.79</v>
      </c>
      <c r="M4576">
        <v>2034</v>
      </c>
      <c r="N4576">
        <v>7</v>
      </c>
      <c r="O4576" t="s">
        <v>230</v>
      </c>
      <c r="P4576" s="2">
        <v>137.55000000000001</v>
      </c>
      <c r="Q4576" s="2">
        <v>13.76</v>
      </c>
      <c r="R4576" t="s">
        <v>69</v>
      </c>
      <c r="S4576">
        <v>1</v>
      </c>
      <c r="T4576">
        <v>0</v>
      </c>
      <c r="U4576">
        <f>IF(AND(OR(Dashboard!$D$4="Semua",D4576=Dashboard!$D$4),OR(Dashboard!$H$4="Semua",E4576=Dashboard!$H$4)),1,0)</f>
        <v>1</v>
      </c>
      <c r="V4576">
        <f>IF(U4576=1,IF(COUNTIFS($C$2:C4576,C4576,$U$2:U4576,1)=1,1,0),0)</f>
        <v>0</v>
      </c>
    </row>
    <row r="4577" spans="1:22" x14ac:dyDescent="0.35">
      <c r="A4577">
        <v>14576</v>
      </c>
      <c r="B4577" s="1">
        <v>49137</v>
      </c>
      <c r="C4577">
        <v>1209</v>
      </c>
      <c r="D4577" t="s">
        <v>62</v>
      </c>
      <c r="E4577" t="s">
        <v>63</v>
      </c>
      <c r="F4577">
        <v>7</v>
      </c>
      <c r="G4577" s="2">
        <v>554.29999999999995</v>
      </c>
      <c r="H4577">
        <v>0.3</v>
      </c>
      <c r="I4577" t="s">
        <v>68</v>
      </c>
      <c r="J4577">
        <v>7</v>
      </c>
      <c r="K4577">
        <v>4.5999999999999996</v>
      </c>
      <c r="L4577" s="2">
        <v>2716.07</v>
      </c>
      <c r="M4577">
        <v>2034</v>
      </c>
      <c r="N4577">
        <v>7</v>
      </c>
      <c r="O4577" t="s">
        <v>230</v>
      </c>
      <c r="P4577" s="2">
        <v>3880.1</v>
      </c>
      <c r="Q4577" s="2">
        <v>1164.03</v>
      </c>
      <c r="R4577" t="s">
        <v>66</v>
      </c>
      <c r="S4577">
        <v>1</v>
      </c>
      <c r="T4577">
        <v>0</v>
      </c>
      <c r="U4577">
        <f>IF(AND(OR(Dashboard!$D$4="Semua",D4577=Dashboard!$D$4),OR(Dashboard!$H$4="Semua",E4577=Dashboard!$H$4)),1,0)</f>
        <v>1</v>
      </c>
      <c r="V4577">
        <f>IF(U4577=1,IF(COUNTIFS($C$2:C4577,C4577,$U$2:U4577,1)=1,1,0),0)</f>
        <v>0</v>
      </c>
    </row>
    <row r="4578" spans="1:22" x14ac:dyDescent="0.35">
      <c r="A4578">
        <v>14577</v>
      </c>
      <c r="B4578" s="1">
        <v>49138</v>
      </c>
      <c r="C4578">
        <v>1562</v>
      </c>
      <c r="D4578" t="s">
        <v>80</v>
      </c>
      <c r="E4578" t="s">
        <v>74</v>
      </c>
      <c r="F4578">
        <v>5</v>
      </c>
      <c r="G4578" s="2">
        <v>46.82</v>
      </c>
      <c r="H4578">
        <v>0.26</v>
      </c>
      <c r="I4578" t="s">
        <v>68</v>
      </c>
      <c r="J4578">
        <v>7</v>
      </c>
      <c r="K4578">
        <v>1</v>
      </c>
      <c r="L4578" s="2">
        <v>173.23</v>
      </c>
      <c r="M4578">
        <v>2034</v>
      </c>
      <c r="N4578">
        <v>7</v>
      </c>
      <c r="O4578" t="s">
        <v>230</v>
      </c>
      <c r="P4578" s="2">
        <v>234.1</v>
      </c>
      <c r="Q4578" s="2">
        <v>60.87</v>
      </c>
      <c r="R4578" t="s">
        <v>66</v>
      </c>
      <c r="S4578">
        <v>1</v>
      </c>
      <c r="T4578">
        <v>0</v>
      </c>
      <c r="U4578">
        <f>IF(AND(OR(Dashboard!$D$4="Semua",D4578=Dashboard!$D$4),OR(Dashboard!$H$4="Semua",E4578=Dashboard!$H$4)),1,0)</f>
        <v>1</v>
      </c>
      <c r="V4578">
        <f>IF(U4578=1,IF(COUNTIFS($C$2:C4578,C4578,$U$2:U4578,1)=1,1,0),0)</f>
        <v>0</v>
      </c>
    </row>
    <row r="4579" spans="1:22" x14ac:dyDescent="0.35">
      <c r="A4579">
        <v>14578</v>
      </c>
      <c r="B4579" s="1">
        <v>49139</v>
      </c>
      <c r="C4579">
        <v>1117</v>
      </c>
      <c r="D4579" t="s">
        <v>80</v>
      </c>
      <c r="E4579" t="s">
        <v>70</v>
      </c>
      <c r="F4579">
        <v>6</v>
      </c>
      <c r="G4579" s="2">
        <v>170.48</v>
      </c>
      <c r="H4579">
        <v>0.15</v>
      </c>
      <c r="I4579" t="s">
        <v>68</v>
      </c>
      <c r="J4579">
        <v>2</v>
      </c>
      <c r="K4579">
        <v>3.1</v>
      </c>
      <c r="L4579" s="2">
        <v>869.45</v>
      </c>
      <c r="M4579">
        <v>2034</v>
      </c>
      <c r="N4579">
        <v>7</v>
      </c>
      <c r="O4579" t="s">
        <v>230</v>
      </c>
      <c r="P4579" s="2">
        <v>1022.88</v>
      </c>
      <c r="Q4579" s="2">
        <v>153.43</v>
      </c>
      <c r="R4579" t="s">
        <v>79</v>
      </c>
      <c r="S4579">
        <v>1</v>
      </c>
      <c r="T4579">
        <v>0</v>
      </c>
      <c r="U4579">
        <f>IF(AND(OR(Dashboard!$D$4="Semua",D4579=Dashboard!$D$4),OR(Dashboard!$H$4="Semua",E4579=Dashboard!$H$4)),1,0)</f>
        <v>1</v>
      </c>
      <c r="V4579">
        <f>IF(U4579=1,IF(COUNTIFS($C$2:C4579,C4579,$U$2:U4579,1)=1,1,0),0)</f>
        <v>0</v>
      </c>
    </row>
    <row r="4580" spans="1:22" x14ac:dyDescent="0.35">
      <c r="A4580">
        <v>14579</v>
      </c>
      <c r="B4580" s="1">
        <v>49140</v>
      </c>
      <c r="C4580">
        <v>1712</v>
      </c>
      <c r="D4580" t="s">
        <v>73</v>
      </c>
      <c r="E4580" t="s">
        <v>78</v>
      </c>
      <c r="F4580">
        <v>7</v>
      </c>
      <c r="G4580" s="2">
        <v>316.27</v>
      </c>
      <c r="H4580">
        <v>0.25</v>
      </c>
      <c r="I4580" t="s">
        <v>64</v>
      </c>
      <c r="J4580">
        <v>10</v>
      </c>
      <c r="K4580">
        <v>2.2999999999999998</v>
      </c>
      <c r="L4580" s="2">
        <v>1660.42</v>
      </c>
      <c r="M4580">
        <v>2034</v>
      </c>
      <c r="N4580">
        <v>7</v>
      </c>
      <c r="O4580" t="s">
        <v>230</v>
      </c>
      <c r="P4580" s="2">
        <v>2213.89</v>
      </c>
      <c r="Q4580" s="2">
        <v>553.47</v>
      </c>
      <c r="R4580" t="s">
        <v>77</v>
      </c>
      <c r="S4580">
        <v>1</v>
      </c>
      <c r="T4580">
        <v>0</v>
      </c>
      <c r="U4580">
        <f>IF(AND(OR(Dashboard!$D$4="Semua",D4580=Dashboard!$D$4),OR(Dashboard!$H$4="Semua",E4580=Dashboard!$H$4)),1,0)</f>
        <v>1</v>
      </c>
      <c r="V4580">
        <f>IF(U4580=1,IF(COUNTIFS($C$2:C4580,C4580,$U$2:U4580,1)=1,1,0),0)</f>
        <v>0</v>
      </c>
    </row>
    <row r="4581" spans="1:22" x14ac:dyDescent="0.35">
      <c r="A4581">
        <v>14580</v>
      </c>
      <c r="B4581" s="1">
        <v>49141</v>
      </c>
      <c r="C4581">
        <v>1376</v>
      </c>
      <c r="D4581" t="s">
        <v>67</v>
      </c>
      <c r="E4581" t="s">
        <v>70</v>
      </c>
      <c r="F4581">
        <v>1</v>
      </c>
      <c r="G4581" s="2">
        <v>295.76</v>
      </c>
      <c r="H4581">
        <v>0.3</v>
      </c>
      <c r="I4581" t="s">
        <v>68</v>
      </c>
      <c r="J4581">
        <v>8</v>
      </c>
      <c r="K4581">
        <v>2.7</v>
      </c>
      <c r="L4581" s="2">
        <v>207.03</v>
      </c>
      <c r="M4581">
        <v>2034</v>
      </c>
      <c r="N4581">
        <v>7</v>
      </c>
      <c r="O4581" t="s">
        <v>230</v>
      </c>
      <c r="P4581" s="2">
        <v>295.76</v>
      </c>
      <c r="Q4581" s="2">
        <v>88.73</v>
      </c>
      <c r="R4581" t="s">
        <v>66</v>
      </c>
      <c r="S4581">
        <v>1</v>
      </c>
      <c r="T4581">
        <v>0</v>
      </c>
      <c r="U4581">
        <f>IF(AND(OR(Dashboard!$D$4="Semua",D4581=Dashboard!$D$4),OR(Dashboard!$H$4="Semua",E4581=Dashboard!$H$4)),1,0)</f>
        <v>1</v>
      </c>
      <c r="V4581">
        <f>IF(U4581=1,IF(COUNTIFS($C$2:C4581,C4581,$U$2:U4581,1)=1,1,0),0)</f>
        <v>0</v>
      </c>
    </row>
    <row r="4582" spans="1:22" x14ac:dyDescent="0.35">
      <c r="A4582">
        <v>14581</v>
      </c>
      <c r="B4582" s="1">
        <v>49142</v>
      </c>
      <c r="C4582">
        <v>1550</v>
      </c>
      <c r="D4582" t="s">
        <v>67</v>
      </c>
      <c r="E4582" t="s">
        <v>63</v>
      </c>
      <c r="F4582">
        <v>4</v>
      </c>
      <c r="G4582" s="2">
        <v>368.76</v>
      </c>
      <c r="H4582">
        <v>0.34</v>
      </c>
      <c r="I4582" t="s">
        <v>68</v>
      </c>
      <c r="J4582">
        <v>1</v>
      </c>
      <c r="K4582">
        <v>2.7</v>
      </c>
      <c r="L4582" s="2">
        <v>973.53</v>
      </c>
      <c r="M4582">
        <v>2034</v>
      </c>
      <c r="N4582">
        <v>7</v>
      </c>
      <c r="O4582" t="s">
        <v>230</v>
      </c>
      <c r="P4582" s="2">
        <v>1475.04</v>
      </c>
      <c r="Q4582" s="2">
        <v>501.51</v>
      </c>
      <c r="R4582" t="s">
        <v>72</v>
      </c>
      <c r="S4582">
        <v>1</v>
      </c>
      <c r="T4582">
        <v>0</v>
      </c>
      <c r="U4582">
        <f>IF(AND(OR(Dashboard!$D$4="Semua",D4582=Dashboard!$D$4),OR(Dashboard!$H$4="Semua",E4582=Dashboard!$H$4)),1,0)</f>
        <v>1</v>
      </c>
      <c r="V4582">
        <f>IF(U4582=1,IF(COUNTIFS($C$2:C4582,C4582,$U$2:U4582,1)=1,1,0),0)</f>
        <v>0</v>
      </c>
    </row>
    <row r="4583" spans="1:22" x14ac:dyDescent="0.35">
      <c r="A4583">
        <v>14582</v>
      </c>
      <c r="B4583" s="1">
        <v>49143</v>
      </c>
      <c r="C4583">
        <v>1539</v>
      </c>
      <c r="D4583" t="s">
        <v>80</v>
      </c>
      <c r="E4583" t="s">
        <v>78</v>
      </c>
      <c r="F4583">
        <v>6</v>
      </c>
      <c r="G4583" s="2">
        <v>295.48</v>
      </c>
      <c r="H4583">
        <v>0.33</v>
      </c>
      <c r="I4583" t="s">
        <v>64</v>
      </c>
      <c r="J4583">
        <v>8</v>
      </c>
      <c r="K4583">
        <v>3.6</v>
      </c>
      <c r="L4583" s="2">
        <v>1187.83</v>
      </c>
      <c r="M4583">
        <v>2034</v>
      </c>
      <c r="N4583">
        <v>7</v>
      </c>
      <c r="O4583" t="s">
        <v>230</v>
      </c>
      <c r="P4583" s="2">
        <v>1772.88</v>
      </c>
      <c r="Q4583" s="2">
        <v>585.04999999999995</v>
      </c>
      <c r="R4583" t="s">
        <v>72</v>
      </c>
      <c r="S4583">
        <v>1</v>
      </c>
      <c r="T4583">
        <v>0</v>
      </c>
      <c r="U4583">
        <f>IF(AND(OR(Dashboard!$D$4="Semua",D4583=Dashboard!$D$4),OR(Dashboard!$H$4="Semua",E4583=Dashboard!$H$4)),1,0)</f>
        <v>1</v>
      </c>
      <c r="V4583">
        <f>IF(U4583=1,IF(COUNTIFS($C$2:C4583,C4583,$U$2:U4583,1)=1,1,0),0)</f>
        <v>0</v>
      </c>
    </row>
    <row r="4584" spans="1:22" x14ac:dyDescent="0.35">
      <c r="A4584">
        <v>14583</v>
      </c>
      <c r="B4584" s="1">
        <v>49144</v>
      </c>
      <c r="C4584">
        <v>1770</v>
      </c>
      <c r="D4584" t="s">
        <v>73</v>
      </c>
      <c r="E4584" t="s">
        <v>78</v>
      </c>
      <c r="F4584">
        <v>3</v>
      </c>
      <c r="G4584" s="2">
        <v>561.61</v>
      </c>
      <c r="H4584">
        <v>0.11</v>
      </c>
      <c r="I4584" t="s">
        <v>64</v>
      </c>
      <c r="J4584">
        <v>5</v>
      </c>
      <c r="K4584">
        <v>1.1000000000000001</v>
      </c>
      <c r="L4584" s="2">
        <v>1499.5</v>
      </c>
      <c r="M4584">
        <v>2034</v>
      </c>
      <c r="N4584">
        <v>7</v>
      </c>
      <c r="O4584" t="s">
        <v>230</v>
      </c>
      <c r="P4584" s="2">
        <v>1684.83</v>
      </c>
      <c r="Q4584" s="2">
        <v>185.33</v>
      </c>
      <c r="R4584" t="s">
        <v>79</v>
      </c>
      <c r="S4584">
        <v>1</v>
      </c>
      <c r="T4584">
        <v>0</v>
      </c>
      <c r="U4584">
        <f>IF(AND(OR(Dashboard!$D$4="Semua",D4584=Dashboard!$D$4),OR(Dashboard!$H$4="Semua",E4584=Dashboard!$H$4)),1,0)</f>
        <v>1</v>
      </c>
      <c r="V4584">
        <f>IF(U4584=1,IF(COUNTIFS($C$2:C4584,C4584,$U$2:U4584,1)=1,1,0),0)</f>
        <v>0</v>
      </c>
    </row>
    <row r="4585" spans="1:22" x14ac:dyDescent="0.35">
      <c r="A4585">
        <v>14584</v>
      </c>
      <c r="B4585" s="1">
        <v>49145</v>
      </c>
      <c r="C4585">
        <v>1083</v>
      </c>
      <c r="D4585" t="s">
        <v>62</v>
      </c>
      <c r="E4585" t="s">
        <v>78</v>
      </c>
      <c r="F4585">
        <v>6</v>
      </c>
      <c r="G4585" s="2">
        <v>155.72</v>
      </c>
      <c r="H4585">
        <v>0.15</v>
      </c>
      <c r="I4585" t="s">
        <v>64</v>
      </c>
      <c r="J4585">
        <v>4</v>
      </c>
      <c r="K4585">
        <v>3.8</v>
      </c>
      <c r="L4585" s="2">
        <v>794.17</v>
      </c>
      <c r="M4585">
        <v>2034</v>
      </c>
      <c r="N4585">
        <v>7</v>
      </c>
      <c r="O4585" t="s">
        <v>230</v>
      </c>
      <c r="P4585" s="2">
        <v>934.32</v>
      </c>
      <c r="Q4585" s="2">
        <v>140.15</v>
      </c>
      <c r="R4585" t="s">
        <v>79</v>
      </c>
      <c r="S4585">
        <v>1</v>
      </c>
      <c r="T4585">
        <v>0</v>
      </c>
      <c r="U4585">
        <f>IF(AND(OR(Dashboard!$D$4="Semua",D4585=Dashboard!$D$4),OR(Dashboard!$H$4="Semua",E4585=Dashboard!$H$4)),1,0)</f>
        <v>1</v>
      </c>
      <c r="V4585">
        <f>IF(U4585=1,IF(COUNTIFS($C$2:C4585,C4585,$U$2:U4585,1)=1,1,0),0)</f>
        <v>0</v>
      </c>
    </row>
    <row r="4586" spans="1:22" x14ac:dyDescent="0.35">
      <c r="A4586">
        <v>14585</v>
      </c>
      <c r="B4586" s="1">
        <v>49146</v>
      </c>
      <c r="C4586">
        <v>1453</v>
      </c>
      <c r="D4586" t="s">
        <v>62</v>
      </c>
      <c r="E4586" t="s">
        <v>78</v>
      </c>
      <c r="F4586">
        <v>3</v>
      </c>
      <c r="G4586" s="2">
        <v>175.3</v>
      </c>
      <c r="H4586">
        <v>0.04</v>
      </c>
      <c r="I4586" t="s">
        <v>68</v>
      </c>
      <c r="J4586">
        <v>10</v>
      </c>
      <c r="K4586">
        <v>1.1000000000000001</v>
      </c>
      <c r="L4586" s="2">
        <v>504.86</v>
      </c>
      <c r="M4586">
        <v>2034</v>
      </c>
      <c r="N4586">
        <v>7</v>
      </c>
      <c r="O4586" t="s">
        <v>230</v>
      </c>
      <c r="P4586" s="2">
        <v>525.9</v>
      </c>
      <c r="Q4586" s="2">
        <v>21.04</v>
      </c>
      <c r="R4586" t="s">
        <v>75</v>
      </c>
      <c r="S4586">
        <v>1</v>
      </c>
      <c r="T4586">
        <v>0</v>
      </c>
      <c r="U4586">
        <f>IF(AND(OR(Dashboard!$D$4="Semua",D4586=Dashboard!$D$4),OR(Dashboard!$H$4="Semua",E4586=Dashboard!$H$4)),1,0)</f>
        <v>1</v>
      </c>
      <c r="V4586">
        <f>IF(U4586=1,IF(COUNTIFS($C$2:C4586,C4586,$U$2:U4586,1)=1,1,0),0)</f>
        <v>0</v>
      </c>
    </row>
    <row r="4587" spans="1:22" x14ac:dyDescent="0.35">
      <c r="A4587">
        <v>14586</v>
      </c>
      <c r="B4587" s="1">
        <v>49147</v>
      </c>
      <c r="C4587">
        <v>1666</v>
      </c>
      <c r="D4587" t="s">
        <v>73</v>
      </c>
      <c r="E4587" t="s">
        <v>74</v>
      </c>
      <c r="F4587">
        <v>6</v>
      </c>
      <c r="G4587" s="2">
        <v>553.63</v>
      </c>
      <c r="H4587">
        <v>0.09</v>
      </c>
      <c r="I4587" t="s">
        <v>64</v>
      </c>
      <c r="J4587">
        <v>2</v>
      </c>
      <c r="K4587">
        <v>1.7</v>
      </c>
      <c r="L4587" s="2">
        <v>3022.82</v>
      </c>
      <c r="M4587">
        <v>2034</v>
      </c>
      <c r="N4587">
        <v>7</v>
      </c>
      <c r="O4587" t="s">
        <v>230</v>
      </c>
      <c r="P4587" s="2">
        <v>3321.78</v>
      </c>
      <c r="Q4587" s="2">
        <v>298.95999999999998</v>
      </c>
      <c r="R4587" t="s">
        <v>69</v>
      </c>
      <c r="S4587">
        <v>1</v>
      </c>
      <c r="T4587">
        <v>0</v>
      </c>
      <c r="U4587">
        <f>IF(AND(OR(Dashboard!$D$4="Semua",D4587=Dashboard!$D$4),OR(Dashboard!$H$4="Semua",E4587=Dashboard!$H$4)),1,0)</f>
        <v>1</v>
      </c>
      <c r="V4587">
        <f>IF(U4587=1,IF(COUNTIFS($C$2:C4587,C4587,$U$2:U4587,1)=1,1,0),0)</f>
        <v>0</v>
      </c>
    </row>
    <row r="4588" spans="1:22" x14ac:dyDescent="0.35">
      <c r="A4588">
        <v>14587</v>
      </c>
      <c r="B4588" s="1">
        <v>49148</v>
      </c>
      <c r="C4588">
        <v>1628</v>
      </c>
      <c r="D4588" t="s">
        <v>80</v>
      </c>
      <c r="E4588" t="s">
        <v>78</v>
      </c>
      <c r="F4588">
        <v>7</v>
      </c>
      <c r="G4588" s="2">
        <v>59.89</v>
      </c>
      <c r="H4588">
        <v>0.31</v>
      </c>
      <c r="I4588" t="s">
        <v>68</v>
      </c>
      <c r="J4588">
        <v>3</v>
      </c>
      <c r="K4588">
        <v>3.4</v>
      </c>
      <c r="L4588" s="2">
        <v>289.27</v>
      </c>
      <c r="M4588">
        <v>2034</v>
      </c>
      <c r="N4588">
        <v>7</v>
      </c>
      <c r="O4588" t="s">
        <v>230</v>
      </c>
      <c r="P4588" s="2">
        <v>419.23</v>
      </c>
      <c r="Q4588" s="2">
        <v>129.96</v>
      </c>
      <c r="R4588" t="s">
        <v>72</v>
      </c>
      <c r="S4588">
        <v>1</v>
      </c>
      <c r="T4588">
        <v>0</v>
      </c>
      <c r="U4588">
        <f>IF(AND(OR(Dashboard!$D$4="Semua",D4588=Dashboard!$D$4),OR(Dashboard!$H$4="Semua",E4588=Dashboard!$H$4)),1,0)</f>
        <v>1</v>
      </c>
      <c r="V4588">
        <f>IF(U4588=1,IF(COUNTIFS($C$2:C4588,C4588,$U$2:U4588,1)=1,1,0),0)</f>
        <v>0</v>
      </c>
    </row>
    <row r="4589" spans="1:22" x14ac:dyDescent="0.35">
      <c r="A4589">
        <v>14588</v>
      </c>
      <c r="B4589" s="1">
        <v>49149</v>
      </c>
      <c r="C4589">
        <v>1513</v>
      </c>
      <c r="D4589" t="s">
        <v>67</v>
      </c>
      <c r="E4589" t="s">
        <v>63</v>
      </c>
      <c r="F4589">
        <v>4</v>
      </c>
      <c r="G4589" s="2">
        <v>371.59</v>
      </c>
      <c r="H4589">
        <v>0.13</v>
      </c>
      <c r="I4589" t="s">
        <v>68</v>
      </c>
      <c r="J4589">
        <v>10</v>
      </c>
      <c r="K4589">
        <v>1.3</v>
      </c>
      <c r="L4589" s="2">
        <v>1293.1300000000001</v>
      </c>
      <c r="M4589">
        <v>2034</v>
      </c>
      <c r="N4589">
        <v>7</v>
      </c>
      <c r="O4589" t="s">
        <v>230</v>
      </c>
      <c r="P4589" s="2">
        <v>1486.36</v>
      </c>
      <c r="Q4589" s="2">
        <v>193.23</v>
      </c>
      <c r="R4589" t="s">
        <v>79</v>
      </c>
      <c r="S4589">
        <v>1</v>
      </c>
      <c r="T4589">
        <v>0</v>
      </c>
      <c r="U4589">
        <f>IF(AND(OR(Dashboard!$D$4="Semua",D4589=Dashboard!$D$4),OR(Dashboard!$H$4="Semua",E4589=Dashboard!$H$4)),1,0)</f>
        <v>1</v>
      </c>
      <c r="V4589">
        <f>IF(U4589=1,IF(COUNTIFS($C$2:C4589,C4589,$U$2:U4589,1)=1,1,0),0)</f>
        <v>0</v>
      </c>
    </row>
    <row r="4590" spans="1:22" x14ac:dyDescent="0.35">
      <c r="A4590">
        <v>14589</v>
      </c>
      <c r="B4590" s="1">
        <v>49150</v>
      </c>
      <c r="C4590">
        <v>1604</v>
      </c>
      <c r="D4590" t="s">
        <v>67</v>
      </c>
      <c r="E4590" t="s">
        <v>74</v>
      </c>
      <c r="F4590">
        <v>4</v>
      </c>
      <c r="G4590" s="2">
        <v>413.82</v>
      </c>
      <c r="H4590">
        <v>0.22</v>
      </c>
      <c r="I4590" t="s">
        <v>68</v>
      </c>
      <c r="J4590">
        <v>2</v>
      </c>
      <c r="K4590">
        <v>5</v>
      </c>
      <c r="L4590" s="2">
        <v>1291.1199999999999</v>
      </c>
      <c r="M4590">
        <v>2034</v>
      </c>
      <c r="N4590">
        <v>7</v>
      </c>
      <c r="O4590" t="s">
        <v>230</v>
      </c>
      <c r="P4590" s="2">
        <v>1655.28</v>
      </c>
      <c r="Q4590" s="2">
        <v>364.16</v>
      </c>
      <c r="R4590" t="s">
        <v>77</v>
      </c>
      <c r="S4590">
        <v>1</v>
      </c>
      <c r="T4590">
        <v>0</v>
      </c>
      <c r="U4590">
        <f>IF(AND(OR(Dashboard!$D$4="Semua",D4590=Dashboard!$D$4),OR(Dashboard!$H$4="Semua",E4590=Dashboard!$H$4)),1,0)</f>
        <v>1</v>
      </c>
      <c r="V4590">
        <f>IF(U4590=1,IF(COUNTIFS($C$2:C4590,C4590,$U$2:U4590,1)=1,1,0),0)</f>
        <v>0</v>
      </c>
    </row>
    <row r="4591" spans="1:22" x14ac:dyDescent="0.35">
      <c r="A4591">
        <v>14590</v>
      </c>
      <c r="B4591" s="1">
        <v>49151</v>
      </c>
      <c r="C4591">
        <v>1677</v>
      </c>
      <c r="D4591" t="s">
        <v>73</v>
      </c>
      <c r="E4591" t="s">
        <v>63</v>
      </c>
      <c r="F4591">
        <v>3</v>
      </c>
      <c r="G4591" s="2">
        <v>310.74</v>
      </c>
      <c r="H4591">
        <v>0.23</v>
      </c>
      <c r="I4591" t="s">
        <v>71</v>
      </c>
      <c r="J4591">
        <v>11</v>
      </c>
      <c r="K4591">
        <v>4.0999999999999996</v>
      </c>
      <c r="L4591" s="2">
        <v>717.81</v>
      </c>
      <c r="M4591">
        <v>2034</v>
      </c>
      <c r="N4591">
        <v>7</v>
      </c>
      <c r="O4591" t="s">
        <v>230</v>
      </c>
      <c r="P4591" s="2">
        <v>932.22</v>
      </c>
      <c r="Q4591" s="2">
        <v>214.41</v>
      </c>
      <c r="R4591" t="s">
        <v>77</v>
      </c>
      <c r="S4591">
        <v>1</v>
      </c>
      <c r="T4591">
        <v>0</v>
      </c>
      <c r="U4591">
        <f>IF(AND(OR(Dashboard!$D$4="Semua",D4591=Dashboard!$D$4),OR(Dashboard!$H$4="Semua",E4591=Dashboard!$H$4)),1,0)</f>
        <v>1</v>
      </c>
      <c r="V4591">
        <f>IF(U4591=1,IF(COUNTIFS($C$2:C4591,C4591,$U$2:U4591,1)=1,1,0),0)</f>
        <v>0</v>
      </c>
    </row>
    <row r="4592" spans="1:22" x14ac:dyDescent="0.35">
      <c r="A4592">
        <v>14591</v>
      </c>
      <c r="B4592" s="1">
        <v>49152</v>
      </c>
      <c r="C4592">
        <v>1386</v>
      </c>
      <c r="D4592" t="s">
        <v>67</v>
      </c>
      <c r="E4592" t="s">
        <v>63</v>
      </c>
      <c r="F4592">
        <v>6</v>
      </c>
      <c r="G4592" s="2">
        <v>421.13</v>
      </c>
      <c r="H4592">
        <v>0.27</v>
      </c>
      <c r="I4592" t="s">
        <v>68</v>
      </c>
      <c r="J4592">
        <v>4</v>
      </c>
      <c r="K4592">
        <v>3.8</v>
      </c>
      <c r="L4592" s="2">
        <v>1844.55</v>
      </c>
      <c r="M4592">
        <v>2034</v>
      </c>
      <c r="N4592">
        <v>7</v>
      </c>
      <c r="O4592" t="s">
        <v>230</v>
      </c>
      <c r="P4592" s="2">
        <v>2526.7800000000002</v>
      </c>
      <c r="Q4592" s="2">
        <v>682.23</v>
      </c>
      <c r="R4592" t="s">
        <v>66</v>
      </c>
      <c r="S4592">
        <v>1</v>
      </c>
      <c r="T4592">
        <v>0</v>
      </c>
      <c r="U4592">
        <f>IF(AND(OR(Dashboard!$D$4="Semua",D4592=Dashboard!$D$4),OR(Dashboard!$H$4="Semua",E4592=Dashboard!$H$4)),1,0)</f>
        <v>1</v>
      </c>
      <c r="V4592">
        <f>IF(U4592=1,IF(COUNTIFS($C$2:C4592,C4592,$U$2:U4592,1)=1,1,0),0)</f>
        <v>0</v>
      </c>
    </row>
    <row r="4593" spans="1:22" x14ac:dyDescent="0.35">
      <c r="A4593">
        <v>14592</v>
      </c>
      <c r="B4593" s="1">
        <v>49153</v>
      </c>
      <c r="C4593">
        <v>1911</v>
      </c>
      <c r="D4593" t="s">
        <v>80</v>
      </c>
      <c r="E4593" t="s">
        <v>70</v>
      </c>
      <c r="F4593">
        <v>4</v>
      </c>
      <c r="G4593" s="2">
        <v>116.06</v>
      </c>
      <c r="H4593">
        <v>0.06</v>
      </c>
      <c r="I4593" t="s">
        <v>71</v>
      </c>
      <c r="J4593">
        <v>3</v>
      </c>
      <c r="K4593">
        <v>2.1</v>
      </c>
      <c r="L4593" s="2">
        <v>436.39</v>
      </c>
      <c r="M4593">
        <v>2034</v>
      </c>
      <c r="N4593">
        <v>7</v>
      </c>
      <c r="O4593" t="s">
        <v>230</v>
      </c>
      <c r="P4593" s="2">
        <v>464.24</v>
      </c>
      <c r="Q4593" s="2">
        <v>27.85</v>
      </c>
      <c r="R4593" t="s">
        <v>69</v>
      </c>
      <c r="S4593">
        <v>1</v>
      </c>
      <c r="T4593">
        <v>0</v>
      </c>
      <c r="U4593">
        <f>IF(AND(OR(Dashboard!$D$4="Semua",D4593=Dashboard!$D$4),OR(Dashboard!$H$4="Semua",E4593=Dashboard!$H$4)),1,0)</f>
        <v>1</v>
      </c>
      <c r="V4593">
        <f>IF(U4593=1,IF(COUNTIFS($C$2:C4593,C4593,$U$2:U4593,1)=1,1,0),0)</f>
        <v>0</v>
      </c>
    </row>
    <row r="4594" spans="1:22" x14ac:dyDescent="0.35">
      <c r="A4594">
        <v>14593</v>
      </c>
      <c r="B4594" s="1">
        <v>49154</v>
      </c>
      <c r="C4594">
        <v>1349</v>
      </c>
      <c r="D4594" t="s">
        <v>67</v>
      </c>
      <c r="E4594" t="s">
        <v>78</v>
      </c>
      <c r="F4594">
        <v>2</v>
      </c>
      <c r="G4594" s="2">
        <v>513.79</v>
      </c>
      <c r="H4594">
        <v>0.11</v>
      </c>
      <c r="I4594" t="s">
        <v>64</v>
      </c>
      <c r="J4594">
        <v>5</v>
      </c>
      <c r="K4594">
        <v>1.2</v>
      </c>
      <c r="L4594" s="2">
        <v>914.55</v>
      </c>
      <c r="M4594">
        <v>2034</v>
      </c>
      <c r="N4594">
        <v>7</v>
      </c>
      <c r="O4594" t="s">
        <v>230</v>
      </c>
      <c r="P4594" s="2">
        <v>1027.58</v>
      </c>
      <c r="Q4594" s="2">
        <v>113.03</v>
      </c>
      <c r="R4594" t="s">
        <v>79</v>
      </c>
      <c r="S4594">
        <v>1</v>
      </c>
      <c r="T4594">
        <v>0</v>
      </c>
      <c r="U4594">
        <f>IF(AND(OR(Dashboard!$D$4="Semua",D4594=Dashboard!$D$4),OR(Dashboard!$H$4="Semua",E4594=Dashboard!$H$4)),1,0)</f>
        <v>1</v>
      </c>
      <c r="V4594">
        <f>IF(U4594=1,IF(COUNTIFS($C$2:C4594,C4594,$U$2:U4594,1)=1,1,0),0)</f>
        <v>0</v>
      </c>
    </row>
    <row r="4595" spans="1:22" x14ac:dyDescent="0.35">
      <c r="A4595">
        <v>14594</v>
      </c>
      <c r="B4595" s="1">
        <v>49155</v>
      </c>
      <c r="C4595">
        <v>1295</v>
      </c>
      <c r="D4595" t="s">
        <v>67</v>
      </c>
      <c r="E4595" t="s">
        <v>78</v>
      </c>
      <c r="F4595">
        <v>6</v>
      </c>
      <c r="G4595" s="2">
        <v>96.92</v>
      </c>
      <c r="H4595">
        <v>0.16</v>
      </c>
      <c r="I4595" t="s">
        <v>68</v>
      </c>
      <c r="J4595">
        <v>7</v>
      </c>
      <c r="K4595">
        <v>4.9000000000000004</v>
      </c>
      <c r="L4595" s="2">
        <v>488.48</v>
      </c>
      <c r="M4595">
        <v>2034</v>
      </c>
      <c r="N4595">
        <v>7</v>
      </c>
      <c r="O4595" t="s">
        <v>230</v>
      </c>
      <c r="P4595" s="2">
        <v>581.52</v>
      </c>
      <c r="Q4595" s="2">
        <v>93.04</v>
      </c>
      <c r="R4595" t="s">
        <v>76</v>
      </c>
      <c r="S4595">
        <v>1</v>
      </c>
      <c r="T4595">
        <v>0</v>
      </c>
      <c r="U4595">
        <f>IF(AND(OR(Dashboard!$D$4="Semua",D4595=Dashboard!$D$4),OR(Dashboard!$H$4="Semua",E4595=Dashboard!$H$4)),1,0)</f>
        <v>1</v>
      </c>
      <c r="V4595">
        <f>IF(U4595=1,IF(COUNTIFS($C$2:C4595,C4595,$U$2:U4595,1)=1,1,0),0)</f>
        <v>0</v>
      </c>
    </row>
    <row r="4596" spans="1:22" x14ac:dyDescent="0.35">
      <c r="A4596">
        <v>14595</v>
      </c>
      <c r="B4596" s="1">
        <v>49156</v>
      </c>
      <c r="C4596">
        <v>1257</v>
      </c>
      <c r="D4596" t="s">
        <v>80</v>
      </c>
      <c r="E4596" t="s">
        <v>63</v>
      </c>
      <c r="F4596">
        <v>4</v>
      </c>
      <c r="G4596" s="2">
        <v>249.48</v>
      </c>
      <c r="H4596">
        <v>0.13</v>
      </c>
      <c r="I4596" t="s">
        <v>68</v>
      </c>
      <c r="J4596">
        <v>9</v>
      </c>
      <c r="K4596">
        <v>1.6</v>
      </c>
      <c r="L4596" s="2">
        <v>868.19</v>
      </c>
      <c r="M4596">
        <v>2034</v>
      </c>
      <c r="N4596">
        <v>7</v>
      </c>
      <c r="O4596" t="s">
        <v>230</v>
      </c>
      <c r="P4596" s="2">
        <v>997.92</v>
      </c>
      <c r="Q4596" s="2">
        <v>129.72999999999999</v>
      </c>
      <c r="R4596" t="s">
        <v>79</v>
      </c>
      <c r="S4596">
        <v>1</v>
      </c>
      <c r="T4596">
        <v>0</v>
      </c>
      <c r="U4596">
        <f>IF(AND(OR(Dashboard!$D$4="Semua",D4596=Dashboard!$D$4),OR(Dashboard!$H$4="Semua",E4596=Dashboard!$H$4)),1,0)</f>
        <v>1</v>
      </c>
      <c r="V4596">
        <f>IF(U4596=1,IF(COUNTIFS($C$2:C4596,C4596,$U$2:U4596,1)=1,1,0),0)</f>
        <v>0</v>
      </c>
    </row>
    <row r="4597" spans="1:22" x14ac:dyDescent="0.35">
      <c r="A4597">
        <v>14596</v>
      </c>
      <c r="B4597" s="1">
        <v>49157</v>
      </c>
      <c r="C4597">
        <v>1080</v>
      </c>
      <c r="D4597" t="s">
        <v>80</v>
      </c>
      <c r="E4597" t="s">
        <v>78</v>
      </c>
      <c r="F4597">
        <v>1</v>
      </c>
      <c r="G4597" s="2">
        <v>59.03</v>
      </c>
      <c r="H4597">
        <v>0.34</v>
      </c>
      <c r="I4597" t="s">
        <v>68</v>
      </c>
      <c r="J4597">
        <v>5</v>
      </c>
      <c r="K4597">
        <v>4.3</v>
      </c>
      <c r="L4597" s="2">
        <v>38.96</v>
      </c>
      <c r="M4597">
        <v>2034</v>
      </c>
      <c r="N4597">
        <v>8</v>
      </c>
      <c r="O4597" t="s">
        <v>231</v>
      </c>
      <c r="P4597" s="2">
        <v>59.03</v>
      </c>
      <c r="Q4597" s="2">
        <v>20.07</v>
      </c>
      <c r="R4597" t="s">
        <v>72</v>
      </c>
      <c r="S4597">
        <v>1</v>
      </c>
      <c r="T4597">
        <v>0</v>
      </c>
      <c r="U4597">
        <f>IF(AND(OR(Dashboard!$D$4="Semua",D4597=Dashboard!$D$4),OR(Dashboard!$H$4="Semua",E4597=Dashboard!$H$4)),1,0)</f>
        <v>1</v>
      </c>
      <c r="V4597">
        <f>IF(U4597=1,IF(COUNTIFS($C$2:C4597,C4597,$U$2:U4597,1)=1,1,0),0)</f>
        <v>0</v>
      </c>
    </row>
    <row r="4598" spans="1:22" x14ac:dyDescent="0.35">
      <c r="A4598">
        <v>14597</v>
      </c>
      <c r="B4598" s="1">
        <v>49158</v>
      </c>
      <c r="C4598">
        <v>1936</v>
      </c>
      <c r="D4598" t="s">
        <v>73</v>
      </c>
      <c r="E4598" t="s">
        <v>74</v>
      </c>
      <c r="F4598">
        <v>1</v>
      </c>
      <c r="G4598" s="2">
        <v>333.95</v>
      </c>
      <c r="H4598">
        <v>0.28999999999999998</v>
      </c>
      <c r="I4598" t="s">
        <v>64</v>
      </c>
      <c r="J4598">
        <v>8</v>
      </c>
      <c r="K4598">
        <v>1.8</v>
      </c>
      <c r="L4598" s="2">
        <v>237.1</v>
      </c>
      <c r="M4598">
        <v>2034</v>
      </c>
      <c r="N4598">
        <v>8</v>
      </c>
      <c r="O4598" t="s">
        <v>231</v>
      </c>
      <c r="P4598" s="2">
        <v>333.95</v>
      </c>
      <c r="Q4598" s="2">
        <v>96.85</v>
      </c>
      <c r="R4598" t="s">
        <v>66</v>
      </c>
      <c r="S4598">
        <v>1</v>
      </c>
      <c r="T4598">
        <v>0</v>
      </c>
      <c r="U4598">
        <f>IF(AND(OR(Dashboard!$D$4="Semua",D4598=Dashboard!$D$4),OR(Dashboard!$H$4="Semua",E4598=Dashboard!$H$4)),1,0)</f>
        <v>1</v>
      </c>
      <c r="V4598">
        <f>IF(U4598=1,IF(COUNTIFS($C$2:C4598,C4598,$U$2:U4598,1)=1,1,0),0)</f>
        <v>0</v>
      </c>
    </row>
    <row r="4599" spans="1:22" x14ac:dyDescent="0.35">
      <c r="A4599">
        <v>14598</v>
      </c>
      <c r="B4599" s="1">
        <v>49159</v>
      </c>
      <c r="C4599">
        <v>1267</v>
      </c>
      <c r="D4599" t="s">
        <v>62</v>
      </c>
      <c r="E4599" t="s">
        <v>70</v>
      </c>
      <c r="F4599">
        <v>2</v>
      </c>
      <c r="G4599" s="2">
        <v>406.8</v>
      </c>
      <c r="H4599">
        <v>0.17</v>
      </c>
      <c r="I4599" t="s">
        <v>68</v>
      </c>
      <c r="J4599">
        <v>2</v>
      </c>
      <c r="K4599">
        <v>2.5</v>
      </c>
      <c r="L4599" s="2">
        <v>675.29</v>
      </c>
      <c r="M4599">
        <v>2034</v>
      </c>
      <c r="N4599">
        <v>8</v>
      </c>
      <c r="O4599" t="s">
        <v>231</v>
      </c>
      <c r="P4599" s="2">
        <v>813.6</v>
      </c>
      <c r="Q4599" s="2">
        <v>138.31</v>
      </c>
      <c r="R4599" t="s">
        <v>76</v>
      </c>
      <c r="S4599">
        <v>1</v>
      </c>
      <c r="T4599">
        <v>0</v>
      </c>
      <c r="U4599">
        <f>IF(AND(OR(Dashboard!$D$4="Semua",D4599=Dashboard!$D$4),OR(Dashboard!$H$4="Semua",E4599=Dashboard!$H$4)),1,0)</f>
        <v>1</v>
      </c>
      <c r="V4599">
        <f>IF(U4599=1,IF(COUNTIFS($C$2:C4599,C4599,$U$2:U4599,1)=1,1,0),0)</f>
        <v>0</v>
      </c>
    </row>
    <row r="4600" spans="1:22" x14ac:dyDescent="0.35">
      <c r="A4600">
        <v>14599</v>
      </c>
      <c r="B4600" s="1">
        <v>49160</v>
      </c>
      <c r="C4600">
        <v>1418</v>
      </c>
      <c r="D4600" t="s">
        <v>67</v>
      </c>
      <c r="E4600" t="s">
        <v>78</v>
      </c>
      <c r="F4600">
        <v>4</v>
      </c>
      <c r="G4600" s="2">
        <v>565.61</v>
      </c>
      <c r="H4600">
        <v>0.31</v>
      </c>
      <c r="I4600" t="s">
        <v>68</v>
      </c>
      <c r="J4600">
        <v>6</v>
      </c>
      <c r="K4600">
        <v>3.8</v>
      </c>
      <c r="L4600" s="2">
        <v>1561.08</v>
      </c>
      <c r="M4600">
        <v>2034</v>
      </c>
      <c r="N4600">
        <v>8</v>
      </c>
      <c r="O4600" t="s">
        <v>231</v>
      </c>
      <c r="P4600" s="2">
        <v>2262.44</v>
      </c>
      <c r="Q4600" s="2">
        <v>701.36</v>
      </c>
      <c r="R4600" t="s">
        <v>72</v>
      </c>
      <c r="S4600">
        <v>1</v>
      </c>
      <c r="T4600">
        <v>0</v>
      </c>
      <c r="U4600">
        <f>IF(AND(OR(Dashboard!$D$4="Semua",D4600=Dashboard!$D$4),OR(Dashboard!$H$4="Semua",E4600=Dashboard!$H$4)),1,0)</f>
        <v>1</v>
      </c>
      <c r="V4600">
        <f>IF(U4600=1,IF(COUNTIFS($C$2:C4600,C4600,$U$2:U4600,1)=1,1,0),0)</f>
        <v>0</v>
      </c>
    </row>
    <row r="4601" spans="1:22" x14ac:dyDescent="0.35">
      <c r="A4601">
        <v>14600</v>
      </c>
      <c r="B4601" s="1">
        <v>49161</v>
      </c>
      <c r="C4601">
        <v>1234</v>
      </c>
      <c r="D4601" t="s">
        <v>73</v>
      </c>
      <c r="E4601" t="s">
        <v>78</v>
      </c>
      <c r="F4601">
        <v>1</v>
      </c>
      <c r="G4601" s="2">
        <v>447.51</v>
      </c>
      <c r="H4601">
        <v>0.12</v>
      </c>
      <c r="I4601" t="s">
        <v>68</v>
      </c>
      <c r="J4601">
        <v>8</v>
      </c>
      <c r="K4601">
        <v>4.8</v>
      </c>
      <c r="L4601" s="2">
        <v>393.81</v>
      </c>
      <c r="M4601">
        <v>2034</v>
      </c>
      <c r="N4601">
        <v>8</v>
      </c>
      <c r="O4601" t="s">
        <v>231</v>
      </c>
      <c r="P4601" s="2">
        <v>447.51</v>
      </c>
      <c r="Q4601" s="2">
        <v>53.7</v>
      </c>
      <c r="R4601" t="s">
        <v>79</v>
      </c>
      <c r="S4601">
        <v>1</v>
      </c>
      <c r="T4601">
        <v>0</v>
      </c>
      <c r="U4601">
        <f>IF(AND(OR(Dashboard!$D$4="Semua",D4601=Dashboard!$D$4),OR(Dashboard!$H$4="Semua",E4601=Dashboard!$H$4)),1,0)</f>
        <v>1</v>
      </c>
      <c r="V4601">
        <f>IF(U4601=1,IF(COUNTIFS($C$2:C4601,C4601,$U$2:U4601,1)=1,1,0),0)</f>
        <v>0</v>
      </c>
    </row>
    <row r="4602" spans="1:22" x14ac:dyDescent="0.35">
      <c r="A4602">
        <v>14601</v>
      </c>
      <c r="B4602" s="1">
        <v>49162</v>
      </c>
      <c r="C4602">
        <v>1832</v>
      </c>
      <c r="D4602" t="s">
        <v>73</v>
      </c>
      <c r="E4602" t="s">
        <v>74</v>
      </c>
      <c r="F4602">
        <v>7</v>
      </c>
      <c r="G4602" s="2">
        <v>331.55</v>
      </c>
      <c r="H4602">
        <v>0.28000000000000003</v>
      </c>
      <c r="I4602" t="s">
        <v>64</v>
      </c>
      <c r="J4602">
        <v>9</v>
      </c>
      <c r="K4602">
        <v>1.1000000000000001</v>
      </c>
      <c r="L4602" s="2">
        <v>1671.01</v>
      </c>
      <c r="M4602">
        <v>2034</v>
      </c>
      <c r="N4602">
        <v>8</v>
      </c>
      <c r="O4602" t="s">
        <v>231</v>
      </c>
      <c r="P4602" s="2">
        <v>2320.85</v>
      </c>
      <c r="Q4602" s="2">
        <v>649.84</v>
      </c>
      <c r="R4602" t="s">
        <v>66</v>
      </c>
      <c r="S4602">
        <v>1</v>
      </c>
      <c r="T4602">
        <v>0</v>
      </c>
      <c r="U4602">
        <f>IF(AND(OR(Dashboard!$D$4="Semua",D4602=Dashboard!$D$4),OR(Dashboard!$H$4="Semua",E4602=Dashboard!$H$4)),1,0)</f>
        <v>1</v>
      </c>
      <c r="V4602">
        <f>IF(U4602=1,IF(COUNTIFS($C$2:C4602,C4602,$U$2:U4602,1)=1,1,0),0)</f>
        <v>0</v>
      </c>
    </row>
    <row r="4603" spans="1:22" x14ac:dyDescent="0.35">
      <c r="A4603">
        <v>14602</v>
      </c>
      <c r="B4603" s="1">
        <v>49163</v>
      </c>
      <c r="C4603">
        <v>1310</v>
      </c>
      <c r="D4603" t="s">
        <v>67</v>
      </c>
      <c r="E4603" t="s">
        <v>70</v>
      </c>
      <c r="F4603">
        <v>6</v>
      </c>
      <c r="G4603" s="2">
        <v>560.58000000000004</v>
      </c>
      <c r="H4603">
        <v>0.08</v>
      </c>
      <c r="I4603" t="s">
        <v>68</v>
      </c>
      <c r="J4603">
        <v>11</v>
      </c>
      <c r="K4603">
        <v>2</v>
      </c>
      <c r="L4603" s="2">
        <v>3094.4</v>
      </c>
      <c r="M4603">
        <v>2034</v>
      </c>
      <c r="N4603">
        <v>8</v>
      </c>
      <c r="O4603" t="s">
        <v>231</v>
      </c>
      <c r="P4603" s="2">
        <v>3363.48</v>
      </c>
      <c r="Q4603" s="2">
        <v>269.08</v>
      </c>
      <c r="R4603" t="s">
        <v>69</v>
      </c>
      <c r="S4603">
        <v>1</v>
      </c>
      <c r="T4603">
        <v>0</v>
      </c>
      <c r="U4603">
        <f>IF(AND(OR(Dashboard!$D$4="Semua",D4603=Dashboard!$D$4),OR(Dashboard!$H$4="Semua",E4603=Dashboard!$H$4)),1,0)</f>
        <v>1</v>
      </c>
      <c r="V4603">
        <f>IF(U4603=1,IF(COUNTIFS($C$2:C4603,C4603,$U$2:U4603,1)=1,1,0),0)</f>
        <v>0</v>
      </c>
    </row>
    <row r="4604" spans="1:22" x14ac:dyDescent="0.35">
      <c r="A4604">
        <v>14603</v>
      </c>
      <c r="B4604" s="1">
        <v>49164</v>
      </c>
      <c r="C4604">
        <v>1812</v>
      </c>
      <c r="D4604" t="s">
        <v>62</v>
      </c>
      <c r="E4604" t="s">
        <v>74</v>
      </c>
      <c r="F4604">
        <v>5</v>
      </c>
      <c r="G4604" s="2">
        <v>294.89</v>
      </c>
      <c r="H4604">
        <v>0.27</v>
      </c>
      <c r="I4604" t="s">
        <v>68</v>
      </c>
      <c r="J4604">
        <v>4</v>
      </c>
      <c r="K4604">
        <v>4.0999999999999996</v>
      </c>
      <c r="L4604" s="2">
        <v>1076.3499999999999</v>
      </c>
      <c r="M4604">
        <v>2034</v>
      </c>
      <c r="N4604">
        <v>8</v>
      </c>
      <c r="O4604" t="s">
        <v>231</v>
      </c>
      <c r="P4604" s="2">
        <v>1474.45</v>
      </c>
      <c r="Q4604" s="2">
        <v>398.1</v>
      </c>
      <c r="R4604" t="s">
        <v>66</v>
      </c>
      <c r="S4604">
        <v>1</v>
      </c>
      <c r="T4604">
        <v>0</v>
      </c>
      <c r="U4604">
        <f>IF(AND(OR(Dashboard!$D$4="Semua",D4604=Dashboard!$D$4),OR(Dashboard!$H$4="Semua",E4604=Dashboard!$H$4)),1,0)</f>
        <v>1</v>
      </c>
      <c r="V4604">
        <f>IF(U4604=1,IF(COUNTIFS($C$2:C4604,C4604,$U$2:U4604,1)=1,1,0),0)</f>
        <v>0</v>
      </c>
    </row>
    <row r="4605" spans="1:22" x14ac:dyDescent="0.35">
      <c r="A4605">
        <v>14604</v>
      </c>
      <c r="B4605" s="1">
        <v>49165</v>
      </c>
      <c r="C4605">
        <v>1974</v>
      </c>
      <c r="D4605" t="s">
        <v>67</v>
      </c>
      <c r="E4605" t="s">
        <v>63</v>
      </c>
      <c r="F4605">
        <v>4</v>
      </c>
      <c r="G4605" s="2">
        <v>343.31</v>
      </c>
      <c r="H4605">
        <v>0.16</v>
      </c>
      <c r="I4605" t="s">
        <v>68</v>
      </c>
      <c r="J4605">
        <v>4</v>
      </c>
      <c r="K4605">
        <v>1.7</v>
      </c>
      <c r="L4605" s="2">
        <v>1153.52</v>
      </c>
      <c r="M4605">
        <v>2034</v>
      </c>
      <c r="N4605">
        <v>8</v>
      </c>
      <c r="O4605" t="s">
        <v>231</v>
      </c>
      <c r="P4605" s="2">
        <v>1373.24</v>
      </c>
      <c r="Q4605" s="2">
        <v>219.72</v>
      </c>
      <c r="R4605" t="s">
        <v>76</v>
      </c>
      <c r="S4605">
        <v>1</v>
      </c>
      <c r="T4605">
        <v>0</v>
      </c>
      <c r="U4605">
        <f>IF(AND(OR(Dashboard!$D$4="Semua",D4605=Dashboard!$D$4),OR(Dashboard!$H$4="Semua",E4605=Dashboard!$H$4)),1,0)</f>
        <v>1</v>
      </c>
      <c r="V4605">
        <f>IF(U4605=1,IF(COUNTIFS($C$2:C4605,C4605,$U$2:U4605,1)=1,1,0),0)</f>
        <v>0</v>
      </c>
    </row>
    <row r="4606" spans="1:22" x14ac:dyDescent="0.35">
      <c r="A4606">
        <v>14605</v>
      </c>
      <c r="B4606" s="1">
        <v>49166</v>
      </c>
      <c r="C4606">
        <v>1985</v>
      </c>
      <c r="D4606" t="s">
        <v>80</v>
      </c>
      <c r="E4606" t="s">
        <v>63</v>
      </c>
      <c r="F4606">
        <v>2</v>
      </c>
      <c r="G4606" s="2">
        <v>363.72</v>
      </c>
      <c r="H4606">
        <v>0.04</v>
      </c>
      <c r="I4606" t="s">
        <v>64</v>
      </c>
      <c r="J4606">
        <v>7</v>
      </c>
      <c r="K4606">
        <v>1.4</v>
      </c>
      <c r="L4606" s="2">
        <v>698.34</v>
      </c>
      <c r="M4606">
        <v>2034</v>
      </c>
      <c r="N4606">
        <v>8</v>
      </c>
      <c r="O4606" t="s">
        <v>231</v>
      </c>
      <c r="P4606" s="2">
        <v>727.44</v>
      </c>
      <c r="Q4606" s="2">
        <v>29.1</v>
      </c>
      <c r="R4606" t="s">
        <v>75</v>
      </c>
      <c r="S4606">
        <v>1</v>
      </c>
      <c r="T4606">
        <v>0</v>
      </c>
      <c r="U4606">
        <f>IF(AND(OR(Dashboard!$D$4="Semua",D4606=Dashboard!$D$4),OR(Dashboard!$H$4="Semua",E4606=Dashboard!$H$4)),1,0)</f>
        <v>1</v>
      </c>
      <c r="V4606">
        <f>IF(U4606=1,IF(COUNTIFS($C$2:C4606,C4606,$U$2:U4606,1)=1,1,0),0)</f>
        <v>0</v>
      </c>
    </row>
    <row r="4607" spans="1:22" x14ac:dyDescent="0.35">
      <c r="A4607">
        <v>14606</v>
      </c>
      <c r="B4607" s="1">
        <v>49167</v>
      </c>
      <c r="C4607">
        <v>1356</v>
      </c>
      <c r="D4607" t="s">
        <v>73</v>
      </c>
      <c r="E4607" t="s">
        <v>78</v>
      </c>
      <c r="F4607">
        <v>4</v>
      </c>
      <c r="G4607" s="2">
        <v>254.84</v>
      </c>
      <c r="H4607">
        <v>0.1</v>
      </c>
      <c r="I4607" t="s">
        <v>68</v>
      </c>
      <c r="J4607">
        <v>4</v>
      </c>
      <c r="K4607">
        <v>1.2</v>
      </c>
      <c r="L4607" s="2">
        <v>917.42</v>
      </c>
      <c r="M4607">
        <v>2034</v>
      </c>
      <c r="N4607">
        <v>8</v>
      </c>
      <c r="O4607" t="s">
        <v>231</v>
      </c>
      <c r="P4607" s="2">
        <v>1019.36</v>
      </c>
      <c r="Q4607" s="2">
        <v>101.94</v>
      </c>
      <c r="R4607" t="s">
        <v>69</v>
      </c>
      <c r="S4607">
        <v>1</v>
      </c>
      <c r="T4607">
        <v>0</v>
      </c>
      <c r="U4607">
        <f>IF(AND(OR(Dashboard!$D$4="Semua",D4607=Dashboard!$D$4),OR(Dashboard!$H$4="Semua",E4607=Dashboard!$H$4)),1,0)</f>
        <v>1</v>
      </c>
      <c r="V4607">
        <f>IF(U4607=1,IF(COUNTIFS($C$2:C4607,C4607,$U$2:U4607,1)=1,1,0),0)</f>
        <v>0</v>
      </c>
    </row>
    <row r="4608" spans="1:22" x14ac:dyDescent="0.35">
      <c r="A4608">
        <v>14607</v>
      </c>
      <c r="B4608" s="1">
        <v>49168</v>
      </c>
      <c r="C4608">
        <v>1212</v>
      </c>
      <c r="D4608" t="s">
        <v>67</v>
      </c>
      <c r="E4608" t="s">
        <v>70</v>
      </c>
      <c r="F4608">
        <v>3</v>
      </c>
      <c r="G4608" s="2">
        <v>505.51</v>
      </c>
      <c r="H4608">
        <v>0.14000000000000001</v>
      </c>
      <c r="I4608" t="s">
        <v>71</v>
      </c>
      <c r="J4608">
        <v>5</v>
      </c>
      <c r="K4608">
        <v>3</v>
      </c>
      <c r="L4608" s="2">
        <v>1304.22</v>
      </c>
      <c r="M4608">
        <v>2034</v>
      </c>
      <c r="N4608">
        <v>8</v>
      </c>
      <c r="O4608" t="s">
        <v>231</v>
      </c>
      <c r="P4608" s="2">
        <v>1516.53</v>
      </c>
      <c r="Q4608" s="2">
        <v>212.31</v>
      </c>
      <c r="R4608" t="s">
        <v>79</v>
      </c>
      <c r="S4608">
        <v>1</v>
      </c>
      <c r="T4608">
        <v>0</v>
      </c>
      <c r="U4608">
        <f>IF(AND(OR(Dashboard!$D$4="Semua",D4608=Dashboard!$D$4),OR(Dashboard!$H$4="Semua",E4608=Dashboard!$H$4)),1,0)</f>
        <v>1</v>
      </c>
      <c r="V4608">
        <f>IF(U4608=1,IF(COUNTIFS($C$2:C4608,C4608,$U$2:U4608,1)=1,1,0),0)</f>
        <v>0</v>
      </c>
    </row>
    <row r="4609" spans="1:22" x14ac:dyDescent="0.35">
      <c r="A4609">
        <v>14608</v>
      </c>
      <c r="B4609" s="1">
        <v>49169</v>
      </c>
      <c r="C4609">
        <v>1573</v>
      </c>
      <c r="D4609" t="s">
        <v>62</v>
      </c>
      <c r="E4609" t="s">
        <v>63</v>
      </c>
      <c r="F4609">
        <v>3</v>
      </c>
      <c r="G4609" s="2">
        <v>123.33</v>
      </c>
      <c r="H4609">
        <v>0.26</v>
      </c>
      <c r="I4609" t="s">
        <v>68</v>
      </c>
      <c r="J4609">
        <v>2</v>
      </c>
      <c r="K4609">
        <v>4.0999999999999996</v>
      </c>
      <c r="L4609" s="2">
        <v>273.79000000000002</v>
      </c>
      <c r="M4609">
        <v>2034</v>
      </c>
      <c r="N4609">
        <v>8</v>
      </c>
      <c r="O4609" t="s">
        <v>231</v>
      </c>
      <c r="P4609" s="2">
        <v>369.99</v>
      </c>
      <c r="Q4609" s="2">
        <v>96.2</v>
      </c>
      <c r="R4609" t="s">
        <v>66</v>
      </c>
      <c r="S4609">
        <v>1</v>
      </c>
      <c r="T4609">
        <v>0</v>
      </c>
      <c r="U4609">
        <f>IF(AND(OR(Dashboard!$D$4="Semua",D4609=Dashboard!$D$4),OR(Dashboard!$H$4="Semua",E4609=Dashboard!$H$4)),1,0)</f>
        <v>1</v>
      </c>
      <c r="V4609">
        <f>IF(U4609=1,IF(COUNTIFS($C$2:C4609,C4609,$U$2:U4609,1)=1,1,0),0)</f>
        <v>0</v>
      </c>
    </row>
    <row r="4610" spans="1:22" x14ac:dyDescent="0.35">
      <c r="A4610">
        <v>14609</v>
      </c>
      <c r="B4610" s="1">
        <v>49170</v>
      </c>
      <c r="C4610">
        <v>1048</v>
      </c>
      <c r="D4610" t="s">
        <v>80</v>
      </c>
      <c r="E4610" t="s">
        <v>74</v>
      </c>
      <c r="F4610">
        <v>1</v>
      </c>
      <c r="G4610" s="2">
        <v>339.58</v>
      </c>
      <c r="H4610">
        <v>0.03</v>
      </c>
      <c r="I4610" t="s">
        <v>64</v>
      </c>
      <c r="J4610">
        <v>2</v>
      </c>
      <c r="K4610">
        <v>4.8</v>
      </c>
      <c r="L4610" s="2">
        <v>329.39</v>
      </c>
      <c r="M4610">
        <v>2034</v>
      </c>
      <c r="N4610">
        <v>8</v>
      </c>
      <c r="O4610" t="s">
        <v>231</v>
      </c>
      <c r="P4610" s="2">
        <v>339.58</v>
      </c>
      <c r="Q4610" s="2">
        <v>10.19</v>
      </c>
      <c r="R4610" t="s">
        <v>75</v>
      </c>
      <c r="S4610">
        <v>1</v>
      </c>
      <c r="T4610">
        <v>0</v>
      </c>
      <c r="U4610">
        <f>IF(AND(OR(Dashboard!$D$4="Semua",D4610=Dashboard!$D$4),OR(Dashboard!$H$4="Semua",E4610=Dashboard!$H$4)),1,0)</f>
        <v>1</v>
      </c>
      <c r="V4610">
        <f>IF(U4610=1,IF(COUNTIFS($C$2:C4610,C4610,$U$2:U4610,1)=1,1,0),0)</f>
        <v>0</v>
      </c>
    </row>
    <row r="4611" spans="1:22" x14ac:dyDescent="0.35">
      <c r="A4611">
        <v>14610</v>
      </c>
      <c r="B4611" s="1">
        <v>49171</v>
      </c>
      <c r="C4611">
        <v>1126</v>
      </c>
      <c r="D4611" t="s">
        <v>73</v>
      </c>
      <c r="E4611" t="s">
        <v>63</v>
      </c>
      <c r="F4611">
        <v>3</v>
      </c>
      <c r="G4611" s="2">
        <v>437.51</v>
      </c>
      <c r="H4611">
        <v>0.23</v>
      </c>
      <c r="I4611" t="s">
        <v>71</v>
      </c>
      <c r="J4611">
        <v>11</v>
      </c>
      <c r="K4611">
        <v>2.1</v>
      </c>
      <c r="L4611" s="2">
        <v>1010.65</v>
      </c>
      <c r="M4611">
        <v>2034</v>
      </c>
      <c r="N4611">
        <v>8</v>
      </c>
      <c r="O4611" t="s">
        <v>231</v>
      </c>
      <c r="P4611" s="2">
        <v>1312.53</v>
      </c>
      <c r="Q4611" s="2">
        <v>301.88</v>
      </c>
      <c r="R4611" t="s">
        <v>77</v>
      </c>
      <c r="S4611">
        <v>1</v>
      </c>
      <c r="T4611">
        <v>0</v>
      </c>
      <c r="U4611">
        <f>IF(AND(OR(Dashboard!$D$4="Semua",D4611=Dashboard!$D$4),OR(Dashboard!$H$4="Semua",E4611=Dashboard!$H$4)),1,0)</f>
        <v>1</v>
      </c>
      <c r="V4611">
        <f>IF(U4611=1,IF(COUNTIFS($C$2:C4611,C4611,$U$2:U4611,1)=1,1,0),0)</f>
        <v>0</v>
      </c>
    </row>
    <row r="4612" spans="1:22" x14ac:dyDescent="0.35">
      <c r="A4612">
        <v>14611</v>
      </c>
      <c r="B4612" s="1">
        <v>49172</v>
      </c>
      <c r="C4612">
        <v>1222</v>
      </c>
      <c r="D4612" t="s">
        <v>67</v>
      </c>
      <c r="E4612" t="s">
        <v>63</v>
      </c>
      <c r="F4612">
        <v>2</v>
      </c>
      <c r="G4612" s="2">
        <v>543.83000000000004</v>
      </c>
      <c r="H4612">
        <v>0.25</v>
      </c>
      <c r="I4612" t="s">
        <v>71</v>
      </c>
      <c r="J4612">
        <v>10</v>
      </c>
      <c r="K4612">
        <v>1.5</v>
      </c>
      <c r="L4612" s="2">
        <v>815.75</v>
      </c>
      <c r="M4612">
        <v>2034</v>
      </c>
      <c r="N4612">
        <v>8</v>
      </c>
      <c r="O4612" t="s">
        <v>231</v>
      </c>
      <c r="P4612" s="2">
        <v>1087.6600000000001</v>
      </c>
      <c r="Q4612" s="2">
        <v>271.91000000000003</v>
      </c>
      <c r="R4612" t="s">
        <v>77</v>
      </c>
      <c r="S4612">
        <v>1</v>
      </c>
      <c r="T4612">
        <v>0</v>
      </c>
      <c r="U4612">
        <f>IF(AND(OR(Dashboard!$D$4="Semua",D4612=Dashboard!$D$4),OR(Dashboard!$H$4="Semua",E4612=Dashboard!$H$4)),1,0)</f>
        <v>1</v>
      </c>
      <c r="V4612">
        <f>IF(U4612=1,IF(COUNTIFS($C$2:C4612,C4612,$U$2:U4612,1)=1,1,0),0)</f>
        <v>0</v>
      </c>
    </row>
    <row r="4613" spans="1:22" x14ac:dyDescent="0.35">
      <c r="A4613">
        <v>14612</v>
      </c>
      <c r="B4613" s="1">
        <v>49173</v>
      </c>
      <c r="C4613">
        <v>1920</v>
      </c>
      <c r="D4613" t="s">
        <v>73</v>
      </c>
      <c r="E4613" t="s">
        <v>74</v>
      </c>
      <c r="F4613">
        <v>1</v>
      </c>
      <c r="G4613" s="2">
        <v>532.09</v>
      </c>
      <c r="H4613">
        <v>0.23</v>
      </c>
      <c r="I4613" t="s">
        <v>68</v>
      </c>
      <c r="J4613">
        <v>5</v>
      </c>
      <c r="K4613">
        <v>2.6</v>
      </c>
      <c r="L4613" s="2">
        <v>409.71</v>
      </c>
      <c r="M4613">
        <v>2034</v>
      </c>
      <c r="N4613">
        <v>8</v>
      </c>
      <c r="O4613" t="s">
        <v>231</v>
      </c>
      <c r="P4613" s="2">
        <v>532.09</v>
      </c>
      <c r="Q4613" s="2">
        <v>122.38</v>
      </c>
      <c r="R4613" t="s">
        <v>77</v>
      </c>
      <c r="S4613">
        <v>1</v>
      </c>
      <c r="T4613">
        <v>0</v>
      </c>
      <c r="U4613">
        <f>IF(AND(OR(Dashboard!$D$4="Semua",D4613=Dashboard!$D$4),OR(Dashboard!$H$4="Semua",E4613=Dashboard!$H$4)),1,0)</f>
        <v>1</v>
      </c>
      <c r="V4613">
        <f>IF(U4613=1,IF(COUNTIFS($C$2:C4613,C4613,$U$2:U4613,1)=1,1,0),0)</f>
        <v>0</v>
      </c>
    </row>
    <row r="4614" spans="1:22" x14ac:dyDescent="0.35">
      <c r="A4614">
        <v>14613</v>
      </c>
      <c r="B4614" s="1">
        <v>49174</v>
      </c>
      <c r="C4614">
        <v>1278</v>
      </c>
      <c r="D4614" t="s">
        <v>67</v>
      </c>
      <c r="E4614" t="s">
        <v>78</v>
      </c>
      <c r="F4614">
        <v>2</v>
      </c>
      <c r="G4614" s="2">
        <v>312.61</v>
      </c>
      <c r="H4614">
        <v>0.27</v>
      </c>
      <c r="I4614" t="s">
        <v>68</v>
      </c>
      <c r="J4614">
        <v>10</v>
      </c>
      <c r="K4614">
        <v>1.2</v>
      </c>
      <c r="L4614" s="2">
        <v>456.41</v>
      </c>
      <c r="M4614">
        <v>2034</v>
      </c>
      <c r="N4614">
        <v>8</v>
      </c>
      <c r="O4614" t="s">
        <v>231</v>
      </c>
      <c r="P4614" s="2">
        <v>625.22</v>
      </c>
      <c r="Q4614" s="2">
        <v>168.81</v>
      </c>
      <c r="R4614" t="s">
        <v>66</v>
      </c>
      <c r="S4614">
        <v>1</v>
      </c>
      <c r="T4614">
        <v>0</v>
      </c>
      <c r="U4614">
        <f>IF(AND(OR(Dashboard!$D$4="Semua",D4614=Dashboard!$D$4),OR(Dashboard!$H$4="Semua",E4614=Dashboard!$H$4)),1,0)</f>
        <v>1</v>
      </c>
      <c r="V4614">
        <f>IF(U4614=1,IF(COUNTIFS($C$2:C4614,C4614,$U$2:U4614,1)=1,1,0),0)</f>
        <v>0</v>
      </c>
    </row>
    <row r="4615" spans="1:22" x14ac:dyDescent="0.35">
      <c r="A4615">
        <v>14614</v>
      </c>
      <c r="B4615" s="1">
        <v>49175</v>
      </c>
      <c r="C4615">
        <v>1407</v>
      </c>
      <c r="D4615" t="s">
        <v>80</v>
      </c>
      <c r="E4615" t="s">
        <v>70</v>
      </c>
      <c r="F4615">
        <v>6</v>
      </c>
      <c r="G4615" s="2">
        <v>391.25</v>
      </c>
      <c r="H4615">
        <v>0.06</v>
      </c>
      <c r="I4615" t="s">
        <v>68</v>
      </c>
      <c r="J4615">
        <v>10</v>
      </c>
      <c r="K4615">
        <v>2.2999999999999998</v>
      </c>
      <c r="L4615" s="2">
        <v>2206.65</v>
      </c>
      <c r="M4615">
        <v>2034</v>
      </c>
      <c r="N4615">
        <v>8</v>
      </c>
      <c r="O4615" t="s">
        <v>231</v>
      </c>
      <c r="P4615" s="2">
        <v>2347.5</v>
      </c>
      <c r="Q4615" s="2">
        <v>140.85</v>
      </c>
      <c r="R4615" t="s">
        <v>69</v>
      </c>
      <c r="S4615">
        <v>1</v>
      </c>
      <c r="T4615">
        <v>0</v>
      </c>
      <c r="U4615">
        <f>IF(AND(OR(Dashboard!$D$4="Semua",D4615=Dashboard!$D$4),OR(Dashboard!$H$4="Semua",E4615=Dashboard!$H$4)),1,0)</f>
        <v>1</v>
      </c>
      <c r="V4615">
        <f>IF(U4615=1,IF(COUNTIFS($C$2:C4615,C4615,$U$2:U4615,1)=1,1,0),0)</f>
        <v>0</v>
      </c>
    </row>
    <row r="4616" spans="1:22" x14ac:dyDescent="0.35">
      <c r="A4616">
        <v>14615</v>
      </c>
      <c r="B4616" s="1">
        <v>49176</v>
      </c>
      <c r="C4616">
        <v>1504</v>
      </c>
      <c r="D4616" t="s">
        <v>80</v>
      </c>
      <c r="E4616" t="s">
        <v>78</v>
      </c>
      <c r="F4616">
        <v>2</v>
      </c>
      <c r="G4616" s="2">
        <v>245.63</v>
      </c>
      <c r="H4616">
        <v>0.21</v>
      </c>
      <c r="I4616" t="s">
        <v>71</v>
      </c>
      <c r="J4616">
        <v>2</v>
      </c>
      <c r="K4616">
        <v>3.6</v>
      </c>
      <c r="L4616" s="2">
        <v>388.1</v>
      </c>
      <c r="M4616">
        <v>2034</v>
      </c>
      <c r="N4616">
        <v>8</v>
      </c>
      <c r="O4616" t="s">
        <v>231</v>
      </c>
      <c r="P4616" s="2">
        <v>491.26</v>
      </c>
      <c r="Q4616" s="2">
        <v>103.16</v>
      </c>
      <c r="R4616" t="s">
        <v>77</v>
      </c>
      <c r="S4616">
        <v>1</v>
      </c>
      <c r="T4616">
        <v>0</v>
      </c>
      <c r="U4616">
        <f>IF(AND(OR(Dashboard!$D$4="Semua",D4616=Dashboard!$D$4),OR(Dashboard!$H$4="Semua",E4616=Dashboard!$H$4)),1,0)</f>
        <v>1</v>
      </c>
      <c r="V4616">
        <f>IF(U4616=1,IF(COUNTIFS($C$2:C4616,C4616,$U$2:U4616,1)=1,1,0),0)</f>
        <v>0</v>
      </c>
    </row>
    <row r="4617" spans="1:22" x14ac:dyDescent="0.35">
      <c r="A4617">
        <v>14616</v>
      </c>
      <c r="B4617" s="1">
        <v>49177</v>
      </c>
      <c r="C4617">
        <v>1293</v>
      </c>
      <c r="D4617" t="s">
        <v>73</v>
      </c>
      <c r="E4617" t="s">
        <v>74</v>
      </c>
      <c r="F4617">
        <v>3</v>
      </c>
      <c r="G4617" s="2">
        <v>288.88</v>
      </c>
      <c r="H4617">
        <v>0.33</v>
      </c>
      <c r="I4617" t="s">
        <v>64</v>
      </c>
      <c r="J4617">
        <v>6</v>
      </c>
      <c r="K4617">
        <v>1.7</v>
      </c>
      <c r="L4617" s="2">
        <v>580.65</v>
      </c>
      <c r="M4617">
        <v>2034</v>
      </c>
      <c r="N4617">
        <v>8</v>
      </c>
      <c r="O4617" t="s">
        <v>231</v>
      </c>
      <c r="P4617" s="2">
        <v>866.64</v>
      </c>
      <c r="Q4617" s="2">
        <v>285.99</v>
      </c>
      <c r="R4617" t="s">
        <v>72</v>
      </c>
      <c r="S4617">
        <v>1</v>
      </c>
      <c r="T4617">
        <v>0</v>
      </c>
      <c r="U4617">
        <f>IF(AND(OR(Dashboard!$D$4="Semua",D4617=Dashboard!$D$4),OR(Dashboard!$H$4="Semua",E4617=Dashboard!$H$4)),1,0)</f>
        <v>1</v>
      </c>
      <c r="V4617">
        <f>IF(U4617=1,IF(COUNTIFS($C$2:C4617,C4617,$U$2:U4617,1)=1,1,0),0)</f>
        <v>0</v>
      </c>
    </row>
    <row r="4618" spans="1:22" x14ac:dyDescent="0.35">
      <c r="A4618">
        <v>14617</v>
      </c>
      <c r="B4618" s="1">
        <v>49178</v>
      </c>
      <c r="C4618">
        <v>1795</v>
      </c>
      <c r="D4618" t="s">
        <v>62</v>
      </c>
      <c r="E4618" t="s">
        <v>63</v>
      </c>
      <c r="F4618">
        <v>6</v>
      </c>
      <c r="G4618" s="2">
        <v>545.16999999999996</v>
      </c>
      <c r="H4618">
        <v>0.21</v>
      </c>
      <c r="I4618" t="s">
        <v>68</v>
      </c>
      <c r="J4618">
        <v>6</v>
      </c>
      <c r="K4618">
        <v>3.5</v>
      </c>
      <c r="L4618" s="2">
        <v>2584.11</v>
      </c>
      <c r="M4618">
        <v>2034</v>
      </c>
      <c r="N4618">
        <v>8</v>
      </c>
      <c r="O4618" t="s">
        <v>231</v>
      </c>
      <c r="P4618" s="2">
        <v>3271.02</v>
      </c>
      <c r="Q4618" s="2">
        <v>686.91</v>
      </c>
      <c r="R4618" t="s">
        <v>77</v>
      </c>
      <c r="S4618">
        <v>1</v>
      </c>
      <c r="T4618">
        <v>0</v>
      </c>
      <c r="U4618">
        <f>IF(AND(OR(Dashboard!$D$4="Semua",D4618=Dashboard!$D$4),OR(Dashboard!$H$4="Semua",E4618=Dashboard!$H$4)),1,0)</f>
        <v>1</v>
      </c>
      <c r="V4618">
        <f>IF(U4618=1,IF(COUNTIFS($C$2:C4618,C4618,$U$2:U4618,1)=1,1,0),0)</f>
        <v>0</v>
      </c>
    </row>
    <row r="4619" spans="1:22" x14ac:dyDescent="0.35">
      <c r="A4619">
        <v>14618</v>
      </c>
      <c r="B4619" s="1">
        <v>49179</v>
      </c>
      <c r="C4619">
        <v>1276</v>
      </c>
      <c r="D4619" t="s">
        <v>67</v>
      </c>
      <c r="E4619" t="s">
        <v>70</v>
      </c>
      <c r="F4619">
        <v>3</v>
      </c>
      <c r="G4619" s="2">
        <v>559.46</v>
      </c>
      <c r="H4619">
        <v>0.21</v>
      </c>
      <c r="I4619" t="s">
        <v>64</v>
      </c>
      <c r="J4619">
        <v>8</v>
      </c>
      <c r="K4619">
        <v>4.9000000000000004</v>
      </c>
      <c r="L4619" s="2">
        <v>1325.92</v>
      </c>
      <c r="M4619">
        <v>2034</v>
      </c>
      <c r="N4619">
        <v>8</v>
      </c>
      <c r="O4619" t="s">
        <v>231</v>
      </c>
      <c r="P4619" s="2">
        <v>1678.38</v>
      </c>
      <c r="Q4619" s="2">
        <v>352.46</v>
      </c>
      <c r="R4619" t="s">
        <v>77</v>
      </c>
      <c r="S4619">
        <v>1</v>
      </c>
      <c r="T4619">
        <v>0</v>
      </c>
      <c r="U4619">
        <f>IF(AND(OR(Dashboard!$D$4="Semua",D4619=Dashboard!$D$4),OR(Dashboard!$H$4="Semua",E4619=Dashboard!$H$4)),1,0)</f>
        <v>1</v>
      </c>
      <c r="V4619">
        <f>IF(U4619=1,IF(COUNTIFS($C$2:C4619,C4619,$U$2:U4619,1)=1,1,0),0)</f>
        <v>0</v>
      </c>
    </row>
    <row r="4620" spans="1:22" x14ac:dyDescent="0.35">
      <c r="A4620">
        <v>14619</v>
      </c>
      <c r="B4620" s="1">
        <v>49180</v>
      </c>
      <c r="C4620">
        <v>1437</v>
      </c>
      <c r="D4620" t="s">
        <v>67</v>
      </c>
      <c r="E4620" t="s">
        <v>78</v>
      </c>
      <c r="F4620">
        <v>2</v>
      </c>
      <c r="G4620" s="2">
        <v>538.82000000000005</v>
      </c>
      <c r="H4620">
        <v>0.26</v>
      </c>
      <c r="I4620" t="s">
        <v>68</v>
      </c>
      <c r="J4620">
        <v>1</v>
      </c>
      <c r="K4620">
        <v>4.5</v>
      </c>
      <c r="L4620" s="2">
        <v>797.45</v>
      </c>
      <c r="M4620">
        <v>2034</v>
      </c>
      <c r="N4620">
        <v>8</v>
      </c>
      <c r="O4620" t="s">
        <v>231</v>
      </c>
      <c r="P4620" s="2">
        <v>1077.6400000000001</v>
      </c>
      <c r="Q4620" s="2">
        <v>280.19</v>
      </c>
      <c r="R4620" t="s">
        <v>66</v>
      </c>
      <c r="S4620">
        <v>1</v>
      </c>
      <c r="T4620">
        <v>0</v>
      </c>
      <c r="U4620">
        <f>IF(AND(OR(Dashboard!$D$4="Semua",D4620=Dashboard!$D$4),OR(Dashboard!$H$4="Semua",E4620=Dashboard!$H$4)),1,0)</f>
        <v>1</v>
      </c>
      <c r="V4620">
        <f>IF(U4620=1,IF(COUNTIFS($C$2:C4620,C4620,$U$2:U4620,1)=1,1,0),0)</f>
        <v>0</v>
      </c>
    </row>
    <row r="4621" spans="1:22" x14ac:dyDescent="0.35">
      <c r="A4621">
        <v>14620</v>
      </c>
      <c r="B4621" s="1">
        <v>49181</v>
      </c>
      <c r="C4621">
        <v>1106</v>
      </c>
      <c r="D4621" t="s">
        <v>67</v>
      </c>
      <c r="E4621" t="s">
        <v>74</v>
      </c>
      <c r="F4621">
        <v>3</v>
      </c>
      <c r="G4621" s="2">
        <v>95.95</v>
      </c>
      <c r="H4621">
        <v>0.12</v>
      </c>
      <c r="I4621" t="s">
        <v>64</v>
      </c>
      <c r="J4621">
        <v>7</v>
      </c>
      <c r="K4621">
        <v>2.4</v>
      </c>
      <c r="L4621" s="2">
        <v>253.31</v>
      </c>
      <c r="M4621">
        <v>2034</v>
      </c>
      <c r="N4621">
        <v>8</v>
      </c>
      <c r="O4621" t="s">
        <v>231</v>
      </c>
      <c r="P4621" s="2">
        <v>287.85000000000002</v>
      </c>
      <c r="Q4621" s="2">
        <v>34.54</v>
      </c>
      <c r="R4621" t="s">
        <v>79</v>
      </c>
      <c r="S4621">
        <v>1</v>
      </c>
      <c r="T4621">
        <v>0</v>
      </c>
      <c r="U4621">
        <f>IF(AND(OR(Dashboard!$D$4="Semua",D4621=Dashboard!$D$4),OR(Dashboard!$H$4="Semua",E4621=Dashboard!$H$4)),1,0)</f>
        <v>1</v>
      </c>
      <c r="V4621">
        <f>IF(U4621=1,IF(COUNTIFS($C$2:C4621,C4621,$U$2:U4621,1)=1,1,0),0)</f>
        <v>0</v>
      </c>
    </row>
    <row r="4622" spans="1:22" x14ac:dyDescent="0.35">
      <c r="A4622">
        <v>14621</v>
      </c>
      <c r="B4622" s="1">
        <v>49182</v>
      </c>
      <c r="C4622">
        <v>1657</v>
      </c>
      <c r="D4622" t="s">
        <v>67</v>
      </c>
      <c r="E4622" t="s">
        <v>63</v>
      </c>
      <c r="F4622">
        <v>3</v>
      </c>
      <c r="G4622" s="2">
        <v>512.29999999999995</v>
      </c>
      <c r="H4622">
        <v>0.25</v>
      </c>
      <c r="I4622" t="s">
        <v>68</v>
      </c>
      <c r="J4622">
        <v>7</v>
      </c>
      <c r="K4622">
        <v>2.7</v>
      </c>
      <c r="L4622" s="2">
        <v>1152.68</v>
      </c>
      <c r="M4622">
        <v>2034</v>
      </c>
      <c r="N4622">
        <v>8</v>
      </c>
      <c r="O4622" t="s">
        <v>231</v>
      </c>
      <c r="P4622" s="2">
        <v>1536.9</v>
      </c>
      <c r="Q4622" s="2">
        <v>384.22</v>
      </c>
      <c r="R4622" t="s">
        <v>77</v>
      </c>
      <c r="S4622">
        <v>1</v>
      </c>
      <c r="T4622">
        <v>0</v>
      </c>
      <c r="U4622">
        <f>IF(AND(OR(Dashboard!$D$4="Semua",D4622=Dashboard!$D$4),OR(Dashboard!$H$4="Semua",E4622=Dashboard!$H$4)),1,0)</f>
        <v>1</v>
      </c>
      <c r="V4622">
        <f>IF(U4622=1,IF(COUNTIFS($C$2:C4622,C4622,$U$2:U4622,1)=1,1,0),0)</f>
        <v>0</v>
      </c>
    </row>
    <row r="4623" spans="1:22" x14ac:dyDescent="0.35">
      <c r="A4623">
        <v>14622</v>
      </c>
      <c r="B4623" s="1">
        <v>49183</v>
      </c>
      <c r="C4623">
        <v>1419</v>
      </c>
      <c r="D4623" t="s">
        <v>67</v>
      </c>
      <c r="E4623" t="s">
        <v>63</v>
      </c>
      <c r="F4623">
        <v>3</v>
      </c>
      <c r="G4623" s="2">
        <v>569.79</v>
      </c>
      <c r="H4623">
        <v>0.32</v>
      </c>
      <c r="I4623" t="s">
        <v>68</v>
      </c>
      <c r="J4623">
        <v>9</v>
      </c>
      <c r="K4623">
        <v>2.7</v>
      </c>
      <c r="L4623" s="2">
        <v>1162.3699999999999</v>
      </c>
      <c r="M4623">
        <v>2034</v>
      </c>
      <c r="N4623">
        <v>8</v>
      </c>
      <c r="O4623" t="s">
        <v>231</v>
      </c>
      <c r="P4623" s="2">
        <v>1709.37</v>
      </c>
      <c r="Q4623" s="2">
        <v>547</v>
      </c>
      <c r="R4623" t="s">
        <v>72</v>
      </c>
      <c r="S4623">
        <v>1</v>
      </c>
      <c r="T4623">
        <v>0</v>
      </c>
      <c r="U4623">
        <f>IF(AND(OR(Dashboard!$D$4="Semua",D4623=Dashboard!$D$4),OR(Dashboard!$H$4="Semua",E4623=Dashboard!$H$4)),1,0)</f>
        <v>1</v>
      </c>
      <c r="V4623">
        <f>IF(U4623=1,IF(COUNTIFS($C$2:C4623,C4623,$U$2:U4623,1)=1,1,0),0)</f>
        <v>0</v>
      </c>
    </row>
    <row r="4624" spans="1:22" x14ac:dyDescent="0.35">
      <c r="A4624">
        <v>14623</v>
      </c>
      <c r="B4624" s="1">
        <v>49184</v>
      </c>
      <c r="C4624">
        <v>1610</v>
      </c>
      <c r="D4624" t="s">
        <v>67</v>
      </c>
      <c r="E4624" t="s">
        <v>78</v>
      </c>
      <c r="F4624">
        <v>4</v>
      </c>
      <c r="G4624" s="2">
        <v>226.33</v>
      </c>
      <c r="H4624">
        <v>0</v>
      </c>
      <c r="I4624" t="s">
        <v>71</v>
      </c>
      <c r="J4624">
        <v>4</v>
      </c>
      <c r="K4624">
        <v>4.4000000000000004</v>
      </c>
      <c r="L4624" s="2">
        <v>905.32</v>
      </c>
      <c r="M4624">
        <v>2034</v>
      </c>
      <c r="N4624">
        <v>8</v>
      </c>
      <c r="O4624" t="s">
        <v>231</v>
      </c>
      <c r="P4624" s="2">
        <v>905.32</v>
      </c>
      <c r="Q4624" s="2">
        <v>0</v>
      </c>
      <c r="R4624" t="s">
        <v>75</v>
      </c>
      <c r="S4624">
        <v>1</v>
      </c>
      <c r="T4624">
        <v>0</v>
      </c>
      <c r="U4624">
        <f>IF(AND(OR(Dashboard!$D$4="Semua",D4624=Dashboard!$D$4),OR(Dashboard!$H$4="Semua",E4624=Dashboard!$H$4)),1,0)</f>
        <v>1</v>
      </c>
      <c r="V4624">
        <f>IF(U4624=1,IF(COUNTIFS($C$2:C4624,C4624,$U$2:U4624,1)=1,1,0),0)</f>
        <v>0</v>
      </c>
    </row>
    <row r="4625" spans="1:22" x14ac:dyDescent="0.35">
      <c r="A4625">
        <v>14624</v>
      </c>
      <c r="B4625" s="1">
        <v>49185</v>
      </c>
      <c r="C4625">
        <v>1428</v>
      </c>
      <c r="D4625" t="s">
        <v>67</v>
      </c>
      <c r="E4625" t="s">
        <v>74</v>
      </c>
      <c r="F4625">
        <v>6</v>
      </c>
      <c r="G4625" s="2">
        <v>318.41000000000003</v>
      </c>
      <c r="H4625">
        <v>0.3</v>
      </c>
      <c r="I4625" t="s">
        <v>71</v>
      </c>
      <c r="J4625">
        <v>7</v>
      </c>
      <c r="K4625">
        <v>5</v>
      </c>
      <c r="L4625" s="2">
        <v>1337.32</v>
      </c>
      <c r="M4625">
        <v>2034</v>
      </c>
      <c r="N4625">
        <v>8</v>
      </c>
      <c r="O4625" t="s">
        <v>231</v>
      </c>
      <c r="P4625" s="2">
        <v>1910.46</v>
      </c>
      <c r="Q4625" s="2">
        <v>573.14</v>
      </c>
      <c r="R4625" t="s">
        <v>66</v>
      </c>
      <c r="S4625">
        <v>1</v>
      </c>
      <c r="T4625">
        <v>0</v>
      </c>
      <c r="U4625">
        <f>IF(AND(OR(Dashboard!$D$4="Semua",D4625=Dashboard!$D$4),OR(Dashboard!$H$4="Semua",E4625=Dashboard!$H$4)),1,0)</f>
        <v>1</v>
      </c>
      <c r="V4625">
        <f>IF(U4625=1,IF(COUNTIFS($C$2:C4625,C4625,$U$2:U4625,1)=1,1,0),0)</f>
        <v>0</v>
      </c>
    </row>
    <row r="4626" spans="1:22" x14ac:dyDescent="0.35">
      <c r="A4626">
        <v>14625</v>
      </c>
      <c r="B4626" s="1">
        <v>49186</v>
      </c>
      <c r="C4626">
        <v>1374</v>
      </c>
      <c r="D4626" t="s">
        <v>73</v>
      </c>
      <c r="E4626" t="s">
        <v>63</v>
      </c>
      <c r="F4626">
        <v>6</v>
      </c>
      <c r="G4626" s="2">
        <v>470.77</v>
      </c>
      <c r="H4626">
        <v>0.08</v>
      </c>
      <c r="I4626" t="s">
        <v>71</v>
      </c>
      <c r="J4626">
        <v>6</v>
      </c>
      <c r="K4626">
        <v>4.3</v>
      </c>
      <c r="L4626" s="2">
        <v>2598.65</v>
      </c>
      <c r="M4626">
        <v>2034</v>
      </c>
      <c r="N4626">
        <v>8</v>
      </c>
      <c r="O4626" t="s">
        <v>231</v>
      </c>
      <c r="P4626" s="2">
        <v>2824.62</v>
      </c>
      <c r="Q4626" s="2">
        <v>225.97</v>
      </c>
      <c r="R4626" t="s">
        <v>69</v>
      </c>
      <c r="S4626">
        <v>1</v>
      </c>
      <c r="T4626">
        <v>0</v>
      </c>
      <c r="U4626">
        <f>IF(AND(OR(Dashboard!$D$4="Semua",D4626=Dashboard!$D$4),OR(Dashboard!$H$4="Semua",E4626=Dashboard!$H$4)),1,0)</f>
        <v>1</v>
      </c>
      <c r="V4626">
        <f>IF(U4626=1,IF(COUNTIFS($C$2:C4626,C4626,$U$2:U4626,1)=1,1,0),0)</f>
        <v>0</v>
      </c>
    </row>
    <row r="4627" spans="1:22" x14ac:dyDescent="0.35">
      <c r="A4627">
        <v>14626</v>
      </c>
      <c r="B4627" s="1">
        <v>49187</v>
      </c>
      <c r="C4627">
        <v>1072</v>
      </c>
      <c r="D4627" t="s">
        <v>80</v>
      </c>
      <c r="E4627" t="s">
        <v>63</v>
      </c>
      <c r="F4627">
        <v>7</v>
      </c>
      <c r="G4627" s="2">
        <v>343.82</v>
      </c>
      <c r="H4627">
        <v>0.16</v>
      </c>
      <c r="I4627" t="s">
        <v>71</v>
      </c>
      <c r="J4627">
        <v>4</v>
      </c>
      <c r="K4627">
        <v>3.2</v>
      </c>
      <c r="L4627" s="2">
        <v>2021.66</v>
      </c>
      <c r="M4627">
        <v>2034</v>
      </c>
      <c r="N4627">
        <v>8</v>
      </c>
      <c r="O4627" t="s">
        <v>231</v>
      </c>
      <c r="P4627" s="2">
        <v>2406.7399999999998</v>
      </c>
      <c r="Q4627" s="2">
        <v>385.08</v>
      </c>
      <c r="R4627" t="s">
        <v>76</v>
      </c>
      <c r="S4627">
        <v>1</v>
      </c>
      <c r="T4627">
        <v>0</v>
      </c>
      <c r="U4627">
        <f>IF(AND(OR(Dashboard!$D$4="Semua",D4627=Dashboard!$D$4),OR(Dashboard!$H$4="Semua",E4627=Dashboard!$H$4)),1,0)</f>
        <v>1</v>
      </c>
      <c r="V4627">
        <f>IF(U4627=1,IF(COUNTIFS($C$2:C4627,C4627,$U$2:U4627,1)=1,1,0),0)</f>
        <v>0</v>
      </c>
    </row>
    <row r="4628" spans="1:22" x14ac:dyDescent="0.35">
      <c r="A4628">
        <v>14627</v>
      </c>
      <c r="B4628" s="1">
        <v>49188</v>
      </c>
      <c r="C4628">
        <v>1948</v>
      </c>
      <c r="D4628" t="s">
        <v>67</v>
      </c>
      <c r="E4628" t="s">
        <v>70</v>
      </c>
      <c r="F4628">
        <v>6</v>
      </c>
      <c r="G4628" s="2">
        <v>596.19000000000005</v>
      </c>
      <c r="H4628">
        <v>0.3</v>
      </c>
      <c r="I4628" t="s">
        <v>71</v>
      </c>
      <c r="J4628">
        <v>10</v>
      </c>
      <c r="K4628">
        <v>1.4</v>
      </c>
      <c r="L4628" s="2">
        <v>2504</v>
      </c>
      <c r="M4628">
        <v>2034</v>
      </c>
      <c r="N4628">
        <v>9</v>
      </c>
      <c r="O4628" t="s">
        <v>232</v>
      </c>
      <c r="P4628" s="2">
        <v>3577.14</v>
      </c>
      <c r="Q4628" s="2">
        <v>1073.1400000000001</v>
      </c>
      <c r="R4628" t="s">
        <v>66</v>
      </c>
      <c r="S4628">
        <v>1</v>
      </c>
      <c r="T4628">
        <v>0</v>
      </c>
      <c r="U4628">
        <f>IF(AND(OR(Dashboard!$D$4="Semua",D4628=Dashboard!$D$4),OR(Dashboard!$H$4="Semua",E4628=Dashboard!$H$4)),1,0)</f>
        <v>1</v>
      </c>
      <c r="V4628">
        <f>IF(U4628=1,IF(COUNTIFS($C$2:C4628,C4628,$U$2:U4628,1)=1,1,0),0)</f>
        <v>0</v>
      </c>
    </row>
    <row r="4629" spans="1:22" x14ac:dyDescent="0.35">
      <c r="A4629">
        <v>14628</v>
      </c>
      <c r="B4629" s="1">
        <v>49189</v>
      </c>
      <c r="C4629">
        <v>1997</v>
      </c>
      <c r="D4629" t="s">
        <v>73</v>
      </c>
      <c r="E4629" t="s">
        <v>63</v>
      </c>
      <c r="F4629">
        <v>7</v>
      </c>
      <c r="G4629" s="2">
        <v>281.58999999999997</v>
      </c>
      <c r="H4629">
        <v>0.28999999999999998</v>
      </c>
      <c r="I4629" t="s">
        <v>68</v>
      </c>
      <c r="J4629">
        <v>8</v>
      </c>
      <c r="K4629">
        <v>4.8</v>
      </c>
      <c r="L4629" s="2">
        <v>1399.5</v>
      </c>
      <c r="M4629">
        <v>2034</v>
      </c>
      <c r="N4629">
        <v>9</v>
      </c>
      <c r="O4629" t="s">
        <v>232</v>
      </c>
      <c r="P4629" s="2">
        <v>1971.13</v>
      </c>
      <c r="Q4629" s="2">
        <v>571.63</v>
      </c>
      <c r="R4629" t="s">
        <v>66</v>
      </c>
      <c r="S4629">
        <v>1</v>
      </c>
      <c r="T4629">
        <v>0</v>
      </c>
      <c r="U4629">
        <f>IF(AND(OR(Dashboard!$D$4="Semua",D4629=Dashboard!$D$4),OR(Dashboard!$H$4="Semua",E4629=Dashboard!$H$4)),1,0)</f>
        <v>1</v>
      </c>
      <c r="V4629">
        <f>IF(U4629=1,IF(COUNTIFS($C$2:C4629,C4629,$U$2:U4629,1)=1,1,0),0)</f>
        <v>0</v>
      </c>
    </row>
    <row r="4630" spans="1:22" x14ac:dyDescent="0.35">
      <c r="A4630">
        <v>14629</v>
      </c>
      <c r="B4630" s="1">
        <v>49190</v>
      </c>
      <c r="C4630">
        <v>1633</v>
      </c>
      <c r="D4630" t="s">
        <v>80</v>
      </c>
      <c r="E4630" t="s">
        <v>78</v>
      </c>
      <c r="F4630">
        <v>2</v>
      </c>
      <c r="G4630" s="2">
        <v>432.66</v>
      </c>
      <c r="H4630">
        <v>0.31</v>
      </c>
      <c r="I4630" t="s">
        <v>68</v>
      </c>
      <c r="J4630">
        <v>3</v>
      </c>
      <c r="K4630">
        <v>4.4000000000000004</v>
      </c>
      <c r="L4630" s="2">
        <v>597.07000000000005</v>
      </c>
      <c r="M4630">
        <v>2034</v>
      </c>
      <c r="N4630">
        <v>9</v>
      </c>
      <c r="O4630" t="s">
        <v>232</v>
      </c>
      <c r="P4630" s="2">
        <v>865.32</v>
      </c>
      <c r="Q4630" s="2">
        <v>268.25</v>
      </c>
      <c r="R4630" t="s">
        <v>72</v>
      </c>
      <c r="S4630">
        <v>1</v>
      </c>
      <c r="T4630">
        <v>0</v>
      </c>
      <c r="U4630">
        <f>IF(AND(OR(Dashboard!$D$4="Semua",D4630=Dashboard!$D$4),OR(Dashboard!$H$4="Semua",E4630=Dashboard!$H$4)),1,0)</f>
        <v>1</v>
      </c>
      <c r="V4630">
        <f>IF(U4630=1,IF(COUNTIFS($C$2:C4630,C4630,$U$2:U4630,1)=1,1,0),0)</f>
        <v>0</v>
      </c>
    </row>
    <row r="4631" spans="1:22" x14ac:dyDescent="0.35">
      <c r="A4631">
        <v>14630</v>
      </c>
      <c r="B4631" s="1">
        <v>49191</v>
      </c>
      <c r="C4631">
        <v>1029</v>
      </c>
      <c r="D4631" t="s">
        <v>62</v>
      </c>
      <c r="E4631" t="s">
        <v>74</v>
      </c>
      <c r="F4631">
        <v>7</v>
      </c>
      <c r="G4631" s="2">
        <v>478.67</v>
      </c>
      <c r="H4631">
        <v>0.33</v>
      </c>
      <c r="I4631" t="s">
        <v>68</v>
      </c>
      <c r="J4631">
        <v>8</v>
      </c>
      <c r="K4631">
        <v>4.4000000000000004</v>
      </c>
      <c r="L4631" s="2">
        <v>2244.96</v>
      </c>
      <c r="M4631">
        <v>2034</v>
      </c>
      <c r="N4631">
        <v>9</v>
      </c>
      <c r="O4631" t="s">
        <v>232</v>
      </c>
      <c r="P4631" s="2">
        <v>3350.69</v>
      </c>
      <c r="Q4631" s="2">
        <v>1105.73</v>
      </c>
      <c r="R4631" t="s">
        <v>72</v>
      </c>
      <c r="S4631">
        <v>1</v>
      </c>
      <c r="T4631">
        <v>0</v>
      </c>
      <c r="U4631">
        <f>IF(AND(OR(Dashboard!$D$4="Semua",D4631=Dashboard!$D$4),OR(Dashboard!$H$4="Semua",E4631=Dashboard!$H$4)),1,0)</f>
        <v>1</v>
      </c>
      <c r="V4631">
        <f>IF(U4631=1,IF(COUNTIFS($C$2:C4631,C4631,$U$2:U4631,1)=1,1,0),0)</f>
        <v>0</v>
      </c>
    </row>
    <row r="4632" spans="1:22" x14ac:dyDescent="0.35">
      <c r="A4632">
        <v>14631</v>
      </c>
      <c r="B4632" s="1">
        <v>49192</v>
      </c>
      <c r="C4632">
        <v>1187</v>
      </c>
      <c r="D4632" t="s">
        <v>62</v>
      </c>
      <c r="E4632" t="s">
        <v>74</v>
      </c>
      <c r="F4632">
        <v>7</v>
      </c>
      <c r="G4632" s="2">
        <v>304.05</v>
      </c>
      <c r="H4632">
        <v>0.16</v>
      </c>
      <c r="I4632" t="s">
        <v>71</v>
      </c>
      <c r="J4632">
        <v>5</v>
      </c>
      <c r="K4632">
        <v>2.6</v>
      </c>
      <c r="L4632" s="2">
        <v>1787.81</v>
      </c>
      <c r="M4632">
        <v>2034</v>
      </c>
      <c r="N4632">
        <v>9</v>
      </c>
      <c r="O4632" t="s">
        <v>232</v>
      </c>
      <c r="P4632" s="2">
        <v>2128.35</v>
      </c>
      <c r="Q4632" s="2">
        <v>340.54</v>
      </c>
      <c r="R4632" t="s">
        <v>76</v>
      </c>
      <c r="S4632">
        <v>1</v>
      </c>
      <c r="T4632">
        <v>0</v>
      </c>
      <c r="U4632">
        <f>IF(AND(OR(Dashboard!$D$4="Semua",D4632=Dashboard!$D$4),OR(Dashboard!$H$4="Semua",E4632=Dashboard!$H$4)),1,0)</f>
        <v>1</v>
      </c>
      <c r="V4632">
        <f>IF(U4632=1,IF(COUNTIFS($C$2:C4632,C4632,$U$2:U4632,1)=1,1,0),0)</f>
        <v>0</v>
      </c>
    </row>
    <row r="4633" spans="1:22" x14ac:dyDescent="0.35">
      <c r="A4633">
        <v>14632</v>
      </c>
      <c r="B4633" s="1">
        <v>49193</v>
      </c>
      <c r="C4633">
        <v>1363</v>
      </c>
      <c r="D4633" t="s">
        <v>67</v>
      </c>
      <c r="E4633" t="s">
        <v>70</v>
      </c>
      <c r="F4633">
        <v>5</v>
      </c>
      <c r="G4633" s="2">
        <v>516.34</v>
      </c>
      <c r="H4633">
        <v>0.23</v>
      </c>
      <c r="I4633" t="s">
        <v>71</v>
      </c>
      <c r="J4633">
        <v>4</v>
      </c>
      <c r="K4633">
        <v>2.8</v>
      </c>
      <c r="L4633" s="2">
        <v>1987.91</v>
      </c>
      <c r="M4633">
        <v>2034</v>
      </c>
      <c r="N4633">
        <v>9</v>
      </c>
      <c r="O4633" t="s">
        <v>232</v>
      </c>
      <c r="P4633" s="2">
        <v>2581.6999999999998</v>
      </c>
      <c r="Q4633" s="2">
        <v>593.79</v>
      </c>
      <c r="R4633" t="s">
        <v>77</v>
      </c>
      <c r="S4633">
        <v>1</v>
      </c>
      <c r="T4633">
        <v>0</v>
      </c>
      <c r="U4633">
        <f>IF(AND(OR(Dashboard!$D$4="Semua",D4633=Dashboard!$D$4),OR(Dashboard!$H$4="Semua",E4633=Dashboard!$H$4)),1,0)</f>
        <v>1</v>
      </c>
      <c r="V4633">
        <f>IF(U4633=1,IF(COUNTIFS($C$2:C4633,C4633,$U$2:U4633,1)=1,1,0),0)</f>
        <v>0</v>
      </c>
    </row>
    <row r="4634" spans="1:22" x14ac:dyDescent="0.35">
      <c r="A4634">
        <v>14633</v>
      </c>
      <c r="B4634" s="1">
        <v>49194</v>
      </c>
      <c r="C4634">
        <v>1865</v>
      </c>
      <c r="D4634" t="s">
        <v>73</v>
      </c>
      <c r="E4634" t="s">
        <v>74</v>
      </c>
      <c r="F4634">
        <v>2</v>
      </c>
      <c r="G4634" s="2">
        <v>334.5</v>
      </c>
      <c r="H4634">
        <v>0.14000000000000001</v>
      </c>
      <c r="I4634" t="s">
        <v>71</v>
      </c>
      <c r="J4634">
        <v>3</v>
      </c>
      <c r="K4634">
        <v>1.5</v>
      </c>
      <c r="L4634" s="2">
        <v>575.34</v>
      </c>
      <c r="M4634">
        <v>2034</v>
      </c>
      <c r="N4634">
        <v>9</v>
      </c>
      <c r="O4634" t="s">
        <v>232</v>
      </c>
      <c r="P4634" s="2">
        <v>669</v>
      </c>
      <c r="Q4634" s="2">
        <v>93.66</v>
      </c>
      <c r="R4634" t="s">
        <v>79</v>
      </c>
      <c r="S4634">
        <v>1</v>
      </c>
      <c r="T4634">
        <v>0</v>
      </c>
      <c r="U4634">
        <f>IF(AND(OR(Dashboard!$D$4="Semua",D4634=Dashboard!$D$4),OR(Dashboard!$H$4="Semua",E4634=Dashboard!$H$4)),1,0)</f>
        <v>1</v>
      </c>
      <c r="V4634">
        <f>IF(U4634=1,IF(COUNTIFS($C$2:C4634,C4634,$U$2:U4634,1)=1,1,0),0)</f>
        <v>0</v>
      </c>
    </row>
    <row r="4635" spans="1:22" x14ac:dyDescent="0.35">
      <c r="A4635">
        <v>14634</v>
      </c>
      <c r="B4635" s="1">
        <v>49195</v>
      </c>
      <c r="C4635">
        <v>1799</v>
      </c>
      <c r="D4635" t="s">
        <v>67</v>
      </c>
      <c r="E4635" t="s">
        <v>78</v>
      </c>
      <c r="F4635">
        <v>6</v>
      </c>
      <c r="G4635" s="2">
        <v>255.82</v>
      </c>
      <c r="H4635">
        <v>0.12</v>
      </c>
      <c r="I4635" t="s">
        <v>71</v>
      </c>
      <c r="J4635">
        <v>10</v>
      </c>
      <c r="K4635">
        <v>4.8</v>
      </c>
      <c r="L4635" s="2">
        <v>1350.73</v>
      </c>
      <c r="M4635">
        <v>2034</v>
      </c>
      <c r="N4635">
        <v>9</v>
      </c>
      <c r="O4635" t="s">
        <v>232</v>
      </c>
      <c r="P4635" s="2">
        <v>1534.92</v>
      </c>
      <c r="Q4635" s="2">
        <v>184.19</v>
      </c>
      <c r="R4635" t="s">
        <v>79</v>
      </c>
      <c r="S4635">
        <v>1</v>
      </c>
      <c r="T4635">
        <v>0</v>
      </c>
      <c r="U4635">
        <f>IF(AND(OR(Dashboard!$D$4="Semua",D4635=Dashboard!$D$4),OR(Dashboard!$H$4="Semua",E4635=Dashboard!$H$4)),1,0)</f>
        <v>1</v>
      </c>
      <c r="V4635">
        <f>IF(U4635=1,IF(COUNTIFS($C$2:C4635,C4635,$U$2:U4635,1)=1,1,0),0)</f>
        <v>0</v>
      </c>
    </row>
    <row r="4636" spans="1:22" x14ac:dyDescent="0.35">
      <c r="A4636">
        <v>14635</v>
      </c>
      <c r="B4636" s="1">
        <v>49196</v>
      </c>
      <c r="C4636">
        <v>1450</v>
      </c>
      <c r="D4636" t="s">
        <v>73</v>
      </c>
      <c r="E4636" t="s">
        <v>63</v>
      </c>
      <c r="F4636">
        <v>1</v>
      </c>
      <c r="G4636" s="2">
        <v>78.08</v>
      </c>
      <c r="H4636">
        <v>0.15</v>
      </c>
      <c r="I4636" t="s">
        <v>68</v>
      </c>
      <c r="J4636">
        <v>7</v>
      </c>
      <c r="K4636">
        <v>4.8</v>
      </c>
      <c r="L4636" s="2">
        <v>66.37</v>
      </c>
      <c r="M4636">
        <v>2034</v>
      </c>
      <c r="N4636">
        <v>9</v>
      </c>
      <c r="O4636" t="s">
        <v>232</v>
      </c>
      <c r="P4636" s="2">
        <v>78.08</v>
      </c>
      <c r="Q4636" s="2">
        <v>11.71</v>
      </c>
      <c r="R4636" t="s">
        <v>79</v>
      </c>
      <c r="S4636">
        <v>1</v>
      </c>
      <c r="T4636">
        <v>0</v>
      </c>
      <c r="U4636">
        <f>IF(AND(OR(Dashboard!$D$4="Semua",D4636=Dashboard!$D$4),OR(Dashboard!$H$4="Semua",E4636=Dashboard!$H$4)),1,0)</f>
        <v>1</v>
      </c>
      <c r="V4636">
        <f>IF(U4636=1,IF(COUNTIFS($C$2:C4636,C4636,$U$2:U4636,1)=1,1,0),0)</f>
        <v>0</v>
      </c>
    </row>
    <row r="4637" spans="1:22" x14ac:dyDescent="0.35">
      <c r="A4637">
        <v>14636</v>
      </c>
      <c r="B4637" s="1">
        <v>49197</v>
      </c>
      <c r="C4637">
        <v>1194</v>
      </c>
      <c r="D4637" t="s">
        <v>62</v>
      </c>
      <c r="E4637" t="s">
        <v>70</v>
      </c>
      <c r="F4637">
        <v>3</v>
      </c>
      <c r="G4637" s="2">
        <v>245.15</v>
      </c>
      <c r="H4637">
        <v>0.26</v>
      </c>
      <c r="I4637" t="s">
        <v>71</v>
      </c>
      <c r="J4637">
        <v>7</v>
      </c>
      <c r="K4637">
        <v>2</v>
      </c>
      <c r="L4637" s="2">
        <v>544.23</v>
      </c>
      <c r="M4637">
        <v>2034</v>
      </c>
      <c r="N4637">
        <v>9</v>
      </c>
      <c r="O4637" t="s">
        <v>232</v>
      </c>
      <c r="P4637" s="2">
        <v>735.45</v>
      </c>
      <c r="Q4637" s="2">
        <v>191.22</v>
      </c>
      <c r="R4637" t="s">
        <v>66</v>
      </c>
      <c r="S4637">
        <v>1</v>
      </c>
      <c r="T4637">
        <v>0</v>
      </c>
      <c r="U4637">
        <f>IF(AND(OR(Dashboard!$D$4="Semua",D4637=Dashboard!$D$4),OR(Dashboard!$H$4="Semua",E4637=Dashboard!$H$4)),1,0)</f>
        <v>1</v>
      </c>
      <c r="V4637">
        <f>IF(U4637=1,IF(COUNTIFS($C$2:C4637,C4637,$U$2:U4637,1)=1,1,0),0)</f>
        <v>0</v>
      </c>
    </row>
    <row r="4638" spans="1:22" x14ac:dyDescent="0.35">
      <c r="A4638">
        <v>14637</v>
      </c>
      <c r="B4638" s="1">
        <v>49198</v>
      </c>
      <c r="C4638">
        <v>1155</v>
      </c>
      <c r="D4638" t="s">
        <v>73</v>
      </c>
      <c r="E4638" t="s">
        <v>74</v>
      </c>
      <c r="F4638">
        <v>3</v>
      </c>
      <c r="G4638" s="2">
        <v>444.35</v>
      </c>
      <c r="H4638">
        <v>0.18</v>
      </c>
      <c r="I4638" t="s">
        <v>68</v>
      </c>
      <c r="J4638">
        <v>6</v>
      </c>
      <c r="K4638">
        <v>3.8</v>
      </c>
      <c r="L4638" s="2">
        <v>1093.0999999999999</v>
      </c>
      <c r="M4638">
        <v>2034</v>
      </c>
      <c r="N4638">
        <v>9</v>
      </c>
      <c r="O4638" t="s">
        <v>232</v>
      </c>
      <c r="P4638" s="2">
        <v>1333.05</v>
      </c>
      <c r="Q4638" s="2">
        <v>239.95</v>
      </c>
      <c r="R4638" t="s">
        <v>76</v>
      </c>
      <c r="S4638">
        <v>1</v>
      </c>
      <c r="T4638">
        <v>0</v>
      </c>
      <c r="U4638">
        <f>IF(AND(OR(Dashboard!$D$4="Semua",D4638=Dashboard!$D$4),OR(Dashboard!$H$4="Semua",E4638=Dashboard!$H$4)),1,0)</f>
        <v>1</v>
      </c>
      <c r="V4638">
        <f>IF(U4638=1,IF(COUNTIFS($C$2:C4638,C4638,$U$2:U4638,1)=1,1,0),0)</f>
        <v>0</v>
      </c>
    </row>
    <row r="4639" spans="1:22" x14ac:dyDescent="0.35">
      <c r="A4639">
        <v>14638</v>
      </c>
      <c r="B4639" s="1">
        <v>49199</v>
      </c>
      <c r="C4639">
        <v>1171</v>
      </c>
      <c r="D4639" t="s">
        <v>73</v>
      </c>
      <c r="E4639" t="s">
        <v>70</v>
      </c>
      <c r="F4639">
        <v>5</v>
      </c>
      <c r="G4639" s="2">
        <v>553.95000000000005</v>
      </c>
      <c r="H4639">
        <v>0.28000000000000003</v>
      </c>
      <c r="I4639" t="s">
        <v>71</v>
      </c>
      <c r="J4639">
        <v>3</v>
      </c>
      <c r="K4639">
        <v>1.8</v>
      </c>
      <c r="L4639" s="2">
        <v>1994.22</v>
      </c>
      <c r="M4639">
        <v>2034</v>
      </c>
      <c r="N4639">
        <v>9</v>
      </c>
      <c r="O4639" t="s">
        <v>232</v>
      </c>
      <c r="P4639" s="2">
        <v>2769.75</v>
      </c>
      <c r="Q4639" s="2">
        <v>775.53</v>
      </c>
      <c r="R4639" t="s">
        <v>66</v>
      </c>
      <c r="S4639">
        <v>1</v>
      </c>
      <c r="T4639">
        <v>0</v>
      </c>
      <c r="U4639">
        <f>IF(AND(OR(Dashboard!$D$4="Semua",D4639=Dashboard!$D$4),OR(Dashboard!$H$4="Semua",E4639=Dashboard!$H$4)),1,0)</f>
        <v>1</v>
      </c>
      <c r="V4639">
        <f>IF(U4639=1,IF(COUNTIFS($C$2:C4639,C4639,$U$2:U4639,1)=1,1,0),0)</f>
        <v>0</v>
      </c>
    </row>
    <row r="4640" spans="1:22" x14ac:dyDescent="0.35">
      <c r="A4640">
        <v>14639</v>
      </c>
      <c r="B4640" s="1">
        <v>49200</v>
      </c>
      <c r="C4640">
        <v>1846</v>
      </c>
      <c r="D4640" t="s">
        <v>67</v>
      </c>
      <c r="E4640" t="s">
        <v>70</v>
      </c>
      <c r="F4640">
        <v>1</v>
      </c>
      <c r="G4640" s="2">
        <v>162.22999999999999</v>
      </c>
      <c r="H4640">
        <v>0.26</v>
      </c>
      <c r="I4640" t="s">
        <v>68</v>
      </c>
      <c r="J4640">
        <v>9</v>
      </c>
      <c r="K4640">
        <v>2.6</v>
      </c>
      <c r="L4640" s="2">
        <v>120.05</v>
      </c>
      <c r="M4640">
        <v>2034</v>
      </c>
      <c r="N4640">
        <v>9</v>
      </c>
      <c r="O4640" t="s">
        <v>232</v>
      </c>
      <c r="P4640" s="2">
        <v>162.22999999999999</v>
      </c>
      <c r="Q4640" s="2">
        <v>42.18</v>
      </c>
      <c r="R4640" t="s">
        <v>66</v>
      </c>
      <c r="S4640">
        <v>1</v>
      </c>
      <c r="T4640">
        <v>0</v>
      </c>
      <c r="U4640">
        <f>IF(AND(OR(Dashboard!$D$4="Semua",D4640=Dashboard!$D$4),OR(Dashboard!$H$4="Semua",E4640=Dashboard!$H$4)),1,0)</f>
        <v>1</v>
      </c>
      <c r="V4640">
        <f>IF(U4640=1,IF(COUNTIFS($C$2:C4640,C4640,$U$2:U4640,1)=1,1,0),0)</f>
        <v>0</v>
      </c>
    </row>
    <row r="4641" spans="1:22" x14ac:dyDescent="0.35">
      <c r="A4641">
        <v>14640</v>
      </c>
      <c r="B4641" s="1">
        <v>49201</v>
      </c>
      <c r="C4641">
        <v>1040</v>
      </c>
      <c r="D4641" t="s">
        <v>67</v>
      </c>
      <c r="E4641" t="s">
        <v>74</v>
      </c>
      <c r="F4641">
        <v>4</v>
      </c>
      <c r="G4641" s="2">
        <v>222.81</v>
      </c>
      <c r="H4641">
        <v>0.01</v>
      </c>
      <c r="I4641" t="s">
        <v>71</v>
      </c>
      <c r="J4641">
        <v>11</v>
      </c>
      <c r="K4641">
        <v>2.2000000000000002</v>
      </c>
      <c r="L4641" s="2">
        <v>882.33</v>
      </c>
      <c r="M4641">
        <v>2034</v>
      </c>
      <c r="N4641">
        <v>9</v>
      </c>
      <c r="O4641" t="s">
        <v>232</v>
      </c>
      <c r="P4641" s="2">
        <v>891.24</v>
      </c>
      <c r="Q4641" s="2">
        <v>8.91</v>
      </c>
      <c r="R4641" t="s">
        <v>75</v>
      </c>
      <c r="S4641">
        <v>1</v>
      </c>
      <c r="T4641">
        <v>0</v>
      </c>
      <c r="U4641">
        <f>IF(AND(OR(Dashboard!$D$4="Semua",D4641=Dashboard!$D$4),OR(Dashboard!$H$4="Semua",E4641=Dashboard!$H$4)),1,0)</f>
        <v>1</v>
      </c>
      <c r="V4641">
        <f>IF(U4641=1,IF(COUNTIFS($C$2:C4641,C4641,$U$2:U4641,1)=1,1,0),0)</f>
        <v>0</v>
      </c>
    </row>
    <row r="4642" spans="1:22" x14ac:dyDescent="0.35">
      <c r="A4642">
        <v>14641</v>
      </c>
      <c r="B4642" s="1">
        <v>49202</v>
      </c>
      <c r="C4642">
        <v>1062</v>
      </c>
      <c r="D4642" t="s">
        <v>80</v>
      </c>
      <c r="E4642" t="s">
        <v>70</v>
      </c>
      <c r="F4642">
        <v>7</v>
      </c>
      <c r="G4642" s="2">
        <v>105.07</v>
      </c>
      <c r="H4642">
        <v>0.22</v>
      </c>
      <c r="I4642" t="s">
        <v>71</v>
      </c>
      <c r="J4642">
        <v>2</v>
      </c>
      <c r="K4642">
        <v>2.6</v>
      </c>
      <c r="L4642" s="2">
        <v>573.67999999999995</v>
      </c>
      <c r="M4642">
        <v>2034</v>
      </c>
      <c r="N4642">
        <v>9</v>
      </c>
      <c r="O4642" t="s">
        <v>232</v>
      </c>
      <c r="P4642" s="2">
        <v>735.49</v>
      </c>
      <c r="Q4642" s="2">
        <v>161.81</v>
      </c>
      <c r="R4642" t="s">
        <v>77</v>
      </c>
      <c r="S4642">
        <v>1</v>
      </c>
      <c r="T4642">
        <v>0</v>
      </c>
      <c r="U4642">
        <f>IF(AND(OR(Dashboard!$D$4="Semua",D4642=Dashboard!$D$4),OR(Dashboard!$H$4="Semua",E4642=Dashboard!$H$4)),1,0)</f>
        <v>1</v>
      </c>
      <c r="V4642">
        <f>IF(U4642=1,IF(COUNTIFS($C$2:C4642,C4642,$U$2:U4642,1)=1,1,0),0)</f>
        <v>0</v>
      </c>
    </row>
    <row r="4643" spans="1:22" x14ac:dyDescent="0.35">
      <c r="A4643">
        <v>14642</v>
      </c>
      <c r="B4643" s="1">
        <v>49203</v>
      </c>
      <c r="C4643">
        <v>1022</v>
      </c>
      <c r="D4643" t="s">
        <v>67</v>
      </c>
      <c r="E4643" t="s">
        <v>74</v>
      </c>
      <c r="F4643">
        <v>2</v>
      </c>
      <c r="G4643" s="2">
        <v>419.07</v>
      </c>
      <c r="H4643">
        <v>0.15</v>
      </c>
      <c r="I4643" t="s">
        <v>68</v>
      </c>
      <c r="J4643">
        <v>3</v>
      </c>
      <c r="K4643">
        <v>2.2000000000000002</v>
      </c>
      <c r="L4643" s="2">
        <v>712.42</v>
      </c>
      <c r="M4643">
        <v>2034</v>
      </c>
      <c r="N4643">
        <v>9</v>
      </c>
      <c r="O4643" t="s">
        <v>232</v>
      </c>
      <c r="P4643" s="2">
        <v>838.14</v>
      </c>
      <c r="Q4643" s="2">
        <v>125.72</v>
      </c>
      <c r="R4643" t="s">
        <v>79</v>
      </c>
      <c r="S4643">
        <v>1</v>
      </c>
      <c r="T4643">
        <v>0</v>
      </c>
      <c r="U4643">
        <f>IF(AND(OR(Dashboard!$D$4="Semua",D4643=Dashboard!$D$4),OR(Dashboard!$H$4="Semua",E4643=Dashboard!$H$4)),1,0)</f>
        <v>1</v>
      </c>
      <c r="V4643">
        <f>IF(U4643=1,IF(COUNTIFS($C$2:C4643,C4643,$U$2:U4643,1)=1,1,0),0)</f>
        <v>0</v>
      </c>
    </row>
    <row r="4644" spans="1:22" x14ac:dyDescent="0.35">
      <c r="A4644">
        <v>14643</v>
      </c>
      <c r="B4644" s="1">
        <v>49204</v>
      </c>
      <c r="C4644">
        <v>1359</v>
      </c>
      <c r="D4644" t="s">
        <v>73</v>
      </c>
      <c r="E4644" t="s">
        <v>78</v>
      </c>
      <c r="F4644">
        <v>4</v>
      </c>
      <c r="G4644" s="2">
        <v>576.71</v>
      </c>
      <c r="H4644">
        <v>0.16</v>
      </c>
      <c r="I4644" t="s">
        <v>71</v>
      </c>
      <c r="J4644">
        <v>1</v>
      </c>
      <c r="K4644">
        <v>2.4</v>
      </c>
      <c r="L4644" s="2">
        <v>1937.75</v>
      </c>
      <c r="M4644">
        <v>2034</v>
      </c>
      <c r="N4644">
        <v>9</v>
      </c>
      <c r="O4644" t="s">
        <v>232</v>
      </c>
      <c r="P4644" s="2">
        <v>2306.84</v>
      </c>
      <c r="Q4644" s="2">
        <v>369.09</v>
      </c>
      <c r="R4644" t="s">
        <v>76</v>
      </c>
      <c r="S4644">
        <v>1</v>
      </c>
      <c r="T4644">
        <v>0</v>
      </c>
      <c r="U4644">
        <f>IF(AND(OR(Dashboard!$D$4="Semua",D4644=Dashboard!$D$4),OR(Dashboard!$H$4="Semua",E4644=Dashboard!$H$4)),1,0)</f>
        <v>1</v>
      </c>
      <c r="V4644">
        <f>IF(U4644=1,IF(COUNTIFS($C$2:C4644,C4644,$U$2:U4644,1)=1,1,0),0)</f>
        <v>0</v>
      </c>
    </row>
    <row r="4645" spans="1:22" x14ac:dyDescent="0.35">
      <c r="A4645">
        <v>14644</v>
      </c>
      <c r="B4645" s="1">
        <v>49205</v>
      </c>
      <c r="C4645">
        <v>1074</v>
      </c>
      <c r="D4645" t="s">
        <v>73</v>
      </c>
      <c r="E4645" t="s">
        <v>74</v>
      </c>
      <c r="F4645">
        <v>1</v>
      </c>
      <c r="G4645" s="2">
        <v>389.96</v>
      </c>
      <c r="H4645">
        <v>0.28999999999999998</v>
      </c>
      <c r="I4645" t="s">
        <v>68</v>
      </c>
      <c r="J4645">
        <v>7</v>
      </c>
      <c r="K4645">
        <v>4.2</v>
      </c>
      <c r="L4645" s="2">
        <v>276.87</v>
      </c>
      <c r="M4645">
        <v>2034</v>
      </c>
      <c r="N4645">
        <v>9</v>
      </c>
      <c r="O4645" t="s">
        <v>232</v>
      </c>
      <c r="P4645" s="2">
        <v>389.96</v>
      </c>
      <c r="Q4645" s="2">
        <v>113.09</v>
      </c>
      <c r="R4645" t="s">
        <v>66</v>
      </c>
      <c r="S4645">
        <v>1</v>
      </c>
      <c r="T4645">
        <v>0</v>
      </c>
      <c r="U4645">
        <f>IF(AND(OR(Dashboard!$D$4="Semua",D4645=Dashboard!$D$4),OR(Dashboard!$H$4="Semua",E4645=Dashboard!$H$4)),1,0)</f>
        <v>1</v>
      </c>
      <c r="V4645">
        <f>IF(U4645=1,IF(COUNTIFS($C$2:C4645,C4645,$U$2:U4645,1)=1,1,0),0)</f>
        <v>0</v>
      </c>
    </row>
    <row r="4646" spans="1:22" x14ac:dyDescent="0.35">
      <c r="A4646">
        <v>14645</v>
      </c>
      <c r="B4646" s="1">
        <v>49206</v>
      </c>
      <c r="C4646">
        <v>1559</v>
      </c>
      <c r="D4646" t="s">
        <v>67</v>
      </c>
      <c r="E4646" t="s">
        <v>63</v>
      </c>
      <c r="F4646">
        <v>5</v>
      </c>
      <c r="G4646" s="2">
        <v>375.99</v>
      </c>
      <c r="H4646">
        <v>0.19</v>
      </c>
      <c r="I4646" t="s">
        <v>68</v>
      </c>
      <c r="J4646">
        <v>2</v>
      </c>
      <c r="K4646">
        <v>2.2000000000000002</v>
      </c>
      <c r="L4646" s="2">
        <v>1522.76</v>
      </c>
      <c r="M4646">
        <v>2034</v>
      </c>
      <c r="N4646">
        <v>9</v>
      </c>
      <c r="O4646" t="s">
        <v>232</v>
      </c>
      <c r="P4646" s="2">
        <v>1879.95</v>
      </c>
      <c r="Q4646" s="2">
        <v>357.19</v>
      </c>
      <c r="R4646" t="s">
        <v>76</v>
      </c>
      <c r="S4646">
        <v>1</v>
      </c>
      <c r="T4646">
        <v>0</v>
      </c>
      <c r="U4646">
        <f>IF(AND(OR(Dashboard!$D$4="Semua",D4646=Dashboard!$D$4),OR(Dashboard!$H$4="Semua",E4646=Dashboard!$H$4)),1,0)</f>
        <v>1</v>
      </c>
      <c r="V4646">
        <f>IF(U4646=1,IF(COUNTIFS($C$2:C4646,C4646,$U$2:U4646,1)=1,1,0),0)</f>
        <v>0</v>
      </c>
    </row>
    <row r="4647" spans="1:22" x14ac:dyDescent="0.35">
      <c r="A4647">
        <v>14646</v>
      </c>
      <c r="B4647" s="1">
        <v>49207</v>
      </c>
      <c r="C4647">
        <v>1671</v>
      </c>
      <c r="D4647" t="s">
        <v>73</v>
      </c>
      <c r="E4647" t="s">
        <v>74</v>
      </c>
      <c r="F4647">
        <v>1</v>
      </c>
      <c r="G4647" s="2">
        <v>338.79</v>
      </c>
      <c r="H4647">
        <v>0.31</v>
      </c>
      <c r="I4647" t="s">
        <v>71</v>
      </c>
      <c r="J4647">
        <v>10</v>
      </c>
      <c r="K4647">
        <v>4.3</v>
      </c>
      <c r="L4647" s="2">
        <v>233.77</v>
      </c>
      <c r="M4647">
        <v>2034</v>
      </c>
      <c r="N4647">
        <v>9</v>
      </c>
      <c r="O4647" t="s">
        <v>232</v>
      </c>
      <c r="P4647" s="2">
        <v>338.79</v>
      </c>
      <c r="Q4647" s="2">
        <v>105.02</v>
      </c>
      <c r="R4647" t="s">
        <v>72</v>
      </c>
      <c r="S4647">
        <v>1</v>
      </c>
      <c r="T4647">
        <v>0</v>
      </c>
      <c r="U4647">
        <f>IF(AND(OR(Dashboard!$D$4="Semua",D4647=Dashboard!$D$4),OR(Dashboard!$H$4="Semua",E4647=Dashboard!$H$4)),1,0)</f>
        <v>1</v>
      </c>
      <c r="V4647">
        <f>IF(U4647=1,IF(COUNTIFS($C$2:C4647,C4647,$U$2:U4647,1)=1,1,0),0)</f>
        <v>0</v>
      </c>
    </row>
    <row r="4648" spans="1:22" x14ac:dyDescent="0.35">
      <c r="A4648">
        <v>14647</v>
      </c>
      <c r="B4648" s="1">
        <v>49208</v>
      </c>
      <c r="C4648">
        <v>1824</v>
      </c>
      <c r="D4648" t="s">
        <v>67</v>
      </c>
      <c r="E4648" t="s">
        <v>63</v>
      </c>
      <c r="F4648">
        <v>5</v>
      </c>
      <c r="G4648" s="2">
        <v>66.75</v>
      </c>
      <c r="H4648">
        <v>0.25</v>
      </c>
      <c r="I4648" t="s">
        <v>64</v>
      </c>
      <c r="J4648">
        <v>8</v>
      </c>
      <c r="K4648">
        <v>3.3</v>
      </c>
      <c r="L4648" s="2">
        <v>250.31</v>
      </c>
      <c r="M4648">
        <v>2034</v>
      </c>
      <c r="N4648">
        <v>9</v>
      </c>
      <c r="O4648" t="s">
        <v>232</v>
      </c>
      <c r="P4648" s="2">
        <v>333.75</v>
      </c>
      <c r="Q4648" s="2">
        <v>83.44</v>
      </c>
      <c r="R4648" t="s">
        <v>77</v>
      </c>
      <c r="S4648">
        <v>1</v>
      </c>
      <c r="T4648">
        <v>0</v>
      </c>
      <c r="U4648">
        <f>IF(AND(OR(Dashboard!$D$4="Semua",D4648=Dashboard!$D$4),OR(Dashboard!$H$4="Semua",E4648=Dashboard!$H$4)),1,0)</f>
        <v>1</v>
      </c>
      <c r="V4648">
        <f>IF(U4648=1,IF(COUNTIFS($C$2:C4648,C4648,$U$2:U4648,1)=1,1,0),0)</f>
        <v>0</v>
      </c>
    </row>
    <row r="4649" spans="1:22" x14ac:dyDescent="0.35">
      <c r="A4649">
        <v>14648</v>
      </c>
      <c r="B4649" s="1">
        <v>49209</v>
      </c>
      <c r="C4649">
        <v>1117</v>
      </c>
      <c r="D4649" t="s">
        <v>67</v>
      </c>
      <c r="E4649" t="s">
        <v>70</v>
      </c>
      <c r="F4649">
        <v>4</v>
      </c>
      <c r="G4649" s="2">
        <v>441.76</v>
      </c>
      <c r="H4649">
        <v>0.19</v>
      </c>
      <c r="I4649" t="s">
        <v>68</v>
      </c>
      <c r="J4649">
        <v>9</v>
      </c>
      <c r="K4649">
        <v>4.0999999999999996</v>
      </c>
      <c r="L4649" s="2">
        <v>1431.3</v>
      </c>
      <c r="M4649">
        <v>2034</v>
      </c>
      <c r="N4649">
        <v>9</v>
      </c>
      <c r="O4649" t="s">
        <v>232</v>
      </c>
      <c r="P4649" s="2">
        <v>1767.04</v>
      </c>
      <c r="Q4649" s="2">
        <v>335.74</v>
      </c>
      <c r="R4649" t="s">
        <v>76</v>
      </c>
      <c r="S4649">
        <v>1</v>
      </c>
      <c r="T4649">
        <v>0</v>
      </c>
      <c r="U4649">
        <f>IF(AND(OR(Dashboard!$D$4="Semua",D4649=Dashboard!$D$4),OR(Dashboard!$H$4="Semua",E4649=Dashboard!$H$4)),1,0)</f>
        <v>1</v>
      </c>
      <c r="V4649">
        <f>IF(U4649=1,IF(COUNTIFS($C$2:C4649,C4649,$U$2:U4649,1)=1,1,0),0)</f>
        <v>0</v>
      </c>
    </row>
    <row r="4650" spans="1:22" x14ac:dyDescent="0.35">
      <c r="A4650">
        <v>14649</v>
      </c>
      <c r="B4650" s="1">
        <v>49210</v>
      </c>
      <c r="C4650">
        <v>1611</v>
      </c>
      <c r="D4650" t="s">
        <v>80</v>
      </c>
      <c r="E4650" t="s">
        <v>74</v>
      </c>
      <c r="F4650">
        <v>4</v>
      </c>
      <c r="G4650" s="2">
        <v>367.2</v>
      </c>
      <c r="H4650">
        <v>0.26</v>
      </c>
      <c r="I4650" t="s">
        <v>68</v>
      </c>
      <c r="J4650">
        <v>11</v>
      </c>
      <c r="K4650">
        <v>4.7</v>
      </c>
      <c r="L4650" s="2">
        <v>1086.9100000000001</v>
      </c>
      <c r="M4650">
        <v>2034</v>
      </c>
      <c r="N4650">
        <v>9</v>
      </c>
      <c r="O4650" t="s">
        <v>232</v>
      </c>
      <c r="P4650" s="2">
        <v>1468.8</v>
      </c>
      <c r="Q4650" s="2">
        <v>381.89</v>
      </c>
      <c r="R4650" t="s">
        <v>66</v>
      </c>
      <c r="S4650">
        <v>1</v>
      </c>
      <c r="T4650">
        <v>0</v>
      </c>
      <c r="U4650">
        <f>IF(AND(OR(Dashboard!$D$4="Semua",D4650=Dashboard!$D$4),OR(Dashboard!$H$4="Semua",E4650=Dashboard!$H$4)),1,0)</f>
        <v>1</v>
      </c>
      <c r="V4650">
        <f>IF(U4650=1,IF(COUNTIFS($C$2:C4650,C4650,$U$2:U4650,1)=1,1,0),0)</f>
        <v>0</v>
      </c>
    </row>
    <row r="4651" spans="1:22" x14ac:dyDescent="0.35">
      <c r="A4651">
        <v>14650</v>
      </c>
      <c r="B4651" s="1">
        <v>49211</v>
      </c>
      <c r="C4651">
        <v>1379</v>
      </c>
      <c r="D4651" t="s">
        <v>62</v>
      </c>
      <c r="E4651" t="s">
        <v>63</v>
      </c>
      <c r="F4651">
        <v>1</v>
      </c>
      <c r="G4651" s="2">
        <v>401.96</v>
      </c>
      <c r="H4651">
        <v>0.01</v>
      </c>
      <c r="I4651" t="s">
        <v>71</v>
      </c>
      <c r="J4651">
        <v>2</v>
      </c>
      <c r="K4651">
        <v>1.6</v>
      </c>
      <c r="L4651" s="2">
        <v>397.94</v>
      </c>
      <c r="M4651">
        <v>2034</v>
      </c>
      <c r="N4651">
        <v>9</v>
      </c>
      <c r="O4651" t="s">
        <v>232</v>
      </c>
      <c r="P4651" s="2">
        <v>401.96</v>
      </c>
      <c r="Q4651" s="2">
        <v>4.0199999999999996</v>
      </c>
      <c r="R4651" t="s">
        <v>75</v>
      </c>
      <c r="S4651">
        <v>1</v>
      </c>
      <c r="T4651">
        <v>0</v>
      </c>
      <c r="U4651">
        <f>IF(AND(OR(Dashboard!$D$4="Semua",D4651=Dashboard!$D$4),OR(Dashboard!$H$4="Semua",E4651=Dashboard!$H$4)),1,0)</f>
        <v>1</v>
      </c>
      <c r="V4651">
        <f>IF(U4651=1,IF(COUNTIFS($C$2:C4651,C4651,$U$2:U4651,1)=1,1,0),0)</f>
        <v>0</v>
      </c>
    </row>
    <row r="4652" spans="1:22" x14ac:dyDescent="0.35">
      <c r="A4652">
        <v>14651</v>
      </c>
      <c r="B4652" s="1">
        <v>49212</v>
      </c>
      <c r="C4652">
        <v>1928</v>
      </c>
      <c r="D4652" t="s">
        <v>62</v>
      </c>
      <c r="E4652" t="s">
        <v>74</v>
      </c>
      <c r="F4652">
        <v>1</v>
      </c>
      <c r="G4652" s="2">
        <v>540.79999999999995</v>
      </c>
      <c r="H4652">
        <v>0.01</v>
      </c>
      <c r="I4652" t="s">
        <v>71</v>
      </c>
      <c r="J4652">
        <v>6</v>
      </c>
      <c r="K4652">
        <v>2.4</v>
      </c>
      <c r="L4652" s="2">
        <v>535.39</v>
      </c>
      <c r="M4652">
        <v>2034</v>
      </c>
      <c r="N4652">
        <v>9</v>
      </c>
      <c r="O4652" t="s">
        <v>232</v>
      </c>
      <c r="P4652" s="2">
        <v>540.79999999999995</v>
      </c>
      <c r="Q4652" s="2">
        <v>5.41</v>
      </c>
      <c r="R4652" t="s">
        <v>75</v>
      </c>
      <c r="S4652">
        <v>1</v>
      </c>
      <c r="T4652">
        <v>0</v>
      </c>
      <c r="U4652">
        <f>IF(AND(OR(Dashboard!$D$4="Semua",D4652=Dashboard!$D$4),OR(Dashboard!$H$4="Semua",E4652=Dashboard!$H$4)),1,0)</f>
        <v>1</v>
      </c>
      <c r="V4652">
        <f>IF(U4652=1,IF(COUNTIFS($C$2:C4652,C4652,$U$2:U4652,1)=1,1,0),0)</f>
        <v>0</v>
      </c>
    </row>
    <row r="4653" spans="1:22" x14ac:dyDescent="0.35">
      <c r="A4653">
        <v>14652</v>
      </c>
      <c r="B4653" s="1">
        <v>49213</v>
      </c>
      <c r="C4653">
        <v>1919</v>
      </c>
      <c r="D4653" t="s">
        <v>62</v>
      </c>
      <c r="E4653" t="s">
        <v>74</v>
      </c>
      <c r="F4653">
        <v>7</v>
      </c>
      <c r="G4653" s="2">
        <v>473.62</v>
      </c>
      <c r="H4653">
        <v>0.03</v>
      </c>
      <c r="I4653" t="s">
        <v>68</v>
      </c>
      <c r="J4653">
        <v>11</v>
      </c>
      <c r="K4653">
        <v>1.2</v>
      </c>
      <c r="L4653" s="2">
        <v>3215.88</v>
      </c>
      <c r="M4653">
        <v>2034</v>
      </c>
      <c r="N4653">
        <v>9</v>
      </c>
      <c r="O4653" t="s">
        <v>232</v>
      </c>
      <c r="P4653" s="2">
        <v>3315.34</v>
      </c>
      <c r="Q4653" s="2">
        <v>99.46</v>
      </c>
      <c r="R4653" t="s">
        <v>75</v>
      </c>
      <c r="S4653">
        <v>1</v>
      </c>
      <c r="T4653">
        <v>0</v>
      </c>
      <c r="U4653">
        <f>IF(AND(OR(Dashboard!$D$4="Semua",D4653=Dashboard!$D$4),OR(Dashboard!$H$4="Semua",E4653=Dashboard!$H$4)),1,0)</f>
        <v>1</v>
      </c>
      <c r="V4653">
        <f>IF(U4653=1,IF(COUNTIFS($C$2:C4653,C4653,$U$2:U4653,1)=1,1,0),0)</f>
        <v>0</v>
      </c>
    </row>
    <row r="4654" spans="1:22" x14ac:dyDescent="0.35">
      <c r="A4654">
        <v>14653</v>
      </c>
      <c r="B4654" s="1">
        <v>49214</v>
      </c>
      <c r="C4654">
        <v>1678</v>
      </c>
      <c r="D4654" t="s">
        <v>73</v>
      </c>
      <c r="E4654" t="s">
        <v>74</v>
      </c>
      <c r="F4654">
        <v>3</v>
      </c>
      <c r="G4654" s="2">
        <v>471.84</v>
      </c>
      <c r="H4654">
        <v>0.15</v>
      </c>
      <c r="I4654" t="s">
        <v>64</v>
      </c>
      <c r="J4654">
        <v>1</v>
      </c>
      <c r="K4654">
        <v>2.6</v>
      </c>
      <c r="L4654" s="2">
        <v>1203.19</v>
      </c>
      <c r="M4654">
        <v>2034</v>
      </c>
      <c r="N4654">
        <v>9</v>
      </c>
      <c r="O4654" t="s">
        <v>232</v>
      </c>
      <c r="P4654" s="2">
        <v>1415.52</v>
      </c>
      <c r="Q4654" s="2">
        <v>212.33</v>
      </c>
      <c r="R4654" t="s">
        <v>79</v>
      </c>
      <c r="S4654">
        <v>1</v>
      </c>
      <c r="T4654">
        <v>0</v>
      </c>
      <c r="U4654">
        <f>IF(AND(OR(Dashboard!$D$4="Semua",D4654=Dashboard!$D$4),OR(Dashboard!$H$4="Semua",E4654=Dashboard!$H$4)),1,0)</f>
        <v>1</v>
      </c>
      <c r="V4654">
        <f>IF(U4654=1,IF(COUNTIFS($C$2:C4654,C4654,$U$2:U4654,1)=1,1,0),0)</f>
        <v>0</v>
      </c>
    </row>
    <row r="4655" spans="1:22" x14ac:dyDescent="0.35">
      <c r="A4655">
        <v>14654</v>
      </c>
      <c r="B4655" s="1">
        <v>49215</v>
      </c>
      <c r="C4655">
        <v>1289</v>
      </c>
      <c r="D4655" t="s">
        <v>73</v>
      </c>
      <c r="E4655" t="s">
        <v>78</v>
      </c>
      <c r="F4655">
        <v>5</v>
      </c>
      <c r="G4655" s="2">
        <v>557.4</v>
      </c>
      <c r="H4655">
        <v>0.08</v>
      </c>
      <c r="I4655" t="s">
        <v>71</v>
      </c>
      <c r="J4655">
        <v>8</v>
      </c>
      <c r="K4655">
        <v>1.9</v>
      </c>
      <c r="L4655" s="2">
        <v>2564.04</v>
      </c>
      <c r="M4655">
        <v>2034</v>
      </c>
      <c r="N4655">
        <v>9</v>
      </c>
      <c r="O4655" t="s">
        <v>232</v>
      </c>
      <c r="P4655" s="2">
        <v>2787</v>
      </c>
      <c r="Q4655" s="2">
        <v>222.96</v>
      </c>
      <c r="R4655" t="s">
        <v>69</v>
      </c>
      <c r="S4655">
        <v>1</v>
      </c>
      <c r="T4655">
        <v>0</v>
      </c>
      <c r="U4655">
        <f>IF(AND(OR(Dashboard!$D$4="Semua",D4655=Dashboard!$D$4),OR(Dashboard!$H$4="Semua",E4655=Dashboard!$H$4)),1,0)</f>
        <v>1</v>
      </c>
      <c r="V4655">
        <f>IF(U4655=1,IF(COUNTIFS($C$2:C4655,C4655,$U$2:U4655,1)=1,1,0),0)</f>
        <v>1</v>
      </c>
    </row>
    <row r="4656" spans="1:22" x14ac:dyDescent="0.35">
      <c r="A4656">
        <v>14655</v>
      </c>
      <c r="B4656" s="1">
        <v>49216</v>
      </c>
      <c r="C4656">
        <v>1439</v>
      </c>
      <c r="D4656" t="s">
        <v>73</v>
      </c>
      <c r="E4656" t="s">
        <v>63</v>
      </c>
      <c r="F4656">
        <v>3</v>
      </c>
      <c r="G4656" s="2">
        <v>594.11</v>
      </c>
      <c r="H4656">
        <v>0.34</v>
      </c>
      <c r="I4656" t="s">
        <v>68</v>
      </c>
      <c r="J4656">
        <v>5</v>
      </c>
      <c r="K4656">
        <v>3.3</v>
      </c>
      <c r="L4656" s="2">
        <v>1176.3399999999999</v>
      </c>
      <c r="M4656">
        <v>2034</v>
      </c>
      <c r="N4656">
        <v>9</v>
      </c>
      <c r="O4656" t="s">
        <v>232</v>
      </c>
      <c r="P4656" s="2">
        <v>1782.33</v>
      </c>
      <c r="Q4656" s="2">
        <v>605.99</v>
      </c>
      <c r="R4656" t="s">
        <v>72</v>
      </c>
      <c r="S4656">
        <v>1</v>
      </c>
      <c r="T4656">
        <v>0</v>
      </c>
      <c r="U4656">
        <f>IF(AND(OR(Dashboard!$D$4="Semua",D4656=Dashboard!$D$4),OR(Dashboard!$H$4="Semua",E4656=Dashboard!$H$4)),1,0)</f>
        <v>1</v>
      </c>
      <c r="V4656">
        <f>IF(U4656=1,IF(COUNTIFS($C$2:C4656,C4656,$U$2:U4656,1)=1,1,0),0)</f>
        <v>0</v>
      </c>
    </row>
    <row r="4657" spans="1:22" x14ac:dyDescent="0.35">
      <c r="A4657">
        <v>14656</v>
      </c>
      <c r="B4657" s="1">
        <v>49217</v>
      </c>
      <c r="C4657">
        <v>1667</v>
      </c>
      <c r="D4657" t="s">
        <v>62</v>
      </c>
      <c r="E4657" t="s">
        <v>78</v>
      </c>
      <c r="F4657">
        <v>2</v>
      </c>
      <c r="G4657" s="2">
        <v>355.05</v>
      </c>
      <c r="H4657">
        <v>0.19</v>
      </c>
      <c r="I4657" t="s">
        <v>68</v>
      </c>
      <c r="J4657">
        <v>9</v>
      </c>
      <c r="K4657">
        <v>4.0999999999999996</v>
      </c>
      <c r="L4657" s="2">
        <v>575.17999999999995</v>
      </c>
      <c r="M4657">
        <v>2034</v>
      </c>
      <c r="N4657">
        <v>9</v>
      </c>
      <c r="O4657" t="s">
        <v>232</v>
      </c>
      <c r="P4657" s="2">
        <v>710.1</v>
      </c>
      <c r="Q4657" s="2">
        <v>134.91999999999999</v>
      </c>
      <c r="R4657" t="s">
        <v>76</v>
      </c>
      <c r="S4657">
        <v>1</v>
      </c>
      <c r="T4657">
        <v>0</v>
      </c>
      <c r="U4657">
        <f>IF(AND(OR(Dashboard!$D$4="Semua",D4657=Dashboard!$D$4),OR(Dashboard!$H$4="Semua",E4657=Dashboard!$H$4)),1,0)</f>
        <v>1</v>
      </c>
      <c r="V4657">
        <f>IF(U4657=1,IF(COUNTIFS($C$2:C4657,C4657,$U$2:U4657,1)=1,1,0),0)</f>
        <v>0</v>
      </c>
    </row>
    <row r="4658" spans="1:22" x14ac:dyDescent="0.35">
      <c r="A4658">
        <v>14657</v>
      </c>
      <c r="B4658" s="1">
        <v>49218</v>
      </c>
      <c r="C4658">
        <v>1932</v>
      </c>
      <c r="D4658" t="s">
        <v>62</v>
      </c>
      <c r="E4658" t="s">
        <v>78</v>
      </c>
      <c r="F4658">
        <v>2</v>
      </c>
      <c r="G4658" s="2">
        <v>78.7</v>
      </c>
      <c r="H4658">
        <v>0.23</v>
      </c>
      <c r="I4658" t="s">
        <v>71</v>
      </c>
      <c r="J4658">
        <v>3</v>
      </c>
      <c r="K4658">
        <v>2.9</v>
      </c>
      <c r="L4658" s="2">
        <v>121.2</v>
      </c>
      <c r="M4658">
        <v>2034</v>
      </c>
      <c r="N4658">
        <v>10</v>
      </c>
      <c r="O4658" t="s">
        <v>233</v>
      </c>
      <c r="P4658" s="2">
        <v>157.4</v>
      </c>
      <c r="Q4658" s="2">
        <v>36.200000000000003</v>
      </c>
      <c r="R4658" t="s">
        <v>77</v>
      </c>
      <c r="S4658">
        <v>1</v>
      </c>
      <c r="T4658">
        <v>0</v>
      </c>
      <c r="U4658">
        <f>IF(AND(OR(Dashboard!$D$4="Semua",D4658=Dashboard!$D$4),OR(Dashboard!$H$4="Semua",E4658=Dashboard!$H$4)),1,0)</f>
        <v>1</v>
      </c>
      <c r="V4658">
        <f>IF(U4658=1,IF(COUNTIFS($C$2:C4658,C4658,$U$2:U4658,1)=1,1,0),0)</f>
        <v>0</v>
      </c>
    </row>
    <row r="4659" spans="1:22" x14ac:dyDescent="0.35">
      <c r="A4659">
        <v>14658</v>
      </c>
      <c r="B4659" s="1">
        <v>49219</v>
      </c>
      <c r="C4659">
        <v>1006</v>
      </c>
      <c r="D4659" t="s">
        <v>62</v>
      </c>
      <c r="E4659" t="s">
        <v>63</v>
      </c>
      <c r="F4659">
        <v>1</v>
      </c>
      <c r="G4659" s="2">
        <v>283.58999999999997</v>
      </c>
      <c r="H4659">
        <v>0.1</v>
      </c>
      <c r="I4659" t="s">
        <v>71</v>
      </c>
      <c r="J4659">
        <v>2</v>
      </c>
      <c r="K4659">
        <v>2.2999999999999998</v>
      </c>
      <c r="L4659" s="2">
        <v>255.23</v>
      </c>
      <c r="M4659">
        <v>2034</v>
      </c>
      <c r="N4659">
        <v>10</v>
      </c>
      <c r="O4659" t="s">
        <v>233</v>
      </c>
      <c r="P4659" s="2">
        <v>283.58999999999997</v>
      </c>
      <c r="Q4659" s="2">
        <v>28.36</v>
      </c>
      <c r="R4659" t="s">
        <v>69</v>
      </c>
      <c r="S4659">
        <v>1</v>
      </c>
      <c r="T4659">
        <v>0</v>
      </c>
      <c r="U4659">
        <f>IF(AND(OR(Dashboard!$D$4="Semua",D4659=Dashboard!$D$4),OR(Dashboard!$H$4="Semua",E4659=Dashboard!$H$4)),1,0)</f>
        <v>1</v>
      </c>
      <c r="V4659">
        <f>IF(U4659=1,IF(COUNTIFS($C$2:C4659,C4659,$U$2:U4659,1)=1,1,0),0)</f>
        <v>0</v>
      </c>
    </row>
    <row r="4660" spans="1:22" x14ac:dyDescent="0.35">
      <c r="A4660">
        <v>14659</v>
      </c>
      <c r="B4660" s="1">
        <v>49220</v>
      </c>
      <c r="C4660">
        <v>1195</v>
      </c>
      <c r="D4660" t="s">
        <v>73</v>
      </c>
      <c r="E4660" t="s">
        <v>74</v>
      </c>
      <c r="F4660">
        <v>4</v>
      </c>
      <c r="G4660" s="2">
        <v>475.75</v>
      </c>
      <c r="H4660">
        <v>0.11</v>
      </c>
      <c r="I4660" t="s">
        <v>68</v>
      </c>
      <c r="J4660">
        <v>7</v>
      </c>
      <c r="K4660">
        <v>1.6</v>
      </c>
      <c r="L4660" s="2">
        <v>1693.67</v>
      </c>
      <c r="M4660">
        <v>2034</v>
      </c>
      <c r="N4660">
        <v>10</v>
      </c>
      <c r="O4660" t="s">
        <v>233</v>
      </c>
      <c r="P4660" s="2">
        <v>1903</v>
      </c>
      <c r="Q4660" s="2">
        <v>209.33</v>
      </c>
      <c r="R4660" t="s">
        <v>79</v>
      </c>
      <c r="S4660">
        <v>1</v>
      </c>
      <c r="T4660">
        <v>0</v>
      </c>
      <c r="U4660">
        <f>IF(AND(OR(Dashboard!$D$4="Semua",D4660=Dashboard!$D$4),OR(Dashboard!$H$4="Semua",E4660=Dashboard!$H$4)),1,0)</f>
        <v>1</v>
      </c>
      <c r="V4660">
        <f>IF(U4660=1,IF(COUNTIFS($C$2:C4660,C4660,$U$2:U4660,1)=1,1,0),0)</f>
        <v>0</v>
      </c>
    </row>
    <row r="4661" spans="1:22" x14ac:dyDescent="0.35">
      <c r="A4661">
        <v>14660</v>
      </c>
      <c r="B4661" s="1">
        <v>49221</v>
      </c>
      <c r="C4661">
        <v>1420</v>
      </c>
      <c r="D4661" t="s">
        <v>62</v>
      </c>
      <c r="E4661" t="s">
        <v>78</v>
      </c>
      <c r="F4661">
        <v>2</v>
      </c>
      <c r="G4661" s="2">
        <v>31.22</v>
      </c>
      <c r="H4661">
        <v>0.12</v>
      </c>
      <c r="I4661" t="s">
        <v>64</v>
      </c>
      <c r="J4661">
        <v>11</v>
      </c>
      <c r="K4661">
        <v>1.1000000000000001</v>
      </c>
      <c r="L4661" s="2">
        <v>54.95</v>
      </c>
      <c r="M4661">
        <v>2034</v>
      </c>
      <c r="N4661">
        <v>10</v>
      </c>
      <c r="O4661" t="s">
        <v>233</v>
      </c>
      <c r="P4661" s="2">
        <v>62.44</v>
      </c>
      <c r="Q4661" s="2">
        <v>7.49</v>
      </c>
      <c r="R4661" t="s">
        <v>79</v>
      </c>
      <c r="S4661">
        <v>1</v>
      </c>
      <c r="T4661">
        <v>0</v>
      </c>
      <c r="U4661">
        <f>IF(AND(OR(Dashboard!$D$4="Semua",D4661=Dashboard!$D$4),OR(Dashboard!$H$4="Semua",E4661=Dashboard!$H$4)),1,0)</f>
        <v>1</v>
      </c>
      <c r="V4661">
        <f>IF(U4661=1,IF(COUNTIFS($C$2:C4661,C4661,$U$2:U4661,1)=1,1,0),0)</f>
        <v>0</v>
      </c>
    </row>
    <row r="4662" spans="1:22" x14ac:dyDescent="0.35">
      <c r="A4662">
        <v>14661</v>
      </c>
      <c r="B4662" s="1">
        <v>49222</v>
      </c>
      <c r="C4662">
        <v>1567</v>
      </c>
      <c r="D4662" t="s">
        <v>67</v>
      </c>
      <c r="E4662" t="s">
        <v>78</v>
      </c>
      <c r="F4662">
        <v>2</v>
      </c>
      <c r="G4662" s="2">
        <v>48.28</v>
      </c>
      <c r="H4662">
        <v>0.24</v>
      </c>
      <c r="I4662" t="s">
        <v>68</v>
      </c>
      <c r="J4662">
        <v>7</v>
      </c>
      <c r="K4662">
        <v>3.7</v>
      </c>
      <c r="L4662" s="2">
        <v>73.39</v>
      </c>
      <c r="M4662">
        <v>2034</v>
      </c>
      <c r="N4662">
        <v>10</v>
      </c>
      <c r="O4662" t="s">
        <v>233</v>
      </c>
      <c r="P4662" s="2">
        <v>96.56</v>
      </c>
      <c r="Q4662" s="2">
        <v>23.17</v>
      </c>
      <c r="R4662" t="s">
        <v>77</v>
      </c>
      <c r="S4662">
        <v>1</v>
      </c>
      <c r="T4662">
        <v>0</v>
      </c>
      <c r="U4662">
        <f>IF(AND(OR(Dashboard!$D$4="Semua",D4662=Dashboard!$D$4),OR(Dashboard!$H$4="Semua",E4662=Dashboard!$H$4)),1,0)</f>
        <v>1</v>
      </c>
      <c r="V4662">
        <f>IF(U4662=1,IF(COUNTIFS($C$2:C4662,C4662,$U$2:U4662,1)=1,1,0),0)</f>
        <v>0</v>
      </c>
    </row>
    <row r="4663" spans="1:22" x14ac:dyDescent="0.35">
      <c r="A4663">
        <v>14662</v>
      </c>
      <c r="B4663" s="1">
        <v>49223</v>
      </c>
      <c r="C4663">
        <v>1832</v>
      </c>
      <c r="D4663" t="s">
        <v>73</v>
      </c>
      <c r="E4663" t="s">
        <v>78</v>
      </c>
      <c r="F4663">
        <v>3</v>
      </c>
      <c r="G4663" s="2">
        <v>54.29</v>
      </c>
      <c r="H4663">
        <v>0.17</v>
      </c>
      <c r="I4663" t="s">
        <v>71</v>
      </c>
      <c r="J4663">
        <v>10</v>
      </c>
      <c r="K4663">
        <v>1.1000000000000001</v>
      </c>
      <c r="L4663" s="2">
        <v>135.18</v>
      </c>
      <c r="M4663">
        <v>2034</v>
      </c>
      <c r="N4663">
        <v>10</v>
      </c>
      <c r="O4663" t="s">
        <v>233</v>
      </c>
      <c r="P4663" s="2">
        <v>162.87</v>
      </c>
      <c r="Q4663" s="2">
        <v>27.69</v>
      </c>
      <c r="R4663" t="s">
        <v>76</v>
      </c>
      <c r="S4663">
        <v>1</v>
      </c>
      <c r="T4663">
        <v>0</v>
      </c>
      <c r="U4663">
        <f>IF(AND(OR(Dashboard!$D$4="Semua",D4663=Dashboard!$D$4),OR(Dashboard!$H$4="Semua",E4663=Dashboard!$H$4)),1,0)</f>
        <v>1</v>
      </c>
      <c r="V4663">
        <f>IF(U4663=1,IF(COUNTIFS($C$2:C4663,C4663,$U$2:U4663,1)=1,1,0),0)</f>
        <v>0</v>
      </c>
    </row>
    <row r="4664" spans="1:22" x14ac:dyDescent="0.35">
      <c r="A4664">
        <v>14663</v>
      </c>
      <c r="B4664" s="1">
        <v>49224</v>
      </c>
      <c r="C4664">
        <v>1192</v>
      </c>
      <c r="D4664" t="s">
        <v>67</v>
      </c>
      <c r="E4664" t="s">
        <v>74</v>
      </c>
      <c r="F4664">
        <v>3</v>
      </c>
      <c r="G4664" s="2">
        <v>442.66</v>
      </c>
      <c r="H4664">
        <v>0.18</v>
      </c>
      <c r="I4664" t="s">
        <v>68</v>
      </c>
      <c r="J4664">
        <v>5</v>
      </c>
      <c r="K4664">
        <v>4.7</v>
      </c>
      <c r="L4664" s="2">
        <v>1088.94</v>
      </c>
      <c r="M4664">
        <v>2034</v>
      </c>
      <c r="N4664">
        <v>10</v>
      </c>
      <c r="O4664" t="s">
        <v>233</v>
      </c>
      <c r="P4664" s="2">
        <v>1327.98</v>
      </c>
      <c r="Q4664" s="2">
        <v>239.04</v>
      </c>
      <c r="R4664" t="s">
        <v>76</v>
      </c>
      <c r="S4664">
        <v>1</v>
      </c>
      <c r="T4664">
        <v>0</v>
      </c>
      <c r="U4664">
        <f>IF(AND(OR(Dashboard!$D$4="Semua",D4664=Dashboard!$D$4),OR(Dashboard!$H$4="Semua",E4664=Dashboard!$H$4)),1,0)</f>
        <v>1</v>
      </c>
      <c r="V4664">
        <f>IF(U4664=1,IF(COUNTIFS($C$2:C4664,C4664,$U$2:U4664,1)=1,1,0),0)</f>
        <v>0</v>
      </c>
    </row>
    <row r="4665" spans="1:22" x14ac:dyDescent="0.35">
      <c r="A4665">
        <v>14664</v>
      </c>
      <c r="B4665" s="1">
        <v>49225</v>
      </c>
      <c r="C4665">
        <v>1558</v>
      </c>
      <c r="D4665" t="s">
        <v>73</v>
      </c>
      <c r="E4665" t="s">
        <v>78</v>
      </c>
      <c r="F4665">
        <v>7</v>
      </c>
      <c r="G4665" s="2">
        <v>308.18</v>
      </c>
      <c r="H4665">
        <v>0.21</v>
      </c>
      <c r="I4665" t="s">
        <v>64</v>
      </c>
      <c r="J4665">
        <v>7</v>
      </c>
      <c r="K4665">
        <v>3.4</v>
      </c>
      <c r="L4665" s="2">
        <v>1704.24</v>
      </c>
      <c r="M4665">
        <v>2034</v>
      </c>
      <c r="N4665">
        <v>10</v>
      </c>
      <c r="O4665" t="s">
        <v>233</v>
      </c>
      <c r="P4665" s="2">
        <v>2157.2600000000002</v>
      </c>
      <c r="Q4665" s="2">
        <v>453.02</v>
      </c>
      <c r="R4665" t="s">
        <v>77</v>
      </c>
      <c r="S4665">
        <v>1</v>
      </c>
      <c r="T4665">
        <v>0</v>
      </c>
      <c r="U4665">
        <f>IF(AND(OR(Dashboard!$D$4="Semua",D4665=Dashboard!$D$4),OR(Dashboard!$H$4="Semua",E4665=Dashboard!$H$4)),1,0)</f>
        <v>1</v>
      </c>
      <c r="V4665">
        <f>IF(U4665=1,IF(COUNTIFS($C$2:C4665,C4665,$U$2:U4665,1)=1,1,0),0)</f>
        <v>0</v>
      </c>
    </row>
    <row r="4666" spans="1:22" x14ac:dyDescent="0.35">
      <c r="A4666">
        <v>14665</v>
      </c>
      <c r="B4666" s="1">
        <v>49226</v>
      </c>
      <c r="C4666">
        <v>1147</v>
      </c>
      <c r="D4666" t="s">
        <v>67</v>
      </c>
      <c r="E4666" t="s">
        <v>70</v>
      </c>
      <c r="F4666">
        <v>7</v>
      </c>
      <c r="G4666" s="2">
        <v>230.81</v>
      </c>
      <c r="H4666">
        <v>0.27</v>
      </c>
      <c r="I4666" t="s">
        <v>71</v>
      </c>
      <c r="J4666">
        <v>6</v>
      </c>
      <c r="K4666">
        <v>2.4</v>
      </c>
      <c r="L4666" s="2">
        <v>1179.44</v>
      </c>
      <c r="M4666">
        <v>2034</v>
      </c>
      <c r="N4666">
        <v>10</v>
      </c>
      <c r="O4666" t="s">
        <v>233</v>
      </c>
      <c r="P4666" s="2">
        <v>1615.67</v>
      </c>
      <c r="Q4666" s="2">
        <v>436.23</v>
      </c>
      <c r="R4666" t="s">
        <v>66</v>
      </c>
      <c r="S4666">
        <v>1</v>
      </c>
      <c r="T4666">
        <v>0</v>
      </c>
      <c r="U4666">
        <f>IF(AND(OR(Dashboard!$D$4="Semua",D4666=Dashboard!$D$4),OR(Dashboard!$H$4="Semua",E4666=Dashboard!$H$4)),1,0)</f>
        <v>1</v>
      </c>
      <c r="V4666">
        <f>IF(U4666=1,IF(COUNTIFS($C$2:C4666,C4666,$U$2:U4666,1)=1,1,0),0)</f>
        <v>0</v>
      </c>
    </row>
    <row r="4667" spans="1:22" x14ac:dyDescent="0.35">
      <c r="A4667">
        <v>14666</v>
      </c>
      <c r="B4667" s="1">
        <v>49227</v>
      </c>
      <c r="C4667">
        <v>1786</v>
      </c>
      <c r="D4667" t="s">
        <v>73</v>
      </c>
      <c r="E4667" t="s">
        <v>63</v>
      </c>
      <c r="F4667">
        <v>2</v>
      </c>
      <c r="G4667" s="2">
        <v>76.790000000000006</v>
      </c>
      <c r="H4667">
        <v>0.03</v>
      </c>
      <c r="I4667" t="s">
        <v>68</v>
      </c>
      <c r="J4667">
        <v>9</v>
      </c>
      <c r="K4667">
        <v>1.2</v>
      </c>
      <c r="L4667" s="2">
        <v>148.97</v>
      </c>
      <c r="M4667">
        <v>2034</v>
      </c>
      <c r="N4667">
        <v>10</v>
      </c>
      <c r="O4667" t="s">
        <v>233</v>
      </c>
      <c r="P4667" s="2">
        <v>153.58000000000001</v>
      </c>
      <c r="Q4667" s="2">
        <v>4.6100000000000003</v>
      </c>
      <c r="R4667" t="s">
        <v>75</v>
      </c>
      <c r="S4667">
        <v>1</v>
      </c>
      <c r="T4667">
        <v>0</v>
      </c>
      <c r="U4667">
        <f>IF(AND(OR(Dashboard!$D$4="Semua",D4667=Dashboard!$D$4),OR(Dashboard!$H$4="Semua",E4667=Dashboard!$H$4)),1,0)</f>
        <v>1</v>
      </c>
      <c r="V4667">
        <f>IF(U4667=1,IF(COUNTIFS($C$2:C4667,C4667,$U$2:U4667,1)=1,1,0),0)</f>
        <v>0</v>
      </c>
    </row>
    <row r="4668" spans="1:22" x14ac:dyDescent="0.35">
      <c r="A4668">
        <v>14667</v>
      </c>
      <c r="B4668" s="1">
        <v>49228</v>
      </c>
      <c r="C4668">
        <v>1668</v>
      </c>
      <c r="D4668" t="s">
        <v>67</v>
      </c>
      <c r="E4668" t="s">
        <v>70</v>
      </c>
      <c r="F4668">
        <v>1</v>
      </c>
      <c r="G4668" s="2">
        <v>443.36</v>
      </c>
      <c r="H4668">
        <v>0.27</v>
      </c>
      <c r="I4668" t="s">
        <v>64</v>
      </c>
      <c r="J4668">
        <v>3</v>
      </c>
      <c r="K4668">
        <v>2.7</v>
      </c>
      <c r="L4668" s="2">
        <v>323.64999999999998</v>
      </c>
      <c r="M4668">
        <v>2034</v>
      </c>
      <c r="N4668">
        <v>10</v>
      </c>
      <c r="O4668" t="s">
        <v>233</v>
      </c>
      <c r="P4668" s="2">
        <v>443.36</v>
      </c>
      <c r="Q4668" s="2">
        <v>119.71</v>
      </c>
      <c r="R4668" t="s">
        <v>66</v>
      </c>
      <c r="S4668">
        <v>1</v>
      </c>
      <c r="T4668">
        <v>0</v>
      </c>
      <c r="U4668">
        <f>IF(AND(OR(Dashboard!$D$4="Semua",D4668=Dashboard!$D$4),OR(Dashboard!$H$4="Semua",E4668=Dashboard!$H$4)),1,0)</f>
        <v>1</v>
      </c>
      <c r="V4668">
        <f>IF(U4668=1,IF(COUNTIFS($C$2:C4668,C4668,$U$2:U4668,1)=1,1,0),0)</f>
        <v>0</v>
      </c>
    </row>
    <row r="4669" spans="1:22" x14ac:dyDescent="0.35">
      <c r="A4669">
        <v>14668</v>
      </c>
      <c r="B4669" s="1">
        <v>49229</v>
      </c>
      <c r="C4669">
        <v>1201</v>
      </c>
      <c r="D4669" t="s">
        <v>67</v>
      </c>
      <c r="E4669" t="s">
        <v>74</v>
      </c>
      <c r="F4669">
        <v>3</v>
      </c>
      <c r="G4669" s="2">
        <v>202.8</v>
      </c>
      <c r="H4669">
        <v>0.2</v>
      </c>
      <c r="I4669" t="s">
        <v>68</v>
      </c>
      <c r="J4669">
        <v>4</v>
      </c>
      <c r="K4669">
        <v>4.5</v>
      </c>
      <c r="L4669" s="2">
        <v>486.72</v>
      </c>
      <c r="M4669">
        <v>2034</v>
      </c>
      <c r="N4669">
        <v>10</v>
      </c>
      <c r="O4669" t="s">
        <v>233</v>
      </c>
      <c r="P4669" s="2">
        <v>608.4</v>
      </c>
      <c r="Q4669" s="2">
        <v>121.68</v>
      </c>
      <c r="R4669" t="s">
        <v>76</v>
      </c>
      <c r="S4669">
        <v>1</v>
      </c>
      <c r="T4669">
        <v>0</v>
      </c>
      <c r="U4669">
        <f>IF(AND(OR(Dashboard!$D$4="Semua",D4669=Dashboard!$D$4),OR(Dashboard!$H$4="Semua",E4669=Dashboard!$H$4)),1,0)</f>
        <v>1</v>
      </c>
      <c r="V4669">
        <f>IF(U4669=1,IF(COUNTIFS($C$2:C4669,C4669,$U$2:U4669,1)=1,1,0),0)</f>
        <v>0</v>
      </c>
    </row>
    <row r="4670" spans="1:22" x14ac:dyDescent="0.35">
      <c r="A4670">
        <v>14669</v>
      </c>
      <c r="B4670" s="1">
        <v>49230</v>
      </c>
      <c r="C4670">
        <v>1443</v>
      </c>
      <c r="D4670" t="s">
        <v>62</v>
      </c>
      <c r="E4670" t="s">
        <v>78</v>
      </c>
      <c r="F4670">
        <v>2</v>
      </c>
      <c r="G4670" s="2">
        <v>170.21</v>
      </c>
      <c r="H4670">
        <v>0.23</v>
      </c>
      <c r="I4670" t="s">
        <v>71</v>
      </c>
      <c r="J4670">
        <v>9</v>
      </c>
      <c r="K4670">
        <v>4.9000000000000004</v>
      </c>
      <c r="L4670" s="2">
        <v>262.12</v>
      </c>
      <c r="M4670">
        <v>2034</v>
      </c>
      <c r="N4670">
        <v>10</v>
      </c>
      <c r="O4670" t="s">
        <v>233</v>
      </c>
      <c r="P4670" s="2">
        <v>340.42</v>
      </c>
      <c r="Q4670" s="2">
        <v>78.3</v>
      </c>
      <c r="R4670" t="s">
        <v>77</v>
      </c>
      <c r="S4670">
        <v>1</v>
      </c>
      <c r="T4670">
        <v>0</v>
      </c>
      <c r="U4670">
        <f>IF(AND(OR(Dashboard!$D$4="Semua",D4670=Dashboard!$D$4),OR(Dashboard!$H$4="Semua",E4670=Dashboard!$H$4)),1,0)</f>
        <v>1</v>
      </c>
      <c r="V4670">
        <f>IF(U4670=1,IF(COUNTIFS($C$2:C4670,C4670,$U$2:U4670,1)=1,1,0),0)</f>
        <v>0</v>
      </c>
    </row>
    <row r="4671" spans="1:22" x14ac:dyDescent="0.35">
      <c r="A4671">
        <v>14670</v>
      </c>
      <c r="B4671" s="1">
        <v>49231</v>
      </c>
      <c r="C4671">
        <v>1913</v>
      </c>
      <c r="D4671" t="s">
        <v>80</v>
      </c>
      <c r="E4671" t="s">
        <v>63</v>
      </c>
      <c r="F4671">
        <v>4</v>
      </c>
      <c r="G4671" s="2">
        <v>396.61</v>
      </c>
      <c r="H4671">
        <v>0.11</v>
      </c>
      <c r="I4671" t="s">
        <v>64</v>
      </c>
      <c r="J4671">
        <v>10</v>
      </c>
      <c r="K4671">
        <v>1.3</v>
      </c>
      <c r="L4671" s="2">
        <v>1411.93</v>
      </c>
      <c r="M4671">
        <v>2034</v>
      </c>
      <c r="N4671">
        <v>10</v>
      </c>
      <c r="O4671" t="s">
        <v>233</v>
      </c>
      <c r="P4671" s="2">
        <v>1586.44</v>
      </c>
      <c r="Q4671" s="2">
        <v>174.51</v>
      </c>
      <c r="R4671" t="s">
        <v>79</v>
      </c>
      <c r="S4671">
        <v>1</v>
      </c>
      <c r="T4671">
        <v>0</v>
      </c>
      <c r="U4671">
        <f>IF(AND(OR(Dashboard!$D$4="Semua",D4671=Dashboard!$D$4),OR(Dashboard!$H$4="Semua",E4671=Dashboard!$H$4)),1,0)</f>
        <v>1</v>
      </c>
      <c r="V4671">
        <f>IF(U4671=1,IF(COUNTIFS($C$2:C4671,C4671,$U$2:U4671,1)=1,1,0),0)</f>
        <v>0</v>
      </c>
    </row>
    <row r="4672" spans="1:22" x14ac:dyDescent="0.35">
      <c r="A4672">
        <v>14671</v>
      </c>
      <c r="B4672" s="1">
        <v>49232</v>
      </c>
      <c r="C4672">
        <v>1987</v>
      </c>
      <c r="D4672" t="s">
        <v>67</v>
      </c>
      <c r="E4672" t="s">
        <v>78</v>
      </c>
      <c r="F4672">
        <v>3</v>
      </c>
      <c r="G4672" s="2">
        <v>342.02</v>
      </c>
      <c r="H4672">
        <v>0.14000000000000001</v>
      </c>
      <c r="I4672" t="s">
        <v>71</v>
      </c>
      <c r="J4672">
        <v>8</v>
      </c>
      <c r="K4672">
        <v>4.0999999999999996</v>
      </c>
      <c r="L4672" s="2">
        <v>882.41</v>
      </c>
      <c r="M4672">
        <v>2034</v>
      </c>
      <c r="N4672">
        <v>10</v>
      </c>
      <c r="O4672" t="s">
        <v>233</v>
      </c>
      <c r="P4672" s="2">
        <v>1026.06</v>
      </c>
      <c r="Q4672" s="2">
        <v>143.65</v>
      </c>
      <c r="R4672" t="s">
        <v>79</v>
      </c>
      <c r="S4672">
        <v>1</v>
      </c>
      <c r="T4672">
        <v>0</v>
      </c>
      <c r="U4672">
        <f>IF(AND(OR(Dashboard!$D$4="Semua",D4672=Dashboard!$D$4),OR(Dashboard!$H$4="Semua",E4672=Dashboard!$H$4)),1,0)</f>
        <v>1</v>
      </c>
      <c r="V4672">
        <f>IF(U4672=1,IF(COUNTIFS($C$2:C4672,C4672,$U$2:U4672,1)=1,1,0),0)</f>
        <v>0</v>
      </c>
    </row>
    <row r="4673" spans="1:22" x14ac:dyDescent="0.35">
      <c r="A4673">
        <v>14672</v>
      </c>
      <c r="B4673" s="1">
        <v>49233</v>
      </c>
      <c r="C4673">
        <v>1418</v>
      </c>
      <c r="D4673" t="s">
        <v>80</v>
      </c>
      <c r="E4673" t="s">
        <v>74</v>
      </c>
      <c r="F4673">
        <v>2</v>
      </c>
      <c r="G4673" s="2">
        <v>227.01</v>
      </c>
      <c r="H4673">
        <v>0.08</v>
      </c>
      <c r="I4673" t="s">
        <v>64</v>
      </c>
      <c r="J4673">
        <v>10</v>
      </c>
      <c r="K4673">
        <v>2</v>
      </c>
      <c r="L4673" s="2">
        <v>417.7</v>
      </c>
      <c r="M4673">
        <v>2034</v>
      </c>
      <c r="N4673">
        <v>10</v>
      </c>
      <c r="O4673" t="s">
        <v>233</v>
      </c>
      <c r="P4673" s="2">
        <v>454.02</v>
      </c>
      <c r="Q4673" s="2">
        <v>36.32</v>
      </c>
      <c r="R4673" t="s">
        <v>69</v>
      </c>
      <c r="S4673">
        <v>1</v>
      </c>
      <c r="T4673">
        <v>0</v>
      </c>
      <c r="U4673">
        <f>IF(AND(OR(Dashboard!$D$4="Semua",D4673=Dashboard!$D$4),OR(Dashboard!$H$4="Semua",E4673=Dashboard!$H$4)),1,0)</f>
        <v>1</v>
      </c>
      <c r="V4673">
        <f>IF(U4673=1,IF(COUNTIFS($C$2:C4673,C4673,$U$2:U4673,1)=1,1,0),0)</f>
        <v>0</v>
      </c>
    </row>
    <row r="4674" spans="1:22" x14ac:dyDescent="0.35">
      <c r="A4674">
        <v>14673</v>
      </c>
      <c r="B4674" s="1">
        <v>49234</v>
      </c>
      <c r="C4674">
        <v>1426</v>
      </c>
      <c r="D4674" t="s">
        <v>62</v>
      </c>
      <c r="E4674" t="s">
        <v>63</v>
      </c>
      <c r="F4674">
        <v>7</v>
      </c>
      <c r="G4674" s="2">
        <v>390.27</v>
      </c>
      <c r="H4674">
        <v>0.34</v>
      </c>
      <c r="I4674" t="s">
        <v>64</v>
      </c>
      <c r="J4674">
        <v>6</v>
      </c>
      <c r="K4674">
        <v>2.5</v>
      </c>
      <c r="L4674" s="2">
        <v>1803.05</v>
      </c>
      <c r="M4674">
        <v>2034</v>
      </c>
      <c r="N4674">
        <v>10</v>
      </c>
      <c r="O4674" t="s">
        <v>233</v>
      </c>
      <c r="P4674" s="2">
        <v>2731.89</v>
      </c>
      <c r="Q4674" s="2">
        <v>928.84</v>
      </c>
      <c r="R4674" t="s">
        <v>72</v>
      </c>
      <c r="S4674">
        <v>1</v>
      </c>
      <c r="T4674">
        <v>0</v>
      </c>
      <c r="U4674">
        <f>IF(AND(OR(Dashboard!$D$4="Semua",D4674=Dashboard!$D$4),OR(Dashboard!$H$4="Semua",E4674=Dashboard!$H$4)),1,0)</f>
        <v>1</v>
      </c>
      <c r="V4674">
        <f>IF(U4674=1,IF(COUNTIFS($C$2:C4674,C4674,$U$2:U4674,1)=1,1,0),0)</f>
        <v>0</v>
      </c>
    </row>
    <row r="4675" spans="1:22" x14ac:dyDescent="0.35">
      <c r="A4675">
        <v>14674</v>
      </c>
      <c r="B4675" s="1">
        <v>49235</v>
      </c>
      <c r="C4675">
        <v>1478</v>
      </c>
      <c r="D4675" t="s">
        <v>73</v>
      </c>
      <c r="E4675" t="s">
        <v>70</v>
      </c>
      <c r="F4675">
        <v>5</v>
      </c>
      <c r="G4675" s="2">
        <v>173.66</v>
      </c>
      <c r="H4675">
        <v>0.17</v>
      </c>
      <c r="I4675" t="s">
        <v>64</v>
      </c>
      <c r="J4675">
        <v>3</v>
      </c>
      <c r="K4675">
        <v>3.2</v>
      </c>
      <c r="L4675" s="2">
        <v>720.69</v>
      </c>
      <c r="M4675">
        <v>2034</v>
      </c>
      <c r="N4675">
        <v>10</v>
      </c>
      <c r="O4675" t="s">
        <v>233</v>
      </c>
      <c r="P4675" s="2">
        <v>868.3</v>
      </c>
      <c r="Q4675" s="2">
        <v>147.61000000000001</v>
      </c>
      <c r="R4675" t="s">
        <v>76</v>
      </c>
      <c r="S4675">
        <v>1</v>
      </c>
      <c r="T4675">
        <v>0</v>
      </c>
      <c r="U4675">
        <f>IF(AND(OR(Dashboard!$D$4="Semua",D4675=Dashboard!$D$4),OR(Dashboard!$H$4="Semua",E4675=Dashboard!$H$4)),1,0)</f>
        <v>1</v>
      </c>
      <c r="V4675">
        <f>IF(U4675=1,IF(COUNTIFS($C$2:C4675,C4675,$U$2:U4675,1)=1,1,0),0)</f>
        <v>1</v>
      </c>
    </row>
    <row r="4676" spans="1:22" x14ac:dyDescent="0.35">
      <c r="A4676">
        <v>14675</v>
      </c>
      <c r="B4676" s="1">
        <v>49236</v>
      </c>
      <c r="C4676">
        <v>1474</v>
      </c>
      <c r="D4676" t="s">
        <v>67</v>
      </c>
      <c r="E4676" t="s">
        <v>63</v>
      </c>
      <c r="F4676">
        <v>3</v>
      </c>
      <c r="G4676" s="2">
        <v>479.98</v>
      </c>
      <c r="H4676">
        <v>0.35</v>
      </c>
      <c r="I4676" t="s">
        <v>68</v>
      </c>
      <c r="J4676">
        <v>9</v>
      </c>
      <c r="K4676">
        <v>5</v>
      </c>
      <c r="L4676" s="2">
        <v>935.96</v>
      </c>
      <c r="M4676">
        <v>2034</v>
      </c>
      <c r="N4676">
        <v>10</v>
      </c>
      <c r="O4676" t="s">
        <v>233</v>
      </c>
      <c r="P4676" s="2">
        <v>1439.94</v>
      </c>
      <c r="Q4676" s="2">
        <v>503.98</v>
      </c>
      <c r="R4676" t="s">
        <v>72</v>
      </c>
      <c r="S4676">
        <v>1</v>
      </c>
      <c r="T4676">
        <v>0</v>
      </c>
      <c r="U4676">
        <f>IF(AND(OR(Dashboard!$D$4="Semua",D4676=Dashboard!$D$4),OR(Dashboard!$H$4="Semua",E4676=Dashboard!$H$4)),1,0)</f>
        <v>1</v>
      </c>
      <c r="V4676">
        <f>IF(U4676=1,IF(COUNTIFS($C$2:C4676,C4676,$U$2:U4676,1)=1,1,0),0)</f>
        <v>0</v>
      </c>
    </row>
    <row r="4677" spans="1:22" x14ac:dyDescent="0.35">
      <c r="A4677">
        <v>14676</v>
      </c>
      <c r="B4677" s="1">
        <v>49237</v>
      </c>
      <c r="C4677">
        <v>1125</v>
      </c>
      <c r="D4677" t="s">
        <v>73</v>
      </c>
      <c r="E4677" t="s">
        <v>78</v>
      </c>
      <c r="F4677">
        <v>5</v>
      </c>
      <c r="G4677" s="2">
        <v>149.15</v>
      </c>
      <c r="H4677">
        <v>0.17</v>
      </c>
      <c r="I4677" t="s">
        <v>68</v>
      </c>
      <c r="J4677">
        <v>9</v>
      </c>
      <c r="K4677">
        <v>1.8</v>
      </c>
      <c r="L4677" s="2">
        <v>618.97</v>
      </c>
      <c r="M4677">
        <v>2034</v>
      </c>
      <c r="N4677">
        <v>10</v>
      </c>
      <c r="O4677" t="s">
        <v>233</v>
      </c>
      <c r="P4677" s="2">
        <v>745.75</v>
      </c>
      <c r="Q4677" s="2">
        <v>126.78</v>
      </c>
      <c r="R4677" t="s">
        <v>76</v>
      </c>
      <c r="S4677">
        <v>1</v>
      </c>
      <c r="T4677">
        <v>0</v>
      </c>
      <c r="U4677">
        <f>IF(AND(OR(Dashboard!$D$4="Semua",D4677=Dashboard!$D$4),OR(Dashboard!$H$4="Semua",E4677=Dashboard!$H$4)),1,0)</f>
        <v>1</v>
      </c>
      <c r="V4677">
        <f>IF(U4677=1,IF(COUNTIFS($C$2:C4677,C4677,$U$2:U4677,1)=1,1,0),0)</f>
        <v>0</v>
      </c>
    </row>
    <row r="4678" spans="1:22" x14ac:dyDescent="0.35">
      <c r="A4678">
        <v>14677</v>
      </c>
      <c r="B4678" s="1">
        <v>49238</v>
      </c>
      <c r="C4678">
        <v>1394</v>
      </c>
      <c r="D4678" t="s">
        <v>73</v>
      </c>
      <c r="E4678" t="s">
        <v>63</v>
      </c>
      <c r="F4678">
        <v>3</v>
      </c>
      <c r="G4678" s="2">
        <v>107.92</v>
      </c>
      <c r="H4678">
        <v>0.08</v>
      </c>
      <c r="I4678" t="s">
        <v>71</v>
      </c>
      <c r="J4678">
        <v>11</v>
      </c>
      <c r="K4678">
        <v>1.5</v>
      </c>
      <c r="L4678" s="2">
        <v>297.86</v>
      </c>
      <c r="M4678">
        <v>2034</v>
      </c>
      <c r="N4678">
        <v>10</v>
      </c>
      <c r="O4678" t="s">
        <v>233</v>
      </c>
      <c r="P4678" s="2">
        <v>323.76</v>
      </c>
      <c r="Q4678" s="2">
        <v>25.9</v>
      </c>
      <c r="R4678" t="s">
        <v>69</v>
      </c>
      <c r="S4678">
        <v>1</v>
      </c>
      <c r="T4678">
        <v>0</v>
      </c>
      <c r="U4678">
        <f>IF(AND(OR(Dashboard!$D$4="Semua",D4678=Dashboard!$D$4),OR(Dashboard!$H$4="Semua",E4678=Dashboard!$H$4)),1,0)</f>
        <v>1</v>
      </c>
      <c r="V4678">
        <f>IF(U4678=1,IF(COUNTIFS($C$2:C4678,C4678,$U$2:U4678,1)=1,1,0),0)</f>
        <v>0</v>
      </c>
    </row>
    <row r="4679" spans="1:22" x14ac:dyDescent="0.35">
      <c r="A4679">
        <v>14678</v>
      </c>
      <c r="B4679" s="1">
        <v>49239</v>
      </c>
      <c r="C4679">
        <v>1816</v>
      </c>
      <c r="D4679" t="s">
        <v>80</v>
      </c>
      <c r="E4679" t="s">
        <v>74</v>
      </c>
      <c r="F4679">
        <v>3</v>
      </c>
      <c r="G4679" s="2">
        <v>472.73</v>
      </c>
      <c r="H4679">
        <v>0.18</v>
      </c>
      <c r="I4679" t="s">
        <v>71</v>
      </c>
      <c r="J4679">
        <v>6</v>
      </c>
      <c r="K4679">
        <v>3.4</v>
      </c>
      <c r="L4679" s="2">
        <v>1162.92</v>
      </c>
      <c r="M4679">
        <v>2034</v>
      </c>
      <c r="N4679">
        <v>10</v>
      </c>
      <c r="O4679" t="s">
        <v>233</v>
      </c>
      <c r="P4679" s="2">
        <v>1418.19</v>
      </c>
      <c r="Q4679" s="2">
        <v>255.27</v>
      </c>
      <c r="R4679" t="s">
        <v>76</v>
      </c>
      <c r="S4679">
        <v>1</v>
      </c>
      <c r="T4679">
        <v>0</v>
      </c>
      <c r="U4679">
        <f>IF(AND(OR(Dashboard!$D$4="Semua",D4679=Dashboard!$D$4),OR(Dashboard!$H$4="Semua",E4679=Dashboard!$H$4)),1,0)</f>
        <v>1</v>
      </c>
      <c r="V4679">
        <f>IF(U4679=1,IF(COUNTIFS($C$2:C4679,C4679,$U$2:U4679,1)=1,1,0),0)</f>
        <v>0</v>
      </c>
    </row>
    <row r="4680" spans="1:22" x14ac:dyDescent="0.35">
      <c r="A4680">
        <v>14679</v>
      </c>
      <c r="B4680" s="1">
        <v>49240</v>
      </c>
      <c r="C4680">
        <v>1880</v>
      </c>
      <c r="D4680" t="s">
        <v>62</v>
      </c>
      <c r="E4680" t="s">
        <v>74</v>
      </c>
      <c r="F4680">
        <v>7</v>
      </c>
      <c r="G4680" s="2">
        <v>429.12</v>
      </c>
      <c r="H4680">
        <v>0.01</v>
      </c>
      <c r="I4680" t="s">
        <v>71</v>
      </c>
      <c r="J4680">
        <v>2</v>
      </c>
      <c r="K4680">
        <v>4.4000000000000004</v>
      </c>
      <c r="L4680" s="2">
        <v>2973.8</v>
      </c>
      <c r="M4680">
        <v>2034</v>
      </c>
      <c r="N4680">
        <v>10</v>
      </c>
      <c r="O4680" t="s">
        <v>233</v>
      </c>
      <c r="P4680" s="2">
        <v>3003.84</v>
      </c>
      <c r="Q4680" s="2">
        <v>30.04</v>
      </c>
      <c r="R4680" t="s">
        <v>75</v>
      </c>
      <c r="S4680">
        <v>1</v>
      </c>
      <c r="T4680">
        <v>0</v>
      </c>
      <c r="U4680">
        <f>IF(AND(OR(Dashboard!$D$4="Semua",D4680=Dashboard!$D$4),OR(Dashboard!$H$4="Semua",E4680=Dashboard!$H$4)),1,0)</f>
        <v>1</v>
      </c>
      <c r="V4680">
        <f>IF(U4680=1,IF(COUNTIFS($C$2:C4680,C4680,$U$2:U4680,1)=1,1,0),0)</f>
        <v>0</v>
      </c>
    </row>
    <row r="4681" spans="1:22" x14ac:dyDescent="0.35">
      <c r="A4681">
        <v>14680</v>
      </c>
      <c r="B4681" s="1">
        <v>49241</v>
      </c>
      <c r="C4681">
        <v>1805</v>
      </c>
      <c r="D4681" t="s">
        <v>73</v>
      </c>
      <c r="E4681" t="s">
        <v>63</v>
      </c>
      <c r="F4681">
        <v>6</v>
      </c>
      <c r="G4681" s="2">
        <v>121.84</v>
      </c>
      <c r="H4681">
        <v>0.32</v>
      </c>
      <c r="I4681" t="s">
        <v>68</v>
      </c>
      <c r="J4681">
        <v>7</v>
      </c>
      <c r="K4681">
        <v>3.6</v>
      </c>
      <c r="L4681" s="2">
        <v>497.11</v>
      </c>
      <c r="M4681">
        <v>2034</v>
      </c>
      <c r="N4681">
        <v>10</v>
      </c>
      <c r="O4681" t="s">
        <v>233</v>
      </c>
      <c r="P4681" s="2">
        <v>731.04</v>
      </c>
      <c r="Q4681" s="2">
        <v>233.93</v>
      </c>
      <c r="R4681" t="s">
        <v>72</v>
      </c>
      <c r="S4681">
        <v>1</v>
      </c>
      <c r="T4681">
        <v>0</v>
      </c>
      <c r="U4681">
        <f>IF(AND(OR(Dashboard!$D$4="Semua",D4681=Dashboard!$D$4),OR(Dashboard!$H$4="Semua",E4681=Dashboard!$H$4)),1,0)</f>
        <v>1</v>
      </c>
      <c r="V4681">
        <f>IF(U4681=1,IF(COUNTIFS($C$2:C4681,C4681,$U$2:U4681,1)=1,1,0),0)</f>
        <v>0</v>
      </c>
    </row>
    <row r="4682" spans="1:22" x14ac:dyDescent="0.35">
      <c r="A4682">
        <v>14681</v>
      </c>
      <c r="B4682" s="1">
        <v>49242</v>
      </c>
      <c r="C4682">
        <v>1575</v>
      </c>
      <c r="D4682" t="s">
        <v>80</v>
      </c>
      <c r="E4682" t="s">
        <v>74</v>
      </c>
      <c r="F4682">
        <v>6</v>
      </c>
      <c r="G4682" s="2">
        <v>83</v>
      </c>
      <c r="H4682">
        <v>0.28999999999999998</v>
      </c>
      <c r="I4682" t="s">
        <v>64</v>
      </c>
      <c r="J4682">
        <v>9</v>
      </c>
      <c r="K4682">
        <v>2.4</v>
      </c>
      <c r="L4682" s="2">
        <v>353.58</v>
      </c>
      <c r="M4682">
        <v>2034</v>
      </c>
      <c r="N4682">
        <v>10</v>
      </c>
      <c r="O4682" t="s">
        <v>233</v>
      </c>
      <c r="P4682" s="2">
        <v>498</v>
      </c>
      <c r="Q4682" s="2">
        <v>144.41999999999999</v>
      </c>
      <c r="R4682" t="s">
        <v>66</v>
      </c>
      <c r="S4682">
        <v>1</v>
      </c>
      <c r="T4682">
        <v>0</v>
      </c>
      <c r="U4682">
        <f>IF(AND(OR(Dashboard!$D$4="Semua",D4682=Dashboard!$D$4),OR(Dashboard!$H$4="Semua",E4682=Dashboard!$H$4)),1,0)</f>
        <v>1</v>
      </c>
      <c r="V4682">
        <f>IF(U4682=1,IF(COUNTIFS($C$2:C4682,C4682,$U$2:U4682,1)=1,1,0),0)</f>
        <v>0</v>
      </c>
    </row>
    <row r="4683" spans="1:22" x14ac:dyDescent="0.35">
      <c r="A4683">
        <v>14682</v>
      </c>
      <c r="B4683" s="1">
        <v>49243</v>
      </c>
      <c r="C4683">
        <v>1324</v>
      </c>
      <c r="D4683" t="s">
        <v>62</v>
      </c>
      <c r="E4683" t="s">
        <v>74</v>
      </c>
      <c r="F4683">
        <v>5</v>
      </c>
      <c r="G4683" s="2">
        <v>505.46</v>
      </c>
      <c r="H4683">
        <v>0.25</v>
      </c>
      <c r="I4683" t="s">
        <v>64</v>
      </c>
      <c r="J4683">
        <v>9</v>
      </c>
      <c r="K4683">
        <v>4.9000000000000004</v>
      </c>
      <c r="L4683" s="2">
        <v>1895.48</v>
      </c>
      <c r="M4683">
        <v>2034</v>
      </c>
      <c r="N4683">
        <v>10</v>
      </c>
      <c r="O4683" t="s">
        <v>233</v>
      </c>
      <c r="P4683" s="2">
        <v>2527.3000000000002</v>
      </c>
      <c r="Q4683" s="2">
        <v>631.82000000000005</v>
      </c>
      <c r="R4683" t="s">
        <v>77</v>
      </c>
      <c r="S4683">
        <v>1</v>
      </c>
      <c r="T4683">
        <v>0</v>
      </c>
      <c r="U4683">
        <f>IF(AND(OR(Dashboard!$D$4="Semua",D4683=Dashboard!$D$4),OR(Dashboard!$H$4="Semua",E4683=Dashboard!$H$4)),1,0)</f>
        <v>1</v>
      </c>
      <c r="V4683">
        <f>IF(U4683=1,IF(COUNTIFS($C$2:C4683,C4683,$U$2:U4683,1)=1,1,0),0)</f>
        <v>0</v>
      </c>
    </row>
    <row r="4684" spans="1:22" x14ac:dyDescent="0.35">
      <c r="A4684">
        <v>14683</v>
      </c>
      <c r="B4684" s="1">
        <v>49244</v>
      </c>
      <c r="C4684">
        <v>1391</v>
      </c>
      <c r="D4684" t="s">
        <v>62</v>
      </c>
      <c r="E4684" t="s">
        <v>74</v>
      </c>
      <c r="F4684">
        <v>1</v>
      </c>
      <c r="G4684" s="2">
        <v>469.31</v>
      </c>
      <c r="H4684">
        <v>0.21</v>
      </c>
      <c r="I4684" t="s">
        <v>68</v>
      </c>
      <c r="J4684">
        <v>3</v>
      </c>
      <c r="K4684">
        <v>5</v>
      </c>
      <c r="L4684" s="2">
        <v>370.75</v>
      </c>
      <c r="M4684">
        <v>2034</v>
      </c>
      <c r="N4684">
        <v>10</v>
      </c>
      <c r="O4684" t="s">
        <v>233</v>
      </c>
      <c r="P4684" s="2">
        <v>469.31</v>
      </c>
      <c r="Q4684" s="2">
        <v>98.56</v>
      </c>
      <c r="R4684" t="s">
        <v>77</v>
      </c>
      <c r="S4684">
        <v>1</v>
      </c>
      <c r="T4684">
        <v>0</v>
      </c>
      <c r="U4684">
        <f>IF(AND(OR(Dashboard!$D$4="Semua",D4684=Dashboard!$D$4),OR(Dashboard!$H$4="Semua",E4684=Dashboard!$H$4)),1,0)</f>
        <v>1</v>
      </c>
      <c r="V4684">
        <f>IF(U4684=1,IF(COUNTIFS($C$2:C4684,C4684,$U$2:U4684,1)=1,1,0),0)</f>
        <v>0</v>
      </c>
    </row>
    <row r="4685" spans="1:22" x14ac:dyDescent="0.35">
      <c r="A4685">
        <v>14684</v>
      </c>
      <c r="B4685" s="1">
        <v>49245</v>
      </c>
      <c r="C4685">
        <v>1929</v>
      </c>
      <c r="D4685" t="s">
        <v>73</v>
      </c>
      <c r="E4685" t="s">
        <v>70</v>
      </c>
      <c r="F4685">
        <v>2</v>
      </c>
      <c r="G4685" s="2">
        <v>206.45</v>
      </c>
      <c r="H4685">
        <v>0.2</v>
      </c>
      <c r="I4685" t="s">
        <v>68</v>
      </c>
      <c r="J4685">
        <v>2</v>
      </c>
      <c r="K4685">
        <v>4.0999999999999996</v>
      </c>
      <c r="L4685" s="2">
        <v>330.32</v>
      </c>
      <c r="M4685">
        <v>2034</v>
      </c>
      <c r="N4685">
        <v>10</v>
      </c>
      <c r="O4685" t="s">
        <v>233</v>
      </c>
      <c r="P4685" s="2">
        <v>412.9</v>
      </c>
      <c r="Q4685" s="2">
        <v>82.58</v>
      </c>
      <c r="R4685" t="s">
        <v>76</v>
      </c>
      <c r="S4685">
        <v>1</v>
      </c>
      <c r="T4685">
        <v>0</v>
      </c>
      <c r="U4685">
        <f>IF(AND(OR(Dashboard!$D$4="Semua",D4685=Dashboard!$D$4),OR(Dashboard!$H$4="Semua",E4685=Dashboard!$H$4)),1,0)</f>
        <v>1</v>
      </c>
      <c r="V4685">
        <f>IF(U4685=1,IF(COUNTIFS($C$2:C4685,C4685,$U$2:U4685,1)=1,1,0),0)</f>
        <v>0</v>
      </c>
    </row>
    <row r="4686" spans="1:22" x14ac:dyDescent="0.35">
      <c r="A4686">
        <v>14685</v>
      </c>
      <c r="B4686" s="1">
        <v>49246</v>
      </c>
      <c r="C4686">
        <v>1687</v>
      </c>
      <c r="D4686" t="s">
        <v>62</v>
      </c>
      <c r="E4686" t="s">
        <v>78</v>
      </c>
      <c r="F4686">
        <v>1</v>
      </c>
      <c r="G4686" s="2">
        <v>400.05</v>
      </c>
      <c r="H4686">
        <v>0.35</v>
      </c>
      <c r="I4686" t="s">
        <v>68</v>
      </c>
      <c r="J4686">
        <v>5</v>
      </c>
      <c r="K4686">
        <v>4.2</v>
      </c>
      <c r="L4686" s="2">
        <v>260.02999999999997</v>
      </c>
      <c r="M4686">
        <v>2034</v>
      </c>
      <c r="N4686">
        <v>10</v>
      </c>
      <c r="O4686" t="s">
        <v>233</v>
      </c>
      <c r="P4686" s="2">
        <v>400.05</v>
      </c>
      <c r="Q4686" s="2">
        <v>140.02000000000001</v>
      </c>
      <c r="R4686" t="s">
        <v>72</v>
      </c>
      <c r="S4686">
        <v>1</v>
      </c>
      <c r="T4686">
        <v>0</v>
      </c>
      <c r="U4686">
        <f>IF(AND(OR(Dashboard!$D$4="Semua",D4686=Dashboard!$D$4),OR(Dashboard!$H$4="Semua",E4686=Dashboard!$H$4)),1,0)</f>
        <v>1</v>
      </c>
      <c r="V4686">
        <f>IF(U4686=1,IF(COUNTIFS($C$2:C4686,C4686,$U$2:U4686,1)=1,1,0),0)</f>
        <v>0</v>
      </c>
    </row>
    <row r="4687" spans="1:22" x14ac:dyDescent="0.35">
      <c r="A4687">
        <v>14686</v>
      </c>
      <c r="B4687" s="1">
        <v>49247</v>
      </c>
      <c r="C4687">
        <v>1627</v>
      </c>
      <c r="D4687" t="s">
        <v>73</v>
      </c>
      <c r="E4687" t="s">
        <v>74</v>
      </c>
      <c r="F4687">
        <v>1</v>
      </c>
      <c r="G4687" s="2">
        <v>87.63</v>
      </c>
      <c r="H4687">
        <v>0.1</v>
      </c>
      <c r="I4687" t="s">
        <v>68</v>
      </c>
      <c r="J4687">
        <v>11</v>
      </c>
      <c r="K4687">
        <v>4</v>
      </c>
      <c r="L4687" s="2">
        <v>78.87</v>
      </c>
      <c r="M4687">
        <v>2034</v>
      </c>
      <c r="N4687">
        <v>10</v>
      </c>
      <c r="O4687" t="s">
        <v>233</v>
      </c>
      <c r="P4687" s="2">
        <v>87.63</v>
      </c>
      <c r="Q4687" s="2">
        <v>8.76</v>
      </c>
      <c r="R4687" t="s">
        <v>69</v>
      </c>
      <c r="S4687">
        <v>1</v>
      </c>
      <c r="T4687">
        <v>0</v>
      </c>
      <c r="U4687">
        <f>IF(AND(OR(Dashboard!$D$4="Semua",D4687=Dashboard!$D$4),OR(Dashboard!$H$4="Semua",E4687=Dashboard!$H$4)),1,0)</f>
        <v>1</v>
      </c>
      <c r="V4687">
        <f>IF(U4687=1,IF(COUNTIFS($C$2:C4687,C4687,$U$2:U4687,1)=1,1,0),0)</f>
        <v>0</v>
      </c>
    </row>
    <row r="4688" spans="1:22" x14ac:dyDescent="0.35">
      <c r="A4688">
        <v>14687</v>
      </c>
      <c r="B4688" s="1">
        <v>49248</v>
      </c>
      <c r="C4688">
        <v>1439</v>
      </c>
      <c r="D4688" t="s">
        <v>67</v>
      </c>
      <c r="E4688" t="s">
        <v>63</v>
      </c>
      <c r="F4688">
        <v>6</v>
      </c>
      <c r="G4688" s="2">
        <v>311.62</v>
      </c>
      <c r="H4688">
        <v>0.27</v>
      </c>
      <c r="I4688" t="s">
        <v>71</v>
      </c>
      <c r="J4688">
        <v>10</v>
      </c>
      <c r="K4688">
        <v>2</v>
      </c>
      <c r="L4688" s="2">
        <v>1364.9</v>
      </c>
      <c r="M4688">
        <v>2034</v>
      </c>
      <c r="N4688">
        <v>10</v>
      </c>
      <c r="O4688" t="s">
        <v>233</v>
      </c>
      <c r="P4688" s="2">
        <v>1869.72</v>
      </c>
      <c r="Q4688" s="2">
        <v>504.82</v>
      </c>
      <c r="R4688" t="s">
        <v>66</v>
      </c>
      <c r="S4688">
        <v>1</v>
      </c>
      <c r="T4688">
        <v>0</v>
      </c>
      <c r="U4688">
        <f>IF(AND(OR(Dashboard!$D$4="Semua",D4688=Dashboard!$D$4),OR(Dashboard!$H$4="Semua",E4688=Dashboard!$H$4)),1,0)</f>
        <v>1</v>
      </c>
      <c r="V4688">
        <f>IF(U4688=1,IF(COUNTIFS($C$2:C4688,C4688,$U$2:U4688,1)=1,1,0),0)</f>
        <v>0</v>
      </c>
    </row>
    <row r="4689" spans="1:22" x14ac:dyDescent="0.35">
      <c r="A4689">
        <v>14688</v>
      </c>
      <c r="B4689" s="1">
        <v>49249</v>
      </c>
      <c r="C4689">
        <v>1203</v>
      </c>
      <c r="D4689" t="s">
        <v>73</v>
      </c>
      <c r="E4689" t="s">
        <v>74</v>
      </c>
      <c r="F4689">
        <v>2</v>
      </c>
      <c r="G4689" s="2">
        <v>25.96</v>
      </c>
      <c r="H4689">
        <v>0.2</v>
      </c>
      <c r="I4689" t="s">
        <v>64</v>
      </c>
      <c r="J4689">
        <v>7</v>
      </c>
      <c r="K4689">
        <v>1.6</v>
      </c>
      <c r="L4689" s="2">
        <v>41.54</v>
      </c>
      <c r="M4689">
        <v>2034</v>
      </c>
      <c r="N4689">
        <v>11</v>
      </c>
      <c r="O4689" t="s">
        <v>234</v>
      </c>
      <c r="P4689" s="2">
        <v>51.92</v>
      </c>
      <c r="Q4689" s="2">
        <v>10.38</v>
      </c>
      <c r="R4689" t="s">
        <v>76</v>
      </c>
      <c r="S4689">
        <v>1</v>
      </c>
      <c r="T4689">
        <v>0</v>
      </c>
      <c r="U4689">
        <f>IF(AND(OR(Dashboard!$D$4="Semua",D4689=Dashboard!$D$4),OR(Dashboard!$H$4="Semua",E4689=Dashboard!$H$4)),1,0)</f>
        <v>1</v>
      </c>
      <c r="V4689">
        <f>IF(U4689=1,IF(COUNTIFS($C$2:C4689,C4689,$U$2:U4689,1)=1,1,0),0)</f>
        <v>0</v>
      </c>
    </row>
    <row r="4690" spans="1:22" x14ac:dyDescent="0.35">
      <c r="A4690">
        <v>14689</v>
      </c>
      <c r="B4690" s="1">
        <v>49250</v>
      </c>
      <c r="C4690">
        <v>1485</v>
      </c>
      <c r="D4690" t="s">
        <v>73</v>
      </c>
      <c r="E4690" t="s">
        <v>70</v>
      </c>
      <c r="F4690">
        <v>6</v>
      </c>
      <c r="G4690" s="2">
        <v>244.09</v>
      </c>
      <c r="H4690">
        <v>0.34</v>
      </c>
      <c r="I4690" t="s">
        <v>68</v>
      </c>
      <c r="J4690">
        <v>3</v>
      </c>
      <c r="K4690">
        <v>3.2</v>
      </c>
      <c r="L4690" s="2">
        <v>966.6</v>
      </c>
      <c r="M4690">
        <v>2034</v>
      </c>
      <c r="N4690">
        <v>11</v>
      </c>
      <c r="O4690" t="s">
        <v>234</v>
      </c>
      <c r="P4690" s="2">
        <v>1464.54</v>
      </c>
      <c r="Q4690" s="2">
        <v>497.94</v>
      </c>
      <c r="R4690" t="s">
        <v>72</v>
      </c>
      <c r="S4690">
        <v>1</v>
      </c>
      <c r="T4690">
        <v>0</v>
      </c>
      <c r="U4690">
        <f>IF(AND(OR(Dashboard!$D$4="Semua",D4690=Dashboard!$D$4),OR(Dashboard!$H$4="Semua",E4690=Dashboard!$H$4)),1,0)</f>
        <v>1</v>
      </c>
      <c r="V4690">
        <f>IF(U4690=1,IF(COUNTIFS($C$2:C4690,C4690,$U$2:U4690,1)=1,1,0),0)</f>
        <v>0</v>
      </c>
    </row>
    <row r="4691" spans="1:22" x14ac:dyDescent="0.35">
      <c r="A4691">
        <v>14690</v>
      </c>
      <c r="B4691" s="1">
        <v>49251</v>
      </c>
      <c r="C4691">
        <v>1832</v>
      </c>
      <c r="D4691" t="s">
        <v>80</v>
      </c>
      <c r="E4691" t="s">
        <v>63</v>
      </c>
      <c r="F4691">
        <v>6</v>
      </c>
      <c r="G4691" s="2">
        <v>58.78</v>
      </c>
      <c r="H4691">
        <v>0.28999999999999998</v>
      </c>
      <c r="I4691" t="s">
        <v>71</v>
      </c>
      <c r="J4691">
        <v>4</v>
      </c>
      <c r="K4691">
        <v>4.8</v>
      </c>
      <c r="L4691" s="2">
        <v>250.4</v>
      </c>
      <c r="M4691">
        <v>2034</v>
      </c>
      <c r="N4691">
        <v>11</v>
      </c>
      <c r="O4691" t="s">
        <v>234</v>
      </c>
      <c r="P4691" s="2">
        <v>352.68</v>
      </c>
      <c r="Q4691" s="2">
        <v>102.28</v>
      </c>
      <c r="R4691" t="s">
        <v>66</v>
      </c>
      <c r="S4691">
        <v>1</v>
      </c>
      <c r="T4691">
        <v>0</v>
      </c>
      <c r="U4691">
        <f>IF(AND(OR(Dashboard!$D$4="Semua",D4691=Dashboard!$D$4),OR(Dashboard!$H$4="Semua",E4691=Dashboard!$H$4)),1,0)</f>
        <v>1</v>
      </c>
      <c r="V4691">
        <f>IF(U4691=1,IF(COUNTIFS($C$2:C4691,C4691,$U$2:U4691,1)=1,1,0),0)</f>
        <v>0</v>
      </c>
    </row>
    <row r="4692" spans="1:22" x14ac:dyDescent="0.35">
      <c r="A4692">
        <v>14691</v>
      </c>
      <c r="B4692" s="1">
        <v>49252</v>
      </c>
      <c r="C4692">
        <v>1030</v>
      </c>
      <c r="D4692" t="s">
        <v>67</v>
      </c>
      <c r="E4692" t="s">
        <v>78</v>
      </c>
      <c r="F4692">
        <v>7</v>
      </c>
      <c r="G4692" s="2">
        <v>292.95999999999998</v>
      </c>
      <c r="H4692">
        <v>0.35</v>
      </c>
      <c r="I4692" t="s">
        <v>71</v>
      </c>
      <c r="J4692">
        <v>10</v>
      </c>
      <c r="K4692">
        <v>4.5</v>
      </c>
      <c r="L4692" s="2">
        <v>1332.97</v>
      </c>
      <c r="M4692">
        <v>2034</v>
      </c>
      <c r="N4692">
        <v>11</v>
      </c>
      <c r="O4692" t="s">
        <v>234</v>
      </c>
      <c r="P4692" s="2">
        <v>2050.7199999999998</v>
      </c>
      <c r="Q4692" s="2">
        <v>717.75</v>
      </c>
      <c r="R4692" t="s">
        <v>72</v>
      </c>
      <c r="S4692">
        <v>1</v>
      </c>
      <c r="T4692">
        <v>0</v>
      </c>
      <c r="U4692">
        <f>IF(AND(OR(Dashboard!$D$4="Semua",D4692=Dashboard!$D$4),OR(Dashboard!$H$4="Semua",E4692=Dashboard!$H$4)),1,0)</f>
        <v>1</v>
      </c>
      <c r="V4692">
        <f>IF(U4692=1,IF(COUNTIFS($C$2:C4692,C4692,$U$2:U4692,1)=1,1,0),0)</f>
        <v>0</v>
      </c>
    </row>
    <row r="4693" spans="1:22" x14ac:dyDescent="0.35">
      <c r="A4693">
        <v>14692</v>
      </c>
      <c r="B4693" s="1">
        <v>49253</v>
      </c>
      <c r="C4693">
        <v>1387</v>
      </c>
      <c r="D4693" t="s">
        <v>73</v>
      </c>
      <c r="E4693" t="s">
        <v>63</v>
      </c>
      <c r="F4693">
        <v>6</v>
      </c>
      <c r="G4693" s="2">
        <v>261.68</v>
      </c>
      <c r="H4693">
        <v>0.21</v>
      </c>
      <c r="I4693" t="s">
        <v>68</v>
      </c>
      <c r="J4693">
        <v>2</v>
      </c>
      <c r="K4693">
        <v>1.4</v>
      </c>
      <c r="L4693" s="2">
        <v>1240.3599999999999</v>
      </c>
      <c r="M4693">
        <v>2034</v>
      </c>
      <c r="N4693">
        <v>11</v>
      </c>
      <c r="O4693" t="s">
        <v>234</v>
      </c>
      <c r="P4693" s="2">
        <v>1570.08</v>
      </c>
      <c r="Q4693" s="2">
        <v>329.72</v>
      </c>
      <c r="R4693" t="s">
        <v>77</v>
      </c>
      <c r="S4693">
        <v>1</v>
      </c>
      <c r="T4693">
        <v>0</v>
      </c>
      <c r="U4693">
        <f>IF(AND(OR(Dashboard!$D$4="Semua",D4693=Dashboard!$D$4),OR(Dashboard!$H$4="Semua",E4693=Dashboard!$H$4)),1,0)</f>
        <v>1</v>
      </c>
      <c r="V4693">
        <f>IF(U4693=1,IF(COUNTIFS($C$2:C4693,C4693,$U$2:U4693,1)=1,1,0),0)</f>
        <v>0</v>
      </c>
    </row>
    <row r="4694" spans="1:22" x14ac:dyDescent="0.35">
      <c r="A4694">
        <v>14693</v>
      </c>
      <c r="B4694" s="1">
        <v>49254</v>
      </c>
      <c r="C4694">
        <v>1624</v>
      </c>
      <c r="D4694" t="s">
        <v>73</v>
      </c>
      <c r="E4694" t="s">
        <v>63</v>
      </c>
      <c r="F4694">
        <v>4</v>
      </c>
      <c r="G4694" s="2">
        <v>274.97000000000003</v>
      </c>
      <c r="H4694">
        <v>7.0000000000000007E-2</v>
      </c>
      <c r="I4694" t="s">
        <v>71</v>
      </c>
      <c r="J4694">
        <v>11</v>
      </c>
      <c r="K4694">
        <v>1.2</v>
      </c>
      <c r="L4694" s="2">
        <v>1022.89</v>
      </c>
      <c r="M4694">
        <v>2034</v>
      </c>
      <c r="N4694">
        <v>11</v>
      </c>
      <c r="O4694" t="s">
        <v>234</v>
      </c>
      <c r="P4694" s="2">
        <v>1099.8800000000001</v>
      </c>
      <c r="Q4694" s="2">
        <v>76.989999999999995</v>
      </c>
      <c r="R4694" t="s">
        <v>69</v>
      </c>
      <c r="S4694">
        <v>1</v>
      </c>
      <c r="T4694">
        <v>0</v>
      </c>
      <c r="U4694">
        <f>IF(AND(OR(Dashboard!$D$4="Semua",D4694=Dashboard!$D$4),OR(Dashboard!$H$4="Semua",E4694=Dashboard!$H$4)),1,0)</f>
        <v>1</v>
      </c>
      <c r="V4694">
        <f>IF(U4694=1,IF(COUNTIFS($C$2:C4694,C4694,$U$2:U4694,1)=1,1,0),0)</f>
        <v>0</v>
      </c>
    </row>
    <row r="4695" spans="1:22" x14ac:dyDescent="0.35">
      <c r="A4695">
        <v>14694</v>
      </c>
      <c r="B4695" s="1">
        <v>49255</v>
      </c>
      <c r="C4695">
        <v>1876</v>
      </c>
      <c r="D4695" t="s">
        <v>80</v>
      </c>
      <c r="E4695" t="s">
        <v>63</v>
      </c>
      <c r="F4695">
        <v>1</v>
      </c>
      <c r="G4695" s="2">
        <v>41.52</v>
      </c>
      <c r="H4695">
        <v>0.18</v>
      </c>
      <c r="I4695" t="s">
        <v>71</v>
      </c>
      <c r="J4695">
        <v>10</v>
      </c>
      <c r="K4695">
        <v>4.5</v>
      </c>
      <c r="L4695" s="2">
        <v>34.049999999999997</v>
      </c>
      <c r="M4695">
        <v>2034</v>
      </c>
      <c r="N4695">
        <v>11</v>
      </c>
      <c r="O4695" t="s">
        <v>234</v>
      </c>
      <c r="P4695" s="2">
        <v>41.52</v>
      </c>
      <c r="Q4695" s="2">
        <v>7.47</v>
      </c>
      <c r="R4695" t="s">
        <v>76</v>
      </c>
      <c r="S4695">
        <v>1</v>
      </c>
      <c r="T4695">
        <v>0</v>
      </c>
      <c r="U4695">
        <f>IF(AND(OR(Dashboard!$D$4="Semua",D4695=Dashboard!$D$4),OR(Dashboard!$H$4="Semua",E4695=Dashboard!$H$4)),1,0)</f>
        <v>1</v>
      </c>
      <c r="V4695">
        <f>IF(U4695=1,IF(COUNTIFS($C$2:C4695,C4695,$U$2:U4695,1)=1,1,0),0)</f>
        <v>0</v>
      </c>
    </row>
    <row r="4696" spans="1:22" x14ac:dyDescent="0.35">
      <c r="A4696">
        <v>14695</v>
      </c>
      <c r="B4696" s="1">
        <v>49256</v>
      </c>
      <c r="C4696">
        <v>1433</v>
      </c>
      <c r="D4696" t="s">
        <v>73</v>
      </c>
      <c r="E4696" t="s">
        <v>63</v>
      </c>
      <c r="F4696">
        <v>7</v>
      </c>
      <c r="G4696" s="2">
        <v>226.55</v>
      </c>
      <c r="H4696">
        <v>0.25</v>
      </c>
      <c r="I4696" t="s">
        <v>64</v>
      </c>
      <c r="J4696">
        <v>2</v>
      </c>
      <c r="K4696">
        <v>3.5</v>
      </c>
      <c r="L4696" s="2">
        <v>1189.3900000000001</v>
      </c>
      <c r="M4696">
        <v>2034</v>
      </c>
      <c r="N4696">
        <v>11</v>
      </c>
      <c r="O4696" t="s">
        <v>234</v>
      </c>
      <c r="P4696" s="2">
        <v>1585.85</v>
      </c>
      <c r="Q4696" s="2">
        <v>396.46</v>
      </c>
      <c r="R4696" t="s">
        <v>77</v>
      </c>
      <c r="S4696">
        <v>1</v>
      </c>
      <c r="T4696">
        <v>0</v>
      </c>
      <c r="U4696">
        <f>IF(AND(OR(Dashboard!$D$4="Semua",D4696=Dashboard!$D$4),OR(Dashboard!$H$4="Semua",E4696=Dashboard!$H$4)),1,0)</f>
        <v>1</v>
      </c>
      <c r="V4696">
        <f>IF(U4696=1,IF(COUNTIFS($C$2:C4696,C4696,$U$2:U4696,1)=1,1,0),0)</f>
        <v>0</v>
      </c>
    </row>
    <row r="4697" spans="1:22" x14ac:dyDescent="0.35">
      <c r="A4697">
        <v>14696</v>
      </c>
      <c r="B4697" s="1">
        <v>49257</v>
      </c>
      <c r="C4697">
        <v>1836</v>
      </c>
      <c r="D4697" t="s">
        <v>80</v>
      </c>
      <c r="E4697" t="s">
        <v>74</v>
      </c>
      <c r="F4697">
        <v>7</v>
      </c>
      <c r="G4697" s="2">
        <v>457.54</v>
      </c>
      <c r="H4697">
        <v>0.27</v>
      </c>
      <c r="I4697" t="s">
        <v>71</v>
      </c>
      <c r="J4697">
        <v>7</v>
      </c>
      <c r="K4697">
        <v>2.2000000000000002</v>
      </c>
      <c r="L4697" s="2">
        <v>2338.0300000000002</v>
      </c>
      <c r="M4697">
        <v>2034</v>
      </c>
      <c r="N4697">
        <v>11</v>
      </c>
      <c r="O4697" t="s">
        <v>234</v>
      </c>
      <c r="P4697" s="2">
        <v>3202.78</v>
      </c>
      <c r="Q4697" s="2">
        <v>864.75</v>
      </c>
      <c r="R4697" t="s">
        <v>66</v>
      </c>
      <c r="S4697">
        <v>1</v>
      </c>
      <c r="T4697">
        <v>0</v>
      </c>
      <c r="U4697">
        <f>IF(AND(OR(Dashboard!$D$4="Semua",D4697=Dashboard!$D$4),OR(Dashboard!$H$4="Semua",E4697=Dashboard!$H$4)),1,0)</f>
        <v>1</v>
      </c>
      <c r="V4697">
        <f>IF(U4697=1,IF(COUNTIFS($C$2:C4697,C4697,$U$2:U4697,1)=1,1,0),0)</f>
        <v>0</v>
      </c>
    </row>
    <row r="4698" spans="1:22" x14ac:dyDescent="0.35">
      <c r="A4698">
        <v>14697</v>
      </c>
      <c r="B4698" s="1">
        <v>49258</v>
      </c>
      <c r="C4698">
        <v>1925</v>
      </c>
      <c r="D4698" t="s">
        <v>73</v>
      </c>
      <c r="E4698" t="s">
        <v>78</v>
      </c>
      <c r="F4698">
        <v>1</v>
      </c>
      <c r="G4698" s="2">
        <v>230.81</v>
      </c>
      <c r="H4698">
        <v>0</v>
      </c>
      <c r="I4698" t="s">
        <v>71</v>
      </c>
      <c r="J4698">
        <v>2</v>
      </c>
      <c r="K4698">
        <v>3.2</v>
      </c>
      <c r="L4698" s="2">
        <v>230.81</v>
      </c>
      <c r="M4698">
        <v>2034</v>
      </c>
      <c r="N4698">
        <v>11</v>
      </c>
      <c r="O4698" t="s">
        <v>234</v>
      </c>
      <c r="P4698" s="2">
        <v>230.81</v>
      </c>
      <c r="Q4698" s="2">
        <v>0</v>
      </c>
      <c r="R4698" t="s">
        <v>75</v>
      </c>
      <c r="S4698">
        <v>1</v>
      </c>
      <c r="T4698">
        <v>0</v>
      </c>
      <c r="U4698">
        <f>IF(AND(OR(Dashboard!$D$4="Semua",D4698=Dashboard!$D$4),OR(Dashboard!$H$4="Semua",E4698=Dashboard!$H$4)),1,0)</f>
        <v>1</v>
      </c>
      <c r="V4698">
        <f>IF(U4698=1,IF(COUNTIFS($C$2:C4698,C4698,$U$2:U4698,1)=1,1,0),0)</f>
        <v>0</v>
      </c>
    </row>
    <row r="4699" spans="1:22" x14ac:dyDescent="0.35">
      <c r="A4699">
        <v>14698</v>
      </c>
      <c r="B4699" s="1">
        <v>49259</v>
      </c>
      <c r="C4699">
        <v>1375</v>
      </c>
      <c r="D4699" t="s">
        <v>73</v>
      </c>
      <c r="E4699" t="s">
        <v>74</v>
      </c>
      <c r="F4699">
        <v>7</v>
      </c>
      <c r="G4699" s="2">
        <v>433.38</v>
      </c>
      <c r="H4699">
        <v>0.18</v>
      </c>
      <c r="I4699" t="s">
        <v>68</v>
      </c>
      <c r="J4699">
        <v>1</v>
      </c>
      <c r="K4699">
        <v>1.9</v>
      </c>
      <c r="L4699" s="2">
        <v>2487.6</v>
      </c>
      <c r="M4699">
        <v>2034</v>
      </c>
      <c r="N4699">
        <v>11</v>
      </c>
      <c r="O4699" t="s">
        <v>234</v>
      </c>
      <c r="P4699" s="2">
        <v>3033.66</v>
      </c>
      <c r="Q4699" s="2">
        <v>546.05999999999995</v>
      </c>
      <c r="R4699" t="s">
        <v>76</v>
      </c>
      <c r="S4699">
        <v>1</v>
      </c>
      <c r="T4699">
        <v>0</v>
      </c>
      <c r="U4699">
        <f>IF(AND(OR(Dashboard!$D$4="Semua",D4699=Dashboard!$D$4),OR(Dashboard!$H$4="Semua",E4699=Dashboard!$H$4)),1,0)</f>
        <v>1</v>
      </c>
      <c r="V4699">
        <f>IF(U4699=1,IF(COUNTIFS($C$2:C4699,C4699,$U$2:U4699,1)=1,1,0),0)</f>
        <v>0</v>
      </c>
    </row>
    <row r="4700" spans="1:22" x14ac:dyDescent="0.35">
      <c r="A4700">
        <v>14699</v>
      </c>
      <c r="B4700" s="1">
        <v>49260</v>
      </c>
      <c r="C4700">
        <v>1343</v>
      </c>
      <c r="D4700" t="s">
        <v>67</v>
      </c>
      <c r="E4700" t="s">
        <v>70</v>
      </c>
      <c r="F4700">
        <v>1</v>
      </c>
      <c r="G4700" s="2">
        <v>231.15</v>
      </c>
      <c r="H4700">
        <v>0.08</v>
      </c>
      <c r="I4700" t="s">
        <v>68</v>
      </c>
      <c r="J4700">
        <v>4</v>
      </c>
      <c r="K4700">
        <v>4.8</v>
      </c>
      <c r="L4700" s="2">
        <v>212.66</v>
      </c>
      <c r="M4700">
        <v>2034</v>
      </c>
      <c r="N4700">
        <v>11</v>
      </c>
      <c r="O4700" t="s">
        <v>234</v>
      </c>
      <c r="P4700" s="2">
        <v>231.15</v>
      </c>
      <c r="Q4700" s="2">
        <v>18.489999999999998</v>
      </c>
      <c r="R4700" t="s">
        <v>69</v>
      </c>
      <c r="S4700">
        <v>1</v>
      </c>
      <c r="T4700">
        <v>0</v>
      </c>
      <c r="U4700">
        <f>IF(AND(OR(Dashboard!$D$4="Semua",D4700=Dashboard!$D$4),OR(Dashboard!$H$4="Semua",E4700=Dashboard!$H$4)),1,0)</f>
        <v>1</v>
      </c>
      <c r="V4700">
        <f>IF(U4700=1,IF(COUNTIFS($C$2:C4700,C4700,$U$2:U4700,1)=1,1,0),0)</f>
        <v>0</v>
      </c>
    </row>
    <row r="4701" spans="1:22" x14ac:dyDescent="0.35">
      <c r="A4701">
        <v>14700</v>
      </c>
      <c r="B4701" s="1">
        <v>49261</v>
      </c>
      <c r="C4701">
        <v>1442</v>
      </c>
      <c r="D4701" t="s">
        <v>67</v>
      </c>
      <c r="E4701" t="s">
        <v>70</v>
      </c>
      <c r="F4701">
        <v>4</v>
      </c>
      <c r="G4701" s="2">
        <v>262.60000000000002</v>
      </c>
      <c r="H4701">
        <v>0.31</v>
      </c>
      <c r="I4701" t="s">
        <v>68</v>
      </c>
      <c r="J4701">
        <v>6</v>
      </c>
      <c r="K4701">
        <v>4.3</v>
      </c>
      <c r="L4701" s="2">
        <v>724.78</v>
      </c>
      <c r="M4701">
        <v>2034</v>
      </c>
      <c r="N4701">
        <v>11</v>
      </c>
      <c r="O4701" t="s">
        <v>234</v>
      </c>
      <c r="P4701" s="2">
        <v>1050.4000000000001</v>
      </c>
      <c r="Q4701" s="2">
        <v>325.62</v>
      </c>
      <c r="R4701" t="s">
        <v>72</v>
      </c>
      <c r="S4701">
        <v>1</v>
      </c>
      <c r="T4701">
        <v>0</v>
      </c>
      <c r="U4701">
        <f>IF(AND(OR(Dashboard!$D$4="Semua",D4701=Dashboard!$D$4),OR(Dashboard!$H$4="Semua",E4701=Dashboard!$H$4)),1,0)</f>
        <v>1</v>
      </c>
      <c r="V4701">
        <f>IF(U4701=1,IF(COUNTIFS($C$2:C4701,C4701,$U$2:U4701,1)=1,1,0),0)</f>
        <v>0</v>
      </c>
    </row>
    <row r="4702" spans="1:22" x14ac:dyDescent="0.35">
      <c r="A4702">
        <v>14701</v>
      </c>
      <c r="B4702" s="1">
        <v>49262</v>
      </c>
      <c r="C4702">
        <v>1578</v>
      </c>
      <c r="D4702" t="s">
        <v>67</v>
      </c>
      <c r="E4702" t="s">
        <v>63</v>
      </c>
      <c r="F4702">
        <v>3</v>
      </c>
      <c r="G4702" s="2">
        <v>344.88</v>
      </c>
      <c r="H4702">
        <v>0.05</v>
      </c>
      <c r="I4702" t="s">
        <v>68</v>
      </c>
      <c r="J4702">
        <v>10</v>
      </c>
      <c r="K4702">
        <v>4.8</v>
      </c>
      <c r="L4702" s="2">
        <v>982.91</v>
      </c>
      <c r="M4702">
        <v>2034</v>
      </c>
      <c r="N4702">
        <v>11</v>
      </c>
      <c r="O4702" t="s">
        <v>234</v>
      </c>
      <c r="P4702" s="2">
        <v>1034.6400000000001</v>
      </c>
      <c r="Q4702" s="2">
        <v>51.73</v>
      </c>
      <c r="R4702" t="s">
        <v>75</v>
      </c>
      <c r="S4702">
        <v>1</v>
      </c>
      <c r="T4702">
        <v>0</v>
      </c>
      <c r="U4702">
        <f>IF(AND(OR(Dashboard!$D$4="Semua",D4702=Dashboard!$D$4),OR(Dashboard!$H$4="Semua",E4702=Dashboard!$H$4)),1,0)</f>
        <v>1</v>
      </c>
      <c r="V4702">
        <f>IF(U4702=1,IF(COUNTIFS($C$2:C4702,C4702,$U$2:U4702,1)=1,1,0),0)</f>
        <v>0</v>
      </c>
    </row>
    <row r="4703" spans="1:22" x14ac:dyDescent="0.35">
      <c r="A4703">
        <v>14702</v>
      </c>
      <c r="B4703" s="1">
        <v>49263</v>
      </c>
      <c r="C4703">
        <v>1074</v>
      </c>
      <c r="D4703" t="s">
        <v>73</v>
      </c>
      <c r="E4703" t="s">
        <v>74</v>
      </c>
      <c r="F4703">
        <v>7</v>
      </c>
      <c r="G4703" s="2">
        <v>571.15</v>
      </c>
      <c r="H4703">
        <v>0.23</v>
      </c>
      <c r="I4703" t="s">
        <v>68</v>
      </c>
      <c r="J4703">
        <v>10</v>
      </c>
      <c r="K4703">
        <v>1.7</v>
      </c>
      <c r="L4703" s="2">
        <v>3078.5</v>
      </c>
      <c r="M4703">
        <v>2034</v>
      </c>
      <c r="N4703">
        <v>11</v>
      </c>
      <c r="O4703" t="s">
        <v>234</v>
      </c>
      <c r="P4703" s="2">
        <v>3998.05</v>
      </c>
      <c r="Q4703" s="2">
        <v>919.55</v>
      </c>
      <c r="R4703" t="s">
        <v>77</v>
      </c>
      <c r="S4703">
        <v>1</v>
      </c>
      <c r="T4703">
        <v>0</v>
      </c>
      <c r="U4703">
        <f>IF(AND(OR(Dashboard!$D$4="Semua",D4703=Dashboard!$D$4),OR(Dashboard!$H$4="Semua",E4703=Dashboard!$H$4)),1,0)</f>
        <v>1</v>
      </c>
      <c r="V4703">
        <f>IF(U4703=1,IF(COUNTIFS($C$2:C4703,C4703,$U$2:U4703,1)=1,1,0),0)</f>
        <v>0</v>
      </c>
    </row>
    <row r="4704" spans="1:22" x14ac:dyDescent="0.35">
      <c r="A4704">
        <v>14703</v>
      </c>
      <c r="B4704" s="1">
        <v>49264</v>
      </c>
      <c r="C4704">
        <v>1556</v>
      </c>
      <c r="D4704" t="s">
        <v>62</v>
      </c>
      <c r="E4704" t="s">
        <v>74</v>
      </c>
      <c r="F4704">
        <v>5</v>
      </c>
      <c r="G4704" s="2">
        <v>78.680000000000007</v>
      </c>
      <c r="H4704">
        <v>0.09</v>
      </c>
      <c r="I4704" t="s">
        <v>68</v>
      </c>
      <c r="J4704">
        <v>4</v>
      </c>
      <c r="K4704">
        <v>4.4000000000000004</v>
      </c>
      <c r="L4704" s="2">
        <v>357.99</v>
      </c>
      <c r="M4704">
        <v>2034</v>
      </c>
      <c r="N4704">
        <v>11</v>
      </c>
      <c r="O4704" t="s">
        <v>234</v>
      </c>
      <c r="P4704" s="2">
        <v>393.4</v>
      </c>
      <c r="Q4704" s="2">
        <v>35.409999999999997</v>
      </c>
      <c r="R4704" t="s">
        <v>69</v>
      </c>
      <c r="S4704">
        <v>1</v>
      </c>
      <c r="T4704">
        <v>0</v>
      </c>
      <c r="U4704">
        <f>IF(AND(OR(Dashboard!$D$4="Semua",D4704=Dashboard!$D$4),OR(Dashboard!$H$4="Semua",E4704=Dashboard!$H$4)),1,0)</f>
        <v>1</v>
      </c>
      <c r="V4704">
        <f>IF(U4704=1,IF(COUNTIFS($C$2:C4704,C4704,$U$2:U4704,1)=1,1,0),0)</f>
        <v>0</v>
      </c>
    </row>
    <row r="4705" spans="1:22" x14ac:dyDescent="0.35">
      <c r="A4705">
        <v>14704</v>
      </c>
      <c r="B4705" s="1">
        <v>49265</v>
      </c>
      <c r="C4705">
        <v>1771</v>
      </c>
      <c r="D4705" t="s">
        <v>67</v>
      </c>
      <c r="E4705" t="s">
        <v>78</v>
      </c>
      <c r="F4705">
        <v>5</v>
      </c>
      <c r="G4705" s="2">
        <v>34.25</v>
      </c>
      <c r="H4705">
        <v>0.12</v>
      </c>
      <c r="I4705" t="s">
        <v>71</v>
      </c>
      <c r="J4705">
        <v>1</v>
      </c>
      <c r="K4705">
        <v>3.2</v>
      </c>
      <c r="L4705" s="2">
        <v>150.69999999999999</v>
      </c>
      <c r="M4705">
        <v>2034</v>
      </c>
      <c r="N4705">
        <v>11</v>
      </c>
      <c r="O4705" t="s">
        <v>234</v>
      </c>
      <c r="P4705" s="2">
        <v>171.25</v>
      </c>
      <c r="Q4705" s="2">
        <v>20.55</v>
      </c>
      <c r="R4705" t="s">
        <v>79</v>
      </c>
      <c r="S4705">
        <v>1</v>
      </c>
      <c r="T4705">
        <v>0</v>
      </c>
      <c r="U4705">
        <f>IF(AND(OR(Dashboard!$D$4="Semua",D4705=Dashboard!$D$4),OR(Dashboard!$H$4="Semua",E4705=Dashboard!$H$4)),1,0)</f>
        <v>1</v>
      </c>
      <c r="V4705">
        <f>IF(U4705=1,IF(COUNTIFS($C$2:C4705,C4705,$U$2:U4705,1)=1,1,0),0)</f>
        <v>0</v>
      </c>
    </row>
    <row r="4706" spans="1:22" x14ac:dyDescent="0.35">
      <c r="A4706">
        <v>14705</v>
      </c>
      <c r="B4706" s="1">
        <v>49266</v>
      </c>
      <c r="C4706">
        <v>1665</v>
      </c>
      <c r="D4706" t="s">
        <v>73</v>
      </c>
      <c r="E4706" t="s">
        <v>78</v>
      </c>
      <c r="F4706">
        <v>4</v>
      </c>
      <c r="G4706" s="2">
        <v>370.65</v>
      </c>
      <c r="H4706">
        <v>0.33</v>
      </c>
      <c r="I4706" t="s">
        <v>71</v>
      </c>
      <c r="J4706">
        <v>1</v>
      </c>
      <c r="K4706">
        <v>2.2999999999999998</v>
      </c>
      <c r="L4706" s="2">
        <v>993.34</v>
      </c>
      <c r="M4706">
        <v>2034</v>
      </c>
      <c r="N4706">
        <v>11</v>
      </c>
      <c r="O4706" t="s">
        <v>234</v>
      </c>
      <c r="P4706" s="2">
        <v>1482.6</v>
      </c>
      <c r="Q4706" s="2">
        <v>489.26</v>
      </c>
      <c r="R4706" t="s">
        <v>72</v>
      </c>
      <c r="S4706">
        <v>1</v>
      </c>
      <c r="T4706">
        <v>0</v>
      </c>
      <c r="U4706">
        <f>IF(AND(OR(Dashboard!$D$4="Semua",D4706=Dashboard!$D$4),OR(Dashboard!$H$4="Semua",E4706=Dashboard!$H$4)),1,0)</f>
        <v>1</v>
      </c>
      <c r="V4706">
        <f>IF(U4706=1,IF(COUNTIFS($C$2:C4706,C4706,$U$2:U4706,1)=1,1,0),0)</f>
        <v>0</v>
      </c>
    </row>
    <row r="4707" spans="1:22" x14ac:dyDescent="0.35">
      <c r="A4707">
        <v>14706</v>
      </c>
      <c r="B4707" s="1">
        <v>49267</v>
      </c>
      <c r="C4707">
        <v>1154</v>
      </c>
      <c r="D4707" t="s">
        <v>67</v>
      </c>
      <c r="E4707" t="s">
        <v>78</v>
      </c>
      <c r="F4707">
        <v>1</v>
      </c>
      <c r="G4707" s="2">
        <v>570.22</v>
      </c>
      <c r="H4707">
        <v>0.08</v>
      </c>
      <c r="I4707" t="s">
        <v>68</v>
      </c>
      <c r="J4707">
        <v>9</v>
      </c>
      <c r="K4707">
        <v>2.9</v>
      </c>
      <c r="L4707" s="2">
        <v>524.6</v>
      </c>
      <c r="M4707">
        <v>2034</v>
      </c>
      <c r="N4707">
        <v>11</v>
      </c>
      <c r="O4707" t="s">
        <v>234</v>
      </c>
      <c r="P4707" s="2">
        <v>570.22</v>
      </c>
      <c r="Q4707" s="2">
        <v>45.62</v>
      </c>
      <c r="R4707" t="s">
        <v>69</v>
      </c>
      <c r="S4707">
        <v>1</v>
      </c>
      <c r="T4707">
        <v>0</v>
      </c>
      <c r="U4707">
        <f>IF(AND(OR(Dashboard!$D$4="Semua",D4707=Dashboard!$D$4),OR(Dashboard!$H$4="Semua",E4707=Dashboard!$H$4)),1,0)</f>
        <v>1</v>
      </c>
      <c r="V4707">
        <f>IF(U4707=1,IF(COUNTIFS($C$2:C4707,C4707,$U$2:U4707,1)=1,1,0),0)</f>
        <v>0</v>
      </c>
    </row>
    <row r="4708" spans="1:22" x14ac:dyDescent="0.35">
      <c r="A4708">
        <v>14707</v>
      </c>
      <c r="B4708" s="1">
        <v>49268</v>
      </c>
      <c r="C4708">
        <v>1429</v>
      </c>
      <c r="D4708" t="s">
        <v>62</v>
      </c>
      <c r="E4708" t="s">
        <v>74</v>
      </c>
      <c r="F4708">
        <v>5</v>
      </c>
      <c r="G4708" s="2">
        <v>593.99</v>
      </c>
      <c r="H4708">
        <v>0.03</v>
      </c>
      <c r="I4708" t="s">
        <v>68</v>
      </c>
      <c r="J4708">
        <v>1</v>
      </c>
      <c r="K4708">
        <v>4.8</v>
      </c>
      <c r="L4708" s="2">
        <v>2880.85</v>
      </c>
      <c r="M4708">
        <v>2034</v>
      </c>
      <c r="N4708">
        <v>11</v>
      </c>
      <c r="O4708" t="s">
        <v>234</v>
      </c>
      <c r="P4708" s="2">
        <v>2969.95</v>
      </c>
      <c r="Q4708" s="2">
        <v>89.1</v>
      </c>
      <c r="R4708" t="s">
        <v>75</v>
      </c>
      <c r="S4708">
        <v>1</v>
      </c>
      <c r="T4708">
        <v>0</v>
      </c>
      <c r="U4708">
        <f>IF(AND(OR(Dashboard!$D$4="Semua",D4708=Dashboard!$D$4),OR(Dashboard!$H$4="Semua",E4708=Dashboard!$H$4)),1,0)</f>
        <v>1</v>
      </c>
      <c r="V4708">
        <f>IF(U4708=1,IF(COUNTIFS($C$2:C4708,C4708,$U$2:U4708,1)=1,1,0),0)</f>
        <v>0</v>
      </c>
    </row>
    <row r="4709" spans="1:22" x14ac:dyDescent="0.35">
      <c r="A4709">
        <v>14708</v>
      </c>
      <c r="B4709" s="1">
        <v>49269</v>
      </c>
      <c r="C4709">
        <v>1362</v>
      </c>
      <c r="D4709" t="s">
        <v>73</v>
      </c>
      <c r="E4709" t="s">
        <v>78</v>
      </c>
      <c r="F4709">
        <v>4</v>
      </c>
      <c r="G4709" s="2">
        <v>298.24</v>
      </c>
      <c r="H4709">
        <v>0.02</v>
      </c>
      <c r="I4709" t="s">
        <v>71</v>
      </c>
      <c r="J4709">
        <v>7</v>
      </c>
      <c r="K4709">
        <v>3.8</v>
      </c>
      <c r="L4709" s="2">
        <v>1169.0999999999999</v>
      </c>
      <c r="M4709">
        <v>2034</v>
      </c>
      <c r="N4709">
        <v>11</v>
      </c>
      <c r="O4709" t="s">
        <v>234</v>
      </c>
      <c r="P4709" s="2">
        <v>1192.96</v>
      </c>
      <c r="Q4709" s="2">
        <v>23.86</v>
      </c>
      <c r="R4709" t="s">
        <v>75</v>
      </c>
      <c r="S4709">
        <v>1</v>
      </c>
      <c r="T4709">
        <v>0</v>
      </c>
      <c r="U4709">
        <f>IF(AND(OR(Dashboard!$D$4="Semua",D4709=Dashboard!$D$4),OR(Dashboard!$H$4="Semua",E4709=Dashboard!$H$4)),1,0)</f>
        <v>1</v>
      </c>
      <c r="V4709">
        <f>IF(U4709=1,IF(COUNTIFS($C$2:C4709,C4709,$U$2:U4709,1)=1,1,0),0)</f>
        <v>0</v>
      </c>
    </row>
    <row r="4710" spans="1:22" x14ac:dyDescent="0.35">
      <c r="A4710">
        <v>14709</v>
      </c>
      <c r="B4710" s="1">
        <v>49270</v>
      </c>
      <c r="C4710">
        <v>1447</v>
      </c>
      <c r="D4710" t="s">
        <v>73</v>
      </c>
      <c r="E4710" t="s">
        <v>78</v>
      </c>
      <c r="F4710">
        <v>6</v>
      </c>
      <c r="G4710" s="2">
        <v>288.83</v>
      </c>
      <c r="H4710">
        <v>0.18</v>
      </c>
      <c r="I4710" t="s">
        <v>68</v>
      </c>
      <c r="J4710">
        <v>11</v>
      </c>
      <c r="K4710">
        <v>2.4</v>
      </c>
      <c r="L4710" s="2">
        <v>1421.04</v>
      </c>
      <c r="M4710">
        <v>2034</v>
      </c>
      <c r="N4710">
        <v>11</v>
      </c>
      <c r="O4710" t="s">
        <v>234</v>
      </c>
      <c r="P4710" s="2">
        <v>1732.98</v>
      </c>
      <c r="Q4710" s="2">
        <v>311.94</v>
      </c>
      <c r="R4710" t="s">
        <v>76</v>
      </c>
      <c r="S4710">
        <v>1</v>
      </c>
      <c r="T4710">
        <v>0</v>
      </c>
      <c r="U4710">
        <f>IF(AND(OR(Dashboard!$D$4="Semua",D4710=Dashboard!$D$4),OR(Dashboard!$H$4="Semua",E4710=Dashboard!$H$4)),1,0)</f>
        <v>1</v>
      </c>
      <c r="V4710">
        <f>IF(U4710=1,IF(COUNTIFS($C$2:C4710,C4710,$U$2:U4710,1)=1,1,0),0)</f>
        <v>0</v>
      </c>
    </row>
    <row r="4711" spans="1:22" x14ac:dyDescent="0.35">
      <c r="A4711">
        <v>14710</v>
      </c>
      <c r="B4711" s="1">
        <v>49271</v>
      </c>
      <c r="C4711">
        <v>1986</v>
      </c>
      <c r="D4711" t="s">
        <v>80</v>
      </c>
      <c r="E4711" t="s">
        <v>78</v>
      </c>
      <c r="F4711">
        <v>2</v>
      </c>
      <c r="G4711" s="2">
        <v>392.3</v>
      </c>
      <c r="H4711">
        <v>0.22</v>
      </c>
      <c r="I4711" t="s">
        <v>68</v>
      </c>
      <c r="J4711">
        <v>7</v>
      </c>
      <c r="K4711">
        <v>5</v>
      </c>
      <c r="L4711" s="2">
        <v>611.99</v>
      </c>
      <c r="M4711">
        <v>2034</v>
      </c>
      <c r="N4711">
        <v>11</v>
      </c>
      <c r="O4711" t="s">
        <v>234</v>
      </c>
      <c r="P4711" s="2">
        <v>784.6</v>
      </c>
      <c r="Q4711" s="2">
        <v>172.61</v>
      </c>
      <c r="R4711" t="s">
        <v>77</v>
      </c>
      <c r="S4711">
        <v>1</v>
      </c>
      <c r="T4711">
        <v>0</v>
      </c>
      <c r="U4711">
        <f>IF(AND(OR(Dashboard!$D$4="Semua",D4711=Dashboard!$D$4),OR(Dashboard!$H$4="Semua",E4711=Dashboard!$H$4)),1,0)</f>
        <v>1</v>
      </c>
      <c r="V4711">
        <f>IF(U4711=1,IF(COUNTIFS($C$2:C4711,C4711,$U$2:U4711,1)=1,1,0),0)</f>
        <v>0</v>
      </c>
    </row>
    <row r="4712" spans="1:22" x14ac:dyDescent="0.35">
      <c r="A4712">
        <v>14711</v>
      </c>
      <c r="B4712" s="1">
        <v>49272</v>
      </c>
      <c r="C4712">
        <v>1233</v>
      </c>
      <c r="D4712" t="s">
        <v>67</v>
      </c>
      <c r="E4712" t="s">
        <v>63</v>
      </c>
      <c r="F4712">
        <v>5</v>
      </c>
      <c r="G4712" s="2">
        <v>340.05</v>
      </c>
      <c r="H4712">
        <v>0.11</v>
      </c>
      <c r="I4712" t="s">
        <v>71</v>
      </c>
      <c r="J4712">
        <v>1</v>
      </c>
      <c r="K4712">
        <v>2.4</v>
      </c>
      <c r="L4712" s="2">
        <v>1513.22</v>
      </c>
      <c r="M4712">
        <v>2034</v>
      </c>
      <c r="N4712">
        <v>11</v>
      </c>
      <c r="O4712" t="s">
        <v>234</v>
      </c>
      <c r="P4712" s="2">
        <v>1700.25</v>
      </c>
      <c r="Q4712" s="2">
        <v>187.03</v>
      </c>
      <c r="R4712" t="s">
        <v>79</v>
      </c>
      <c r="S4712">
        <v>1</v>
      </c>
      <c r="T4712">
        <v>0</v>
      </c>
      <c r="U4712">
        <f>IF(AND(OR(Dashboard!$D$4="Semua",D4712=Dashboard!$D$4),OR(Dashboard!$H$4="Semua",E4712=Dashboard!$H$4)),1,0)</f>
        <v>1</v>
      </c>
      <c r="V4712">
        <f>IF(U4712=1,IF(COUNTIFS($C$2:C4712,C4712,$U$2:U4712,1)=1,1,0),0)</f>
        <v>0</v>
      </c>
    </row>
    <row r="4713" spans="1:22" x14ac:dyDescent="0.35">
      <c r="A4713">
        <v>14712</v>
      </c>
      <c r="B4713" s="1">
        <v>49273</v>
      </c>
      <c r="C4713">
        <v>1562</v>
      </c>
      <c r="D4713" t="s">
        <v>67</v>
      </c>
      <c r="E4713" t="s">
        <v>70</v>
      </c>
      <c r="F4713">
        <v>2</v>
      </c>
      <c r="G4713" s="2">
        <v>385.94</v>
      </c>
      <c r="H4713">
        <v>0.24</v>
      </c>
      <c r="I4713" t="s">
        <v>68</v>
      </c>
      <c r="J4713">
        <v>1</v>
      </c>
      <c r="K4713">
        <v>4.3</v>
      </c>
      <c r="L4713" s="2">
        <v>586.63</v>
      </c>
      <c r="M4713">
        <v>2034</v>
      </c>
      <c r="N4713">
        <v>11</v>
      </c>
      <c r="O4713" t="s">
        <v>234</v>
      </c>
      <c r="P4713" s="2">
        <v>771.88</v>
      </c>
      <c r="Q4713" s="2">
        <v>185.25</v>
      </c>
      <c r="R4713" t="s">
        <v>77</v>
      </c>
      <c r="S4713">
        <v>1</v>
      </c>
      <c r="T4713">
        <v>0</v>
      </c>
      <c r="U4713">
        <f>IF(AND(OR(Dashboard!$D$4="Semua",D4713=Dashboard!$D$4),OR(Dashboard!$H$4="Semua",E4713=Dashboard!$H$4)),1,0)</f>
        <v>1</v>
      </c>
      <c r="V4713">
        <f>IF(U4713=1,IF(COUNTIFS($C$2:C4713,C4713,$U$2:U4713,1)=1,1,0),0)</f>
        <v>0</v>
      </c>
    </row>
    <row r="4714" spans="1:22" x14ac:dyDescent="0.35">
      <c r="A4714">
        <v>14713</v>
      </c>
      <c r="B4714" s="1">
        <v>49274</v>
      </c>
      <c r="C4714">
        <v>1817</v>
      </c>
      <c r="D4714" t="s">
        <v>73</v>
      </c>
      <c r="E4714" t="s">
        <v>70</v>
      </c>
      <c r="F4714">
        <v>1</v>
      </c>
      <c r="G4714" s="2">
        <v>526.29</v>
      </c>
      <c r="H4714">
        <v>0.02</v>
      </c>
      <c r="I4714" t="s">
        <v>68</v>
      </c>
      <c r="J4714">
        <v>6</v>
      </c>
      <c r="K4714">
        <v>4.0999999999999996</v>
      </c>
      <c r="L4714" s="2">
        <v>515.76</v>
      </c>
      <c r="M4714">
        <v>2034</v>
      </c>
      <c r="N4714">
        <v>11</v>
      </c>
      <c r="O4714" t="s">
        <v>234</v>
      </c>
      <c r="P4714" s="2">
        <v>526.29</v>
      </c>
      <c r="Q4714" s="2">
        <v>10.53</v>
      </c>
      <c r="R4714" t="s">
        <v>75</v>
      </c>
      <c r="S4714">
        <v>1</v>
      </c>
      <c r="T4714">
        <v>0</v>
      </c>
      <c r="U4714">
        <f>IF(AND(OR(Dashboard!$D$4="Semua",D4714=Dashboard!$D$4),OR(Dashboard!$H$4="Semua",E4714=Dashboard!$H$4)),1,0)</f>
        <v>1</v>
      </c>
      <c r="V4714">
        <f>IF(U4714=1,IF(COUNTIFS($C$2:C4714,C4714,$U$2:U4714,1)=1,1,0),0)</f>
        <v>0</v>
      </c>
    </row>
    <row r="4715" spans="1:22" x14ac:dyDescent="0.35">
      <c r="A4715">
        <v>14714</v>
      </c>
      <c r="B4715" s="1">
        <v>49275</v>
      </c>
      <c r="C4715">
        <v>1261</v>
      </c>
      <c r="D4715" t="s">
        <v>73</v>
      </c>
      <c r="E4715" t="s">
        <v>74</v>
      </c>
      <c r="F4715">
        <v>5</v>
      </c>
      <c r="G4715" s="2">
        <v>451.59</v>
      </c>
      <c r="H4715">
        <v>0.3</v>
      </c>
      <c r="I4715" t="s">
        <v>68</v>
      </c>
      <c r="J4715">
        <v>8</v>
      </c>
      <c r="K4715">
        <v>3.9</v>
      </c>
      <c r="L4715" s="2">
        <v>1580.56</v>
      </c>
      <c r="M4715">
        <v>2034</v>
      </c>
      <c r="N4715">
        <v>11</v>
      </c>
      <c r="O4715" t="s">
        <v>234</v>
      </c>
      <c r="P4715" s="2">
        <v>2257.9499999999998</v>
      </c>
      <c r="Q4715" s="2">
        <v>677.39</v>
      </c>
      <c r="R4715" t="s">
        <v>66</v>
      </c>
      <c r="S4715">
        <v>1</v>
      </c>
      <c r="T4715">
        <v>0</v>
      </c>
      <c r="U4715">
        <f>IF(AND(OR(Dashboard!$D$4="Semua",D4715=Dashboard!$D$4),OR(Dashboard!$H$4="Semua",E4715=Dashboard!$H$4)),1,0)</f>
        <v>1</v>
      </c>
      <c r="V4715">
        <f>IF(U4715=1,IF(COUNTIFS($C$2:C4715,C4715,$U$2:U4715,1)=1,1,0),0)</f>
        <v>0</v>
      </c>
    </row>
    <row r="4716" spans="1:22" x14ac:dyDescent="0.35">
      <c r="A4716">
        <v>14715</v>
      </c>
      <c r="B4716" s="1">
        <v>49276</v>
      </c>
      <c r="C4716">
        <v>1826</v>
      </c>
      <c r="D4716" t="s">
        <v>67</v>
      </c>
      <c r="E4716" t="s">
        <v>74</v>
      </c>
      <c r="F4716">
        <v>4</v>
      </c>
      <c r="G4716" s="2">
        <v>305.67</v>
      </c>
      <c r="H4716">
        <v>0.28999999999999998</v>
      </c>
      <c r="I4716" t="s">
        <v>68</v>
      </c>
      <c r="J4716">
        <v>7</v>
      </c>
      <c r="K4716">
        <v>3.7</v>
      </c>
      <c r="L4716" s="2">
        <v>868.1</v>
      </c>
      <c r="M4716">
        <v>2034</v>
      </c>
      <c r="N4716">
        <v>11</v>
      </c>
      <c r="O4716" t="s">
        <v>234</v>
      </c>
      <c r="P4716" s="2">
        <v>1222.68</v>
      </c>
      <c r="Q4716" s="2">
        <v>354.58</v>
      </c>
      <c r="R4716" t="s">
        <v>66</v>
      </c>
      <c r="S4716">
        <v>1</v>
      </c>
      <c r="T4716">
        <v>0</v>
      </c>
      <c r="U4716">
        <f>IF(AND(OR(Dashboard!$D$4="Semua",D4716=Dashboard!$D$4),OR(Dashboard!$H$4="Semua",E4716=Dashboard!$H$4)),1,0)</f>
        <v>1</v>
      </c>
      <c r="V4716">
        <f>IF(U4716=1,IF(COUNTIFS($C$2:C4716,C4716,$U$2:U4716,1)=1,1,0),0)</f>
        <v>0</v>
      </c>
    </row>
    <row r="4717" spans="1:22" x14ac:dyDescent="0.35">
      <c r="A4717">
        <v>14716</v>
      </c>
      <c r="B4717" s="1">
        <v>49277</v>
      </c>
      <c r="C4717">
        <v>1124</v>
      </c>
      <c r="D4717" t="s">
        <v>73</v>
      </c>
      <c r="E4717" t="s">
        <v>63</v>
      </c>
      <c r="F4717">
        <v>3</v>
      </c>
      <c r="G4717" s="2">
        <v>285.19</v>
      </c>
      <c r="H4717">
        <v>0.34</v>
      </c>
      <c r="I4717" t="s">
        <v>64</v>
      </c>
      <c r="J4717">
        <v>6</v>
      </c>
      <c r="K4717">
        <v>1.4</v>
      </c>
      <c r="L4717" s="2">
        <v>564.67999999999995</v>
      </c>
      <c r="M4717">
        <v>2034</v>
      </c>
      <c r="N4717">
        <v>11</v>
      </c>
      <c r="O4717" t="s">
        <v>234</v>
      </c>
      <c r="P4717" s="2">
        <v>855.57</v>
      </c>
      <c r="Q4717" s="2">
        <v>290.89</v>
      </c>
      <c r="R4717" t="s">
        <v>72</v>
      </c>
      <c r="S4717">
        <v>1</v>
      </c>
      <c r="T4717">
        <v>0</v>
      </c>
      <c r="U4717">
        <f>IF(AND(OR(Dashboard!$D$4="Semua",D4717=Dashboard!$D$4),OR(Dashboard!$H$4="Semua",E4717=Dashboard!$H$4)),1,0)</f>
        <v>1</v>
      </c>
      <c r="V4717">
        <f>IF(U4717=1,IF(COUNTIFS($C$2:C4717,C4717,$U$2:U4717,1)=1,1,0),0)</f>
        <v>0</v>
      </c>
    </row>
    <row r="4718" spans="1:22" x14ac:dyDescent="0.35">
      <c r="A4718">
        <v>14717</v>
      </c>
      <c r="B4718" s="1">
        <v>49278</v>
      </c>
      <c r="C4718">
        <v>1910</v>
      </c>
      <c r="D4718" t="s">
        <v>67</v>
      </c>
      <c r="E4718" t="s">
        <v>70</v>
      </c>
      <c r="F4718">
        <v>5</v>
      </c>
      <c r="G4718" s="2">
        <v>389.17</v>
      </c>
      <c r="H4718">
        <v>0.33</v>
      </c>
      <c r="I4718" t="s">
        <v>68</v>
      </c>
      <c r="J4718">
        <v>10</v>
      </c>
      <c r="K4718">
        <v>5</v>
      </c>
      <c r="L4718" s="2">
        <v>1303.72</v>
      </c>
      <c r="M4718">
        <v>2034</v>
      </c>
      <c r="N4718">
        <v>11</v>
      </c>
      <c r="O4718" t="s">
        <v>234</v>
      </c>
      <c r="P4718" s="2">
        <v>1945.85</v>
      </c>
      <c r="Q4718" s="2">
        <v>642.13</v>
      </c>
      <c r="R4718" t="s">
        <v>72</v>
      </c>
      <c r="S4718">
        <v>1</v>
      </c>
      <c r="T4718">
        <v>0</v>
      </c>
      <c r="U4718">
        <f>IF(AND(OR(Dashboard!$D$4="Semua",D4718=Dashboard!$D$4),OR(Dashboard!$H$4="Semua",E4718=Dashboard!$H$4)),1,0)</f>
        <v>1</v>
      </c>
      <c r="V4718">
        <f>IF(U4718=1,IF(COUNTIFS($C$2:C4718,C4718,$U$2:U4718,1)=1,1,0),0)</f>
        <v>0</v>
      </c>
    </row>
    <row r="4719" spans="1:22" x14ac:dyDescent="0.35">
      <c r="A4719">
        <v>14718</v>
      </c>
      <c r="B4719" s="1">
        <v>49279</v>
      </c>
      <c r="C4719">
        <v>1244</v>
      </c>
      <c r="D4719" t="s">
        <v>67</v>
      </c>
      <c r="E4719" t="s">
        <v>78</v>
      </c>
      <c r="F4719">
        <v>5</v>
      </c>
      <c r="G4719" s="2">
        <v>281.58999999999997</v>
      </c>
      <c r="H4719">
        <v>0.12</v>
      </c>
      <c r="I4719" t="s">
        <v>71</v>
      </c>
      <c r="J4719">
        <v>3</v>
      </c>
      <c r="K4719">
        <v>1.6</v>
      </c>
      <c r="L4719" s="2">
        <v>1239</v>
      </c>
      <c r="M4719">
        <v>2034</v>
      </c>
      <c r="N4719">
        <v>12</v>
      </c>
      <c r="O4719" t="s">
        <v>235</v>
      </c>
      <c r="P4719" s="2">
        <v>1407.95</v>
      </c>
      <c r="Q4719" s="2">
        <v>168.95</v>
      </c>
      <c r="R4719" t="s">
        <v>79</v>
      </c>
      <c r="S4719">
        <v>1</v>
      </c>
      <c r="T4719">
        <v>0</v>
      </c>
      <c r="U4719">
        <f>IF(AND(OR(Dashboard!$D$4="Semua",D4719=Dashboard!$D$4),OR(Dashboard!$H$4="Semua",E4719=Dashboard!$H$4)),1,0)</f>
        <v>1</v>
      </c>
      <c r="V4719">
        <f>IF(U4719=1,IF(COUNTIFS($C$2:C4719,C4719,$U$2:U4719,1)=1,1,0),0)</f>
        <v>0</v>
      </c>
    </row>
    <row r="4720" spans="1:22" x14ac:dyDescent="0.35">
      <c r="A4720">
        <v>14719</v>
      </c>
      <c r="B4720" s="1">
        <v>49280</v>
      </c>
      <c r="C4720">
        <v>1541</v>
      </c>
      <c r="D4720" t="s">
        <v>73</v>
      </c>
      <c r="E4720" t="s">
        <v>78</v>
      </c>
      <c r="F4720">
        <v>5</v>
      </c>
      <c r="G4720" s="2">
        <v>282.8</v>
      </c>
      <c r="H4720">
        <v>0.14000000000000001</v>
      </c>
      <c r="I4720" t="s">
        <v>71</v>
      </c>
      <c r="J4720">
        <v>11</v>
      </c>
      <c r="K4720">
        <v>3.4</v>
      </c>
      <c r="L4720" s="2">
        <v>1216.04</v>
      </c>
      <c r="M4720">
        <v>2034</v>
      </c>
      <c r="N4720">
        <v>12</v>
      </c>
      <c r="O4720" t="s">
        <v>235</v>
      </c>
      <c r="P4720" s="2">
        <v>1414</v>
      </c>
      <c r="Q4720" s="2">
        <v>197.96</v>
      </c>
      <c r="R4720" t="s">
        <v>79</v>
      </c>
      <c r="S4720">
        <v>1</v>
      </c>
      <c r="T4720">
        <v>0</v>
      </c>
      <c r="U4720">
        <f>IF(AND(OR(Dashboard!$D$4="Semua",D4720=Dashboard!$D$4),OR(Dashboard!$H$4="Semua",E4720=Dashboard!$H$4)),1,0)</f>
        <v>1</v>
      </c>
      <c r="V4720">
        <f>IF(U4720=1,IF(COUNTIFS($C$2:C4720,C4720,$U$2:U4720,1)=1,1,0),0)</f>
        <v>0</v>
      </c>
    </row>
    <row r="4721" spans="1:22" x14ac:dyDescent="0.35">
      <c r="A4721">
        <v>14720</v>
      </c>
      <c r="B4721" s="1">
        <v>49281</v>
      </c>
      <c r="C4721">
        <v>1937</v>
      </c>
      <c r="D4721" t="s">
        <v>62</v>
      </c>
      <c r="E4721" t="s">
        <v>74</v>
      </c>
      <c r="F4721">
        <v>5</v>
      </c>
      <c r="G4721" s="2">
        <v>24.54</v>
      </c>
      <c r="H4721">
        <v>0.26</v>
      </c>
      <c r="I4721" t="s">
        <v>68</v>
      </c>
      <c r="J4721">
        <v>7</v>
      </c>
      <c r="K4721">
        <v>2</v>
      </c>
      <c r="L4721" s="2">
        <v>90.8</v>
      </c>
      <c r="M4721">
        <v>2034</v>
      </c>
      <c r="N4721">
        <v>12</v>
      </c>
      <c r="O4721" t="s">
        <v>235</v>
      </c>
      <c r="P4721" s="2">
        <v>122.7</v>
      </c>
      <c r="Q4721" s="2">
        <v>31.9</v>
      </c>
      <c r="R4721" t="s">
        <v>66</v>
      </c>
      <c r="S4721">
        <v>1</v>
      </c>
      <c r="T4721">
        <v>0</v>
      </c>
      <c r="U4721">
        <f>IF(AND(OR(Dashboard!$D$4="Semua",D4721=Dashboard!$D$4),OR(Dashboard!$H$4="Semua",E4721=Dashboard!$H$4)),1,0)</f>
        <v>1</v>
      </c>
      <c r="V4721">
        <f>IF(U4721=1,IF(COUNTIFS($C$2:C4721,C4721,$U$2:U4721,1)=1,1,0),0)</f>
        <v>0</v>
      </c>
    </row>
    <row r="4722" spans="1:22" x14ac:dyDescent="0.35">
      <c r="A4722">
        <v>14721</v>
      </c>
      <c r="B4722" s="1">
        <v>49282</v>
      </c>
      <c r="C4722">
        <v>1484</v>
      </c>
      <c r="D4722" t="s">
        <v>80</v>
      </c>
      <c r="E4722" t="s">
        <v>70</v>
      </c>
      <c r="F4722">
        <v>4</v>
      </c>
      <c r="G4722" s="2">
        <v>116.83</v>
      </c>
      <c r="H4722">
        <v>0.05</v>
      </c>
      <c r="I4722" t="s">
        <v>68</v>
      </c>
      <c r="J4722">
        <v>6</v>
      </c>
      <c r="K4722">
        <v>1.7</v>
      </c>
      <c r="L4722" s="2">
        <v>443.95</v>
      </c>
      <c r="M4722">
        <v>2034</v>
      </c>
      <c r="N4722">
        <v>12</v>
      </c>
      <c r="O4722" t="s">
        <v>235</v>
      </c>
      <c r="P4722" s="2">
        <v>467.32</v>
      </c>
      <c r="Q4722" s="2">
        <v>23.37</v>
      </c>
      <c r="R4722" t="s">
        <v>75</v>
      </c>
      <c r="S4722">
        <v>1</v>
      </c>
      <c r="T4722">
        <v>0</v>
      </c>
      <c r="U4722">
        <f>IF(AND(OR(Dashboard!$D$4="Semua",D4722=Dashboard!$D$4),OR(Dashboard!$H$4="Semua",E4722=Dashboard!$H$4)),1,0)</f>
        <v>1</v>
      </c>
      <c r="V4722">
        <f>IF(U4722=1,IF(COUNTIFS($C$2:C4722,C4722,$U$2:U4722,1)=1,1,0),0)</f>
        <v>0</v>
      </c>
    </row>
    <row r="4723" spans="1:22" x14ac:dyDescent="0.35">
      <c r="A4723">
        <v>14722</v>
      </c>
      <c r="B4723" s="1">
        <v>49283</v>
      </c>
      <c r="C4723">
        <v>1121</v>
      </c>
      <c r="D4723" t="s">
        <v>80</v>
      </c>
      <c r="E4723" t="s">
        <v>74</v>
      </c>
      <c r="F4723">
        <v>4</v>
      </c>
      <c r="G4723" s="2">
        <v>300.77999999999997</v>
      </c>
      <c r="H4723">
        <v>0.11</v>
      </c>
      <c r="I4723" t="s">
        <v>64</v>
      </c>
      <c r="J4723">
        <v>8</v>
      </c>
      <c r="K4723">
        <v>3.2</v>
      </c>
      <c r="L4723" s="2">
        <v>1070.78</v>
      </c>
      <c r="M4723">
        <v>2034</v>
      </c>
      <c r="N4723">
        <v>12</v>
      </c>
      <c r="O4723" t="s">
        <v>235</v>
      </c>
      <c r="P4723" s="2">
        <v>1203.1199999999999</v>
      </c>
      <c r="Q4723" s="2">
        <v>132.34</v>
      </c>
      <c r="R4723" t="s">
        <v>79</v>
      </c>
      <c r="S4723">
        <v>1</v>
      </c>
      <c r="T4723">
        <v>0</v>
      </c>
      <c r="U4723">
        <f>IF(AND(OR(Dashboard!$D$4="Semua",D4723=Dashboard!$D$4),OR(Dashboard!$H$4="Semua",E4723=Dashboard!$H$4)),1,0)</f>
        <v>1</v>
      </c>
      <c r="V4723">
        <f>IF(U4723=1,IF(COUNTIFS($C$2:C4723,C4723,$U$2:U4723,1)=1,1,0),0)</f>
        <v>0</v>
      </c>
    </row>
    <row r="4724" spans="1:22" x14ac:dyDescent="0.35">
      <c r="A4724">
        <v>14723</v>
      </c>
      <c r="B4724" s="1">
        <v>49284</v>
      </c>
      <c r="C4724">
        <v>1124</v>
      </c>
      <c r="D4724" t="s">
        <v>73</v>
      </c>
      <c r="E4724" t="s">
        <v>74</v>
      </c>
      <c r="F4724">
        <v>3</v>
      </c>
      <c r="G4724" s="2">
        <v>496.25</v>
      </c>
      <c r="H4724">
        <v>0.04</v>
      </c>
      <c r="I4724" t="s">
        <v>64</v>
      </c>
      <c r="J4724">
        <v>4</v>
      </c>
      <c r="K4724">
        <v>4.3</v>
      </c>
      <c r="L4724" s="2">
        <v>1429.2</v>
      </c>
      <c r="M4724">
        <v>2034</v>
      </c>
      <c r="N4724">
        <v>12</v>
      </c>
      <c r="O4724" t="s">
        <v>235</v>
      </c>
      <c r="P4724" s="2">
        <v>1488.75</v>
      </c>
      <c r="Q4724" s="2">
        <v>59.55</v>
      </c>
      <c r="R4724" t="s">
        <v>75</v>
      </c>
      <c r="S4724">
        <v>1</v>
      </c>
      <c r="T4724">
        <v>0</v>
      </c>
      <c r="U4724">
        <f>IF(AND(OR(Dashboard!$D$4="Semua",D4724=Dashboard!$D$4),OR(Dashboard!$H$4="Semua",E4724=Dashboard!$H$4)),1,0)</f>
        <v>1</v>
      </c>
      <c r="V4724">
        <f>IF(U4724=1,IF(COUNTIFS($C$2:C4724,C4724,$U$2:U4724,1)=1,1,0),0)</f>
        <v>0</v>
      </c>
    </row>
    <row r="4725" spans="1:22" x14ac:dyDescent="0.35">
      <c r="A4725">
        <v>14724</v>
      </c>
      <c r="B4725" s="1">
        <v>49285</v>
      </c>
      <c r="C4725">
        <v>1548</v>
      </c>
      <c r="D4725" t="s">
        <v>73</v>
      </c>
      <c r="E4725" t="s">
        <v>78</v>
      </c>
      <c r="F4725">
        <v>4</v>
      </c>
      <c r="G4725" s="2">
        <v>178.06</v>
      </c>
      <c r="H4725">
        <v>0.16</v>
      </c>
      <c r="I4725" t="s">
        <v>68</v>
      </c>
      <c r="J4725">
        <v>9</v>
      </c>
      <c r="K4725">
        <v>2.5</v>
      </c>
      <c r="L4725" s="2">
        <v>598.28</v>
      </c>
      <c r="M4725">
        <v>2034</v>
      </c>
      <c r="N4725">
        <v>12</v>
      </c>
      <c r="O4725" t="s">
        <v>235</v>
      </c>
      <c r="P4725" s="2">
        <v>712.24</v>
      </c>
      <c r="Q4725" s="2">
        <v>113.96</v>
      </c>
      <c r="R4725" t="s">
        <v>76</v>
      </c>
      <c r="S4725">
        <v>1</v>
      </c>
      <c r="T4725">
        <v>0</v>
      </c>
      <c r="U4725">
        <f>IF(AND(OR(Dashboard!$D$4="Semua",D4725=Dashboard!$D$4),OR(Dashboard!$H$4="Semua",E4725=Dashboard!$H$4)),1,0)</f>
        <v>1</v>
      </c>
      <c r="V4725">
        <f>IF(U4725=1,IF(COUNTIFS($C$2:C4725,C4725,$U$2:U4725,1)=1,1,0),0)</f>
        <v>0</v>
      </c>
    </row>
    <row r="4726" spans="1:22" x14ac:dyDescent="0.35">
      <c r="A4726">
        <v>14725</v>
      </c>
      <c r="B4726" s="1">
        <v>49286</v>
      </c>
      <c r="C4726">
        <v>1169</v>
      </c>
      <c r="D4726" t="s">
        <v>67</v>
      </c>
      <c r="E4726" t="s">
        <v>78</v>
      </c>
      <c r="F4726">
        <v>4</v>
      </c>
      <c r="G4726" s="2">
        <v>320.75</v>
      </c>
      <c r="H4726">
        <v>0.19</v>
      </c>
      <c r="I4726" t="s">
        <v>68</v>
      </c>
      <c r="J4726">
        <v>1</v>
      </c>
      <c r="K4726">
        <v>1.3</v>
      </c>
      <c r="L4726" s="2">
        <v>1039.23</v>
      </c>
      <c r="M4726">
        <v>2034</v>
      </c>
      <c r="N4726">
        <v>12</v>
      </c>
      <c r="O4726" t="s">
        <v>235</v>
      </c>
      <c r="P4726" s="2">
        <v>1283</v>
      </c>
      <c r="Q4726" s="2">
        <v>243.77</v>
      </c>
      <c r="R4726" t="s">
        <v>76</v>
      </c>
      <c r="S4726">
        <v>1</v>
      </c>
      <c r="T4726">
        <v>0</v>
      </c>
      <c r="U4726">
        <f>IF(AND(OR(Dashboard!$D$4="Semua",D4726=Dashboard!$D$4),OR(Dashboard!$H$4="Semua",E4726=Dashboard!$H$4)),1,0)</f>
        <v>1</v>
      </c>
      <c r="V4726">
        <f>IF(U4726=1,IF(COUNTIFS($C$2:C4726,C4726,$U$2:U4726,1)=1,1,0),0)</f>
        <v>0</v>
      </c>
    </row>
    <row r="4727" spans="1:22" x14ac:dyDescent="0.35">
      <c r="A4727">
        <v>14726</v>
      </c>
      <c r="B4727" s="1">
        <v>49287</v>
      </c>
      <c r="C4727">
        <v>1123</v>
      </c>
      <c r="D4727" t="s">
        <v>73</v>
      </c>
      <c r="E4727" t="s">
        <v>70</v>
      </c>
      <c r="F4727">
        <v>1</v>
      </c>
      <c r="G4727" s="2">
        <v>216.8</v>
      </c>
      <c r="H4727">
        <v>7.0000000000000007E-2</v>
      </c>
      <c r="I4727" t="s">
        <v>71</v>
      </c>
      <c r="J4727">
        <v>7</v>
      </c>
      <c r="K4727">
        <v>3.5</v>
      </c>
      <c r="L4727" s="2">
        <v>201.62</v>
      </c>
      <c r="M4727">
        <v>2034</v>
      </c>
      <c r="N4727">
        <v>12</v>
      </c>
      <c r="O4727" t="s">
        <v>235</v>
      </c>
      <c r="P4727" s="2">
        <v>216.8</v>
      </c>
      <c r="Q4727" s="2">
        <v>15.18</v>
      </c>
      <c r="R4727" t="s">
        <v>69</v>
      </c>
      <c r="S4727">
        <v>1</v>
      </c>
      <c r="T4727">
        <v>0</v>
      </c>
      <c r="U4727">
        <f>IF(AND(OR(Dashboard!$D$4="Semua",D4727=Dashboard!$D$4),OR(Dashboard!$H$4="Semua",E4727=Dashboard!$H$4)),1,0)</f>
        <v>1</v>
      </c>
      <c r="V4727">
        <f>IF(U4727=1,IF(COUNTIFS($C$2:C4727,C4727,$U$2:U4727,1)=1,1,0),0)</f>
        <v>0</v>
      </c>
    </row>
    <row r="4728" spans="1:22" x14ac:dyDescent="0.35">
      <c r="A4728">
        <v>14727</v>
      </c>
      <c r="B4728" s="1">
        <v>49288</v>
      </c>
      <c r="C4728">
        <v>1868</v>
      </c>
      <c r="D4728" t="s">
        <v>62</v>
      </c>
      <c r="E4728" t="s">
        <v>74</v>
      </c>
      <c r="F4728">
        <v>7</v>
      </c>
      <c r="G4728" s="2">
        <v>76.31</v>
      </c>
      <c r="H4728">
        <v>0.01</v>
      </c>
      <c r="I4728" t="s">
        <v>68</v>
      </c>
      <c r="J4728">
        <v>9</v>
      </c>
      <c r="K4728">
        <v>4.0999999999999996</v>
      </c>
      <c r="L4728" s="2">
        <v>528.83000000000004</v>
      </c>
      <c r="M4728">
        <v>2034</v>
      </c>
      <c r="N4728">
        <v>12</v>
      </c>
      <c r="O4728" t="s">
        <v>235</v>
      </c>
      <c r="P4728" s="2">
        <v>534.16999999999996</v>
      </c>
      <c r="Q4728" s="2">
        <v>5.34</v>
      </c>
      <c r="R4728" t="s">
        <v>75</v>
      </c>
      <c r="S4728">
        <v>1</v>
      </c>
      <c r="T4728">
        <v>0</v>
      </c>
      <c r="U4728">
        <f>IF(AND(OR(Dashboard!$D$4="Semua",D4728=Dashboard!$D$4),OR(Dashboard!$H$4="Semua",E4728=Dashboard!$H$4)),1,0)</f>
        <v>1</v>
      </c>
      <c r="V4728">
        <f>IF(U4728=1,IF(COUNTIFS($C$2:C4728,C4728,$U$2:U4728,1)=1,1,0),0)</f>
        <v>0</v>
      </c>
    </row>
    <row r="4729" spans="1:22" x14ac:dyDescent="0.35">
      <c r="A4729">
        <v>14728</v>
      </c>
      <c r="B4729" s="1">
        <v>49289</v>
      </c>
      <c r="C4729">
        <v>1034</v>
      </c>
      <c r="D4729" t="s">
        <v>73</v>
      </c>
      <c r="E4729" t="s">
        <v>63</v>
      </c>
      <c r="F4729">
        <v>1</v>
      </c>
      <c r="G4729" s="2">
        <v>575.6</v>
      </c>
      <c r="H4729">
        <v>0.25</v>
      </c>
      <c r="I4729" t="s">
        <v>68</v>
      </c>
      <c r="J4729">
        <v>10</v>
      </c>
      <c r="K4729">
        <v>2.2000000000000002</v>
      </c>
      <c r="L4729" s="2">
        <v>431.7</v>
      </c>
      <c r="M4729">
        <v>2034</v>
      </c>
      <c r="N4729">
        <v>12</v>
      </c>
      <c r="O4729" t="s">
        <v>235</v>
      </c>
      <c r="P4729" s="2">
        <v>575.6</v>
      </c>
      <c r="Q4729" s="2">
        <v>143.9</v>
      </c>
      <c r="R4729" t="s">
        <v>77</v>
      </c>
      <c r="S4729">
        <v>1</v>
      </c>
      <c r="T4729">
        <v>0</v>
      </c>
      <c r="U4729">
        <f>IF(AND(OR(Dashboard!$D$4="Semua",D4729=Dashboard!$D$4),OR(Dashboard!$H$4="Semua",E4729=Dashboard!$H$4)),1,0)</f>
        <v>1</v>
      </c>
      <c r="V4729">
        <f>IF(U4729=1,IF(COUNTIFS($C$2:C4729,C4729,$U$2:U4729,1)=1,1,0),0)</f>
        <v>0</v>
      </c>
    </row>
    <row r="4730" spans="1:22" x14ac:dyDescent="0.35">
      <c r="A4730">
        <v>14729</v>
      </c>
      <c r="B4730" s="1">
        <v>49290</v>
      </c>
      <c r="C4730">
        <v>1086</v>
      </c>
      <c r="D4730" t="s">
        <v>67</v>
      </c>
      <c r="E4730" t="s">
        <v>70</v>
      </c>
      <c r="F4730">
        <v>7</v>
      </c>
      <c r="G4730" s="2">
        <v>514.98</v>
      </c>
      <c r="H4730">
        <v>0.01</v>
      </c>
      <c r="I4730" t="s">
        <v>68</v>
      </c>
      <c r="J4730">
        <v>1</v>
      </c>
      <c r="K4730">
        <v>3.8</v>
      </c>
      <c r="L4730" s="2">
        <v>3568.81</v>
      </c>
      <c r="M4730">
        <v>2034</v>
      </c>
      <c r="N4730">
        <v>12</v>
      </c>
      <c r="O4730" t="s">
        <v>235</v>
      </c>
      <c r="P4730" s="2">
        <v>3604.86</v>
      </c>
      <c r="Q4730" s="2">
        <v>36.049999999999997</v>
      </c>
      <c r="R4730" t="s">
        <v>75</v>
      </c>
      <c r="S4730">
        <v>1</v>
      </c>
      <c r="T4730">
        <v>1</v>
      </c>
      <c r="U4730">
        <f>IF(AND(OR(Dashboard!$D$4="Semua",D4730=Dashboard!$D$4),OR(Dashboard!$H$4="Semua",E4730=Dashboard!$H$4)),1,0)</f>
        <v>1</v>
      </c>
      <c r="V4730">
        <f>IF(U4730=1,IF(COUNTIFS($C$2:C4730,C4730,$U$2:U4730,1)=1,1,0),0)</f>
        <v>0</v>
      </c>
    </row>
    <row r="4731" spans="1:22" x14ac:dyDescent="0.35">
      <c r="A4731">
        <v>14730</v>
      </c>
      <c r="B4731" s="1">
        <v>49291</v>
      </c>
      <c r="C4731">
        <v>1645</v>
      </c>
      <c r="D4731" t="s">
        <v>67</v>
      </c>
      <c r="E4731" t="s">
        <v>74</v>
      </c>
      <c r="F4731">
        <v>2</v>
      </c>
      <c r="G4731" s="2">
        <v>60.92</v>
      </c>
      <c r="H4731">
        <v>0.34</v>
      </c>
      <c r="I4731" t="s">
        <v>68</v>
      </c>
      <c r="J4731">
        <v>10</v>
      </c>
      <c r="K4731">
        <v>1.3</v>
      </c>
      <c r="L4731" s="2">
        <v>80.41</v>
      </c>
      <c r="M4731">
        <v>2034</v>
      </c>
      <c r="N4731">
        <v>12</v>
      </c>
      <c r="O4731" t="s">
        <v>235</v>
      </c>
      <c r="P4731" s="2">
        <v>121.84</v>
      </c>
      <c r="Q4731" s="2">
        <v>41.43</v>
      </c>
      <c r="R4731" t="s">
        <v>72</v>
      </c>
      <c r="S4731">
        <v>1</v>
      </c>
      <c r="T4731">
        <v>0</v>
      </c>
      <c r="U4731">
        <f>IF(AND(OR(Dashboard!$D$4="Semua",D4731=Dashboard!$D$4),OR(Dashboard!$H$4="Semua",E4731=Dashboard!$H$4)),1,0)</f>
        <v>1</v>
      </c>
      <c r="V4731">
        <f>IF(U4731=1,IF(COUNTIFS($C$2:C4731,C4731,$U$2:U4731,1)=1,1,0),0)</f>
        <v>0</v>
      </c>
    </row>
    <row r="4732" spans="1:22" x14ac:dyDescent="0.35">
      <c r="A4732">
        <v>14731</v>
      </c>
      <c r="B4732" s="1">
        <v>49292</v>
      </c>
      <c r="C4732">
        <v>1707</v>
      </c>
      <c r="D4732" t="s">
        <v>67</v>
      </c>
      <c r="E4732" t="s">
        <v>70</v>
      </c>
      <c r="F4732">
        <v>3</v>
      </c>
      <c r="G4732" s="2">
        <v>436.08</v>
      </c>
      <c r="H4732">
        <v>0.08</v>
      </c>
      <c r="I4732" t="s">
        <v>68</v>
      </c>
      <c r="J4732">
        <v>3</v>
      </c>
      <c r="K4732">
        <v>2.4</v>
      </c>
      <c r="L4732" s="2">
        <v>1203.58</v>
      </c>
      <c r="M4732">
        <v>2034</v>
      </c>
      <c r="N4732">
        <v>12</v>
      </c>
      <c r="O4732" t="s">
        <v>235</v>
      </c>
      <c r="P4732" s="2">
        <v>1308.24</v>
      </c>
      <c r="Q4732" s="2">
        <v>104.66</v>
      </c>
      <c r="R4732" t="s">
        <v>69</v>
      </c>
      <c r="S4732">
        <v>1</v>
      </c>
      <c r="T4732">
        <v>0</v>
      </c>
      <c r="U4732">
        <f>IF(AND(OR(Dashboard!$D$4="Semua",D4732=Dashboard!$D$4),OR(Dashboard!$H$4="Semua",E4732=Dashboard!$H$4)),1,0)</f>
        <v>1</v>
      </c>
      <c r="V4732">
        <f>IF(U4732=1,IF(COUNTIFS($C$2:C4732,C4732,$U$2:U4732,1)=1,1,0),0)</f>
        <v>0</v>
      </c>
    </row>
    <row r="4733" spans="1:22" x14ac:dyDescent="0.35">
      <c r="A4733">
        <v>14732</v>
      </c>
      <c r="B4733" s="1">
        <v>49293</v>
      </c>
      <c r="C4733">
        <v>1785</v>
      </c>
      <c r="D4733" t="s">
        <v>73</v>
      </c>
      <c r="E4733" t="s">
        <v>70</v>
      </c>
      <c r="F4733">
        <v>7</v>
      </c>
      <c r="G4733" s="2">
        <v>218.33</v>
      </c>
      <c r="H4733">
        <v>0.23</v>
      </c>
      <c r="I4733" t="s">
        <v>71</v>
      </c>
      <c r="J4733">
        <v>7</v>
      </c>
      <c r="K4733">
        <v>2.9</v>
      </c>
      <c r="L4733" s="2">
        <v>1176.8</v>
      </c>
      <c r="M4733">
        <v>2034</v>
      </c>
      <c r="N4733">
        <v>12</v>
      </c>
      <c r="O4733" t="s">
        <v>235</v>
      </c>
      <c r="P4733" s="2">
        <v>1528.31</v>
      </c>
      <c r="Q4733" s="2">
        <v>351.51</v>
      </c>
      <c r="R4733" t="s">
        <v>77</v>
      </c>
      <c r="S4733">
        <v>1</v>
      </c>
      <c r="T4733">
        <v>0</v>
      </c>
      <c r="U4733">
        <f>IF(AND(OR(Dashboard!$D$4="Semua",D4733=Dashboard!$D$4),OR(Dashboard!$H$4="Semua",E4733=Dashboard!$H$4)),1,0)</f>
        <v>1</v>
      </c>
      <c r="V4733">
        <f>IF(U4733=1,IF(COUNTIFS($C$2:C4733,C4733,$U$2:U4733,1)=1,1,0),0)</f>
        <v>0</v>
      </c>
    </row>
    <row r="4734" spans="1:22" x14ac:dyDescent="0.35">
      <c r="A4734">
        <v>14733</v>
      </c>
      <c r="B4734" s="1">
        <v>49294</v>
      </c>
      <c r="C4734">
        <v>1200</v>
      </c>
      <c r="D4734" t="s">
        <v>67</v>
      </c>
      <c r="E4734" t="s">
        <v>70</v>
      </c>
      <c r="F4734">
        <v>1</v>
      </c>
      <c r="G4734" s="2">
        <v>596.99</v>
      </c>
      <c r="H4734">
        <v>0.15</v>
      </c>
      <c r="I4734" t="s">
        <v>71</v>
      </c>
      <c r="J4734">
        <v>9</v>
      </c>
      <c r="K4734">
        <v>4.0999999999999996</v>
      </c>
      <c r="L4734" s="2">
        <v>507.44</v>
      </c>
      <c r="M4734">
        <v>2034</v>
      </c>
      <c r="N4734">
        <v>12</v>
      </c>
      <c r="O4734" t="s">
        <v>235</v>
      </c>
      <c r="P4734" s="2">
        <v>596.99</v>
      </c>
      <c r="Q4734" s="2">
        <v>89.55</v>
      </c>
      <c r="R4734" t="s">
        <v>79</v>
      </c>
      <c r="S4734">
        <v>1</v>
      </c>
      <c r="T4734">
        <v>0</v>
      </c>
      <c r="U4734">
        <f>IF(AND(OR(Dashboard!$D$4="Semua",D4734=Dashboard!$D$4),OR(Dashboard!$H$4="Semua",E4734=Dashboard!$H$4)),1,0)</f>
        <v>1</v>
      </c>
      <c r="V4734">
        <f>IF(U4734=1,IF(COUNTIFS($C$2:C4734,C4734,$U$2:U4734,1)=1,1,0),0)</f>
        <v>0</v>
      </c>
    </row>
    <row r="4735" spans="1:22" x14ac:dyDescent="0.35">
      <c r="A4735">
        <v>14734</v>
      </c>
      <c r="B4735" s="1">
        <v>49295</v>
      </c>
      <c r="C4735">
        <v>1368</v>
      </c>
      <c r="D4735" t="s">
        <v>73</v>
      </c>
      <c r="E4735" t="s">
        <v>63</v>
      </c>
      <c r="F4735">
        <v>3</v>
      </c>
      <c r="G4735" s="2">
        <v>191.9</v>
      </c>
      <c r="H4735">
        <v>0.02</v>
      </c>
      <c r="I4735" t="s">
        <v>71</v>
      </c>
      <c r="J4735">
        <v>1</v>
      </c>
      <c r="K4735">
        <v>2.4</v>
      </c>
      <c r="L4735" s="2">
        <v>564.19000000000005</v>
      </c>
      <c r="M4735">
        <v>2034</v>
      </c>
      <c r="N4735">
        <v>12</v>
      </c>
      <c r="O4735" t="s">
        <v>235</v>
      </c>
      <c r="P4735" s="2">
        <v>575.70000000000005</v>
      </c>
      <c r="Q4735" s="2">
        <v>11.51</v>
      </c>
      <c r="R4735" t="s">
        <v>75</v>
      </c>
      <c r="S4735">
        <v>1</v>
      </c>
      <c r="T4735">
        <v>0</v>
      </c>
      <c r="U4735">
        <f>IF(AND(OR(Dashboard!$D$4="Semua",D4735=Dashboard!$D$4),OR(Dashboard!$H$4="Semua",E4735=Dashboard!$H$4)),1,0)</f>
        <v>1</v>
      </c>
      <c r="V4735">
        <f>IF(U4735=1,IF(COUNTIFS($C$2:C4735,C4735,$U$2:U4735,1)=1,1,0),0)</f>
        <v>0</v>
      </c>
    </row>
    <row r="4736" spans="1:22" x14ac:dyDescent="0.35">
      <c r="A4736">
        <v>14735</v>
      </c>
      <c r="B4736" s="1">
        <v>49296</v>
      </c>
      <c r="C4736">
        <v>1796</v>
      </c>
      <c r="D4736" t="s">
        <v>62</v>
      </c>
      <c r="E4736" t="s">
        <v>63</v>
      </c>
      <c r="F4736">
        <v>3</v>
      </c>
      <c r="G4736" s="2">
        <v>154.66</v>
      </c>
      <c r="H4736">
        <v>0.17</v>
      </c>
      <c r="I4736" t="s">
        <v>68</v>
      </c>
      <c r="J4736">
        <v>6</v>
      </c>
      <c r="K4736">
        <v>2.8</v>
      </c>
      <c r="L4736" s="2">
        <v>385.1</v>
      </c>
      <c r="M4736">
        <v>2034</v>
      </c>
      <c r="N4736">
        <v>12</v>
      </c>
      <c r="O4736" t="s">
        <v>235</v>
      </c>
      <c r="P4736" s="2">
        <v>463.98</v>
      </c>
      <c r="Q4736" s="2">
        <v>78.88</v>
      </c>
      <c r="R4736" t="s">
        <v>76</v>
      </c>
      <c r="S4736">
        <v>1</v>
      </c>
      <c r="T4736">
        <v>0</v>
      </c>
      <c r="U4736">
        <f>IF(AND(OR(Dashboard!$D$4="Semua",D4736=Dashboard!$D$4),OR(Dashboard!$H$4="Semua",E4736=Dashboard!$H$4)),1,0)</f>
        <v>1</v>
      </c>
      <c r="V4736">
        <f>IF(U4736=1,IF(COUNTIFS($C$2:C4736,C4736,$U$2:U4736,1)=1,1,0),0)</f>
        <v>0</v>
      </c>
    </row>
    <row r="4737" spans="1:22" x14ac:dyDescent="0.35">
      <c r="A4737">
        <v>14736</v>
      </c>
      <c r="B4737" s="1">
        <v>49297</v>
      </c>
      <c r="C4737">
        <v>1076</v>
      </c>
      <c r="D4737" t="s">
        <v>73</v>
      </c>
      <c r="E4737" t="s">
        <v>78</v>
      </c>
      <c r="F4737">
        <v>5</v>
      </c>
      <c r="G4737" s="2">
        <v>347.22</v>
      </c>
      <c r="H4737">
        <v>0.18</v>
      </c>
      <c r="I4737" t="s">
        <v>68</v>
      </c>
      <c r="J4737">
        <v>11</v>
      </c>
      <c r="K4737">
        <v>3.5</v>
      </c>
      <c r="L4737" s="2">
        <v>1423.6</v>
      </c>
      <c r="M4737">
        <v>2034</v>
      </c>
      <c r="N4737">
        <v>12</v>
      </c>
      <c r="O4737" t="s">
        <v>235</v>
      </c>
      <c r="P4737" s="2">
        <v>1736.1</v>
      </c>
      <c r="Q4737" s="2">
        <v>312.5</v>
      </c>
      <c r="R4737" t="s">
        <v>76</v>
      </c>
      <c r="S4737">
        <v>1</v>
      </c>
      <c r="T4737">
        <v>0</v>
      </c>
      <c r="U4737">
        <f>IF(AND(OR(Dashboard!$D$4="Semua",D4737=Dashboard!$D$4),OR(Dashboard!$H$4="Semua",E4737=Dashboard!$H$4)),1,0)</f>
        <v>1</v>
      </c>
      <c r="V4737">
        <f>IF(U4737=1,IF(COUNTIFS($C$2:C4737,C4737,$U$2:U4737,1)=1,1,0),0)</f>
        <v>0</v>
      </c>
    </row>
    <row r="4738" spans="1:22" x14ac:dyDescent="0.35">
      <c r="A4738">
        <v>14737</v>
      </c>
      <c r="B4738" s="1">
        <v>49298</v>
      </c>
      <c r="C4738">
        <v>1058</v>
      </c>
      <c r="D4738" t="s">
        <v>62</v>
      </c>
      <c r="E4738" t="s">
        <v>78</v>
      </c>
      <c r="F4738">
        <v>6</v>
      </c>
      <c r="G4738" s="2">
        <v>503.55</v>
      </c>
      <c r="H4738">
        <v>0.3</v>
      </c>
      <c r="I4738" t="s">
        <v>71</v>
      </c>
      <c r="J4738">
        <v>2</v>
      </c>
      <c r="K4738">
        <v>3.5</v>
      </c>
      <c r="L4738" s="2">
        <v>2114.91</v>
      </c>
      <c r="M4738">
        <v>2034</v>
      </c>
      <c r="N4738">
        <v>12</v>
      </c>
      <c r="O4738" t="s">
        <v>235</v>
      </c>
      <c r="P4738" s="2">
        <v>3021.3</v>
      </c>
      <c r="Q4738" s="2">
        <v>906.39</v>
      </c>
      <c r="R4738" t="s">
        <v>66</v>
      </c>
      <c r="S4738">
        <v>1</v>
      </c>
      <c r="T4738">
        <v>0</v>
      </c>
      <c r="U4738">
        <f>IF(AND(OR(Dashboard!$D$4="Semua",D4738=Dashboard!$D$4),OR(Dashboard!$H$4="Semua",E4738=Dashboard!$H$4)),1,0)</f>
        <v>1</v>
      </c>
      <c r="V4738">
        <f>IF(U4738=1,IF(COUNTIFS($C$2:C4738,C4738,$U$2:U4738,1)=1,1,0),0)</f>
        <v>0</v>
      </c>
    </row>
    <row r="4739" spans="1:22" x14ac:dyDescent="0.35">
      <c r="A4739">
        <v>14738</v>
      </c>
      <c r="B4739" s="1">
        <v>49299</v>
      </c>
      <c r="C4739">
        <v>1430</v>
      </c>
      <c r="D4739" t="s">
        <v>80</v>
      </c>
      <c r="E4739" t="s">
        <v>74</v>
      </c>
      <c r="F4739">
        <v>6</v>
      </c>
      <c r="G4739" s="2">
        <v>127.62</v>
      </c>
      <c r="H4739">
        <v>0.26</v>
      </c>
      <c r="I4739" t="s">
        <v>68</v>
      </c>
      <c r="J4739">
        <v>5</v>
      </c>
      <c r="K4739">
        <v>3.1</v>
      </c>
      <c r="L4739" s="2">
        <v>566.63</v>
      </c>
      <c r="M4739">
        <v>2034</v>
      </c>
      <c r="N4739">
        <v>12</v>
      </c>
      <c r="O4739" t="s">
        <v>235</v>
      </c>
      <c r="P4739" s="2">
        <v>765.72</v>
      </c>
      <c r="Q4739" s="2">
        <v>199.09</v>
      </c>
      <c r="R4739" t="s">
        <v>66</v>
      </c>
      <c r="S4739">
        <v>1</v>
      </c>
      <c r="T4739">
        <v>0</v>
      </c>
      <c r="U4739">
        <f>IF(AND(OR(Dashboard!$D$4="Semua",D4739=Dashboard!$D$4),OR(Dashboard!$H$4="Semua",E4739=Dashboard!$H$4)),1,0)</f>
        <v>1</v>
      </c>
      <c r="V4739">
        <f>IF(U4739=1,IF(COUNTIFS($C$2:C4739,C4739,$U$2:U4739,1)=1,1,0),0)</f>
        <v>0</v>
      </c>
    </row>
    <row r="4740" spans="1:22" x14ac:dyDescent="0.35">
      <c r="A4740">
        <v>14739</v>
      </c>
      <c r="B4740" s="1">
        <v>49300</v>
      </c>
      <c r="C4740">
        <v>1637</v>
      </c>
      <c r="D4740" t="s">
        <v>73</v>
      </c>
      <c r="E4740" t="s">
        <v>70</v>
      </c>
      <c r="F4740">
        <v>6</v>
      </c>
      <c r="G4740" s="2">
        <v>430</v>
      </c>
      <c r="H4740">
        <v>0.03</v>
      </c>
      <c r="I4740" t="s">
        <v>68</v>
      </c>
      <c r="J4740">
        <v>7</v>
      </c>
      <c r="K4740">
        <v>2.2999999999999998</v>
      </c>
      <c r="L4740" s="2">
        <v>2502.6</v>
      </c>
      <c r="M4740">
        <v>2034</v>
      </c>
      <c r="N4740">
        <v>12</v>
      </c>
      <c r="O4740" t="s">
        <v>235</v>
      </c>
      <c r="P4740" s="2">
        <v>2580</v>
      </c>
      <c r="Q4740" s="2">
        <v>77.400000000000006</v>
      </c>
      <c r="R4740" t="s">
        <v>75</v>
      </c>
      <c r="S4740">
        <v>1</v>
      </c>
      <c r="T4740">
        <v>0</v>
      </c>
      <c r="U4740">
        <f>IF(AND(OR(Dashboard!$D$4="Semua",D4740=Dashboard!$D$4),OR(Dashboard!$H$4="Semua",E4740=Dashboard!$H$4)),1,0)</f>
        <v>1</v>
      </c>
      <c r="V4740">
        <f>IF(U4740=1,IF(COUNTIFS($C$2:C4740,C4740,$U$2:U4740,1)=1,1,0),0)</f>
        <v>0</v>
      </c>
    </row>
    <row r="4741" spans="1:22" x14ac:dyDescent="0.35">
      <c r="A4741">
        <v>14740</v>
      </c>
      <c r="B4741" s="1">
        <v>49301</v>
      </c>
      <c r="C4741">
        <v>1499</v>
      </c>
      <c r="D4741" t="s">
        <v>80</v>
      </c>
      <c r="E4741" t="s">
        <v>74</v>
      </c>
      <c r="F4741">
        <v>3</v>
      </c>
      <c r="G4741" s="2">
        <v>50.92</v>
      </c>
      <c r="H4741">
        <v>7.0000000000000007E-2</v>
      </c>
      <c r="I4741" t="s">
        <v>68</v>
      </c>
      <c r="J4741">
        <v>7</v>
      </c>
      <c r="K4741">
        <v>3.7</v>
      </c>
      <c r="L4741" s="2">
        <v>142.07</v>
      </c>
      <c r="M4741">
        <v>2034</v>
      </c>
      <c r="N4741">
        <v>12</v>
      </c>
      <c r="O4741" t="s">
        <v>235</v>
      </c>
      <c r="P4741" s="2">
        <v>152.76</v>
      </c>
      <c r="Q4741" s="2">
        <v>10.69</v>
      </c>
      <c r="R4741" t="s">
        <v>69</v>
      </c>
      <c r="S4741">
        <v>1</v>
      </c>
      <c r="T4741">
        <v>0</v>
      </c>
      <c r="U4741">
        <f>IF(AND(OR(Dashboard!$D$4="Semua",D4741=Dashboard!$D$4),OR(Dashboard!$H$4="Semua",E4741=Dashboard!$H$4)),1,0)</f>
        <v>1</v>
      </c>
      <c r="V4741">
        <f>IF(U4741=1,IF(COUNTIFS($C$2:C4741,C4741,$U$2:U4741,1)=1,1,0),0)</f>
        <v>0</v>
      </c>
    </row>
    <row r="4742" spans="1:22" x14ac:dyDescent="0.35">
      <c r="A4742">
        <v>14741</v>
      </c>
      <c r="B4742" s="1">
        <v>49302</v>
      </c>
      <c r="C4742">
        <v>1912</v>
      </c>
      <c r="D4742" t="s">
        <v>73</v>
      </c>
      <c r="E4742" t="s">
        <v>78</v>
      </c>
      <c r="F4742">
        <v>5</v>
      </c>
      <c r="G4742" s="2">
        <v>552.58000000000004</v>
      </c>
      <c r="H4742">
        <v>0.11</v>
      </c>
      <c r="I4742" t="s">
        <v>68</v>
      </c>
      <c r="J4742">
        <v>10</v>
      </c>
      <c r="K4742">
        <v>4.3</v>
      </c>
      <c r="L4742" s="2">
        <v>2458.98</v>
      </c>
      <c r="M4742">
        <v>2034</v>
      </c>
      <c r="N4742">
        <v>12</v>
      </c>
      <c r="O4742" t="s">
        <v>235</v>
      </c>
      <c r="P4742" s="2">
        <v>2762.9</v>
      </c>
      <c r="Q4742" s="2">
        <v>303.92</v>
      </c>
      <c r="R4742" t="s">
        <v>79</v>
      </c>
      <c r="S4742">
        <v>1</v>
      </c>
      <c r="T4742">
        <v>0</v>
      </c>
      <c r="U4742">
        <f>IF(AND(OR(Dashboard!$D$4="Semua",D4742=Dashboard!$D$4),OR(Dashboard!$H$4="Semua",E4742=Dashboard!$H$4)),1,0)</f>
        <v>1</v>
      </c>
      <c r="V4742">
        <f>IF(U4742=1,IF(COUNTIFS($C$2:C4742,C4742,$U$2:U4742,1)=1,1,0),0)</f>
        <v>0</v>
      </c>
    </row>
    <row r="4743" spans="1:22" x14ac:dyDescent="0.35">
      <c r="A4743">
        <v>14742</v>
      </c>
      <c r="B4743" s="1">
        <v>49303</v>
      </c>
      <c r="C4743">
        <v>1108</v>
      </c>
      <c r="D4743" t="s">
        <v>62</v>
      </c>
      <c r="E4743" t="s">
        <v>63</v>
      </c>
      <c r="F4743">
        <v>2</v>
      </c>
      <c r="G4743" s="2">
        <v>62.43</v>
      </c>
      <c r="H4743">
        <v>0.04</v>
      </c>
      <c r="I4743" t="s">
        <v>64</v>
      </c>
      <c r="J4743">
        <v>7</v>
      </c>
      <c r="K4743">
        <v>1.6</v>
      </c>
      <c r="L4743" s="2">
        <v>119.87</v>
      </c>
      <c r="M4743">
        <v>2034</v>
      </c>
      <c r="N4743">
        <v>12</v>
      </c>
      <c r="O4743" t="s">
        <v>235</v>
      </c>
      <c r="P4743" s="2">
        <v>124.86</v>
      </c>
      <c r="Q4743" s="2">
        <v>4.99</v>
      </c>
      <c r="R4743" t="s">
        <v>75</v>
      </c>
      <c r="S4743">
        <v>1</v>
      </c>
      <c r="T4743">
        <v>0</v>
      </c>
      <c r="U4743">
        <f>IF(AND(OR(Dashboard!$D$4="Semua",D4743=Dashboard!$D$4),OR(Dashboard!$H$4="Semua",E4743=Dashboard!$H$4)),1,0)</f>
        <v>1</v>
      </c>
      <c r="V4743">
        <f>IF(U4743=1,IF(COUNTIFS($C$2:C4743,C4743,$U$2:U4743,1)=1,1,0),0)</f>
        <v>0</v>
      </c>
    </row>
    <row r="4744" spans="1:22" x14ac:dyDescent="0.35">
      <c r="A4744">
        <v>14743</v>
      </c>
      <c r="B4744" s="1">
        <v>49304</v>
      </c>
      <c r="C4744">
        <v>1735</v>
      </c>
      <c r="D4744" t="s">
        <v>67</v>
      </c>
      <c r="E4744" t="s">
        <v>78</v>
      </c>
      <c r="F4744">
        <v>2</v>
      </c>
      <c r="G4744" s="2">
        <v>549.83000000000004</v>
      </c>
      <c r="H4744">
        <v>0.16</v>
      </c>
      <c r="I4744" t="s">
        <v>71</v>
      </c>
      <c r="J4744">
        <v>4</v>
      </c>
      <c r="K4744">
        <v>2.4</v>
      </c>
      <c r="L4744" s="2">
        <v>923.71</v>
      </c>
      <c r="M4744">
        <v>2034</v>
      </c>
      <c r="N4744">
        <v>12</v>
      </c>
      <c r="O4744" t="s">
        <v>235</v>
      </c>
      <c r="P4744" s="2">
        <v>1099.6600000000001</v>
      </c>
      <c r="Q4744" s="2">
        <v>175.95</v>
      </c>
      <c r="R4744" t="s">
        <v>76</v>
      </c>
      <c r="S4744">
        <v>1</v>
      </c>
      <c r="T4744">
        <v>0</v>
      </c>
      <c r="U4744">
        <f>IF(AND(OR(Dashboard!$D$4="Semua",D4744=Dashboard!$D$4),OR(Dashboard!$H$4="Semua",E4744=Dashboard!$H$4)),1,0)</f>
        <v>1</v>
      </c>
      <c r="V4744">
        <f>IF(U4744=1,IF(COUNTIFS($C$2:C4744,C4744,$U$2:U4744,1)=1,1,0),0)</f>
        <v>0</v>
      </c>
    </row>
    <row r="4745" spans="1:22" x14ac:dyDescent="0.35">
      <c r="A4745">
        <v>14744</v>
      </c>
      <c r="B4745" s="1">
        <v>49305</v>
      </c>
      <c r="C4745">
        <v>1277</v>
      </c>
      <c r="D4745" t="s">
        <v>73</v>
      </c>
      <c r="E4745" t="s">
        <v>74</v>
      </c>
      <c r="F4745">
        <v>6</v>
      </c>
      <c r="G4745" s="2">
        <v>302.12</v>
      </c>
      <c r="H4745">
        <v>0.34</v>
      </c>
      <c r="I4745" t="s">
        <v>68</v>
      </c>
      <c r="J4745">
        <v>6</v>
      </c>
      <c r="K4745">
        <v>3.7</v>
      </c>
      <c r="L4745" s="2">
        <v>1196.4000000000001</v>
      </c>
      <c r="M4745">
        <v>2034</v>
      </c>
      <c r="N4745">
        <v>12</v>
      </c>
      <c r="O4745" t="s">
        <v>235</v>
      </c>
      <c r="P4745" s="2">
        <v>1812.72</v>
      </c>
      <c r="Q4745" s="2">
        <v>616.32000000000005</v>
      </c>
      <c r="R4745" t="s">
        <v>72</v>
      </c>
      <c r="S4745">
        <v>1</v>
      </c>
      <c r="T4745">
        <v>0</v>
      </c>
      <c r="U4745">
        <f>IF(AND(OR(Dashboard!$D$4="Semua",D4745=Dashboard!$D$4),OR(Dashboard!$H$4="Semua",E4745=Dashboard!$H$4)),1,0)</f>
        <v>1</v>
      </c>
      <c r="V4745">
        <f>IF(U4745=1,IF(COUNTIFS($C$2:C4745,C4745,$U$2:U4745,1)=1,1,0),0)</f>
        <v>0</v>
      </c>
    </row>
    <row r="4746" spans="1:22" x14ac:dyDescent="0.35">
      <c r="A4746">
        <v>14745</v>
      </c>
      <c r="B4746" s="1">
        <v>49306</v>
      </c>
      <c r="C4746">
        <v>1067</v>
      </c>
      <c r="D4746" t="s">
        <v>67</v>
      </c>
      <c r="E4746" t="s">
        <v>78</v>
      </c>
      <c r="F4746">
        <v>2</v>
      </c>
      <c r="G4746" s="2">
        <v>277.13</v>
      </c>
      <c r="H4746">
        <v>0.18</v>
      </c>
      <c r="I4746" t="s">
        <v>71</v>
      </c>
      <c r="J4746">
        <v>11</v>
      </c>
      <c r="K4746">
        <v>4</v>
      </c>
      <c r="L4746" s="2">
        <v>454.49</v>
      </c>
      <c r="M4746">
        <v>2034</v>
      </c>
      <c r="N4746">
        <v>12</v>
      </c>
      <c r="O4746" t="s">
        <v>235</v>
      </c>
      <c r="P4746" s="2">
        <v>554.26</v>
      </c>
      <c r="Q4746" s="2">
        <v>99.77</v>
      </c>
      <c r="R4746" t="s">
        <v>76</v>
      </c>
      <c r="S4746">
        <v>1</v>
      </c>
      <c r="T4746">
        <v>0</v>
      </c>
      <c r="U4746">
        <f>IF(AND(OR(Dashboard!$D$4="Semua",D4746=Dashboard!$D$4),OR(Dashboard!$H$4="Semua",E4746=Dashboard!$H$4)),1,0)</f>
        <v>1</v>
      </c>
      <c r="V4746">
        <f>IF(U4746=1,IF(COUNTIFS($C$2:C4746,C4746,$U$2:U4746,1)=1,1,0),0)</f>
        <v>0</v>
      </c>
    </row>
    <row r="4747" spans="1:22" x14ac:dyDescent="0.35">
      <c r="A4747">
        <v>14746</v>
      </c>
      <c r="B4747" s="1">
        <v>49307</v>
      </c>
      <c r="C4747">
        <v>1068</v>
      </c>
      <c r="D4747" t="s">
        <v>73</v>
      </c>
      <c r="E4747" t="s">
        <v>74</v>
      </c>
      <c r="F4747">
        <v>5</v>
      </c>
      <c r="G4747" s="2">
        <v>584.38</v>
      </c>
      <c r="H4747">
        <v>0.26</v>
      </c>
      <c r="I4747" t="s">
        <v>68</v>
      </c>
      <c r="J4747">
        <v>10</v>
      </c>
      <c r="K4747">
        <v>4.0999999999999996</v>
      </c>
      <c r="L4747" s="2">
        <v>2162.21</v>
      </c>
      <c r="M4747">
        <v>2034</v>
      </c>
      <c r="N4747">
        <v>12</v>
      </c>
      <c r="O4747" t="s">
        <v>235</v>
      </c>
      <c r="P4747" s="2">
        <v>2921.9</v>
      </c>
      <c r="Q4747" s="2">
        <v>759.69</v>
      </c>
      <c r="R4747" t="s">
        <v>66</v>
      </c>
      <c r="S4747">
        <v>1</v>
      </c>
      <c r="T4747">
        <v>0</v>
      </c>
      <c r="U4747">
        <f>IF(AND(OR(Dashboard!$D$4="Semua",D4747=Dashboard!$D$4),OR(Dashboard!$H$4="Semua",E4747=Dashboard!$H$4)),1,0)</f>
        <v>1</v>
      </c>
      <c r="V4747">
        <f>IF(U4747=1,IF(COUNTIFS($C$2:C4747,C4747,$U$2:U4747,1)=1,1,0),0)</f>
        <v>0</v>
      </c>
    </row>
    <row r="4748" spans="1:22" x14ac:dyDescent="0.35">
      <c r="A4748">
        <v>14747</v>
      </c>
      <c r="B4748" s="1">
        <v>49308</v>
      </c>
      <c r="C4748">
        <v>1164</v>
      </c>
      <c r="D4748" t="s">
        <v>62</v>
      </c>
      <c r="E4748" t="s">
        <v>74</v>
      </c>
      <c r="F4748">
        <v>6</v>
      </c>
      <c r="G4748" s="2">
        <v>594.37</v>
      </c>
      <c r="H4748">
        <v>0.24</v>
      </c>
      <c r="I4748" t="s">
        <v>68</v>
      </c>
      <c r="J4748">
        <v>6</v>
      </c>
      <c r="K4748">
        <v>3.6</v>
      </c>
      <c r="L4748" s="2">
        <v>2710.33</v>
      </c>
      <c r="M4748">
        <v>2034</v>
      </c>
      <c r="N4748">
        <v>12</v>
      </c>
      <c r="O4748" t="s">
        <v>235</v>
      </c>
      <c r="P4748" s="2">
        <v>3566.22</v>
      </c>
      <c r="Q4748" s="2">
        <v>855.89</v>
      </c>
      <c r="R4748" t="s">
        <v>77</v>
      </c>
      <c r="S4748">
        <v>1</v>
      </c>
      <c r="T4748">
        <v>0</v>
      </c>
      <c r="U4748">
        <f>IF(AND(OR(Dashboard!$D$4="Semua",D4748=Dashboard!$D$4),OR(Dashboard!$H$4="Semua",E4748=Dashboard!$H$4)),1,0)</f>
        <v>1</v>
      </c>
      <c r="V4748">
        <f>IF(U4748=1,IF(COUNTIFS($C$2:C4748,C4748,$U$2:U4748,1)=1,1,0),0)</f>
        <v>0</v>
      </c>
    </row>
    <row r="4749" spans="1:22" x14ac:dyDescent="0.35">
      <c r="A4749">
        <v>14748</v>
      </c>
      <c r="B4749" s="1">
        <v>49309</v>
      </c>
      <c r="C4749">
        <v>1488</v>
      </c>
      <c r="D4749" t="s">
        <v>73</v>
      </c>
      <c r="E4749" t="s">
        <v>74</v>
      </c>
      <c r="F4749">
        <v>7</v>
      </c>
      <c r="G4749" s="2">
        <v>395.35</v>
      </c>
      <c r="H4749">
        <v>0.3</v>
      </c>
      <c r="I4749" t="s">
        <v>68</v>
      </c>
      <c r="J4749">
        <v>7</v>
      </c>
      <c r="K4749">
        <v>2.9</v>
      </c>
      <c r="L4749" s="2">
        <v>1937.22</v>
      </c>
      <c r="M4749">
        <v>2034</v>
      </c>
      <c r="N4749">
        <v>12</v>
      </c>
      <c r="O4749" t="s">
        <v>235</v>
      </c>
      <c r="P4749" s="2">
        <v>2767.45</v>
      </c>
      <c r="Q4749" s="2">
        <v>830.23</v>
      </c>
      <c r="R4749" t="s">
        <v>66</v>
      </c>
      <c r="S4749">
        <v>1</v>
      </c>
      <c r="T4749">
        <v>0</v>
      </c>
      <c r="U4749">
        <f>IF(AND(OR(Dashboard!$D$4="Semua",D4749=Dashboard!$D$4),OR(Dashboard!$H$4="Semua",E4749=Dashboard!$H$4)),1,0)</f>
        <v>1</v>
      </c>
      <c r="V4749">
        <f>IF(U4749=1,IF(COUNTIFS($C$2:C4749,C4749,$U$2:U4749,1)=1,1,0),0)</f>
        <v>0</v>
      </c>
    </row>
    <row r="4750" spans="1:22" x14ac:dyDescent="0.35">
      <c r="A4750">
        <v>14749</v>
      </c>
      <c r="B4750" s="1">
        <v>49310</v>
      </c>
      <c r="C4750">
        <v>1304</v>
      </c>
      <c r="D4750" t="s">
        <v>80</v>
      </c>
      <c r="E4750" t="s">
        <v>74</v>
      </c>
      <c r="F4750">
        <v>7</v>
      </c>
      <c r="G4750" s="2">
        <v>89.36</v>
      </c>
      <c r="H4750">
        <v>0.08</v>
      </c>
      <c r="I4750" t="s">
        <v>71</v>
      </c>
      <c r="J4750">
        <v>9</v>
      </c>
      <c r="K4750">
        <v>3.6</v>
      </c>
      <c r="L4750" s="2">
        <v>575.48</v>
      </c>
      <c r="M4750">
        <v>2035</v>
      </c>
      <c r="N4750">
        <v>1</v>
      </c>
      <c r="O4750" t="s">
        <v>236</v>
      </c>
      <c r="P4750" s="2">
        <v>625.52</v>
      </c>
      <c r="Q4750" s="2">
        <v>50.04</v>
      </c>
      <c r="R4750" t="s">
        <v>69</v>
      </c>
      <c r="S4750">
        <v>1</v>
      </c>
      <c r="T4750">
        <v>0</v>
      </c>
      <c r="U4750">
        <f>IF(AND(OR(Dashboard!$D$4="Semua",D4750=Dashboard!$D$4),OR(Dashboard!$H$4="Semua",E4750=Dashboard!$H$4)),1,0)</f>
        <v>1</v>
      </c>
      <c r="V4750">
        <f>IF(U4750=1,IF(COUNTIFS($C$2:C4750,C4750,$U$2:U4750,1)=1,1,0),0)</f>
        <v>0</v>
      </c>
    </row>
    <row r="4751" spans="1:22" x14ac:dyDescent="0.35">
      <c r="A4751">
        <v>14750</v>
      </c>
      <c r="B4751" s="1">
        <v>49311</v>
      </c>
      <c r="C4751">
        <v>1908</v>
      </c>
      <c r="D4751" t="s">
        <v>67</v>
      </c>
      <c r="E4751" t="s">
        <v>78</v>
      </c>
      <c r="F4751">
        <v>5</v>
      </c>
      <c r="G4751" s="2">
        <v>311.11</v>
      </c>
      <c r="H4751">
        <v>0.26</v>
      </c>
      <c r="I4751" t="s">
        <v>68</v>
      </c>
      <c r="J4751">
        <v>6</v>
      </c>
      <c r="K4751">
        <v>1.5</v>
      </c>
      <c r="L4751" s="2">
        <v>1151.1099999999999</v>
      </c>
      <c r="M4751">
        <v>2035</v>
      </c>
      <c r="N4751">
        <v>1</v>
      </c>
      <c r="O4751" t="s">
        <v>236</v>
      </c>
      <c r="P4751" s="2">
        <v>1555.55</v>
      </c>
      <c r="Q4751" s="2">
        <v>404.44</v>
      </c>
      <c r="R4751" t="s">
        <v>66</v>
      </c>
      <c r="S4751">
        <v>1</v>
      </c>
      <c r="T4751">
        <v>0</v>
      </c>
      <c r="U4751">
        <f>IF(AND(OR(Dashboard!$D$4="Semua",D4751=Dashboard!$D$4),OR(Dashboard!$H$4="Semua",E4751=Dashboard!$H$4)),1,0)</f>
        <v>1</v>
      </c>
      <c r="V4751">
        <f>IF(U4751=1,IF(COUNTIFS($C$2:C4751,C4751,$U$2:U4751,1)=1,1,0),0)</f>
        <v>0</v>
      </c>
    </row>
    <row r="4752" spans="1:22" x14ac:dyDescent="0.35">
      <c r="A4752">
        <v>14751</v>
      </c>
      <c r="B4752" s="1">
        <v>49312</v>
      </c>
      <c r="C4752">
        <v>1673</v>
      </c>
      <c r="D4752" t="s">
        <v>62</v>
      </c>
      <c r="E4752" t="s">
        <v>74</v>
      </c>
      <c r="F4752">
        <v>2</v>
      </c>
      <c r="G4752" s="2">
        <v>324.56</v>
      </c>
      <c r="H4752">
        <v>0.31</v>
      </c>
      <c r="I4752" t="s">
        <v>68</v>
      </c>
      <c r="J4752">
        <v>10</v>
      </c>
      <c r="K4752">
        <v>1.8</v>
      </c>
      <c r="L4752" s="2">
        <v>447.89</v>
      </c>
      <c r="M4752">
        <v>2035</v>
      </c>
      <c r="N4752">
        <v>1</v>
      </c>
      <c r="O4752" t="s">
        <v>236</v>
      </c>
      <c r="P4752" s="2">
        <v>649.12</v>
      </c>
      <c r="Q4752" s="2">
        <v>201.23</v>
      </c>
      <c r="R4752" t="s">
        <v>72</v>
      </c>
      <c r="S4752">
        <v>1</v>
      </c>
      <c r="T4752">
        <v>0</v>
      </c>
      <c r="U4752">
        <f>IF(AND(OR(Dashboard!$D$4="Semua",D4752=Dashboard!$D$4),OR(Dashboard!$H$4="Semua",E4752=Dashboard!$H$4)),1,0)</f>
        <v>1</v>
      </c>
      <c r="V4752">
        <f>IF(U4752=1,IF(COUNTIFS($C$2:C4752,C4752,$U$2:U4752,1)=1,1,0),0)</f>
        <v>0</v>
      </c>
    </row>
    <row r="4753" spans="1:22" x14ac:dyDescent="0.35">
      <c r="A4753">
        <v>14752</v>
      </c>
      <c r="B4753" s="1">
        <v>49313</v>
      </c>
      <c r="C4753">
        <v>1364</v>
      </c>
      <c r="D4753" t="s">
        <v>73</v>
      </c>
      <c r="E4753" t="s">
        <v>74</v>
      </c>
      <c r="F4753">
        <v>6</v>
      </c>
      <c r="G4753" s="2">
        <v>315.95</v>
      </c>
      <c r="H4753">
        <v>0.06</v>
      </c>
      <c r="I4753" t="s">
        <v>68</v>
      </c>
      <c r="J4753">
        <v>1</v>
      </c>
      <c r="K4753">
        <v>4.7</v>
      </c>
      <c r="L4753" s="2">
        <v>1781.96</v>
      </c>
      <c r="M4753">
        <v>2035</v>
      </c>
      <c r="N4753">
        <v>1</v>
      </c>
      <c r="O4753" t="s">
        <v>236</v>
      </c>
      <c r="P4753" s="2">
        <v>1895.7</v>
      </c>
      <c r="Q4753" s="2">
        <v>113.74</v>
      </c>
      <c r="R4753" t="s">
        <v>69</v>
      </c>
      <c r="S4753">
        <v>1</v>
      </c>
      <c r="T4753">
        <v>0</v>
      </c>
      <c r="U4753">
        <f>IF(AND(OR(Dashboard!$D$4="Semua",D4753=Dashboard!$D$4),OR(Dashboard!$H$4="Semua",E4753=Dashboard!$H$4)),1,0)</f>
        <v>1</v>
      </c>
      <c r="V4753">
        <f>IF(U4753=1,IF(COUNTIFS($C$2:C4753,C4753,$U$2:U4753,1)=1,1,0),0)</f>
        <v>0</v>
      </c>
    </row>
    <row r="4754" spans="1:22" x14ac:dyDescent="0.35">
      <c r="A4754">
        <v>14753</v>
      </c>
      <c r="B4754" s="1">
        <v>49314</v>
      </c>
      <c r="C4754">
        <v>1853</v>
      </c>
      <c r="D4754" t="s">
        <v>67</v>
      </c>
      <c r="E4754" t="s">
        <v>70</v>
      </c>
      <c r="F4754">
        <v>7</v>
      </c>
      <c r="G4754" s="2">
        <v>348.15</v>
      </c>
      <c r="H4754">
        <v>0.12</v>
      </c>
      <c r="I4754" t="s">
        <v>68</v>
      </c>
      <c r="J4754">
        <v>8</v>
      </c>
      <c r="K4754">
        <v>4.7</v>
      </c>
      <c r="L4754" s="2">
        <v>2144.6</v>
      </c>
      <c r="M4754">
        <v>2035</v>
      </c>
      <c r="N4754">
        <v>1</v>
      </c>
      <c r="O4754" t="s">
        <v>236</v>
      </c>
      <c r="P4754" s="2">
        <v>2437.0500000000002</v>
      </c>
      <c r="Q4754" s="2">
        <v>292.45</v>
      </c>
      <c r="R4754" t="s">
        <v>79</v>
      </c>
      <c r="S4754">
        <v>1</v>
      </c>
      <c r="T4754">
        <v>0</v>
      </c>
      <c r="U4754">
        <f>IF(AND(OR(Dashboard!$D$4="Semua",D4754=Dashboard!$D$4),OR(Dashboard!$H$4="Semua",E4754=Dashboard!$H$4)),1,0)</f>
        <v>1</v>
      </c>
      <c r="V4754">
        <f>IF(U4754=1,IF(COUNTIFS($C$2:C4754,C4754,$U$2:U4754,1)=1,1,0),0)</f>
        <v>0</v>
      </c>
    </row>
    <row r="4755" spans="1:22" x14ac:dyDescent="0.35">
      <c r="A4755">
        <v>14754</v>
      </c>
      <c r="B4755" s="1">
        <v>49315</v>
      </c>
      <c r="C4755">
        <v>1820</v>
      </c>
      <c r="D4755" t="s">
        <v>67</v>
      </c>
      <c r="E4755" t="s">
        <v>74</v>
      </c>
      <c r="F4755">
        <v>5</v>
      </c>
      <c r="G4755" s="2">
        <v>25.95</v>
      </c>
      <c r="H4755">
        <v>0.34</v>
      </c>
      <c r="I4755" t="s">
        <v>71</v>
      </c>
      <c r="J4755">
        <v>2</v>
      </c>
      <c r="K4755">
        <v>3.9</v>
      </c>
      <c r="L4755" s="2">
        <v>85.64</v>
      </c>
      <c r="M4755">
        <v>2035</v>
      </c>
      <c r="N4755">
        <v>1</v>
      </c>
      <c r="O4755" t="s">
        <v>236</v>
      </c>
      <c r="P4755" s="2">
        <v>129.75</v>
      </c>
      <c r="Q4755" s="2">
        <v>44.11</v>
      </c>
      <c r="R4755" t="s">
        <v>72</v>
      </c>
      <c r="S4755">
        <v>1</v>
      </c>
      <c r="T4755">
        <v>0</v>
      </c>
      <c r="U4755">
        <f>IF(AND(OR(Dashboard!$D$4="Semua",D4755=Dashboard!$D$4),OR(Dashboard!$H$4="Semua",E4755=Dashboard!$H$4)),1,0)</f>
        <v>1</v>
      </c>
      <c r="V4755">
        <f>IF(U4755=1,IF(COUNTIFS($C$2:C4755,C4755,$U$2:U4755,1)=1,1,0),0)</f>
        <v>0</v>
      </c>
    </row>
    <row r="4756" spans="1:22" x14ac:dyDescent="0.35">
      <c r="A4756">
        <v>14755</v>
      </c>
      <c r="B4756" s="1">
        <v>49316</v>
      </c>
      <c r="C4756">
        <v>1378</v>
      </c>
      <c r="D4756" t="s">
        <v>80</v>
      </c>
      <c r="E4756" t="s">
        <v>78</v>
      </c>
      <c r="F4756">
        <v>4</v>
      </c>
      <c r="G4756" s="2">
        <v>431.07</v>
      </c>
      <c r="H4756">
        <v>0.27</v>
      </c>
      <c r="I4756" t="s">
        <v>64</v>
      </c>
      <c r="J4756">
        <v>3</v>
      </c>
      <c r="K4756">
        <v>2.2999999999999998</v>
      </c>
      <c r="L4756" s="2">
        <v>1258.72</v>
      </c>
      <c r="M4756">
        <v>2035</v>
      </c>
      <c r="N4756">
        <v>1</v>
      </c>
      <c r="O4756" t="s">
        <v>236</v>
      </c>
      <c r="P4756" s="2">
        <v>1724.28</v>
      </c>
      <c r="Q4756" s="2">
        <v>465.56</v>
      </c>
      <c r="R4756" t="s">
        <v>66</v>
      </c>
      <c r="S4756">
        <v>1</v>
      </c>
      <c r="T4756">
        <v>0</v>
      </c>
      <c r="U4756">
        <f>IF(AND(OR(Dashboard!$D$4="Semua",D4756=Dashboard!$D$4),OR(Dashboard!$H$4="Semua",E4756=Dashboard!$H$4)),1,0)</f>
        <v>1</v>
      </c>
      <c r="V4756">
        <f>IF(U4756=1,IF(COUNTIFS($C$2:C4756,C4756,$U$2:U4756,1)=1,1,0),0)</f>
        <v>0</v>
      </c>
    </row>
    <row r="4757" spans="1:22" x14ac:dyDescent="0.35">
      <c r="A4757">
        <v>14756</v>
      </c>
      <c r="B4757" s="1">
        <v>49317</v>
      </c>
      <c r="C4757">
        <v>1342</v>
      </c>
      <c r="D4757" t="s">
        <v>73</v>
      </c>
      <c r="E4757" t="s">
        <v>74</v>
      </c>
      <c r="F4757">
        <v>7</v>
      </c>
      <c r="G4757" s="2">
        <v>431.75</v>
      </c>
      <c r="H4757">
        <v>0.1</v>
      </c>
      <c r="I4757" t="s">
        <v>71</v>
      </c>
      <c r="J4757">
        <v>5</v>
      </c>
      <c r="K4757">
        <v>3.6</v>
      </c>
      <c r="L4757" s="2">
        <v>2720.02</v>
      </c>
      <c r="M4757">
        <v>2035</v>
      </c>
      <c r="N4757">
        <v>1</v>
      </c>
      <c r="O4757" t="s">
        <v>236</v>
      </c>
      <c r="P4757" s="2">
        <v>3022.25</v>
      </c>
      <c r="Q4757" s="2">
        <v>302.23</v>
      </c>
      <c r="R4757" t="s">
        <v>69</v>
      </c>
      <c r="S4757">
        <v>1</v>
      </c>
      <c r="T4757">
        <v>0</v>
      </c>
      <c r="U4757">
        <f>IF(AND(OR(Dashboard!$D$4="Semua",D4757=Dashboard!$D$4),OR(Dashboard!$H$4="Semua",E4757=Dashboard!$H$4)),1,0)</f>
        <v>1</v>
      </c>
      <c r="V4757">
        <f>IF(U4757=1,IF(COUNTIFS($C$2:C4757,C4757,$U$2:U4757,1)=1,1,0),0)</f>
        <v>0</v>
      </c>
    </row>
    <row r="4758" spans="1:22" x14ac:dyDescent="0.35">
      <c r="A4758">
        <v>14757</v>
      </c>
      <c r="B4758" s="1">
        <v>49318</v>
      </c>
      <c r="C4758">
        <v>1946</v>
      </c>
      <c r="D4758" t="s">
        <v>73</v>
      </c>
      <c r="E4758" t="s">
        <v>63</v>
      </c>
      <c r="F4758">
        <v>4</v>
      </c>
      <c r="G4758" s="2">
        <v>82.55</v>
      </c>
      <c r="H4758">
        <v>0.2</v>
      </c>
      <c r="I4758" t="s">
        <v>71</v>
      </c>
      <c r="J4758">
        <v>6</v>
      </c>
      <c r="K4758">
        <v>3.8</v>
      </c>
      <c r="L4758" s="2">
        <v>264.16000000000003</v>
      </c>
      <c r="M4758">
        <v>2035</v>
      </c>
      <c r="N4758">
        <v>1</v>
      </c>
      <c r="O4758" t="s">
        <v>236</v>
      </c>
      <c r="P4758" s="2">
        <v>330.2</v>
      </c>
      <c r="Q4758" s="2">
        <v>66.040000000000006</v>
      </c>
      <c r="R4758" t="s">
        <v>76</v>
      </c>
      <c r="S4758">
        <v>1</v>
      </c>
      <c r="T4758">
        <v>0</v>
      </c>
      <c r="U4758">
        <f>IF(AND(OR(Dashboard!$D$4="Semua",D4758=Dashboard!$D$4),OR(Dashboard!$H$4="Semua",E4758=Dashboard!$H$4)),1,0)</f>
        <v>1</v>
      </c>
      <c r="V4758">
        <f>IF(U4758=1,IF(COUNTIFS($C$2:C4758,C4758,$U$2:U4758,1)=1,1,0),0)</f>
        <v>0</v>
      </c>
    </row>
    <row r="4759" spans="1:22" x14ac:dyDescent="0.35">
      <c r="A4759">
        <v>14758</v>
      </c>
      <c r="B4759" s="1">
        <v>49319</v>
      </c>
      <c r="C4759">
        <v>1898</v>
      </c>
      <c r="D4759" t="s">
        <v>73</v>
      </c>
      <c r="E4759" t="s">
        <v>63</v>
      </c>
      <c r="F4759">
        <v>5</v>
      </c>
      <c r="G4759" s="2">
        <v>348.59</v>
      </c>
      <c r="H4759">
        <v>0.14000000000000001</v>
      </c>
      <c r="I4759" t="s">
        <v>64</v>
      </c>
      <c r="J4759">
        <v>7</v>
      </c>
      <c r="K4759">
        <v>3.1</v>
      </c>
      <c r="L4759" s="2">
        <v>1498.94</v>
      </c>
      <c r="M4759">
        <v>2035</v>
      </c>
      <c r="N4759">
        <v>1</v>
      </c>
      <c r="O4759" t="s">
        <v>236</v>
      </c>
      <c r="P4759" s="2">
        <v>1742.95</v>
      </c>
      <c r="Q4759" s="2">
        <v>244.01</v>
      </c>
      <c r="R4759" t="s">
        <v>79</v>
      </c>
      <c r="S4759">
        <v>1</v>
      </c>
      <c r="T4759">
        <v>0</v>
      </c>
      <c r="U4759">
        <f>IF(AND(OR(Dashboard!$D$4="Semua",D4759=Dashboard!$D$4),OR(Dashboard!$H$4="Semua",E4759=Dashboard!$H$4)),1,0)</f>
        <v>1</v>
      </c>
      <c r="V4759">
        <f>IF(U4759=1,IF(COUNTIFS($C$2:C4759,C4759,$U$2:U4759,1)=1,1,0),0)</f>
        <v>0</v>
      </c>
    </row>
    <row r="4760" spans="1:22" x14ac:dyDescent="0.35">
      <c r="A4760">
        <v>14759</v>
      </c>
      <c r="B4760" s="1">
        <v>49320</v>
      </c>
      <c r="C4760">
        <v>1553</v>
      </c>
      <c r="D4760" t="s">
        <v>80</v>
      </c>
      <c r="E4760" t="s">
        <v>74</v>
      </c>
      <c r="F4760">
        <v>5</v>
      </c>
      <c r="G4760" s="2">
        <v>347.49</v>
      </c>
      <c r="H4760">
        <v>0.17</v>
      </c>
      <c r="I4760" t="s">
        <v>68</v>
      </c>
      <c r="J4760">
        <v>4</v>
      </c>
      <c r="K4760">
        <v>4</v>
      </c>
      <c r="L4760" s="2">
        <v>1442.08</v>
      </c>
      <c r="M4760">
        <v>2035</v>
      </c>
      <c r="N4760">
        <v>1</v>
      </c>
      <c r="O4760" t="s">
        <v>236</v>
      </c>
      <c r="P4760" s="2">
        <v>1737.45</v>
      </c>
      <c r="Q4760" s="2">
        <v>295.37</v>
      </c>
      <c r="R4760" t="s">
        <v>76</v>
      </c>
      <c r="S4760">
        <v>1</v>
      </c>
      <c r="T4760">
        <v>0</v>
      </c>
      <c r="U4760">
        <f>IF(AND(OR(Dashboard!$D$4="Semua",D4760=Dashboard!$D$4),OR(Dashboard!$H$4="Semua",E4760=Dashboard!$H$4)),1,0)</f>
        <v>1</v>
      </c>
      <c r="V4760">
        <f>IF(U4760=1,IF(COUNTIFS($C$2:C4760,C4760,$U$2:U4760,1)=1,1,0),0)</f>
        <v>0</v>
      </c>
    </row>
    <row r="4761" spans="1:22" x14ac:dyDescent="0.35">
      <c r="A4761">
        <v>14760</v>
      </c>
      <c r="B4761" s="1">
        <v>49321</v>
      </c>
      <c r="C4761">
        <v>1353</v>
      </c>
      <c r="D4761" t="s">
        <v>73</v>
      </c>
      <c r="E4761" t="s">
        <v>63</v>
      </c>
      <c r="F4761">
        <v>1</v>
      </c>
      <c r="G4761" s="2">
        <v>414.23</v>
      </c>
      <c r="H4761">
        <v>0.12</v>
      </c>
      <c r="I4761" t="s">
        <v>68</v>
      </c>
      <c r="J4761">
        <v>3</v>
      </c>
      <c r="K4761">
        <v>1.1000000000000001</v>
      </c>
      <c r="L4761" s="2">
        <v>364.52</v>
      </c>
      <c r="M4761">
        <v>2035</v>
      </c>
      <c r="N4761">
        <v>1</v>
      </c>
      <c r="O4761" t="s">
        <v>236</v>
      </c>
      <c r="P4761" s="2">
        <v>414.23</v>
      </c>
      <c r="Q4761" s="2">
        <v>49.71</v>
      </c>
      <c r="R4761" t="s">
        <v>79</v>
      </c>
      <c r="S4761">
        <v>1</v>
      </c>
      <c r="T4761">
        <v>0</v>
      </c>
      <c r="U4761">
        <f>IF(AND(OR(Dashboard!$D$4="Semua",D4761=Dashboard!$D$4),OR(Dashboard!$H$4="Semua",E4761=Dashboard!$H$4)),1,0)</f>
        <v>1</v>
      </c>
      <c r="V4761">
        <f>IF(U4761=1,IF(COUNTIFS($C$2:C4761,C4761,$U$2:U4761,1)=1,1,0),0)</f>
        <v>0</v>
      </c>
    </row>
    <row r="4762" spans="1:22" x14ac:dyDescent="0.35">
      <c r="A4762">
        <v>14761</v>
      </c>
      <c r="B4762" s="1">
        <v>49322</v>
      </c>
      <c r="C4762">
        <v>1415</v>
      </c>
      <c r="D4762" t="s">
        <v>67</v>
      </c>
      <c r="E4762" t="s">
        <v>63</v>
      </c>
      <c r="F4762">
        <v>7</v>
      </c>
      <c r="G4762" s="2">
        <v>64.959999999999994</v>
      </c>
      <c r="H4762">
        <v>0.1</v>
      </c>
      <c r="I4762" t="s">
        <v>68</v>
      </c>
      <c r="J4762">
        <v>9</v>
      </c>
      <c r="K4762">
        <v>2</v>
      </c>
      <c r="L4762" s="2">
        <v>409.25</v>
      </c>
      <c r="M4762">
        <v>2035</v>
      </c>
      <c r="N4762">
        <v>1</v>
      </c>
      <c r="O4762" t="s">
        <v>236</v>
      </c>
      <c r="P4762" s="2">
        <v>454.72</v>
      </c>
      <c r="Q4762" s="2">
        <v>45.47</v>
      </c>
      <c r="R4762" t="s">
        <v>69</v>
      </c>
      <c r="S4762">
        <v>1</v>
      </c>
      <c r="T4762">
        <v>0</v>
      </c>
      <c r="U4762">
        <f>IF(AND(OR(Dashboard!$D$4="Semua",D4762=Dashboard!$D$4),OR(Dashboard!$H$4="Semua",E4762=Dashboard!$H$4)),1,0)</f>
        <v>1</v>
      </c>
      <c r="V4762">
        <f>IF(U4762=1,IF(COUNTIFS($C$2:C4762,C4762,$U$2:U4762,1)=1,1,0),0)</f>
        <v>0</v>
      </c>
    </row>
    <row r="4763" spans="1:22" x14ac:dyDescent="0.35">
      <c r="A4763">
        <v>14762</v>
      </c>
      <c r="B4763" s="1">
        <v>49323</v>
      </c>
      <c r="C4763">
        <v>1108</v>
      </c>
      <c r="D4763" t="s">
        <v>73</v>
      </c>
      <c r="E4763" t="s">
        <v>78</v>
      </c>
      <c r="F4763">
        <v>1</v>
      </c>
      <c r="G4763" s="2">
        <v>381.5</v>
      </c>
      <c r="H4763">
        <v>0.24</v>
      </c>
      <c r="I4763" t="s">
        <v>68</v>
      </c>
      <c r="J4763">
        <v>4</v>
      </c>
      <c r="K4763">
        <v>4.2</v>
      </c>
      <c r="L4763" s="2">
        <v>289.94</v>
      </c>
      <c r="M4763">
        <v>2035</v>
      </c>
      <c r="N4763">
        <v>1</v>
      </c>
      <c r="O4763" t="s">
        <v>236</v>
      </c>
      <c r="P4763" s="2">
        <v>381.5</v>
      </c>
      <c r="Q4763" s="2">
        <v>91.56</v>
      </c>
      <c r="R4763" t="s">
        <v>77</v>
      </c>
      <c r="S4763">
        <v>1</v>
      </c>
      <c r="T4763">
        <v>0</v>
      </c>
      <c r="U4763">
        <f>IF(AND(OR(Dashboard!$D$4="Semua",D4763=Dashboard!$D$4),OR(Dashboard!$H$4="Semua",E4763=Dashboard!$H$4)),1,0)</f>
        <v>1</v>
      </c>
      <c r="V4763">
        <f>IF(U4763=1,IF(COUNTIFS($C$2:C4763,C4763,$U$2:U4763,1)=1,1,0),0)</f>
        <v>0</v>
      </c>
    </row>
    <row r="4764" spans="1:22" x14ac:dyDescent="0.35">
      <c r="A4764">
        <v>14763</v>
      </c>
      <c r="B4764" s="1">
        <v>49324</v>
      </c>
      <c r="C4764">
        <v>1562</v>
      </c>
      <c r="D4764" t="s">
        <v>62</v>
      </c>
      <c r="E4764" t="s">
        <v>70</v>
      </c>
      <c r="F4764">
        <v>3</v>
      </c>
      <c r="G4764" s="2">
        <v>179.24</v>
      </c>
      <c r="H4764">
        <v>0.27</v>
      </c>
      <c r="I4764" t="s">
        <v>68</v>
      </c>
      <c r="J4764">
        <v>9</v>
      </c>
      <c r="K4764">
        <v>4.8</v>
      </c>
      <c r="L4764" s="2">
        <v>392.54</v>
      </c>
      <c r="M4764">
        <v>2035</v>
      </c>
      <c r="N4764">
        <v>1</v>
      </c>
      <c r="O4764" t="s">
        <v>236</v>
      </c>
      <c r="P4764" s="2">
        <v>537.72</v>
      </c>
      <c r="Q4764" s="2">
        <v>145.18</v>
      </c>
      <c r="R4764" t="s">
        <v>66</v>
      </c>
      <c r="S4764">
        <v>1</v>
      </c>
      <c r="T4764">
        <v>0</v>
      </c>
      <c r="U4764">
        <f>IF(AND(OR(Dashboard!$D$4="Semua",D4764=Dashboard!$D$4),OR(Dashboard!$H$4="Semua",E4764=Dashboard!$H$4)),1,0)</f>
        <v>1</v>
      </c>
      <c r="V4764">
        <f>IF(U4764=1,IF(COUNTIFS($C$2:C4764,C4764,$U$2:U4764,1)=1,1,0),0)</f>
        <v>0</v>
      </c>
    </row>
    <row r="4765" spans="1:22" x14ac:dyDescent="0.35">
      <c r="A4765">
        <v>14764</v>
      </c>
      <c r="B4765" s="1">
        <v>49325</v>
      </c>
      <c r="C4765">
        <v>1761</v>
      </c>
      <c r="D4765" t="s">
        <v>62</v>
      </c>
      <c r="E4765" t="s">
        <v>63</v>
      </c>
      <c r="F4765">
        <v>7</v>
      </c>
      <c r="G4765" s="2">
        <v>311.60000000000002</v>
      </c>
      <c r="H4765">
        <v>0.31</v>
      </c>
      <c r="I4765" t="s">
        <v>68</v>
      </c>
      <c r="J4765">
        <v>9</v>
      </c>
      <c r="K4765">
        <v>4.5</v>
      </c>
      <c r="L4765" s="2">
        <v>1505.03</v>
      </c>
      <c r="M4765">
        <v>2035</v>
      </c>
      <c r="N4765">
        <v>1</v>
      </c>
      <c r="O4765" t="s">
        <v>236</v>
      </c>
      <c r="P4765" s="2">
        <v>2181.1999999999998</v>
      </c>
      <c r="Q4765" s="2">
        <v>676.17</v>
      </c>
      <c r="R4765" t="s">
        <v>72</v>
      </c>
      <c r="S4765">
        <v>1</v>
      </c>
      <c r="T4765">
        <v>0</v>
      </c>
      <c r="U4765">
        <f>IF(AND(OR(Dashboard!$D$4="Semua",D4765=Dashboard!$D$4),OR(Dashboard!$H$4="Semua",E4765=Dashboard!$H$4)),1,0)</f>
        <v>1</v>
      </c>
      <c r="V4765">
        <f>IF(U4765=1,IF(COUNTIFS($C$2:C4765,C4765,$U$2:U4765,1)=1,1,0),0)</f>
        <v>0</v>
      </c>
    </row>
    <row r="4766" spans="1:22" x14ac:dyDescent="0.35">
      <c r="A4766">
        <v>14765</v>
      </c>
      <c r="B4766" s="1">
        <v>49326</v>
      </c>
      <c r="C4766">
        <v>1496</v>
      </c>
      <c r="D4766" t="s">
        <v>67</v>
      </c>
      <c r="E4766" t="s">
        <v>63</v>
      </c>
      <c r="F4766">
        <v>6</v>
      </c>
      <c r="G4766" s="2">
        <v>467.39</v>
      </c>
      <c r="H4766">
        <v>0.05</v>
      </c>
      <c r="I4766" t="s">
        <v>68</v>
      </c>
      <c r="J4766">
        <v>11</v>
      </c>
      <c r="K4766">
        <v>3.9</v>
      </c>
      <c r="L4766" s="2">
        <v>2664.12</v>
      </c>
      <c r="M4766">
        <v>2035</v>
      </c>
      <c r="N4766">
        <v>1</v>
      </c>
      <c r="O4766" t="s">
        <v>236</v>
      </c>
      <c r="P4766" s="2">
        <v>2804.34</v>
      </c>
      <c r="Q4766" s="2">
        <v>140.22</v>
      </c>
      <c r="R4766" t="s">
        <v>75</v>
      </c>
      <c r="S4766">
        <v>1</v>
      </c>
      <c r="T4766">
        <v>0</v>
      </c>
      <c r="U4766">
        <f>IF(AND(OR(Dashboard!$D$4="Semua",D4766=Dashboard!$D$4),OR(Dashboard!$H$4="Semua",E4766=Dashboard!$H$4)),1,0)</f>
        <v>1</v>
      </c>
      <c r="V4766">
        <f>IF(U4766=1,IF(COUNTIFS($C$2:C4766,C4766,$U$2:U4766,1)=1,1,0),0)</f>
        <v>0</v>
      </c>
    </row>
    <row r="4767" spans="1:22" x14ac:dyDescent="0.35">
      <c r="A4767">
        <v>14766</v>
      </c>
      <c r="B4767" s="1">
        <v>49327</v>
      </c>
      <c r="C4767">
        <v>1340</v>
      </c>
      <c r="D4767" t="s">
        <v>67</v>
      </c>
      <c r="E4767" t="s">
        <v>70</v>
      </c>
      <c r="F4767">
        <v>3</v>
      </c>
      <c r="G4767" s="2">
        <v>427.8</v>
      </c>
      <c r="H4767">
        <v>0.28999999999999998</v>
      </c>
      <c r="I4767" t="s">
        <v>71</v>
      </c>
      <c r="J4767">
        <v>3</v>
      </c>
      <c r="K4767">
        <v>1.7</v>
      </c>
      <c r="L4767" s="2">
        <v>911.21</v>
      </c>
      <c r="M4767">
        <v>2035</v>
      </c>
      <c r="N4767">
        <v>1</v>
      </c>
      <c r="O4767" t="s">
        <v>236</v>
      </c>
      <c r="P4767" s="2">
        <v>1283.4000000000001</v>
      </c>
      <c r="Q4767" s="2">
        <v>372.19</v>
      </c>
      <c r="R4767" t="s">
        <v>66</v>
      </c>
      <c r="S4767">
        <v>1</v>
      </c>
      <c r="T4767">
        <v>0</v>
      </c>
      <c r="U4767">
        <f>IF(AND(OR(Dashboard!$D$4="Semua",D4767=Dashboard!$D$4),OR(Dashboard!$H$4="Semua",E4767=Dashboard!$H$4)),1,0)</f>
        <v>1</v>
      </c>
      <c r="V4767">
        <f>IF(U4767=1,IF(COUNTIFS($C$2:C4767,C4767,$U$2:U4767,1)=1,1,0),0)</f>
        <v>0</v>
      </c>
    </row>
    <row r="4768" spans="1:22" x14ac:dyDescent="0.35">
      <c r="A4768">
        <v>14767</v>
      </c>
      <c r="B4768" s="1">
        <v>49328</v>
      </c>
      <c r="C4768">
        <v>1941</v>
      </c>
      <c r="D4768" t="s">
        <v>73</v>
      </c>
      <c r="E4768" t="s">
        <v>70</v>
      </c>
      <c r="F4768">
        <v>3</v>
      </c>
      <c r="G4768" s="2">
        <v>84.56</v>
      </c>
      <c r="H4768">
        <v>0.09</v>
      </c>
      <c r="I4768" t="s">
        <v>64</v>
      </c>
      <c r="J4768">
        <v>3</v>
      </c>
      <c r="K4768">
        <v>2.5</v>
      </c>
      <c r="L4768" s="2">
        <v>230.85</v>
      </c>
      <c r="M4768">
        <v>2035</v>
      </c>
      <c r="N4768">
        <v>1</v>
      </c>
      <c r="O4768" t="s">
        <v>236</v>
      </c>
      <c r="P4768" s="2">
        <v>253.68</v>
      </c>
      <c r="Q4768" s="2">
        <v>22.83</v>
      </c>
      <c r="R4768" t="s">
        <v>69</v>
      </c>
      <c r="S4768">
        <v>1</v>
      </c>
      <c r="T4768">
        <v>0</v>
      </c>
      <c r="U4768">
        <f>IF(AND(OR(Dashboard!$D$4="Semua",D4768=Dashboard!$D$4),OR(Dashboard!$H$4="Semua",E4768=Dashboard!$H$4)),1,0)</f>
        <v>1</v>
      </c>
      <c r="V4768">
        <f>IF(U4768=1,IF(COUNTIFS($C$2:C4768,C4768,$U$2:U4768,1)=1,1,0),0)</f>
        <v>0</v>
      </c>
    </row>
    <row r="4769" spans="1:22" x14ac:dyDescent="0.35">
      <c r="A4769">
        <v>14768</v>
      </c>
      <c r="B4769" s="1">
        <v>49329</v>
      </c>
      <c r="C4769">
        <v>1382</v>
      </c>
      <c r="D4769" t="s">
        <v>73</v>
      </c>
      <c r="E4769" t="s">
        <v>63</v>
      </c>
      <c r="F4769">
        <v>2</v>
      </c>
      <c r="G4769" s="2">
        <v>360.84</v>
      </c>
      <c r="H4769">
        <v>0.15</v>
      </c>
      <c r="I4769" t="s">
        <v>68</v>
      </c>
      <c r="J4769">
        <v>11</v>
      </c>
      <c r="K4769">
        <v>1.2</v>
      </c>
      <c r="L4769" s="2">
        <v>613.42999999999995</v>
      </c>
      <c r="M4769">
        <v>2035</v>
      </c>
      <c r="N4769">
        <v>1</v>
      </c>
      <c r="O4769" t="s">
        <v>236</v>
      </c>
      <c r="P4769" s="2">
        <v>721.68</v>
      </c>
      <c r="Q4769" s="2">
        <v>108.25</v>
      </c>
      <c r="R4769" t="s">
        <v>79</v>
      </c>
      <c r="S4769">
        <v>1</v>
      </c>
      <c r="T4769">
        <v>0</v>
      </c>
      <c r="U4769">
        <f>IF(AND(OR(Dashboard!$D$4="Semua",D4769=Dashboard!$D$4),OR(Dashboard!$H$4="Semua",E4769=Dashboard!$H$4)),1,0)</f>
        <v>1</v>
      </c>
      <c r="V4769">
        <f>IF(U4769=1,IF(COUNTIFS($C$2:C4769,C4769,$U$2:U4769,1)=1,1,0),0)</f>
        <v>0</v>
      </c>
    </row>
    <row r="4770" spans="1:22" x14ac:dyDescent="0.35">
      <c r="A4770">
        <v>14769</v>
      </c>
      <c r="B4770" s="1">
        <v>49330</v>
      </c>
      <c r="C4770">
        <v>1532</v>
      </c>
      <c r="D4770" t="s">
        <v>73</v>
      </c>
      <c r="E4770" t="s">
        <v>74</v>
      </c>
      <c r="F4770">
        <v>4</v>
      </c>
      <c r="G4770" s="2">
        <v>581.92999999999995</v>
      </c>
      <c r="H4770">
        <v>0.32</v>
      </c>
      <c r="I4770" t="s">
        <v>68</v>
      </c>
      <c r="J4770">
        <v>8</v>
      </c>
      <c r="K4770">
        <v>3.6</v>
      </c>
      <c r="L4770" s="2">
        <v>1582.85</v>
      </c>
      <c r="M4770">
        <v>2035</v>
      </c>
      <c r="N4770">
        <v>1</v>
      </c>
      <c r="O4770" t="s">
        <v>236</v>
      </c>
      <c r="P4770" s="2">
        <v>2327.7199999999998</v>
      </c>
      <c r="Q4770" s="2">
        <v>744.87</v>
      </c>
      <c r="R4770" t="s">
        <v>72</v>
      </c>
      <c r="S4770">
        <v>1</v>
      </c>
      <c r="T4770">
        <v>0</v>
      </c>
      <c r="U4770">
        <f>IF(AND(OR(Dashboard!$D$4="Semua",D4770=Dashboard!$D$4),OR(Dashboard!$H$4="Semua",E4770=Dashboard!$H$4)),1,0)</f>
        <v>1</v>
      </c>
      <c r="V4770">
        <f>IF(U4770=1,IF(COUNTIFS($C$2:C4770,C4770,$U$2:U4770,1)=1,1,0),0)</f>
        <v>0</v>
      </c>
    </row>
    <row r="4771" spans="1:22" x14ac:dyDescent="0.35">
      <c r="A4771">
        <v>14770</v>
      </c>
      <c r="B4771" s="1">
        <v>49331</v>
      </c>
      <c r="C4771">
        <v>1299</v>
      </c>
      <c r="D4771" t="s">
        <v>80</v>
      </c>
      <c r="E4771" t="s">
        <v>63</v>
      </c>
      <c r="F4771">
        <v>2</v>
      </c>
      <c r="G4771" s="2">
        <v>106.71</v>
      </c>
      <c r="H4771">
        <v>0.16</v>
      </c>
      <c r="I4771" t="s">
        <v>71</v>
      </c>
      <c r="J4771">
        <v>1</v>
      </c>
      <c r="K4771">
        <v>2.8</v>
      </c>
      <c r="L4771" s="2">
        <v>179.27</v>
      </c>
      <c r="M4771">
        <v>2035</v>
      </c>
      <c r="N4771">
        <v>1</v>
      </c>
      <c r="O4771" t="s">
        <v>236</v>
      </c>
      <c r="P4771" s="2">
        <v>213.42</v>
      </c>
      <c r="Q4771" s="2">
        <v>34.15</v>
      </c>
      <c r="R4771" t="s">
        <v>76</v>
      </c>
      <c r="S4771">
        <v>1</v>
      </c>
      <c r="T4771">
        <v>0</v>
      </c>
      <c r="U4771">
        <f>IF(AND(OR(Dashboard!$D$4="Semua",D4771=Dashboard!$D$4),OR(Dashboard!$H$4="Semua",E4771=Dashboard!$H$4)),1,0)</f>
        <v>1</v>
      </c>
      <c r="V4771">
        <f>IF(U4771=1,IF(COUNTIFS($C$2:C4771,C4771,$U$2:U4771,1)=1,1,0),0)</f>
        <v>0</v>
      </c>
    </row>
    <row r="4772" spans="1:22" x14ac:dyDescent="0.35">
      <c r="A4772">
        <v>14771</v>
      </c>
      <c r="B4772" s="1">
        <v>49332</v>
      </c>
      <c r="C4772">
        <v>1138</v>
      </c>
      <c r="D4772" t="s">
        <v>67</v>
      </c>
      <c r="E4772" t="s">
        <v>74</v>
      </c>
      <c r="F4772">
        <v>6</v>
      </c>
      <c r="G4772" s="2">
        <v>513.95000000000005</v>
      </c>
      <c r="H4772">
        <v>7.0000000000000007E-2</v>
      </c>
      <c r="I4772" t="s">
        <v>68</v>
      </c>
      <c r="J4772">
        <v>6</v>
      </c>
      <c r="K4772">
        <v>3.3</v>
      </c>
      <c r="L4772" s="2">
        <v>2867.84</v>
      </c>
      <c r="M4772">
        <v>2035</v>
      </c>
      <c r="N4772">
        <v>1</v>
      </c>
      <c r="O4772" t="s">
        <v>236</v>
      </c>
      <c r="P4772" s="2">
        <v>3083.7</v>
      </c>
      <c r="Q4772" s="2">
        <v>215.86</v>
      </c>
      <c r="R4772" t="s">
        <v>69</v>
      </c>
      <c r="S4772">
        <v>1</v>
      </c>
      <c r="T4772">
        <v>0</v>
      </c>
      <c r="U4772">
        <f>IF(AND(OR(Dashboard!$D$4="Semua",D4772=Dashboard!$D$4),OR(Dashboard!$H$4="Semua",E4772=Dashboard!$H$4)),1,0)</f>
        <v>1</v>
      </c>
      <c r="V4772">
        <f>IF(U4772=1,IF(COUNTIFS($C$2:C4772,C4772,$U$2:U4772,1)=1,1,0),0)</f>
        <v>0</v>
      </c>
    </row>
    <row r="4773" spans="1:22" x14ac:dyDescent="0.35">
      <c r="A4773">
        <v>14772</v>
      </c>
      <c r="B4773" s="1">
        <v>49333</v>
      </c>
      <c r="C4773">
        <v>1358</v>
      </c>
      <c r="D4773" t="s">
        <v>62</v>
      </c>
      <c r="E4773" t="s">
        <v>74</v>
      </c>
      <c r="F4773">
        <v>5</v>
      </c>
      <c r="G4773" s="2">
        <v>425.99</v>
      </c>
      <c r="H4773">
        <v>0.06</v>
      </c>
      <c r="I4773" t="s">
        <v>68</v>
      </c>
      <c r="J4773">
        <v>6</v>
      </c>
      <c r="K4773">
        <v>4.9000000000000004</v>
      </c>
      <c r="L4773" s="2">
        <v>2002.15</v>
      </c>
      <c r="M4773">
        <v>2035</v>
      </c>
      <c r="N4773">
        <v>1</v>
      </c>
      <c r="O4773" t="s">
        <v>236</v>
      </c>
      <c r="P4773" s="2">
        <v>2129.9499999999998</v>
      </c>
      <c r="Q4773" s="2">
        <v>127.8</v>
      </c>
      <c r="R4773" t="s">
        <v>69</v>
      </c>
      <c r="S4773">
        <v>1</v>
      </c>
      <c r="T4773">
        <v>0</v>
      </c>
      <c r="U4773">
        <f>IF(AND(OR(Dashboard!$D$4="Semua",D4773=Dashboard!$D$4),OR(Dashboard!$H$4="Semua",E4773=Dashboard!$H$4)),1,0)</f>
        <v>1</v>
      </c>
      <c r="V4773">
        <f>IF(U4773=1,IF(COUNTIFS($C$2:C4773,C4773,$U$2:U4773,1)=1,1,0),0)</f>
        <v>0</v>
      </c>
    </row>
    <row r="4774" spans="1:22" x14ac:dyDescent="0.35">
      <c r="A4774">
        <v>14773</v>
      </c>
      <c r="B4774" s="1">
        <v>49334</v>
      </c>
      <c r="C4774">
        <v>1835</v>
      </c>
      <c r="D4774" t="s">
        <v>67</v>
      </c>
      <c r="E4774" t="s">
        <v>74</v>
      </c>
      <c r="F4774">
        <v>1</v>
      </c>
      <c r="G4774" s="2">
        <v>467.79</v>
      </c>
      <c r="H4774">
        <v>0.17</v>
      </c>
      <c r="I4774" t="s">
        <v>68</v>
      </c>
      <c r="J4774">
        <v>9</v>
      </c>
      <c r="K4774">
        <v>2.6</v>
      </c>
      <c r="L4774" s="2">
        <v>388.27</v>
      </c>
      <c r="M4774">
        <v>2035</v>
      </c>
      <c r="N4774">
        <v>1</v>
      </c>
      <c r="O4774" t="s">
        <v>236</v>
      </c>
      <c r="P4774" s="2">
        <v>467.79</v>
      </c>
      <c r="Q4774" s="2">
        <v>79.52</v>
      </c>
      <c r="R4774" t="s">
        <v>76</v>
      </c>
      <c r="S4774">
        <v>1</v>
      </c>
      <c r="T4774">
        <v>0</v>
      </c>
      <c r="U4774">
        <f>IF(AND(OR(Dashboard!$D$4="Semua",D4774=Dashboard!$D$4),OR(Dashboard!$H$4="Semua",E4774=Dashboard!$H$4)),1,0)</f>
        <v>1</v>
      </c>
      <c r="V4774">
        <f>IF(U4774=1,IF(COUNTIFS($C$2:C4774,C4774,$U$2:U4774,1)=1,1,0),0)</f>
        <v>0</v>
      </c>
    </row>
    <row r="4775" spans="1:22" x14ac:dyDescent="0.35">
      <c r="A4775">
        <v>14774</v>
      </c>
      <c r="B4775" s="1">
        <v>49335</v>
      </c>
      <c r="C4775">
        <v>1498</v>
      </c>
      <c r="D4775" t="s">
        <v>80</v>
      </c>
      <c r="E4775" t="s">
        <v>70</v>
      </c>
      <c r="F4775">
        <v>6</v>
      </c>
      <c r="G4775" s="2">
        <v>179.95</v>
      </c>
      <c r="H4775">
        <v>0.27</v>
      </c>
      <c r="I4775" t="s">
        <v>71</v>
      </c>
      <c r="J4775">
        <v>2</v>
      </c>
      <c r="K4775">
        <v>2.2000000000000002</v>
      </c>
      <c r="L4775" s="2">
        <v>788.18</v>
      </c>
      <c r="M4775">
        <v>2035</v>
      </c>
      <c r="N4775">
        <v>1</v>
      </c>
      <c r="O4775" t="s">
        <v>236</v>
      </c>
      <c r="P4775" s="2">
        <v>1079.7</v>
      </c>
      <c r="Q4775" s="2">
        <v>291.52</v>
      </c>
      <c r="R4775" t="s">
        <v>66</v>
      </c>
      <c r="S4775">
        <v>1</v>
      </c>
      <c r="T4775">
        <v>0</v>
      </c>
      <c r="U4775">
        <f>IF(AND(OR(Dashboard!$D$4="Semua",D4775=Dashboard!$D$4),OR(Dashboard!$H$4="Semua",E4775=Dashboard!$H$4)),1,0)</f>
        <v>1</v>
      </c>
      <c r="V4775">
        <f>IF(U4775=1,IF(COUNTIFS($C$2:C4775,C4775,$U$2:U4775,1)=1,1,0),0)</f>
        <v>0</v>
      </c>
    </row>
    <row r="4776" spans="1:22" x14ac:dyDescent="0.35">
      <c r="A4776">
        <v>14775</v>
      </c>
      <c r="B4776" s="1">
        <v>49336</v>
      </c>
      <c r="C4776">
        <v>1384</v>
      </c>
      <c r="D4776" t="s">
        <v>67</v>
      </c>
      <c r="E4776" t="s">
        <v>63</v>
      </c>
      <c r="F4776">
        <v>5</v>
      </c>
      <c r="G4776" s="2">
        <v>183.42</v>
      </c>
      <c r="H4776">
        <v>0.35</v>
      </c>
      <c r="I4776" t="s">
        <v>64</v>
      </c>
      <c r="J4776">
        <v>8</v>
      </c>
      <c r="K4776">
        <v>1.6</v>
      </c>
      <c r="L4776" s="2">
        <v>596.12</v>
      </c>
      <c r="M4776">
        <v>2035</v>
      </c>
      <c r="N4776">
        <v>1</v>
      </c>
      <c r="O4776" t="s">
        <v>236</v>
      </c>
      <c r="P4776" s="2">
        <v>917.1</v>
      </c>
      <c r="Q4776" s="2">
        <v>320.98</v>
      </c>
      <c r="R4776" t="s">
        <v>72</v>
      </c>
      <c r="S4776">
        <v>1</v>
      </c>
      <c r="T4776">
        <v>0</v>
      </c>
      <c r="U4776">
        <f>IF(AND(OR(Dashboard!$D$4="Semua",D4776=Dashboard!$D$4),OR(Dashboard!$H$4="Semua",E4776=Dashboard!$H$4)),1,0)</f>
        <v>1</v>
      </c>
      <c r="V4776">
        <f>IF(U4776=1,IF(COUNTIFS($C$2:C4776,C4776,$U$2:U4776,1)=1,1,0),0)</f>
        <v>0</v>
      </c>
    </row>
    <row r="4777" spans="1:22" x14ac:dyDescent="0.35">
      <c r="A4777">
        <v>14776</v>
      </c>
      <c r="B4777" s="1">
        <v>49337</v>
      </c>
      <c r="C4777">
        <v>1603</v>
      </c>
      <c r="D4777" t="s">
        <v>67</v>
      </c>
      <c r="E4777" t="s">
        <v>63</v>
      </c>
      <c r="F4777">
        <v>6</v>
      </c>
      <c r="G4777" s="2">
        <v>545.02</v>
      </c>
      <c r="H4777">
        <v>0.28000000000000003</v>
      </c>
      <c r="I4777" t="s">
        <v>71</v>
      </c>
      <c r="J4777">
        <v>7</v>
      </c>
      <c r="K4777">
        <v>1.6</v>
      </c>
      <c r="L4777" s="2">
        <v>2354.4899999999998</v>
      </c>
      <c r="M4777">
        <v>2035</v>
      </c>
      <c r="N4777">
        <v>1</v>
      </c>
      <c r="O4777" t="s">
        <v>236</v>
      </c>
      <c r="P4777" s="2">
        <v>3270.12</v>
      </c>
      <c r="Q4777" s="2">
        <v>915.63</v>
      </c>
      <c r="R4777" t="s">
        <v>66</v>
      </c>
      <c r="S4777">
        <v>1</v>
      </c>
      <c r="T4777">
        <v>0</v>
      </c>
      <c r="U4777">
        <f>IF(AND(OR(Dashboard!$D$4="Semua",D4777=Dashboard!$D$4),OR(Dashboard!$H$4="Semua",E4777=Dashboard!$H$4)),1,0)</f>
        <v>1</v>
      </c>
      <c r="V4777">
        <f>IF(U4777=1,IF(COUNTIFS($C$2:C4777,C4777,$U$2:U4777,1)=1,1,0),0)</f>
        <v>0</v>
      </c>
    </row>
    <row r="4778" spans="1:22" x14ac:dyDescent="0.35">
      <c r="A4778">
        <v>14777</v>
      </c>
      <c r="B4778" s="1">
        <v>49338</v>
      </c>
      <c r="C4778">
        <v>1958</v>
      </c>
      <c r="D4778" t="s">
        <v>73</v>
      </c>
      <c r="E4778" t="s">
        <v>78</v>
      </c>
      <c r="F4778">
        <v>5</v>
      </c>
      <c r="G4778" s="2">
        <v>225.5</v>
      </c>
      <c r="H4778">
        <v>0.31</v>
      </c>
      <c r="I4778" t="s">
        <v>68</v>
      </c>
      <c r="J4778">
        <v>2</v>
      </c>
      <c r="K4778">
        <v>3.1</v>
      </c>
      <c r="L4778" s="2">
        <v>777.97</v>
      </c>
      <c r="M4778">
        <v>2035</v>
      </c>
      <c r="N4778">
        <v>1</v>
      </c>
      <c r="O4778" t="s">
        <v>236</v>
      </c>
      <c r="P4778" s="2">
        <v>1127.5</v>
      </c>
      <c r="Q4778" s="2">
        <v>349.53</v>
      </c>
      <c r="R4778" t="s">
        <v>72</v>
      </c>
      <c r="S4778">
        <v>1</v>
      </c>
      <c r="T4778">
        <v>0</v>
      </c>
      <c r="U4778">
        <f>IF(AND(OR(Dashboard!$D$4="Semua",D4778=Dashboard!$D$4),OR(Dashboard!$H$4="Semua",E4778=Dashboard!$H$4)),1,0)</f>
        <v>1</v>
      </c>
      <c r="V4778">
        <f>IF(U4778=1,IF(COUNTIFS($C$2:C4778,C4778,$U$2:U4778,1)=1,1,0),0)</f>
        <v>0</v>
      </c>
    </row>
    <row r="4779" spans="1:22" x14ac:dyDescent="0.35">
      <c r="A4779">
        <v>14778</v>
      </c>
      <c r="B4779" s="1">
        <v>49339</v>
      </c>
      <c r="C4779">
        <v>1279</v>
      </c>
      <c r="D4779" t="s">
        <v>67</v>
      </c>
      <c r="E4779" t="s">
        <v>70</v>
      </c>
      <c r="F4779">
        <v>7</v>
      </c>
      <c r="G4779" s="2">
        <v>51.86</v>
      </c>
      <c r="H4779">
        <v>0.26</v>
      </c>
      <c r="I4779" t="s">
        <v>68</v>
      </c>
      <c r="J4779">
        <v>1</v>
      </c>
      <c r="K4779">
        <v>4</v>
      </c>
      <c r="L4779" s="2">
        <v>268.63</v>
      </c>
      <c r="M4779">
        <v>2035</v>
      </c>
      <c r="N4779">
        <v>1</v>
      </c>
      <c r="O4779" t="s">
        <v>236</v>
      </c>
      <c r="P4779" s="2">
        <v>363.02</v>
      </c>
      <c r="Q4779" s="2">
        <v>94.39</v>
      </c>
      <c r="R4779" t="s">
        <v>66</v>
      </c>
      <c r="S4779">
        <v>1</v>
      </c>
      <c r="T4779">
        <v>0</v>
      </c>
      <c r="U4779">
        <f>IF(AND(OR(Dashboard!$D$4="Semua",D4779=Dashboard!$D$4),OR(Dashboard!$H$4="Semua",E4779=Dashboard!$H$4)),1,0)</f>
        <v>1</v>
      </c>
      <c r="V4779">
        <f>IF(U4779=1,IF(COUNTIFS($C$2:C4779,C4779,$U$2:U4779,1)=1,1,0),0)</f>
        <v>0</v>
      </c>
    </row>
    <row r="4780" spans="1:22" x14ac:dyDescent="0.35">
      <c r="A4780">
        <v>14779</v>
      </c>
      <c r="B4780" s="1">
        <v>49340</v>
      </c>
      <c r="C4780">
        <v>1636</v>
      </c>
      <c r="D4780" t="s">
        <v>67</v>
      </c>
      <c r="E4780" t="s">
        <v>78</v>
      </c>
      <c r="F4780">
        <v>1</v>
      </c>
      <c r="G4780" s="2">
        <v>366.35</v>
      </c>
      <c r="H4780">
        <v>0.31</v>
      </c>
      <c r="I4780" t="s">
        <v>68</v>
      </c>
      <c r="J4780">
        <v>4</v>
      </c>
      <c r="K4780">
        <v>3.3</v>
      </c>
      <c r="L4780" s="2">
        <v>252.78</v>
      </c>
      <c r="M4780">
        <v>2035</v>
      </c>
      <c r="N4780">
        <v>1</v>
      </c>
      <c r="O4780" t="s">
        <v>236</v>
      </c>
      <c r="P4780" s="2">
        <v>366.35</v>
      </c>
      <c r="Q4780" s="2">
        <v>113.57</v>
      </c>
      <c r="R4780" t="s">
        <v>72</v>
      </c>
      <c r="S4780">
        <v>1</v>
      </c>
      <c r="T4780">
        <v>0</v>
      </c>
      <c r="U4780">
        <f>IF(AND(OR(Dashboard!$D$4="Semua",D4780=Dashboard!$D$4),OR(Dashboard!$H$4="Semua",E4780=Dashboard!$H$4)),1,0)</f>
        <v>1</v>
      </c>
      <c r="V4780">
        <f>IF(U4780=1,IF(COUNTIFS($C$2:C4780,C4780,$U$2:U4780,1)=1,1,0),0)</f>
        <v>0</v>
      </c>
    </row>
    <row r="4781" spans="1:22" x14ac:dyDescent="0.35">
      <c r="A4781">
        <v>14780</v>
      </c>
      <c r="B4781" s="1">
        <v>49341</v>
      </c>
      <c r="C4781">
        <v>1482</v>
      </c>
      <c r="D4781" t="s">
        <v>80</v>
      </c>
      <c r="E4781" t="s">
        <v>78</v>
      </c>
      <c r="F4781">
        <v>5</v>
      </c>
      <c r="G4781" s="2">
        <v>88.02</v>
      </c>
      <c r="H4781">
        <v>0.03</v>
      </c>
      <c r="I4781" t="s">
        <v>64</v>
      </c>
      <c r="J4781">
        <v>2</v>
      </c>
      <c r="K4781">
        <v>4.5</v>
      </c>
      <c r="L4781" s="2">
        <v>426.9</v>
      </c>
      <c r="M4781">
        <v>2035</v>
      </c>
      <c r="N4781">
        <v>2</v>
      </c>
      <c r="O4781" t="s">
        <v>237</v>
      </c>
      <c r="P4781" s="2">
        <v>440.1</v>
      </c>
      <c r="Q4781" s="2">
        <v>13.2</v>
      </c>
      <c r="R4781" t="s">
        <v>75</v>
      </c>
      <c r="S4781">
        <v>1</v>
      </c>
      <c r="T4781">
        <v>0</v>
      </c>
      <c r="U4781">
        <f>IF(AND(OR(Dashboard!$D$4="Semua",D4781=Dashboard!$D$4),OR(Dashboard!$H$4="Semua",E4781=Dashboard!$H$4)),1,0)</f>
        <v>1</v>
      </c>
      <c r="V4781">
        <f>IF(U4781=1,IF(COUNTIFS($C$2:C4781,C4781,$U$2:U4781,1)=1,1,0),0)</f>
        <v>0</v>
      </c>
    </row>
    <row r="4782" spans="1:22" x14ac:dyDescent="0.35">
      <c r="A4782">
        <v>14781</v>
      </c>
      <c r="B4782" s="1">
        <v>49342</v>
      </c>
      <c r="C4782">
        <v>1908</v>
      </c>
      <c r="D4782" t="s">
        <v>62</v>
      </c>
      <c r="E4782" t="s">
        <v>74</v>
      </c>
      <c r="F4782">
        <v>3</v>
      </c>
      <c r="G4782" s="2">
        <v>481.01</v>
      </c>
      <c r="H4782">
        <v>0.33</v>
      </c>
      <c r="I4782" t="s">
        <v>71</v>
      </c>
      <c r="J4782">
        <v>3</v>
      </c>
      <c r="K4782">
        <v>2.2999999999999998</v>
      </c>
      <c r="L4782" s="2">
        <v>966.83</v>
      </c>
      <c r="M4782">
        <v>2035</v>
      </c>
      <c r="N4782">
        <v>2</v>
      </c>
      <c r="O4782" t="s">
        <v>237</v>
      </c>
      <c r="P4782" s="2">
        <v>1443.03</v>
      </c>
      <c r="Q4782" s="2">
        <v>476.2</v>
      </c>
      <c r="R4782" t="s">
        <v>72</v>
      </c>
      <c r="S4782">
        <v>1</v>
      </c>
      <c r="T4782">
        <v>0</v>
      </c>
      <c r="U4782">
        <f>IF(AND(OR(Dashboard!$D$4="Semua",D4782=Dashboard!$D$4),OR(Dashboard!$H$4="Semua",E4782=Dashboard!$H$4)),1,0)</f>
        <v>1</v>
      </c>
      <c r="V4782">
        <f>IF(U4782=1,IF(COUNTIFS($C$2:C4782,C4782,$U$2:U4782,1)=1,1,0),0)</f>
        <v>0</v>
      </c>
    </row>
    <row r="4783" spans="1:22" x14ac:dyDescent="0.35">
      <c r="A4783">
        <v>14782</v>
      </c>
      <c r="B4783" s="1">
        <v>49343</v>
      </c>
      <c r="C4783">
        <v>1110</v>
      </c>
      <c r="D4783" t="s">
        <v>73</v>
      </c>
      <c r="E4783" t="s">
        <v>70</v>
      </c>
      <c r="F4783">
        <v>6</v>
      </c>
      <c r="G4783" s="2">
        <v>390.42</v>
      </c>
      <c r="H4783">
        <v>0.14000000000000001</v>
      </c>
      <c r="I4783" t="s">
        <v>68</v>
      </c>
      <c r="J4783">
        <v>2</v>
      </c>
      <c r="K4783">
        <v>3.4</v>
      </c>
      <c r="L4783" s="2">
        <v>2014.57</v>
      </c>
      <c r="M4783">
        <v>2035</v>
      </c>
      <c r="N4783">
        <v>2</v>
      </c>
      <c r="O4783" t="s">
        <v>237</v>
      </c>
      <c r="P4783" s="2">
        <v>2342.52</v>
      </c>
      <c r="Q4783" s="2">
        <v>327.95</v>
      </c>
      <c r="R4783" t="s">
        <v>79</v>
      </c>
      <c r="S4783">
        <v>1</v>
      </c>
      <c r="T4783">
        <v>0</v>
      </c>
      <c r="U4783">
        <f>IF(AND(OR(Dashboard!$D$4="Semua",D4783=Dashboard!$D$4),OR(Dashboard!$H$4="Semua",E4783=Dashboard!$H$4)),1,0)</f>
        <v>1</v>
      </c>
      <c r="V4783">
        <f>IF(U4783=1,IF(COUNTIFS($C$2:C4783,C4783,$U$2:U4783,1)=1,1,0),0)</f>
        <v>0</v>
      </c>
    </row>
    <row r="4784" spans="1:22" x14ac:dyDescent="0.35">
      <c r="A4784">
        <v>14783</v>
      </c>
      <c r="B4784" s="1">
        <v>49344</v>
      </c>
      <c r="C4784">
        <v>1865</v>
      </c>
      <c r="D4784" t="s">
        <v>73</v>
      </c>
      <c r="E4784" t="s">
        <v>78</v>
      </c>
      <c r="F4784">
        <v>1</v>
      </c>
      <c r="G4784" s="2">
        <v>526.72</v>
      </c>
      <c r="H4784">
        <v>0.32</v>
      </c>
      <c r="I4784" t="s">
        <v>71</v>
      </c>
      <c r="J4784">
        <v>9</v>
      </c>
      <c r="K4784">
        <v>3.6</v>
      </c>
      <c r="L4784" s="2">
        <v>358.17</v>
      </c>
      <c r="M4784">
        <v>2035</v>
      </c>
      <c r="N4784">
        <v>2</v>
      </c>
      <c r="O4784" t="s">
        <v>237</v>
      </c>
      <c r="P4784" s="2">
        <v>526.72</v>
      </c>
      <c r="Q4784" s="2">
        <v>168.55</v>
      </c>
      <c r="R4784" t="s">
        <v>72</v>
      </c>
      <c r="S4784">
        <v>1</v>
      </c>
      <c r="T4784">
        <v>0</v>
      </c>
      <c r="U4784">
        <f>IF(AND(OR(Dashboard!$D$4="Semua",D4784=Dashboard!$D$4),OR(Dashboard!$H$4="Semua",E4784=Dashboard!$H$4)),1,0)</f>
        <v>1</v>
      </c>
      <c r="V4784">
        <f>IF(U4784=1,IF(COUNTIFS($C$2:C4784,C4784,$U$2:U4784,1)=1,1,0),0)</f>
        <v>0</v>
      </c>
    </row>
    <row r="4785" spans="1:22" x14ac:dyDescent="0.35">
      <c r="A4785">
        <v>14784</v>
      </c>
      <c r="B4785" s="1">
        <v>49345</v>
      </c>
      <c r="C4785">
        <v>1138</v>
      </c>
      <c r="D4785" t="s">
        <v>67</v>
      </c>
      <c r="E4785" t="s">
        <v>63</v>
      </c>
      <c r="F4785">
        <v>5</v>
      </c>
      <c r="G4785" s="2">
        <v>474.13</v>
      </c>
      <c r="H4785">
        <v>0.03</v>
      </c>
      <c r="I4785" t="s">
        <v>68</v>
      </c>
      <c r="J4785">
        <v>4</v>
      </c>
      <c r="K4785">
        <v>2.1</v>
      </c>
      <c r="L4785" s="2">
        <v>2299.5300000000002</v>
      </c>
      <c r="M4785">
        <v>2035</v>
      </c>
      <c r="N4785">
        <v>2</v>
      </c>
      <c r="O4785" t="s">
        <v>237</v>
      </c>
      <c r="P4785" s="2">
        <v>2370.65</v>
      </c>
      <c r="Q4785" s="2">
        <v>71.12</v>
      </c>
      <c r="R4785" t="s">
        <v>75</v>
      </c>
      <c r="S4785">
        <v>1</v>
      </c>
      <c r="T4785">
        <v>0</v>
      </c>
      <c r="U4785">
        <f>IF(AND(OR(Dashboard!$D$4="Semua",D4785=Dashboard!$D$4),OR(Dashboard!$H$4="Semua",E4785=Dashboard!$H$4)),1,0)</f>
        <v>1</v>
      </c>
      <c r="V4785">
        <f>IF(U4785=1,IF(COUNTIFS($C$2:C4785,C4785,$U$2:U4785,1)=1,1,0),0)</f>
        <v>0</v>
      </c>
    </row>
    <row r="4786" spans="1:22" x14ac:dyDescent="0.35">
      <c r="A4786">
        <v>14785</v>
      </c>
      <c r="B4786" s="1">
        <v>49346</v>
      </c>
      <c r="C4786">
        <v>1995</v>
      </c>
      <c r="D4786" t="s">
        <v>67</v>
      </c>
      <c r="E4786" t="s">
        <v>78</v>
      </c>
      <c r="F4786">
        <v>3</v>
      </c>
      <c r="G4786" s="2">
        <v>80.59</v>
      </c>
      <c r="H4786">
        <v>0.25</v>
      </c>
      <c r="I4786" t="s">
        <v>64</v>
      </c>
      <c r="J4786">
        <v>1</v>
      </c>
      <c r="K4786">
        <v>2.6</v>
      </c>
      <c r="L4786" s="2">
        <v>181.33</v>
      </c>
      <c r="M4786">
        <v>2035</v>
      </c>
      <c r="N4786">
        <v>2</v>
      </c>
      <c r="O4786" t="s">
        <v>237</v>
      </c>
      <c r="P4786" s="2">
        <v>241.77</v>
      </c>
      <c r="Q4786" s="2">
        <v>60.44</v>
      </c>
      <c r="R4786" t="s">
        <v>77</v>
      </c>
      <c r="S4786">
        <v>1</v>
      </c>
      <c r="T4786">
        <v>0</v>
      </c>
      <c r="U4786">
        <f>IF(AND(OR(Dashboard!$D$4="Semua",D4786=Dashboard!$D$4),OR(Dashboard!$H$4="Semua",E4786=Dashboard!$H$4)),1,0)</f>
        <v>1</v>
      </c>
      <c r="V4786">
        <f>IF(U4786=1,IF(COUNTIFS($C$2:C4786,C4786,$U$2:U4786,1)=1,1,0),0)</f>
        <v>0</v>
      </c>
    </row>
    <row r="4787" spans="1:22" x14ac:dyDescent="0.35">
      <c r="A4787">
        <v>14786</v>
      </c>
      <c r="B4787" s="1">
        <v>49347</v>
      </c>
      <c r="C4787">
        <v>1434</v>
      </c>
      <c r="D4787" t="s">
        <v>73</v>
      </c>
      <c r="E4787" t="s">
        <v>70</v>
      </c>
      <c r="F4787">
        <v>3</v>
      </c>
      <c r="G4787" s="2">
        <v>237.93</v>
      </c>
      <c r="H4787">
        <v>0.26</v>
      </c>
      <c r="I4787" t="s">
        <v>64</v>
      </c>
      <c r="J4787">
        <v>8</v>
      </c>
      <c r="K4787">
        <v>3.4</v>
      </c>
      <c r="L4787" s="2">
        <v>528.20000000000005</v>
      </c>
      <c r="M4787">
        <v>2035</v>
      </c>
      <c r="N4787">
        <v>2</v>
      </c>
      <c r="O4787" t="s">
        <v>237</v>
      </c>
      <c r="P4787" s="2">
        <v>713.79</v>
      </c>
      <c r="Q4787" s="2">
        <v>185.59</v>
      </c>
      <c r="R4787" t="s">
        <v>66</v>
      </c>
      <c r="S4787">
        <v>1</v>
      </c>
      <c r="T4787">
        <v>0</v>
      </c>
      <c r="U4787">
        <f>IF(AND(OR(Dashboard!$D$4="Semua",D4787=Dashboard!$D$4),OR(Dashboard!$H$4="Semua",E4787=Dashboard!$H$4)),1,0)</f>
        <v>1</v>
      </c>
      <c r="V4787">
        <f>IF(U4787=1,IF(COUNTIFS($C$2:C4787,C4787,$U$2:U4787,1)=1,1,0),0)</f>
        <v>0</v>
      </c>
    </row>
    <row r="4788" spans="1:22" x14ac:dyDescent="0.35">
      <c r="A4788">
        <v>14787</v>
      </c>
      <c r="B4788" s="1">
        <v>49348</v>
      </c>
      <c r="C4788">
        <v>1508</v>
      </c>
      <c r="D4788" t="s">
        <v>80</v>
      </c>
      <c r="E4788" t="s">
        <v>63</v>
      </c>
      <c r="F4788">
        <v>7</v>
      </c>
      <c r="G4788" s="2">
        <v>468.12</v>
      </c>
      <c r="H4788">
        <v>0.35</v>
      </c>
      <c r="I4788" t="s">
        <v>68</v>
      </c>
      <c r="J4788">
        <v>4</v>
      </c>
      <c r="K4788">
        <v>1.1000000000000001</v>
      </c>
      <c r="L4788" s="2">
        <v>2129.9499999999998</v>
      </c>
      <c r="M4788">
        <v>2035</v>
      </c>
      <c r="N4788">
        <v>2</v>
      </c>
      <c r="O4788" t="s">
        <v>237</v>
      </c>
      <c r="P4788" s="2">
        <v>3276.84</v>
      </c>
      <c r="Q4788" s="2">
        <v>1146.8900000000001</v>
      </c>
      <c r="R4788" t="s">
        <v>72</v>
      </c>
      <c r="S4788">
        <v>1</v>
      </c>
      <c r="T4788">
        <v>0</v>
      </c>
      <c r="U4788">
        <f>IF(AND(OR(Dashboard!$D$4="Semua",D4788=Dashboard!$D$4),OR(Dashboard!$H$4="Semua",E4788=Dashboard!$H$4)),1,0)</f>
        <v>1</v>
      </c>
      <c r="V4788">
        <f>IF(U4788=1,IF(COUNTIFS($C$2:C4788,C4788,$U$2:U4788,1)=1,1,0),0)</f>
        <v>0</v>
      </c>
    </row>
    <row r="4789" spans="1:22" x14ac:dyDescent="0.35">
      <c r="A4789">
        <v>14788</v>
      </c>
      <c r="B4789" s="1">
        <v>49349</v>
      </c>
      <c r="C4789">
        <v>1272</v>
      </c>
      <c r="D4789" t="s">
        <v>62</v>
      </c>
      <c r="E4789" t="s">
        <v>63</v>
      </c>
      <c r="F4789">
        <v>4</v>
      </c>
      <c r="G4789" s="2">
        <v>259.14</v>
      </c>
      <c r="H4789">
        <v>0.27</v>
      </c>
      <c r="I4789" t="s">
        <v>71</v>
      </c>
      <c r="J4789">
        <v>10</v>
      </c>
      <c r="K4789">
        <v>4.5</v>
      </c>
      <c r="L4789" s="2">
        <v>756.69</v>
      </c>
      <c r="M4789">
        <v>2035</v>
      </c>
      <c r="N4789">
        <v>2</v>
      </c>
      <c r="O4789" t="s">
        <v>237</v>
      </c>
      <c r="P4789" s="2">
        <v>1036.56</v>
      </c>
      <c r="Q4789" s="2">
        <v>279.87</v>
      </c>
      <c r="R4789" t="s">
        <v>66</v>
      </c>
      <c r="S4789">
        <v>1</v>
      </c>
      <c r="T4789">
        <v>0</v>
      </c>
      <c r="U4789">
        <f>IF(AND(OR(Dashboard!$D$4="Semua",D4789=Dashboard!$D$4),OR(Dashboard!$H$4="Semua",E4789=Dashboard!$H$4)),1,0)</f>
        <v>1</v>
      </c>
      <c r="V4789">
        <f>IF(U4789=1,IF(COUNTIFS($C$2:C4789,C4789,$U$2:U4789,1)=1,1,0),0)</f>
        <v>0</v>
      </c>
    </row>
    <row r="4790" spans="1:22" x14ac:dyDescent="0.35">
      <c r="A4790">
        <v>14789</v>
      </c>
      <c r="B4790" s="1">
        <v>49350</v>
      </c>
      <c r="C4790">
        <v>1098</v>
      </c>
      <c r="D4790" t="s">
        <v>62</v>
      </c>
      <c r="E4790" t="s">
        <v>63</v>
      </c>
      <c r="F4790">
        <v>3</v>
      </c>
      <c r="G4790" s="2">
        <v>583.83000000000004</v>
      </c>
      <c r="H4790">
        <v>0.13</v>
      </c>
      <c r="I4790" t="s">
        <v>71</v>
      </c>
      <c r="J4790">
        <v>11</v>
      </c>
      <c r="K4790">
        <v>1.4</v>
      </c>
      <c r="L4790" s="2">
        <v>1523.8</v>
      </c>
      <c r="M4790">
        <v>2035</v>
      </c>
      <c r="N4790">
        <v>2</v>
      </c>
      <c r="O4790" t="s">
        <v>237</v>
      </c>
      <c r="P4790" s="2">
        <v>1751.49</v>
      </c>
      <c r="Q4790" s="2">
        <v>227.69</v>
      </c>
      <c r="R4790" t="s">
        <v>79</v>
      </c>
      <c r="S4790">
        <v>1</v>
      </c>
      <c r="T4790">
        <v>0</v>
      </c>
      <c r="U4790">
        <f>IF(AND(OR(Dashboard!$D$4="Semua",D4790=Dashboard!$D$4),OR(Dashboard!$H$4="Semua",E4790=Dashboard!$H$4)),1,0)</f>
        <v>1</v>
      </c>
      <c r="V4790">
        <f>IF(U4790=1,IF(COUNTIFS($C$2:C4790,C4790,$U$2:U4790,1)=1,1,0),0)</f>
        <v>0</v>
      </c>
    </row>
    <row r="4791" spans="1:22" x14ac:dyDescent="0.35">
      <c r="A4791">
        <v>14790</v>
      </c>
      <c r="B4791" s="1">
        <v>49351</v>
      </c>
      <c r="C4791">
        <v>1763</v>
      </c>
      <c r="D4791" t="s">
        <v>73</v>
      </c>
      <c r="E4791" t="s">
        <v>74</v>
      </c>
      <c r="F4791">
        <v>2</v>
      </c>
      <c r="G4791" s="2">
        <v>445.41</v>
      </c>
      <c r="H4791">
        <v>0.2</v>
      </c>
      <c r="I4791" t="s">
        <v>68</v>
      </c>
      <c r="J4791">
        <v>11</v>
      </c>
      <c r="K4791">
        <v>1.2</v>
      </c>
      <c r="L4791" s="2">
        <v>712.66</v>
      </c>
      <c r="M4791">
        <v>2035</v>
      </c>
      <c r="N4791">
        <v>2</v>
      </c>
      <c r="O4791" t="s">
        <v>237</v>
      </c>
      <c r="P4791" s="2">
        <v>890.82</v>
      </c>
      <c r="Q4791" s="2">
        <v>178.16</v>
      </c>
      <c r="R4791" t="s">
        <v>76</v>
      </c>
      <c r="S4791">
        <v>1</v>
      </c>
      <c r="T4791">
        <v>0</v>
      </c>
      <c r="U4791">
        <f>IF(AND(OR(Dashboard!$D$4="Semua",D4791=Dashboard!$D$4),OR(Dashboard!$H$4="Semua",E4791=Dashboard!$H$4)),1,0)</f>
        <v>1</v>
      </c>
      <c r="V4791">
        <f>IF(U4791=1,IF(COUNTIFS($C$2:C4791,C4791,$U$2:U4791,1)=1,1,0),0)</f>
        <v>0</v>
      </c>
    </row>
    <row r="4792" spans="1:22" x14ac:dyDescent="0.35">
      <c r="A4792">
        <v>14791</v>
      </c>
      <c r="B4792" s="1">
        <v>49352</v>
      </c>
      <c r="C4792">
        <v>1849</v>
      </c>
      <c r="D4792" t="s">
        <v>62</v>
      </c>
      <c r="E4792" t="s">
        <v>63</v>
      </c>
      <c r="F4792">
        <v>1</v>
      </c>
      <c r="G4792" s="2">
        <v>24.07</v>
      </c>
      <c r="H4792">
        <v>0.13</v>
      </c>
      <c r="I4792" t="s">
        <v>71</v>
      </c>
      <c r="J4792">
        <v>8</v>
      </c>
      <c r="K4792">
        <v>1.9</v>
      </c>
      <c r="L4792" s="2">
        <v>20.94</v>
      </c>
      <c r="M4792">
        <v>2035</v>
      </c>
      <c r="N4792">
        <v>2</v>
      </c>
      <c r="O4792" t="s">
        <v>237</v>
      </c>
      <c r="P4792" s="2">
        <v>24.07</v>
      </c>
      <c r="Q4792" s="2">
        <v>3.13</v>
      </c>
      <c r="R4792" t="s">
        <v>79</v>
      </c>
      <c r="S4792">
        <v>1</v>
      </c>
      <c r="T4792">
        <v>0</v>
      </c>
      <c r="U4792">
        <f>IF(AND(OR(Dashboard!$D$4="Semua",D4792=Dashboard!$D$4),OR(Dashboard!$H$4="Semua",E4792=Dashboard!$H$4)),1,0)</f>
        <v>1</v>
      </c>
      <c r="V4792">
        <f>IF(U4792=1,IF(COUNTIFS($C$2:C4792,C4792,$U$2:U4792,1)=1,1,0),0)</f>
        <v>0</v>
      </c>
    </row>
    <row r="4793" spans="1:22" x14ac:dyDescent="0.35">
      <c r="A4793">
        <v>14792</v>
      </c>
      <c r="B4793" s="1">
        <v>49353</v>
      </c>
      <c r="C4793">
        <v>1103</v>
      </c>
      <c r="D4793" t="s">
        <v>80</v>
      </c>
      <c r="E4793" t="s">
        <v>74</v>
      </c>
      <c r="F4793">
        <v>1</v>
      </c>
      <c r="G4793" s="2">
        <v>529.79</v>
      </c>
      <c r="H4793">
        <v>7.0000000000000007E-2</v>
      </c>
      <c r="I4793" t="s">
        <v>71</v>
      </c>
      <c r="J4793">
        <v>8</v>
      </c>
      <c r="K4793">
        <v>3</v>
      </c>
      <c r="L4793" s="2">
        <v>492.7</v>
      </c>
      <c r="M4793">
        <v>2035</v>
      </c>
      <c r="N4793">
        <v>2</v>
      </c>
      <c r="O4793" t="s">
        <v>237</v>
      </c>
      <c r="P4793" s="2">
        <v>529.79</v>
      </c>
      <c r="Q4793" s="2">
        <v>37.090000000000003</v>
      </c>
      <c r="R4793" t="s">
        <v>69</v>
      </c>
      <c r="S4793">
        <v>1</v>
      </c>
      <c r="T4793">
        <v>0</v>
      </c>
      <c r="U4793">
        <f>IF(AND(OR(Dashboard!$D$4="Semua",D4793=Dashboard!$D$4),OR(Dashboard!$H$4="Semua",E4793=Dashboard!$H$4)),1,0)</f>
        <v>1</v>
      </c>
      <c r="V4793">
        <f>IF(U4793=1,IF(COUNTIFS($C$2:C4793,C4793,$U$2:U4793,1)=1,1,0),0)</f>
        <v>0</v>
      </c>
    </row>
    <row r="4794" spans="1:22" x14ac:dyDescent="0.35">
      <c r="A4794">
        <v>14793</v>
      </c>
      <c r="B4794" s="1">
        <v>49354</v>
      </c>
      <c r="C4794">
        <v>1213</v>
      </c>
      <c r="D4794" t="s">
        <v>67</v>
      </c>
      <c r="E4794" t="s">
        <v>74</v>
      </c>
      <c r="F4794">
        <v>1</v>
      </c>
      <c r="G4794" s="2">
        <v>73.97</v>
      </c>
      <c r="H4794">
        <v>0.09</v>
      </c>
      <c r="I4794" t="s">
        <v>68</v>
      </c>
      <c r="J4794">
        <v>9</v>
      </c>
      <c r="K4794">
        <v>2.2999999999999998</v>
      </c>
      <c r="L4794" s="2">
        <v>67.31</v>
      </c>
      <c r="M4794">
        <v>2035</v>
      </c>
      <c r="N4794">
        <v>2</v>
      </c>
      <c r="O4794" t="s">
        <v>237</v>
      </c>
      <c r="P4794" s="2">
        <v>73.97</v>
      </c>
      <c r="Q4794" s="2">
        <v>6.66</v>
      </c>
      <c r="R4794" t="s">
        <v>69</v>
      </c>
      <c r="S4794">
        <v>1</v>
      </c>
      <c r="T4794">
        <v>0</v>
      </c>
      <c r="U4794">
        <f>IF(AND(OR(Dashboard!$D$4="Semua",D4794=Dashboard!$D$4),OR(Dashboard!$H$4="Semua",E4794=Dashboard!$H$4)),1,0)</f>
        <v>1</v>
      </c>
      <c r="V4794">
        <f>IF(U4794=1,IF(COUNTIFS($C$2:C4794,C4794,$U$2:U4794,1)=1,1,0),0)</f>
        <v>0</v>
      </c>
    </row>
    <row r="4795" spans="1:22" x14ac:dyDescent="0.35">
      <c r="A4795">
        <v>14794</v>
      </c>
      <c r="B4795" s="1">
        <v>49355</v>
      </c>
      <c r="C4795">
        <v>1760</v>
      </c>
      <c r="D4795" t="s">
        <v>67</v>
      </c>
      <c r="E4795" t="s">
        <v>78</v>
      </c>
      <c r="F4795">
        <v>5</v>
      </c>
      <c r="G4795" s="2">
        <v>97.21</v>
      </c>
      <c r="H4795">
        <v>0.08</v>
      </c>
      <c r="I4795" t="s">
        <v>71</v>
      </c>
      <c r="J4795">
        <v>10</v>
      </c>
      <c r="K4795">
        <v>2.8</v>
      </c>
      <c r="L4795" s="2">
        <v>447.17</v>
      </c>
      <c r="M4795">
        <v>2035</v>
      </c>
      <c r="N4795">
        <v>2</v>
      </c>
      <c r="O4795" t="s">
        <v>237</v>
      </c>
      <c r="P4795" s="2">
        <v>486.05</v>
      </c>
      <c r="Q4795" s="2">
        <v>38.880000000000003</v>
      </c>
      <c r="R4795" t="s">
        <v>69</v>
      </c>
      <c r="S4795">
        <v>1</v>
      </c>
      <c r="T4795">
        <v>0</v>
      </c>
      <c r="U4795">
        <f>IF(AND(OR(Dashboard!$D$4="Semua",D4795=Dashboard!$D$4),OR(Dashboard!$H$4="Semua",E4795=Dashboard!$H$4)),1,0)</f>
        <v>1</v>
      </c>
      <c r="V4795">
        <f>IF(U4795=1,IF(COUNTIFS($C$2:C4795,C4795,$U$2:U4795,1)=1,1,0),0)</f>
        <v>0</v>
      </c>
    </row>
    <row r="4796" spans="1:22" x14ac:dyDescent="0.35">
      <c r="A4796">
        <v>14795</v>
      </c>
      <c r="B4796" s="1">
        <v>49356</v>
      </c>
      <c r="C4796">
        <v>1663</v>
      </c>
      <c r="D4796" t="s">
        <v>80</v>
      </c>
      <c r="E4796" t="s">
        <v>78</v>
      </c>
      <c r="F4796">
        <v>6</v>
      </c>
      <c r="G4796" s="2">
        <v>444.68</v>
      </c>
      <c r="H4796">
        <v>0.19</v>
      </c>
      <c r="I4796" t="s">
        <v>71</v>
      </c>
      <c r="J4796">
        <v>7</v>
      </c>
      <c r="K4796">
        <v>1.3</v>
      </c>
      <c r="L4796" s="2">
        <v>2161.14</v>
      </c>
      <c r="M4796">
        <v>2035</v>
      </c>
      <c r="N4796">
        <v>2</v>
      </c>
      <c r="O4796" t="s">
        <v>237</v>
      </c>
      <c r="P4796" s="2">
        <v>2668.08</v>
      </c>
      <c r="Q4796" s="2">
        <v>506.94</v>
      </c>
      <c r="R4796" t="s">
        <v>76</v>
      </c>
      <c r="S4796">
        <v>1</v>
      </c>
      <c r="T4796">
        <v>0</v>
      </c>
      <c r="U4796">
        <f>IF(AND(OR(Dashboard!$D$4="Semua",D4796=Dashboard!$D$4),OR(Dashboard!$H$4="Semua",E4796=Dashboard!$H$4)),1,0)</f>
        <v>1</v>
      </c>
      <c r="V4796">
        <f>IF(U4796=1,IF(COUNTIFS($C$2:C4796,C4796,$U$2:U4796,1)=1,1,0),0)</f>
        <v>0</v>
      </c>
    </row>
    <row r="4797" spans="1:22" x14ac:dyDescent="0.35">
      <c r="A4797">
        <v>14796</v>
      </c>
      <c r="B4797" s="1">
        <v>49357</v>
      </c>
      <c r="C4797">
        <v>1761</v>
      </c>
      <c r="D4797" t="s">
        <v>67</v>
      </c>
      <c r="E4797" t="s">
        <v>63</v>
      </c>
      <c r="F4797">
        <v>5</v>
      </c>
      <c r="G4797" s="2">
        <v>521.01</v>
      </c>
      <c r="H4797">
        <v>0.32</v>
      </c>
      <c r="I4797" t="s">
        <v>68</v>
      </c>
      <c r="J4797">
        <v>4</v>
      </c>
      <c r="K4797">
        <v>1.9</v>
      </c>
      <c r="L4797" s="2">
        <v>1771.43</v>
      </c>
      <c r="M4797">
        <v>2035</v>
      </c>
      <c r="N4797">
        <v>2</v>
      </c>
      <c r="O4797" t="s">
        <v>237</v>
      </c>
      <c r="P4797" s="2">
        <v>2605.0500000000002</v>
      </c>
      <c r="Q4797" s="2">
        <v>833.62</v>
      </c>
      <c r="R4797" t="s">
        <v>72</v>
      </c>
      <c r="S4797">
        <v>1</v>
      </c>
      <c r="T4797">
        <v>0</v>
      </c>
      <c r="U4797">
        <f>IF(AND(OR(Dashboard!$D$4="Semua",D4797=Dashboard!$D$4),OR(Dashboard!$H$4="Semua",E4797=Dashboard!$H$4)),1,0)</f>
        <v>1</v>
      </c>
      <c r="V4797">
        <f>IF(U4797=1,IF(COUNTIFS($C$2:C4797,C4797,$U$2:U4797,1)=1,1,0),0)</f>
        <v>0</v>
      </c>
    </row>
    <row r="4798" spans="1:22" x14ac:dyDescent="0.35">
      <c r="A4798">
        <v>14797</v>
      </c>
      <c r="B4798" s="1">
        <v>49358</v>
      </c>
      <c r="C4798">
        <v>1786</v>
      </c>
      <c r="D4798" t="s">
        <v>67</v>
      </c>
      <c r="E4798" t="s">
        <v>70</v>
      </c>
      <c r="F4798">
        <v>2</v>
      </c>
      <c r="G4798" s="2">
        <v>328.76</v>
      </c>
      <c r="H4798">
        <v>0.32</v>
      </c>
      <c r="I4798" t="s">
        <v>68</v>
      </c>
      <c r="J4798">
        <v>2</v>
      </c>
      <c r="K4798">
        <v>1.4</v>
      </c>
      <c r="L4798" s="2">
        <v>447.11</v>
      </c>
      <c r="M4798">
        <v>2035</v>
      </c>
      <c r="N4798">
        <v>2</v>
      </c>
      <c r="O4798" t="s">
        <v>237</v>
      </c>
      <c r="P4798" s="2">
        <v>657.52</v>
      </c>
      <c r="Q4798" s="2">
        <v>210.41</v>
      </c>
      <c r="R4798" t="s">
        <v>72</v>
      </c>
      <c r="S4798">
        <v>1</v>
      </c>
      <c r="T4798">
        <v>0</v>
      </c>
      <c r="U4798">
        <f>IF(AND(OR(Dashboard!$D$4="Semua",D4798=Dashboard!$D$4),OR(Dashboard!$H$4="Semua",E4798=Dashboard!$H$4)),1,0)</f>
        <v>1</v>
      </c>
      <c r="V4798">
        <f>IF(U4798=1,IF(COUNTIFS($C$2:C4798,C4798,$U$2:U4798,1)=1,1,0),0)</f>
        <v>0</v>
      </c>
    </row>
    <row r="4799" spans="1:22" x14ac:dyDescent="0.35">
      <c r="A4799">
        <v>14798</v>
      </c>
      <c r="B4799" s="1">
        <v>49359</v>
      </c>
      <c r="C4799">
        <v>1164</v>
      </c>
      <c r="D4799" t="s">
        <v>67</v>
      </c>
      <c r="E4799" t="s">
        <v>63</v>
      </c>
      <c r="F4799">
        <v>6</v>
      </c>
      <c r="G4799" s="2">
        <v>184.09</v>
      </c>
      <c r="H4799">
        <v>0.02</v>
      </c>
      <c r="I4799" t="s">
        <v>71</v>
      </c>
      <c r="J4799">
        <v>6</v>
      </c>
      <c r="K4799">
        <v>1.9</v>
      </c>
      <c r="L4799" s="2">
        <v>1082.45</v>
      </c>
      <c r="M4799">
        <v>2035</v>
      </c>
      <c r="N4799">
        <v>2</v>
      </c>
      <c r="O4799" t="s">
        <v>237</v>
      </c>
      <c r="P4799" s="2">
        <v>1104.54</v>
      </c>
      <c r="Q4799" s="2">
        <v>22.09</v>
      </c>
      <c r="R4799" t="s">
        <v>75</v>
      </c>
      <c r="S4799">
        <v>1</v>
      </c>
      <c r="T4799">
        <v>0</v>
      </c>
      <c r="U4799">
        <f>IF(AND(OR(Dashboard!$D$4="Semua",D4799=Dashboard!$D$4),OR(Dashboard!$H$4="Semua",E4799=Dashboard!$H$4)),1,0)</f>
        <v>1</v>
      </c>
      <c r="V4799">
        <f>IF(U4799=1,IF(COUNTIFS($C$2:C4799,C4799,$U$2:U4799,1)=1,1,0),0)</f>
        <v>0</v>
      </c>
    </row>
    <row r="4800" spans="1:22" x14ac:dyDescent="0.35">
      <c r="A4800">
        <v>14799</v>
      </c>
      <c r="B4800" s="1">
        <v>49360</v>
      </c>
      <c r="C4800">
        <v>1998</v>
      </c>
      <c r="D4800" t="s">
        <v>67</v>
      </c>
      <c r="E4800" t="s">
        <v>78</v>
      </c>
      <c r="F4800">
        <v>7</v>
      </c>
      <c r="G4800" s="2">
        <v>220.52</v>
      </c>
      <c r="H4800">
        <v>0.03</v>
      </c>
      <c r="I4800" t="s">
        <v>68</v>
      </c>
      <c r="J4800">
        <v>4</v>
      </c>
      <c r="K4800">
        <v>3.8</v>
      </c>
      <c r="L4800" s="2">
        <v>1497.33</v>
      </c>
      <c r="M4800">
        <v>2035</v>
      </c>
      <c r="N4800">
        <v>2</v>
      </c>
      <c r="O4800" t="s">
        <v>237</v>
      </c>
      <c r="P4800" s="2">
        <v>1543.64</v>
      </c>
      <c r="Q4800" s="2">
        <v>46.31</v>
      </c>
      <c r="R4800" t="s">
        <v>75</v>
      </c>
      <c r="S4800">
        <v>1</v>
      </c>
      <c r="T4800">
        <v>0</v>
      </c>
      <c r="U4800">
        <f>IF(AND(OR(Dashboard!$D$4="Semua",D4800=Dashboard!$D$4),OR(Dashboard!$H$4="Semua",E4800=Dashboard!$H$4)),1,0)</f>
        <v>1</v>
      </c>
      <c r="V4800">
        <f>IF(U4800=1,IF(COUNTIFS($C$2:C4800,C4800,$U$2:U4800,1)=1,1,0),0)</f>
        <v>0</v>
      </c>
    </row>
    <row r="4801" spans="1:22" x14ac:dyDescent="0.35">
      <c r="A4801">
        <v>14800</v>
      </c>
      <c r="B4801" s="1">
        <v>49361</v>
      </c>
      <c r="C4801">
        <v>1852</v>
      </c>
      <c r="D4801" t="s">
        <v>73</v>
      </c>
      <c r="E4801" t="s">
        <v>63</v>
      </c>
      <c r="F4801">
        <v>3</v>
      </c>
      <c r="G4801" s="2">
        <v>215.59</v>
      </c>
      <c r="H4801">
        <v>0.09</v>
      </c>
      <c r="I4801" t="s">
        <v>64</v>
      </c>
      <c r="J4801">
        <v>6</v>
      </c>
      <c r="K4801">
        <v>3.3</v>
      </c>
      <c r="L4801" s="2">
        <v>588.55999999999995</v>
      </c>
      <c r="M4801">
        <v>2035</v>
      </c>
      <c r="N4801">
        <v>2</v>
      </c>
      <c r="O4801" t="s">
        <v>237</v>
      </c>
      <c r="P4801" s="2">
        <v>646.77</v>
      </c>
      <c r="Q4801" s="2">
        <v>58.21</v>
      </c>
      <c r="R4801" t="s">
        <v>69</v>
      </c>
      <c r="S4801">
        <v>1</v>
      </c>
      <c r="T4801">
        <v>0</v>
      </c>
      <c r="U4801">
        <f>IF(AND(OR(Dashboard!$D$4="Semua",D4801=Dashboard!$D$4),OR(Dashboard!$H$4="Semua",E4801=Dashboard!$H$4)),1,0)</f>
        <v>1</v>
      </c>
      <c r="V4801">
        <f>IF(U4801=1,IF(COUNTIFS($C$2:C4801,C4801,$U$2:U4801,1)=1,1,0),0)</f>
        <v>0</v>
      </c>
    </row>
    <row r="4802" spans="1:22" x14ac:dyDescent="0.35">
      <c r="A4802">
        <v>14801</v>
      </c>
      <c r="B4802" s="1">
        <v>49362</v>
      </c>
      <c r="C4802">
        <v>1519</v>
      </c>
      <c r="D4802" t="s">
        <v>62</v>
      </c>
      <c r="E4802" t="s">
        <v>78</v>
      </c>
      <c r="F4802">
        <v>5</v>
      </c>
      <c r="G4802" s="2">
        <v>206.11</v>
      </c>
      <c r="H4802">
        <v>0.09</v>
      </c>
      <c r="I4802" t="s">
        <v>68</v>
      </c>
      <c r="J4802">
        <v>8</v>
      </c>
      <c r="K4802">
        <v>2.2999999999999998</v>
      </c>
      <c r="L4802" s="2">
        <v>937.8</v>
      </c>
      <c r="M4802">
        <v>2035</v>
      </c>
      <c r="N4802">
        <v>2</v>
      </c>
      <c r="O4802" t="s">
        <v>237</v>
      </c>
      <c r="P4802" s="2">
        <v>1030.55</v>
      </c>
      <c r="Q4802" s="2">
        <v>92.75</v>
      </c>
      <c r="R4802" t="s">
        <v>69</v>
      </c>
      <c r="S4802">
        <v>1</v>
      </c>
      <c r="T4802">
        <v>0</v>
      </c>
      <c r="U4802">
        <f>IF(AND(OR(Dashboard!$D$4="Semua",D4802=Dashboard!$D$4),OR(Dashboard!$H$4="Semua",E4802=Dashboard!$H$4)),1,0)</f>
        <v>1</v>
      </c>
      <c r="V4802">
        <f>IF(U4802=1,IF(COUNTIFS($C$2:C4802,C4802,$U$2:U4802,1)=1,1,0),0)</f>
        <v>0</v>
      </c>
    </row>
    <row r="4803" spans="1:22" x14ac:dyDescent="0.35">
      <c r="A4803">
        <v>14802</v>
      </c>
      <c r="B4803" s="1">
        <v>49363</v>
      </c>
      <c r="C4803">
        <v>1283</v>
      </c>
      <c r="D4803" t="s">
        <v>80</v>
      </c>
      <c r="E4803" t="s">
        <v>63</v>
      </c>
      <c r="F4803">
        <v>6</v>
      </c>
      <c r="G4803" s="2">
        <v>157.1</v>
      </c>
      <c r="H4803">
        <v>0.03</v>
      </c>
      <c r="I4803" t="s">
        <v>68</v>
      </c>
      <c r="J4803">
        <v>3</v>
      </c>
      <c r="K4803">
        <v>2</v>
      </c>
      <c r="L4803" s="2">
        <v>914.32</v>
      </c>
      <c r="M4803">
        <v>2035</v>
      </c>
      <c r="N4803">
        <v>2</v>
      </c>
      <c r="O4803" t="s">
        <v>237</v>
      </c>
      <c r="P4803" s="2">
        <v>942.6</v>
      </c>
      <c r="Q4803" s="2">
        <v>28.28</v>
      </c>
      <c r="R4803" t="s">
        <v>75</v>
      </c>
      <c r="S4803">
        <v>1</v>
      </c>
      <c r="T4803">
        <v>0</v>
      </c>
      <c r="U4803">
        <f>IF(AND(OR(Dashboard!$D$4="Semua",D4803=Dashboard!$D$4),OR(Dashboard!$H$4="Semua",E4803=Dashboard!$H$4)),1,0)</f>
        <v>1</v>
      </c>
      <c r="V4803">
        <f>IF(U4803=1,IF(COUNTIFS($C$2:C4803,C4803,$U$2:U4803,1)=1,1,0),0)</f>
        <v>0</v>
      </c>
    </row>
    <row r="4804" spans="1:22" x14ac:dyDescent="0.35">
      <c r="A4804">
        <v>14803</v>
      </c>
      <c r="B4804" s="1">
        <v>49364</v>
      </c>
      <c r="C4804">
        <v>1516</v>
      </c>
      <c r="D4804" t="s">
        <v>67</v>
      </c>
      <c r="E4804" t="s">
        <v>70</v>
      </c>
      <c r="F4804">
        <v>3</v>
      </c>
      <c r="G4804" s="2">
        <v>371.19</v>
      </c>
      <c r="H4804">
        <v>0.14000000000000001</v>
      </c>
      <c r="I4804" t="s">
        <v>68</v>
      </c>
      <c r="J4804">
        <v>1</v>
      </c>
      <c r="K4804">
        <v>5</v>
      </c>
      <c r="L4804" s="2">
        <v>957.67</v>
      </c>
      <c r="M4804">
        <v>2035</v>
      </c>
      <c r="N4804">
        <v>2</v>
      </c>
      <c r="O4804" t="s">
        <v>237</v>
      </c>
      <c r="P4804" s="2">
        <v>1113.57</v>
      </c>
      <c r="Q4804" s="2">
        <v>155.9</v>
      </c>
      <c r="R4804" t="s">
        <v>79</v>
      </c>
      <c r="S4804">
        <v>1</v>
      </c>
      <c r="T4804">
        <v>0</v>
      </c>
      <c r="U4804">
        <f>IF(AND(OR(Dashboard!$D$4="Semua",D4804=Dashboard!$D$4),OR(Dashboard!$H$4="Semua",E4804=Dashboard!$H$4)),1,0)</f>
        <v>1</v>
      </c>
      <c r="V4804">
        <f>IF(U4804=1,IF(COUNTIFS($C$2:C4804,C4804,$U$2:U4804,1)=1,1,0),0)</f>
        <v>0</v>
      </c>
    </row>
    <row r="4805" spans="1:22" x14ac:dyDescent="0.35">
      <c r="A4805">
        <v>14804</v>
      </c>
      <c r="B4805" s="1">
        <v>49365</v>
      </c>
      <c r="C4805">
        <v>1656</v>
      </c>
      <c r="D4805" t="s">
        <v>73</v>
      </c>
      <c r="E4805" t="s">
        <v>63</v>
      </c>
      <c r="F4805">
        <v>6</v>
      </c>
      <c r="G4805" s="2">
        <v>541.74</v>
      </c>
      <c r="H4805">
        <v>0.21</v>
      </c>
      <c r="I4805" t="s">
        <v>71</v>
      </c>
      <c r="J4805">
        <v>5</v>
      </c>
      <c r="K4805">
        <v>4.0999999999999996</v>
      </c>
      <c r="L4805" s="2">
        <v>2567.85</v>
      </c>
      <c r="M4805">
        <v>2035</v>
      </c>
      <c r="N4805">
        <v>2</v>
      </c>
      <c r="O4805" t="s">
        <v>237</v>
      </c>
      <c r="P4805" s="2">
        <v>3250.44</v>
      </c>
      <c r="Q4805" s="2">
        <v>682.59</v>
      </c>
      <c r="R4805" t="s">
        <v>77</v>
      </c>
      <c r="S4805">
        <v>1</v>
      </c>
      <c r="T4805">
        <v>0</v>
      </c>
      <c r="U4805">
        <f>IF(AND(OR(Dashboard!$D$4="Semua",D4805=Dashboard!$D$4),OR(Dashboard!$H$4="Semua",E4805=Dashboard!$H$4)),1,0)</f>
        <v>1</v>
      </c>
      <c r="V4805">
        <f>IF(U4805=1,IF(COUNTIFS($C$2:C4805,C4805,$U$2:U4805,1)=1,1,0),0)</f>
        <v>0</v>
      </c>
    </row>
    <row r="4806" spans="1:22" x14ac:dyDescent="0.35">
      <c r="A4806">
        <v>14805</v>
      </c>
      <c r="B4806" s="1">
        <v>49366</v>
      </c>
      <c r="C4806">
        <v>1612</v>
      </c>
      <c r="D4806" t="s">
        <v>67</v>
      </c>
      <c r="E4806" t="s">
        <v>70</v>
      </c>
      <c r="F4806">
        <v>3</v>
      </c>
      <c r="G4806" s="2">
        <v>194.64</v>
      </c>
      <c r="H4806">
        <v>0.2</v>
      </c>
      <c r="I4806" t="s">
        <v>71</v>
      </c>
      <c r="J4806">
        <v>3</v>
      </c>
      <c r="K4806">
        <v>4.3</v>
      </c>
      <c r="L4806" s="2">
        <v>467.14</v>
      </c>
      <c r="M4806">
        <v>2035</v>
      </c>
      <c r="N4806">
        <v>2</v>
      </c>
      <c r="O4806" t="s">
        <v>237</v>
      </c>
      <c r="P4806" s="2">
        <v>583.91999999999996</v>
      </c>
      <c r="Q4806" s="2">
        <v>116.78</v>
      </c>
      <c r="R4806" t="s">
        <v>76</v>
      </c>
      <c r="S4806">
        <v>1</v>
      </c>
      <c r="T4806">
        <v>0</v>
      </c>
      <c r="U4806">
        <f>IF(AND(OR(Dashboard!$D$4="Semua",D4806=Dashboard!$D$4),OR(Dashboard!$H$4="Semua",E4806=Dashboard!$H$4)),1,0)</f>
        <v>1</v>
      </c>
      <c r="V4806">
        <f>IF(U4806=1,IF(COUNTIFS($C$2:C4806,C4806,$U$2:U4806,1)=1,1,0),0)</f>
        <v>0</v>
      </c>
    </row>
    <row r="4807" spans="1:22" x14ac:dyDescent="0.35">
      <c r="A4807">
        <v>14806</v>
      </c>
      <c r="B4807" s="1">
        <v>49367</v>
      </c>
      <c r="C4807">
        <v>1163</v>
      </c>
      <c r="D4807" t="s">
        <v>73</v>
      </c>
      <c r="E4807" t="s">
        <v>70</v>
      </c>
      <c r="F4807">
        <v>6</v>
      </c>
      <c r="G4807" s="2">
        <v>124.22</v>
      </c>
      <c r="H4807">
        <v>0.19</v>
      </c>
      <c r="I4807" t="s">
        <v>68</v>
      </c>
      <c r="J4807">
        <v>6</v>
      </c>
      <c r="K4807">
        <v>1.1000000000000001</v>
      </c>
      <c r="L4807" s="2">
        <v>603.71</v>
      </c>
      <c r="M4807">
        <v>2035</v>
      </c>
      <c r="N4807">
        <v>2</v>
      </c>
      <c r="O4807" t="s">
        <v>237</v>
      </c>
      <c r="P4807" s="2">
        <v>745.32</v>
      </c>
      <c r="Q4807" s="2">
        <v>141.61000000000001</v>
      </c>
      <c r="R4807" t="s">
        <v>76</v>
      </c>
      <c r="S4807">
        <v>1</v>
      </c>
      <c r="T4807">
        <v>0</v>
      </c>
      <c r="U4807">
        <f>IF(AND(OR(Dashboard!$D$4="Semua",D4807=Dashboard!$D$4),OR(Dashboard!$H$4="Semua",E4807=Dashboard!$H$4)),1,0)</f>
        <v>1</v>
      </c>
      <c r="V4807">
        <f>IF(U4807=1,IF(COUNTIFS($C$2:C4807,C4807,$U$2:U4807,1)=1,1,0),0)</f>
        <v>0</v>
      </c>
    </row>
    <row r="4808" spans="1:22" x14ac:dyDescent="0.35">
      <c r="A4808">
        <v>14807</v>
      </c>
      <c r="B4808" s="1">
        <v>49368</v>
      </c>
      <c r="C4808">
        <v>1885</v>
      </c>
      <c r="D4808" t="s">
        <v>73</v>
      </c>
      <c r="E4808" t="s">
        <v>63</v>
      </c>
      <c r="F4808">
        <v>5</v>
      </c>
      <c r="G4808" s="2">
        <v>505.57</v>
      </c>
      <c r="H4808">
        <v>0.12</v>
      </c>
      <c r="I4808" t="s">
        <v>68</v>
      </c>
      <c r="J4808">
        <v>3</v>
      </c>
      <c r="K4808">
        <v>1.2</v>
      </c>
      <c r="L4808" s="2">
        <v>2224.5100000000002</v>
      </c>
      <c r="M4808">
        <v>2035</v>
      </c>
      <c r="N4808">
        <v>2</v>
      </c>
      <c r="O4808" t="s">
        <v>237</v>
      </c>
      <c r="P4808" s="2">
        <v>2527.85</v>
      </c>
      <c r="Q4808" s="2">
        <v>303.33999999999997</v>
      </c>
      <c r="R4808" t="s">
        <v>79</v>
      </c>
      <c r="S4808">
        <v>1</v>
      </c>
      <c r="T4808">
        <v>0</v>
      </c>
      <c r="U4808">
        <f>IF(AND(OR(Dashboard!$D$4="Semua",D4808=Dashboard!$D$4),OR(Dashboard!$H$4="Semua",E4808=Dashboard!$H$4)),1,0)</f>
        <v>1</v>
      </c>
      <c r="V4808">
        <f>IF(U4808=1,IF(COUNTIFS($C$2:C4808,C4808,$U$2:U4808,1)=1,1,0),0)</f>
        <v>0</v>
      </c>
    </row>
    <row r="4809" spans="1:22" x14ac:dyDescent="0.35">
      <c r="A4809">
        <v>14808</v>
      </c>
      <c r="B4809" s="1">
        <v>49369</v>
      </c>
      <c r="C4809">
        <v>1658</v>
      </c>
      <c r="D4809" t="s">
        <v>67</v>
      </c>
      <c r="E4809" t="s">
        <v>70</v>
      </c>
      <c r="F4809">
        <v>5</v>
      </c>
      <c r="G4809" s="2">
        <v>448.94</v>
      </c>
      <c r="H4809">
        <v>0.25</v>
      </c>
      <c r="I4809" t="s">
        <v>64</v>
      </c>
      <c r="J4809">
        <v>1</v>
      </c>
      <c r="K4809">
        <v>3.9</v>
      </c>
      <c r="L4809" s="2">
        <v>1683.52</v>
      </c>
      <c r="M4809">
        <v>2035</v>
      </c>
      <c r="N4809">
        <v>3</v>
      </c>
      <c r="O4809" t="s">
        <v>238</v>
      </c>
      <c r="P4809" s="2">
        <v>2244.6999999999998</v>
      </c>
      <c r="Q4809" s="2">
        <v>561.17999999999995</v>
      </c>
      <c r="R4809" t="s">
        <v>77</v>
      </c>
      <c r="S4809">
        <v>1</v>
      </c>
      <c r="T4809">
        <v>0</v>
      </c>
      <c r="U4809">
        <f>IF(AND(OR(Dashboard!$D$4="Semua",D4809=Dashboard!$D$4),OR(Dashboard!$H$4="Semua",E4809=Dashboard!$H$4)),1,0)</f>
        <v>1</v>
      </c>
      <c r="V4809">
        <f>IF(U4809=1,IF(COUNTIFS($C$2:C4809,C4809,$U$2:U4809,1)=1,1,0),0)</f>
        <v>0</v>
      </c>
    </row>
    <row r="4810" spans="1:22" x14ac:dyDescent="0.35">
      <c r="A4810">
        <v>14809</v>
      </c>
      <c r="B4810" s="1">
        <v>49370</v>
      </c>
      <c r="C4810">
        <v>1063</v>
      </c>
      <c r="D4810" t="s">
        <v>67</v>
      </c>
      <c r="E4810" t="s">
        <v>70</v>
      </c>
      <c r="F4810">
        <v>2</v>
      </c>
      <c r="G4810" s="2">
        <v>559.54</v>
      </c>
      <c r="H4810">
        <v>0.28999999999999998</v>
      </c>
      <c r="I4810" t="s">
        <v>68</v>
      </c>
      <c r="J4810">
        <v>9</v>
      </c>
      <c r="K4810">
        <v>1.8</v>
      </c>
      <c r="L4810" s="2">
        <v>794.55</v>
      </c>
      <c r="M4810">
        <v>2035</v>
      </c>
      <c r="N4810">
        <v>3</v>
      </c>
      <c r="O4810" t="s">
        <v>238</v>
      </c>
      <c r="P4810" s="2">
        <v>1119.08</v>
      </c>
      <c r="Q4810" s="2">
        <v>324.52999999999997</v>
      </c>
      <c r="R4810" t="s">
        <v>66</v>
      </c>
      <c r="S4810">
        <v>1</v>
      </c>
      <c r="T4810">
        <v>0</v>
      </c>
      <c r="U4810">
        <f>IF(AND(OR(Dashboard!$D$4="Semua",D4810=Dashboard!$D$4),OR(Dashboard!$H$4="Semua",E4810=Dashboard!$H$4)),1,0)</f>
        <v>1</v>
      </c>
      <c r="V4810">
        <f>IF(U4810=1,IF(COUNTIFS($C$2:C4810,C4810,$U$2:U4810,1)=1,1,0),0)</f>
        <v>0</v>
      </c>
    </row>
    <row r="4811" spans="1:22" x14ac:dyDescent="0.35">
      <c r="A4811">
        <v>14810</v>
      </c>
      <c r="B4811" s="1">
        <v>49371</v>
      </c>
      <c r="C4811">
        <v>1090</v>
      </c>
      <c r="D4811" t="s">
        <v>67</v>
      </c>
      <c r="E4811" t="s">
        <v>78</v>
      </c>
      <c r="F4811">
        <v>7</v>
      </c>
      <c r="G4811" s="2">
        <v>111.83</v>
      </c>
      <c r="H4811">
        <v>0.12</v>
      </c>
      <c r="I4811" t="s">
        <v>68</v>
      </c>
      <c r="J4811">
        <v>5</v>
      </c>
      <c r="K4811">
        <v>2.7</v>
      </c>
      <c r="L4811" s="2">
        <v>688.87</v>
      </c>
      <c r="M4811">
        <v>2035</v>
      </c>
      <c r="N4811">
        <v>3</v>
      </c>
      <c r="O4811" t="s">
        <v>238</v>
      </c>
      <c r="P4811" s="2">
        <v>782.81</v>
      </c>
      <c r="Q4811" s="2">
        <v>93.94</v>
      </c>
      <c r="R4811" t="s">
        <v>79</v>
      </c>
      <c r="S4811">
        <v>1</v>
      </c>
      <c r="T4811">
        <v>0</v>
      </c>
      <c r="U4811">
        <f>IF(AND(OR(Dashboard!$D$4="Semua",D4811=Dashboard!$D$4),OR(Dashboard!$H$4="Semua",E4811=Dashboard!$H$4)),1,0)</f>
        <v>1</v>
      </c>
      <c r="V4811">
        <f>IF(U4811=1,IF(COUNTIFS($C$2:C4811,C4811,$U$2:U4811,1)=1,1,0),0)</f>
        <v>0</v>
      </c>
    </row>
    <row r="4812" spans="1:22" x14ac:dyDescent="0.35">
      <c r="A4812">
        <v>14811</v>
      </c>
      <c r="B4812" s="1">
        <v>49372</v>
      </c>
      <c r="C4812">
        <v>1116</v>
      </c>
      <c r="D4812" t="s">
        <v>73</v>
      </c>
      <c r="E4812" t="s">
        <v>78</v>
      </c>
      <c r="F4812">
        <v>7</v>
      </c>
      <c r="G4812" s="2">
        <v>99.39</v>
      </c>
      <c r="H4812">
        <v>0.03</v>
      </c>
      <c r="I4812" t="s">
        <v>68</v>
      </c>
      <c r="J4812">
        <v>2</v>
      </c>
      <c r="K4812">
        <v>1.7</v>
      </c>
      <c r="L4812" s="2">
        <v>674.86</v>
      </c>
      <c r="M4812">
        <v>2035</v>
      </c>
      <c r="N4812">
        <v>3</v>
      </c>
      <c r="O4812" t="s">
        <v>238</v>
      </c>
      <c r="P4812" s="2">
        <v>695.73</v>
      </c>
      <c r="Q4812" s="2">
        <v>20.87</v>
      </c>
      <c r="R4812" t="s">
        <v>75</v>
      </c>
      <c r="S4812">
        <v>1</v>
      </c>
      <c r="T4812">
        <v>0</v>
      </c>
      <c r="U4812">
        <f>IF(AND(OR(Dashboard!$D$4="Semua",D4812=Dashboard!$D$4),OR(Dashboard!$H$4="Semua",E4812=Dashboard!$H$4)),1,0)</f>
        <v>1</v>
      </c>
      <c r="V4812">
        <f>IF(U4812=1,IF(COUNTIFS($C$2:C4812,C4812,$U$2:U4812,1)=1,1,0),0)</f>
        <v>0</v>
      </c>
    </row>
    <row r="4813" spans="1:22" x14ac:dyDescent="0.35">
      <c r="A4813">
        <v>14812</v>
      </c>
      <c r="B4813" s="1">
        <v>49373</v>
      </c>
      <c r="C4813">
        <v>1865</v>
      </c>
      <c r="D4813" t="s">
        <v>67</v>
      </c>
      <c r="E4813" t="s">
        <v>70</v>
      </c>
      <c r="F4813">
        <v>4</v>
      </c>
      <c r="G4813" s="2">
        <v>331.74</v>
      </c>
      <c r="H4813">
        <v>0.1</v>
      </c>
      <c r="I4813" t="s">
        <v>68</v>
      </c>
      <c r="J4813">
        <v>2</v>
      </c>
      <c r="K4813">
        <v>1.7</v>
      </c>
      <c r="L4813" s="2">
        <v>1194.26</v>
      </c>
      <c r="M4813">
        <v>2035</v>
      </c>
      <c r="N4813">
        <v>3</v>
      </c>
      <c r="O4813" t="s">
        <v>238</v>
      </c>
      <c r="P4813" s="2">
        <v>1326.96</v>
      </c>
      <c r="Q4813" s="2">
        <v>132.69999999999999</v>
      </c>
      <c r="R4813" t="s">
        <v>69</v>
      </c>
      <c r="S4813">
        <v>1</v>
      </c>
      <c r="T4813">
        <v>0</v>
      </c>
      <c r="U4813">
        <f>IF(AND(OR(Dashboard!$D$4="Semua",D4813=Dashboard!$D$4),OR(Dashboard!$H$4="Semua",E4813=Dashboard!$H$4)),1,0)</f>
        <v>1</v>
      </c>
      <c r="V4813">
        <f>IF(U4813=1,IF(COUNTIFS($C$2:C4813,C4813,$U$2:U4813,1)=1,1,0),0)</f>
        <v>0</v>
      </c>
    </row>
    <row r="4814" spans="1:22" x14ac:dyDescent="0.35">
      <c r="A4814">
        <v>14813</v>
      </c>
      <c r="B4814" s="1">
        <v>49374</v>
      </c>
      <c r="C4814">
        <v>1266</v>
      </c>
      <c r="D4814" t="s">
        <v>73</v>
      </c>
      <c r="E4814" t="s">
        <v>74</v>
      </c>
      <c r="F4814">
        <v>1</v>
      </c>
      <c r="G4814" s="2">
        <v>374.44</v>
      </c>
      <c r="H4814">
        <v>0.05</v>
      </c>
      <c r="I4814" t="s">
        <v>68</v>
      </c>
      <c r="J4814">
        <v>11</v>
      </c>
      <c r="K4814">
        <v>1.4</v>
      </c>
      <c r="L4814" s="2">
        <v>355.72</v>
      </c>
      <c r="M4814">
        <v>2035</v>
      </c>
      <c r="N4814">
        <v>3</v>
      </c>
      <c r="O4814" t="s">
        <v>238</v>
      </c>
      <c r="P4814" s="2">
        <v>374.44</v>
      </c>
      <c r="Q4814" s="2">
        <v>18.72</v>
      </c>
      <c r="R4814" t="s">
        <v>75</v>
      </c>
      <c r="S4814">
        <v>1</v>
      </c>
      <c r="T4814">
        <v>0</v>
      </c>
      <c r="U4814">
        <f>IF(AND(OR(Dashboard!$D$4="Semua",D4814=Dashboard!$D$4),OR(Dashboard!$H$4="Semua",E4814=Dashboard!$H$4)),1,0)</f>
        <v>1</v>
      </c>
      <c r="V4814">
        <f>IF(U4814=1,IF(COUNTIFS($C$2:C4814,C4814,$U$2:U4814,1)=1,1,0),0)</f>
        <v>0</v>
      </c>
    </row>
    <row r="4815" spans="1:22" x14ac:dyDescent="0.35">
      <c r="A4815">
        <v>14814</v>
      </c>
      <c r="B4815" s="1">
        <v>49375</v>
      </c>
      <c r="C4815">
        <v>1821</v>
      </c>
      <c r="D4815" t="s">
        <v>62</v>
      </c>
      <c r="E4815" t="s">
        <v>63</v>
      </c>
      <c r="F4815">
        <v>5</v>
      </c>
      <c r="G4815" s="2">
        <v>295.89999999999998</v>
      </c>
      <c r="H4815">
        <v>0.16</v>
      </c>
      <c r="I4815" t="s">
        <v>68</v>
      </c>
      <c r="J4815">
        <v>9</v>
      </c>
      <c r="K4815">
        <v>3.4</v>
      </c>
      <c r="L4815" s="2">
        <v>1242.78</v>
      </c>
      <c r="M4815">
        <v>2035</v>
      </c>
      <c r="N4815">
        <v>3</v>
      </c>
      <c r="O4815" t="s">
        <v>238</v>
      </c>
      <c r="P4815" s="2">
        <v>1479.5</v>
      </c>
      <c r="Q4815" s="2">
        <v>236.72</v>
      </c>
      <c r="R4815" t="s">
        <v>76</v>
      </c>
      <c r="S4815">
        <v>1</v>
      </c>
      <c r="T4815">
        <v>0</v>
      </c>
      <c r="U4815">
        <f>IF(AND(OR(Dashboard!$D$4="Semua",D4815=Dashboard!$D$4),OR(Dashboard!$H$4="Semua",E4815=Dashboard!$H$4)),1,0)</f>
        <v>1</v>
      </c>
      <c r="V4815">
        <f>IF(U4815=1,IF(COUNTIFS($C$2:C4815,C4815,$U$2:U4815,1)=1,1,0),0)</f>
        <v>0</v>
      </c>
    </row>
    <row r="4816" spans="1:22" x14ac:dyDescent="0.35">
      <c r="A4816">
        <v>14815</v>
      </c>
      <c r="B4816" s="1">
        <v>49376</v>
      </c>
      <c r="C4816">
        <v>1684</v>
      </c>
      <c r="D4816" t="s">
        <v>67</v>
      </c>
      <c r="E4816" t="s">
        <v>70</v>
      </c>
      <c r="F4816">
        <v>5</v>
      </c>
      <c r="G4816" s="2">
        <v>365.4</v>
      </c>
      <c r="H4816">
        <v>0.05</v>
      </c>
      <c r="I4816" t="s">
        <v>68</v>
      </c>
      <c r="J4816">
        <v>1</v>
      </c>
      <c r="K4816">
        <v>4</v>
      </c>
      <c r="L4816" s="2">
        <v>1735.65</v>
      </c>
      <c r="M4816">
        <v>2035</v>
      </c>
      <c r="N4816">
        <v>3</v>
      </c>
      <c r="O4816" t="s">
        <v>238</v>
      </c>
      <c r="P4816" s="2">
        <v>1827</v>
      </c>
      <c r="Q4816" s="2">
        <v>91.35</v>
      </c>
      <c r="R4816" t="s">
        <v>75</v>
      </c>
      <c r="S4816">
        <v>1</v>
      </c>
      <c r="T4816">
        <v>0</v>
      </c>
      <c r="U4816">
        <f>IF(AND(OR(Dashboard!$D$4="Semua",D4816=Dashboard!$D$4),OR(Dashboard!$H$4="Semua",E4816=Dashboard!$H$4)),1,0)</f>
        <v>1</v>
      </c>
      <c r="V4816">
        <f>IF(U4816=1,IF(COUNTIFS($C$2:C4816,C4816,$U$2:U4816,1)=1,1,0),0)</f>
        <v>0</v>
      </c>
    </row>
    <row r="4817" spans="1:22" x14ac:dyDescent="0.35">
      <c r="A4817">
        <v>14816</v>
      </c>
      <c r="B4817" s="1">
        <v>49377</v>
      </c>
      <c r="C4817">
        <v>1558</v>
      </c>
      <c r="D4817" t="s">
        <v>80</v>
      </c>
      <c r="E4817" t="s">
        <v>63</v>
      </c>
      <c r="F4817">
        <v>3</v>
      </c>
      <c r="G4817" s="2">
        <v>120.52</v>
      </c>
      <c r="H4817">
        <v>0.16</v>
      </c>
      <c r="I4817" t="s">
        <v>64</v>
      </c>
      <c r="J4817">
        <v>10</v>
      </c>
      <c r="K4817">
        <v>1.2</v>
      </c>
      <c r="L4817" s="2">
        <v>303.70999999999998</v>
      </c>
      <c r="M4817">
        <v>2035</v>
      </c>
      <c r="N4817">
        <v>3</v>
      </c>
      <c r="O4817" t="s">
        <v>238</v>
      </c>
      <c r="P4817" s="2">
        <v>361.56</v>
      </c>
      <c r="Q4817" s="2">
        <v>57.85</v>
      </c>
      <c r="R4817" t="s">
        <v>76</v>
      </c>
      <c r="S4817">
        <v>1</v>
      </c>
      <c r="T4817">
        <v>0</v>
      </c>
      <c r="U4817">
        <f>IF(AND(OR(Dashboard!$D$4="Semua",D4817=Dashboard!$D$4),OR(Dashboard!$H$4="Semua",E4817=Dashboard!$H$4)),1,0)</f>
        <v>1</v>
      </c>
      <c r="V4817">
        <f>IF(U4817=1,IF(COUNTIFS($C$2:C4817,C4817,$U$2:U4817,1)=1,1,0),0)</f>
        <v>0</v>
      </c>
    </row>
    <row r="4818" spans="1:22" x14ac:dyDescent="0.35">
      <c r="A4818">
        <v>14817</v>
      </c>
      <c r="B4818" s="1">
        <v>49378</v>
      </c>
      <c r="C4818">
        <v>1139</v>
      </c>
      <c r="D4818" t="s">
        <v>73</v>
      </c>
      <c r="E4818" t="s">
        <v>78</v>
      </c>
      <c r="F4818">
        <v>4</v>
      </c>
      <c r="G4818" s="2">
        <v>295.57</v>
      </c>
      <c r="H4818">
        <v>0.08</v>
      </c>
      <c r="I4818" t="s">
        <v>68</v>
      </c>
      <c r="J4818">
        <v>3</v>
      </c>
      <c r="K4818">
        <v>2.1</v>
      </c>
      <c r="L4818" s="2">
        <v>1087.7</v>
      </c>
      <c r="M4818">
        <v>2035</v>
      </c>
      <c r="N4818">
        <v>3</v>
      </c>
      <c r="O4818" t="s">
        <v>238</v>
      </c>
      <c r="P4818" s="2">
        <v>1182.28</v>
      </c>
      <c r="Q4818" s="2">
        <v>94.58</v>
      </c>
      <c r="R4818" t="s">
        <v>69</v>
      </c>
      <c r="S4818">
        <v>1</v>
      </c>
      <c r="T4818">
        <v>0</v>
      </c>
      <c r="U4818">
        <f>IF(AND(OR(Dashboard!$D$4="Semua",D4818=Dashboard!$D$4),OR(Dashboard!$H$4="Semua",E4818=Dashboard!$H$4)),1,0)</f>
        <v>1</v>
      </c>
      <c r="V4818">
        <f>IF(U4818=1,IF(COUNTIFS($C$2:C4818,C4818,$U$2:U4818,1)=1,1,0),0)</f>
        <v>0</v>
      </c>
    </row>
    <row r="4819" spans="1:22" x14ac:dyDescent="0.35">
      <c r="A4819">
        <v>14818</v>
      </c>
      <c r="B4819" s="1">
        <v>49379</v>
      </c>
      <c r="C4819">
        <v>1245</v>
      </c>
      <c r="D4819" t="s">
        <v>73</v>
      </c>
      <c r="E4819" t="s">
        <v>63</v>
      </c>
      <c r="F4819">
        <v>7</v>
      </c>
      <c r="G4819" s="2">
        <v>399.98</v>
      </c>
      <c r="H4819">
        <v>0.26</v>
      </c>
      <c r="I4819" t="s">
        <v>71</v>
      </c>
      <c r="J4819">
        <v>10</v>
      </c>
      <c r="K4819">
        <v>3.6</v>
      </c>
      <c r="L4819" s="2">
        <v>2071.9</v>
      </c>
      <c r="M4819">
        <v>2035</v>
      </c>
      <c r="N4819">
        <v>3</v>
      </c>
      <c r="O4819" t="s">
        <v>238</v>
      </c>
      <c r="P4819" s="2">
        <v>2799.86</v>
      </c>
      <c r="Q4819" s="2">
        <v>727.96</v>
      </c>
      <c r="R4819" t="s">
        <v>66</v>
      </c>
      <c r="S4819">
        <v>1</v>
      </c>
      <c r="T4819">
        <v>0</v>
      </c>
      <c r="U4819">
        <f>IF(AND(OR(Dashboard!$D$4="Semua",D4819=Dashboard!$D$4),OR(Dashboard!$H$4="Semua",E4819=Dashboard!$H$4)),1,0)</f>
        <v>1</v>
      </c>
      <c r="V4819">
        <f>IF(U4819=1,IF(COUNTIFS($C$2:C4819,C4819,$U$2:U4819,1)=1,1,0),0)</f>
        <v>0</v>
      </c>
    </row>
    <row r="4820" spans="1:22" x14ac:dyDescent="0.35">
      <c r="A4820">
        <v>14819</v>
      </c>
      <c r="B4820" s="1">
        <v>49380</v>
      </c>
      <c r="C4820">
        <v>1660</v>
      </c>
      <c r="D4820" t="s">
        <v>62</v>
      </c>
      <c r="E4820" t="s">
        <v>70</v>
      </c>
      <c r="F4820">
        <v>5</v>
      </c>
      <c r="G4820" s="2">
        <v>268.13</v>
      </c>
      <c r="H4820">
        <v>0.01</v>
      </c>
      <c r="I4820" t="s">
        <v>71</v>
      </c>
      <c r="J4820">
        <v>11</v>
      </c>
      <c r="K4820">
        <v>2.6</v>
      </c>
      <c r="L4820" s="2">
        <v>1327.24</v>
      </c>
      <c r="M4820">
        <v>2035</v>
      </c>
      <c r="N4820">
        <v>3</v>
      </c>
      <c r="O4820" t="s">
        <v>238</v>
      </c>
      <c r="P4820" s="2">
        <v>1340.65</v>
      </c>
      <c r="Q4820" s="2">
        <v>13.41</v>
      </c>
      <c r="R4820" t="s">
        <v>75</v>
      </c>
      <c r="S4820">
        <v>1</v>
      </c>
      <c r="T4820">
        <v>0</v>
      </c>
      <c r="U4820">
        <f>IF(AND(OR(Dashboard!$D$4="Semua",D4820=Dashboard!$D$4),OR(Dashboard!$H$4="Semua",E4820=Dashboard!$H$4)),1,0)</f>
        <v>1</v>
      </c>
      <c r="V4820">
        <f>IF(U4820=1,IF(COUNTIFS($C$2:C4820,C4820,$U$2:U4820,1)=1,1,0),0)</f>
        <v>0</v>
      </c>
    </row>
    <row r="4821" spans="1:22" x14ac:dyDescent="0.35">
      <c r="A4821">
        <v>14820</v>
      </c>
      <c r="B4821" s="1">
        <v>49381</v>
      </c>
      <c r="C4821">
        <v>1757</v>
      </c>
      <c r="D4821" t="s">
        <v>73</v>
      </c>
      <c r="E4821" t="s">
        <v>70</v>
      </c>
      <c r="F4821">
        <v>6</v>
      </c>
      <c r="G4821" s="2">
        <v>412.48</v>
      </c>
      <c r="H4821">
        <v>0.19</v>
      </c>
      <c r="I4821" t="s">
        <v>68</v>
      </c>
      <c r="J4821">
        <v>7</v>
      </c>
      <c r="K4821">
        <v>3.8</v>
      </c>
      <c r="L4821" s="2">
        <v>2004.65</v>
      </c>
      <c r="M4821">
        <v>2035</v>
      </c>
      <c r="N4821">
        <v>3</v>
      </c>
      <c r="O4821" t="s">
        <v>238</v>
      </c>
      <c r="P4821" s="2">
        <v>2474.88</v>
      </c>
      <c r="Q4821" s="2">
        <v>470.23</v>
      </c>
      <c r="R4821" t="s">
        <v>76</v>
      </c>
      <c r="S4821">
        <v>1</v>
      </c>
      <c r="T4821">
        <v>0</v>
      </c>
      <c r="U4821">
        <f>IF(AND(OR(Dashboard!$D$4="Semua",D4821=Dashboard!$D$4),OR(Dashboard!$H$4="Semua",E4821=Dashboard!$H$4)),1,0)</f>
        <v>1</v>
      </c>
      <c r="V4821">
        <f>IF(U4821=1,IF(COUNTIFS($C$2:C4821,C4821,$U$2:U4821,1)=1,1,0),0)</f>
        <v>0</v>
      </c>
    </row>
    <row r="4822" spans="1:22" x14ac:dyDescent="0.35">
      <c r="A4822">
        <v>14821</v>
      </c>
      <c r="B4822" s="1">
        <v>49382</v>
      </c>
      <c r="C4822">
        <v>1394</v>
      </c>
      <c r="D4822" t="s">
        <v>67</v>
      </c>
      <c r="E4822" t="s">
        <v>70</v>
      </c>
      <c r="F4822">
        <v>7</v>
      </c>
      <c r="G4822" s="2">
        <v>278.95</v>
      </c>
      <c r="H4822">
        <v>0.06</v>
      </c>
      <c r="I4822" t="s">
        <v>71</v>
      </c>
      <c r="J4822">
        <v>1</v>
      </c>
      <c r="K4822">
        <v>4</v>
      </c>
      <c r="L4822" s="2">
        <v>1835.49</v>
      </c>
      <c r="M4822">
        <v>2035</v>
      </c>
      <c r="N4822">
        <v>3</v>
      </c>
      <c r="O4822" t="s">
        <v>238</v>
      </c>
      <c r="P4822" s="2">
        <v>1952.65</v>
      </c>
      <c r="Q4822" s="2">
        <v>117.16</v>
      </c>
      <c r="R4822" t="s">
        <v>69</v>
      </c>
      <c r="S4822">
        <v>1</v>
      </c>
      <c r="T4822">
        <v>0</v>
      </c>
      <c r="U4822">
        <f>IF(AND(OR(Dashboard!$D$4="Semua",D4822=Dashboard!$D$4),OR(Dashboard!$H$4="Semua",E4822=Dashboard!$H$4)),1,0)</f>
        <v>1</v>
      </c>
      <c r="V4822">
        <f>IF(U4822=1,IF(COUNTIFS($C$2:C4822,C4822,$U$2:U4822,1)=1,1,0),0)</f>
        <v>0</v>
      </c>
    </row>
    <row r="4823" spans="1:22" x14ac:dyDescent="0.35">
      <c r="A4823">
        <v>14822</v>
      </c>
      <c r="B4823" s="1">
        <v>49383</v>
      </c>
      <c r="C4823">
        <v>1486</v>
      </c>
      <c r="D4823" t="s">
        <v>67</v>
      </c>
      <c r="E4823" t="s">
        <v>70</v>
      </c>
      <c r="F4823">
        <v>4</v>
      </c>
      <c r="G4823" s="2">
        <v>210.16</v>
      </c>
      <c r="H4823">
        <v>0</v>
      </c>
      <c r="I4823" t="s">
        <v>68</v>
      </c>
      <c r="J4823">
        <v>2</v>
      </c>
      <c r="K4823">
        <v>1.1000000000000001</v>
      </c>
      <c r="L4823" s="2">
        <v>840.64</v>
      </c>
      <c r="M4823">
        <v>2035</v>
      </c>
      <c r="N4823">
        <v>3</v>
      </c>
      <c r="O4823" t="s">
        <v>238</v>
      </c>
      <c r="P4823" s="2">
        <v>840.64</v>
      </c>
      <c r="Q4823" s="2">
        <v>0</v>
      </c>
      <c r="R4823" t="s">
        <v>75</v>
      </c>
      <c r="S4823">
        <v>1</v>
      </c>
      <c r="T4823">
        <v>0</v>
      </c>
      <c r="U4823">
        <f>IF(AND(OR(Dashboard!$D$4="Semua",D4823=Dashboard!$D$4),OR(Dashboard!$H$4="Semua",E4823=Dashboard!$H$4)),1,0)</f>
        <v>1</v>
      </c>
      <c r="V4823">
        <f>IF(U4823=1,IF(COUNTIFS($C$2:C4823,C4823,$U$2:U4823,1)=1,1,0),0)</f>
        <v>1</v>
      </c>
    </row>
    <row r="4824" spans="1:22" x14ac:dyDescent="0.35">
      <c r="A4824">
        <v>14823</v>
      </c>
      <c r="B4824" s="1">
        <v>49384</v>
      </c>
      <c r="C4824">
        <v>1475</v>
      </c>
      <c r="D4824" t="s">
        <v>73</v>
      </c>
      <c r="E4824" t="s">
        <v>74</v>
      </c>
      <c r="F4824">
        <v>1</v>
      </c>
      <c r="G4824" s="2">
        <v>192.61</v>
      </c>
      <c r="H4824">
        <v>0.3</v>
      </c>
      <c r="I4824" t="s">
        <v>68</v>
      </c>
      <c r="J4824">
        <v>6</v>
      </c>
      <c r="K4824">
        <v>2.5</v>
      </c>
      <c r="L4824" s="2">
        <v>134.83000000000001</v>
      </c>
      <c r="M4824">
        <v>2035</v>
      </c>
      <c r="N4824">
        <v>3</v>
      </c>
      <c r="O4824" t="s">
        <v>238</v>
      </c>
      <c r="P4824" s="2">
        <v>192.61</v>
      </c>
      <c r="Q4824" s="2">
        <v>57.78</v>
      </c>
      <c r="R4824" t="s">
        <v>66</v>
      </c>
      <c r="S4824">
        <v>1</v>
      </c>
      <c r="T4824">
        <v>0</v>
      </c>
      <c r="U4824">
        <f>IF(AND(OR(Dashboard!$D$4="Semua",D4824=Dashboard!$D$4),OR(Dashboard!$H$4="Semua",E4824=Dashboard!$H$4)),1,0)</f>
        <v>1</v>
      </c>
      <c r="V4824">
        <f>IF(U4824=1,IF(COUNTIFS($C$2:C4824,C4824,$U$2:U4824,1)=1,1,0),0)</f>
        <v>0</v>
      </c>
    </row>
    <row r="4825" spans="1:22" x14ac:dyDescent="0.35">
      <c r="A4825">
        <v>14824</v>
      </c>
      <c r="B4825" s="1">
        <v>49385</v>
      </c>
      <c r="C4825">
        <v>1516</v>
      </c>
      <c r="D4825" t="s">
        <v>80</v>
      </c>
      <c r="E4825" t="s">
        <v>74</v>
      </c>
      <c r="F4825">
        <v>6</v>
      </c>
      <c r="G4825" s="2">
        <v>255.38</v>
      </c>
      <c r="H4825">
        <v>0.24</v>
      </c>
      <c r="I4825" t="s">
        <v>64</v>
      </c>
      <c r="J4825">
        <v>9</v>
      </c>
      <c r="K4825">
        <v>3.9</v>
      </c>
      <c r="L4825" s="2">
        <v>1164.53</v>
      </c>
      <c r="M4825">
        <v>2035</v>
      </c>
      <c r="N4825">
        <v>3</v>
      </c>
      <c r="O4825" t="s">
        <v>238</v>
      </c>
      <c r="P4825" s="2">
        <v>1532.28</v>
      </c>
      <c r="Q4825" s="2">
        <v>367.75</v>
      </c>
      <c r="R4825" t="s">
        <v>77</v>
      </c>
      <c r="S4825">
        <v>1</v>
      </c>
      <c r="T4825">
        <v>0</v>
      </c>
      <c r="U4825">
        <f>IF(AND(OR(Dashboard!$D$4="Semua",D4825=Dashboard!$D$4),OR(Dashboard!$H$4="Semua",E4825=Dashboard!$H$4)),1,0)</f>
        <v>1</v>
      </c>
      <c r="V4825">
        <f>IF(U4825=1,IF(COUNTIFS($C$2:C4825,C4825,$U$2:U4825,1)=1,1,0),0)</f>
        <v>0</v>
      </c>
    </row>
    <row r="4826" spans="1:22" x14ac:dyDescent="0.35">
      <c r="A4826">
        <v>14825</v>
      </c>
      <c r="B4826" s="1">
        <v>49386</v>
      </c>
      <c r="C4826">
        <v>1976</v>
      </c>
      <c r="D4826" t="s">
        <v>67</v>
      </c>
      <c r="E4826" t="s">
        <v>74</v>
      </c>
      <c r="F4826">
        <v>3</v>
      </c>
      <c r="G4826" s="2">
        <v>28.51</v>
      </c>
      <c r="H4826">
        <v>0.03</v>
      </c>
      <c r="I4826" t="s">
        <v>71</v>
      </c>
      <c r="J4826">
        <v>9</v>
      </c>
      <c r="K4826">
        <v>2.5</v>
      </c>
      <c r="L4826" s="2">
        <v>82.96</v>
      </c>
      <c r="M4826">
        <v>2035</v>
      </c>
      <c r="N4826">
        <v>3</v>
      </c>
      <c r="O4826" t="s">
        <v>238</v>
      </c>
      <c r="P4826" s="2">
        <v>85.53</v>
      </c>
      <c r="Q4826" s="2">
        <v>2.57</v>
      </c>
      <c r="R4826" t="s">
        <v>75</v>
      </c>
      <c r="S4826">
        <v>1</v>
      </c>
      <c r="T4826">
        <v>0</v>
      </c>
      <c r="U4826">
        <f>IF(AND(OR(Dashboard!$D$4="Semua",D4826=Dashboard!$D$4),OR(Dashboard!$H$4="Semua",E4826=Dashboard!$H$4)),1,0)</f>
        <v>1</v>
      </c>
      <c r="V4826">
        <f>IF(U4826=1,IF(COUNTIFS($C$2:C4826,C4826,$U$2:U4826,1)=1,1,0),0)</f>
        <v>0</v>
      </c>
    </row>
    <row r="4827" spans="1:22" x14ac:dyDescent="0.35">
      <c r="A4827">
        <v>14826</v>
      </c>
      <c r="B4827" s="1">
        <v>49387</v>
      </c>
      <c r="C4827">
        <v>1183</v>
      </c>
      <c r="D4827" t="s">
        <v>73</v>
      </c>
      <c r="E4827" t="s">
        <v>70</v>
      </c>
      <c r="F4827">
        <v>2</v>
      </c>
      <c r="G4827" s="2">
        <v>406.09</v>
      </c>
      <c r="H4827">
        <v>0.23</v>
      </c>
      <c r="I4827" t="s">
        <v>64</v>
      </c>
      <c r="J4827">
        <v>8</v>
      </c>
      <c r="K4827">
        <v>1</v>
      </c>
      <c r="L4827" s="2">
        <v>625.38</v>
      </c>
      <c r="M4827">
        <v>2035</v>
      </c>
      <c r="N4827">
        <v>3</v>
      </c>
      <c r="O4827" t="s">
        <v>238</v>
      </c>
      <c r="P4827" s="2">
        <v>812.18</v>
      </c>
      <c r="Q4827" s="2">
        <v>186.8</v>
      </c>
      <c r="R4827" t="s">
        <v>77</v>
      </c>
      <c r="S4827">
        <v>1</v>
      </c>
      <c r="T4827">
        <v>0</v>
      </c>
      <c r="U4827">
        <f>IF(AND(OR(Dashboard!$D$4="Semua",D4827=Dashboard!$D$4),OR(Dashboard!$H$4="Semua",E4827=Dashboard!$H$4)),1,0)</f>
        <v>1</v>
      </c>
      <c r="V4827">
        <f>IF(U4827=1,IF(COUNTIFS($C$2:C4827,C4827,$U$2:U4827,1)=1,1,0),0)</f>
        <v>0</v>
      </c>
    </row>
    <row r="4828" spans="1:22" x14ac:dyDescent="0.35">
      <c r="A4828">
        <v>14827</v>
      </c>
      <c r="B4828" s="1">
        <v>49388</v>
      </c>
      <c r="C4828">
        <v>1019</v>
      </c>
      <c r="D4828" t="s">
        <v>73</v>
      </c>
      <c r="E4828" t="s">
        <v>74</v>
      </c>
      <c r="F4828">
        <v>6</v>
      </c>
      <c r="G4828" s="2">
        <v>509.39</v>
      </c>
      <c r="H4828">
        <v>0.21</v>
      </c>
      <c r="I4828" t="s">
        <v>64</v>
      </c>
      <c r="J4828">
        <v>3</v>
      </c>
      <c r="K4828">
        <v>2.2999999999999998</v>
      </c>
      <c r="L4828" s="2">
        <v>2414.5100000000002</v>
      </c>
      <c r="M4828">
        <v>2035</v>
      </c>
      <c r="N4828">
        <v>3</v>
      </c>
      <c r="O4828" t="s">
        <v>238</v>
      </c>
      <c r="P4828" s="2">
        <v>3056.34</v>
      </c>
      <c r="Q4828" s="2">
        <v>641.83000000000004</v>
      </c>
      <c r="R4828" t="s">
        <v>77</v>
      </c>
      <c r="S4828">
        <v>1</v>
      </c>
      <c r="T4828">
        <v>0</v>
      </c>
      <c r="U4828">
        <f>IF(AND(OR(Dashboard!$D$4="Semua",D4828=Dashboard!$D$4),OR(Dashboard!$H$4="Semua",E4828=Dashboard!$H$4)),1,0)</f>
        <v>1</v>
      </c>
      <c r="V4828">
        <f>IF(U4828=1,IF(COUNTIFS($C$2:C4828,C4828,$U$2:U4828,1)=1,1,0),0)</f>
        <v>0</v>
      </c>
    </row>
    <row r="4829" spans="1:22" x14ac:dyDescent="0.35">
      <c r="A4829">
        <v>14828</v>
      </c>
      <c r="B4829" s="1">
        <v>49389</v>
      </c>
      <c r="C4829">
        <v>1936</v>
      </c>
      <c r="D4829" t="s">
        <v>73</v>
      </c>
      <c r="E4829" t="s">
        <v>63</v>
      </c>
      <c r="F4829">
        <v>7</v>
      </c>
      <c r="G4829" s="2">
        <v>222.46</v>
      </c>
      <c r="H4829">
        <v>0.17</v>
      </c>
      <c r="I4829" t="s">
        <v>68</v>
      </c>
      <c r="J4829">
        <v>2</v>
      </c>
      <c r="K4829">
        <v>4.5</v>
      </c>
      <c r="L4829" s="2">
        <v>1292.49</v>
      </c>
      <c r="M4829">
        <v>2035</v>
      </c>
      <c r="N4829">
        <v>3</v>
      </c>
      <c r="O4829" t="s">
        <v>238</v>
      </c>
      <c r="P4829" s="2">
        <v>1557.22</v>
      </c>
      <c r="Q4829" s="2">
        <v>264.73</v>
      </c>
      <c r="R4829" t="s">
        <v>76</v>
      </c>
      <c r="S4829">
        <v>1</v>
      </c>
      <c r="T4829">
        <v>0</v>
      </c>
      <c r="U4829">
        <f>IF(AND(OR(Dashboard!$D$4="Semua",D4829=Dashboard!$D$4),OR(Dashboard!$H$4="Semua",E4829=Dashboard!$H$4)),1,0)</f>
        <v>1</v>
      </c>
      <c r="V4829">
        <f>IF(U4829=1,IF(COUNTIFS($C$2:C4829,C4829,$U$2:U4829,1)=1,1,0),0)</f>
        <v>0</v>
      </c>
    </row>
    <row r="4830" spans="1:22" x14ac:dyDescent="0.35">
      <c r="A4830">
        <v>14829</v>
      </c>
      <c r="B4830" s="1">
        <v>49390</v>
      </c>
      <c r="C4830">
        <v>1557</v>
      </c>
      <c r="D4830" t="s">
        <v>62</v>
      </c>
      <c r="E4830" t="s">
        <v>70</v>
      </c>
      <c r="F4830">
        <v>1</v>
      </c>
      <c r="G4830" s="2">
        <v>41.93</v>
      </c>
      <c r="H4830">
        <v>0.15</v>
      </c>
      <c r="I4830" t="s">
        <v>68</v>
      </c>
      <c r="J4830">
        <v>1</v>
      </c>
      <c r="K4830">
        <v>4.8</v>
      </c>
      <c r="L4830" s="2">
        <v>35.64</v>
      </c>
      <c r="M4830">
        <v>2035</v>
      </c>
      <c r="N4830">
        <v>3</v>
      </c>
      <c r="O4830" t="s">
        <v>238</v>
      </c>
      <c r="P4830" s="2">
        <v>41.93</v>
      </c>
      <c r="Q4830" s="2">
        <v>6.29</v>
      </c>
      <c r="R4830" t="s">
        <v>79</v>
      </c>
      <c r="S4830">
        <v>1</v>
      </c>
      <c r="T4830">
        <v>0</v>
      </c>
      <c r="U4830">
        <f>IF(AND(OR(Dashboard!$D$4="Semua",D4830=Dashboard!$D$4),OR(Dashboard!$H$4="Semua",E4830=Dashboard!$H$4)),1,0)</f>
        <v>1</v>
      </c>
      <c r="V4830">
        <f>IF(U4830=1,IF(COUNTIFS($C$2:C4830,C4830,$U$2:U4830,1)=1,1,0),0)</f>
        <v>0</v>
      </c>
    </row>
    <row r="4831" spans="1:22" x14ac:dyDescent="0.35">
      <c r="A4831">
        <v>14830</v>
      </c>
      <c r="B4831" s="1">
        <v>49391</v>
      </c>
      <c r="C4831">
        <v>1523</v>
      </c>
      <c r="D4831" t="s">
        <v>80</v>
      </c>
      <c r="E4831" t="s">
        <v>78</v>
      </c>
      <c r="F4831">
        <v>6</v>
      </c>
      <c r="G4831" s="2">
        <v>592.26</v>
      </c>
      <c r="H4831">
        <v>0.31</v>
      </c>
      <c r="I4831" t="s">
        <v>68</v>
      </c>
      <c r="J4831">
        <v>11</v>
      </c>
      <c r="K4831">
        <v>3.2</v>
      </c>
      <c r="L4831" s="2">
        <v>2451.96</v>
      </c>
      <c r="M4831">
        <v>2035</v>
      </c>
      <c r="N4831">
        <v>3</v>
      </c>
      <c r="O4831" t="s">
        <v>238</v>
      </c>
      <c r="P4831" s="2">
        <v>3553.56</v>
      </c>
      <c r="Q4831" s="2">
        <v>1101.5999999999999</v>
      </c>
      <c r="R4831" t="s">
        <v>72</v>
      </c>
      <c r="S4831">
        <v>1</v>
      </c>
      <c r="T4831">
        <v>0</v>
      </c>
      <c r="U4831">
        <f>IF(AND(OR(Dashboard!$D$4="Semua",D4831=Dashboard!$D$4),OR(Dashboard!$H$4="Semua",E4831=Dashboard!$H$4)),1,0)</f>
        <v>1</v>
      </c>
      <c r="V4831">
        <f>IF(U4831=1,IF(COUNTIFS($C$2:C4831,C4831,$U$2:U4831,1)=1,1,0),0)</f>
        <v>0</v>
      </c>
    </row>
    <row r="4832" spans="1:22" x14ac:dyDescent="0.35">
      <c r="A4832">
        <v>14831</v>
      </c>
      <c r="B4832" s="1">
        <v>49392</v>
      </c>
      <c r="C4832">
        <v>1581</v>
      </c>
      <c r="D4832" t="s">
        <v>73</v>
      </c>
      <c r="E4832" t="s">
        <v>70</v>
      </c>
      <c r="F4832">
        <v>4</v>
      </c>
      <c r="G4832" s="2">
        <v>169.26</v>
      </c>
      <c r="H4832">
        <v>0.09</v>
      </c>
      <c r="I4832" t="s">
        <v>64</v>
      </c>
      <c r="J4832">
        <v>11</v>
      </c>
      <c r="K4832">
        <v>2.2000000000000002</v>
      </c>
      <c r="L4832" s="2">
        <v>616.11</v>
      </c>
      <c r="M4832">
        <v>2035</v>
      </c>
      <c r="N4832">
        <v>3</v>
      </c>
      <c r="O4832" t="s">
        <v>238</v>
      </c>
      <c r="P4832" s="2">
        <v>677.04</v>
      </c>
      <c r="Q4832" s="2">
        <v>60.93</v>
      </c>
      <c r="R4832" t="s">
        <v>69</v>
      </c>
      <c r="S4832">
        <v>1</v>
      </c>
      <c r="T4832">
        <v>0</v>
      </c>
      <c r="U4832">
        <f>IF(AND(OR(Dashboard!$D$4="Semua",D4832=Dashboard!$D$4),OR(Dashboard!$H$4="Semua",E4832=Dashboard!$H$4)),1,0)</f>
        <v>1</v>
      </c>
      <c r="V4832">
        <f>IF(U4832=1,IF(COUNTIFS($C$2:C4832,C4832,$U$2:U4832,1)=1,1,0),0)</f>
        <v>0</v>
      </c>
    </row>
    <row r="4833" spans="1:22" x14ac:dyDescent="0.35">
      <c r="A4833">
        <v>14832</v>
      </c>
      <c r="B4833" s="1">
        <v>49393</v>
      </c>
      <c r="C4833">
        <v>1528</v>
      </c>
      <c r="D4833" t="s">
        <v>73</v>
      </c>
      <c r="E4833" t="s">
        <v>63</v>
      </c>
      <c r="F4833">
        <v>4</v>
      </c>
      <c r="G4833" s="2">
        <v>89.07</v>
      </c>
      <c r="H4833">
        <v>0.14000000000000001</v>
      </c>
      <c r="I4833" t="s">
        <v>64</v>
      </c>
      <c r="J4833">
        <v>9</v>
      </c>
      <c r="K4833">
        <v>2.9</v>
      </c>
      <c r="L4833" s="2">
        <v>306.39999999999998</v>
      </c>
      <c r="M4833">
        <v>2035</v>
      </c>
      <c r="N4833">
        <v>3</v>
      </c>
      <c r="O4833" t="s">
        <v>238</v>
      </c>
      <c r="P4833" s="2">
        <v>356.28</v>
      </c>
      <c r="Q4833" s="2">
        <v>49.88</v>
      </c>
      <c r="R4833" t="s">
        <v>79</v>
      </c>
      <c r="S4833">
        <v>1</v>
      </c>
      <c r="T4833">
        <v>0</v>
      </c>
      <c r="U4833">
        <f>IF(AND(OR(Dashboard!$D$4="Semua",D4833=Dashboard!$D$4),OR(Dashboard!$H$4="Semua",E4833=Dashboard!$H$4)),1,0)</f>
        <v>1</v>
      </c>
      <c r="V4833">
        <f>IF(U4833=1,IF(COUNTIFS($C$2:C4833,C4833,$U$2:U4833,1)=1,1,0),0)</f>
        <v>0</v>
      </c>
    </row>
    <row r="4834" spans="1:22" x14ac:dyDescent="0.35">
      <c r="A4834">
        <v>14833</v>
      </c>
      <c r="B4834" s="1">
        <v>49394</v>
      </c>
      <c r="C4834">
        <v>1882</v>
      </c>
      <c r="D4834" t="s">
        <v>80</v>
      </c>
      <c r="E4834" t="s">
        <v>74</v>
      </c>
      <c r="F4834">
        <v>1</v>
      </c>
      <c r="G4834" s="2">
        <v>231.31</v>
      </c>
      <c r="H4834">
        <v>0.12</v>
      </c>
      <c r="I4834" t="s">
        <v>71</v>
      </c>
      <c r="J4834">
        <v>5</v>
      </c>
      <c r="K4834">
        <v>1.9</v>
      </c>
      <c r="L4834" s="2">
        <v>203.55</v>
      </c>
      <c r="M4834">
        <v>2035</v>
      </c>
      <c r="N4834">
        <v>3</v>
      </c>
      <c r="O4834" t="s">
        <v>238</v>
      </c>
      <c r="P4834" s="2">
        <v>231.31</v>
      </c>
      <c r="Q4834" s="2">
        <v>27.76</v>
      </c>
      <c r="R4834" t="s">
        <v>79</v>
      </c>
      <c r="S4834">
        <v>1</v>
      </c>
      <c r="T4834">
        <v>0</v>
      </c>
      <c r="U4834">
        <f>IF(AND(OR(Dashboard!$D$4="Semua",D4834=Dashboard!$D$4),OR(Dashboard!$H$4="Semua",E4834=Dashboard!$H$4)),1,0)</f>
        <v>1</v>
      </c>
      <c r="V4834">
        <f>IF(U4834=1,IF(COUNTIFS($C$2:C4834,C4834,$U$2:U4834,1)=1,1,0),0)</f>
        <v>0</v>
      </c>
    </row>
    <row r="4835" spans="1:22" x14ac:dyDescent="0.35">
      <c r="A4835">
        <v>14834</v>
      </c>
      <c r="B4835" s="1">
        <v>49395</v>
      </c>
      <c r="C4835">
        <v>1146</v>
      </c>
      <c r="D4835" t="s">
        <v>67</v>
      </c>
      <c r="E4835" t="s">
        <v>70</v>
      </c>
      <c r="F4835">
        <v>7</v>
      </c>
      <c r="G4835" s="2">
        <v>447.06</v>
      </c>
      <c r="H4835">
        <v>0.27</v>
      </c>
      <c r="I4835" t="s">
        <v>68</v>
      </c>
      <c r="J4835">
        <v>3</v>
      </c>
      <c r="K4835">
        <v>1.7</v>
      </c>
      <c r="L4835" s="2">
        <v>2284.48</v>
      </c>
      <c r="M4835">
        <v>2035</v>
      </c>
      <c r="N4835">
        <v>3</v>
      </c>
      <c r="O4835" t="s">
        <v>238</v>
      </c>
      <c r="P4835" s="2">
        <v>3129.42</v>
      </c>
      <c r="Q4835" s="2">
        <v>844.94</v>
      </c>
      <c r="R4835" t="s">
        <v>66</v>
      </c>
      <c r="S4835">
        <v>1</v>
      </c>
      <c r="T4835">
        <v>0</v>
      </c>
      <c r="U4835">
        <f>IF(AND(OR(Dashboard!$D$4="Semua",D4835=Dashboard!$D$4),OR(Dashboard!$H$4="Semua",E4835=Dashboard!$H$4)),1,0)</f>
        <v>1</v>
      </c>
      <c r="V4835">
        <f>IF(U4835=1,IF(COUNTIFS($C$2:C4835,C4835,$U$2:U4835,1)=1,1,0),0)</f>
        <v>0</v>
      </c>
    </row>
    <row r="4836" spans="1:22" x14ac:dyDescent="0.35">
      <c r="A4836">
        <v>14835</v>
      </c>
      <c r="B4836" s="1">
        <v>49396</v>
      </c>
      <c r="C4836">
        <v>1665</v>
      </c>
      <c r="D4836" t="s">
        <v>67</v>
      </c>
      <c r="E4836" t="s">
        <v>74</v>
      </c>
      <c r="F4836">
        <v>4</v>
      </c>
      <c r="G4836" s="2">
        <v>186.94</v>
      </c>
      <c r="H4836">
        <v>0.32</v>
      </c>
      <c r="I4836" t="s">
        <v>68</v>
      </c>
      <c r="J4836">
        <v>10</v>
      </c>
      <c r="K4836">
        <v>3</v>
      </c>
      <c r="L4836" s="2">
        <v>508.48</v>
      </c>
      <c r="M4836">
        <v>2035</v>
      </c>
      <c r="N4836">
        <v>3</v>
      </c>
      <c r="O4836" t="s">
        <v>238</v>
      </c>
      <c r="P4836" s="2">
        <v>747.76</v>
      </c>
      <c r="Q4836" s="2">
        <v>239.28</v>
      </c>
      <c r="R4836" t="s">
        <v>72</v>
      </c>
      <c r="S4836">
        <v>1</v>
      </c>
      <c r="T4836">
        <v>0</v>
      </c>
      <c r="U4836">
        <f>IF(AND(OR(Dashboard!$D$4="Semua",D4836=Dashboard!$D$4),OR(Dashboard!$H$4="Semua",E4836=Dashboard!$H$4)),1,0)</f>
        <v>1</v>
      </c>
      <c r="V4836">
        <f>IF(U4836=1,IF(COUNTIFS($C$2:C4836,C4836,$U$2:U4836,1)=1,1,0),0)</f>
        <v>0</v>
      </c>
    </row>
    <row r="4837" spans="1:22" x14ac:dyDescent="0.35">
      <c r="A4837">
        <v>14836</v>
      </c>
      <c r="B4837" s="1">
        <v>49397</v>
      </c>
      <c r="C4837">
        <v>1303</v>
      </c>
      <c r="D4837" t="s">
        <v>67</v>
      </c>
      <c r="E4837" t="s">
        <v>70</v>
      </c>
      <c r="F4837">
        <v>6</v>
      </c>
      <c r="G4837" s="2">
        <v>351.2</v>
      </c>
      <c r="H4837">
        <v>0.3</v>
      </c>
      <c r="I4837" t="s">
        <v>64</v>
      </c>
      <c r="J4837">
        <v>10</v>
      </c>
      <c r="K4837">
        <v>3.9</v>
      </c>
      <c r="L4837" s="2">
        <v>1475.04</v>
      </c>
      <c r="M4837">
        <v>2035</v>
      </c>
      <c r="N4837">
        <v>3</v>
      </c>
      <c r="O4837" t="s">
        <v>238</v>
      </c>
      <c r="P4837" s="2">
        <v>2107.1999999999998</v>
      </c>
      <c r="Q4837" s="2">
        <v>632.16</v>
      </c>
      <c r="R4837" t="s">
        <v>66</v>
      </c>
      <c r="S4837">
        <v>1</v>
      </c>
      <c r="T4837">
        <v>0</v>
      </c>
      <c r="U4837">
        <f>IF(AND(OR(Dashboard!$D$4="Semua",D4837=Dashboard!$D$4),OR(Dashboard!$H$4="Semua",E4837=Dashboard!$H$4)),1,0)</f>
        <v>1</v>
      </c>
      <c r="V4837">
        <f>IF(U4837=1,IF(COUNTIFS($C$2:C4837,C4837,$U$2:U4837,1)=1,1,0),0)</f>
        <v>0</v>
      </c>
    </row>
    <row r="4838" spans="1:22" x14ac:dyDescent="0.35">
      <c r="A4838">
        <v>14837</v>
      </c>
      <c r="B4838" s="1">
        <v>49398</v>
      </c>
      <c r="C4838">
        <v>1619</v>
      </c>
      <c r="D4838" t="s">
        <v>73</v>
      </c>
      <c r="E4838" t="s">
        <v>63</v>
      </c>
      <c r="F4838">
        <v>2</v>
      </c>
      <c r="G4838" s="2">
        <v>258.10000000000002</v>
      </c>
      <c r="H4838">
        <v>0.28000000000000003</v>
      </c>
      <c r="I4838" t="s">
        <v>64</v>
      </c>
      <c r="J4838">
        <v>11</v>
      </c>
      <c r="K4838">
        <v>1.9</v>
      </c>
      <c r="L4838" s="2">
        <v>371.66</v>
      </c>
      <c r="M4838">
        <v>2035</v>
      </c>
      <c r="N4838">
        <v>3</v>
      </c>
      <c r="O4838" t="s">
        <v>238</v>
      </c>
      <c r="P4838" s="2">
        <v>516.20000000000005</v>
      </c>
      <c r="Q4838" s="2">
        <v>144.54</v>
      </c>
      <c r="R4838" t="s">
        <v>66</v>
      </c>
      <c r="S4838">
        <v>1</v>
      </c>
      <c r="T4838">
        <v>0</v>
      </c>
      <c r="U4838">
        <f>IF(AND(OR(Dashboard!$D$4="Semua",D4838=Dashboard!$D$4),OR(Dashboard!$H$4="Semua",E4838=Dashboard!$H$4)),1,0)</f>
        <v>1</v>
      </c>
      <c r="V4838">
        <f>IF(U4838=1,IF(COUNTIFS($C$2:C4838,C4838,$U$2:U4838,1)=1,1,0),0)</f>
        <v>0</v>
      </c>
    </row>
    <row r="4839" spans="1:22" x14ac:dyDescent="0.35">
      <c r="A4839">
        <v>14838</v>
      </c>
      <c r="B4839" s="1">
        <v>49399</v>
      </c>
      <c r="C4839">
        <v>1747</v>
      </c>
      <c r="D4839" t="s">
        <v>80</v>
      </c>
      <c r="E4839" t="s">
        <v>70</v>
      </c>
      <c r="F4839">
        <v>6</v>
      </c>
      <c r="G4839" s="2">
        <v>83.89</v>
      </c>
      <c r="H4839">
        <v>0.35</v>
      </c>
      <c r="I4839" t="s">
        <v>68</v>
      </c>
      <c r="J4839">
        <v>5</v>
      </c>
      <c r="K4839">
        <v>4.5999999999999996</v>
      </c>
      <c r="L4839" s="2">
        <v>327.17</v>
      </c>
      <c r="M4839">
        <v>2035</v>
      </c>
      <c r="N4839">
        <v>3</v>
      </c>
      <c r="O4839" t="s">
        <v>238</v>
      </c>
      <c r="P4839" s="2">
        <v>503.34</v>
      </c>
      <c r="Q4839" s="2">
        <v>176.17</v>
      </c>
      <c r="R4839" t="s">
        <v>72</v>
      </c>
      <c r="S4839">
        <v>1</v>
      </c>
      <c r="T4839">
        <v>0</v>
      </c>
      <c r="U4839">
        <f>IF(AND(OR(Dashboard!$D$4="Semua",D4839=Dashboard!$D$4),OR(Dashboard!$H$4="Semua",E4839=Dashboard!$H$4)),1,0)</f>
        <v>1</v>
      </c>
      <c r="V4839">
        <f>IF(U4839=1,IF(COUNTIFS($C$2:C4839,C4839,$U$2:U4839,1)=1,1,0),0)</f>
        <v>0</v>
      </c>
    </row>
    <row r="4840" spans="1:22" x14ac:dyDescent="0.35">
      <c r="A4840">
        <v>14839</v>
      </c>
      <c r="B4840" s="1">
        <v>49400</v>
      </c>
      <c r="C4840">
        <v>1819</v>
      </c>
      <c r="D4840" t="s">
        <v>62</v>
      </c>
      <c r="E4840" t="s">
        <v>74</v>
      </c>
      <c r="F4840">
        <v>2</v>
      </c>
      <c r="G4840" s="2">
        <v>208.22</v>
      </c>
      <c r="H4840">
        <v>0.24</v>
      </c>
      <c r="I4840" t="s">
        <v>68</v>
      </c>
      <c r="J4840">
        <v>11</v>
      </c>
      <c r="K4840">
        <v>1.7</v>
      </c>
      <c r="L4840" s="2">
        <v>316.49</v>
      </c>
      <c r="M4840">
        <v>2035</v>
      </c>
      <c r="N4840">
        <v>4</v>
      </c>
      <c r="O4840" t="s">
        <v>239</v>
      </c>
      <c r="P4840" s="2">
        <v>416.44</v>
      </c>
      <c r="Q4840" s="2">
        <v>99.95</v>
      </c>
      <c r="R4840" t="s">
        <v>77</v>
      </c>
      <c r="S4840">
        <v>1</v>
      </c>
      <c r="T4840">
        <v>0</v>
      </c>
      <c r="U4840">
        <f>IF(AND(OR(Dashboard!$D$4="Semua",D4840=Dashboard!$D$4),OR(Dashboard!$H$4="Semua",E4840=Dashboard!$H$4)),1,0)</f>
        <v>1</v>
      </c>
      <c r="V4840">
        <f>IF(U4840=1,IF(COUNTIFS($C$2:C4840,C4840,$U$2:U4840,1)=1,1,0),0)</f>
        <v>0</v>
      </c>
    </row>
    <row r="4841" spans="1:22" x14ac:dyDescent="0.35">
      <c r="A4841">
        <v>14840</v>
      </c>
      <c r="B4841" s="1">
        <v>49401</v>
      </c>
      <c r="C4841">
        <v>1863</v>
      </c>
      <c r="D4841" t="s">
        <v>73</v>
      </c>
      <c r="E4841" t="s">
        <v>74</v>
      </c>
      <c r="F4841">
        <v>4</v>
      </c>
      <c r="G4841" s="2">
        <v>439.05</v>
      </c>
      <c r="H4841">
        <v>0.26</v>
      </c>
      <c r="I4841" t="s">
        <v>68</v>
      </c>
      <c r="J4841">
        <v>3</v>
      </c>
      <c r="K4841">
        <v>3.2</v>
      </c>
      <c r="L4841" s="2">
        <v>1299.5899999999999</v>
      </c>
      <c r="M4841">
        <v>2035</v>
      </c>
      <c r="N4841">
        <v>4</v>
      </c>
      <c r="O4841" t="s">
        <v>239</v>
      </c>
      <c r="P4841" s="2">
        <v>1756.2</v>
      </c>
      <c r="Q4841" s="2">
        <v>456.61</v>
      </c>
      <c r="R4841" t="s">
        <v>66</v>
      </c>
      <c r="S4841">
        <v>1</v>
      </c>
      <c r="T4841">
        <v>0</v>
      </c>
      <c r="U4841">
        <f>IF(AND(OR(Dashboard!$D$4="Semua",D4841=Dashboard!$D$4),OR(Dashboard!$H$4="Semua",E4841=Dashboard!$H$4)),1,0)</f>
        <v>1</v>
      </c>
      <c r="V4841">
        <f>IF(U4841=1,IF(COUNTIFS($C$2:C4841,C4841,$U$2:U4841,1)=1,1,0),0)</f>
        <v>0</v>
      </c>
    </row>
    <row r="4842" spans="1:22" x14ac:dyDescent="0.35">
      <c r="A4842">
        <v>14841</v>
      </c>
      <c r="B4842" s="1">
        <v>49402</v>
      </c>
      <c r="C4842">
        <v>1581</v>
      </c>
      <c r="D4842" t="s">
        <v>67</v>
      </c>
      <c r="E4842" t="s">
        <v>63</v>
      </c>
      <c r="F4842">
        <v>6</v>
      </c>
      <c r="G4842" s="2">
        <v>373.02</v>
      </c>
      <c r="H4842">
        <v>0.34</v>
      </c>
      <c r="I4842" t="s">
        <v>68</v>
      </c>
      <c r="J4842">
        <v>9</v>
      </c>
      <c r="K4842">
        <v>4.0999999999999996</v>
      </c>
      <c r="L4842" s="2">
        <v>1477.16</v>
      </c>
      <c r="M4842">
        <v>2035</v>
      </c>
      <c r="N4842">
        <v>4</v>
      </c>
      <c r="O4842" t="s">
        <v>239</v>
      </c>
      <c r="P4842" s="2">
        <v>2238.12</v>
      </c>
      <c r="Q4842" s="2">
        <v>760.96</v>
      </c>
      <c r="R4842" t="s">
        <v>72</v>
      </c>
      <c r="S4842">
        <v>1</v>
      </c>
      <c r="T4842">
        <v>0</v>
      </c>
      <c r="U4842">
        <f>IF(AND(OR(Dashboard!$D$4="Semua",D4842=Dashboard!$D$4),OR(Dashboard!$H$4="Semua",E4842=Dashboard!$H$4)),1,0)</f>
        <v>1</v>
      </c>
      <c r="V4842">
        <f>IF(U4842=1,IF(COUNTIFS($C$2:C4842,C4842,$U$2:U4842,1)=1,1,0),0)</f>
        <v>0</v>
      </c>
    </row>
    <row r="4843" spans="1:22" x14ac:dyDescent="0.35">
      <c r="A4843">
        <v>14842</v>
      </c>
      <c r="B4843" s="1">
        <v>49403</v>
      </c>
      <c r="C4843">
        <v>1694</v>
      </c>
      <c r="D4843" t="s">
        <v>67</v>
      </c>
      <c r="E4843" t="s">
        <v>70</v>
      </c>
      <c r="F4843">
        <v>4</v>
      </c>
      <c r="G4843" s="2">
        <v>85.07</v>
      </c>
      <c r="H4843">
        <v>0</v>
      </c>
      <c r="I4843" t="s">
        <v>64</v>
      </c>
      <c r="J4843">
        <v>1</v>
      </c>
      <c r="K4843">
        <v>1.9</v>
      </c>
      <c r="L4843" s="2">
        <v>340.28</v>
      </c>
      <c r="M4843">
        <v>2035</v>
      </c>
      <c r="N4843">
        <v>4</v>
      </c>
      <c r="O4843" t="s">
        <v>239</v>
      </c>
      <c r="P4843" s="2">
        <v>340.28</v>
      </c>
      <c r="Q4843" s="2">
        <v>0</v>
      </c>
      <c r="R4843" t="s">
        <v>75</v>
      </c>
      <c r="S4843">
        <v>1</v>
      </c>
      <c r="T4843">
        <v>0</v>
      </c>
      <c r="U4843">
        <f>IF(AND(OR(Dashboard!$D$4="Semua",D4843=Dashboard!$D$4),OR(Dashboard!$H$4="Semua",E4843=Dashboard!$H$4)),1,0)</f>
        <v>1</v>
      </c>
      <c r="V4843">
        <f>IF(U4843=1,IF(COUNTIFS($C$2:C4843,C4843,$U$2:U4843,1)=1,1,0),0)</f>
        <v>0</v>
      </c>
    </row>
    <row r="4844" spans="1:22" x14ac:dyDescent="0.35">
      <c r="A4844">
        <v>14843</v>
      </c>
      <c r="B4844" s="1">
        <v>49404</v>
      </c>
      <c r="C4844">
        <v>1761</v>
      </c>
      <c r="D4844" t="s">
        <v>67</v>
      </c>
      <c r="E4844" t="s">
        <v>78</v>
      </c>
      <c r="F4844">
        <v>7</v>
      </c>
      <c r="G4844" s="2">
        <v>110.54</v>
      </c>
      <c r="H4844">
        <v>0.22</v>
      </c>
      <c r="I4844" t="s">
        <v>71</v>
      </c>
      <c r="J4844">
        <v>1</v>
      </c>
      <c r="K4844">
        <v>2.2000000000000002</v>
      </c>
      <c r="L4844" s="2">
        <v>603.54999999999995</v>
      </c>
      <c r="M4844">
        <v>2035</v>
      </c>
      <c r="N4844">
        <v>4</v>
      </c>
      <c r="O4844" t="s">
        <v>239</v>
      </c>
      <c r="P4844" s="2">
        <v>773.78</v>
      </c>
      <c r="Q4844" s="2">
        <v>170.23</v>
      </c>
      <c r="R4844" t="s">
        <v>77</v>
      </c>
      <c r="S4844">
        <v>1</v>
      </c>
      <c r="T4844">
        <v>0</v>
      </c>
      <c r="U4844">
        <f>IF(AND(OR(Dashboard!$D$4="Semua",D4844=Dashboard!$D$4),OR(Dashboard!$H$4="Semua",E4844=Dashboard!$H$4)),1,0)</f>
        <v>1</v>
      </c>
      <c r="V4844">
        <f>IF(U4844=1,IF(COUNTIFS($C$2:C4844,C4844,$U$2:U4844,1)=1,1,0),0)</f>
        <v>0</v>
      </c>
    </row>
    <row r="4845" spans="1:22" x14ac:dyDescent="0.35">
      <c r="A4845">
        <v>14844</v>
      </c>
      <c r="B4845" s="1">
        <v>49405</v>
      </c>
      <c r="C4845">
        <v>1227</v>
      </c>
      <c r="D4845" t="s">
        <v>73</v>
      </c>
      <c r="E4845" t="s">
        <v>70</v>
      </c>
      <c r="F4845">
        <v>2</v>
      </c>
      <c r="G4845" s="2">
        <v>389.83</v>
      </c>
      <c r="H4845">
        <v>0.26</v>
      </c>
      <c r="I4845" t="s">
        <v>71</v>
      </c>
      <c r="J4845">
        <v>3</v>
      </c>
      <c r="K4845">
        <v>1.2</v>
      </c>
      <c r="L4845" s="2">
        <v>576.95000000000005</v>
      </c>
      <c r="M4845">
        <v>2035</v>
      </c>
      <c r="N4845">
        <v>4</v>
      </c>
      <c r="O4845" t="s">
        <v>239</v>
      </c>
      <c r="P4845" s="2">
        <v>779.66</v>
      </c>
      <c r="Q4845" s="2">
        <v>202.71</v>
      </c>
      <c r="R4845" t="s">
        <v>66</v>
      </c>
      <c r="S4845">
        <v>1</v>
      </c>
      <c r="T4845">
        <v>0</v>
      </c>
      <c r="U4845">
        <f>IF(AND(OR(Dashboard!$D$4="Semua",D4845=Dashboard!$D$4),OR(Dashboard!$H$4="Semua",E4845=Dashboard!$H$4)),1,0)</f>
        <v>1</v>
      </c>
      <c r="V4845">
        <f>IF(U4845=1,IF(COUNTIFS($C$2:C4845,C4845,$U$2:U4845,1)=1,1,0),0)</f>
        <v>0</v>
      </c>
    </row>
    <row r="4846" spans="1:22" x14ac:dyDescent="0.35">
      <c r="A4846">
        <v>14845</v>
      </c>
      <c r="B4846" s="1">
        <v>49406</v>
      </c>
      <c r="C4846">
        <v>1101</v>
      </c>
      <c r="D4846" t="s">
        <v>80</v>
      </c>
      <c r="E4846" t="s">
        <v>63</v>
      </c>
      <c r="F4846">
        <v>7</v>
      </c>
      <c r="G4846" s="2">
        <v>490.85</v>
      </c>
      <c r="H4846">
        <v>0.32</v>
      </c>
      <c r="I4846" t="s">
        <v>68</v>
      </c>
      <c r="J4846">
        <v>6</v>
      </c>
      <c r="K4846">
        <v>4.8</v>
      </c>
      <c r="L4846" s="2">
        <v>2336.4499999999998</v>
      </c>
      <c r="M4846">
        <v>2035</v>
      </c>
      <c r="N4846">
        <v>4</v>
      </c>
      <c r="O4846" t="s">
        <v>239</v>
      </c>
      <c r="P4846" s="2">
        <v>3435.95</v>
      </c>
      <c r="Q4846" s="2">
        <v>1099.5</v>
      </c>
      <c r="R4846" t="s">
        <v>72</v>
      </c>
      <c r="S4846">
        <v>1</v>
      </c>
      <c r="T4846">
        <v>0</v>
      </c>
      <c r="U4846">
        <f>IF(AND(OR(Dashboard!$D$4="Semua",D4846=Dashboard!$D$4),OR(Dashboard!$H$4="Semua",E4846=Dashboard!$H$4)),1,0)</f>
        <v>1</v>
      </c>
      <c r="V4846">
        <f>IF(U4846=1,IF(COUNTIFS($C$2:C4846,C4846,$U$2:U4846,1)=1,1,0),0)</f>
        <v>0</v>
      </c>
    </row>
    <row r="4847" spans="1:22" x14ac:dyDescent="0.35">
      <c r="A4847">
        <v>14846</v>
      </c>
      <c r="B4847" s="1">
        <v>49407</v>
      </c>
      <c r="C4847">
        <v>1586</v>
      </c>
      <c r="D4847" t="s">
        <v>67</v>
      </c>
      <c r="E4847" t="s">
        <v>78</v>
      </c>
      <c r="F4847">
        <v>4</v>
      </c>
      <c r="G4847" s="2">
        <v>219.44</v>
      </c>
      <c r="H4847">
        <v>0.31</v>
      </c>
      <c r="I4847" t="s">
        <v>68</v>
      </c>
      <c r="J4847">
        <v>11</v>
      </c>
      <c r="K4847">
        <v>2.9</v>
      </c>
      <c r="L4847" s="2">
        <v>605.65</v>
      </c>
      <c r="M4847">
        <v>2035</v>
      </c>
      <c r="N4847">
        <v>4</v>
      </c>
      <c r="O4847" t="s">
        <v>239</v>
      </c>
      <c r="P4847" s="2">
        <v>877.76</v>
      </c>
      <c r="Q4847" s="2">
        <v>272.11</v>
      </c>
      <c r="R4847" t="s">
        <v>72</v>
      </c>
      <c r="S4847">
        <v>1</v>
      </c>
      <c r="T4847">
        <v>0</v>
      </c>
      <c r="U4847">
        <f>IF(AND(OR(Dashboard!$D$4="Semua",D4847=Dashboard!$D$4),OR(Dashboard!$H$4="Semua",E4847=Dashboard!$H$4)),1,0)</f>
        <v>1</v>
      </c>
      <c r="V4847">
        <f>IF(U4847=1,IF(COUNTIFS($C$2:C4847,C4847,$U$2:U4847,1)=1,1,0),0)</f>
        <v>0</v>
      </c>
    </row>
    <row r="4848" spans="1:22" x14ac:dyDescent="0.35">
      <c r="A4848">
        <v>14847</v>
      </c>
      <c r="B4848" s="1">
        <v>49408</v>
      </c>
      <c r="C4848">
        <v>1416</v>
      </c>
      <c r="D4848" t="s">
        <v>67</v>
      </c>
      <c r="E4848" t="s">
        <v>63</v>
      </c>
      <c r="F4848">
        <v>5</v>
      </c>
      <c r="G4848" s="2">
        <v>363.26</v>
      </c>
      <c r="H4848">
        <v>0.28999999999999998</v>
      </c>
      <c r="I4848" t="s">
        <v>68</v>
      </c>
      <c r="J4848">
        <v>2</v>
      </c>
      <c r="K4848">
        <v>1.3</v>
      </c>
      <c r="L4848" s="2">
        <v>1289.57</v>
      </c>
      <c r="M4848">
        <v>2035</v>
      </c>
      <c r="N4848">
        <v>4</v>
      </c>
      <c r="O4848" t="s">
        <v>239</v>
      </c>
      <c r="P4848" s="2">
        <v>1816.3</v>
      </c>
      <c r="Q4848" s="2">
        <v>526.73</v>
      </c>
      <c r="R4848" t="s">
        <v>66</v>
      </c>
      <c r="S4848">
        <v>1</v>
      </c>
      <c r="T4848">
        <v>0</v>
      </c>
      <c r="U4848">
        <f>IF(AND(OR(Dashboard!$D$4="Semua",D4848=Dashboard!$D$4),OR(Dashboard!$H$4="Semua",E4848=Dashboard!$H$4)),1,0)</f>
        <v>1</v>
      </c>
      <c r="V4848">
        <f>IF(U4848=1,IF(COUNTIFS($C$2:C4848,C4848,$U$2:U4848,1)=1,1,0),0)</f>
        <v>0</v>
      </c>
    </row>
    <row r="4849" spans="1:22" x14ac:dyDescent="0.35">
      <c r="A4849">
        <v>14848</v>
      </c>
      <c r="B4849" s="1">
        <v>49409</v>
      </c>
      <c r="C4849">
        <v>1957</v>
      </c>
      <c r="D4849" t="s">
        <v>73</v>
      </c>
      <c r="E4849" t="s">
        <v>70</v>
      </c>
      <c r="F4849">
        <v>3</v>
      </c>
      <c r="G4849" s="2">
        <v>114.83</v>
      </c>
      <c r="H4849">
        <v>0.33</v>
      </c>
      <c r="I4849" t="s">
        <v>71</v>
      </c>
      <c r="J4849">
        <v>1</v>
      </c>
      <c r="K4849">
        <v>4.3</v>
      </c>
      <c r="L4849" s="2">
        <v>230.81</v>
      </c>
      <c r="M4849">
        <v>2035</v>
      </c>
      <c r="N4849">
        <v>4</v>
      </c>
      <c r="O4849" t="s">
        <v>239</v>
      </c>
      <c r="P4849" s="2">
        <v>344.49</v>
      </c>
      <c r="Q4849" s="2">
        <v>113.68</v>
      </c>
      <c r="R4849" t="s">
        <v>72</v>
      </c>
      <c r="S4849">
        <v>1</v>
      </c>
      <c r="T4849">
        <v>0</v>
      </c>
      <c r="U4849">
        <f>IF(AND(OR(Dashboard!$D$4="Semua",D4849=Dashboard!$D$4),OR(Dashboard!$H$4="Semua",E4849=Dashboard!$H$4)),1,0)</f>
        <v>1</v>
      </c>
      <c r="V4849">
        <f>IF(U4849=1,IF(COUNTIFS($C$2:C4849,C4849,$U$2:U4849,1)=1,1,0),0)</f>
        <v>0</v>
      </c>
    </row>
    <row r="4850" spans="1:22" x14ac:dyDescent="0.35">
      <c r="A4850">
        <v>14849</v>
      </c>
      <c r="B4850" s="1">
        <v>49410</v>
      </c>
      <c r="C4850">
        <v>1215</v>
      </c>
      <c r="D4850" t="s">
        <v>73</v>
      </c>
      <c r="E4850" t="s">
        <v>78</v>
      </c>
      <c r="F4850">
        <v>6</v>
      </c>
      <c r="G4850" s="2">
        <v>197.16</v>
      </c>
      <c r="H4850">
        <v>0.19</v>
      </c>
      <c r="I4850" t="s">
        <v>71</v>
      </c>
      <c r="J4850">
        <v>8</v>
      </c>
      <c r="K4850">
        <v>3.3</v>
      </c>
      <c r="L4850" s="2">
        <v>958.2</v>
      </c>
      <c r="M4850">
        <v>2035</v>
      </c>
      <c r="N4850">
        <v>4</v>
      </c>
      <c r="O4850" t="s">
        <v>239</v>
      </c>
      <c r="P4850" s="2">
        <v>1182.96</v>
      </c>
      <c r="Q4850" s="2">
        <v>224.76</v>
      </c>
      <c r="R4850" t="s">
        <v>76</v>
      </c>
      <c r="S4850">
        <v>1</v>
      </c>
      <c r="T4850">
        <v>0</v>
      </c>
      <c r="U4850">
        <f>IF(AND(OR(Dashboard!$D$4="Semua",D4850=Dashboard!$D$4),OR(Dashboard!$H$4="Semua",E4850=Dashboard!$H$4)),1,0)</f>
        <v>1</v>
      </c>
      <c r="V4850">
        <f>IF(U4850=1,IF(COUNTIFS($C$2:C4850,C4850,$U$2:U4850,1)=1,1,0),0)</f>
        <v>0</v>
      </c>
    </row>
    <row r="4851" spans="1:22" x14ac:dyDescent="0.35">
      <c r="A4851">
        <v>14850</v>
      </c>
      <c r="B4851" s="1">
        <v>49411</v>
      </c>
      <c r="C4851">
        <v>1406</v>
      </c>
      <c r="D4851" t="s">
        <v>73</v>
      </c>
      <c r="E4851" t="s">
        <v>63</v>
      </c>
      <c r="F4851">
        <v>5</v>
      </c>
      <c r="G4851" s="2">
        <v>26.86</v>
      </c>
      <c r="H4851">
        <v>0</v>
      </c>
      <c r="I4851" t="s">
        <v>68</v>
      </c>
      <c r="J4851">
        <v>11</v>
      </c>
      <c r="K4851">
        <v>1.2</v>
      </c>
      <c r="L4851" s="2">
        <v>134.30000000000001</v>
      </c>
      <c r="M4851">
        <v>2035</v>
      </c>
      <c r="N4851">
        <v>4</v>
      </c>
      <c r="O4851" t="s">
        <v>239</v>
      </c>
      <c r="P4851" s="2">
        <v>134.30000000000001</v>
      </c>
      <c r="Q4851" s="2">
        <v>0</v>
      </c>
      <c r="R4851" t="s">
        <v>75</v>
      </c>
      <c r="S4851">
        <v>1</v>
      </c>
      <c r="T4851">
        <v>0</v>
      </c>
      <c r="U4851">
        <f>IF(AND(OR(Dashboard!$D$4="Semua",D4851=Dashboard!$D$4),OR(Dashboard!$H$4="Semua",E4851=Dashboard!$H$4)),1,0)</f>
        <v>1</v>
      </c>
      <c r="V4851">
        <f>IF(U4851=1,IF(COUNTIFS($C$2:C4851,C4851,$U$2:U4851,1)=1,1,0),0)</f>
        <v>0</v>
      </c>
    </row>
    <row r="4852" spans="1:22" x14ac:dyDescent="0.35">
      <c r="A4852">
        <v>14851</v>
      </c>
      <c r="B4852" s="1">
        <v>49412</v>
      </c>
      <c r="C4852">
        <v>1398</v>
      </c>
      <c r="D4852" t="s">
        <v>80</v>
      </c>
      <c r="E4852" t="s">
        <v>74</v>
      </c>
      <c r="F4852">
        <v>7</v>
      </c>
      <c r="G4852" s="2">
        <v>464.44</v>
      </c>
      <c r="H4852">
        <v>0</v>
      </c>
      <c r="I4852" t="s">
        <v>68</v>
      </c>
      <c r="J4852">
        <v>10</v>
      </c>
      <c r="K4852">
        <v>2.8</v>
      </c>
      <c r="L4852" s="2">
        <v>3251.08</v>
      </c>
      <c r="M4852">
        <v>2035</v>
      </c>
      <c r="N4852">
        <v>4</v>
      </c>
      <c r="O4852" t="s">
        <v>239</v>
      </c>
      <c r="P4852" s="2">
        <v>3251.08</v>
      </c>
      <c r="Q4852" s="2">
        <v>0</v>
      </c>
      <c r="R4852" t="s">
        <v>75</v>
      </c>
      <c r="S4852">
        <v>1</v>
      </c>
      <c r="T4852">
        <v>0</v>
      </c>
      <c r="U4852">
        <f>IF(AND(OR(Dashboard!$D$4="Semua",D4852=Dashboard!$D$4),OR(Dashboard!$H$4="Semua",E4852=Dashboard!$H$4)),1,0)</f>
        <v>1</v>
      </c>
      <c r="V4852">
        <f>IF(U4852=1,IF(COUNTIFS($C$2:C4852,C4852,$U$2:U4852,1)=1,1,0),0)</f>
        <v>0</v>
      </c>
    </row>
    <row r="4853" spans="1:22" x14ac:dyDescent="0.35">
      <c r="A4853">
        <v>14852</v>
      </c>
      <c r="B4853" s="1">
        <v>49413</v>
      </c>
      <c r="C4853">
        <v>1922</v>
      </c>
      <c r="D4853" t="s">
        <v>73</v>
      </c>
      <c r="E4853" t="s">
        <v>78</v>
      </c>
      <c r="F4853">
        <v>4</v>
      </c>
      <c r="G4853" s="2">
        <v>249.59</v>
      </c>
      <c r="H4853">
        <v>0.19</v>
      </c>
      <c r="I4853" t="s">
        <v>68</v>
      </c>
      <c r="J4853">
        <v>9</v>
      </c>
      <c r="K4853">
        <v>2.7</v>
      </c>
      <c r="L4853" s="2">
        <v>808.67</v>
      </c>
      <c r="M4853">
        <v>2035</v>
      </c>
      <c r="N4853">
        <v>4</v>
      </c>
      <c r="O4853" t="s">
        <v>239</v>
      </c>
      <c r="P4853" s="2">
        <v>998.36</v>
      </c>
      <c r="Q4853" s="2">
        <v>189.69</v>
      </c>
      <c r="R4853" t="s">
        <v>76</v>
      </c>
      <c r="S4853">
        <v>1</v>
      </c>
      <c r="T4853">
        <v>0</v>
      </c>
      <c r="U4853">
        <f>IF(AND(OR(Dashboard!$D$4="Semua",D4853=Dashboard!$D$4),OR(Dashboard!$H$4="Semua",E4853=Dashboard!$H$4)),1,0)</f>
        <v>1</v>
      </c>
      <c r="V4853">
        <f>IF(U4853=1,IF(COUNTIFS($C$2:C4853,C4853,$U$2:U4853,1)=1,1,0),0)</f>
        <v>0</v>
      </c>
    </row>
    <row r="4854" spans="1:22" x14ac:dyDescent="0.35">
      <c r="A4854">
        <v>14853</v>
      </c>
      <c r="B4854" s="1">
        <v>49414</v>
      </c>
      <c r="C4854">
        <v>1714</v>
      </c>
      <c r="D4854" t="s">
        <v>80</v>
      </c>
      <c r="E4854" t="s">
        <v>78</v>
      </c>
      <c r="F4854">
        <v>4</v>
      </c>
      <c r="G4854" s="2">
        <v>492.43</v>
      </c>
      <c r="H4854">
        <v>0.15</v>
      </c>
      <c r="I4854" t="s">
        <v>68</v>
      </c>
      <c r="J4854">
        <v>10</v>
      </c>
      <c r="K4854">
        <v>1.6</v>
      </c>
      <c r="L4854" s="2">
        <v>1674.26</v>
      </c>
      <c r="M4854">
        <v>2035</v>
      </c>
      <c r="N4854">
        <v>4</v>
      </c>
      <c r="O4854" t="s">
        <v>239</v>
      </c>
      <c r="P4854" s="2">
        <v>1969.72</v>
      </c>
      <c r="Q4854" s="2">
        <v>295.45999999999998</v>
      </c>
      <c r="R4854" t="s">
        <v>79</v>
      </c>
      <c r="S4854">
        <v>1</v>
      </c>
      <c r="T4854">
        <v>0</v>
      </c>
      <c r="U4854">
        <f>IF(AND(OR(Dashboard!$D$4="Semua",D4854=Dashboard!$D$4),OR(Dashboard!$H$4="Semua",E4854=Dashboard!$H$4)),1,0)</f>
        <v>1</v>
      </c>
      <c r="V4854">
        <f>IF(U4854=1,IF(COUNTIFS($C$2:C4854,C4854,$U$2:U4854,1)=1,1,0),0)</f>
        <v>0</v>
      </c>
    </row>
    <row r="4855" spans="1:22" x14ac:dyDescent="0.35">
      <c r="A4855">
        <v>14854</v>
      </c>
      <c r="B4855" s="1">
        <v>49415</v>
      </c>
      <c r="C4855">
        <v>1703</v>
      </c>
      <c r="D4855" t="s">
        <v>67</v>
      </c>
      <c r="E4855" t="s">
        <v>63</v>
      </c>
      <c r="F4855">
        <v>3</v>
      </c>
      <c r="G4855" s="2">
        <v>429.4</v>
      </c>
      <c r="H4855">
        <v>0.16</v>
      </c>
      <c r="I4855" t="s">
        <v>71</v>
      </c>
      <c r="J4855">
        <v>1</v>
      </c>
      <c r="K4855">
        <v>2.7</v>
      </c>
      <c r="L4855" s="2">
        <v>1082.0899999999999</v>
      </c>
      <c r="M4855">
        <v>2035</v>
      </c>
      <c r="N4855">
        <v>4</v>
      </c>
      <c r="O4855" t="s">
        <v>239</v>
      </c>
      <c r="P4855" s="2">
        <v>1288.2</v>
      </c>
      <c r="Q4855" s="2">
        <v>206.11</v>
      </c>
      <c r="R4855" t="s">
        <v>76</v>
      </c>
      <c r="S4855">
        <v>1</v>
      </c>
      <c r="T4855">
        <v>0</v>
      </c>
      <c r="U4855">
        <f>IF(AND(OR(Dashboard!$D$4="Semua",D4855=Dashboard!$D$4),OR(Dashboard!$H$4="Semua",E4855=Dashboard!$H$4)),1,0)</f>
        <v>1</v>
      </c>
      <c r="V4855">
        <f>IF(U4855=1,IF(COUNTIFS($C$2:C4855,C4855,$U$2:U4855,1)=1,1,0),0)</f>
        <v>0</v>
      </c>
    </row>
    <row r="4856" spans="1:22" x14ac:dyDescent="0.35">
      <c r="A4856">
        <v>14855</v>
      </c>
      <c r="B4856" s="1">
        <v>49416</v>
      </c>
      <c r="C4856">
        <v>1760</v>
      </c>
      <c r="D4856" t="s">
        <v>67</v>
      </c>
      <c r="E4856" t="s">
        <v>74</v>
      </c>
      <c r="F4856">
        <v>4</v>
      </c>
      <c r="G4856" s="2">
        <v>499.82</v>
      </c>
      <c r="H4856">
        <v>0.14000000000000001</v>
      </c>
      <c r="I4856" t="s">
        <v>71</v>
      </c>
      <c r="J4856">
        <v>3</v>
      </c>
      <c r="K4856">
        <v>2.1</v>
      </c>
      <c r="L4856" s="2">
        <v>1719.38</v>
      </c>
      <c r="M4856">
        <v>2035</v>
      </c>
      <c r="N4856">
        <v>4</v>
      </c>
      <c r="O4856" t="s">
        <v>239</v>
      </c>
      <c r="P4856" s="2">
        <v>1999.28</v>
      </c>
      <c r="Q4856" s="2">
        <v>279.89999999999998</v>
      </c>
      <c r="R4856" t="s">
        <v>79</v>
      </c>
      <c r="S4856">
        <v>1</v>
      </c>
      <c r="T4856">
        <v>0</v>
      </c>
      <c r="U4856">
        <f>IF(AND(OR(Dashboard!$D$4="Semua",D4856=Dashboard!$D$4),OR(Dashboard!$H$4="Semua",E4856=Dashboard!$H$4)),1,0)</f>
        <v>1</v>
      </c>
      <c r="V4856">
        <f>IF(U4856=1,IF(COUNTIFS($C$2:C4856,C4856,$U$2:U4856,1)=1,1,0),0)</f>
        <v>0</v>
      </c>
    </row>
    <row r="4857" spans="1:22" x14ac:dyDescent="0.35">
      <c r="A4857">
        <v>14856</v>
      </c>
      <c r="B4857" s="1">
        <v>49417</v>
      </c>
      <c r="C4857">
        <v>1498</v>
      </c>
      <c r="D4857" t="s">
        <v>67</v>
      </c>
      <c r="E4857" t="s">
        <v>78</v>
      </c>
      <c r="F4857">
        <v>3</v>
      </c>
      <c r="G4857" s="2">
        <v>182.11</v>
      </c>
      <c r="H4857">
        <v>0.32</v>
      </c>
      <c r="I4857" t="s">
        <v>68</v>
      </c>
      <c r="J4857">
        <v>5</v>
      </c>
      <c r="K4857">
        <v>3.8</v>
      </c>
      <c r="L4857" s="2">
        <v>371.5</v>
      </c>
      <c r="M4857">
        <v>2035</v>
      </c>
      <c r="N4857">
        <v>4</v>
      </c>
      <c r="O4857" t="s">
        <v>239</v>
      </c>
      <c r="P4857" s="2">
        <v>546.33000000000004</v>
      </c>
      <c r="Q4857" s="2">
        <v>174.83</v>
      </c>
      <c r="R4857" t="s">
        <v>72</v>
      </c>
      <c r="S4857">
        <v>1</v>
      </c>
      <c r="T4857">
        <v>0</v>
      </c>
      <c r="U4857">
        <f>IF(AND(OR(Dashboard!$D$4="Semua",D4857=Dashboard!$D$4),OR(Dashboard!$H$4="Semua",E4857=Dashboard!$H$4)),1,0)</f>
        <v>1</v>
      </c>
      <c r="V4857">
        <f>IF(U4857=1,IF(COUNTIFS($C$2:C4857,C4857,$U$2:U4857,1)=1,1,0),0)</f>
        <v>0</v>
      </c>
    </row>
    <row r="4858" spans="1:22" x14ac:dyDescent="0.35">
      <c r="A4858">
        <v>14857</v>
      </c>
      <c r="B4858" s="1">
        <v>49418</v>
      </c>
      <c r="C4858">
        <v>1753</v>
      </c>
      <c r="D4858" t="s">
        <v>67</v>
      </c>
      <c r="E4858" t="s">
        <v>63</v>
      </c>
      <c r="F4858">
        <v>6</v>
      </c>
      <c r="G4858" s="2">
        <v>123.29</v>
      </c>
      <c r="H4858">
        <v>0.13</v>
      </c>
      <c r="I4858" t="s">
        <v>64</v>
      </c>
      <c r="J4858">
        <v>7</v>
      </c>
      <c r="K4858">
        <v>1</v>
      </c>
      <c r="L4858" s="2">
        <v>643.57000000000005</v>
      </c>
      <c r="M4858">
        <v>2035</v>
      </c>
      <c r="N4858">
        <v>4</v>
      </c>
      <c r="O4858" t="s">
        <v>239</v>
      </c>
      <c r="P4858" s="2">
        <v>739.74</v>
      </c>
      <c r="Q4858" s="2">
        <v>96.17</v>
      </c>
      <c r="R4858" t="s">
        <v>79</v>
      </c>
      <c r="S4858">
        <v>1</v>
      </c>
      <c r="T4858">
        <v>0</v>
      </c>
      <c r="U4858">
        <f>IF(AND(OR(Dashboard!$D$4="Semua",D4858=Dashboard!$D$4),OR(Dashboard!$H$4="Semua",E4858=Dashboard!$H$4)),1,0)</f>
        <v>1</v>
      </c>
      <c r="V4858">
        <f>IF(U4858=1,IF(COUNTIFS($C$2:C4858,C4858,$U$2:U4858,1)=1,1,0),0)</f>
        <v>0</v>
      </c>
    </row>
    <row r="4859" spans="1:22" x14ac:dyDescent="0.35">
      <c r="A4859">
        <v>14858</v>
      </c>
      <c r="B4859" s="1">
        <v>49419</v>
      </c>
      <c r="C4859">
        <v>1464</v>
      </c>
      <c r="D4859" t="s">
        <v>73</v>
      </c>
      <c r="E4859" t="s">
        <v>78</v>
      </c>
      <c r="F4859">
        <v>2</v>
      </c>
      <c r="G4859" s="2">
        <v>583.55999999999995</v>
      </c>
      <c r="H4859">
        <v>0.3</v>
      </c>
      <c r="I4859" t="s">
        <v>71</v>
      </c>
      <c r="J4859">
        <v>10</v>
      </c>
      <c r="K4859">
        <v>1.4</v>
      </c>
      <c r="L4859" s="2">
        <v>816.98</v>
      </c>
      <c r="M4859">
        <v>2035</v>
      </c>
      <c r="N4859">
        <v>4</v>
      </c>
      <c r="O4859" t="s">
        <v>239</v>
      </c>
      <c r="P4859" s="2">
        <v>1167.1199999999999</v>
      </c>
      <c r="Q4859" s="2">
        <v>350.14</v>
      </c>
      <c r="R4859" t="s">
        <v>66</v>
      </c>
      <c r="S4859">
        <v>1</v>
      </c>
      <c r="T4859">
        <v>0</v>
      </c>
      <c r="U4859">
        <f>IF(AND(OR(Dashboard!$D$4="Semua",D4859=Dashboard!$D$4),OR(Dashboard!$H$4="Semua",E4859=Dashboard!$H$4)),1,0)</f>
        <v>1</v>
      </c>
      <c r="V4859">
        <f>IF(U4859=1,IF(COUNTIFS($C$2:C4859,C4859,$U$2:U4859,1)=1,1,0),0)</f>
        <v>0</v>
      </c>
    </row>
    <row r="4860" spans="1:22" x14ac:dyDescent="0.35">
      <c r="A4860">
        <v>14859</v>
      </c>
      <c r="B4860" s="1">
        <v>49420</v>
      </c>
      <c r="C4860">
        <v>1690</v>
      </c>
      <c r="D4860" t="s">
        <v>73</v>
      </c>
      <c r="E4860" t="s">
        <v>78</v>
      </c>
      <c r="F4860">
        <v>3</v>
      </c>
      <c r="G4860" s="2">
        <v>434.64</v>
      </c>
      <c r="H4860">
        <v>0.32</v>
      </c>
      <c r="I4860" t="s">
        <v>68</v>
      </c>
      <c r="J4860">
        <v>4</v>
      </c>
      <c r="K4860">
        <v>4.7</v>
      </c>
      <c r="L4860" s="2">
        <v>886.67</v>
      </c>
      <c r="M4860">
        <v>2035</v>
      </c>
      <c r="N4860">
        <v>4</v>
      </c>
      <c r="O4860" t="s">
        <v>239</v>
      </c>
      <c r="P4860" s="2">
        <v>1303.92</v>
      </c>
      <c r="Q4860" s="2">
        <v>417.25</v>
      </c>
      <c r="R4860" t="s">
        <v>72</v>
      </c>
      <c r="S4860">
        <v>1</v>
      </c>
      <c r="T4860">
        <v>0</v>
      </c>
      <c r="U4860">
        <f>IF(AND(OR(Dashboard!$D$4="Semua",D4860=Dashboard!$D$4),OR(Dashboard!$H$4="Semua",E4860=Dashboard!$H$4)),1,0)</f>
        <v>1</v>
      </c>
      <c r="V4860">
        <f>IF(U4860=1,IF(COUNTIFS($C$2:C4860,C4860,$U$2:U4860,1)=1,1,0),0)</f>
        <v>0</v>
      </c>
    </row>
    <row r="4861" spans="1:22" x14ac:dyDescent="0.35">
      <c r="A4861">
        <v>14860</v>
      </c>
      <c r="B4861" s="1">
        <v>49421</v>
      </c>
      <c r="C4861">
        <v>1948</v>
      </c>
      <c r="D4861" t="s">
        <v>80</v>
      </c>
      <c r="E4861" t="s">
        <v>78</v>
      </c>
      <c r="F4861">
        <v>3</v>
      </c>
      <c r="G4861" s="2">
        <v>502.91</v>
      </c>
      <c r="H4861">
        <v>0.17</v>
      </c>
      <c r="I4861" t="s">
        <v>68</v>
      </c>
      <c r="J4861">
        <v>6</v>
      </c>
      <c r="K4861">
        <v>2.7</v>
      </c>
      <c r="L4861" s="2">
        <v>1252.25</v>
      </c>
      <c r="M4861">
        <v>2035</v>
      </c>
      <c r="N4861">
        <v>4</v>
      </c>
      <c r="O4861" t="s">
        <v>239</v>
      </c>
      <c r="P4861" s="2">
        <v>1508.73</v>
      </c>
      <c r="Q4861" s="2">
        <v>256.48</v>
      </c>
      <c r="R4861" t="s">
        <v>76</v>
      </c>
      <c r="S4861">
        <v>1</v>
      </c>
      <c r="T4861">
        <v>0</v>
      </c>
      <c r="U4861">
        <f>IF(AND(OR(Dashboard!$D$4="Semua",D4861=Dashboard!$D$4),OR(Dashboard!$H$4="Semua",E4861=Dashboard!$H$4)),1,0)</f>
        <v>1</v>
      </c>
      <c r="V4861">
        <f>IF(U4861=1,IF(COUNTIFS($C$2:C4861,C4861,$U$2:U4861,1)=1,1,0),0)</f>
        <v>0</v>
      </c>
    </row>
    <row r="4862" spans="1:22" x14ac:dyDescent="0.35">
      <c r="A4862">
        <v>14861</v>
      </c>
      <c r="B4862" s="1">
        <v>49422</v>
      </c>
      <c r="C4862">
        <v>1973</v>
      </c>
      <c r="D4862" t="s">
        <v>80</v>
      </c>
      <c r="E4862" t="s">
        <v>74</v>
      </c>
      <c r="F4862">
        <v>5</v>
      </c>
      <c r="G4862" s="2">
        <v>22.68</v>
      </c>
      <c r="H4862">
        <v>0.16</v>
      </c>
      <c r="I4862" t="s">
        <v>64</v>
      </c>
      <c r="J4862">
        <v>1</v>
      </c>
      <c r="K4862">
        <v>1.7</v>
      </c>
      <c r="L4862" s="2">
        <v>95.26</v>
      </c>
      <c r="M4862">
        <v>2035</v>
      </c>
      <c r="N4862">
        <v>4</v>
      </c>
      <c r="O4862" t="s">
        <v>239</v>
      </c>
      <c r="P4862" s="2">
        <v>113.4</v>
      </c>
      <c r="Q4862" s="2">
        <v>18.14</v>
      </c>
      <c r="R4862" t="s">
        <v>76</v>
      </c>
      <c r="S4862">
        <v>1</v>
      </c>
      <c r="T4862">
        <v>0</v>
      </c>
      <c r="U4862">
        <f>IF(AND(OR(Dashboard!$D$4="Semua",D4862=Dashboard!$D$4),OR(Dashboard!$H$4="Semua",E4862=Dashboard!$H$4)),1,0)</f>
        <v>1</v>
      </c>
      <c r="V4862">
        <f>IF(U4862=1,IF(COUNTIFS($C$2:C4862,C4862,$U$2:U4862,1)=1,1,0),0)</f>
        <v>0</v>
      </c>
    </row>
    <row r="4863" spans="1:22" x14ac:dyDescent="0.35">
      <c r="A4863">
        <v>14862</v>
      </c>
      <c r="B4863" s="1">
        <v>49423</v>
      </c>
      <c r="C4863">
        <v>1730</v>
      </c>
      <c r="D4863" t="s">
        <v>73</v>
      </c>
      <c r="E4863" t="s">
        <v>70</v>
      </c>
      <c r="F4863">
        <v>4</v>
      </c>
      <c r="G4863" s="2">
        <v>222.36</v>
      </c>
      <c r="H4863">
        <v>0.27</v>
      </c>
      <c r="I4863" t="s">
        <v>71</v>
      </c>
      <c r="J4863">
        <v>4</v>
      </c>
      <c r="K4863">
        <v>4.2</v>
      </c>
      <c r="L4863" s="2">
        <v>649.29</v>
      </c>
      <c r="M4863">
        <v>2035</v>
      </c>
      <c r="N4863">
        <v>4</v>
      </c>
      <c r="O4863" t="s">
        <v>239</v>
      </c>
      <c r="P4863" s="2">
        <v>889.44</v>
      </c>
      <c r="Q4863" s="2">
        <v>240.15</v>
      </c>
      <c r="R4863" t="s">
        <v>66</v>
      </c>
      <c r="S4863">
        <v>1</v>
      </c>
      <c r="T4863">
        <v>0</v>
      </c>
      <c r="U4863">
        <f>IF(AND(OR(Dashboard!$D$4="Semua",D4863=Dashboard!$D$4),OR(Dashboard!$H$4="Semua",E4863=Dashboard!$H$4)),1,0)</f>
        <v>1</v>
      </c>
      <c r="V4863">
        <f>IF(U4863=1,IF(COUNTIFS($C$2:C4863,C4863,$U$2:U4863,1)=1,1,0),0)</f>
        <v>0</v>
      </c>
    </row>
    <row r="4864" spans="1:22" x14ac:dyDescent="0.35">
      <c r="A4864">
        <v>14863</v>
      </c>
      <c r="B4864" s="1">
        <v>49424</v>
      </c>
      <c r="C4864">
        <v>1081</v>
      </c>
      <c r="D4864" t="s">
        <v>67</v>
      </c>
      <c r="E4864" t="s">
        <v>70</v>
      </c>
      <c r="F4864">
        <v>6</v>
      </c>
      <c r="G4864" s="2">
        <v>449.55</v>
      </c>
      <c r="H4864">
        <v>0.25</v>
      </c>
      <c r="I4864" t="s">
        <v>68</v>
      </c>
      <c r="J4864">
        <v>8</v>
      </c>
      <c r="K4864">
        <v>4.4000000000000004</v>
      </c>
      <c r="L4864" s="2">
        <v>2022.98</v>
      </c>
      <c r="M4864">
        <v>2035</v>
      </c>
      <c r="N4864">
        <v>4</v>
      </c>
      <c r="O4864" t="s">
        <v>239</v>
      </c>
      <c r="P4864" s="2">
        <v>2697.3</v>
      </c>
      <c r="Q4864" s="2">
        <v>674.32</v>
      </c>
      <c r="R4864" t="s">
        <v>77</v>
      </c>
      <c r="S4864">
        <v>1</v>
      </c>
      <c r="T4864">
        <v>0</v>
      </c>
      <c r="U4864">
        <f>IF(AND(OR(Dashboard!$D$4="Semua",D4864=Dashboard!$D$4),OR(Dashboard!$H$4="Semua",E4864=Dashboard!$H$4)),1,0)</f>
        <v>1</v>
      </c>
      <c r="V4864">
        <f>IF(U4864=1,IF(COUNTIFS($C$2:C4864,C4864,$U$2:U4864,1)=1,1,0),0)</f>
        <v>0</v>
      </c>
    </row>
    <row r="4865" spans="1:22" x14ac:dyDescent="0.35">
      <c r="A4865">
        <v>14864</v>
      </c>
      <c r="B4865" s="1">
        <v>49425</v>
      </c>
      <c r="C4865">
        <v>1603</v>
      </c>
      <c r="D4865" t="s">
        <v>73</v>
      </c>
      <c r="E4865" t="s">
        <v>74</v>
      </c>
      <c r="F4865">
        <v>2</v>
      </c>
      <c r="G4865" s="2">
        <v>60.62</v>
      </c>
      <c r="H4865">
        <v>0.11</v>
      </c>
      <c r="I4865" t="s">
        <v>71</v>
      </c>
      <c r="J4865">
        <v>5</v>
      </c>
      <c r="K4865">
        <v>1.8</v>
      </c>
      <c r="L4865" s="2">
        <v>107.9</v>
      </c>
      <c r="M4865">
        <v>2035</v>
      </c>
      <c r="N4865">
        <v>4</v>
      </c>
      <c r="O4865" t="s">
        <v>239</v>
      </c>
      <c r="P4865" s="2">
        <v>121.24</v>
      </c>
      <c r="Q4865" s="2">
        <v>13.34</v>
      </c>
      <c r="R4865" t="s">
        <v>79</v>
      </c>
      <c r="S4865">
        <v>1</v>
      </c>
      <c r="T4865">
        <v>0</v>
      </c>
      <c r="U4865">
        <f>IF(AND(OR(Dashboard!$D$4="Semua",D4865=Dashboard!$D$4),OR(Dashboard!$H$4="Semua",E4865=Dashboard!$H$4)),1,0)</f>
        <v>1</v>
      </c>
      <c r="V4865">
        <f>IF(U4865=1,IF(COUNTIFS($C$2:C4865,C4865,$U$2:U4865,1)=1,1,0),0)</f>
        <v>0</v>
      </c>
    </row>
    <row r="4866" spans="1:22" x14ac:dyDescent="0.35">
      <c r="A4866">
        <v>14865</v>
      </c>
      <c r="B4866" s="1">
        <v>49426</v>
      </c>
      <c r="C4866">
        <v>1946</v>
      </c>
      <c r="D4866" t="s">
        <v>73</v>
      </c>
      <c r="E4866" t="s">
        <v>74</v>
      </c>
      <c r="F4866">
        <v>1</v>
      </c>
      <c r="G4866" s="2">
        <v>346.89</v>
      </c>
      <c r="H4866">
        <v>0.04</v>
      </c>
      <c r="I4866" t="s">
        <v>68</v>
      </c>
      <c r="J4866">
        <v>8</v>
      </c>
      <c r="K4866">
        <v>3.9</v>
      </c>
      <c r="L4866" s="2">
        <v>333.01</v>
      </c>
      <c r="M4866">
        <v>2035</v>
      </c>
      <c r="N4866">
        <v>4</v>
      </c>
      <c r="O4866" t="s">
        <v>239</v>
      </c>
      <c r="P4866" s="2">
        <v>346.89</v>
      </c>
      <c r="Q4866" s="2">
        <v>13.88</v>
      </c>
      <c r="R4866" t="s">
        <v>75</v>
      </c>
      <c r="S4866">
        <v>1</v>
      </c>
      <c r="T4866">
        <v>0</v>
      </c>
      <c r="U4866">
        <f>IF(AND(OR(Dashboard!$D$4="Semua",D4866=Dashboard!$D$4),OR(Dashboard!$H$4="Semua",E4866=Dashboard!$H$4)),1,0)</f>
        <v>1</v>
      </c>
      <c r="V4866">
        <f>IF(U4866=1,IF(COUNTIFS($C$2:C4866,C4866,$U$2:U4866,1)=1,1,0),0)</f>
        <v>0</v>
      </c>
    </row>
    <row r="4867" spans="1:22" x14ac:dyDescent="0.35">
      <c r="A4867">
        <v>14866</v>
      </c>
      <c r="B4867" s="1">
        <v>49427</v>
      </c>
      <c r="C4867">
        <v>1686</v>
      </c>
      <c r="D4867" t="s">
        <v>73</v>
      </c>
      <c r="E4867" t="s">
        <v>63</v>
      </c>
      <c r="F4867">
        <v>7</v>
      </c>
      <c r="G4867" s="2">
        <v>266.01</v>
      </c>
      <c r="H4867">
        <v>0.09</v>
      </c>
      <c r="I4867" t="s">
        <v>64</v>
      </c>
      <c r="J4867">
        <v>1</v>
      </c>
      <c r="K4867">
        <v>3.5</v>
      </c>
      <c r="L4867" s="2">
        <v>1694.48</v>
      </c>
      <c r="M4867">
        <v>2035</v>
      </c>
      <c r="N4867">
        <v>4</v>
      </c>
      <c r="O4867" t="s">
        <v>239</v>
      </c>
      <c r="P4867" s="2">
        <v>1862.07</v>
      </c>
      <c r="Q4867" s="2">
        <v>167.59</v>
      </c>
      <c r="R4867" t="s">
        <v>69</v>
      </c>
      <c r="S4867">
        <v>1</v>
      </c>
      <c r="T4867">
        <v>0</v>
      </c>
      <c r="U4867">
        <f>IF(AND(OR(Dashboard!$D$4="Semua",D4867=Dashboard!$D$4),OR(Dashboard!$H$4="Semua",E4867=Dashboard!$H$4)),1,0)</f>
        <v>1</v>
      </c>
      <c r="V4867">
        <f>IF(U4867=1,IF(COUNTIFS($C$2:C4867,C4867,$U$2:U4867,1)=1,1,0),0)</f>
        <v>0</v>
      </c>
    </row>
    <row r="4868" spans="1:22" x14ac:dyDescent="0.35">
      <c r="A4868">
        <v>14867</v>
      </c>
      <c r="B4868" s="1">
        <v>49428</v>
      </c>
      <c r="C4868">
        <v>1750</v>
      </c>
      <c r="D4868" t="s">
        <v>62</v>
      </c>
      <c r="E4868" t="s">
        <v>78</v>
      </c>
      <c r="F4868">
        <v>3</v>
      </c>
      <c r="G4868" s="2">
        <v>25.31</v>
      </c>
      <c r="H4868">
        <v>0.05</v>
      </c>
      <c r="I4868" t="s">
        <v>64</v>
      </c>
      <c r="J4868">
        <v>10</v>
      </c>
      <c r="K4868">
        <v>4</v>
      </c>
      <c r="L4868" s="2">
        <v>72.13</v>
      </c>
      <c r="M4868">
        <v>2035</v>
      </c>
      <c r="N4868">
        <v>4</v>
      </c>
      <c r="O4868" t="s">
        <v>239</v>
      </c>
      <c r="P4868" s="2">
        <v>75.930000000000007</v>
      </c>
      <c r="Q4868" s="2">
        <v>3.8</v>
      </c>
      <c r="R4868" t="s">
        <v>75</v>
      </c>
      <c r="S4868">
        <v>1</v>
      </c>
      <c r="T4868">
        <v>0</v>
      </c>
      <c r="U4868">
        <f>IF(AND(OR(Dashboard!$D$4="Semua",D4868=Dashboard!$D$4),OR(Dashboard!$H$4="Semua",E4868=Dashboard!$H$4)),1,0)</f>
        <v>1</v>
      </c>
      <c r="V4868">
        <f>IF(U4868=1,IF(COUNTIFS($C$2:C4868,C4868,$U$2:U4868,1)=1,1,0),0)</f>
        <v>0</v>
      </c>
    </row>
    <row r="4869" spans="1:22" x14ac:dyDescent="0.35">
      <c r="A4869">
        <v>14868</v>
      </c>
      <c r="B4869" s="1">
        <v>49429</v>
      </c>
      <c r="C4869">
        <v>1771</v>
      </c>
      <c r="D4869" t="s">
        <v>73</v>
      </c>
      <c r="E4869" t="s">
        <v>74</v>
      </c>
      <c r="F4869">
        <v>1</v>
      </c>
      <c r="G4869" s="2">
        <v>153.05000000000001</v>
      </c>
      <c r="H4869">
        <v>0.1</v>
      </c>
      <c r="I4869" t="s">
        <v>71</v>
      </c>
      <c r="J4869">
        <v>9</v>
      </c>
      <c r="K4869">
        <v>4.2</v>
      </c>
      <c r="L4869" s="2">
        <v>137.74</v>
      </c>
      <c r="M4869">
        <v>2035</v>
      </c>
      <c r="N4869">
        <v>4</v>
      </c>
      <c r="O4869" t="s">
        <v>239</v>
      </c>
      <c r="P4869" s="2">
        <v>153.05000000000001</v>
      </c>
      <c r="Q4869" s="2">
        <v>15.31</v>
      </c>
      <c r="R4869" t="s">
        <v>69</v>
      </c>
      <c r="S4869">
        <v>1</v>
      </c>
      <c r="T4869">
        <v>0</v>
      </c>
      <c r="U4869">
        <f>IF(AND(OR(Dashboard!$D$4="Semua",D4869=Dashboard!$D$4),OR(Dashboard!$H$4="Semua",E4869=Dashboard!$H$4)),1,0)</f>
        <v>1</v>
      </c>
      <c r="V4869">
        <f>IF(U4869=1,IF(COUNTIFS($C$2:C4869,C4869,$U$2:U4869,1)=1,1,0),0)</f>
        <v>0</v>
      </c>
    </row>
    <row r="4870" spans="1:22" x14ac:dyDescent="0.35">
      <c r="A4870">
        <v>14869</v>
      </c>
      <c r="B4870" s="1">
        <v>49430</v>
      </c>
      <c r="C4870">
        <v>1902</v>
      </c>
      <c r="D4870" t="s">
        <v>73</v>
      </c>
      <c r="E4870" t="s">
        <v>63</v>
      </c>
      <c r="F4870">
        <v>4</v>
      </c>
      <c r="G4870" s="2">
        <v>181.6</v>
      </c>
      <c r="H4870">
        <v>0.09</v>
      </c>
      <c r="I4870" t="s">
        <v>71</v>
      </c>
      <c r="J4870">
        <v>4</v>
      </c>
      <c r="K4870">
        <v>3.6</v>
      </c>
      <c r="L4870" s="2">
        <v>661.02</v>
      </c>
      <c r="M4870">
        <v>2035</v>
      </c>
      <c r="N4870">
        <v>5</v>
      </c>
      <c r="O4870" t="s">
        <v>240</v>
      </c>
      <c r="P4870" s="2">
        <v>726.4</v>
      </c>
      <c r="Q4870" s="2">
        <v>65.38</v>
      </c>
      <c r="R4870" t="s">
        <v>69</v>
      </c>
      <c r="S4870">
        <v>1</v>
      </c>
      <c r="T4870">
        <v>0</v>
      </c>
      <c r="U4870">
        <f>IF(AND(OR(Dashboard!$D$4="Semua",D4870=Dashboard!$D$4),OR(Dashboard!$H$4="Semua",E4870=Dashboard!$H$4)),1,0)</f>
        <v>1</v>
      </c>
      <c r="V4870">
        <f>IF(U4870=1,IF(COUNTIFS($C$2:C4870,C4870,$U$2:U4870,1)=1,1,0),0)</f>
        <v>0</v>
      </c>
    </row>
    <row r="4871" spans="1:22" x14ac:dyDescent="0.35">
      <c r="A4871">
        <v>14870</v>
      </c>
      <c r="B4871" s="1">
        <v>49431</v>
      </c>
      <c r="C4871">
        <v>1364</v>
      </c>
      <c r="D4871" t="s">
        <v>73</v>
      </c>
      <c r="E4871" t="s">
        <v>70</v>
      </c>
      <c r="F4871">
        <v>7</v>
      </c>
      <c r="G4871" s="2">
        <v>80.44</v>
      </c>
      <c r="H4871">
        <v>0.22</v>
      </c>
      <c r="I4871" t="s">
        <v>68</v>
      </c>
      <c r="J4871">
        <v>9</v>
      </c>
      <c r="K4871">
        <v>4.8</v>
      </c>
      <c r="L4871" s="2">
        <v>439.2</v>
      </c>
      <c r="M4871">
        <v>2035</v>
      </c>
      <c r="N4871">
        <v>5</v>
      </c>
      <c r="O4871" t="s">
        <v>240</v>
      </c>
      <c r="P4871" s="2">
        <v>563.08000000000004</v>
      </c>
      <c r="Q4871" s="2">
        <v>123.88</v>
      </c>
      <c r="R4871" t="s">
        <v>77</v>
      </c>
      <c r="S4871">
        <v>1</v>
      </c>
      <c r="T4871">
        <v>0</v>
      </c>
      <c r="U4871">
        <f>IF(AND(OR(Dashboard!$D$4="Semua",D4871=Dashboard!$D$4),OR(Dashboard!$H$4="Semua",E4871=Dashboard!$H$4)),1,0)</f>
        <v>1</v>
      </c>
      <c r="V4871">
        <f>IF(U4871=1,IF(COUNTIFS($C$2:C4871,C4871,$U$2:U4871,1)=1,1,0),0)</f>
        <v>0</v>
      </c>
    </row>
    <row r="4872" spans="1:22" x14ac:dyDescent="0.35">
      <c r="A4872">
        <v>14871</v>
      </c>
      <c r="B4872" s="1">
        <v>49432</v>
      </c>
      <c r="C4872">
        <v>1162</v>
      </c>
      <c r="D4872" t="s">
        <v>73</v>
      </c>
      <c r="E4872" t="s">
        <v>70</v>
      </c>
      <c r="F4872">
        <v>3</v>
      </c>
      <c r="G4872" s="2">
        <v>384.45</v>
      </c>
      <c r="H4872">
        <v>0.33</v>
      </c>
      <c r="I4872" t="s">
        <v>71</v>
      </c>
      <c r="J4872">
        <v>8</v>
      </c>
      <c r="K4872">
        <v>4.5</v>
      </c>
      <c r="L4872" s="2">
        <v>772.74</v>
      </c>
      <c r="M4872">
        <v>2035</v>
      </c>
      <c r="N4872">
        <v>5</v>
      </c>
      <c r="O4872" t="s">
        <v>240</v>
      </c>
      <c r="P4872" s="2">
        <v>1153.3499999999999</v>
      </c>
      <c r="Q4872" s="2">
        <v>380.61</v>
      </c>
      <c r="R4872" t="s">
        <v>72</v>
      </c>
      <c r="S4872">
        <v>1</v>
      </c>
      <c r="T4872">
        <v>0</v>
      </c>
      <c r="U4872">
        <f>IF(AND(OR(Dashboard!$D$4="Semua",D4872=Dashboard!$D$4),OR(Dashboard!$H$4="Semua",E4872=Dashboard!$H$4)),1,0)</f>
        <v>1</v>
      </c>
      <c r="V4872">
        <f>IF(U4872=1,IF(COUNTIFS($C$2:C4872,C4872,$U$2:U4872,1)=1,1,0),0)</f>
        <v>0</v>
      </c>
    </row>
    <row r="4873" spans="1:22" x14ac:dyDescent="0.35">
      <c r="A4873">
        <v>14872</v>
      </c>
      <c r="B4873" s="1">
        <v>49433</v>
      </c>
      <c r="C4873">
        <v>1047</v>
      </c>
      <c r="D4873" t="s">
        <v>67</v>
      </c>
      <c r="E4873" t="s">
        <v>70</v>
      </c>
      <c r="F4873">
        <v>1</v>
      </c>
      <c r="G4873" s="2">
        <v>156.80000000000001</v>
      </c>
      <c r="H4873">
        <v>0.24</v>
      </c>
      <c r="I4873" t="s">
        <v>71</v>
      </c>
      <c r="J4873">
        <v>8</v>
      </c>
      <c r="K4873">
        <v>1.9</v>
      </c>
      <c r="L4873" s="2">
        <v>119.17</v>
      </c>
      <c r="M4873">
        <v>2035</v>
      </c>
      <c r="N4873">
        <v>5</v>
      </c>
      <c r="O4873" t="s">
        <v>240</v>
      </c>
      <c r="P4873" s="2">
        <v>156.80000000000001</v>
      </c>
      <c r="Q4873" s="2">
        <v>37.630000000000003</v>
      </c>
      <c r="R4873" t="s">
        <v>77</v>
      </c>
      <c r="S4873">
        <v>1</v>
      </c>
      <c r="T4873">
        <v>0</v>
      </c>
      <c r="U4873">
        <f>IF(AND(OR(Dashboard!$D$4="Semua",D4873=Dashboard!$D$4),OR(Dashboard!$H$4="Semua",E4873=Dashboard!$H$4)),1,0)</f>
        <v>1</v>
      </c>
      <c r="V4873">
        <f>IF(U4873=1,IF(COUNTIFS($C$2:C4873,C4873,$U$2:U4873,1)=1,1,0),0)</f>
        <v>0</v>
      </c>
    </row>
    <row r="4874" spans="1:22" x14ac:dyDescent="0.35">
      <c r="A4874">
        <v>14873</v>
      </c>
      <c r="B4874" s="1">
        <v>49434</v>
      </c>
      <c r="C4874">
        <v>1510</v>
      </c>
      <c r="D4874" t="s">
        <v>73</v>
      </c>
      <c r="E4874" t="s">
        <v>70</v>
      </c>
      <c r="F4874">
        <v>5</v>
      </c>
      <c r="G4874" s="2">
        <v>177.41</v>
      </c>
      <c r="H4874">
        <v>0.32</v>
      </c>
      <c r="I4874" t="s">
        <v>71</v>
      </c>
      <c r="J4874">
        <v>2</v>
      </c>
      <c r="K4874">
        <v>4.7</v>
      </c>
      <c r="L4874" s="2">
        <v>603.19000000000005</v>
      </c>
      <c r="M4874">
        <v>2035</v>
      </c>
      <c r="N4874">
        <v>5</v>
      </c>
      <c r="O4874" t="s">
        <v>240</v>
      </c>
      <c r="P4874" s="2">
        <v>887.05</v>
      </c>
      <c r="Q4874" s="2">
        <v>283.86</v>
      </c>
      <c r="R4874" t="s">
        <v>72</v>
      </c>
      <c r="S4874">
        <v>1</v>
      </c>
      <c r="T4874">
        <v>0</v>
      </c>
      <c r="U4874">
        <f>IF(AND(OR(Dashboard!$D$4="Semua",D4874=Dashboard!$D$4),OR(Dashboard!$H$4="Semua",E4874=Dashboard!$H$4)),1,0)</f>
        <v>1</v>
      </c>
      <c r="V4874">
        <f>IF(U4874=1,IF(COUNTIFS($C$2:C4874,C4874,$U$2:U4874,1)=1,1,0),0)</f>
        <v>0</v>
      </c>
    </row>
    <row r="4875" spans="1:22" x14ac:dyDescent="0.35">
      <c r="A4875">
        <v>14874</v>
      </c>
      <c r="B4875" s="1">
        <v>49435</v>
      </c>
      <c r="C4875">
        <v>1328</v>
      </c>
      <c r="D4875" t="s">
        <v>73</v>
      </c>
      <c r="E4875" t="s">
        <v>63</v>
      </c>
      <c r="F4875">
        <v>1</v>
      </c>
      <c r="G4875" s="2">
        <v>540.47</v>
      </c>
      <c r="H4875">
        <v>0.27</v>
      </c>
      <c r="I4875" t="s">
        <v>71</v>
      </c>
      <c r="J4875">
        <v>3</v>
      </c>
      <c r="K4875">
        <v>2.4</v>
      </c>
      <c r="L4875" s="2">
        <v>394.54</v>
      </c>
      <c r="M4875">
        <v>2035</v>
      </c>
      <c r="N4875">
        <v>5</v>
      </c>
      <c r="O4875" t="s">
        <v>240</v>
      </c>
      <c r="P4875" s="2">
        <v>540.47</v>
      </c>
      <c r="Q4875" s="2">
        <v>145.93</v>
      </c>
      <c r="R4875" t="s">
        <v>66</v>
      </c>
      <c r="S4875">
        <v>1</v>
      </c>
      <c r="T4875">
        <v>0</v>
      </c>
      <c r="U4875">
        <f>IF(AND(OR(Dashboard!$D$4="Semua",D4875=Dashboard!$D$4),OR(Dashboard!$H$4="Semua",E4875=Dashboard!$H$4)),1,0)</f>
        <v>1</v>
      </c>
      <c r="V4875">
        <f>IF(U4875=1,IF(COUNTIFS($C$2:C4875,C4875,$U$2:U4875,1)=1,1,0),0)</f>
        <v>0</v>
      </c>
    </row>
    <row r="4876" spans="1:22" x14ac:dyDescent="0.35">
      <c r="A4876">
        <v>14875</v>
      </c>
      <c r="B4876" s="1">
        <v>49436</v>
      </c>
      <c r="C4876">
        <v>1839</v>
      </c>
      <c r="D4876" t="s">
        <v>67</v>
      </c>
      <c r="E4876" t="s">
        <v>78</v>
      </c>
      <c r="F4876">
        <v>7</v>
      </c>
      <c r="G4876" s="2">
        <v>288.27</v>
      </c>
      <c r="H4876">
        <v>0.25</v>
      </c>
      <c r="I4876" t="s">
        <v>64</v>
      </c>
      <c r="J4876">
        <v>10</v>
      </c>
      <c r="K4876">
        <v>3.9</v>
      </c>
      <c r="L4876" s="2">
        <v>1513.42</v>
      </c>
      <c r="M4876">
        <v>2035</v>
      </c>
      <c r="N4876">
        <v>5</v>
      </c>
      <c r="O4876" t="s">
        <v>240</v>
      </c>
      <c r="P4876" s="2">
        <v>2017.89</v>
      </c>
      <c r="Q4876" s="2">
        <v>504.47</v>
      </c>
      <c r="R4876" t="s">
        <v>77</v>
      </c>
      <c r="S4876">
        <v>1</v>
      </c>
      <c r="T4876">
        <v>0</v>
      </c>
      <c r="U4876">
        <f>IF(AND(OR(Dashboard!$D$4="Semua",D4876=Dashboard!$D$4),OR(Dashboard!$H$4="Semua",E4876=Dashboard!$H$4)),1,0)</f>
        <v>1</v>
      </c>
      <c r="V4876">
        <f>IF(U4876=1,IF(COUNTIFS($C$2:C4876,C4876,$U$2:U4876,1)=1,1,0),0)</f>
        <v>0</v>
      </c>
    </row>
    <row r="4877" spans="1:22" x14ac:dyDescent="0.35">
      <c r="A4877">
        <v>14876</v>
      </c>
      <c r="B4877" s="1">
        <v>49437</v>
      </c>
      <c r="C4877">
        <v>1115</v>
      </c>
      <c r="D4877" t="s">
        <v>73</v>
      </c>
      <c r="E4877" t="s">
        <v>63</v>
      </c>
      <c r="F4877">
        <v>5</v>
      </c>
      <c r="G4877" s="2">
        <v>244.39</v>
      </c>
      <c r="H4877">
        <v>0.14000000000000001</v>
      </c>
      <c r="I4877" t="s">
        <v>68</v>
      </c>
      <c r="J4877">
        <v>9</v>
      </c>
      <c r="K4877">
        <v>4.4000000000000004</v>
      </c>
      <c r="L4877" s="2">
        <v>1050.8800000000001</v>
      </c>
      <c r="M4877">
        <v>2035</v>
      </c>
      <c r="N4877">
        <v>5</v>
      </c>
      <c r="O4877" t="s">
        <v>240</v>
      </c>
      <c r="P4877" s="2">
        <v>1221.95</v>
      </c>
      <c r="Q4877" s="2">
        <v>171.07</v>
      </c>
      <c r="R4877" t="s">
        <v>79</v>
      </c>
      <c r="S4877">
        <v>1</v>
      </c>
      <c r="T4877">
        <v>0</v>
      </c>
      <c r="U4877">
        <f>IF(AND(OR(Dashboard!$D$4="Semua",D4877=Dashboard!$D$4),OR(Dashboard!$H$4="Semua",E4877=Dashboard!$H$4)),1,0)</f>
        <v>1</v>
      </c>
      <c r="V4877">
        <f>IF(U4877=1,IF(COUNTIFS($C$2:C4877,C4877,$U$2:U4877,1)=1,1,0),0)</f>
        <v>0</v>
      </c>
    </row>
    <row r="4878" spans="1:22" x14ac:dyDescent="0.35">
      <c r="A4878">
        <v>14877</v>
      </c>
      <c r="B4878" s="1">
        <v>49438</v>
      </c>
      <c r="C4878">
        <v>1940</v>
      </c>
      <c r="D4878" t="s">
        <v>80</v>
      </c>
      <c r="E4878" t="s">
        <v>78</v>
      </c>
      <c r="F4878">
        <v>7</v>
      </c>
      <c r="G4878" s="2">
        <v>438.46</v>
      </c>
      <c r="H4878">
        <v>0.11</v>
      </c>
      <c r="I4878" t="s">
        <v>68</v>
      </c>
      <c r="J4878">
        <v>3</v>
      </c>
      <c r="K4878">
        <v>2.7</v>
      </c>
      <c r="L4878" s="2">
        <v>2731.61</v>
      </c>
      <c r="M4878">
        <v>2035</v>
      </c>
      <c r="N4878">
        <v>5</v>
      </c>
      <c r="O4878" t="s">
        <v>240</v>
      </c>
      <c r="P4878" s="2">
        <v>3069.22</v>
      </c>
      <c r="Q4878" s="2">
        <v>337.61</v>
      </c>
      <c r="R4878" t="s">
        <v>79</v>
      </c>
      <c r="S4878">
        <v>1</v>
      </c>
      <c r="T4878">
        <v>0</v>
      </c>
      <c r="U4878">
        <f>IF(AND(OR(Dashboard!$D$4="Semua",D4878=Dashboard!$D$4),OR(Dashboard!$H$4="Semua",E4878=Dashboard!$H$4)),1,0)</f>
        <v>1</v>
      </c>
      <c r="V4878">
        <f>IF(U4878=1,IF(COUNTIFS($C$2:C4878,C4878,$U$2:U4878,1)=1,1,0),0)</f>
        <v>0</v>
      </c>
    </row>
    <row r="4879" spans="1:22" x14ac:dyDescent="0.35">
      <c r="A4879">
        <v>14878</v>
      </c>
      <c r="B4879" s="1">
        <v>49439</v>
      </c>
      <c r="C4879">
        <v>1848</v>
      </c>
      <c r="D4879" t="s">
        <v>67</v>
      </c>
      <c r="E4879" t="s">
        <v>70</v>
      </c>
      <c r="F4879">
        <v>2</v>
      </c>
      <c r="G4879" s="2">
        <v>547.12</v>
      </c>
      <c r="H4879">
        <v>0.3</v>
      </c>
      <c r="I4879" t="s">
        <v>71</v>
      </c>
      <c r="J4879">
        <v>8</v>
      </c>
      <c r="K4879">
        <v>1.2</v>
      </c>
      <c r="L4879" s="2">
        <v>765.97</v>
      </c>
      <c r="M4879">
        <v>2035</v>
      </c>
      <c r="N4879">
        <v>5</v>
      </c>
      <c r="O4879" t="s">
        <v>240</v>
      </c>
      <c r="P4879" s="2">
        <v>1094.24</v>
      </c>
      <c r="Q4879" s="2">
        <v>328.27</v>
      </c>
      <c r="R4879" t="s">
        <v>66</v>
      </c>
      <c r="S4879">
        <v>1</v>
      </c>
      <c r="T4879">
        <v>0</v>
      </c>
      <c r="U4879">
        <f>IF(AND(OR(Dashboard!$D$4="Semua",D4879=Dashboard!$D$4),OR(Dashboard!$H$4="Semua",E4879=Dashboard!$H$4)),1,0)</f>
        <v>1</v>
      </c>
      <c r="V4879">
        <f>IF(U4879=1,IF(COUNTIFS($C$2:C4879,C4879,$U$2:U4879,1)=1,1,0),0)</f>
        <v>0</v>
      </c>
    </row>
    <row r="4880" spans="1:22" x14ac:dyDescent="0.35">
      <c r="A4880">
        <v>14879</v>
      </c>
      <c r="B4880" s="1">
        <v>49440</v>
      </c>
      <c r="C4880">
        <v>1336</v>
      </c>
      <c r="D4880" t="s">
        <v>73</v>
      </c>
      <c r="E4880" t="s">
        <v>74</v>
      </c>
      <c r="F4880">
        <v>4</v>
      </c>
      <c r="G4880" s="2">
        <v>29.65</v>
      </c>
      <c r="H4880">
        <v>0.32</v>
      </c>
      <c r="I4880" t="s">
        <v>64</v>
      </c>
      <c r="J4880">
        <v>5</v>
      </c>
      <c r="K4880">
        <v>4.8</v>
      </c>
      <c r="L4880" s="2">
        <v>80.650000000000006</v>
      </c>
      <c r="M4880">
        <v>2035</v>
      </c>
      <c r="N4880">
        <v>5</v>
      </c>
      <c r="O4880" t="s">
        <v>240</v>
      </c>
      <c r="P4880" s="2">
        <v>118.6</v>
      </c>
      <c r="Q4880" s="2">
        <v>37.950000000000003</v>
      </c>
      <c r="R4880" t="s">
        <v>72</v>
      </c>
      <c r="S4880">
        <v>1</v>
      </c>
      <c r="T4880">
        <v>0</v>
      </c>
      <c r="U4880">
        <f>IF(AND(OR(Dashboard!$D$4="Semua",D4880=Dashboard!$D$4),OR(Dashboard!$H$4="Semua",E4880=Dashboard!$H$4)),1,0)</f>
        <v>1</v>
      </c>
      <c r="V4880">
        <f>IF(U4880=1,IF(COUNTIFS($C$2:C4880,C4880,$U$2:U4880,1)=1,1,0),0)</f>
        <v>0</v>
      </c>
    </row>
    <row r="4881" spans="1:22" x14ac:dyDescent="0.35">
      <c r="A4881">
        <v>14880</v>
      </c>
      <c r="B4881" s="1">
        <v>49441</v>
      </c>
      <c r="C4881">
        <v>1880</v>
      </c>
      <c r="D4881" t="s">
        <v>80</v>
      </c>
      <c r="E4881" t="s">
        <v>74</v>
      </c>
      <c r="F4881">
        <v>6</v>
      </c>
      <c r="G4881" s="2">
        <v>277.22000000000003</v>
      </c>
      <c r="H4881">
        <v>0.16</v>
      </c>
      <c r="I4881" t="s">
        <v>64</v>
      </c>
      <c r="J4881">
        <v>7</v>
      </c>
      <c r="K4881">
        <v>1.3</v>
      </c>
      <c r="L4881" s="2">
        <v>1397.19</v>
      </c>
      <c r="M4881">
        <v>2035</v>
      </c>
      <c r="N4881">
        <v>5</v>
      </c>
      <c r="O4881" t="s">
        <v>240</v>
      </c>
      <c r="P4881" s="2">
        <v>1663.32</v>
      </c>
      <c r="Q4881" s="2">
        <v>266.13</v>
      </c>
      <c r="R4881" t="s">
        <v>76</v>
      </c>
      <c r="S4881">
        <v>1</v>
      </c>
      <c r="T4881">
        <v>0</v>
      </c>
      <c r="U4881">
        <f>IF(AND(OR(Dashboard!$D$4="Semua",D4881=Dashboard!$D$4),OR(Dashboard!$H$4="Semua",E4881=Dashboard!$H$4)),1,0)</f>
        <v>1</v>
      </c>
      <c r="V4881">
        <f>IF(U4881=1,IF(COUNTIFS($C$2:C4881,C4881,$U$2:U4881,1)=1,1,0),0)</f>
        <v>0</v>
      </c>
    </row>
    <row r="4882" spans="1:22" x14ac:dyDescent="0.35">
      <c r="A4882">
        <v>14881</v>
      </c>
      <c r="B4882" s="1">
        <v>49442</v>
      </c>
      <c r="C4882">
        <v>1736</v>
      </c>
      <c r="D4882" t="s">
        <v>73</v>
      </c>
      <c r="E4882" t="s">
        <v>74</v>
      </c>
      <c r="F4882">
        <v>1</v>
      </c>
      <c r="G4882" s="2">
        <v>372.31</v>
      </c>
      <c r="H4882">
        <v>0</v>
      </c>
      <c r="I4882" t="s">
        <v>71</v>
      </c>
      <c r="J4882">
        <v>4</v>
      </c>
      <c r="K4882">
        <v>2.4</v>
      </c>
      <c r="L4882" s="2">
        <v>372.31</v>
      </c>
      <c r="M4882">
        <v>2035</v>
      </c>
      <c r="N4882">
        <v>5</v>
      </c>
      <c r="O4882" t="s">
        <v>240</v>
      </c>
      <c r="P4882" s="2">
        <v>372.31</v>
      </c>
      <c r="Q4882" s="2">
        <v>0</v>
      </c>
      <c r="R4882" t="s">
        <v>75</v>
      </c>
      <c r="S4882">
        <v>1</v>
      </c>
      <c r="T4882">
        <v>0</v>
      </c>
      <c r="U4882">
        <f>IF(AND(OR(Dashboard!$D$4="Semua",D4882=Dashboard!$D$4),OR(Dashboard!$H$4="Semua",E4882=Dashboard!$H$4)),1,0)</f>
        <v>1</v>
      </c>
      <c r="V4882">
        <f>IF(U4882=1,IF(COUNTIFS($C$2:C4882,C4882,$U$2:U4882,1)=1,1,0),0)</f>
        <v>0</v>
      </c>
    </row>
    <row r="4883" spans="1:22" x14ac:dyDescent="0.35">
      <c r="A4883">
        <v>14882</v>
      </c>
      <c r="B4883" s="1">
        <v>49443</v>
      </c>
      <c r="C4883">
        <v>1863</v>
      </c>
      <c r="D4883" t="s">
        <v>67</v>
      </c>
      <c r="E4883" t="s">
        <v>78</v>
      </c>
      <c r="F4883">
        <v>3</v>
      </c>
      <c r="G4883" s="2">
        <v>201.36</v>
      </c>
      <c r="H4883">
        <v>0.28000000000000003</v>
      </c>
      <c r="I4883" t="s">
        <v>64</v>
      </c>
      <c r="J4883">
        <v>8</v>
      </c>
      <c r="K4883">
        <v>3.4</v>
      </c>
      <c r="L4883" s="2">
        <v>434.94</v>
      </c>
      <c r="M4883">
        <v>2035</v>
      </c>
      <c r="N4883">
        <v>5</v>
      </c>
      <c r="O4883" t="s">
        <v>240</v>
      </c>
      <c r="P4883" s="2">
        <v>604.08000000000004</v>
      </c>
      <c r="Q4883" s="2">
        <v>169.14</v>
      </c>
      <c r="R4883" t="s">
        <v>66</v>
      </c>
      <c r="S4883">
        <v>1</v>
      </c>
      <c r="T4883">
        <v>0</v>
      </c>
      <c r="U4883">
        <f>IF(AND(OR(Dashboard!$D$4="Semua",D4883=Dashboard!$D$4),OR(Dashboard!$H$4="Semua",E4883=Dashboard!$H$4)),1,0)</f>
        <v>1</v>
      </c>
      <c r="V4883">
        <f>IF(U4883=1,IF(COUNTIFS($C$2:C4883,C4883,$U$2:U4883,1)=1,1,0),0)</f>
        <v>0</v>
      </c>
    </row>
    <row r="4884" spans="1:22" x14ac:dyDescent="0.35">
      <c r="A4884">
        <v>14883</v>
      </c>
      <c r="B4884" s="1">
        <v>49444</v>
      </c>
      <c r="C4884">
        <v>1839</v>
      </c>
      <c r="D4884" t="s">
        <v>67</v>
      </c>
      <c r="E4884" t="s">
        <v>70</v>
      </c>
      <c r="F4884">
        <v>7</v>
      </c>
      <c r="G4884" s="2">
        <v>466.86</v>
      </c>
      <c r="H4884">
        <v>0.1</v>
      </c>
      <c r="I4884" t="s">
        <v>71</v>
      </c>
      <c r="J4884">
        <v>4</v>
      </c>
      <c r="K4884">
        <v>1.5</v>
      </c>
      <c r="L4884" s="2">
        <v>2941.22</v>
      </c>
      <c r="M4884">
        <v>2035</v>
      </c>
      <c r="N4884">
        <v>5</v>
      </c>
      <c r="O4884" t="s">
        <v>240</v>
      </c>
      <c r="P4884" s="2">
        <v>3268.02</v>
      </c>
      <c r="Q4884" s="2">
        <v>326.8</v>
      </c>
      <c r="R4884" t="s">
        <v>69</v>
      </c>
      <c r="S4884">
        <v>1</v>
      </c>
      <c r="T4884">
        <v>0</v>
      </c>
      <c r="U4884">
        <f>IF(AND(OR(Dashboard!$D$4="Semua",D4884=Dashboard!$D$4),OR(Dashboard!$H$4="Semua",E4884=Dashboard!$H$4)),1,0)</f>
        <v>1</v>
      </c>
      <c r="V4884">
        <f>IF(U4884=1,IF(COUNTIFS($C$2:C4884,C4884,$U$2:U4884,1)=1,1,0),0)</f>
        <v>0</v>
      </c>
    </row>
    <row r="4885" spans="1:22" x14ac:dyDescent="0.35">
      <c r="A4885">
        <v>14884</v>
      </c>
      <c r="B4885" s="1">
        <v>49445</v>
      </c>
      <c r="C4885">
        <v>1146</v>
      </c>
      <c r="D4885" t="s">
        <v>73</v>
      </c>
      <c r="E4885" t="s">
        <v>63</v>
      </c>
      <c r="F4885">
        <v>7</v>
      </c>
      <c r="G4885" s="2">
        <v>583.30999999999995</v>
      </c>
      <c r="H4885">
        <v>0</v>
      </c>
      <c r="I4885" t="s">
        <v>68</v>
      </c>
      <c r="J4885">
        <v>5</v>
      </c>
      <c r="K4885">
        <v>4.4000000000000004</v>
      </c>
      <c r="L4885" s="2">
        <v>4083.17</v>
      </c>
      <c r="M4885">
        <v>2035</v>
      </c>
      <c r="N4885">
        <v>5</v>
      </c>
      <c r="O4885" t="s">
        <v>240</v>
      </c>
      <c r="P4885" s="2">
        <v>4083.17</v>
      </c>
      <c r="Q4885" s="2">
        <v>0</v>
      </c>
      <c r="R4885" t="s">
        <v>75</v>
      </c>
      <c r="S4885">
        <v>1</v>
      </c>
      <c r="T4885">
        <v>1</v>
      </c>
      <c r="U4885">
        <f>IF(AND(OR(Dashboard!$D$4="Semua",D4885=Dashboard!$D$4),OR(Dashboard!$H$4="Semua",E4885=Dashboard!$H$4)),1,0)</f>
        <v>1</v>
      </c>
      <c r="V4885">
        <f>IF(U4885=1,IF(COUNTIFS($C$2:C4885,C4885,$U$2:U4885,1)=1,1,0),0)</f>
        <v>0</v>
      </c>
    </row>
    <row r="4886" spans="1:22" x14ac:dyDescent="0.35">
      <c r="A4886">
        <v>14885</v>
      </c>
      <c r="B4886" s="1">
        <v>49446</v>
      </c>
      <c r="C4886">
        <v>1574</v>
      </c>
      <c r="D4886" t="s">
        <v>67</v>
      </c>
      <c r="E4886" t="s">
        <v>74</v>
      </c>
      <c r="F4886">
        <v>4</v>
      </c>
      <c r="G4886" s="2">
        <v>566.91</v>
      </c>
      <c r="H4886">
        <v>0.28000000000000003</v>
      </c>
      <c r="I4886" t="s">
        <v>71</v>
      </c>
      <c r="J4886">
        <v>1</v>
      </c>
      <c r="K4886">
        <v>1.8</v>
      </c>
      <c r="L4886" s="2">
        <v>1632.7</v>
      </c>
      <c r="M4886">
        <v>2035</v>
      </c>
      <c r="N4886">
        <v>5</v>
      </c>
      <c r="O4886" t="s">
        <v>240</v>
      </c>
      <c r="P4886" s="2">
        <v>2267.64</v>
      </c>
      <c r="Q4886" s="2">
        <v>634.94000000000005</v>
      </c>
      <c r="R4886" t="s">
        <v>66</v>
      </c>
      <c r="S4886">
        <v>1</v>
      </c>
      <c r="T4886">
        <v>0</v>
      </c>
      <c r="U4886">
        <f>IF(AND(OR(Dashboard!$D$4="Semua",D4886=Dashboard!$D$4),OR(Dashboard!$H$4="Semua",E4886=Dashboard!$H$4)),1,0)</f>
        <v>1</v>
      </c>
      <c r="V4886">
        <f>IF(U4886=1,IF(COUNTIFS($C$2:C4886,C4886,$U$2:U4886,1)=1,1,0),0)</f>
        <v>0</v>
      </c>
    </row>
    <row r="4887" spans="1:22" x14ac:dyDescent="0.35">
      <c r="A4887">
        <v>14886</v>
      </c>
      <c r="B4887" s="1">
        <v>49447</v>
      </c>
      <c r="C4887">
        <v>1805</v>
      </c>
      <c r="D4887" t="s">
        <v>62</v>
      </c>
      <c r="E4887" t="s">
        <v>78</v>
      </c>
      <c r="F4887">
        <v>1</v>
      </c>
      <c r="G4887" s="2">
        <v>170.6</v>
      </c>
      <c r="H4887">
        <v>0.18</v>
      </c>
      <c r="I4887" t="s">
        <v>68</v>
      </c>
      <c r="J4887">
        <v>10</v>
      </c>
      <c r="K4887">
        <v>4.9000000000000004</v>
      </c>
      <c r="L4887" s="2">
        <v>139.88999999999999</v>
      </c>
      <c r="M4887">
        <v>2035</v>
      </c>
      <c r="N4887">
        <v>5</v>
      </c>
      <c r="O4887" t="s">
        <v>240</v>
      </c>
      <c r="P4887" s="2">
        <v>170.6</v>
      </c>
      <c r="Q4887" s="2">
        <v>30.71</v>
      </c>
      <c r="R4887" t="s">
        <v>76</v>
      </c>
      <c r="S4887">
        <v>1</v>
      </c>
      <c r="T4887">
        <v>0</v>
      </c>
      <c r="U4887">
        <f>IF(AND(OR(Dashboard!$D$4="Semua",D4887=Dashboard!$D$4),OR(Dashboard!$H$4="Semua",E4887=Dashboard!$H$4)),1,0)</f>
        <v>1</v>
      </c>
      <c r="V4887">
        <f>IF(U4887=1,IF(COUNTIFS($C$2:C4887,C4887,$U$2:U4887,1)=1,1,0),0)</f>
        <v>0</v>
      </c>
    </row>
    <row r="4888" spans="1:22" x14ac:dyDescent="0.35">
      <c r="A4888">
        <v>14887</v>
      </c>
      <c r="B4888" s="1">
        <v>49448</v>
      </c>
      <c r="C4888">
        <v>1322</v>
      </c>
      <c r="D4888" t="s">
        <v>62</v>
      </c>
      <c r="E4888" t="s">
        <v>74</v>
      </c>
      <c r="F4888">
        <v>3</v>
      </c>
      <c r="G4888" s="2">
        <v>147.41</v>
      </c>
      <c r="H4888">
        <v>0.24</v>
      </c>
      <c r="I4888" t="s">
        <v>68</v>
      </c>
      <c r="J4888">
        <v>8</v>
      </c>
      <c r="K4888">
        <v>4.7</v>
      </c>
      <c r="L4888" s="2">
        <v>336.09</v>
      </c>
      <c r="M4888">
        <v>2035</v>
      </c>
      <c r="N4888">
        <v>5</v>
      </c>
      <c r="O4888" t="s">
        <v>240</v>
      </c>
      <c r="P4888" s="2">
        <v>442.23</v>
      </c>
      <c r="Q4888" s="2">
        <v>106.14</v>
      </c>
      <c r="R4888" t="s">
        <v>77</v>
      </c>
      <c r="S4888">
        <v>1</v>
      </c>
      <c r="T4888">
        <v>0</v>
      </c>
      <c r="U4888">
        <f>IF(AND(OR(Dashboard!$D$4="Semua",D4888=Dashboard!$D$4),OR(Dashboard!$H$4="Semua",E4888=Dashboard!$H$4)),1,0)</f>
        <v>1</v>
      </c>
      <c r="V4888">
        <f>IF(U4888=1,IF(COUNTIFS($C$2:C4888,C4888,$U$2:U4888,1)=1,1,0),0)</f>
        <v>0</v>
      </c>
    </row>
    <row r="4889" spans="1:22" x14ac:dyDescent="0.35">
      <c r="A4889">
        <v>14888</v>
      </c>
      <c r="B4889" s="1">
        <v>49449</v>
      </c>
      <c r="C4889">
        <v>1442</v>
      </c>
      <c r="D4889" t="s">
        <v>67</v>
      </c>
      <c r="E4889" t="s">
        <v>63</v>
      </c>
      <c r="F4889">
        <v>3</v>
      </c>
      <c r="G4889" s="2">
        <v>575.13</v>
      </c>
      <c r="H4889">
        <v>0.32</v>
      </c>
      <c r="I4889" t="s">
        <v>68</v>
      </c>
      <c r="J4889">
        <v>7</v>
      </c>
      <c r="K4889">
        <v>3.4</v>
      </c>
      <c r="L4889" s="2">
        <v>1173.27</v>
      </c>
      <c r="M4889">
        <v>2035</v>
      </c>
      <c r="N4889">
        <v>5</v>
      </c>
      <c r="O4889" t="s">
        <v>240</v>
      </c>
      <c r="P4889" s="2">
        <v>1725.39</v>
      </c>
      <c r="Q4889" s="2">
        <v>552.12</v>
      </c>
      <c r="R4889" t="s">
        <v>72</v>
      </c>
      <c r="S4889">
        <v>1</v>
      </c>
      <c r="T4889">
        <v>0</v>
      </c>
      <c r="U4889">
        <f>IF(AND(OR(Dashboard!$D$4="Semua",D4889=Dashboard!$D$4),OR(Dashboard!$H$4="Semua",E4889=Dashboard!$H$4)),1,0)</f>
        <v>1</v>
      </c>
      <c r="V4889">
        <f>IF(U4889=1,IF(COUNTIFS($C$2:C4889,C4889,$U$2:U4889,1)=1,1,0),0)</f>
        <v>0</v>
      </c>
    </row>
    <row r="4890" spans="1:22" x14ac:dyDescent="0.35">
      <c r="A4890">
        <v>14889</v>
      </c>
      <c r="B4890" s="1">
        <v>49450</v>
      </c>
      <c r="C4890">
        <v>1836</v>
      </c>
      <c r="D4890" t="s">
        <v>67</v>
      </c>
      <c r="E4890" t="s">
        <v>70</v>
      </c>
      <c r="F4890">
        <v>7</v>
      </c>
      <c r="G4890" s="2">
        <v>283.3</v>
      </c>
      <c r="H4890">
        <v>0.19</v>
      </c>
      <c r="I4890" t="s">
        <v>68</v>
      </c>
      <c r="J4890">
        <v>11</v>
      </c>
      <c r="K4890">
        <v>3.6</v>
      </c>
      <c r="L4890" s="2">
        <v>1606.31</v>
      </c>
      <c r="M4890">
        <v>2035</v>
      </c>
      <c r="N4890">
        <v>5</v>
      </c>
      <c r="O4890" t="s">
        <v>240</v>
      </c>
      <c r="P4890" s="2">
        <v>1983.1</v>
      </c>
      <c r="Q4890" s="2">
        <v>376.79</v>
      </c>
      <c r="R4890" t="s">
        <v>76</v>
      </c>
      <c r="S4890">
        <v>1</v>
      </c>
      <c r="T4890">
        <v>0</v>
      </c>
      <c r="U4890">
        <f>IF(AND(OR(Dashboard!$D$4="Semua",D4890=Dashboard!$D$4),OR(Dashboard!$H$4="Semua",E4890=Dashboard!$H$4)),1,0)</f>
        <v>1</v>
      </c>
      <c r="V4890">
        <f>IF(U4890=1,IF(COUNTIFS($C$2:C4890,C4890,$U$2:U4890,1)=1,1,0),0)</f>
        <v>0</v>
      </c>
    </row>
    <row r="4891" spans="1:22" x14ac:dyDescent="0.35">
      <c r="A4891">
        <v>14890</v>
      </c>
      <c r="B4891" s="1">
        <v>49451</v>
      </c>
      <c r="C4891">
        <v>1012</v>
      </c>
      <c r="D4891" t="s">
        <v>73</v>
      </c>
      <c r="E4891" t="s">
        <v>63</v>
      </c>
      <c r="F4891">
        <v>6</v>
      </c>
      <c r="G4891" s="2">
        <v>136.85</v>
      </c>
      <c r="H4891">
        <v>0.18</v>
      </c>
      <c r="I4891" t="s">
        <v>68</v>
      </c>
      <c r="J4891">
        <v>5</v>
      </c>
      <c r="K4891">
        <v>3.1</v>
      </c>
      <c r="L4891" s="2">
        <v>673.3</v>
      </c>
      <c r="M4891">
        <v>2035</v>
      </c>
      <c r="N4891">
        <v>5</v>
      </c>
      <c r="O4891" t="s">
        <v>240</v>
      </c>
      <c r="P4891" s="2">
        <v>821.1</v>
      </c>
      <c r="Q4891" s="2">
        <v>147.80000000000001</v>
      </c>
      <c r="R4891" t="s">
        <v>76</v>
      </c>
      <c r="S4891">
        <v>1</v>
      </c>
      <c r="T4891">
        <v>0</v>
      </c>
      <c r="U4891">
        <f>IF(AND(OR(Dashboard!$D$4="Semua",D4891=Dashboard!$D$4),OR(Dashboard!$H$4="Semua",E4891=Dashboard!$H$4)),1,0)</f>
        <v>1</v>
      </c>
      <c r="V4891">
        <f>IF(U4891=1,IF(COUNTIFS($C$2:C4891,C4891,$U$2:U4891,1)=1,1,0),0)</f>
        <v>0</v>
      </c>
    </row>
    <row r="4892" spans="1:22" x14ac:dyDescent="0.35">
      <c r="A4892">
        <v>14891</v>
      </c>
      <c r="B4892" s="1">
        <v>49452</v>
      </c>
      <c r="C4892">
        <v>1942</v>
      </c>
      <c r="D4892" t="s">
        <v>73</v>
      </c>
      <c r="E4892" t="s">
        <v>70</v>
      </c>
      <c r="F4892">
        <v>7</v>
      </c>
      <c r="G4892" s="2">
        <v>428.59</v>
      </c>
      <c r="H4892">
        <v>0.1</v>
      </c>
      <c r="I4892" t="s">
        <v>68</v>
      </c>
      <c r="J4892">
        <v>6</v>
      </c>
      <c r="K4892">
        <v>2.6</v>
      </c>
      <c r="L4892" s="2">
        <v>2700.12</v>
      </c>
      <c r="M4892">
        <v>2035</v>
      </c>
      <c r="N4892">
        <v>5</v>
      </c>
      <c r="O4892" t="s">
        <v>240</v>
      </c>
      <c r="P4892" s="2">
        <v>3000.13</v>
      </c>
      <c r="Q4892" s="2">
        <v>300.01</v>
      </c>
      <c r="R4892" t="s">
        <v>69</v>
      </c>
      <c r="S4892">
        <v>1</v>
      </c>
      <c r="T4892">
        <v>0</v>
      </c>
      <c r="U4892">
        <f>IF(AND(OR(Dashboard!$D$4="Semua",D4892=Dashboard!$D$4),OR(Dashboard!$H$4="Semua",E4892=Dashboard!$H$4)),1,0)</f>
        <v>1</v>
      </c>
      <c r="V4892">
        <f>IF(U4892=1,IF(COUNTIFS($C$2:C4892,C4892,$U$2:U4892,1)=1,1,0),0)</f>
        <v>0</v>
      </c>
    </row>
    <row r="4893" spans="1:22" x14ac:dyDescent="0.35">
      <c r="A4893">
        <v>14892</v>
      </c>
      <c r="B4893" s="1">
        <v>49453</v>
      </c>
      <c r="C4893">
        <v>1493</v>
      </c>
      <c r="D4893" t="s">
        <v>67</v>
      </c>
      <c r="E4893" t="s">
        <v>70</v>
      </c>
      <c r="F4893">
        <v>6</v>
      </c>
      <c r="G4893" s="2">
        <v>181.39</v>
      </c>
      <c r="H4893">
        <v>0.11</v>
      </c>
      <c r="I4893" t="s">
        <v>68</v>
      </c>
      <c r="J4893">
        <v>1</v>
      </c>
      <c r="K4893">
        <v>2.4</v>
      </c>
      <c r="L4893" s="2">
        <v>968.62</v>
      </c>
      <c r="M4893">
        <v>2035</v>
      </c>
      <c r="N4893">
        <v>5</v>
      </c>
      <c r="O4893" t="s">
        <v>240</v>
      </c>
      <c r="P4893" s="2">
        <v>1088.3399999999999</v>
      </c>
      <c r="Q4893" s="2">
        <v>119.72</v>
      </c>
      <c r="R4893" t="s">
        <v>79</v>
      </c>
      <c r="S4893">
        <v>1</v>
      </c>
      <c r="T4893">
        <v>0</v>
      </c>
      <c r="U4893">
        <f>IF(AND(OR(Dashboard!$D$4="Semua",D4893=Dashboard!$D$4),OR(Dashboard!$H$4="Semua",E4893=Dashboard!$H$4)),1,0)</f>
        <v>1</v>
      </c>
      <c r="V4893">
        <f>IF(U4893=1,IF(COUNTIFS($C$2:C4893,C4893,$U$2:U4893,1)=1,1,0),0)</f>
        <v>0</v>
      </c>
    </row>
    <row r="4894" spans="1:22" x14ac:dyDescent="0.35">
      <c r="A4894">
        <v>14893</v>
      </c>
      <c r="B4894" s="1">
        <v>49454</v>
      </c>
      <c r="C4894">
        <v>1700</v>
      </c>
      <c r="D4894" t="s">
        <v>67</v>
      </c>
      <c r="E4894" t="s">
        <v>70</v>
      </c>
      <c r="F4894">
        <v>7</v>
      </c>
      <c r="G4894" s="2">
        <v>171.34</v>
      </c>
      <c r="H4894">
        <v>0.28000000000000003</v>
      </c>
      <c r="I4894" t="s">
        <v>68</v>
      </c>
      <c r="J4894">
        <v>8</v>
      </c>
      <c r="K4894">
        <v>4.5999999999999996</v>
      </c>
      <c r="L4894" s="2">
        <v>863.55</v>
      </c>
      <c r="M4894">
        <v>2035</v>
      </c>
      <c r="N4894">
        <v>5</v>
      </c>
      <c r="O4894" t="s">
        <v>240</v>
      </c>
      <c r="P4894" s="2">
        <v>1199.3800000000001</v>
      </c>
      <c r="Q4894" s="2">
        <v>335.83</v>
      </c>
      <c r="R4894" t="s">
        <v>66</v>
      </c>
      <c r="S4894">
        <v>1</v>
      </c>
      <c r="T4894">
        <v>0</v>
      </c>
      <c r="U4894">
        <f>IF(AND(OR(Dashboard!$D$4="Semua",D4894=Dashboard!$D$4),OR(Dashboard!$H$4="Semua",E4894=Dashboard!$H$4)),1,0)</f>
        <v>1</v>
      </c>
      <c r="V4894">
        <f>IF(U4894=1,IF(COUNTIFS($C$2:C4894,C4894,$U$2:U4894,1)=1,1,0),0)</f>
        <v>0</v>
      </c>
    </row>
    <row r="4895" spans="1:22" x14ac:dyDescent="0.35">
      <c r="A4895">
        <v>14894</v>
      </c>
      <c r="B4895" s="1">
        <v>49455</v>
      </c>
      <c r="C4895">
        <v>1286</v>
      </c>
      <c r="D4895" t="s">
        <v>62</v>
      </c>
      <c r="E4895" t="s">
        <v>74</v>
      </c>
      <c r="F4895">
        <v>7</v>
      </c>
      <c r="G4895" s="2">
        <v>529.36</v>
      </c>
      <c r="H4895">
        <v>0.16</v>
      </c>
      <c r="I4895" t="s">
        <v>71</v>
      </c>
      <c r="J4895">
        <v>9</v>
      </c>
      <c r="K4895">
        <v>3.3</v>
      </c>
      <c r="L4895" s="2">
        <v>3112.64</v>
      </c>
      <c r="M4895">
        <v>2035</v>
      </c>
      <c r="N4895">
        <v>5</v>
      </c>
      <c r="O4895" t="s">
        <v>240</v>
      </c>
      <c r="P4895" s="2">
        <v>3705.52</v>
      </c>
      <c r="Q4895" s="2">
        <v>592.88</v>
      </c>
      <c r="R4895" t="s">
        <v>76</v>
      </c>
      <c r="S4895">
        <v>1</v>
      </c>
      <c r="T4895">
        <v>0</v>
      </c>
      <c r="U4895">
        <f>IF(AND(OR(Dashboard!$D$4="Semua",D4895=Dashboard!$D$4),OR(Dashboard!$H$4="Semua",E4895=Dashboard!$H$4)),1,0)</f>
        <v>1</v>
      </c>
      <c r="V4895">
        <f>IF(U4895=1,IF(COUNTIFS($C$2:C4895,C4895,$U$2:U4895,1)=1,1,0),0)</f>
        <v>0</v>
      </c>
    </row>
    <row r="4896" spans="1:22" x14ac:dyDescent="0.35">
      <c r="A4896">
        <v>14895</v>
      </c>
      <c r="B4896" s="1">
        <v>49456</v>
      </c>
      <c r="C4896">
        <v>1719</v>
      </c>
      <c r="D4896" t="s">
        <v>67</v>
      </c>
      <c r="E4896" t="s">
        <v>63</v>
      </c>
      <c r="F4896">
        <v>3</v>
      </c>
      <c r="G4896" s="2">
        <v>110.05</v>
      </c>
      <c r="H4896">
        <v>0.06</v>
      </c>
      <c r="I4896" t="s">
        <v>71</v>
      </c>
      <c r="J4896">
        <v>11</v>
      </c>
      <c r="K4896">
        <v>4.3</v>
      </c>
      <c r="L4896" s="2">
        <v>310.33999999999997</v>
      </c>
      <c r="M4896">
        <v>2035</v>
      </c>
      <c r="N4896">
        <v>5</v>
      </c>
      <c r="O4896" t="s">
        <v>240</v>
      </c>
      <c r="P4896" s="2">
        <v>330.15</v>
      </c>
      <c r="Q4896" s="2">
        <v>19.809999999999999</v>
      </c>
      <c r="R4896" t="s">
        <v>69</v>
      </c>
      <c r="S4896">
        <v>1</v>
      </c>
      <c r="T4896">
        <v>0</v>
      </c>
      <c r="U4896">
        <f>IF(AND(OR(Dashboard!$D$4="Semua",D4896=Dashboard!$D$4),OR(Dashboard!$H$4="Semua",E4896=Dashboard!$H$4)),1,0)</f>
        <v>1</v>
      </c>
      <c r="V4896">
        <f>IF(U4896=1,IF(COUNTIFS($C$2:C4896,C4896,$U$2:U4896,1)=1,1,0),0)</f>
        <v>0</v>
      </c>
    </row>
    <row r="4897" spans="1:22" x14ac:dyDescent="0.35">
      <c r="A4897">
        <v>14896</v>
      </c>
      <c r="B4897" s="1">
        <v>49457</v>
      </c>
      <c r="C4897">
        <v>1113</v>
      </c>
      <c r="D4897" t="s">
        <v>67</v>
      </c>
      <c r="E4897" t="s">
        <v>74</v>
      </c>
      <c r="F4897">
        <v>6</v>
      </c>
      <c r="G4897" s="2">
        <v>52.67</v>
      </c>
      <c r="H4897">
        <v>0.03</v>
      </c>
      <c r="I4897" t="s">
        <v>64</v>
      </c>
      <c r="J4897">
        <v>5</v>
      </c>
      <c r="K4897">
        <v>3.1</v>
      </c>
      <c r="L4897" s="2">
        <v>306.54000000000002</v>
      </c>
      <c r="M4897">
        <v>2035</v>
      </c>
      <c r="N4897">
        <v>5</v>
      </c>
      <c r="O4897" t="s">
        <v>240</v>
      </c>
      <c r="P4897" s="2">
        <v>316.02</v>
      </c>
      <c r="Q4897" s="2">
        <v>9.48</v>
      </c>
      <c r="R4897" t="s">
        <v>75</v>
      </c>
      <c r="S4897">
        <v>1</v>
      </c>
      <c r="T4897">
        <v>0</v>
      </c>
      <c r="U4897">
        <f>IF(AND(OR(Dashboard!$D$4="Semua",D4897=Dashboard!$D$4),OR(Dashboard!$H$4="Semua",E4897=Dashboard!$H$4)),1,0)</f>
        <v>1</v>
      </c>
      <c r="V4897">
        <f>IF(U4897=1,IF(COUNTIFS($C$2:C4897,C4897,$U$2:U4897,1)=1,1,0),0)</f>
        <v>0</v>
      </c>
    </row>
    <row r="4898" spans="1:22" x14ac:dyDescent="0.35">
      <c r="A4898">
        <v>14897</v>
      </c>
      <c r="B4898" s="1">
        <v>49458</v>
      </c>
      <c r="C4898">
        <v>1479</v>
      </c>
      <c r="D4898" t="s">
        <v>67</v>
      </c>
      <c r="E4898" t="s">
        <v>63</v>
      </c>
      <c r="F4898">
        <v>3</v>
      </c>
      <c r="G4898" s="2">
        <v>172.47</v>
      </c>
      <c r="H4898">
        <v>0.17</v>
      </c>
      <c r="I4898" t="s">
        <v>64</v>
      </c>
      <c r="J4898">
        <v>10</v>
      </c>
      <c r="K4898">
        <v>2.2000000000000002</v>
      </c>
      <c r="L4898" s="2">
        <v>429.45</v>
      </c>
      <c r="M4898">
        <v>2035</v>
      </c>
      <c r="N4898">
        <v>5</v>
      </c>
      <c r="O4898" t="s">
        <v>240</v>
      </c>
      <c r="P4898" s="2">
        <v>517.41</v>
      </c>
      <c r="Q4898" s="2">
        <v>87.96</v>
      </c>
      <c r="R4898" t="s">
        <v>76</v>
      </c>
      <c r="S4898">
        <v>1</v>
      </c>
      <c r="T4898">
        <v>0</v>
      </c>
      <c r="U4898">
        <f>IF(AND(OR(Dashboard!$D$4="Semua",D4898=Dashboard!$D$4),OR(Dashboard!$H$4="Semua",E4898=Dashboard!$H$4)),1,0)</f>
        <v>1</v>
      </c>
      <c r="V4898">
        <f>IF(U4898=1,IF(COUNTIFS($C$2:C4898,C4898,$U$2:U4898,1)=1,1,0),0)</f>
        <v>0</v>
      </c>
    </row>
    <row r="4899" spans="1:22" x14ac:dyDescent="0.35">
      <c r="A4899">
        <v>14898</v>
      </c>
      <c r="B4899" s="1">
        <v>49459</v>
      </c>
      <c r="C4899">
        <v>1021</v>
      </c>
      <c r="D4899" t="s">
        <v>80</v>
      </c>
      <c r="E4899" t="s">
        <v>78</v>
      </c>
      <c r="F4899">
        <v>1</v>
      </c>
      <c r="G4899" s="2">
        <v>370.06</v>
      </c>
      <c r="H4899">
        <v>0.16</v>
      </c>
      <c r="I4899" t="s">
        <v>68</v>
      </c>
      <c r="J4899">
        <v>7</v>
      </c>
      <c r="K4899">
        <v>1.4</v>
      </c>
      <c r="L4899" s="2">
        <v>310.85000000000002</v>
      </c>
      <c r="M4899">
        <v>2035</v>
      </c>
      <c r="N4899">
        <v>5</v>
      </c>
      <c r="O4899" t="s">
        <v>240</v>
      </c>
      <c r="P4899" s="2">
        <v>370.06</v>
      </c>
      <c r="Q4899" s="2">
        <v>59.21</v>
      </c>
      <c r="R4899" t="s">
        <v>76</v>
      </c>
      <c r="S4899">
        <v>1</v>
      </c>
      <c r="T4899">
        <v>0</v>
      </c>
      <c r="U4899">
        <f>IF(AND(OR(Dashboard!$D$4="Semua",D4899=Dashboard!$D$4),OR(Dashboard!$H$4="Semua",E4899=Dashboard!$H$4)),1,0)</f>
        <v>1</v>
      </c>
      <c r="V4899">
        <f>IF(U4899=1,IF(COUNTIFS($C$2:C4899,C4899,$U$2:U4899,1)=1,1,0),0)</f>
        <v>0</v>
      </c>
    </row>
    <row r="4900" spans="1:22" x14ac:dyDescent="0.35">
      <c r="A4900">
        <v>14899</v>
      </c>
      <c r="B4900" s="1">
        <v>49460</v>
      </c>
      <c r="C4900">
        <v>1348</v>
      </c>
      <c r="D4900" t="s">
        <v>80</v>
      </c>
      <c r="E4900" t="s">
        <v>78</v>
      </c>
      <c r="F4900">
        <v>7</v>
      </c>
      <c r="G4900" s="2">
        <v>87.01</v>
      </c>
      <c r="H4900">
        <v>0.23</v>
      </c>
      <c r="I4900" t="s">
        <v>71</v>
      </c>
      <c r="J4900">
        <v>10</v>
      </c>
      <c r="K4900">
        <v>2.2999999999999998</v>
      </c>
      <c r="L4900" s="2">
        <v>468.98</v>
      </c>
      <c r="M4900">
        <v>2035</v>
      </c>
      <c r="N4900">
        <v>5</v>
      </c>
      <c r="O4900" t="s">
        <v>240</v>
      </c>
      <c r="P4900" s="2">
        <v>609.07000000000005</v>
      </c>
      <c r="Q4900" s="2">
        <v>140.09</v>
      </c>
      <c r="R4900" t="s">
        <v>77</v>
      </c>
      <c r="S4900">
        <v>1</v>
      </c>
      <c r="T4900">
        <v>0</v>
      </c>
      <c r="U4900">
        <f>IF(AND(OR(Dashboard!$D$4="Semua",D4900=Dashboard!$D$4),OR(Dashboard!$H$4="Semua",E4900=Dashboard!$H$4)),1,0)</f>
        <v>1</v>
      </c>
      <c r="V4900">
        <f>IF(U4900=1,IF(COUNTIFS($C$2:C4900,C4900,$U$2:U4900,1)=1,1,0),0)</f>
        <v>0</v>
      </c>
    </row>
    <row r="4901" spans="1:22" x14ac:dyDescent="0.35">
      <c r="A4901">
        <v>14900</v>
      </c>
      <c r="B4901" s="1">
        <v>49461</v>
      </c>
      <c r="C4901">
        <v>1725</v>
      </c>
      <c r="D4901" t="s">
        <v>67</v>
      </c>
      <c r="E4901" t="s">
        <v>63</v>
      </c>
      <c r="F4901">
        <v>2</v>
      </c>
      <c r="G4901" s="2">
        <v>290.88</v>
      </c>
      <c r="H4901">
        <v>0.16</v>
      </c>
      <c r="I4901" t="s">
        <v>68</v>
      </c>
      <c r="J4901">
        <v>4</v>
      </c>
      <c r="K4901">
        <v>4.5</v>
      </c>
      <c r="L4901" s="2">
        <v>488.68</v>
      </c>
      <c r="M4901">
        <v>2035</v>
      </c>
      <c r="N4901">
        <v>6</v>
      </c>
      <c r="O4901" t="s">
        <v>241</v>
      </c>
      <c r="P4901" s="2">
        <v>581.76</v>
      </c>
      <c r="Q4901" s="2">
        <v>93.08</v>
      </c>
      <c r="R4901" t="s">
        <v>76</v>
      </c>
      <c r="S4901">
        <v>1</v>
      </c>
      <c r="T4901">
        <v>0</v>
      </c>
      <c r="U4901">
        <f>IF(AND(OR(Dashboard!$D$4="Semua",D4901=Dashboard!$D$4),OR(Dashboard!$H$4="Semua",E4901=Dashboard!$H$4)),1,0)</f>
        <v>1</v>
      </c>
      <c r="V4901">
        <f>IF(U4901=1,IF(COUNTIFS($C$2:C4901,C4901,$U$2:U4901,1)=1,1,0),0)</f>
        <v>0</v>
      </c>
    </row>
    <row r="4902" spans="1:22" x14ac:dyDescent="0.35">
      <c r="A4902">
        <v>14901</v>
      </c>
      <c r="B4902" s="1">
        <v>49462</v>
      </c>
      <c r="C4902">
        <v>1682</v>
      </c>
      <c r="D4902" t="s">
        <v>73</v>
      </c>
      <c r="E4902" t="s">
        <v>63</v>
      </c>
      <c r="F4902">
        <v>6</v>
      </c>
      <c r="G4902" s="2">
        <v>381.99</v>
      </c>
      <c r="H4902">
        <v>0.05</v>
      </c>
      <c r="I4902" t="s">
        <v>68</v>
      </c>
      <c r="J4902">
        <v>6</v>
      </c>
      <c r="K4902">
        <v>3.8</v>
      </c>
      <c r="L4902" s="2">
        <v>2177.34</v>
      </c>
      <c r="M4902">
        <v>2035</v>
      </c>
      <c r="N4902">
        <v>6</v>
      </c>
      <c r="O4902" t="s">
        <v>241</v>
      </c>
      <c r="P4902" s="2">
        <v>2291.94</v>
      </c>
      <c r="Q4902" s="2">
        <v>114.6</v>
      </c>
      <c r="R4902" t="s">
        <v>75</v>
      </c>
      <c r="S4902">
        <v>1</v>
      </c>
      <c r="T4902">
        <v>0</v>
      </c>
      <c r="U4902">
        <f>IF(AND(OR(Dashboard!$D$4="Semua",D4902=Dashboard!$D$4),OR(Dashboard!$H$4="Semua",E4902=Dashboard!$H$4)),1,0)</f>
        <v>1</v>
      </c>
      <c r="V4902">
        <f>IF(U4902=1,IF(COUNTIFS($C$2:C4902,C4902,$U$2:U4902,1)=1,1,0),0)</f>
        <v>0</v>
      </c>
    </row>
    <row r="4903" spans="1:22" x14ac:dyDescent="0.35">
      <c r="A4903">
        <v>14902</v>
      </c>
      <c r="B4903" s="1">
        <v>49463</v>
      </c>
      <c r="C4903">
        <v>1834</v>
      </c>
      <c r="D4903" t="s">
        <v>80</v>
      </c>
      <c r="E4903" t="s">
        <v>63</v>
      </c>
      <c r="F4903">
        <v>5</v>
      </c>
      <c r="G4903" s="2">
        <v>511.51</v>
      </c>
      <c r="H4903">
        <v>0.18</v>
      </c>
      <c r="I4903" t="s">
        <v>71</v>
      </c>
      <c r="J4903">
        <v>2</v>
      </c>
      <c r="K4903">
        <v>4.0999999999999996</v>
      </c>
      <c r="L4903" s="2">
        <v>2097.19</v>
      </c>
      <c r="M4903">
        <v>2035</v>
      </c>
      <c r="N4903">
        <v>6</v>
      </c>
      <c r="O4903" t="s">
        <v>241</v>
      </c>
      <c r="P4903" s="2">
        <v>2557.5500000000002</v>
      </c>
      <c r="Q4903" s="2">
        <v>460.36</v>
      </c>
      <c r="R4903" t="s">
        <v>76</v>
      </c>
      <c r="S4903">
        <v>1</v>
      </c>
      <c r="T4903">
        <v>0</v>
      </c>
      <c r="U4903">
        <f>IF(AND(OR(Dashboard!$D$4="Semua",D4903=Dashboard!$D$4),OR(Dashboard!$H$4="Semua",E4903=Dashboard!$H$4)),1,0)</f>
        <v>1</v>
      </c>
      <c r="V4903">
        <f>IF(U4903=1,IF(COUNTIFS($C$2:C4903,C4903,$U$2:U4903,1)=1,1,0),0)</f>
        <v>0</v>
      </c>
    </row>
    <row r="4904" spans="1:22" x14ac:dyDescent="0.35">
      <c r="A4904">
        <v>14903</v>
      </c>
      <c r="B4904" s="1">
        <v>49464</v>
      </c>
      <c r="C4904">
        <v>1565</v>
      </c>
      <c r="D4904" t="s">
        <v>73</v>
      </c>
      <c r="E4904" t="s">
        <v>63</v>
      </c>
      <c r="F4904">
        <v>5</v>
      </c>
      <c r="G4904" s="2">
        <v>149.47</v>
      </c>
      <c r="H4904">
        <v>0.32</v>
      </c>
      <c r="I4904" t="s">
        <v>71</v>
      </c>
      <c r="J4904">
        <v>4</v>
      </c>
      <c r="K4904">
        <v>4.0999999999999996</v>
      </c>
      <c r="L4904" s="2">
        <v>508.2</v>
      </c>
      <c r="M4904">
        <v>2035</v>
      </c>
      <c r="N4904">
        <v>6</v>
      </c>
      <c r="O4904" t="s">
        <v>241</v>
      </c>
      <c r="P4904" s="2">
        <v>747.35</v>
      </c>
      <c r="Q4904" s="2">
        <v>239.15</v>
      </c>
      <c r="R4904" t="s">
        <v>72</v>
      </c>
      <c r="S4904">
        <v>1</v>
      </c>
      <c r="T4904">
        <v>0</v>
      </c>
      <c r="U4904">
        <f>IF(AND(OR(Dashboard!$D$4="Semua",D4904=Dashboard!$D$4),OR(Dashboard!$H$4="Semua",E4904=Dashboard!$H$4)),1,0)</f>
        <v>1</v>
      </c>
      <c r="V4904">
        <f>IF(U4904=1,IF(COUNTIFS($C$2:C4904,C4904,$U$2:U4904,1)=1,1,0),0)</f>
        <v>0</v>
      </c>
    </row>
    <row r="4905" spans="1:22" x14ac:dyDescent="0.35">
      <c r="A4905">
        <v>14904</v>
      </c>
      <c r="B4905" s="1">
        <v>49465</v>
      </c>
      <c r="C4905">
        <v>1905</v>
      </c>
      <c r="D4905" t="s">
        <v>62</v>
      </c>
      <c r="E4905" t="s">
        <v>70</v>
      </c>
      <c r="F4905">
        <v>5</v>
      </c>
      <c r="G4905" s="2">
        <v>493.15</v>
      </c>
      <c r="H4905">
        <v>0.06</v>
      </c>
      <c r="I4905" t="s">
        <v>64</v>
      </c>
      <c r="J4905">
        <v>5</v>
      </c>
      <c r="K4905">
        <v>1.5</v>
      </c>
      <c r="L4905" s="2">
        <v>2317.8000000000002</v>
      </c>
      <c r="M4905">
        <v>2035</v>
      </c>
      <c r="N4905">
        <v>6</v>
      </c>
      <c r="O4905" t="s">
        <v>241</v>
      </c>
      <c r="P4905" s="2">
        <v>2465.75</v>
      </c>
      <c r="Q4905" s="2">
        <v>147.94999999999999</v>
      </c>
      <c r="R4905" t="s">
        <v>69</v>
      </c>
      <c r="S4905">
        <v>1</v>
      </c>
      <c r="T4905">
        <v>0</v>
      </c>
      <c r="U4905">
        <f>IF(AND(OR(Dashboard!$D$4="Semua",D4905=Dashboard!$D$4),OR(Dashboard!$H$4="Semua",E4905=Dashboard!$H$4)),1,0)</f>
        <v>1</v>
      </c>
      <c r="V4905">
        <f>IF(U4905=1,IF(COUNTIFS($C$2:C4905,C4905,$U$2:U4905,1)=1,1,0),0)</f>
        <v>0</v>
      </c>
    </row>
    <row r="4906" spans="1:22" x14ac:dyDescent="0.35">
      <c r="A4906">
        <v>14905</v>
      </c>
      <c r="B4906" s="1">
        <v>49466</v>
      </c>
      <c r="C4906">
        <v>1809</v>
      </c>
      <c r="D4906" t="s">
        <v>67</v>
      </c>
      <c r="E4906" t="s">
        <v>74</v>
      </c>
      <c r="F4906">
        <v>2</v>
      </c>
      <c r="G4906" s="2">
        <v>152.41999999999999</v>
      </c>
      <c r="H4906">
        <v>0.24</v>
      </c>
      <c r="I4906" t="s">
        <v>71</v>
      </c>
      <c r="J4906">
        <v>9</v>
      </c>
      <c r="K4906">
        <v>1.6</v>
      </c>
      <c r="L4906" s="2">
        <v>231.68</v>
      </c>
      <c r="M4906">
        <v>2035</v>
      </c>
      <c r="N4906">
        <v>6</v>
      </c>
      <c r="O4906" t="s">
        <v>241</v>
      </c>
      <c r="P4906" s="2">
        <v>304.83999999999997</v>
      </c>
      <c r="Q4906" s="2">
        <v>73.16</v>
      </c>
      <c r="R4906" t="s">
        <v>77</v>
      </c>
      <c r="S4906">
        <v>1</v>
      </c>
      <c r="T4906">
        <v>0</v>
      </c>
      <c r="U4906">
        <f>IF(AND(OR(Dashboard!$D$4="Semua",D4906=Dashboard!$D$4),OR(Dashboard!$H$4="Semua",E4906=Dashboard!$H$4)),1,0)</f>
        <v>1</v>
      </c>
      <c r="V4906">
        <f>IF(U4906=1,IF(COUNTIFS($C$2:C4906,C4906,$U$2:U4906,1)=1,1,0),0)</f>
        <v>1</v>
      </c>
    </row>
    <row r="4907" spans="1:22" x14ac:dyDescent="0.35">
      <c r="A4907">
        <v>14906</v>
      </c>
      <c r="B4907" s="1">
        <v>49467</v>
      </c>
      <c r="C4907">
        <v>1319</v>
      </c>
      <c r="D4907" t="s">
        <v>67</v>
      </c>
      <c r="E4907" t="s">
        <v>70</v>
      </c>
      <c r="F4907">
        <v>3</v>
      </c>
      <c r="G4907" s="2">
        <v>410.91</v>
      </c>
      <c r="H4907">
        <v>0.21</v>
      </c>
      <c r="I4907" t="s">
        <v>68</v>
      </c>
      <c r="J4907">
        <v>9</v>
      </c>
      <c r="K4907">
        <v>2.2999999999999998</v>
      </c>
      <c r="L4907" s="2">
        <v>973.86</v>
      </c>
      <c r="M4907">
        <v>2035</v>
      </c>
      <c r="N4907">
        <v>6</v>
      </c>
      <c r="O4907" t="s">
        <v>241</v>
      </c>
      <c r="P4907" s="2">
        <v>1232.73</v>
      </c>
      <c r="Q4907" s="2">
        <v>258.87</v>
      </c>
      <c r="R4907" t="s">
        <v>77</v>
      </c>
      <c r="S4907">
        <v>1</v>
      </c>
      <c r="T4907">
        <v>0</v>
      </c>
      <c r="U4907">
        <f>IF(AND(OR(Dashboard!$D$4="Semua",D4907=Dashboard!$D$4),OR(Dashboard!$H$4="Semua",E4907=Dashboard!$H$4)),1,0)</f>
        <v>1</v>
      </c>
      <c r="V4907">
        <f>IF(U4907=1,IF(COUNTIFS($C$2:C4907,C4907,$U$2:U4907,1)=1,1,0),0)</f>
        <v>0</v>
      </c>
    </row>
    <row r="4908" spans="1:22" x14ac:dyDescent="0.35">
      <c r="A4908">
        <v>14907</v>
      </c>
      <c r="B4908" s="1">
        <v>49468</v>
      </c>
      <c r="C4908">
        <v>1125</v>
      </c>
      <c r="D4908" t="s">
        <v>67</v>
      </c>
      <c r="E4908" t="s">
        <v>74</v>
      </c>
      <c r="F4908">
        <v>3</v>
      </c>
      <c r="G4908" s="2">
        <v>266.94</v>
      </c>
      <c r="H4908">
        <v>0.26</v>
      </c>
      <c r="I4908" t="s">
        <v>64</v>
      </c>
      <c r="J4908">
        <v>8</v>
      </c>
      <c r="K4908">
        <v>2.2000000000000002</v>
      </c>
      <c r="L4908" s="2">
        <v>592.61</v>
      </c>
      <c r="M4908">
        <v>2035</v>
      </c>
      <c r="N4908">
        <v>6</v>
      </c>
      <c r="O4908" t="s">
        <v>241</v>
      </c>
      <c r="P4908" s="2">
        <v>800.82</v>
      </c>
      <c r="Q4908" s="2">
        <v>208.21</v>
      </c>
      <c r="R4908" t="s">
        <v>66</v>
      </c>
      <c r="S4908">
        <v>1</v>
      </c>
      <c r="T4908">
        <v>0</v>
      </c>
      <c r="U4908">
        <f>IF(AND(OR(Dashboard!$D$4="Semua",D4908=Dashboard!$D$4),OR(Dashboard!$H$4="Semua",E4908=Dashboard!$H$4)),1,0)</f>
        <v>1</v>
      </c>
      <c r="V4908">
        <f>IF(U4908=1,IF(COUNTIFS($C$2:C4908,C4908,$U$2:U4908,1)=1,1,0),0)</f>
        <v>0</v>
      </c>
    </row>
    <row r="4909" spans="1:22" x14ac:dyDescent="0.35">
      <c r="A4909">
        <v>14908</v>
      </c>
      <c r="B4909" s="1">
        <v>49469</v>
      </c>
      <c r="C4909">
        <v>1276</v>
      </c>
      <c r="D4909" t="s">
        <v>80</v>
      </c>
      <c r="E4909" t="s">
        <v>74</v>
      </c>
      <c r="F4909">
        <v>4</v>
      </c>
      <c r="G4909" s="2">
        <v>82.09</v>
      </c>
      <c r="H4909">
        <v>0.05</v>
      </c>
      <c r="I4909" t="s">
        <v>71</v>
      </c>
      <c r="J4909">
        <v>4</v>
      </c>
      <c r="K4909">
        <v>1.3</v>
      </c>
      <c r="L4909" s="2">
        <v>311.94</v>
      </c>
      <c r="M4909">
        <v>2035</v>
      </c>
      <c r="N4909">
        <v>6</v>
      </c>
      <c r="O4909" t="s">
        <v>241</v>
      </c>
      <c r="P4909" s="2">
        <v>328.36</v>
      </c>
      <c r="Q4909" s="2">
        <v>16.420000000000002</v>
      </c>
      <c r="R4909" t="s">
        <v>75</v>
      </c>
      <c r="S4909">
        <v>1</v>
      </c>
      <c r="T4909">
        <v>0</v>
      </c>
      <c r="U4909">
        <f>IF(AND(OR(Dashboard!$D$4="Semua",D4909=Dashboard!$D$4),OR(Dashboard!$H$4="Semua",E4909=Dashboard!$H$4)),1,0)</f>
        <v>1</v>
      </c>
      <c r="V4909">
        <f>IF(U4909=1,IF(COUNTIFS($C$2:C4909,C4909,$U$2:U4909,1)=1,1,0),0)</f>
        <v>0</v>
      </c>
    </row>
    <row r="4910" spans="1:22" x14ac:dyDescent="0.35">
      <c r="A4910">
        <v>14909</v>
      </c>
      <c r="B4910" s="1">
        <v>49470</v>
      </c>
      <c r="C4910">
        <v>1975</v>
      </c>
      <c r="D4910" t="s">
        <v>73</v>
      </c>
      <c r="E4910" t="s">
        <v>74</v>
      </c>
      <c r="F4910">
        <v>5</v>
      </c>
      <c r="G4910" s="2">
        <v>432.84</v>
      </c>
      <c r="H4910">
        <v>0.33</v>
      </c>
      <c r="I4910" t="s">
        <v>64</v>
      </c>
      <c r="J4910">
        <v>6</v>
      </c>
      <c r="K4910">
        <v>1.6</v>
      </c>
      <c r="L4910" s="2">
        <v>1450.01</v>
      </c>
      <c r="M4910">
        <v>2035</v>
      </c>
      <c r="N4910">
        <v>6</v>
      </c>
      <c r="O4910" t="s">
        <v>241</v>
      </c>
      <c r="P4910" s="2">
        <v>2164.1999999999998</v>
      </c>
      <c r="Q4910" s="2">
        <v>714.19</v>
      </c>
      <c r="R4910" t="s">
        <v>72</v>
      </c>
      <c r="S4910">
        <v>1</v>
      </c>
      <c r="T4910">
        <v>0</v>
      </c>
      <c r="U4910">
        <f>IF(AND(OR(Dashboard!$D$4="Semua",D4910=Dashboard!$D$4),OR(Dashboard!$H$4="Semua",E4910=Dashboard!$H$4)),1,0)</f>
        <v>1</v>
      </c>
      <c r="V4910">
        <f>IF(U4910=1,IF(COUNTIFS($C$2:C4910,C4910,$U$2:U4910,1)=1,1,0),0)</f>
        <v>0</v>
      </c>
    </row>
    <row r="4911" spans="1:22" x14ac:dyDescent="0.35">
      <c r="A4911">
        <v>14910</v>
      </c>
      <c r="B4911" s="1">
        <v>49471</v>
      </c>
      <c r="C4911">
        <v>1203</v>
      </c>
      <c r="D4911" t="s">
        <v>62</v>
      </c>
      <c r="E4911" t="s">
        <v>70</v>
      </c>
      <c r="F4911">
        <v>5</v>
      </c>
      <c r="G4911" s="2">
        <v>142.38999999999999</v>
      </c>
      <c r="H4911">
        <v>0.22</v>
      </c>
      <c r="I4911" t="s">
        <v>71</v>
      </c>
      <c r="J4911">
        <v>7</v>
      </c>
      <c r="K4911">
        <v>4.4000000000000004</v>
      </c>
      <c r="L4911" s="2">
        <v>555.32000000000005</v>
      </c>
      <c r="M4911">
        <v>2035</v>
      </c>
      <c r="N4911">
        <v>6</v>
      </c>
      <c r="O4911" t="s">
        <v>241</v>
      </c>
      <c r="P4911" s="2">
        <v>711.95</v>
      </c>
      <c r="Q4911" s="2">
        <v>156.63</v>
      </c>
      <c r="R4911" t="s">
        <v>77</v>
      </c>
      <c r="S4911">
        <v>1</v>
      </c>
      <c r="T4911">
        <v>0</v>
      </c>
      <c r="U4911">
        <f>IF(AND(OR(Dashboard!$D$4="Semua",D4911=Dashboard!$D$4),OR(Dashboard!$H$4="Semua",E4911=Dashboard!$H$4)),1,0)</f>
        <v>1</v>
      </c>
      <c r="V4911">
        <f>IF(U4911=1,IF(COUNTIFS($C$2:C4911,C4911,$U$2:U4911,1)=1,1,0),0)</f>
        <v>0</v>
      </c>
    </row>
    <row r="4912" spans="1:22" x14ac:dyDescent="0.35">
      <c r="A4912">
        <v>14911</v>
      </c>
      <c r="B4912" s="1">
        <v>49472</v>
      </c>
      <c r="C4912">
        <v>1193</v>
      </c>
      <c r="D4912" t="s">
        <v>67</v>
      </c>
      <c r="E4912" t="s">
        <v>63</v>
      </c>
      <c r="F4912">
        <v>3</v>
      </c>
      <c r="G4912" s="2">
        <v>118.32</v>
      </c>
      <c r="H4912">
        <v>0.3</v>
      </c>
      <c r="I4912" t="s">
        <v>68</v>
      </c>
      <c r="J4912">
        <v>1</v>
      </c>
      <c r="K4912">
        <v>3.4</v>
      </c>
      <c r="L4912" s="2">
        <v>248.47</v>
      </c>
      <c r="M4912">
        <v>2035</v>
      </c>
      <c r="N4912">
        <v>6</v>
      </c>
      <c r="O4912" t="s">
        <v>241</v>
      </c>
      <c r="P4912" s="2">
        <v>354.96</v>
      </c>
      <c r="Q4912" s="2">
        <v>106.49</v>
      </c>
      <c r="R4912" t="s">
        <v>66</v>
      </c>
      <c r="S4912">
        <v>1</v>
      </c>
      <c r="T4912">
        <v>0</v>
      </c>
      <c r="U4912">
        <f>IF(AND(OR(Dashboard!$D$4="Semua",D4912=Dashboard!$D$4),OR(Dashboard!$H$4="Semua",E4912=Dashboard!$H$4)),1,0)</f>
        <v>1</v>
      </c>
      <c r="V4912">
        <f>IF(U4912=1,IF(COUNTIFS($C$2:C4912,C4912,$U$2:U4912,1)=1,1,0),0)</f>
        <v>0</v>
      </c>
    </row>
    <row r="4913" spans="1:22" x14ac:dyDescent="0.35">
      <c r="A4913">
        <v>14912</v>
      </c>
      <c r="B4913" s="1">
        <v>49473</v>
      </c>
      <c r="C4913">
        <v>1680</v>
      </c>
      <c r="D4913" t="s">
        <v>73</v>
      </c>
      <c r="E4913" t="s">
        <v>70</v>
      </c>
      <c r="F4913">
        <v>5</v>
      </c>
      <c r="G4913" s="2">
        <v>224.62</v>
      </c>
      <c r="H4913">
        <v>0.09</v>
      </c>
      <c r="I4913" t="s">
        <v>68</v>
      </c>
      <c r="J4913">
        <v>1</v>
      </c>
      <c r="K4913">
        <v>2.4</v>
      </c>
      <c r="L4913" s="2">
        <v>1022.02</v>
      </c>
      <c r="M4913">
        <v>2035</v>
      </c>
      <c r="N4913">
        <v>6</v>
      </c>
      <c r="O4913" t="s">
        <v>241</v>
      </c>
      <c r="P4913" s="2">
        <v>1123.0999999999999</v>
      </c>
      <c r="Q4913" s="2">
        <v>101.08</v>
      </c>
      <c r="R4913" t="s">
        <v>69</v>
      </c>
      <c r="S4913">
        <v>1</v>
      </c>
      <c r="T4913">
        <v>0</v>
      </c>
      <c r="U4913">
        <f>IF(AND(OR(Dashboard!$D$4="Semua",D4913=Dashboard!$D$4),OR(Dashboard!$H$4="Semua",E4913=Dashboard!$H$4)),1,0)</f>
        <v>1</v>
      </c>
      <c r="V4913">
        <f>IF(U4913=1,IF(COUNTIFS($C$2:C4913,C4913,$U$2:U4913,1)=1,1,0),0)</f>
        <v>0</v>
      </c>
    </row>
    <row r="4914" spans="1:22" x14ac:dyDescent="0.35">
      <c r="A4914">
        <v>14913</v>
      </c>
      <c r="B4914" s="1">
        <v>49474</v>
      </c>
      <c r="C4914">
        <v>1663</v>
      </c>
      <c r="D4914" t="s">
        <v>73</v>
      </c>
      <c r="E4914" t="s">
        <v>70</v>
      </c>
      <c r="F4914">
        <v>3</v>
      </c>
      <c r="G4914" s="2">
        <v>397.17</v>
      </c>
      <c r="H4914">
        <v>0.26</v>
      </c>
      <c r="I4914" t="s">
        <v>68</v>
      </c>
      <c r="J4914">
        <v>4</v>
      </c>
      <c r="K4914">
        <v>3.1</v>
      </c>
      <c r="L4914" s="2">
        <v>881.72</v>
      </c>
      <c r="M4914">
        <v>2035</v>
      </c>
      <c r="N4914">
        <v>6</v>
      </c>
      <c r="O4914" t="s">
        <v>241</v>
      </c>
      <c r="P4914" s="2">
        <v>1191.51</v>
      </c>
      <c r="Q4914" s="2">
        <v>309.79000000000002</v>
      </c>
      <c r="R4914" t="s">
        <v>66</v>
      </c>
      <c r="S4914">
        <v>1</v>
      </c>
      <c r="T4914">
        <v>0</v>
      </c>
      <c r="U4914">
        <f>IF(AND(OR(Dashboard!$D$4="Semua",D4914=Dashboard!$D$4),OR(Dashboard!$H$4="Semua",E4914=Dashboard!$H$4)),1,0)</f>
        <v>1</v>
      </c>
      <c r="V4914">
        <f>IF(U4914=1,IF(COUNTIFS($C$2:C4914,C4914,$U$2:U4914,1)=1,1,0),0)</f>
        <v>0</v>
      </c>
    </row>
    <row r="4915" spans="1:22" x14ac:dyDescent="0.35">
      <c r="A4915">
        <v>14914</v>
      </c>
      <c r="B4915" s="1">
        <v>49475</v>
      </c>
      <c r="C4915">
        <v>1546</v>
      </c>
      <c r="D4915" t="s">
        <v>67</v>
      </c>
      <c r="E4915" t="s">
        <v>74</v>
      </c>
      <c r="F4915">
        <v>7</v>
      </c>
      <c r="G4915" s="2">
        <v>151.88999999999999</v>
      </c>
      <c r="H4915">
        <v>0.27</v>
      </c>
      <c r="I4915" t="s">
        <v>68</v>
      </c>
      <c r="J4915">
        <v>3</v>
      </c>
      <c r="K4915">
        <v>2</v>
      </c>
      <c r="L4915" s="2">
        <v>776.16</v>
      </c>
      <c r="M4915">
        <v>2035</v>
      </c>
      <c r="N4915">
        <v>6</v>
      </c>
      <c r="O4915" t="s">
        <v>241</v>
      </c>
      <c r="P4915" s="2">
        <v>1063.23</v>
      </c>
      <c r="Q4915" s="2">
        <v>287.07</v>
      </c>
      <c r="R4915" t="s">
        <v>66</v>
      </c>
      <c r="S4915">
        <v>1</v>
      </c>
      <c r="T4915">
        <v>0</v>
      </c>
      <c r="U4915">
        <f>IF(AND(OR(Dashboard!$D$4="Semua",D4915=Dashboard!$D$4),OR(Dashboard!$H$4="Semua",E4915=Dashboard!$H$4)),1,0)</f>
        <v>1</v>
      </c>
      <c r="V4915">
        <f>IF(U4915=1,IF(COUNTIFS($C$2:C4915,C4915,$U$2:U4915,1)=1,1,0),0)</f>
        <v>0</v>
      </c>
    </row>
    <row r="4916" spans="1:22" x14ac:dyDescent="0.35">
      <c r="A4916">
        <v>14915</v>
      </c>
      <c r="B4916" s="1">
        <v>49476</v>
      </c>
      <c r="C4916">
        <v>1695</v>
      </c>
      <c r="D4916" t="s">
        <v>67</v>
      </c>
      <c r="E4916" t="s">
        <v>78</v>
      </c>
      <c r="F4916">
        <v>7</v>
      </c>
      <c r="G4916" s="2">
        <v>122.44</v>
      </c>
      <c r="H4916">
        <v>0.14000000000000001</v>
      </c>
      <c r="I4916" t="s">
        <v>68</v>
      </c>
      <c r="J4916">
        <v>10</v>
      </c>
      <c r="K4916">
        <v>3.3</v>
      </c>
      <c r="L4916" s="2">
        <v>737.09</v>
      </c>
      <c r="M4916">
        <v>2035</v>
      </c>
      <c r="N4916">
        <v>6</v>
      </c>
      <c r="O4916" t="s">
        <v>241</v>
      </c>
      <c r="P4916" s="2">
        <v>857.08</v>
      </c>
      <c r="Q4916" s="2">
        <v>119.99</v>
      </c>
      <c r="R4916" t="s">
        <v>79</v>
      </c>
      <c r="S4916">
        <v>1</v>
      </c>
      <c r="T4916">
        <v>0</v>
      </c>
      <c r="U4916">
        <f>IF(AND(OR(Dashboard!$D$4="Semua",D4916=Dashboard!$D$4),OR(Dashboard!$H$4="Semua",E4916=Dashboard!$H$4)),1,0)</f>
        <v>1</v>
      </c>
      <c r="V4916">
        <f>IF(U4916=1,IF(COUNTIFS($C$2:C4916,C4916,$U$2:U4916,1)=1,1,0),0)</f>
        <v>0</v>
      </c>
    </row>
    <row r="4917" spans="1:22" x14ac:dyDescent="0.35">
      <c r="A4917">
        <v>14916</v>
      </c>
      <c r="B4917" s="1">
        <v>49477</v>
      </c>
      <c r="C4917">
        <v>1285</v>
      </c>
      <c r="D4917" t="s">
        <v>67</v>
      </c>
      <c r="E4917" t="s">
        <v>78</v>
      </c>
      <c r="F4917">
        <v>3</v>
      </c>
      <c r="G4917" s="2">
        <v>20.82</v>
      </c>
      <c r="H4917">
        <v>0.13</v>
      </c>
      <c r="I4917" t="s">
        <v>71</v>
      </c>
      <c r="J4917">
        <v>4</v>
      </c>
      <c r="K4917">
        <v>1.3</v>
      </c>
      <c r="L4917" s="2">
        <v>54.34</v>
      </c>
      <c r="M4917">
        <v>2035</v>
      </c>
      <c r="N4917">
        <v>6</v>
      </c>
      <c r="O4917" t="s">
        <v>241</v>
      </c>
      <c r="P4917" s="2">
        <v>62.46</v>
      </c>
      <c r="Q4917" s="2">
        <v>8.1199999999999992</v>
      </c>
      <c r="R4917" t="s">
        <v>79</v>
      </c>
      <c r="S4917">
        <v>1</v>
      </c>
      <c r="T4917">
        <v>0</v>
      </c>
      <c r="U4917">
        <f>IF(AND(OR(Dashboard!$D$4="Semua",D4917=Dashboard!$D$4),OR(Dashboard!$H$4="Semua",E4917=Dashboard!$H$4)),1,0)</f>
        <v>1</v>
      </c>
      <c r="V4917">
        <f>IF(U4917=1,IF(COUNTIFS($C$2:C4917,C4917,$U$2:U4917,1)=1,1,0),0)</f>
        <v>0</v>
      </c>
    </row>
    <row r="4918" spans="1:22" x14ac:dyDescent="0.35">
      <c r="A4918">
        <v>14917</v>
      </c>
      <c r="B4918" s="1">
        <v>49478</v>
      </c>
      <c r="C4918">
        <v>1056</v>
      </c>
      <c r="D4918" t="s">
        <v>80</v>
      </c>
      <c r="E4918" t="s">
        <v>70</v>
      </c>
      <c r="F4918">
        <v>6</v>
      </c>
      <c r="G4918" s="2">
        <v>290.91000000000003</v>
      </c>
      <c r="H4918">
        <v>0.23</v>
      </c>
      <c r="I4918" t="s">
        <v>64</v>
      </c>
      <c r="J4918">
        <v>9</v>
      </c>
      <c r="K4918">
        <v>4.5999999999999996</v>
      </c>
      <c r="L4918" s="2">
        <v>1344</v>
      </c>
      <c r="M4918">
        <v>2035</v>
      </c>
      <c r="N4918">
        <v>6</v>
      </c>
      <c r="O4918" t="s">
        <v>241</v>
      </c>
      <c r="P4918" s="2">
        <v>1745.46</v>
      </c>
      <c r="Q4918" s="2">
        <v>401.46</v>
      </c>
      <c r="R4918" t="s">
        <v>77</v>
      </c>
      <c r="S4918">
        <v>1</v>
      </c>
      <c r="T4918">
        <v>0</v>
      </c>
      <c r="U4918">
        <f>IF(AND(OR(Dashboard!$D$4="Semua",D4918=Dashboard!$D$4),OR(Dashboard!$H$4="Semua",E4918=Dashboard!$H$4)),1,0)</f>
        <v>1</v>
      </c>
      <c r="V4918">
        <f>IF(U4918=1,IF(COUNTIFS($C$2:C4918,C4918,$U$2:U4918,1)=1,1,0),0)</f>
        <v>0</v>
      </c>
    </row>
    <row r="4919" spans="1:22" x14ac:dyDescent="0.35">
      <c r="A4919">
        <v>14918</v>
      </c>
      <c r="B4919" s="1">
        <v>49479</v>
      </c>
      <c r="C4919">
        <v>1733</v>
      </c>
      <c r="D4919" t="s">
        <v>67</v>
      </c>
      <c r="E4919" t="s">
        <v>74</v>
      </c>
      <c r="F4919">
        <v>3</v>
      </c>
      <c r="G4919" s="2">
        <v>265.76</v>
      </c>
      <c r="H4919">
        <v>0.03</v>
      </c>
      <c r="I4919" t="s">
        <v>64</v>
      </c>
      <c r="J4919">
        <v>2</v>
      </c>
      <c r="K4919">
        <v>2</v>
      </c>
      <c r="L4919" s="2">
        <v>773.36</v>
      </c>
      <c r="M4919">
        <v>2035</v>
      </c>
      <c r="N4919">
        <v>6</v>
      </c>
      <c r="O4919" t="s">
        <v>241</v>
      </c>
      <c r="P4919" s="2">
        <v>797.28</v>
      </c>
      <c r="Q4919" s="2">
        <v>23.92</v>
      </c>
      <c r="R4919" t="s">
        <v>75</v>
      </c>
      <c r="S4919">
        <v>1</v>
      </c>
      <c r="T4919">
        <v>0</v>
      </c>
      <c r="U4919">
        <f>IF(AND(OR(Dashboard!$D$4="Semua",D4919=Dashboard!$D$4),OR(Dashboard!$H$4="Semua",E4919=Dashboard!$H$4)),1,0)</f>
        <v>1</v>
      </c>
      <c r="V4919">
        <f>IF(U4919=1,IF(COUNTIFS($C$2:C4919,C4919,$U$2:U4919,1)=1,1,0),0)</f>
        <v>0</v>
      </c>
    </row>
    <row r="4920" spans="1:22" x14ac:dyDescent="0.35">
      <c r="A4920">
        <v>14919</v>
      </c>
      <c r="B4920" s="1">
        <v>49480</v>
      </c>
      <c r="C4920">
        <v>1302</v>
      </c>
      <c r="D4920" t="s">
        <v>62</v>
      </c>
      <c r="E4920" t="s">
        <v>70</v>
      </c>
      <c r="F4920">
        <v>1</v>
      </c>
      <c r="G4920" s="2">
        <v>151.81</v>
      </c>
      <c r="H4920">
        <v>0.26</v>
      </c>
      <c r="I4920" t="s">
        <v>71</v>
      </c>
      <c r="J4920">
        <v>4</v>
      </c>
      <c r="K4920">
        <v>4.3</v>
      </c>
      <c r="L4920" s="2">
        <v>112.34</v>
      </c>
      <c r="M4920">
        <v>2035</v>
      </c>
      <c r="N4920">
        <v>6</v>
      </c>
      <c r="O4920" t="s">
        <v>241</v>
      </c>
      <c r="P4920" s="2">
        <v>151.81</v>
      </c>
      <c r="Q4920" s="2">
        <v>39.47</v>
      </c>
      <c r="R4920" t="s">
        <v>66</v>
      </c>
      <c r="S4920">
        <v>1</v>
      </c>
      <c r="T4920">
        <v>0</v>
      </c>
      <c r="U4920">
        <f>IF(AND(OR(Dashboard!$D$4="Semua",D4920=Dashboard!$D$4),OR(Dashboard!$H$4="Semua",E4920=Dashboard!$H$4)),1,0)</f>
        <v>1</v>
      </c>
      <c r="V4920">
        <f>IF(U4920=1,IF(COUNTIFS($C$2:C4920,C4920,$U$2:U4920,1)=1,1,0),0)</f>
        <v>0</v>
      </c>
    </row>
    <row r="4921" spans="1:22" x14ac:dyDescent="0.35">
      <c r="A4921">
        <v>14920</v>
      </c>
      <c r="B4921" s="1">
        <v>49481</v>
      </c>
      <c r="C4921">
        <v>1162</v>
      </c>
      <c r="D4921" t="s">
        <v>67</v>
      </c>
      <c r="E4921" t="s">
        <v>70</v>
      </c>
      <c r="F4921">
        <v>1</v>
      </c>
      <c r="G4921" s="2">
        <v>46.39</v>
      </c>
      <c r="H4921">
        <v>0.02</v>
      </c>
      <c r="I4921" t="s">
        <v>68</v>
      </c>
      <c r="J4921">
        <v>7</v>
      </c>
      <c r="K4921">
        <v>3.6</v>
      </c>
      <c r="L4921" s="2">
        <v>45.46</v>
      </c>
      <c r="M4921">
        <v>2035</v>
      </c>
      <c r="N4921">
        <v>6</v>
      </c>
      <c r="O4921" t="s">
        <v>241</v>
      </c>
      <c r="P4921" s="2">
        <v>46.39</v>
      </c>
      <c r="Q4921" s="2">
        <v>0.93</v>
      </c>
      <c r="R4921" t="s">
        <v>75</v>
      </c>
      <c r="S4921">
        <v>1</v>
      </c>
      <c r="T4921">
        <v>0</v>
      </c>
      <c r="U4921">
        <f>IF(AND(OR(Dashboard!$D$4="Semua",D4921=Dashboard!$D$4),OR(Dashboard!$H$4="Semua",E4921=Dashboard!$H$4)),1,0)</f>
        <v>1</v>
      </c>
      <c r="V4921">
        <f>IF(U4921=1,IF(COUNTIFS($C$2:C4921,C4921,$U$2:U4921,1)=1,1,0),0)</f>
        <v>0</v>
      </c>
    </row>
    <row r="4922" spans="1:22" x14ac:dyDescent="0.35">
      <c r="A4922">
        <v>14921</v>
      </c>
      <c r="B4922" s="1">
        <v>49482</v>
      </c>
      <c r="C4922">
        <v>1018</v>
      </c>
      <c r="D4922" t="s">
        <v>80</v>
      </c>
      <c r="E4922" t="s">
        <v>63</v>
      </c>
      <c r="F4922">
        <v>1</v>
      </c>
      <c r="G4922" s="2">
        <v>266.11</v>
      </c>
      <c r="H4922">
        <v>7.0000000000000007E-2</v>
      </c>
      <c r="I4922" t="s">
        <v>68</v>
      </c>
      <c r="J4922">
        <v>2</v>
      </c>
      <c r="K4922">
        <v>3.1</v>
      </c>
      <c r="L4922" s="2">
        <v>247.48</v>
      </c>
      <c r="M4922">
        <v>2035</v>
      </c>
      <c r="N4922">
        <v>6</v>
      </c>
      <c r="O4922" t="s">
        <v>241</v>
      </c>
      <c r="P4922" s="2">
        <v>266.11</v>
      </c>
      <c r="Q4922" s="2">
        <v>18.63</v>
      </c>
      <c r="R4922" t="s">
        <v>69</v>
      </c>
      <c r="S4922">
        <v>1</v>
      </c>
      <c r="T4922">
        <v>0</v>
      </c>
      <c r="U4922">
        <f>IF(AND(OR(Dashboard!$D$4="Semua",D4922=Dashboard!$D$4),OR(Dashboard!$H$4="Semua",E4922=Dashboard!$H$4)),1,0)</f>
        <v>1</v>
      </c>
      <c r="V4922">
        <f>IF(U4922=1,IF(COUNTIFS($C$2:C4922,C4922,$U$2:U4922,1)=1,1,0),0)</f>
        <v>0</v>
      </c>
    </row>
    <row r="4923" spans="1:22" x14ac:dyDescent="0.35">
      <c r="A4923">
        <v>14922</v>
      </c>
      <c r="B4923" s="1">
        <v>49483</v>
      </c>
      <c r="C4923">
        <v>1369</v>
      </c>
      <c r="D4923" t="s">
        <v>73</v>
      </c>
      <c r="E4923" t="s">
        <v>74</v>
      </c>
      <c r="F4923">
        <v>1</v>
      </c>
      <c r="G4923" s="2">
        <v>476.1</v>
      </c>
      <c r="H4923">
        <v>0.23</v>
      </c>
      <c r="I4923" t="s">
        <v>71</v>
      </c>
      <c r="J4923">
        <v>8</v>
      </c>
      <c r="K4923">
        <v>4.7</v>
      </c>
      <c r="L4923" s="2">
        <v>366.6</v>
      </c>
      <c r="M4923">
        <v>2035</v>
      </c>
      <c r="N4923">
        <v>6</v>
      </c>
      <c r="O4923" t="s">
        <v>241</v>
      </c>
      <c r="P4923" s="2">
        <v>476.1</v>
      </c>
      <c r="Q4923" s="2">
        <v>109.5</v>
      </c>
      <c r="R4923" t="s">
        <v>77</v>
      </c>
      <c r="S4923">
        <v>1</v>
      </c>
      <c r="T4923">
        <v>0</v>
      </c>
      <c r="U4923">
        <f>IF(AND(OR(Dashboard!$D$4="Semua",D4923=Dashboard!$D$4),OR(Dashboard!$H$4="Semua",E4923=Dashboard!$H$4)),1,0)</f>
        <v>1</v>
      </c>
      <c r="V4923">
        <f>IF(U4923=1,IF(COUNTIFS($C$2:C4923,C4923,$U$2:U4923,1)=1,1,0),0)</f>
        <v>0</v>
      </c>
    </row>
    <row r="4924" spans="1:22" x14ac:dyDescent="0.35">
      <c r="A4924">
        <v>14923</v>
      </c>
      <c r="B4924" s="1">
        <v>49484</v>
      </c>
      <c r="C4924">
        <v>1263</v>
      </c>
      <c r="D4924" t="s">
        <v>67</v>
      </c>
      <c r="E4924" t="s">
        <v>78</v>
      </c>
      <c r="F4924">
        <v>2</v>
      </c>
      <c r="G4924" s="2">
        <v>433.44</v>
      </c>
      <c r="H4924">
        <v>0.03</v>
      </c>
      <c r="I4924" t="s">
        <v>68</v>
      </c>
      <c r="J4924">
        <v>10</v>
      </c>
      <c r="K4924">
        <v>1.6</v>
      </c>
      <c r="L4924" s="2">
        <v>840.87</v>
      </c>
      <c r="M4924">
        <v>2035</v>
      </c>
      <c r="N4924">
        <v>6</v>
      </c>
      <c r="O4924" t="s">
        <v>241</v>
      </c>
      <c r="P4924" s="2">
        <v>866.88</v>
      </c>
      <c r="Q4924" s="2">
        <v>26.01</v>
      </c>
      <c r="R4924" t="s">
        <v>75</v>
      </c>
      <c r="S4924">
        <v>1</v>
      </c>
      <c r="T4924">
        <v>0</v>
      </c>
      <c r="U4924">
        <f>IF(AND(OR(Dashboard!$D$4="Semua",D4924=Dashboard!$D$4),OR(Dashboard!$H$4="Semua",E4924=Dashboard!$H$4)),1,0)</f>
        <v>1</v>
      </c>
      <c r="V4924">
        <f>IF(U4924=1,IF(COUNTIFS($C$2:C4924,C4924,$U$2:U4924,1)=1,1,0),0)</f>
        <v>0</v>
      </c>
    </row>
    <row r="4925" spans="1:22" x14ac:dyDescent="0.35">
      <c r="A4925">
        <v>14924</v>
      </c>
      <c r="B4925" s="1">
        <v>49485</v>
      </c>
      <c r="C4925">
        <v>1793</v>
      </c>
      <c r="D4925" t="s">
        <v>73</v>
      </c>
      <c r="E4925" t="s">
        <v>78</v>
      </c>
      <c r="F4925">
        <v>4</v>
      </c>
      <c r="G4925" s="2">
        <v>518.57000000000005</v>
      </c>
      <c r="H4925">
        <v>0.34</v>
      </c>
      <c r="I4925" t="s">
        <v>64</v>
      </c>
      <c r="J4925">
        <v>4</v>
      </c>
      <c r="K4925">
        <v>1.5</v>
      </c>
      <c r="L4925" s="2">
        <v>1369.02</v>
      </c>
      <c r="M4925">
        <v>2035</v>
      </c>
      <c r="N4925">
        <v>6</v>
      </c>
      <c r="O4925" t="s">
        <v>241</v>
      </c>
      <c r="P4925" s="2">
        <v>2074.2800000000002</v>
      </c>
      <c r="Q4925" s="2">
        <v>705.26</v>
      </c>
      <c r="R4925" t="s">
        <v>72</v>
      </c>
      <c r="S4925">
        <v>1</v>
      </c>
      <c r="T4925">
        <v>0</v>
      </c>
      <c r="U4925">
        <f>IF(AND(OR(Dashboard!$D$4="Semua",D4925=Dashboard!$D$4),OR(Dashboard!$H$4="Semua",E4925=Dashboard!$H$4)),1,0)</f>
        <v>1</v>
      </c>
      <c r="V4925">
        <f>IF(U4925=1,IF(COUNTIFS($C$2:C4925,C4925,$U$2:U4925,1)=1,1,0),0)</f>
        <v>0</v>
      </c>
    </row>
    <row r="4926" spans="1:22" x14ac:dyDescent="0.35">
      <c r="A4926">
        <v>14925</v>
      </c>
      <c r="B4926" s="1">
        <v>49486</v>
      </c>
      <c r="C4926">
        <v>1112</v>
      </c>
      <c r="D4926" t="s">
        <v>67</v>
      </c>
      <c r="E4926" t="s">
        <v>78</v>
      </c>
      <c r="F4926">
        <v>4</v>
      </c>
      <c r="G4926" s="2">
        <v>20.61</v>
      </c>
      <c r="H4926">
        <v>0.3</v>
      </c>
      <c r="I4926" t="s">
        <v>64</v>
      </c>
      <c r="J4926">
        <v>9</v>
      </c>
      <c r="K4926">
        <v>2.2999999999999998</v>
      </c>
      <c r="L4926" s="2">
        <v>57.71</v>
      </c>
      <c r="M4926">
        <v>2035</v>
      </c>
      <c r="N4926">
        <v>6</v>
      </c>
      <c r="O4926" t="s">
        <v>241</v>
      </c>
      <c r="P4926" s="2">
        <v>82.44</v>
      </c>
      <c r="Q4926" s="2">
        <v>24.73</v>
      </c>
      <c r="R4926" t="s">
        <v>66</v>
      </c>
      <c r="S4926">
        <v>1</v>
      </c>
      <c r="T4926">
        <v>0</v>
      </c>
      <c r="U4926">
        <f>IF(AND(OR(Dashboard!$D$4="Semua",D4926=Dashboard!$D$4),OR(Dashboard!$H$4="Semua",E4926=Dashboard!$H$4)),1,0)</f>
        <v>1</v>
      </c>
      <c r="V4926">
        <f>IF(U4926=1,IF(COUNTIFS($C$2:C4926,C4926,$U$2:U4926,1)=1,1,0),0)</f>
        <v>0</v>
      </c>
    </row>
    <row r="4927" spans="1:22" x14ac:dyDescent="0.35">
      <c r="A4927">
        <v>14926</v>
      </c>
      <c r="B4927" s="1">
        <v>49487</v>
      </c>
      <c r="C4927">
        <v>1487</v>
      </c>
      <c r="D4927" t="s">
        <v>62</v>
      </c>
      <c r="E4927" t="s">
        <v>70</v>
      </c>
      <c r="F4927">
        <v>3</v>
      </c>
      <c r="G4927" s="2">
        <v>580.36</v>
      </c>
      <c r="H4927">
        <v>0.22</v>
      </c>
      <c r="I4927" t="s">
        <v>68</v>
      </c>
      <c r="J4927">
        <v>1</v>
      </c>
      <c r="K4927">
        <v>4.3</v>
      </c>
      <c r="L4927" s="2">
        <v>1358.04</v>
      </c>
      <c r="M4927">
        <v>2035</v>
      </c>
      <c r="N4927">
        <v>6</v>
      </c>
      <c r="O4927" t="s">
        <v>241</v>
      </c>
      <c r="P4927" s="2">
        <v>1741.08</v>
      </c>
      <c r="Q4927" s="2">
        <v>383.04</v>
      </c>
      <c r="R4927" t="s">
        <v>77</v>
      </c>
      <c r="S4927">
        <v>1</v>
      </c>
      <c r="T4927">
        <v>0</v>
      </c>
      <c r="U4927">
        <f>IF(AND(OR(Dashboard!$D$4="Semua",D4927=Dashboard!$D$4),OR(Dashboard!$H$4="Semua",E4927=Dashboard!$H$4)),1,0)</f>
        <v>1</v>
      </c>
      <c r="V4927">
        <f>IF(U4927=1,IF(COUNTIFS($C$2:C4927,C4927,$U$2:U4927,1)=1,1,0),0)</f>
        <v>0</v>
      </c>
    </row>
    <row r="4928" spans="1:22" x14ac:dyDescent="0.35">
      <c r="A4928">
        <v>14927</v>
      </c>
      <c r="B4928" s="1">
        <v>49488</v>
      </c>
      <c r="C4928">
        <v>1326</v>
      </c>
      <c r="D4928" t="s">
        <v>73</v>
      </c>
      <c r="E4928" t="s">
        <v>74</v>
      </c>
      <c r="F4928">
        <v>7</v>
      </c>
      <c r="G4928" s="2">
        <v>214.73</v>
      </c>
      <c r="H4928">
        <v>0.28999999999999998</v>
      </c>
      <c r="I4928" t="s">
        <v>71</v>
      </c>
      <c r="J4928">
        <v>7</v>
      </c>
      <c r="K4928">
        <v>1.1000000000000001</v>
      </c>
      <c r="L4928" s="2">
        <v>1067.21</v>
      </c>
      <c r="M4928">
        <v>2035</v>
      </c>
      <c r="N4928">
        <v>6</v>
      </c>
      <c r="O4928" t="s">
        <v>241</v>
      </c>
      <c r="P4928" s="2">
        <v>1503.11</v>
      </c>
      <c r="Q4928" s="2">
        <v>435.9</v>
      </c>
      <c r="R4928" t="s">
        <v>66</v>
      </c>
      <c r="S4928">
        <v>1</v>
      </c>
      <c r="T4928">
        <v>0</v>
      </c>
      <c r="U4928">
        <f>IF(AND(OR(Dashboard!$D$4="Semua",D4928=Dashboard!$D$4),OR(Dashboard!$H$4="Semua",E4928=Dashboard!$H$4)),1,0)</f>
        <v>1</v>
      </c>
      <c r="V4928">
        <f>IF(U4928=1,IF(COUNTIFS($C$2:C4928,C4928,$U$2:U4928,1)=1,1,0),0)</f>
        <v>0</v>
      </c>
    </row>
    <row r="4929" spans="1:22" x14ac:dyDescent="0.35">
      <c r="A4929">
        <v>14928</v>
      </c>
      <c r="B4929" s="1">
        <v>49489</v>
      </c>
      <c r="C4929">
        <v>1541</v>
      </c>
      <c r="D4929" t="s">
        <v>73</v>
      </c>
      <c r="E4929" t="s">
        <v>63</v>
      </c>
      <c r="F4929">
        <v>5</v>
      </c>
      <c r="G4929" s="2">
        <v>594.38</v>
      </c>
      <c r="H4929">
        <v>0.31</v>
      </c>
      <c r="I4929" t="s">
        <v>68</v>
      </c>
      <c r="J4929">
        <v>1</v>
      </c>
      <c r="K4929">
        <v>2</v>
      </c>
      <c r="L4929" s="2">
        <v>2050.61</v>
      </c>
      <c r="M4929">
        <v>2035</v>
      </c>
      <c r="N4929">
        <v>6</v>
      </c>
      <c r="O4929" t="s">
        <v>241</v>
      </c>
      <c r="P4929" s="2">
        <v>2971.9</v>
      </c>
      <c r="Q4929" s="2">
        <v>921.29</v>
      </c>
      <c r="R4929" t="s">
        <v>72</v>
      </c>
      <c r="S4929">
        <v>1</v>
      </c>
      <c r="T4929">
        <v>0</v>
      </c>
      <c r="U4929">
        <f>IF(AND(OR(Dashboard!$D$4="Semua",D4929=Dashboard!$D$4),OR(Dashboard!$H$4="Semua",E4929=Dashboard!$H$4)),1,0)</f>
        <v>1</v>
      </c>
      <c r="V4929">
        <f>IF(U4929=1,IF(COUNTIFS($C$2:C4929,C4929,$U$2:U4929,1)=1,1,0),0)</f>
        <v>0</v>
      </c>
    </row>
    <row r="4930" spans="1:22" x14ac:dyDescent="0.35">
      <c r="A4930">
        <v>14929</v>
      </c>
      <c r="B4930" s="1">
        <v>49490</v>
      </c>
      <c r="C4930">
        <v>1646</v>
      </c>
      <c r="D4930" t="s">
        <v>62</v>
      </c>
      <c r="E4930" t="s">
        <v>78</v>
      </c>
      <c r="F4930">
        <v>1</v>
      </c>
      <c r="G4930" s="2">
        <v>162.78</v>
      </c>
      <c r="H4930">
        <v>0.09</v>
      </c>
      <c r="I4930" t="s">
        <v>71</v>
      </c>
      <c r="J4930">
        <v>11</v>
      </c>
      <c r="K4930">
        <v>2.7</v>
      </c>
      <c r="L4930" s="2">
        <v>148.13</v>
      </c>
      <c r="M4930">
        <v>2035</v>
      </c>
      <c r="N4930">
        <v>6</v>
      </c>
      <c r="O4930" t="s">
        <v>241</v>
      </c>
      <c r="P4930" s="2">
        <v>162.78</v>
      </c>
      <c r="Q4930" s="2">
        <v>14.65</v>
      </c>
      <c r="R4930" t="s">
        <v>69</v>
      </c>
      <c r="S4930">
        <v>1</v>
      </c>
      <c r="T4930">
        <v>0</v>
      </c>
      <c r="U4930">
        <f>IF(AND(OR(Dashboard!$D$4="Semua",D4930=Dashboard!$D$4),OR(Dashboard!$H$4="Semua",E4930=Dashboard!$H$4)),1,0)</f>
        <v>1</v>
      </c>
      <c r="V4930">
        <f>IF(U4930=1,IF(COUNTIFS($C$2:C4930,C4930,$U$2:U4930,1)=1,1,0),0)</f>
        <v>0</v>
      </c>
    </row>
    <row r="4931" spans="1:22" x14ac:dyDescent="0.35">
      <c r="A4931">
        <v>14930</v>
      </c>
      <c r="B4931" s="1">
        <v>49491</v>
      </c>
      <c r="C4931">
        <v>1578</v>
      </c>
      <c r="D4931" t="s">
        <v>73</v>
      </c>
      <c r="E4931" t="s">
        <v>74</v>
      </c>
      <c r="F4931">
        <v>4</v>
      </c>
      <c r="G4931" s="2">
        <v>290.85000000000002</v>
      </c>
      <c r="H4931">
        <v>0.3</v>
      </c>
      <c r="I4931" t="s">
        <v>68</v>
      </c>
      <c r="J4931">
        <v>10</v>
      </c>
      <c r="K4931">
        <v>3.9</v>
      </c>
      <c r="L4931" s="2">
        <v>814.38</v>
      </c>
      <c r="M4931">
        <v>2035</v>
      </c>
      <c r="N4931">
        <v>7</v>
      </c>
      <c r="O4931" t="s">
        <v>242</v>
      </c>
      <c r="P4931" s="2">
        <v>1163.4000000000001</v>
      </c>
      <c r="Q4931" s="2">
        <v>349.02</v>
      </c>
      <c r="R4931" t="s">
        <v>66</v>
      </c>
      <c r="S4931">
        <v>1</v>
      </c>
      <c r="T4931">
        <v>0</v>
      </c>
      <c r="U4931">
        <f>IF(AND(OR(Dashboard!$D$4="Semua",D4931=Dashboard!$D$4),OR(Dashboard!$H$4="Semua",E4931=Dashboard!$H$4)),1,0)</f>
        <v>1</v>
      </c>
      <c r="V4931">
        <f>IF(U4931=1,IF(COUNTIFS($C$2:C4931,C4931,$U$2:U4931,1)=1,1,0),0)</f>
        <v>0</v>
      </c>
    </row>
    <row r="4932" spans="1:22" x14ac:dyDescent="0.35">
      <c r="A4932">
        <v>14931</v>
      </c>
      <c r="B4932" s="1">
        <v>49492</v>
      </c>
      <c r="C4932">
        <v>1064</v>
      </c>
      <c r="D4932" t="s">
        <v>80</v>
      </c>
      <c r="E4932" t="s">
        <v>78</v>
      </c>
      <c r="F4932">
        <v>4</v>
      </c>
      <c r="G4932" s="2">
        <v>222.05</v>
      </c>
      <c r="H4932">
        <v>7.0000000000000007E-2</v>
      </c>
      <c r="I4932" t="s">
        <v>68</v>
      </c>
      <c r="J4932">
        <v>11</v>
      </c>
      <c r="K4932">
        <v>2.2000000000000002</v>
      </c>
      <c r="L4932" s="2">
        <v>826.03</v>
      </c>
      <c r="M4932">
        <v>2035</v>
      </c>
      <c r="N4932">
        <v>7</v>
      </c>
      <c r="O4932" t="s">
        <v>242</v>
      </c>
      <c r="P4932" s="2">
        <v>888.2</v>
      </c>
      <c r="Q4932" s="2">
        <v>62.17</v>
      </c>
      <c r="R4932" t="s">
        <v>69</v>
      </c>
      <c r="S4932">
        <v>1</v>
      </c>
      <c r="T4932">
        <v>0</v>
      </c>
      <c r="U4932">
        <f>IF(AND(OR(Dashboard!$D$4="Semua",D4932=Dashboard!$D$4),OR(Dashboard!$H$4="Semua",E4932=Dashboard!$H$4)),1,0)</f>
        <v>1</v>
      </c>
      <c r="V4932">
        <f>IF(U4932=1,IF(COUNTIFS($C$2:C4932,C4932,$U$2:U4932,1)=1,1,0),0)</f>
        <v>0</v>
      </c>
    </row>
    <row r="4933" spans="1:22" x14ac:dyDescent="0.35">
      <c r="A4933">
        <v>14932</v>
      </c>
      <c r="B4933" s="1">
        <v>49493</v>
      </c>
      <c r="C4933">
        <v>1291</v>
      </c>
      <c r="D4933" t="s">
        <v>67</v>
      </c>
      <c r="E4933" t="s">
        <v>63</v>
      </c>
      <c r="F4933">
        <v>1</v>
      </c>
      <c r="G4933" s="2">
        <v>223.12</v>
      </c>
      <c r="H4933">
        <v>0.14000000000000001</v>
      </c>
      <c r="I4933" t="s">
        <v>71</v>
      </c>
      <c r="J4933">
        <v>9</v>
      </c>
      <c r="K4933">
        <v>2.8</v>
      </c>
      <c r="L4933" s="2">
        <v>191.88</v>
      </c>
      <c r="M4933">
        <v>2035</v>
      </c>
      <c r="N4933">
        <v>7</v>
      </c>
      <c r="O4933" t="s">
        <v>242</v>
      </c>
      <c r="P4933" s="2">
        <v>223.12</v>
      </c>
      <c r="Q4933" s="2">
        <v>31.24</v>
      </c>
      <c r="R4933" t="s">
        <v>79</v>
      </c>
      <c r="S4933">
        <v>1</v>
      </c>
      <c r="T4933">
        <v>0</v>
      </c>
      <c r="U4933">
        <f>IF(AND(OR(Dashboard!$D$4="Semua",D4933=Dashboard!$D$4),OR(Dashboard!$H$4="Semua",E4933=Dashboard!$H$4)),1,0)</f>
        <v>1</v>
      </c>
      <c r="V4933">
        <f>IF(U4933=1,IF(COUNTIFS($C$2:C4933,C4933,$U$2:U4933,1)=1,1,0),0)</f>
        <v>0</v>
      </c>
    </row>
    <row r="4934" spans="1:22" x14ac:dyDescent="0.35">
      <c r="A4934">
        <v>14933</v>
      </c>
      <c r="B4934" s="1">
        <v>49494</v>
      </c>
      <c r="C4934">
        <v>1024</v>
      </c>
      <c r="D4934" t="s">
        <v>80</v>
      </c>
      <c r="E4934" t="s">
        <v>74</v>
      </c>
      <c r="F4934">
        <v>7</v>
      </c>
      <c r="G4934" s="2">
        <v>507.74</v>
      </c>
      <c r="H4934">
        <v>0.2</v>
      </c>
      <c r="I4934" t="s">
        <v>71</v>
      </c>
      <c r="J4934">
        <v>10</v>
      </c>
      <c r="K4934">
        <v>2.2999999999999998</v>
      </c>
      <c r="L4934" s="2">
        <v>2843.34</v>
      </c>
      <c r="M4934">
        <v>2035</v>
      </c>
      <c r="N4934">
        <v>7</v>
      </c>
      <c r="O4934" t="s">
        <v>242</v>
      </c>
      <c r="P4934" s="2">
        <v>3554.18</v>
      </c>
      <c r="Q4934" s="2">
        <v>710.84</v>
      </c>
      <c r="R4934" t="s">
        <v>76</v>
      </c>
      <c r="S4934">
        <v>1</v>
      </c>
      <c r="T4934">
        <v>0</v>
      </c>
      <c r="U4934">
        <f>IF(AND(OR(Dashboard!$D$4="Semua",D4934=Dashboard!$D$4),OR(Dashboard!$H$4="Semua",E4934=Dashboard!$H$4)),1,0)</f>
        <v>1</v>
      </c>
      <c r="V4934">
        <f>IF(U4934=1,IF(COUNTIFS($C$2:C4934,C4934,$U$2:U4934,1)=1,1,0),0)</f>
        <v>0</v>
      </c>
    </row>
    <row r="4935" spans="1:22" x14ac:dyDescent="0.35">
      <c r="A4935">
        <v>14934</v>
      </c>
      <c r="B4935" s="1">
        <v>49495</v>
      </c>
      <c r="C4935">
        <v>1548</v>
      </c>
      <c r="D4935" t="s">
        <v>73</v>
      </c>
      <c r="E4935" t="s">
        <v>70</v>
      </c>
      <c r="F4935">
        <v>2</v>
      </c>
      <c r="G4935" s="2">
        <v>451.66</v>
      </c>
      <c r="H4935">
        <v>0.25</v>
      </c>
      <c r="I4935" t="s">
        <v>71</v>
      </c>
      <c r="J4935">
        <v>10</v>
      </c>
      <c r="K4935">
        <v>1.4</v>
      </c>
      <c r="L4935" s="2">
        <v>677.49</v>
      </c>
      <c r="M4935">
        <v>2035</v>
      </c>
      <c r="N4935">
        <v>7</v>
      </c>
      <c r="O4935" t="s">
        <v>242</v>
      </c>
      <c r="P4935" s="2">
        <v>903.32</v>
      </c>
      <c r="Q4935" s="2">
        <v>225.83</v>
      </c>
      <c r="R4935" t="s">
        <v>77</v>
      </c>
      <c r="S4935">
        <v>1</v>
      </c>
      <c r="T4935">
        <v>0</v>
      </c>
      <c r="U4935">
        <f>IF(AND(OR(Dashboard!$D$4="Semua",D4935=Dashboard!$D$4),OR(Dashboard!$H$4="Semua",E4935=Dashboard!$H$4)),1,0)</f>
        <v>1</v>
      </c>
      <c r="V4935">
        <f>IF(U4935=1,IF(COUNTIFS($C$2:C4935,C4935,$U$2:U4935,1)=1,1,0),0)</f>
        <v>0</v>
      </c>
    </row>
    <row r="4936" spans="1:22" x14ac:dyDescent="0.35">
      <c r="A4936">
        <v>14935</v>
      </c>
      <c r="B4936" s="1">
        <v>49496</v>
      </c>
      <c r="C4936">
        <v>1000</v>
      </c>
      <c r="D4936" t="s">
        <v>73</v>
      </c>
      <c r="E4936" t="s">
        <v>70</v>
      </c>
      <c r="F4936">
        <v>2</v>
      </c>
      <c r="G4936" s="2">
        <v>595.41</v>
      </c>
      <c r="H4936">
        <v>0.01</v>
      </c>
      <c r="I4936" t="s">
        <v>71</v>
      </c>
      <c r="J4936">
        <v>1</v>
      </c>
      <c r="K4936">
        <v>4</v>
      </c>
      <c r="L4936" s="2">
        <v>1178.9100000000001</v>
      </c>
      <c r="M4936">
        <v>2035</v>
      </c>
      <c r="N4936">
        <v>7</v>
      </c>
      <c r="O4936" t="s">
        <v>242</v>
      </c>
      <c r="P4936" s="2">
        <v>1190.82</v>
      </c>
      <c r="Q4936" s="2">
        <v>11.91</v>
      </c>
      <c r="R4936" t="s">
        <v>75</v>
      </c>
      <c r="S4936">
        <v>1</v>
      </c>
      <c r="T4936">
        <v>0</v>
      </c>
      <c r="U4936">
        <f>IF(AND(OR(Dashboard!$D$4="Semua",D4936=Dashboard!$D$4),OR(Dashboard!$H$4="Semua",E4936=Dashboard!$H$4)),1,0)</f>
        <v>1</v>
      </c>
      <c r="V4936">
        <f>IF(U4936=1,IF(COUNTIFS($C$2:C4936,C4936,$U$2:U4936,1)=1,1,0),0)</f>
        <v>0</v>
      </c>
    </row>
    <row r="4937" spans="1:22" x14ac:dyDescent="0.35">
      <c r="A4937">
        <v>14936</v>
      </c>
      <c r="B4937" s="1">
        <v>49497</v>
      </c>
      <c r="C4937">
        <v>1910</v>
      </c>
      <c r="D4937" t="s">
        <v>67</v>
      </c>
      <c r="E4937" t="s">
        <v>78</v>
      </c>
      <c r="F4937">
        <v>4</v>
      </c>
      <c r="G4937" s="2">
        <v>373.91</v>
      </c>
      <c r="H4937">
        <v>0.1</v>
      </c>
      <c r="I4937" t="s">
        <v>71</v>
      </c>
      <c r="J4937">
        <v>3</v>
      </c>
      <c r="K4937">
        <v>2.8</v>
      </c>
      <c r="L4937" s="2">
        <v>1346.08</v>
      </c>
      <c r="M4937">
        <v>2035</v>
      </c>
      <c r="N4937">
        <v>7</v>
      </c>
      <c r="O4937" t="s">
        <v>242</v>
      </c>
      <c r="P4937" s="2">
        <v>1495.64</v>
      </c>
      <c r="Q4937" s="2">
        <v>149.56</v>
      </c>
      <c r="R4937" t="s">
        <v>69</v>
      </c>
      <c r="S4937">
        <v>1</v>
      </c>
      <c r="T4937">
        <v>0</v>
      </c>
      <c r="U4937">
        <f>IF(AND(OR(Dashboard!$D$4="Semua",D4937=Dashboard!$D$4),OR(Dashboard!$H$4="Semua",E4937=Dashboard!$H$4)),1,0)</f>
        <v>1</v>
      </c>
      <c r="V4937">
        <f>IF(U4937=1,IF(COUNTIFS($C$2:C4937,C4937,$U$2:U4937,1)=1,1,0),0)</f>
        <v>0</v>
      </c>
    </row>
    <row r="4938" spans="1:22" x14ac:dyDescent="0.35">
      <c r="A4938">
        <v>14937</v>
      </c>
      <c r="B4938" s="1">
        <v>49498</v>
      </c>
      <c r="C4938">
        <v>1548</v>
      </c>
      <c r="D4938" t="s">
        <v>62</v>
      </c>
      <c r="E4938" t="s">
        <v>78</v>
      </c>
      <c r="F4938">
        <v>2</v>
      </c>
      <c r="G4938" s="2">
        <v>286.01</v>
      </c>
      <c r="H4938">
        <v>0.21</v>
      </c>
      <c r="I4938" t="s">
        <v>71</v>
      </c>
      <c r="J4938">
        <v>7</v>
      </c>
      <c r="K4938">
        <v>4.3</v>
      </c>
      <c r="L4938" s="2">
        <v>451.9</v>
      </c>
      <c r="M4938">
        <v>2035</v>
      </c>
      <c r="N4938">
        <v>7</v>
      </c>
      <c r="O4938" t="s">
        <v>242</v>
      </c>
      <c r="P4938" s="2">
        <v>572.02</v>
      </c>
      <c r="Q4938" s="2">
        <v>120.12</v>
      </c>
      <c r="R4938" t="s">
        <v>77</v>
      </c>
      <c r="S4938">
        <v>1</v>
      </c>
      <c r="T4938">
        <v>0</v>
      </c>
      <c r="U4938">
        <f>IF(AND(OR(Dashboard!$D$4="Semua",D4938=Dashboard!$D$4),OR(Dashboard!$H$4="Semua",E4938=Dashboard!$H$4)),1,0)</f>
        <v>1</v>
      </c>
      <c r="V4938">
        <f>IF(U4938=1,IF(COUNTIFS($C$2:C4938,C4938,$U$2:U4938,1)=1,1,0),0)</f>
        <v>0</v>
      </c>
    </row>
    <row r="4939" spans="1:22" x14ac:dyDescent="0.35">
      <c r="A4939">
        <v>14938</v>
      </c>
      <c r="B4939" s="1">
        <v>49499</v>
      </c>
      <c r="C4939">
        <v>1140</v>
      </c>
      <c r="D4939" t="s">
        <v>67</v>
      </c>
      <c r="E4939" t="s">
        <v>74</v>
      </c>
      <c r="F4939">
        <v>6</v>
      </c>
      <c r="G4939" s="2">
        <v>67.69</v>
      </c>
      <c r="H4939">
        <v>0.13</v>
      </c>
      <c r="I4939" t="s">
        <v>64</v>
      </c>
      <c r="J4939">
        <v>1</v>
      </c>
      <c r="K4939">
        <v>3.8</v>
      </c>
      <c r="L4939" s="2">
        <v>353.34</v>
      </c>
      <c r="M4939">
        <v>2035</v>
      </c>
      <c r="N4939">
        <v>7</v>
      </c>
      <c r="O4939" t="s">
        <v>242</v>
      </c>
      <c r="P4939" s="2">
        <v>406.14</v>
      </c>
      <c r="Q4939" s="2">
        <v>52.8</v>
      </c>
      <c r="R4939" t="s">
        <v>79</v>
      </c>
      <c r="S4939">
        <v>1</v>
      </c>
      <c r="T4939">
        <v>0</v>
      </c>
      <c r="U4939">
        <f>IF(AND(OR(Dashboard!$D$4="Semua",D4939=Dashboard!$D$4),OR(Dashboard!$H$4="Semua",E4939=Dashboard!$H$4)),1,0)</f>
        <v>1</v>
      </c>
      <c r="V4939">
        <f>IF(U4939=1,IF(COUNTIFS($C$2:C4939,C4939,$U$2:U4939,1)=1,1,0),0)</f>
        <v>0</v>
      </c>
    </row>
    <row r="4940" spans="1:22" x14ac:dyDescent="0.35">
      <c r="A4940">
        <v>14939</v>
      </c>
      <c r="B4940" s="1">
        <v>49500</v>
      </c>
      <c r="C4940">
        <v>1743</v>
      </c>
      <c r="D4940" t="s">
        <v>73</v>
      </c>
      <c r="E4940" t="s">
        <v>63</v>
      </c>
      <c r="F4940">
        <v>1</v>
      </c>
      <c r="G4940" s="2">
        <v>597.99</v>
      </c>
      <c r="H4940">
        <v>0.27</v>
      </c>
      <c r="I4940" t="s">
        <v>64</v>
      </c>
      <c r="J4940">
        <v>5</v>
      </c>
      <c r="K4940">
        <v>1.2</v>
      </c>
      <c r="L4940" s="2">
        <v>436.53</v>
      </c>
      <c r="M4940">
        <v>2035</v>
      </c>
      <c r="N4940">
        <v>7</v>
      </c>
      <c r="O4940" t="s">
        <v>242</v>
      </c>
      <c r="P4940" s="2">
        <v>597.99</v>
      </c>
      <c r="Q4940" s="2">
        <v>161.46</v>
      </c>
      <c r="R4940" t="s">
        <v>66</v>
      </c>
      <c r="S4940">
        <v>1</v>
      </c>
      <c r="T4940">
        <v>0</v>
      </c>
      <c r="U4940">
        <f>IF(AND(OR(Dashboard!$D$4="Semua",D4940=Dashboard!$D$4),OR(Dashboard!$H$4="Semua",E4940=Dashboard!$H$4)),1,0)</f>
        <v>1</v>
      </c>
      <c r="V4940">
        <f>IF(U4940=1,IF(COUNTIFS($C$2:C4940,C4940,$U$2:U4940,1)=1,1,0),0)</f>
        <v>0</v>
      </c>
    </row>
    <row r="4941" spans="1:22" x14ac:dyDescent="0.35">
      <c r="A4941">
        <v>14940</v>
      </c>
      <c r="B4941" s="1">
        <v>49501</v>
      </c>
      <c r="C4941">
        <v>1647</v>
      </c>
      <c r="D4941" t="s">
        <v>67</v>
      </c>
      <c r="E4941" t="s">
        <v>78</v>
      </c>
      <c r="F4941">
        <v>7</v>
      </c>
      <c r="G4941" s="2">
        <v>337.65</v>
      </c>
      <c r="H4941">
        <v>0.23</v>
      </c>
      <c r="I4941" t="s">
        <v>71</v>
      </c>
      <c r="J4941">
        <v>6</v>
      </c>
      <c r="K4941">
        <v>3</v>
      </c>
      <c r="L4941" s="2">
        <v>1819.93</v>
      </c>
      <c r="M4941">
        <v>2035</v>
      </c>
      <c r="N4941">
        <v>7</v>
      </c>
      <c r="O4941" t="s">
        <v>242</v>
      </c>
      <c r="P4941" s="2">
        <v>2363.5500000000002</v>
      </c>
      <c r="Q4941" s="2">
        <v>543.62</v>
      </c>
      <c r="R4941" t="s">
        <v>77</v>
      </c>
      <c r="S4941">
        <v>1</v>
      </c>
      <c r="T4941">
        <v>0</v>
      </c>
      <c r="U4941">
        <f>IF(AND(OR(Dashboard!$D$4="Semua",D4941=Dashboard!$D$4),OR(Dashboard!$H$4="Semua",E4941=Dashboard!$H$4)),1,0)</f>
        <v>1</v>
      </c>
      <c r="V4941">
        <f>IF(U4941=1,IF(COUNTIFS($C$2:C4941,C4941,$U$2:U4941,1)=1,1,0),0)</f>
        <v>0</v>
      </c>
    </row>
    <row r="4942" spans="1:22" x14ac:dyDescent="0.35">
      <c r="A4942">
        <v>14941</v>
      </c>
      <c r="B4942" s="1">
        <v>49502</v>
      </c>
      <c r="C4942">
        <v>1900</v>
      </c>
      <c r="D4942" t="s">
        <v>62</v>
      </c>
      <c r="E4942" t="s">
        <v>74</v>
      </c>
      <c r="F4942">
        <v>4</v>
      </c>
      <c r="G4942" s="2">
        <v>424.78</v>
      </c>
      <c r="H4942">
        <v>0.08</v>
      </c>
      <c r="I4942" t="s">
        <v>71</v>
      </c>
      <c r="J4942">
        <v>3</v>
      </c>
      <c r="K4942">
        <v>5</v>
      </c>
      <c r="L4942" s="2">
        <v>1563.19</v>
      </c>
      <c r="M4942">
        <v>2035</v>
      </c>
      <c r="N4942">
        <v>7</v>
      </c>
      <c r="O4942" t="s">
        <v>242</v>
      </c>
      <c r="P4942" s="2">
        <v>1699.12</v>
      </c>
      <c r="Q4942" s="2">
        <v>135.93</v>
      </c>
      <c r="R4942" t="s">
        <v>69</v>
      </c>
      <c r="S4942">
        <v>1</v>
      </c>
      <c r="T4942">
        <v>0</v>
      </c>
      <c r="U4942">
        <f>IF(AND(OR(Dashboard!$D$4="Semua",D4942=Dashboard!$D$4),OR(Dashboard!$H$4="Semua",E4942=Dashboard!$H$4)),1,0)</f>
        <v>1</v>
      </c>
      <c r="V4942">
        <f>IF(U4942=1,IF(COUNTIFS($C$2:C4942,C4942,$U$2:U4942,1)=1,1,0),0)</f>
        <v>0</v>
      </c>
    </row>
    <row r="4943" spans="1:22" x14ac:dyDescent="0.35">
      <c r="A4943">
        <v>14942</v>
      </c>
      <c r="B4943" s="1">
        <v>49503</v>
      </c>
      <c r="C4943">
        <v>1187</v>
      </c>
      <c r="D4943" t="s">
        <v>80</v>
      </c>
      <c r="E4943" t="s">
        <v>63</v>
      </c>
      <c r="F4943">
        <v>1</v>
      </c>
      <c r="G4943" s="2">
        <v>252.94</v>
      </c>
      <c r="H4943">
        <v>0.05</v>
      </c>
      <c r="I4943" t="s">
        <v>71</v>
      </c>
      <c r="J4943">
        <v>6</v>
      </c>
      <c r="K4943">
        <v>2.2000000000000002</v>
      </c>
      <c r="L4943" s="2">
        <v>240.29</v>
      </c>
      <c r="M4943">
        <v>2035</v>
      </c>
      <c r="N4943">
        <v>7</v>
      </c>
      <c r="O4943" t="s">
        <v>242</v>
      </c>
      <c r="P4943" s="2">
        <v>252.94</v>
      </c>
      <c r="Q4943" s="2">
        <v>12.65</v>
      </c>
      <c r="R4943" t="s">
        <v>75</v>
      </c>
      <c r="S4943">
        <v>1</v>
      </c>
      <c r="T4943">
        <v>0</v>
      </c>
      <c r="U4943">
        <f>IF(AND(OR(Dashboard!$D$4="Semua",D4943=Dashboard!$D$4),OR(Dashboard!$H$4="Semua",E4943=Dashboard!$H$4)),1,0)</f>
        <v>1</v>
      </c>
      <c r="V4943">
        <f>IF(U4943=1,IF(COUNTIFS($C$2:C4943,C4943,$U$2:U4943,1)=1,1,0),0)</f>
        <v>0</v>
      </c>
    </row>
    <row r="4944" spans="1:22" x14ac:dyDescent="0.35">
      <c r="A4944">
        <v>14943</v>
      </c>
      <c r="B4944" s="1">
        <v>49504</v>
      </c>
      <c r="C4944">
        <v>1127</v>
      </c>
      <c r="D4944" t="s">
        <v>62</v>
      </c>
      <c r="E4944" t="s">
        <v>78</v>
      </c>
      <c r="F4944">
        <v>2</v>
      </c>
      <c r="G4944" s="2">
        <v>335.41</v>
      </c>
      <c r="H4944">
        <v>0.22</v>
      </c>
      <c r="I4944" t="s">
        <v>68</v>
      </c>
      <c r="J4944">
        <v>4</v>
      </c>
      <c r="K4944">
        <v>3</v>
      </c>
      <c r="L4944" s="2">
        <v>523.24</v>
      </c>
      <c r="M4944">
        <v>2035</v>
      </c>
      <c r="N4944">
        <v>7</v>
      </c>
      <c r="O4944" t="s">
        <v>242</v>
      </c>
      <c r="P4944" s="2">
        <v>670.82</v>
      </c>
      <c r="Q4944" s="2">
        <v>147.58000000000001</v>
      </c>
      <c r="R4944" t="s">
        <v>77</v>
      </c>
      <c r="S4944">
        <v>1</v>
      </c>
      <c r="T4944">
        <v>0</v>
      </c>
      <c r="U4944">
        <f>IF(AND(OR(Dashboard!$D$4="Semua",D4944=Dashboard!$D$4),OR(Dashboard!$H$4="Semua",E4944=Dashboard!$H$4)),1,0)</f>
        <v>1</v>
      </c>
      <c r="V4944">
        <f>IF(U4944=1,IF(COUNTIFS($C$2:C4944,C4944,$U$2:U4944,1)=1,1,0),0)</f>
        <v>0</v>
      </c>
    </row>
    <row r="4945" spans="1:22" x14ac:dyDescent="0.35">
      <c r="A4945">
        <v>14944</v>
      </c>
      <c r="B4945" s="1">
        <v>49505</v>
      </c>
      <c r="C4945">
        <v>1200</v>
      </c>
      <c r="D4945" t="s">
        <v>73</v>
      </c>
      <c r="E4945" t="s">
        <v>78</v>
      </c>
      <c r="F4945">
        <v>1</v>
      </c>
      <c r="G4945" s="2">
        <v>566.41</v>
      </c>
      <c r="H4945">
        <v>0.16</v>
      </c>
      <c r="I4945" t="s">
        <v>68</v>
      </c>
      <c r="J4945">
        <v>6</v>
      </c>
      <c r="K4945">
        <v>3.6</v>
      </c>
      <c r="L4945" s="2">
        <v>475.78</v>
      </c>
      <c r="M4945">
        <v>2035</v>
      </c>
      <c r="N4945">
        <v>7</v>
      </c>
      <c r="O4945" t="s">
        <v>242</v>
      </c>
      <c r="P4945" s="2">
        <v>566.41</v>
      </c>
      <c r="Q4945" s="2">
        <v>90.63</v>
      </c>
      <c r="R4945" t="s">
        <v>76</v>
      </c>
      <c r="S4945">
        <v>1</v>
      </c>
      <c r="T4945">
        <v>0</v>
      </c>
      <c r="U4945">
        <f>IF(AND(OR(Dashboard!$D$4="Semua",D4945=Dashboard!$D$4),OR(Dashboard!$H$4="Semua",E4945=Dashboard!$H$4)),1,0)</f>
        <v>1</v>
      </c>
      <c r="V4945">
        <f>IF(U4945=1,IF(COUNTIFS($C$2:C4945,C4945,$U$2:U4945,1)=1,1,0),0)</f>
        <v>0</v>
      </c>
    </row>
    <row r="4946" spans="1:22" x14ac:dyDescent="0.35">
      <c r="A4946">
        <v>14945</v>
      </c>
      <c r="B4946" s="1">
        <v>49506</v>
      </c>
      <c r="C4946">
        <v>1126</v>
      </c>
      <c r="D4946" t="s">
        <v>73</v>
      </c>
      <c r="E4946" t="s">
        <v>74</v>
      </c>
      <c r="F4946">
        <v>2</v>
      </c>
      <c r="G4946" s="2">
        <v>112.36</v>
      </c>
      <c r="H4946">
        <v>0.06</v>
      </c>
      <c r="I4946" t="s">
        <v>64</v>
      </c>
      <c r="J4946">
        <v>6</v>
      </c>
      <c r="K4946">
        <v>1.8</v>
      </c>
      <c r="L4946" s="2">
        <v>211.24</v>
      </c>
      <c r="M4946">
        <v>2035</v>
      </c>
      <c r="N4946">
        <v>7</v>
      </c>
      <c r="O4946" t="s">
        <v>242</v>
      </c>
      <c r="P4946" s="2">
        <v>224.72</v>
      </c>
      <c r="Q4946" s="2">
        <v>13.48</v>
      </c>
      <c r="R4946" t="s">
        <v>69</v>
      </c>
      <c r="S4946">
        <v>1</v>
      </c>
      <c r="T4946">
        <v>0</v>
      </c>
      <c r="U4946">
        <f>IF(AND(OR(Dashboard!$D$4="Semua",D4946=Dashboard!$D$4),OR(Dashboard!$H$4="Semua",E4946=Dashboard!$H$4)),1,0)</f>
        <v>1</v>
      </c>
      <c r="V4946">
        <f>IF(U4946=1,IF(COUNTIFS($C$2:C4946,C4946,$U$2:U4946,1)=1,1,0),0)</f>
        <v>0</v>
      </c>
    </row>
    <row r="4947" spans="1:22" x14ac:dyDescent="0.35">
      <c r="A4947">
        <v>14946</v>
      </c>
      <c r="B4947" s="1">
        <v>49507</v>
      </c>
      <c r="C4947">
        <v>1256</v>
      </c>
      <c r="D4947" t="s">
        <v>67</v>
      </c>
      <c r="E4947" t="s">
        <v>78</v>
      </c>
      <c r="F4947">
        <v>7</v>
      </c>
      <c r="G4947" s="2">
        <v>186.04</v>
      </c>
      <c r="H4947">
        <v>0.11</v>
      </c>
      <c r="I4947" t="s">
        <v>64</v>
      </c>
      <c r="J4947">
        <v>4</v>
      </c>
      <c r="K4947">
        <v>3.8</v>
      </c>
      <c r="L4947" s="2">
        <v>1159.03</v>
      </c>
      <c r="M4947">
        <v>2035</v>
      </c>
      <c r="N4947">
        <v>7</v>
      </c>
      <c r="O4947" t="s">
        <v>242</v>
      </c>
      <c r="P4947" s="2">
        <v>1302.28</v>
      </c>
      <c r="Q4947" s="2">
        <v>143.25</v>
      </c>
      <c r="R4947" t="s">
        <v>79</v>
      </c>
      <c r="S4947">
        <v>1</v>
      </c>
      <c r="T4947">
        <v>0</v>
      </c>
      <c r="U4947">
        <f>IF(AND(OR(Dashboard!$D$4="Semua",D4947=Dashboard!$D$4),OR(Dashboard!$H$4="Semua",E4947=Dashboard!$H$4)),1,0)</f>
        <v>1</v>
      </c>
      <c r="V4947">
        <f>IF(U4947=1,IF(COUNTIFS($C$2:C4947,C4947,$U$2:U4947,1)=1,1,0),0)</f>
        <v>0</v>
      </c>
    </row>
    <row r="4948" spans="1:22" x14ac:dyDescent="0.35">
      <c r="A4948">
        <v>14947</v>
      </c>
      <c r="B4948" s="1">
        <v>49508</v>
      </c>
      <c r="C4948">
        <v>1675</v>
      </c>
      <c r="D4948" t="s">
        <v>80</v>
      </c>
      <c r="E4948" t="s">
        <v>70</v>
      </c>
      <c r="F4948">
        <v>2</v>
      </c>
      <c r="G4948" s="2">
        <v>103.95</v>
      </c>
      <c r="H4948">
        <v>0.11</v>
      </c>
      <c r="I4948" t="s">
        <v>71</v>
      </c>
      <c r="J4948">
        <v>1</v>
      </c>
      <c r="K4948">
        <v>3.6</v>
      </c>
      <c r="L4948" s="2">
        <v>185.03</v>
      </c>
      <c r="M4948">
        <v>2035</v>
      </c>
      <c r="N4948">
        <v>7</v>
      </c>
      <c r="O4948" t="s">
        <v>242</v>
      </c>
      <c r="P4948" s="2">
        <v>207.9</v>
      </c>
      <c r="Q4948" s="2">
        <v>22.87</v>
      </c>
      <c r="R4948" t="s">
        <v>79</v>
      </c>
      <c r="S4948">
        <v>1</v>
      </c>
      <c r="T4948">
        <v>0</v>
      </c>
      <c r="U4948">
        <f>IF(AND(OR(Dashboard!$D$4="Semua",D4948=Dashboard!$D$4),OR(Dashboard!$H$4="Semua",E4948=Dashboard!$H$4)),1,0)</f>
        <v>1</v>
      </c>
      <c r="V4948">
        <f>IF(U4948=1,IF(COUNTIFS($C$2:C4948,C4948,$U$2:U4948,1)=1,1,0),0)</f>
        <v>0</v>
      </c>
    </row>
    <row r="4949" spans="1:22" x14ac:dyDescent="0.35">
      <c r="A4949">
        <v>14948</v>
      </c>
      <c r="B4949" s="1">
        <v>49509</v>
      </c>
      <c r="C4949">
        <v>1546</v>
      </c>
      <c r="D4949" t="s">
        <v>73</v>
      </c>
      <c r="E4949" t="s">
        <v>63</v>
      </c>
      <c r="F4949">
        <v>1</v>
      </c>
      <c r="G4949" s="2">
        <v>478.45</v>
      </c>
      <c r="H4949">
        <v>0.04</v>
      </c>
      <c r="I4949" t="s">
        <v>68</v>
      </c>
      <c r="J4949">
        <v>3</v>
      </c>
      <c r="K4949">
        <v>2.5</v>
      </c>
      <c r="L4949" s="2">
        <v>459.31</v>
      </c>
      <c r="M4949">
        <v>2035</v>
      </c>
      <c r="N4949">
        <v>7</v>
      </c>
      <c r="O4949" t="s">
        <v>242</v>
      </c>
      <c r="P4949" s="2">
        <v>478.45</v>
      </c>
      <c r="Q4949" s="2">
        <v>19.14</v>
      </c>
      <c r="R4949" t="s">
        <v>75</v>
      </c>
      <c r="S4949">
        <v>1</v>
      </c>
      <c r="T4949">
        <v>0</v>
      </c>
      <c r="U4949">
        <f>IF(AND(OR(Dashboard!$D$4="Semua",D4949=Dashboard!$D$4),OR(Dashboard!$H$4="Semua",E4949=Dashboard!$H$4)),1,0)</f>
        <v>1</v>
      </c>
      <c r="V4949">
        <f>IF(U4949=1,IF(COUNTIFS($C$2:C4949,C4949,$U$2:U4949,1)=1,1,0),0)</f>
        <v>0</v>
      </c>
    </row>
    <row r="4950" spans="1:22" x14ac:dyDescent="0.35">
      <c r="A4950">
        <v>14949</v>
      </c>
      <c r="B4950" s="1">
        <v>49510</v>
      </c>
      <c r="C4950">
        <v>1193</v>
      </c>
      <c r="D4950" t="s">
        <v>73</v>
      </c>
      <c r="E4950" t="s">
        <v>63</v>
      </c>
      <c r="F4950">
        <v>7</v>
      </c>
      <c r="G4950" s="2">
        <v>51.3</v>
      </c>
      <c r="H4950">
        <v>0.19</v>
      </c>
      <c r="I4950" t="s">
        <v>68</v>
      </c>
      <c r="J4950">
        <v>11</v>
      </c>
      <c r="K4950">
        <v>2.1</v>
      </c>
      <c r="L4950" s="2">
        <v>290.87</v>
      </c>
      <c r="M4950">
        <v>2035</v>
      </c>
      <c r="N4950">
        <v>7</v>
      </c>
      <c r="O4950" t="s">
        <v>242</v>
      </c>
      <c r="P4950" s="2">
        <v>359.1</v>
      </c>
      <c r="Q4950" s="2">
        <v>68.23</v>
      </c>
      <c r="R4950" t="s">
        <v>76</v>
      </c>
      <c r="S4950">
        <v>1</v>
      </c>
      <c r="T4950">
        <v>0</v>
      </c>
      <c r="U4950">
        <f>IF(AND(OR(Dashboard!$D$4="Semua",D4950=Dashboard!$D$4),OR(Dashboard!$H$4="Semua",E4950=Dashboard!$H$4)),1,0)</f>
        <v>1</v>
      </c>
      <c r="V4950">
        <f>IF(U4950=1,IF(COUNTIFS($C$2:C4950,C4950,$U$2:U4950,1)=1,1,0),0)</f>
        <v>0</v>
      </c>
    </row>
    <row r="4951" spans="1:22" x14ac:dyDescent="0.35">
      <c r="A4951">
        <v>14950</v>
      </c>
      <c r="B4951" s="1">
        <v>49511</v>
      </c>
      <c r="C4951">
        <v>1702</v>
      </c>
      <c r="D4951" t="s">
        <v>80</v>
      </c>
      <c r="E4951" t="s">
        <v>70</v>
      </c>
      <c r="F4951">
        <v>2</v>
      </c>
      <c r="G4951" s="2">
        <v>62.75</v>
      </c>
      <c r="H4951">
        <v>0.27</v>
      </c>
      <c r="I4951" t="s">
        <v>68</v>
      </c>
      <c r="J4951">
        <v>10</v>
      </c>
      <c r="K4951">
        <v>4.7</v>
      </c>
      <c r="L4951" s="2">
        <v>91.62</v>
      </c>
      <c r="M4951">
        <v>2035</v>
      </c>
      <c r="N4951">
        <v>7</v>
      </c>
      <c r="O4951" t="s">
        <v>242</v>
      </c>
      <c r="P4951" s="2">
        <v>125.5</v>
      </c>
      <c r="Q4951" s="2">
        <v>33.880000000000003</v>
      </c>
      <c r="R4951" t="s">
        <v>66</v>
      </c>
      <c r="S4951">
        <v>1</v>
      </c>
      <c r="T4951">
        <v>0</v>
      </c>
      <c r="U4951">
        <f>IF(AND(OR(Dashboard!$D$4="Semua",D4951=Dashboard!$D$4),OR(Dashboard!$H$4="Semua",E4951=Dashboard!$H$4)),1,0)</f>
        <v>1</v>
      </c>
      <c r="V4951">
        <f>IF(U4951=1,IF(COUNTIFS($C$2:C4951,C4951,$U$2:U4951,1)=1,1,0),0)</f>
        <v>0</v>
      </c>
    </row>
    <row r="4952" spans="1:22" x14ac:dyDescent="0.35">
      <c r="A4952">
        <v>14951</v>
      </c>
      <c r="B4952" s="1">
        <v>49512</v>
      </c>
      <c r="C4952">
        <v>1103</v>
      </c>
      <c r="D4952" t="s">
        <v>73</v>
      </c>
      <c r="E4952" t="s">
        <v>74</v>
      </c>
      <c r="F4952">
        <v>6</v>
      </c>
      <c r="G4952" s="2">
        <v>189.62</v>
      </c>
      <c r="H4952">
        <v>0.2</v>
      </c>
      <c r="I4952" t="s">
        <v>68</v>
      </c>
      <c r="J4952">
        <v>7</v>
      </c>
      <c r="K4952">
        <v>1.5</v>
      </c>
      <c r="L4952" s="2">
        <v>910.18</v>
      </c>
      <c r="M4952">
        <v>2035</v>
      </c>
      <c r="N4952">
        <v>7</v>
      </c>
      <c r="O4952" t="s">
        <v>242</v>
      </c>
      <c r="P4952" s="2">
        <v>1137.72</v>
      </c>
      <c r="Q4952" s="2">
        <v>227.54</v>
      </c>
      <c r="R4952" t="s">
        <v>76</v>
      </c>
      <c r="S4952">
        <v>1</v>
      </c>
      <c r="T4952">
        <v>0</v>
      </c>
      <c r="U4952">
        <f>IF(AND(OR(Dashboard!$D$4="Semua",D4952=Dashboard!$D$4),OR(Dashboard!$H$4="Semua",E4952=Dashboard!$H$4)),1,0)</f>
        <v>1</v>
      </c>
      <c r="V4952">
        <f>IF(U4952=1,IF(COUNTIFS($C$2:C4952,C4952,$U$2:U4952,1)=1,1,0),0)</f>
        <v>0</v>
      </c>
    </row>
    <row r="4953" spans="1:22" x14ac:dyDescent="0.35">
      <c r="A4953">
        <v>14952</v>
      </c>
      <c r="B4953" s="1">
        <v>49513</v>
      </c>
      <c r="C4953">
        <v>1534</v>
      </c>
      <c r="D4953" t="s">
        <v>67</v>
      </c>
      <c r="E4953" t="s">
        <v>70</v>
      </c>
      <c r="F4953">
        <v>3</v>
      </c>
      <c r="G4953" s="2">
        <v>315.8</v>
      </c>
      <c r="H4953">
        <v>0.28999999999999998</v>
      </c>
      <c r="I4953" t="s">
        <v>71</v>
      </c>
      <c r="J4953">
        <v>2</v>
      </c>
      <c r="K4953">
        <v>2.7</v>
      </c>
      <c r="L4953" s="2">
        <v>672.65</v>
      </c>
      <c r="M4953">
        <v>2035</v>
      </c>
      <c r="N4953">
        <v>7</v>
      </c>
      <c r="O4953" t="s">
        <v>242</v>
      </c>
      <c r="P4953" s="2">
        <v>947.4</v>
      </c>
      <c r="Q4953" s="2">
        <v>274.75</v>
      </c>
      <c r="R4953" t="s">
        <v>66</v>
      </c>
      <c r="S4953">
        <v>1</v>
      </c>
      <c r="T4953">
        <v>0</v>
      </c>
      <c r="U4953">
        <f>IF(AND(OR(Dashboard!$D$4="Semua",D4953=Dashboard!$D$4),OR(Dashboard!$H$4="Semua",E4953=Dashboard!$H$4)),1,0)</f>
        <v>1</v>
      </c>
      <c r="V4953">
        <f>IF(U4953=1,IF(COUNTIFS($C$2:C4953,C4953,$U$2:U4953,1)=1,1,0),0)</f>
        <v>0</v>
      </c>
    </row>
    <row r="4954" spans="1:22" x14ac:dyDescent="0.35">
      <c r="A4954">
        <v>14953</v>
      </c>
      <c r="B4954" s="1">
        <v>49514</v>
      </c>
      <c r="C4954">
        <v>1264</v>
      </c>
      <c r="D4954" t="s">
        <v>67</v>
      </c>
      <c r="E4954" t="s">
        <v>70</v>
      </c>
      <c r="F4954">
        <v>1</v>
      </c>
      <c r="G4954" s="2">
        <v>252.67</v>
      </c>
      <c r="H4954">
        <v>0.04</v>
      </c>
      <c r="I4954" t="s">
        <v>64</v>
      </c>
      <c r="J4954">
        <v>4</v>
      </c>
      <c r="K4954">
        <v>4.0999999999999996</v>
      </c>
      <c r="L4954" s="2">
        <v>242.56</v>
      </c>
      <c r="M4954">
        <v>2035</v>
      </c>
      <c r="N4954">
        <v>7</v>
      </c>
      <c r="O4954" t="s">
        <v>242</v>
      </c>
      <c r="P4954" s="2">
        <v>252.67</v>
      </c>
      <c r="Q4954" s="2">
        <v>10.11</v>
      </c>
      <c r="R4954" t="s">
        <v>75</v>
      </c>
      <c r="S4954">
        <v>1</v>
      </c>
      <c r="T4954">
        <v>0</v>
      </c>
      <c r="U4954">
        <f>IF(AND(OR(Dashboard!$D$4="Semua",D4954=Dashboard!$D$4),OR(Dashboard!$H$4="Semua",E4954=Dashboard!$H$4)),1,0)</f>
        <v>1</v>
      </c>
      <c r="V4954">
        <f>IF(U4954=1,IF(COUNTIFS($C$2:C4954,C4954,$U$2:U4954,1)=1,1,0),0)</f>
        <v>0</v>
      </c>
    </row>
    <row r="4955" spans="1:22" x14ac:dyDescent="0.35">
      <c r="A4955">
        <v>14954</v>
      </c>
      <c r="B4955" s="1">
        <v>49515</v>
      </c>
      <c r="C4955">
        <v>1801</v>
      </c>
      <c r="D4955" t="s">
        <v>67</v>
      </c>
      <c r="E4955" t="s">
        <v>63</v>
      </c>
      <c r="F4955">
        <v>3</v>
      </c>
      <c r="G4955" s="2">
        <v>41.22</v>
      </c>
      <c r="H4955">
        <v>0.15</v>
      </c>
      <c r="I4955" t="s">
        <v>68</v>
      </c>
      <c r="J4955">
        <v>6</v>
      </c>
      <c r="K4955">
        <v>1.6</v>
      </c>
      <c r="L4955" s="2">
        <v>105.11</v>
      </c>
      <c r="M4955">
        <v>2035</v>
      </c>
      <c r="N4955">
        <v>7</v>
      </c>
      <c r="O4955" t="s">
        <v>242</v>
      </c>
      <c r="P4955" s="2">
        <v>123.66</v>
      </c>
      <c r="Q4955" s="2">
        <v>18.55</v>
      </c>
      <c r="R4955" t="s">
        <v>79</v>
      </c>
      <c r="S4955">
        <v>1</v>
      </c>
      <c r="T4955">
        <v>0</v>
      </c>
      <c r="U4955">
        <f>IF(AND(OR(Dashboard!$D$4="Semua",D4955=Dashboard!$D$4),OR(Dashboard!$H$4="Semua",E4955=Dashboard!$H$4)),1,0)</f>
        <v>1</v>
      </c>
      <c r="V4955">
        <f>IF(U4955=1,IF(COUNTIFS($C$2:C4955,C4955,$U$2:U4955,1)=1,1,0),0)</f>
        <v>0</v>
      </c>
    </row>
    <row r="4956" spans="1:22" x14ac:dyDescent="0.35">
      <c r="A4956">
        <v>14955</v>
      </c>
      <c r="B4956" s="1">
        <v>49516</v>
      </c>
      <c r="C4956">
        <v>1941</v>
      </c>
      <c r="D4956" t="s">
        <v>80</v>
      </c>
      <c r="E4956" t="s">
        <v>74</v>
      </c>
      <c r="F4956">
        <v>1</v>
      </c>
      <c r="G4956" s="2">
        <v>575.13</v>
      </c>
      <c r="H4956">
        <v>0.21</v>
      </c>
      <c r="I4956" t="s">
        <v>71</v>
      </c>
      <c r="J4956">
        <v>5</v>
      </c>
      <c r="K4956">
        <v>4.7</v>
      </c>
      <c r="L4956" s="2">
        <v>454.35</v>
      </c>
      <c r="M4956">
        <v>2035</v>
      </c>
      <c r="N4956">
        <v>7</v>
      </c>
      <c r="O4956" t="s">
        <v>242</v>
      </c>
      <c r="P4956" s="2">
        <v>575.13</v>
      </c>
      <c r="Q4956" s="2">
        <v>120.78</v>
      </c>
      <c r="R4956" t="s">
        <v>77</v>
      </c>
      <c r="S4956">
        <v>1</v>
      </c>
      <c r="T4956">
        <v>0</v>
      </c>
      <c r="U4956">
        <f>IF(AND(OR(Dashboard!$D$4="Semua",D4956=Dashboard!$D$4),OR(Dashboard!$H$4="Semua",E4956=Dashboard!$H$4)),1,0)</f>
        <v>1</v>
      </c>
      <c r="V4956">
        <f>IF(U4956=1,IF(COUNTIFS($C$2:C4956,C4956,$U$2:U4956,1)=1,1,0),0)</f>
        <v>0</v>
      </c>
    </row>
    <row r="4957" spans="1:22" x14ac:dyDescent="0.35">
      <c r="A4957">
        <v>14956</v>
      </c>
      <c r="B4957" s="1">
        <v>49517</v>
      </c>
      <c r="C4957">
        <v>1973</v>
      </c>
      <c r="D4957" t="s">
        <v>67</v>
      </c>
      <c r="E4957" t="s">
        <v>78</v>
      </c>
      <c r="F4957">
        <v>2</v>
      </c>
      <c r="G4957" s="2">
        <v>572.42999999999995</v>
      </c>
      <c r="H4957">
        <v>0.24</v>
      </c>
      <c r="I4957" t="s">
        <v>68</v>
      </c>
      <c r="J4957">
        <v>6</v>
      </c>
      <c r="K4957">
        <v>3.1</v>
      </c>
      <c r="L4957" s="2">
        <v>870.09</v>
      </c>
      <c r="M4957">
        <v>2035</v>
      </c>
      <c r="N4957">
        <v>7</v>
      </c>
      <c r="O4957" t="s">
        <v>242</v>
      </c>
      <c r="P4957" s="2">
        <v>1144.8599999999999</v>
      </c>
      <c r="Q4957" s="2">
        <v>274.77</v>
      </c>
      <c r="R4957" t="s">
        <v>77</v>
      </c>
      <c r="S4957">
        <v>1</v>
      </c>
      <c r="T4957">
        <v>0</v>
      </c>
      <c r="U4957">
        <f>IF(AND(OR(Dashboard!$D$4="Semua",D4957=Dashboard!$D$4),OR(Dashboard!$H$4="Semua",E4957=Dashboard!$H$4)),1,0)</f>
        <v>1</v>
      </c>
      <c r="V4957">
        <f>IF(U4957=1,IF(COUNTIFS($C$2:C4957,C4957,$U$2:U4957,1)=1,1,0),0)</f>
        <v>0</v>
      </c>
    </row>
    <row r="4958" spans="1:22" x14ac:dyDescent="0.35">
      <c r="A4958">
        <v>14957</v>
      </c>
      <c r="B4958" s="1">
        <v>49518</v>
      </c>
      <c r="C4958">
        <v>1383</v>
      </c>
      <c r="D4958" t="s">
        <v>67</v>
      </c>
      <c r="E4958" t="s">
        <v>70</v>
      </c>
      <c r="F4958">
        <v>2</v>
      </c>
      <c r="G4958" s="2">
        <v>178.42</v>
      </c>
      <c r="H4958">
        <v>0.24</v>
      </c>
      <c r="I4958" t="s">
        <v>64</v>
      </c>
      <c r="J4958">
        <v>5</v>
      </c>
      <c r="K4958">
        <v>3</v>
      </c>
      <c r="L4958" s="2">
        <v>271.2</v>
      </c>
      <c r="M4958">
        <v>2035</v>
      </c>
      <c r="N4958">
        <v>7</v>
      </c>
      <c r="O4958" t="s">
        <v>242</v>
      </c>
      <c r="P4958" s="2">
        <v>356.84</v>
      </c>
      <c r="Q4958" s="2">
        <v>85.64</v>
      </c>
      <c r="R4958" t="s">
        <v>77</v>
      </c>
      <c r="S4958">
        <v>1</v>
      </c>
      <c r="T4958">
        <v>0</v>
      </c>
      <c r="U4958">
        <f>IF(AND(OR(Dashboard!$D$4="Semua",D4958=Dashboard!$D$4),OR(Dashboard!$H$4="Semua",E4958=Dashboard!$H$4)),1,0)</f>
        <v>1</v>
      </c>
      <c r="V4958">
        <f>IF(U4958=1,IF(COUNTIFS($C$2:C4958,C4958,$U$2:U4958,1)=1,1,0),0)</f>
        <v>0</v>
      </c>
    </row>
    <row r="4959" spans="1:22" x14ac:dyDescent="0.35">
      <c r="A4959">
        <v>14958</v>
      </c>
      <c r="B4959" s="1">
        <v>49519</v>
      </c>
      <c r="C4959">
        <v>1259</v>
      </c>
      <c r="D4959" t="s">
        <v>67</v>
      </c>
      <c r="E4959" t="s">
        <v>70</v>
      </c>
      <c r="F4959">
        <v>7</v>
      </c>
      <c r="G4959" s="2">
        <v>442.94</v>
      </c>
      <c r="H4959">
        <v>0.26</v>
      </c>
      <c r="I4959" t="s">
        <v>64</v>
      </c>
      <c r="J4959">
        <v>9</v>
      </c>
      <c r="K4959">
        <v>2.7</v>
      </c>
      <c r="L4959" s="2">
        <v>2294.4299999999998</v>
      </c>
      <c r="M4959">
        <v>2035</v>
      </c>
      <c r="N4959">
        <v>7</v>
      </c>
      <c r="O4959" t="s">
        <v>242</v>
      </c>
      <c r="P4959" s="2">
        <v>3100.58</v>
      </c>
      <c r="Q4959" s="2">
        <v>806.15</v>
      </c>
      <c r="R4959" t="s">
        <v>66</v>
      </c>
      <c r="S4959">
        <v>1</v>
      </c>
      <c r="T4959">
        <v>0</v>
      </c>
      <c r="U4959">
        <f>IF(AND(OR(Dashboard!$D$4="Semua",D4959=Dashboard!$D$4),OR(Dashboard!$H$4="Semua",E4959=Dashboard!$H$4)),1,0)</f>
        <v>1</v>
      </c>
      <c r="V4959">
        <f>IF(U4959=1,IF(COUNTIFS($C$2:C4959,C4959,$U$2:U4959,1)=1,1,0),0)</f>
        <v>0</v>
      </c>
    </row>
    <row r="4960" spans="1:22" x14ac:dyDescent="0.35">
      <c r="A4960">
        <v>14959</v>
      </c>
      <c r="B4960" s="1">
        <v>49520</v>
      </c>
      <c r="C4960">
        <v>1413</v>
      </c>
      <c r="D4960" t="s">
        <v>67</v>
      </c>
      <c r="E4960" t="s">
        <v>74</v>
      </c>
      <c r="F4960">
        <v>4</v>
      </c>
      <c r="G4960" s="2">
        <v>353.47</v>
      </c>
      <c r="H4960">
        <v>0.23</v>
      </c>
      <c r="I4960" t="s">
        <v>68</v>
      </c>
      <c r="J4960">
        <v>11</v>
      </c>
      <c r="K4960">
        <v>4.5</v>
      </c>
      <c r="L4960" s="2">
        <v>1088.69</v>
      </c>
      <c r="M4960">
        <v>2035</v>
      </c>
      <c r="N4960">
        <v>7</v>
      </c>
      <c r="O4960" t="s">
        <v>242</v>
      </c>
      <c r="P4960" s="2">
        <v>1413.88</v>
      </c>
      <c r="Q4960" s="2">
        <v>325.19</v>
      </c>
      <c r="R4960" t="s">
        <v>77</v>
      </c>
      <c r="S4960">
        <v>1</v>
      </c>
      <c r="T4960">
        <v>0</v>
      </c>
      <c r="U4960">
        <f>IF(AND(OR(Dashboard!$D$4="Semua",D4960=Dashboard!$D$4),OR(Dashboard!$H$4="Semua",E4960=Dashboard!$H$4)),1,0)</f>
        <v>1</v>
      </c>
      <c r="V4960">
        <f>IF(U4960=1,IF(COUNTIFS($C$2:C4960,C4960,$U$2:U4960,1)=1,1,0),0)</f>
        <v>0</v>
      </c>
    </row>
    <row r="4961" spans="1:22" x14ac:dyDescent="0.35">
      <c r="A4961">
        <v>14960</v>
      </c>
      <c r="B4961" s="1">
        <v>49521</v>
      </c>
      <c r="C4961">
        <v>1990</v>
      </c>
      <c r="D4961" t="s">
        <v>67</v>
      </c>
      <c r="E4961" t="s">
        <v>70</v>
      </c>
      <c r="F4961">
        <v>6</v>
      </c>
      <c r="G4961" s="2">
        <v>153.91999999999999</v>
      </c>
      <c r="H4961">
        <v>0.03</v>
      </c>
      <c r="I4961" t="s">
        <v>64</v>
      </c>
      <c r="J4961">
        <v>2</v>
      </c>
      <c r="K4961">
        <v>4.8</v>
      </c>
      <c r="L4961" s="2">
        <v>895.81</v>
      </c>
      <c r="M4961">
        <v>2035</v>
      </c>
      <c r="N4961">
        <v>7</v>
      </c>
      <c r="O4961" t="s">
        <v>242</v>
      </c>
      <c r="P4961" s="2">
        <v>923.52</v>
      </c>
      <c r="Q4961" s="2">
        <v>27.71</v>
      </c>
      <c r="R4961" t="s">
        <v>75</v>
      </c>
      <c r="S4961">
        <v>1</v>
      </c>
      <c r="T4961">
        <v>0</v>
      </c>
      <c r="U4961">
        <f>IF(AND(OR(Dashboard!$D$4="Semua",D4961=Dashboard!$D$4),OR(Dashboard!$H$4="Semua",E4961=Dashboard!$H$4)),1,0)</f>
        <v>1</v>
      </c>
      <c r="V4961">
        <f>IF(U4961=1,IF(COUNTIFS($C$2:C4961,C4961,$U$2:U4961,1)=1,1,0),0)</f>
        <v>0</v>
      </c>
    </row>
    <row r="4962" spans="1:22" x14ac:dyDescent="0.35">
      <c r="A4962">
        <v>14961</v>
      </c>
      <c r="B4962" s="1">
        <v>49522</v>
      </c>
      <c r="C4962">
        <v>1357</v>
      </c>
      <c r="D4962" t="s">
        <v>73</v>
      </c>
      <c r="E4962" t="s">
        <v>74</v>
      </c>
      <c r="F4962">
        <v>4</v>
      </c>
      <c r="G4962" s="2">
        <v>168.37</v>
      </c>
      <c r="H4962">
        <v>0.24</v>
      </c>
      <c r="I4962" t="s">
        <v>71</v>
      </c>
      <c r="J4962">
        <v>4</v>
      </c>
      <c r="K4962">
        <v>2.5</v>
      </c>
      <c r="L4962" s="2">
        <v>511.84</v>
      </c>
      <c r="M4962">
        <v>2035</v>
      </c>
      <c r="N4962">
        <v>8</v>
      </c>
      <c r="O4962" t="s">
        <v>243</v>
      </c>
      <c r="P4962" s="2">
        <v>673.48</v>
      </c>
      <c r="Q4962" s="2">
        <v>161.63999999999999</v>
      </c>
      <c r="R4962" t="s">
        <v>77</v>
      </c>
      <c r="S4962">
        <v>1</v>
      </c>
      <c r="T4962">
        <v>0</v>
      </c>
      <c r="U4962">
        <f>IF(AND(OR(Dashboard!$D$4="Semua",D4962=Dashboard!$D$4),OR(Dashboard!$H$4="Semua",E4962=Dashboard!$H$4)),1,0)</f>
        <v>1</v>
      </c>
      <c r="V4962">
        <f>IF(U4962=1,IF(COUNTIFS($C$2:C4962,C4962,$U$2:U4962,1)=1,1,0),0)</f>
        <v>0</v>
      </c>
    </row>
    <row r="4963" spans="1:22" x14ac:dyDescent="0.35">
      <c r="A4963">
        <v>14962</v>
      </c>
      <c r="B4963" s="1">
        <v>49523</v>
      </c>
      <c r="C4963">
        <v>1074</v>
      </c>
      <c r="D4963" t="s">
        <v>73</v>
      </c>
      <c r="E4963" t="s">
        <v>78</v>
      </c>
      <c r="F4963">
        <v>3</v>
      </c>
      <c r="G4963" s="2">
        <v>302.32</v>
      </c>
      <c r="H4963">
        <v>0.25</v>
      </c>
      <c r="I4963" t="s">
        <v>68</v>
      </c>
      <c r="J4963">
        <v>1</v>
      </c>
      <c r="K4963">
        <v>3.2</v>
      </c>
      <c r="L4963" s="2">
        <v>680.22</v>
      </c>
      <c r="M4963">
        <v>2035</v>
      </c>
      <c r="N4963">
        <v>8</v>
      </c>
      <c r="O4963" t="s">
        <v>243</v>
      </c>
      <c r="P4963" s="2">
        <v>906.96</v>
      </c>
      <c r="Q4963" s="2">
        <v>226.74</v>
      </c>
      <c r="R4963" t="s">
        <v>77</v>
      </c>
      <c r="S4963">
        <v>1</v>
      </c>
      <c r="T4963">
        <v>0</v>
      </c>
      <c r="U4963">
        <f>IF(AND(OR(Dashboard!$D$4="Semua",D4963=Dashboard!$D$4),OR(Dashboard!$H$4="Semua",E4963=Dashboard!$H$4)),1,0)</f>
        <v>1</v>
      </c>
      <c r="V4963">
        <f>IF(U4963=1,IF(COUNTIFS($C$2:C4963,C4963,$U$2:U4963,1)=1,1,0),0)</f>
        <v>0</v>
      </c>
    </row>
    <row r="4964" spans="1:22" x14ac:dyDescent="0.35">
      <c r="A4964">
        <v>14963</v>
      </c>
      <c r="B4964" s="1">
        <v>49524</v>
      </c>
      <c r="C4964">
        <v>1354</v>
      </c>
      <c r="D4964" t="s">
        <v>73</v>
      </c>
      <c r="E4964" t="s">
        <v>74</v>
      </c>
      <c r="F4964">
        <v>2</v>
      </c>
      <c r="G4964" s="2">
        <v>260.25</v>
      </c>
      <c r="H4964">
        <v>0.35</v>
      </c>
      <c r="I4964" t="s">
        <v>71</v>
      </c>
      <c r="J4964">
        <v>7</v>
      </c>
      <c r="K4964">
        <v>2.2999999999999998</v>
      </c>
      <c r="L4964" s="2">
        <v>338.32</v>
      </c>
      <c r="M4964">
        <v>2035</v>
      </c>
      <c r="N4964">
        <v>8</v>
      </c>
      <c r="O4964" t="s">
        <v>243</v>
      </c>
      <c r="P4964" s="2">
        <v>520.5</v>
      </c>
      <c r="Q4964" s="2">
        <v>182.18</v>
      </c>
      <c r="R4964" t="s">
        <v>72</v>
      </c>
      <c r="S4964">
        <v>1</v>
      </c>
      <c r="T4964">
        <v>0</v>
      </c>
      <c r="U4964">
        <f>IF(AND(OR(Dashboard!$D$4="Semua",D4964=Dashboard!$D$4),OR(Dashboard!$H$4="Semua",E4964=Dashboard!$H$4)),1,0)</f>
        <v>1</v>
      </c>
      <c r="V4964">
        <f>IF(U4964=1,IF(COUNTIFS($C$2:C4964,C4964,$U$2:U4964,1)=1,1,0),0)</f>
        <v>1</v>
      </c>
    </row>
    <row r="4965" spans="1:22" x14ac:dyDescent="0.35">
      <c r="A4965">
        <v>14964</v>
      </c>
      <c r="B4965" s="1">
        <v>49525</v>
      </c>
      <c r="C4965">
        <v>1583</v>
      </c>
      <c r="D4965" t="s">
        <v>73</v>
      </c>
      <c r="E4965" t="s">
        <v>78</v>
      </c>
      <c r="F4965">
        <v>4</v>
      </c>
      <c r="G4965" s="2">
        <v>185.37</v>
      </c>
      <c r="H4965">
        <v>0.24</v>
      </c>
      <c r="I4965" t="s">
        <v>68</v>
      </c>
      <c r="J4965">
        <v>1</v>
      </c>
      <c r="K4965">
        <v>2.5</v>
      </c>
      <c r="L4965" s="2">
        <v>563.52</v>
      </c>
      <c r="M4965">
        <v>2035</v>
      </c>
      <c r="N4965">
        <v>8</v>
      </c>
      <c r="O4965" t="s">
        <v>243</v>
      </c>
      <c r="P4965" s="2">
        <v>741.48</v>
      </c>
      <c r="Q4965" s="2">
        <v>177.96</v>
      </c>
      <c r="R4965" t="s">
        <v>77</v>
      </c>
      <c r="S4965">
        <v>1</v>
      </c>
      <c r="T4965">
        <v>0</v>
      </c>
      <c r="U4965">
        <f>IF(AND(OR(Dashboard!$D$4="Semua",D4965=Dashboard!$D$4),OR(Dashboard!$H$4="Semua",E4965=Dashboard!$H$4)),1,0)</f>
        <v>1</v>
      </c>
      <c r="V4965">
        <f>IF(U4965=1,IF(COUNTIFS($C$2:C4965,C4965,$U$2:U4965,1)=1,1,0),0)</f>
        <v>0</v>
      </c>
    </row>
    <row r="4966" spans="1:22" x14ac:dyDescent="0.35">
      <c r="A4966">
        <v>14965</v>
      </c>
      <c r="B4966" s="1">
        <v>49526</v>
      </c>
      <c r="C4966">
        <v>1770</v>
      </c>
      <c r="D4966" t="s">
        <v>67</v>
      </c>
      <c r="E4966" t="s">
        <v>74</v>
      </c>
      <c r="F4966">
        <v>2</v>
      </c>
      <c r="G4966" s="2">
        <v>487.39</v>
      </c>
      <c r="H4966">
        <v>0.24</v>
      </c>
      <c r="I4966" t="s">
        <v>71</v>
      </c>
      <c r="J4966">
        <v>6</v>
      </c>
      <c r="K4966">
        <v>1.1000000000000001</v>
      </c>
      <c r="L4966" s="2">
        <v>740.83</v>
      </c>
      <c r="M4966">
        <v>2035</v>
      </c>
      <c r="N4966">
        <v>8</v>
      </c>
      <c r="O4966" t="s">
        <v>243</v>
      </c>
      <c r="P4966" s="2">
        <v>974.78</v>
      </c>
      <c r="Q4966" s="2">
        <v>233.95</v>
      </c>
      <c r="R4966" t="s">
        <v>77</v>
      </c>
      <c r="S4966">
        <v>1</v>
      </c>
      <c r="T4966">
        <v>0</v>
      </c>
      <c r="U4966">
        <f>IF(AND(OR(Dashboard!$D$4="Semua",D4966=Dashboard!$D$4),OR(Dashboard!$H$4="Semua",E4966=Dashboard!$H$4)),1,0)</f>
        <v>1</v>
      </c>
      <c r="V4966">
        <f>IF(U4966=1,IF(COUNTIFS($C$2:C4966,C4966,$U$2:U4966,1)=1,1,0),0)</f>
        <v>0</v>
      </c>
    </row>
    <row r="4967" spans="1:22" x14ac:dyDescent="0.35">
      <c r="A4967">
        <v>14966</v>
      </c>
      <c r="B4967" s="1">
        <v>49527</v>
      </c>
      <c r="C4967">
        <v>1909</v>
      </c>
      <c r="D4967" t="s">
        <v>80</v>
      </c>
      <c r="E4967" t="s">
        <v>70</v>
      </c>
      <c r="F4967">
        <v>1</v>
      </c>
      <c r="G4967" s="2">
        <v>296.66000000000003</v>
      </c>
      <c r="H4967">
        <v>0.18</v>
      </c>
      <c r="I4967" t="s">
        <v>64</v>
      </c>
      <c r="J4967">
        <v>10</v>
      </c>
      <c r="K4967">
        <v>4.0999999999999996</v>
      </c>
      <c r="L4967" s="2">
        <v>243.26</v>
      </c>
      <c r="M4967">
        <v>2035</v>
      </c>
      <c r="N4967">
        <v>8</v>
      </c>
      <c r="O4967" t="s">
        <v>243</v>
      </c>
      <c r="P4967" s="2">
        <v>296.66000000000003</v>
      </c>
      <c r="Q4967" s="2">
        <v>53.4</v>
      </c>
      <c r="R4967" t="s">
        <v>76</v>
      </c>
      <c r="S4967">
        <v>1</v>
      </c>
      <c r="T4967">
        <v>0</v>
      </c>
      <c r="U4967">
        <f>IF(AND(OR(Dashboard!$D$4="Semua",D4967=Dashboard!$D$4),OR(Dashboard!$H$4="Semua",E4967=Dashboard!$H$4)),1,0)</f>
        <v>1</v>
      </c>
      <c r="V4967">
        <f>IF(U4967=1,IF(COUNTIFS($C$2:C4967,C4967,$U$2:U4967,1)=1,1,0),0)</f>
        <v>0</v>
      </c>
    </row>
    <row r="4968" spans="1:22" x14ac:dyDescent="0.35">
      <c r="A4968">
        <v>14967</v>
      </c>
      <c r="B4968" s="1">
        <v>49528</v>
      </c>
      <c r="C4968">
        <v>1187</v>
      </c>
      <c r="D4968" t="s">
        <v>80</v>
      </c>
      <c r="E4968" t="s">
        <v>78</v>
      </c>
      <c r="F4968">
        <v>4</v>
      </c>
      <c r="G4968" s="2">
        <v>398.09</v>
      </c>
      <c r="H4968">
        <v>0.3</v>
      </c>
      <c r="I4968" t="s">
        <v>71</v>
      </c>
      <c r="J4968">
        <v>10</v>
      </c>
      <c r="K4968">
        <v>4.9000000000000004</v>
      </c>
      <c r="L4968" s="2">
        <v>1114.6500000000001</v>
      </c>
      <c r="M4968">
        <v>2035</v>
      </c>
      <c r="N4968">
        <v>8</v>
      </c>
      <c r="O4968" t="s">
        <v>243</v>
      </c>
      <c r="P4968" s="2">
        <v>1592.36</v>
      </c>
      <c r="Q4968" s="2">
        <v>477.71</v>
      </c>
      <c r="R4968" t="s">
        <v>66</v>
      </c>
      <c r="S4968">
        <v>1</v>
      </c>
      <c r="T4968">
        <v>0</v>
      </c>
      <c r="U4968">
        <f>IF(AND(OR(Dashboard!$D$4="Semua",D4968=Dashboard!$D$4),OR(Dashboard!$H$4="Semua",E4968=Dashboard!$H$4)),1,0)</f>
        <v>1</v>
      </c>
      <c r="V4968">
        <f>IF(U4968=1,IF(COUNTIFS($C$2:C4968,C4968,$U$2:U4968,1)=1,1,0),0)</f>
        <v>0</v>
      </c>
    </row>
    <row r="4969" spans="1:22" x14ac:dyDescent="0.35">
      <c r="A4969">
        <v>14968</v>
      </c>
      <c r="B4969" s="1">
        <v>49529</v>
      </c>
      <c r="C4969">
        <v>1972</v>
      </c>
      <c r="D4969" t="s">
        <v>80</v>
      </c>
      <c r="E4969" t="s">
        <v>70</v>
      </c>
      <c r="F4969">
        <v>3</v>
      </c>
      <c r="G4969" s="2">
        <v>125.72</v>
      </c>
      <c r="H4969">
        <v>0.35</v>
      </c>
      <c r="I4969" t="s">
        <v>68</v>
      </c>
      <c r="J4969">
        <v>9</v>
      </c>
      <c r="K4969">
        <v>4.0999999999999996</v>
      </c>
      <c r="L4969" s="2">
        <v>245.15</v>
      </c>
      <c r="M4969">
        <v>2035</v>
      </c>
      <c r="N4969">
        <v>8</v>
      </c>
      <c r="O4969" t="s">
        <v>243</v>
      </c>
      <c r="P4969" s="2">
        <v>377.16</v>
      </c>
      <c r="Q4969" s="2">
        <v>132.01</v>
      </c>
      <c r="R4969" t="s">
        <v>72</v>
      </c>
      <c r="S4969">
        <v>1</v>
      </c>
      <c r="T4969">
        <v>0</v>
      </c>
      <c r="U4969">
        <f>IF(AND(OR(Dashboard!$D$4="Semua",D4969=Dashboard!$D$4),OR(Dashboard!$H$4="Semua",E4969=Dashboard!$H$4)),1,0)</f>
        <v>1</v>
      </c>
      <c r="V4969">
        <f>IF(U4969=1,IF(COUNTIFS($C$2:C4969,C4969,$U$2:U4969,1)=1,1,0),0)</f>
        <v>0</v>
      </c>
    </row>
    <row r="4970" spans="1:22" x14ac:dyDescent="0.35">
      <c r="A4970">
        <v>14969</v>
      </c>
      <c r="B4970" s="1">
        <v>49530</v>
      </c>
      <c r="C4970">
        <v>1684</v>
      </c>
      <c r="D4970" t="s">
        <v>67</v>
      </c>
      <c r="E4970" t="s">
        <v>78</v>
      </c>
      <c r="F4970">
        <v>7</v>
      </c>
      <c r="G4970" s="2">
        <v>327.10000000000002</v>
      </c>
      <c r="H4970">
        <v>0.27</v>
      </c>
      <c r="I4970" t="s">
        <v>68</v>
      </c>
      <c r="J4970">
        <v>2</v>
      </c>
      <c r="K4970">
        <v>3.1</v>
      </c>
      <c r="L4970" s="2">
        <v>1671.48</v>
      </c>
      <c r="M4970">
        <v>2035</v>
      </c>
      <c r="N4970">
        <v>8</v>
      </c>
      <c r="O4970" t="s">
        <v>243</v>
      </c>
      <c r="P4970" s="2">
        <v>2289.6999999999998</v>
      </c>
      <c r="Q4970" s="2">
        <v>618.22</v>
      </c>
      <c r="R4970" t="s">
        <v>66</v>
      </c>
      <c r="S4970">
        <v>1</v>
      </c>
      <c r="T4970">
        <v>0</v>
      </c>
      <c r="U4970">
        <f>IF(AND(OR(Dashboard!$D$4="Semua",D4970=Dashboard!$D$4),OR(Dashboard!$H$4="Semua",E4970=Dashboard!$H$4)),1,0)</f>
        <v>1</v>
      </c>
      <c r="V4970">
        <f>IF(U4970=1,IF(COUNTIFS($C$2:C4970,C4970,$U$2:U4970,1)=1,1,0),0)</f>
        <v>0</v>
      </c>
    </row>
    <row r="4971" spans="1:22" x14ac:dyDescent="0.35">
      <c r="A4971">
        <v>14970</v>
      </c>
      <c r="B4971" s="1">
        <v>49531</v>
      </c>
      <c r="C4971">
        <v>1991</v>
      </c>
      <c r="D4971" t="s">
        <v>67</v>
      </c>
      <c r="E4971" t="s">
        <v>74</v>
      </c>
      <c r="F4971">
        <v>4</v>
      </c>
      <c r="G4971" s="2">
        <v>201.02</v>
      </c>
      <c r="H4971">
        <v>0.21</v>
      </c>
      <c r="I4971" t="s">
        <v>68</v>
      </c>
      <c r="J4971">
        <v>1</v>
      </c>
      <c r="K4971">
        <v>4.3</v>
      </c>
      <c r="L4971" s="2">
        <v>635.22</v>
      </c>
      <c r="M4971">
        <v>2035</v>
      </c>
      <c r="N4971">
        <v>8</v>
      </c>
      <c r="O4971" t="s">
        <v>243</v>
      </c>
      <c r="P4971" s="2">
        <v>804.08</v>
      </c>
      <c r="Q4971" s="2">
        <v>168.86</v>
      </c>
      <c r="R4971" t="s">
        <v>77</v>
      </c>
      <c r="S4971">
        <v>1</v>
      </c>
      <c r="T4971">
        <v>0</v>
      </c>
      <c r="U4971">
        <f>IF(AND(OR(Dashboard!$D$4="Semua",D4971=Dashboard!$D$4),OR(Dashboard!$H$4="Semua",E4971=Dashboard!$H$4)),1,0)</f>
        <v>1</v>
      </c>
      <c r="V4971">
        <f>IF(U4971=1,IF(COUNTIFS($C$2:C4971,C4971,$U$2:U4971,1)=1,1,0),0)</f>
        <v>0</v>
      </c>
    </row>
    <row r="4972" spans="1:22" x14ac:dyDescent="0.35">
      <c r="A4972">
        <v>14971</v>
      </c>
      <c r="B4972" s="1">
        <v>49532</v>
      </c>
      <c r="C4972">
        <v>1289</v>
      </c>
      <c r="D4972" t="s">
        <v>67</v>
      </c>
      <c r="E4972" t="s">
        <v>74</v>
      </c>
      <c r="F4972">
        <v>2</v>
      </c>
      <c r="G4972" s="2">
        <v>322.95</v>
      </c>
      <c r="H4972">
        <v>0.03</v>
      </c>
      <c r="I4972" t="s">
        <v>68</v>
      </c>
      <c r="J4972">
        <v>11</v>
      </c>
      <c r="K4972">
        <v>4.4000000000000004</v>
      </c>
      <c r="L4972" s="2">
        <v>626.52</v>
      </c>
      <c r="M4972">
        <v>2035</v>
      </c>
      <c r="N4972">
        <v>8</v>
      </c>
      <c r="O4972" t="s">
        <v>243</v>
      </c>
      <c r="P4972" s="2">
        <v>645.9</v>
      </c>
      <c r="Q4972" s="2">
        <v>19.38</v>
      </c>
      <c r="R4972" t="s">
        <v>75</v>
      </c>
      <c r="S4972">
        <v>1</v>
      </c>
      <c r="T4972">
        <v>0</v>
      </c>
      <c r="U4972">
        <f>IF(AND(OR(Dashboard!$D$4="Semua",D4972=Dashboard!$D$4),OR(Dashboard!$H$4="Semua",E4972=Dashboard!$H$4)),1,0)</f>
        <v>1</v>
      </c>
      <c r="V4972">
        <f>IF(U4972=1,IF(COUNTIFS($C$2:C4972,C4972,$U$2:U4972,1)=1,1,0),0)</f>
        <v>0</v>
      </c>
    </row>
    <row r="4973" spans="1:22" x14ac:dyDescent="0.35">
      <c r="A4973">
        <v>14972</v>
      </c>
      <c r="B4973" s="1">
        <v>49533</v>
      </c>
      <c r="C4973">
        <v>1044</v>
      </c>
      <c r="D4973" t="s">
        <v>73</v>
      </c>
      <c r="E4973" t="s">
        <v>74</v>
      </c>
      <c r="F4973">
        <v>5</v>
      </c>
      <c r="G4973" s="2">
        <v>471.78</v>
      </c>
      <c r="H4973">
        <v>0.25</v>
      </c>
      <c r="I4973" t="s">
        <v>68</v>
      </c>
      <c r="J4973">
        <v>11</v>
      </c>
      <c r="K4973">
        <v>3.2</v>
      </c>
      <c r="L4973" s="2">
        <v>1769.17</v>
      </c>
      <c r="M4973">
        <v>2035</v>
      </c>
      <c r="N4973">
        <v>8</v>
      </c>
      <c r="O4973" t="s">
        <v>243</v>
      </c>
      <c r="P4973" s="2">
        <v>2358.9</v>
      </c>
      <c r="Q4973" s="2">
        <v>589.73</v>
      </c>
      <c r="R4973" t="s">
        <v>77</v>
      </c>
      <c r="S4973">
        <v>1</v>
      </c>
      <c r="T4973">
        <v>0</v>
      </c>
      <c r="U4973">
        <f>IF(AND(OR(Dashboard!$D$4="Semua",D4973=Dashboard!$D$4),OR(Dashboard!$H$4="Semua",E4973=Dashboard!$H$4)),1,0)</f>
        <v>1</v>
      </c>
      <c r="V4973">
        <f>IF(U4973=1,IF(COUNTIFS($C$2:C4973,C4973,$U$2:U4973,1)=1,1,0),0)</f>
        <v>1</v>
      </c>
    </row>
    <row r="4974" spans="1:22" x14ac:dyDescent="0.35">
      <c r="A4974">
        <v>14973</v>
      </c>
      <c r="B4974" s="1">
        <v>49534</v>
      </c>
      <c r="C4974">
        <v>1572</v>
      </c>
      <c r="D4974" t="s">
        <v>73</v>
      </c>
      <c r="E4974" t="s">
        <v>63</v>
      </c>
      <c r="F4974">
        <v>5</v>
      </c>
      <c r="G4974" s="2">
        <v>464.81</v>
      </c>
      <c r="H4974">
        <v>0.25</v>
      </c>
      <c r="I4974" t="s">
        <v>71</v>
      </c>
      <c r="J4974">
        <v>11</v>
      </c>
      <c r="K4974">
        <v>4.7</v>
      </c>
      <c r="L4974" s="2">
        <v>1743.04</v>
      </c>
      <c r="M4974">
        <v>2035</v>
      </c>
      <c r="N4974">
        <v>8</v>
      </c>
      <c r="O4974" t="s">
        <v>243</v>
      </c>
      <c r="P4974" s="2">
        <v>2324.0500000000002</v>
      </c>
      <c r="Q4974" s="2">
        <v>581.01</v>
      </c>
      <c r="R4974" t="s">
        <v>77</v>
      </c>
      <c r="S4974">
        <v>1</v>
      </c>
      <c r="T4974">
        <v>0</v>
      </c>
      <c r="U4974">
        <f>IF(AND(OR(Dashboard!$D$4="Semua",D4974=Dashboard!$D$4),OR(Dashboard!$H$4="Semua",E4974=Dashboard!$H$4)),1,0)</f>
        <v>1</v>
      </c>
      <c r="V4974">
        <f>IF(U4974=1,IF(COUNTIFS($C$2:C4974,C4974,$U$2:U4974,1)=1,1,0),0)</f>
        <v>0</v>
      </c>
    </row>
    <row r="4975" spans="1:22" x14ac:dyDescent="0.35">
      <c r="A4975">
        <v>14974</v>
      </c>
      <c r="B4975" s="1">
        <v>49535</v>
      </c>
      <c r="C4975">
        <v>1082</v>
      </c>
      <c r="D4975" t="s">
        <v>67</v>
      </c>
      <c r="E4975" t="s">
        <v>63</v>
      </c>
      <c r="F4975">
        <v>7</v>
      </c>
      <c r="G4975" s="2">
        <v>222.22</v>
      </c>
      <c r="H4975">
        <v>0.27</v>
      </c>
      <c r="I4975" t="s">
        <v>71</v>
      </c>
      <c r="J4975">
        <v>10</v>
      </c>
      <c r="K4975">
        <v>1.1000000000000001</v>
      </c>
      <c r="L4975" s="2">
        <v>1135.54</v>
      </c>
      <c r="M4975">
        <v>2035</v>
      </c>
      <c r="N4975">
        <v>8</v>
      </c>
      <c r="O4975" t="s">
        <v>243</v>
      </c>
      <c r="P4975" s="2">
        <v>1555.54</v>
      </c>
      <c r="Q4975" s="2">
        <v>420</v>
      </c>
      <c r="R4975" t="s">
        <v>66</v>
      </c>
      <c r="S4975">
        <v>1</v>
      </c>
      <c r="T4975">
        <v>0</v>
      </c>
      <c r="U4975">
        <f>IF(AND(OR(Dashboard!$D$4="Semua",D4975=Dashboard!$D$4),OR(Dashboard!$H$4="Semua",E4975=Dashboard!$H$4)),1,0)</f>
        <v>1</v>
      </c>
      <c r="V4975">
        <f>IF(U4975=1,IF(COUNTIFS($C$2:C4975,C4975,$U$2:U4975,1)=1,1,0),0)</f>
        <v>0</v>
      </c>
    </row>
    <row r="4976" spans="1:22" x14ac:dyDescent="0.35">
      <c r="A4976">
        <v>14975</v>
      </c>
      <c r="B4976" s="1">
        <v>49536</v>
      </c>
      <c r="C4976">
        <v>1122</v>
      </c>
      <c r="D4976" t="s">
        <v>62</v>
      </c>
      <c r="E4976" t="s">
        <v>78</v>
      </c>
      <c r="F4976">
        <v>7</v>
      </c>
      <c r="G4976" s="2">
        <v>421.15</v>
      </c>
      <c r="H4976">
        <v>0.04</v>
      </c>
      <c r="I4976" t="s">
        <v>71</v>
      </c>
      <c r="J4976">
        <v>3</v>
      </c>
      <c r="K4976">
        <v>1</v>
      </c>
      <c r="L4976" s="2">
        <v>2830.13</v>
      </c>
      <c r="M4976">
        <v>2035</v>
      </c>
      <c r="N4976">
        <v>8</v>
      </c>
      <c r="O4976" t="s">
        <v>243</v>
      </c>
      <c r="P4976" s="2">
        <v>2948.05</v>
      </c>
      <c r="Q4976" s="2">
        <v>117.92</v>
      </c>
      <c r="R4976" t="s">
        <v>75</v>
      </c>
      <c r="S4976">
        <v>1</v>
      </c>
      <c r="T4976">
        <v>0</v>
      </c>
      <c r="U4976">
        <f>IF(AND(OR(Dashboard!$D$4="Semua",D4976=Dashboard!$D$4),OR(Dashboard!$H$4="Semua",E4976=Dashboard!$H$4)),1,0)</f>
        <v>1</v>
      </c>
      <c r="V4976">
        <f>IF(U4976=1,IF(COUNTIFS($C$2:C4976,C4976,$U$2:U4976,1)=1,1,0),0)</f>
        <v>0</v>
      </c>
    </row>
    <row r="4977" spans="1:22" x14ac:dyDescent="0.35">
      <c r="A4977">
        <v>14976</v>
      </c>
      <c r="B4977" s="1">
        <v>49537</v>
      </c>
      <c r="C4977">
        <v>1357</v>
      </c>
      <c r="D4977" t="s">
        <v>73</v>
      </c>
      <c r="E4977" t="s">
        <v>63</v>
      </c>
      <c r="F4977">
        <v>6</v>
      </c>
      <c r="G4977" s="2">
        <v>565.65</v>
      </c>
      <c r="H4977">
        <v>0.23</v>
      </c>
      <c r="I4977" t="s">
        <v>68</v>
      </c>
      <c r="J4977">
        <v>6</v>
      </c>
      <c r="K4977">
        <v>1.3</v>
      </c>
      <c r="L4977" s="2">
        <v>2613.3000000000002</v>
      </c>
      <c r="M4977">
        <v>2035</v>
      </c>
      <c r="N4977">
        <v>8</v>
      </c>
      <c r="O4977" t="s">
        <v>243</v>
      </c>
      <c r="P4977" s="2">
        <v>3393.9</v>
      </c>
      <c r="Q4977" s="2">
        <v>780.6</v>
      </c>
      <c r="R4977" t="s">
        <v>77</v>
      </c>
      <c r="S4977">
        <v>1</v>
      </c>
      <c r="T4977">
        <v>0</v>
      </c>
      <c r="U4977">
        <f>IF(AND(OR(Dashboard!$D$4="Semua",D4977=Dashboard!$D$4),OR(Dashboard!$H$4="Semua",E4977=Dashboard!$H$4)),1,0)</f>
        <v>1</v>
      </c>
      <c r="V4977">
        <f>IF(U4977=1,IF(COUNTIFS($C$2:C4977,C4977,$U$2:U4977,1)=1,1,0),0)</f>
        <v>0</v>
      </c>
    </row>
    <row r="4978" spans="1:22" x14ac:dyDescent="0.35">
      <c r="A4978">
        <v>14977</v>
      </c>
      <c r="B4978" s="1">
        <v>49538</v>
      </c>
      <c r="C4978">
        <v>1527</v>
      </c>
      <c r="D4978" t="s">
        <v>73</v>
      </c>
      <c r="E4978" t="s">
        <v>74</v>
      </c>
      <c r="F4978">
        <v>7</v>
      </c>
      <c r="G4978" s="2">
        <v>381.02</v>
      </c>
      <c r="H4978">
        <v>0.1</v>
      </c>
      <c r="I4978" t="s">
        <v>68</v>
      </c>
      <c r="J4978">
        <v>7</v>
      </c>
      <c r="K4978">
        <v>1.2</v>
      </c>
      <c r="L4978" s="2">
        <v>2400.4299999999998</v>
      </c>
      <c r="M4978">
        <v>2035</v>
      </c>
      <c r="N4978">
        <v>8</v>
      </c>
      <c r="O4978" t="s">
        <v>243</v>
      </c>
      <c r="P4978" s="2">
        <v>2667.14</v>
      </c>
      <c r="Q4978" s="2">
        <v>266.70999999999998</v>
      </c>
      <c r="R4978" t="s">
        <v>69</v>
      </c>
      <c r="S4978">
        <v>1</v>
      </c>
      <c r="T4978">
        <v>0</v>
      </c>
      <c r="U4978">
        <f>IF(AND(OR(Dashboard!$D$4="Semua",D4978=Dashboard!$D$4),OR(Dashboard!$H$4="Semua",E4978=Dashboard!$H$4)),1,0)</f>
        <v>1</v>
      </c>
      <c r="V4978">
        <f>IF(U4978=1,IF(COUNTIFS($C$2:C4978,C4978,$U$2:U4978,1)=1,1,0),0)</f>
        <v>1</v>
      </c>
    </row>
    <row r="4979" spans="1:22" x14ac:dyDescent="0.35">
      <c r="A4979">
        <v>14978</v>
      </c>
      <c r="B4979" s="1">
        <v>49539</v>
      </c>
      <c r="C4979">
        <v>1065</v>
      </c>
      <c r="D4979" t="s">
        <v>80</v>
      </c>
      <c r="E4979" t="s">
        <v>63</v>
      </c>
      <c r="F4979">
        <v>2</v>
      </c>
      <c r="G4979" s="2">
        <v>101.82</v>
      </c>
      <c r="H4979">
        <v>0.27</v>
      </c>
      <c r="I4979" t="s">
        <v>68</v>
      </c>
      <c r="J4979">
        <v>11</v>
      </c>
      <c r="K4979">
        <v>2.7</v>
      </c>
      <c r="L4979" s="2">
        <v>148.66</v>
      </c>
      <c r="M4979">
        <v>2035</v>
      </c>
      <c r="N4979">
        <v>8</v>
      </c>
      <c r="O4979" t="s">
        <v>243</v>
      </c>
      <c r="P4979" s="2">
        <v>203.64</v>
      </c>
      <c r="Q4979" s="2">
        <v>54.98</v>
      </c>
      <c r="R4979" t="s">
        <v>66</v>
      </c>
      <c r="S4979">
        <v>1</v>
      </c>
      <c r="T4979">
        <v>0</v>
      </c>
      <c r="U4979">
        <f>IF(AND(OR(Dashboard!$D$4="Semua",D4979=Dashboard!$D$4),OR(Dashboard!$H$4="Semua",E4979=Dashboard!$H$4)),1,0)</f>
        <v>1</v>
      </c>
      <c r="V4979">
        <f>IF(U4979=1,IF(COUNTIFS($C$2:C4979,C4979,$U$2:U4979,1)=1,1,0),0)</f>
        <v>0</v>
      </c>
    </row>
    <row r="4980" spans="1:22" x14ac:dyDescent="0.35">
      <c r="A4980">
        <v>14979</v>
      </c>
      <c r="B4980" s="1">
        <v>49540</v>
      </c>
      <c r="C4980">
        <v>1935</v>
      </c>
      <c r="D4980" t="s">
        <v>73</v>
      </c>
      <c r="E4980" t="s">
        <v>63</v>
      </c>
      <c r="F4980">
        <v>1</v>
      </c>
      <c r="G4980" s="2">
        <v>412.63</v>
      </c>
      <c r="H4980">
        <v>0.08</v>
      </c>
      <c r="I4980" t="s">
        <v>68</v>
      </c>
      <c r="J4980">
        <v>8</v>
      </c>
      <c r="K4980">
        <v>4.8</v>
      </c>
      <c r="L4980" s="2">
        <v>379.62</v>
      </c>
      <c r="M4980">
        <v>2035</v>
      </c>
      <c r="N4980">
        <v>8</v>
      </c>
      <c r="O4980" t="s">
        <v>243</v>
      </c>
      <c r="P4980" s="2">
        <v>412.63</v>
      </c>
      <c r="Q4980" s="2">
        <v>33.01</v>
      </c>
      <c r="R4980" t="s">
        <v>69</v>
      </c>
      <c r="S4980">
        <v>1</v>
      </c>
      <c r="T4980">
        <v>0</v>
      </c>
      <c r="U4980">
        <f>IF(AND(OR(Dashboard!$D$4="Semua",D4980=Dashboard!$D$4),OR(Dashboard!$H$4="Semua",E4980=Dashboard!$H$4)),1,0)</f>
        <v>1</v>
      </c>
      <c r="V4980">
        <f>IF(U4980=1,IF(COUNTIFS($C$2:C4980,C4980,$U$2:U4980,1)=1,1,0),0)</f>
        <v>0</v>
      </c>
    </row>
    <row r="4981" spans="1:22" x14ac:dyDescent="0.35">
      <c r="A4981">
        <v>14980</v>
      </c>
      <c r="B4981" s="1">
        <v>49541</v>
      </c>
      <c r="C4981">
        <v>1656</v>
      </c>
      <c r="D4981" t="s">
        <v>80</v>
      </c>
      <c r="E4981" t="s">
        <v>70</v>
      </c>
      <c r="F4981">
        <v>4</v>
      </c>
      <c r="G4981" s="2">
        <v>76.37</v>
      </c>
      <c r="H4981">
        <v>0.24</v>
      </c>
      <c r="I4981" t="s">
        <v>68</v>
      </c>
      <c r="J4981">
        <v>4</v>
      </c>
      <c r="K4981">
        <v>3.7</v>
      </c>
      <c r="L4981" s="2">
        <v>232.16</v>
      </c>
      <c r="M4981">
        <v>2035</v>
      </c>
      <c r="N4981">
        <v>8</v>
      </c>
      <c r="O4981" t="s">
        <v>243</v>
      </c>
      <c r="P4981" s="2">
        <v>305.48</v>
      </c>
      <c r="Q4981" s="2">
        <v>73.319999999999993</v>
      </c>
      <c r="R4981" t="s">
        <v>77</v>
      </c>
      <c r="S4981">
        <v>1</v>
      </c>
      <c r="T4981">
        <v>0</v>
      </c>
      <c r="U4981">
        <f>IF(AND(OR(Dashboard!$D$4="Semua",D4981=Dashboard!$D$4),OR(Dashboard!$H$4="Semua",E4981=Dashboard!$H$4)),1,0)</f>
        <v>1</v>
      </c>
      <c r="V4981">
        <f>IF(U4981=1,IF(COUNTIFS($C$2:C4981,C4981,$U$2:U4981,1)=1,1,0),0)</f>
        <v>0</v>
      </c>
    </row>
    <row r="4982" spans="1:22" x14ac:dyDescent="0.35">
      <c r="A4982">
        <v>14981</v>
      </c>
      <c r="B4982" s="1">
        <v>49542</v>
      </c>
      <c r="C4982">
        <v>1374</v>
      </c>
      <c r="D4982" t="s">
        <v>80</v>
      </c>
      <c r="E4982" t="s">
        <v>78</v>
      </c>
      <c r="F4982">
        <v>7</v>
      </c>
      <c r="G4982" s="2">
        <v>525.17999999999995</v>
      </c>
      <c r="H4982">
        <v>0.1</v>
      </c>
      <c r="I4982" t="s">
        <v>68</v>
      </c>
      <c r="J4982">
        <v>8</v>
      </c>
      <c r="K4982">
        <v>3.6</v>
      </c>
      <c r="L4982" s="2">
        <v>3308.63</v>
      </c>
      <c r="M4982">
        <v>2035</v>
      </c>
      <c r="N4982">
        <v>8</v>
      </c>
      <c r="O4982" t="s">
        <v>243</v>
      </c>
      <c r="P4982" s="2">
        <v>3676.26</v>
      </c>
      <c r="Q4982" s="2">
        <v>367.63</v>
      </c>
      <c r="R4982" t="s">
        <v>69</v>
      </c>
      <c r="S4982">
        <v>1</v>
      </c>
      <c r="T4982">
        <v>1</v>
      </c>
      <c r="U4982">
        <f>IF(AND(OR(Dashboard!$D$4="Semua",D4982=Dashboard!$D$4),OR(Dashboard!$H$4="Semua",E4982=Dashboard!$H$4)),1,0)</f>
        <v>1</v>
      </c>
      <c r="V4982">
        <f>IF(U4982=1,IF(COUNTIFS($C$2:C4982,C4982,$U$2:U4982,1)=1,1,0),0)</f>
        <v>0</v>
      </c>
    </row>
    <row r="4983" spans="1:22" x14ac:dyDescent="0.35">
      <c r="A4983">
        <v>14982</v>
      </c>
      <c r="B4983" s="1">
        <v>49543</v>
      </c>
      <c r="C4983">
        <v>1161</v>
      </c>
      <c r="D4983" t="s">
        <v>62</v>
      </c>
      <c r="E4983" t="s">
        <v>78</v>
      </c>
      <c r="F4983">
        <v>5</v>
      </c>
      <c r="G4983" s="2">
        <v>317.25</v>
      </c>
      <c r="H4983">
        <v>0</v>
      </c>
      <c r="I4983" t="s">
        <v>71</v>
      </c>
      <c r="J4983">
        <v>7</v>
      </c>
      <c r="K4983">
        <v>2.5</v>
      </c>
      <c r="L4983" s="2">
        <v>1586.25</v>
      </c>
      <c r="M4983">
        <v>2035</v>
      </c>
      <c r="N4983">
        <v>8</v>
      </c>
      <c r="O4983" t="s">
        <v>243</v>
      </c>
      <c r="P4983" s="2">
        <v>1586.25</v>
      </c>
      <c r="Q4983" s="2">
        <v>0</v>
      </c>
      <c r="R4983" t="s">
        <v>75</v>
      </c>
      <c r="S4983">
        <v>1</v>
      </c>
      <c r="T4983">
        <v>0</v>
      </c>
      <c r="U4983">
        <f>IF(AND(OR(Dashboard!$D$4="Semua",D4983=Dashboard!$D$4),OR(Dashboard!$H$4="Semua",E4983=Dashboard!$H$4)),1,0)</f>
        <v>1</v>
      </c>
      <c r="V4983">
        <f>IF(U4983=1,IF(COUNTIFS($C$2:C4983,C4983,$U$2:U4983,1)=1,1,0),0)</f>
        <v>0</v>
      </c>
    </row>
    <row r="4984" spans="1:22" x14ac:dyDescent="0.35">
      <c r="A4984">
        <v>14983</v>
      </c>
      <c r="B4984" s="1">
        <v>49544</v>
      </c>
      <c r="C4984">
        <v>1745</v>
      </c>
      <c r="D4984" t="s">
        <v>67</v>
      </c>
      <c r="E4984" t="s">
        <v>78</v>
      </c>
      <c r="F4984">
        <v>1</v>
      </c>
      <c r="G4984" s="2">
        <v>240.31</v>
      </c>
      <c r="H4984">
        <v>0.22</v>
      </c>
      <c r="I4984" t="s">
        <v>64</v>
      </c>
      <c r="J4984">
        <v>11</v>
      </c>
      <c r="K4984">
        <v>3.1</v>
      </c>
      <c r="L4984" s="2">
        <v>187.44</v>
      </c>
      <c r="M4984">
        <v>2035</v>
      </c>
      <c r="N4984">
        <v>8</v>
      </c>
      <c r="O4984" t="s">
        <v>243</v>
      </c>
      <c r="P4984" s="2">
        <v>240.31</v>
      </c>
      <c r="Q4984" s="2">
        <v>52.87</v>
      </c>
      <c r="R4984" t="s">
        <v>77</v>
      </c>
      <c r="S4984">
        <v>1</v>
      </c>
      <c r="T4984">
        <v>0</v>
      </c>
      <c r="U4984">
        <f>IF(AND(OR(Dashboard!$D$4="Semua",D4984=Dashboard!$D$4),OR(Dashboard!$H$4="Semua",E4984=Dashboard!$H$4)),1,0)</f>
        <v>1</v>
      </c>
      <c r="V4984">
        <f>IF(U4984=1,IF(COUNTIFS($C$2:C4984,C4984,$U$2:U4984,1)=1,1,0),0)</f>
        <v>0</v>
      </c>
    </row>
    <row r="4985" spans="1:22" x14ac:dyDescent="0.35">
      <c r="A4985">
        <v>14984</v>
      </c>
      <c r="B4985" s="1">
        <v>49545</v>
      </c>
      <c r="C4985">
        <v>1379</v>
      </c>
      <c r="D4985" t="s">
        <v>80</v>
      </c>
      <c r="E4985" t="s">
        <v>63</v>
      </c>
      <c r="F4985">
        <v>2</v>
      </c>
      <c r="G4985" s="2">
        <v>48.35</v>
      </c>
      <c r="H4985">
        <v>0.04</v>
      </c>
      <c r="I4985" t="s">
        <v>71</v>
      </c>
      <c r="J4985">
        <v>8</v>
      </c>
      <c r="K4985">
        <v>2.2000000000000002</v>
      </c>
      <c r="L4985" s="2">
        <v>92.83</v>
      </c>
      <c r="M4985">
        <v>2035</v>
      </c>
      <c r="N4985">
        <v>8</v>
      </c>
      <c r="O4985" t="s">
        <v>243</v>
      </c>
      <c r="P4985" s="2">
        <v>96.7</v>
      </c>
      <c r="Q4985" s="2">
        <v>3.87</v>
      </c>
      <c r="R4985" t="s">
        <v>75</v>
      </c>
      <c r="S4985">
        <v>1</v>
      </c>
      <c r="T4985">
        <v>0</v>
      </c>
      <c r="U4985">
        <f>IF(AND(OR(Dashboard!$D$4="Semua",D4985=Dashboard!$D$4),OR(Dashboard!$H$4="Semua",E4985=Dashboard!$H$4)),1,0)</f>
        <v>1</v>
      </c>
      <c r="V4985">
        <f>IF(U4985=1,IF(COUNTIFS($C$2:C4985,C4985,$U$2:U4985,1)=1,1,0),0)</f>
        <v>0</v>
      </c>
    </row>
    <row r="4986" spans="1:22" x14ac:dyDescent="0.35">
      <c r="A4986">
        <v>14985</v>
      </c>
      <c r="B4986" s="1">
        <v>49546</v>
      </c>
      <c r="C4986">
        <v>1655</v>
      </c>
      <c r="D4986" t="s">
        <v>67</v>
      </c>
      <c r="E4986" t="s">
        <v>74</v>
      </c>
      <c r="F4986">
        <v>1</v>
      </c>
      <c r="G4986" s="2">
        <v>237.76</v>
      </c>
      <c r="H4986">
        <v>0.23</v>
      </c>
      <c r="I4986" t="s">
        <v>71</v>
      </c>
      <c r="J4986">
        <v>5</v>
      </c>
      <c r="K4986">
        <v>3.1</v>
      </c>
      <c r="L4986" s="2">
        <v>183.08</v>
      </c>
      <c r="M4986">
        <v>2035</v>
      </c>
      <c r="N4986">
        <v>8</v>
      </c>
      <c r="O4986" t="s">
        <v>243</v>
      </c>
      <c r="P4986" s="2">
        <v>237.76</v>
      </c>
      <c r="Q4986" s="2">
        <v>54.68</v>
      </c>
      <c r="R4986" t="s">
        <v>77</v>
      </c>
      <c r="S4986">
        <v>1</v>
      </c>
      <c r="T4986">
        <v>0</v>
      </c>
      <c r="U4986">
        <f>IF(AND(OR(Dashboard!$D$4="Semua",D4986=Dashboard!$D$4),OR(Dashboard!$H$4="Semua",E4986=Dashboard!$H$4)),1,0)</f>
        <v>1</v>
      </c>
      <c r="V4986">
        <f>IF(U4986=1,IF(COUNTIFS($C$2:C4986,C4986,$U$2:U4986,1)=1,1,0),0)</f>
        <v>0</v>
      </c>
    </row>
    <row r="4987" spans="1:22" x14ac:dyDescent="0.35">
      <c r="A4987">
        <v>14986</v>
      </c>
      <c r="B4987" s="1">
        <v>49547</v>
      </c>
      <c r="C4987">
        <v>1357</v>
      </c>
      <c r="D4987" t="s">
        <v>67</v>
      </c>
      <c r="E4987" t="s">
        <v>70</v>
      </c>
      <c r="F4987">
        <v>2</v>
      </c>
      <c r="G4987" s="2">
        <v>543.38</v>
      </c>
      <c r="H4987">
        <v>0.32</v>
      </c>
      <c r="I4987" t="s">
        <v>68</v>
      </c>
      <c r="J4987">
        <v>10</v>
      </c>
      <c r="K4987">
        <v>4</v>
      </c>
      <c r="L4987" s="2">
        <v>739</v>
      </c>
      <c r="M4987">
        <v>2035</v>
      </c>
      <c r="N4987">
        <v>8</v>
      </c>
      <c r="O4987" t="s">
        <v>243</v>
      </c>
      <c r="P4987" s="2">
        <v>1086.76</v>
      </c>
      <c r="Q4987" s="2">
        <v>347.76</v>
      </c>
      <c r="R4987" t="s">
        <v>72</v>
      </c>
      <c r="S4987">
        <v>1</v>
      </c>
      <c r="T4987">
        <v>0</v>
      </c>
      <c r="U4987">
        <f>IF(AND(OR(Dashboard!$D$4="Semua",D4987=Dashboard!$D$4),OR(Dashboard!$H$4="Semua",E4987=Dashboard!$H$4)),1,0)</f>
        <v>1</v>
      </c>
      <c r="V4987">
        <f>IF(U4987=1,IF(COUNTIFS($C$2:C4987,C4987,$U$2:U4987,1)=1,1,0),0)</f>
        <v>0</v>
      </c>
    </row>
    <row r="4988" spans="1:22" x14ac:dyDescent="0.35">
      <c r="A4988">
        <v>14987</v>
      </c>
      <c r="B4988" s="1">
        <v>49548</v>
      </c>
      <c r="C4988">
        <v>1187</v>
      </c>
      <c r="D4988" t="s">
        <v>67</v>
      </c>
      <c r="E4988" t="s">
        <v>78</v>
      </c>
      <c r="F4988">
        <v>6</v>
      </c>
      <c r="G4988" s="2">
        <v>27.28</v>
      </c>
      <c r="H4988">
        <v>0.34</v>
      </c>
      <c r="I4988" t="s">
        <v>64</v>
      </c>
      <c r="J4988">
        <v>7</v>
      </c>
      <c r="K4988">
        <v>3.2</v>
      </c>
      <c r="L4988" s="2">
        <v>108.03</v>
      </c>
      <c r="M4988">
        <v>2035</v>
      </c>
      <c r="N4988">
        <v>8</v>
      </c>
      <c r="O4988" t="s">
        <v>243</v>
      </c>
      <c r="P4988" s="2">
        <v>163.68</v>
      </c>
      <c r="Q4988" s="2">
        <v>55.65</v>
      </c>
      <c r="R4988" t="s">
        <v>72</v>
      </c>
      <c r="S4988">
        <v>1</v>
      </c>
      <c r="T4988">
        <v>0</v>
      </c>
      <c r="U4988">
        <f>IF(AND(OR(Dashboard!$D$4="Semua",D4988=Dashboard!$D$4),OR(Dashboard!$H$4="Semua",E4988=Dashboard!$H$4)),1,0)</f>
        <v>1</v>
      </c>
      <c r="V4988">
        <f>IF(U4988=1,IF(COUNTIFS($C$2:C4988,C4988,$U$2:U4988,1)=1,1,0),0)</f>
        <v>0</v>
      </c>
    </row>
    <row r="4989" spans="1:22" x14ac:dyDescent="0.35">
      <c r="A4989">
        <v>14988</v>
      </c>
      <c r="B4989" s="1">
        <v>49549</v>
      </c>
      <c r="C4989">
        <v>1321</v>
      </c>
      <c r="D4989" t="s">
        <v>73</v>
      </c>
      <c r="E4989" t="s">
        <v>63</v>
      </c>
      <c r="F4989">
        <v>4</v>
      </c>
      <c r="G4989" s="2">
        <v>292.67</v>
      </c>
      <c r="H4989">
        <v>0.08</v>
      </c>
      <c r="I4989" t="s">
        <v>68</v>
      </c>
      <c r="J4989">
        <v>4</v>
      </c>
      <c r="K4989">
        <v>2.7</v>
      </c>
      <c r="L4989" s="2">
        <v>1077.03</v>
      </c>
      <c r="M4989">
        <v>2035</v>
      </c>
      <c r="N4989">
        <v>8</v>
      </c>
      <c r="O4989" t="s">
        <v>243</v>
      </c>
      <c r="P4989" s="2">
        <v>1170.68</v>
      </c>
      <c r="Q4989" s="2">
        <v>93.65</v>
      </c>
      <c r="R4989" t="s">
        <v>69</v>
      </c>
      <c r="S4989">
        <v>1</v>
      </c>
      <c r="T4989">
        <v>0</v>
      </c>
      <c r="U4989">
        <f>IF(AND(OR(Dashboard!$D$4="Semua",D4989=Dashboard!$D$4),OR(Dashboard!$H$4="Semua",E4989=Dashboard!$H$4)),1,0)</f>
        <v>1</v>
      </c>
      <c r="V4989">
        <f>IF(U4989=1,IF(COUNTIFS($C$2:C4989,C4989,$U$2:U4989,1)=1,1,0),0)</f>
        <v>0</v>
      </c>
    </row>
    <row r="4990" spans="1:22" x14ac:dyDescent="0.35">
      <c r="A4990">
        <v>14989</v>
      </c>
      <c r="B4990" s="1">
        <v>49550</v>
      </c>
      <c r="C4990">
        <v>1449</v>
      </c>
      <c r="D4990" t="s">
        <v>67</v>
      </c>
      <c r="E4990" t="s">
        <v>74</v>
      </c>
      <c r="F4990">
        <v>1</v>
      </c>
      <c r="G4990" s="2">
        <v>559.73</v>
      </c>
      <c r="H4990">
        <v>0.28000000000000003</v>
      </c>
      <c r="I4990" t="s">
        <v>68</v>
      </c>
      <c r="J4990">
        <v>1</v>
      </c>
      <c r="K4990">
        <v>4.4000000000000004</v>
      </c>
      <c r="L4990" s="2">
        <v>403.01</v>
      </c>
      <c r="M4990">
        <v>2035</v>
      </c>
      <c r="N4990">
        <v>8</v>
      </c>
      <c r="O4990" t="s">
        <v>243</v>
      </c>
      <c r="P4990" s="2">
        <v>559.73</v>
      </c>
      <c r="Q4990" s="2">
        <v>156.72</v>
      </c>
      <c r="R4990" t="s">
        <v>66</v>
      </c>
      <c r="S4990">
        <v>1</v>
      </c>
      <c r="T4990">
        <v>0</v>
      </c>
      <c r="U4990">
        <f>IF(AND(OR(Dashboard!$D$4="Semua",D4990=Dashboard!$D$4),OR(Dashboard!$H$4="Semua",E4990=Dashboard!$H$4)),1,0)</f>
        <v>1</v>
      </c>
      <c r="V4990">
        <f>IF(U4990=1,IF(COUNTIFS($C$2:C4990,C4990,$U$2:U4990,1)=1,1,0),0)</f>
        <v>0</v>
      </c>
    </row>
    <row r="4991" spans="1:22" x14ac:dyDescent="0.35">
      <c r="A4991">
        <v>14990</v>
      </c>
      <c r="B4991" s="1">
        <v>49551</v>
      </c>
      <c r="C4991">
        <v>1473</v>
      </c>
      <c r="D4991" t="s">
        <v>67</v>
      </c>
      <c r="E4991" t="s">
        <v>70</v>
      </c>
      <c r="F4991">
        <v>4</v>
      </c>
      <c r="G4991" s="2">
        <v>245.98</v>
      </c>
      <c r="H4991">
        <v>0.12</v>
      </c>
      <c r="I4991" t="s">
        <v>68</v>
      </c>
      <c r="J4991">
        <v>3</v>
      </c>
      <c r="K4991">
        <v>2.1</v>
      </c>
      <c r="L4991" s="2">
        <v>865.85</v>
      </c>
      <c r="M4991">
        <v>2035</v>
      </c>
      <c r="N4991">
        <v>8</v>
      </c>
      <c r="O4991" t="s">
        <v>243</v>
      </c>
      <c r="P4991" s="2">
        <v>983.92</v>
      </c>
      <c r="Q4991" s="2">
        <v>118.07</v>
      </c>
      <c r="R4991" t="s">
        <v>79</v>
      </c>
      <c r="S4991">
        <v>1</v>
      </c>
      <c r="T4991">
        <v>0</v>
      </c>
      <c r="U4991">
        <f>IF(AND(OR(Dashboard!$D$4="Semua",D4991=Dashboard!$D$4),OR(Dashboard!$H$4="Semua",E4991=Dashboard!$H$4)),1,0)</f>
        <v>1</v>
      </c>
      <c r="V4991">
        <f>IF(U4991=1,IF(COUNTIFS($C$2:C4991,C4991,$U$2:U4991,1)=1,1,0),0)</f>
        <v>0</v>
      </c>
    </row>
    <row r="4992" spans="1:22" x14ac:dyDescent="0.35">
      <c r="A4992">
        <v>14991</v>
      </c>
      <c r="B4992" s="1">
        <v>49552</v>
      </c>
      <c r="C4992">
        <v>1012</v>
      </c>
      <c r="D4992" t="s">
        <v>80</v>
      </c>
      <c r="E4992" t="s">
        <v>70</v>
      </c>
      <c r="F4992">
        <v>1</v>
      </c>
      <c r="G4992" s="2">
        <v>265.48</v>
      </c>
      <c r="H4992">
        <v>0.32</v>
      </c>
      <c r="I4992" t="s">
        <v>68</v>
      </c>
      <c r="J4992">
        <v>10</v>
      </c>
      <c r="K4992">
        <v>2.9</v>
      </c>
      <c r="L4992" s="2">
        <v>180.53</v>
      </c>
      <c r="M4992">
        <v>2035</v>
      </c>
      <c r="N4992">
        <v>8</v>
      </c>
      <c r="O4992" t="s">
        <v>243</v>
      </c>
      <c r="P4992" s="2">
        <v>265.48</v>
      </c>
      <c r="Q4992" s="2">
        <v>84.95</v>
      </c>
      <c r="R4992" t="s">
        <v>72</v>
      </c>
      <c r="S4992">
        <v>1</v>
      </c>
      <c r="T4992">
        <v>0</v>
      </c>
      <c r="U4992">
        <f>IF(AND(OR(Dashboard!$D$4="Semua",D4992=Dashboard!$D$4),OR(Dashboard!$H$4="Semua",E4992=Dashboard!$H$4)),1,0)</f>
        <v>1</v>
      </c>
      <c r="V4992">
        <f>IF(U4992=1,IF(COUNTIFS($C$2:C4992,C4992,$U$2:U4992,1)=1,1,0),0)</f>
        <v>0</v>
      </c>
    </row>
    <row r="4993" spans="1:22" x14ac:dyDescent="0.35">
      <c r="A4993">
        <v>14992</v>
      </c>
      <c r="B4993" s="1">
        <v>49553</v>
      </c>
      <c r="C4993">
        <v>1183</v>
      </c>
      <c r="D4993" t="s">
        <v>80</v>
      </c>
      <c r="E4993" t="s">
        <v>78</v>
      </c>
      <c r="F4993">
        <v>2</v>
      </c>
      <c r="G4993" s="2">
        <v>353.46</v>
      </c>
      <c r="H4993">
        <v>0.28000000000000003</v>
      </c>
      <c r="I4993" t="s">
        <v>71</v>
      </c>
      <c r="J4993">
        <v>9</v>
      </c>
      <c r="K4993">
        <v>4.9000000000000004</v>
      </c>
      <c r="L4993" s="2">
        <v>508.98</v>
      </c>
      <c r="M4993">
        <v>2035</v>
      </c>
      <c r="N4993">
        <v>9</v>
      </c>
      <c r="O4993" t="s">
        <v>244</v>
      </c>
      <c r="P4993" s="2">
        <v>706.92</v>
      </c>
      <c r="Q4993" s="2">
        <v>197.94</v>
      </c>
      <c r="R4993" t="s">
        <v>66</v>
      </c>
      <c r="S4993">
        <v>1</v>
      </c>
      <c r="T4993">
        <v>0</v>
      </c>
      <c r="U4993">
        <f>IF(AND(OR(Dashboard!$D$4="Semua",D4993=Dashboard!$D$4),OR(Dashboard!$H$4="Semua",E4993=Dashboard!$H$4)),1,0)</f>
        <v>1</v>
      </c>
      <c r="V4993">
        <f>IF(U4993=1,IF(COUNTIFS($C$2:C4993,C4993,$U$2:U4993,1)=1,1,0),0)</f>
        <v>0</v>
      </c>
    </row>
    <row r="4994" spans="1:22" x14ac:dyDescent="0.35">
      <c r="A4994">
        <v>14993</v>
      </c>
      <c r="B4994" s="1">
        <v>49554</v>
      </c>
      <c r="C4994">
        <v>1110</v>
      </c>
      <c r="D4994" t="s">
        <v>80</v>
      </c>
      <c r="E4994" t="s">
        <v>78</v>
      </c>
      <c r="F4994">
        <v>2</v>
      </c>
      <c r="G4994" s="2">
        <v>285.82</v>
      </c>
      <c r="H4994">
        <v>0.03</v>
      </c>
      <c r="I4994" t="s">
        <v>64</v>
      </c>
      <c r="J4994">
        <v>11</v>
      </c>
      <c r="K4994">
        <v>4.9000000000000004</v>
      </c>
      <c r="L4994" s="2">
        <v>554.49</v>
      </c>
      <c r="M4994">
        <v>2035</v>
      </c>
      <c r="N4994">
        <v>9</v>
      </c>
      <c r="O4994" t="s">
        <v>244</v>
      </c>
      <c r="P4994" s="2">
        <v>571.64</v>
      </c>
      <c r="Q4994" s="2">
        <v>17.149999999999999</v>
      </c>
      <c r="R4994" t="s">
        <v>75</v>
      </c>
      <c r="S4994">
        <v>1</v>
      </c>
      <c r="T4994">
        <v>0</v>
      </c>
      <c r="U4994">
        <f>IF(AND(OR(Dashboard!$D$4="Semua",D4994=Dashboard!$D$4),OR(Dashboard!$H$4="Semua",E4994=Dashboard!$H$4)),1,0)</f>
        <v>1</v>
      </c>
      <c r="V4994">
        <f>IF(U4994=1,IF(COUNTIFS($C$2:C4994,C4994,$U$2:U4994,1)=1,1,0),0)</f>
        <v>0</v>
      </c>
    </row>
    <row r="4995" spans="1:22" x14ac:dyDescent="0.35">
      <c r="A4995">
        <v>14994</v>
      </c>
      <c r="B4995" s="1">
        <v>49555</v>
      </c>
      <c r="C4995">
        <v>1926</v>
      </c>
      <c r="D4995" t="s">
        <v>73</v>
      </c>
      <c r="E4995" t="s">
        <v>74</v>
      </c>
      <c r="F4995">
        <v>1</v>
      </c>
      <c r="G4995" s="2">
        <v>113.63</v>
      </c>
      <c r="H4995">
        <v>0.14000000000000001</v>
      </c>
      <c r="I4995" t="s">
        <v>71</v>
      </c>
      <c r="J4995">
        <v>4</v>
      </c>
      <c r="K4995">
        <v>1</v>
      </c>
      <c r="L4995" s="2">
        <v>97.72</v>
      </c>
      <c r="M4995">
        <v>2035</v>
      </c>
      <c r="N4995">
        <v>9</v>
      </c>
      <c r="O4995" t="s">
        <v>244</v>
      </c>
      <c r="P4995" s="2">
        <v>113.63</v>
      </c>
      <c r="Q4995" s="2">
        <v>15.91</v>
      </c>
      <c r="R4995" t="s">
        <v>79</v>
      </c>
      <c r="S4995">
        <v>1</v>
      </c>
      <c r="T4995">
        <v>0</v>
      </c>
      <c r="U4995">
        <f>IF(AND(OR(Dashboard!$D$4="Semua",D4995=Dashboard!$D$4),OR(Dashboard!$H$4="Semua",E4995=Dashboard!$H$4)),1,0)</f>
        <v>1</v>
      </c>
      <c r="V4995">
        <f>IF(U4995=1,IF(COUNTIFS($C$2:C4995,C4995,$U$2:U4995,1)=1,1,0),0)</f>
        <v>0</v>
      </c>
    </row>
    <row r="4996" spans="1:22" x14ac:dyDescent="0.35">
      <c r="A4996">
        <v>14995</v>
      </c>
      <c r="B4996" s="1">
        <v>49556</v>
      </c>
      <c r="C4996">
        <v>1507</v>
      </c>
      <c r="D4996" t="s">
        <v>80</v>
      </c>
      <c r="E4996" t="s">
        <v>63</v>
      </c>
      <c r="F4996">
        <v>6</v>
      </c>
      <c r="G4996" s="2">
        <v>25.85</v>
      </c>
      <c r="H4996">
        <v>0.12</v>
      </c>
      <c r="I4996" t="s">
        <v>68</v>
      </c>
      <c r="J4996">
        <v>5</v>
      </c>
      <c r="K4996">
        <v>3.1</v>
      </c>
      <c r="L4996" s="2">
        <v>136.49</v>
      </c>
      <c r="M4996">
        <v>2035</v>
      </c>
      <c r="N4996">
        <v>9</v>
      </c>
      <c r="O4996" t="s">
        <v>244</v>
      </c>
      <c r="P4996" s="2">
        <v>155.1</v>
      </c>
      <c r="Q4996" s="2">
        <v>18.61</v>
      </c>
      <c r="R4996" t="s">
        <v>79</v>
      </c>
      <c r="S4996">
        <v>1</v>
      </c>
      <c r="T4996">
        <v>0</v>
      </c>
      <c r="U4996">
        <f>IF(AND(OR(Dashboard!$D$4="Semua",D4996=Dashboard!$D$4),OR(Dashboard!$H$4="Semua",E4996=Dashboard!$H$4)),1,0)</f>
        <v>1</v>
      </c>
      <c r="V4996">
        <f>IF(U4996=1,IF(COUNTIFS($C$2:C4996,C4996,$U$2:U4996,1)=1,1,0),0)</f>
        <v>0</v>
      </c>
    </row>
    <row r="4997" spans="1:22" x14ac:dyDescent="0.35">
      <c r="A4997">
        <v>14996</v>
      </c>
      <c r="B4997" s="1">
        <v>49557</v>
      </c>
      <c r="C4997">
        <v>1289</v>
      </c>
      <c r="D4997" t="s">
        <v>67</v>
      </c>
      <c r="E4997" t="s">
        <v>74</v>
      </c>
      <c r="F4997">
        <v>2</v>
      </c>
      <c r="G4997" s="2">
        <v>371.74</v>
      </c>
      <c r="H4997">
        <v>0.27</v>
      </c>
      <c r="I4997" t="s">
        <v>71</v>
      </c>
      <c r="J4997">
        <v>3</v>
      </c>
      <c r="K4997">
        <v>2.2999999999999998</v>
      </c>
      <c r="L4997" s="2">
        <v>542.74</v>
      </c>
      <c r="M4997">
        <v>2035</v>
      </c>
      <c r="N4997">
        <v>9</v>
      </c>
      <c r="O4997" t="s">
        <v>244</v>
      </c>
      <c r="P4997" s="2">
        <v>743.48</v>
      </c>
      <c r="Q4997" s="2">
        <v>200.74</v>
      </c>
      <c r="R4997" t="s">
        <v>66</v>
      </c>
      <c r="S4997">
        <v>1</v>
      </c>
      <c r="T4997">
        <v>0</v>
      </c>
      <c r="U4997">
        <f>IF(AND(OR(Dashboard!$D$4="Semua",D4997=Dashboard!$D$4),OR(Dashboard!$H$4="Semua",E4997=Dashboard!$H$4)),1,0)</f>
        <v>1</v>
      </c>
      <c r="V4997">
        <f>IF(U4997=1,IF(COUNTIFS($C$2:C4997,C4997,$U$2:U4997,1)=1,1,0),0)</f>
        <v>0</v>
      </c>
    </row>
    <row r="4998" spans="1:22" x14ac:dyDescent="0.35">
      <c r="A4998">
        <v>14997</v>
      </c>
      <c r="B4998" s="1">
        <v>49558</v>
      </c>
      <c r="C4998">
        <v>1294</v>
      </c>
      <c r="D4998" t="s">
        <v>62</v>
      </c>
      <c r="E4998" t="s">
        <v>78</v>
      </c>
      <c r="F4998">
        <v>3</v>
      </c>
      <c r="G4998" s="2">
        <v>553.66999999999996</v>
      </c>
      <c r="H4998">
        <v>0.14000000000000001</v>
      </c>
      <c r="I4998" t="s">
        <v>71</v>
      </c>
      <c r="J4998">
        <v>11</v>
      </c>
      <c r="K4998">
        <v>2.2000000000000002</v>
      </c>
      <c r="L4998" s="2">
        <v>1428.47</v>
      </c>
      <c r="M4998">
        <v>2035</v>
      </c>
      <c r="N4998">
        <v>9</v>
      </c>
      <c r="O4998" t="s">
        <v>244</v>
      </c>
      <c r="P4998" s="2">
        <v>1661.01</v>
      </c>
      <c r="Q4998" s="2">
        <v>232.54</v>
      </c>
      <c r="R4998" t="s">
        <v>79</v>
      </c>
      <c r="S4998">
        <v>1</v>
      </c>
      <c r="T4998">
        <v>0</v>
      </c>
      <c r="U4998">
        <f>IF(AND(OR(Dashboard!$D$4="Semua",D4998=Dashboard!$D$4),OR(Dashboard!$H$4="Semua",E4998=Dashboard!$H$4)),1,0)</f>
        <v>1</v>
      </c>
      <c r="V4998">
        <f>IF(U4998=1,IF(COUNTIFS($C$2:C4998,C4998,$U$2:U4998,1)=1,1,0),0)</f>
        <v>0</v>
      </c>
    </row>
    <row r="4999" spans="1:22" x14ac:dyDescent="0.35">
      <c r="A4999">
        <v>14998</v>
      </c>
      <c r="B4999" s="1">
        <v>49559</v>
      </c>
      <c r="C4999">
        <v>1450</v>
      </c>
      <c r="D4999" t="s">
        <v>62</v>
      </c>
      <c r="E4999" t="s">
        <v>74</v>
      </c>
      <c r="F4999">
        <v>3</v>
      </c>
      <c r="G4999" s="2">
        <v>77.22</v>
      </c>
      <c r="H4999">
        <v>0.24</v>
      </c>
      <c r="I4999" t="s">
        <v>64</v>
      </c>
      <c r="J4999">
        <v>6</v>
      </c>
      <c r="K4999">
        <v>3.4</v>
      </c>
      <c r="L4999" s="2">
        <v>176.06</v>
      </c>
      <c r="M4999">
        <v>2035</v>
      </c>
      <c r="N4999">
        <v>9</v>
      </c>
      <c r="O4999" t="s">
        <v>244</v>
      </c>
      <c r="P4999" s="2">
        <v>231.66</v>
      </c>
      <c r="Q4999" s="2">
        <v>55.6</v>
      </c>
      <c r="R4999" t="s">
        <v>77</v>
      </c>
      <c r="S4999">
        <v>1</v>
      </c>
      <c r="T4999">
        <v>0</v>
      </c>
      <c r="U4999">
        <f>IF(AND(OR(Dashboard!$D$4="Semua",D4999=Dashboard!$D$4),OR(Dashboard!$H$4="Semua",E4999=Dashboard!$H$4)),1,0)</f>
        <v>1</v>
      </c>
      <c r="V4999">
        <f>IF(U4999=1,IF(COUNTIFS($C$2:C4999,C4999,$U$2:U4999,1)=1,1,0),0)</f>
        <v>0</v>
      </c>
    </row>
    <row r="5000" spans="1:22" x14ac:dyDescent="0.35">
      <c r="A5000">
        <v>14999</v>
      </c>
      <c r="B5000" s="1">
        <v>49560</v>
      </c>
      <c r="C5000">
        <v>1903</v>
      </c>
      <c r="D5000" t="s">
        <v>73</v>
      </c>
      <c r="E5000" t="s">
        <v>63</v>
      </c>
      <c r="F5000">
        <v>4</v>
      </c>
      <c r="G5000" s="2">
        <v>138.41</v>
      </c>
      <c r="H5000">
        <v>0.21</v>
      </c>
      <c r="I5000" t="s">
        <v>71</v>
      </c>
      <c r="J5000">
        <v>4</v>
      </c>
      <c r="K5000">
        <v>2.8</v>
      </c>
      <c r="L5000" s="2">
        <v>437.38</v>
      </c>
      <c r="M5000">
        <v>2035</v>
      </c>
      <c r="N5000">
        <v>9</v>
      </c>
      <c r="O5000" t="s">
        <v>244</v>
      </c>
      <c r="P5000" s="2">
        <v>553.64</v>
      </c>
      <c r="Q5000" s="2">
        <v>116.26</v>
      </c>
      <c r="R5000" t="s">
        <v>77</v>
      </c>
      <c r="S5000">
        <v>1</v>
      </c>
      <c r="T5000">
        <v>0</v>
      </c>
      <c r="U5000">
        <f>IF(AND(OR(Dashboard!$D$4="Semua",D5000=Dashboard!$D$4),OR(Dashboard!$H$4="Semua",E5000=Dashboard!$H$4)),1,0)</f>
        <v>1</v>
      </c>
      <c r="V5000">
        <f>IF(U5000=1,IF(COUNTIFS($C$2:C5000,C5000,$U$2:U5000,1)=1,1,0),0)</f>
        <v>0</v>
      </c>
    </row>
    <row r="5001" spans="1:22" x14ac:dyDescent="0.35">
      <c r="A5001">
        <v>15000</v>
      </c>
      <c r="B5001" s="1">
        <v>49561</v>
      </c>
      <c r="C5001">
        <v>1214</v>
      </c>
      <c r="D5001" t="s">
        <v>80</v>
      </c>
      <c r="E5001" t="s">
        <v>70</v>
      </c>
      <c r="F5001">
        <v>7</v>
      </c>
      <c r="G5001" s="2">
        <v>231.58</v>
      </c>
      <c r="H5001">
        <v>0.34</v>
      </c>
      <c r="I5001" t="s">
        <v>71</v>
      </c>
      <c r="J5001">
        <v>5</v>
      </c>
      <c r="K5001">
        <v>3.9</v>
      </c>
      <c r="L5001" s="2">
        <v>1069.9000000000001</v>
      </c>
      <c r="M5001">
        <v>2035</v>
      </c>
      <c r="N5001">
        <v>9</v>
      </c>
      <c r="O5001" t="s">
        <v>244</v>
      </c>
      <c r="P5001" s="2">
        <v>1621.06</v>
      </c>
      <c r="Q5001" s="2">
        <v>551.16</v>
      </c>
      <c r="R5001" t="s">
        <v>72</v>
      </c>
      <c r="S5001">
        <v>1</v>
      </c>
      <c r="T5001">
        <v>0</v>
      </c>
      <c r="U5001">
        <f>IF(AND(OR(Dashboard!$D$4="Semua",D5001=Dashboard!$D$4),OR(Dashboard!$H$4="Semua",E5001=Dashboard!$H$4)),1,0)</f>
        <v>1</v>
      </c>
      <c r="V5001">
        <f>IF(U5001=1,IF(COUNTIFS($C$2:C5001,C5001,$U$2:U5001,1)=1,1,0),0)</f>
        <v>0</v>
      </c>
    </row>
  </sheetData>
  <autoFilter ref="A1:V5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"/>
  <sheetViews>
    <sheetView tabSelected="1" topLeftCell="F1" zoomScaleNormal="100" workbookViewId="0">
      <pane ySplit="1" topLeftCell="A2" activePane="bottomLeft" state="frozen"/>
      <selection pane="bottomLeft" activeCell="J2" sqref="J2:L9"/>
    </sheetView>
  </sheetViews>
  <sheetFormatPr defaultColWidth="8.6328125" defaultRowHeight="14" x14ac:dyDescent="0.3"/>
  <cols>
    <col min="1" max="1" width="40" style="7" customWidth="1"/>
    <col min="2" max="2" width="29.7265625" style="7" customWidth="1"/>
    <col min="3" max="5" width="17" style="7" customWidth="1"/>
    <col min="6" max="6" width="21.90625" style="7" customWidth="1"/>
    <col min="7" max="10" width="17" style="7" customWidth="1"/>
    <col min="11" max="11" width="19.54296875" style="7" customWidth="1"/>
    <col min="12" max="14" width="17" style="7" customWidth="1"/>
    <col min="15" max="16384" width="8.6328125" style="7"/>
  </cols>
  <sheetData>
    <row r="1" spans="1:12" ht="15" x14ac:dyDescent="0.3">
      <c r="A1" s="56" t="s">
        <v>245</v>
      </c>
    </row>
    <row r="2" spans="1:12" ht="14.5" x14ac:dyDescent="0.35">
      <c r="A2" s="67" t="s">
        <v>246</v>
      </c>
      <c r="B2" s="67" t="s">
        <v>247</v>
      </c>
      <c r="J2" s="54" t="s">
        <v>2</v>
      </c>
      <c r="K2" s="54" t="s">
        <v>4</v>
      </c>
      <c r="L2" s="54" t="s">
        <v>5</v>
      </c>
    </row>
    <row r="3" spans="1:12" x14ac:dyDescent="0.3">
      <c r="A3" s="58" t="s">
        <v>16</v>
      </c>
      <c r="B3" s="59">
        <f>SUMIFS(Data!$L$2:$L$5001,Data!$U$2:$U$5001,1)</f>
        <v>5109775.7400000067</v>
      </c>
      <c r="J3" s="60" t="s">
        <v>3</v>
      </c>
      <c r="K3" s="60" t="s">
        <v>3</v>
      </c>
      <c r="L3" s="61">
        <v>0.6</v>
      </c>
    </row>
    <row r="4" spans="1:12" x14ac:dyDescent="0.3">
      <c r="A4" s="58" t="s">
        <v>248</v>
      </c>
      <c r="B4" s="59">
        <f>SUMIFS(Data!$P$2:$P$5001,Data!$U$2:$U$5001,1)</f>
        <v>6240021.9599999879</v>
      </c>
      <c r="J4" s="60" t="s">
        <v>73</v>
      </c>
      <c r="K4" s="60" t="s">
        <v>74</v>
      </c>
      <c r="L4" s="61">
        <v>0.7</v>
      </c>
    </row>
    <row r="5" spans="1:12" x14ac:dyDescent="0.3">
      <c r="A5" s="58" t="s">
        <v>249</v>
      </c>
      <c r="B5" s="59">
        <f>SUMIFS(Data!$Q$2:$Q$5001,Data!$U$2:$U$5001,1)</f>
        <v>1130246.2199999974</v>
      </c>
      <c r="J5" s="60" t="s">
        <v>67</v>
      </c>
      <c r="K5" s="60" t="s">
        <v>78</v>
      </c>
      <c r="L5" s="61">
        <v>0.8</v>
      </c>
    </row>
    <row r="6" spans="1:12" x14ac:dyDescent="0.3">
      <c r="A6" s="58" t="s">
        <v>250</v>
      </c>
      <c r="B6" s="62">
        <f>Dashboard!$L$4</f>
        <v>0.7</v>
      </c>
      <c r="J6" s="60" t="s">
        <v>80</v>
      </c>
      <c r="K6" s="60" t="s">
        <v>63</v>
      </c>
    </row>
    <row r="7" spans="1:12" x14ac:dyDescent="0.3">
      <c r="A7" s="58" t="s">
        <v>251</v>
      </c>
      <c r="B7" s="59">
        <f>B3-B6*B4</f>
        <v>741760.36800001562</v>
      </c>
      <c r="J7" s="60" t="s">
        <v>62</v>
      </c>
      <c r="K7" s="60" t="s">
        <v>70</v>
      </c>
    </row>
    <row r="8" spans="1:12" x14ac:dyDescent="0.3">
      <c r="A8" s="58" t="s">
        <v>252</v>
      </c>
      <c r="B8" s="63">
        <f>IFERROR(B7/B3,0)</f>
        <v>0.14516495551720918</v>
      </c>
    </row>
    <row r="9" spans="1:12" x14ac:dyDescent="0.3">
      <c r="A9" s="58" t="s">
        <v>15</v>
      </c>
      <c r="B9" s="59">
        <f>COUNTIFS(Data!$U$2:$U$5001,1)</f>
        <v>5000</v>
      </c>
      <c r="J9" s="55" t="s">
        <v>253</v>
      </c>
    </row>
    <row r="10" spans="1:12" x14ac:dyDescent="0.3">
      <c r="A10" s="58" t="s">
        <v>254</v>
      </c>
      <c r="B10" s="59">
        <f>SUM(Data!$V$2:$V$5001)</f>
        <v>989</v>
      </c>
    </row>
    <row r="11" spans="1:12" x14ac:dyDescent="0.3">
      <c r="A11" s="58" t="s">
        <v>255</v>
      </c>
      <c r="B11" s="59">
        <f>IFERROR(B3/B9,0)</f>
        <v>1021.9551480000014</v>
      </c>
    </row>
    <row r="12" spans="1:12" x14ac:dyDescent="0.3">
      <c r="A12" s="58" t="s">
        <v>256</v>
      </c>
      <c r="B12" s="64">
        <f>IFERROR(SUMIFS(Data!$F$2:$F$5001,Data!$U$2:$U$5001,1)/B9,0)</f>
        <v>4.0448000000000004</v>
      </c>
    </row>
    <row r="13" spans="1:12" x14ac:dyDescent="0.3">
      <c r="A13" s="58" t="s">
        <v>257</v>
      </c>
      <c r="B13" s="59">
        <f>B45</f>
        <v>286776.65999999974</v>
      </c>
    </row>
    <row r="14" spans="1:12" x14ac:dyDescent="0.3">
      <c r="A14" s="58" t="s">
        <v>258</v>
      </c>
      <c r="B14" s="59">
        <f>B44</f>
        <v>265770.38</v>
      </c>
    </row>
    <row r="15" spans="1:12" x14ac:dyDescent="0.3">
      <c r="A15" s="58" t="s">
        <v>259</v>
      </c>
      <c r="B15" s="65">
        <f>IFERROR(B13/B14-1,0)</f>
        <v>7.9039206701663867E-2</v>
      </c>
    </row>
    <row r="16" spans="1:12" x14ac:dyDescent="0.3">
      <c r="A16" s="58" t="s">
        <v>260</v>
      </c>
      <c r="B16" s="65">
        <f>IFERROR((B45/B41)^(1/4)-1,0)</f>
        <v>1.761103136467046E-3</v>
      </c>
    </row>
    <row r="17" spans="1:5" x14ac:dyDescent="0.3">
      <c r="A17" s="58" t="s">
        <v>261</v>
      </c>
      <c r="B17" s="66">
        <f>IFERROR(AVERAGEIFS(Data!$K$2:$K$5001,Data!$U$2:$U$5001,1),0)</f>
        <v>2.9739800000000005</v>
      </c>
    </row>
    <row r="18" spans="1:5" x14ac:dyDescent="0.3">
      <c r="A18" s="58" t="s">
        <v>262</v>
      </c>
      <c r="B18" s="63">
        <f>IFERROR(COUNTIFS(Data!$U$2:$U$5001,1,Data!$H$2:$H$5001,"&gt;"&amp;ROUND(1-B6,4))/B9,0)</f>
        <v>0.13919999999999999</v>
      </c>
    </row>
    <row r="19" spans="1:5" x14ac:dyDescent="0.3">
      <c r="A19" s="58" t="s">
        <v>263</v>
      </c>
      <c r="B19" s="63">
        <f>IFERROR(IF(ROUND(0.1*B10,0)=0,0,SUMIF(Customers!$C$2:$C$990,"&gt;="&amp;LARGE(Customers!$C$2:$C$990,ROUND(0.1*B10,0)))/SUM(Customers!$C$2:$C$990)),0)</f>
        <v>0.21268148844434417</v>
      </c>
    </row>
    <row r="20" spans="1:5" x14ac:dyDescent="0.3">
      <c r="A20" s="58" t="s">
        <v>27</v>
      </c>
      <c r="B20" s="63">
        <f>IFERROR(COUNTIF(Customers!$B$2:$B$990,"&gt;=2")/B10,0)</f>
        <v>0.96056622851365014</v>
      </c>
    </row>
    <row r="21" spans="1:5" x14ac:dyDescent="0.3">
      <c r="A21" s="58" t="s">
        <v>264</v>
      </c>
      <c r="B21" s="63">
        <f>IFERROR(B5/B4,0)</f>
        <v>0.18112856448985953</v>
      </c>
    </row>
    <row r="22" spans="1:5" x14ac:dyDescent="0.3">
      <c r="A22" s="58" t="s">
        <v>25</v>
      </c>
      <c r="B22" s="64">
        <f>IFERROR(B9/B10,0)</f>
        <v>5.0556117290192111</v>
      </c>
    </row>
    <row r="24" spans="1:5" ht="14.5" x14ac:dyDescent="0.3">
      <c r="A24" s="70" t="s">
        <v>265</v>
      </c>
      <c r="B24" s="70" t="s">
        <v>266</v>
      </c>
      <c r="C24" s="70" t="s">
        <v>267</v>
      </c>
      <c r="D24" s="70" t="s">
        <v>22</v>
      </c>
      <c r="E24" s="70" t="s">
        <v>268</v>
      </c>
    </row>
    <row r="25" spans="1:5" x14ac:dyDescent="0.3">
      <c r="A25" s="68">
        <v>2022</v>
      </c>
      <c r="B25" s="59">
        <f>SUMIFS(Data!$L$2:$L$5001,Data!$U$2:$U$5001,1,Data!$M$2:$M$5001,A25,Data!$S$2:$S$5001,0)</f>
        <v>371824.30000000028</v>
      </c>
      <c r="C25" s="59">
        <f>SUMIFS(Data!$L$2:$L$5001,Data!$U$2:$U$5001,1,Data!$M$2:$M$5001,A25,Data!$S$2:$S$5001,1)</f>
        <v>0</v>
      </c>
      <c r="D25" s="59">
        <f t="shared" ref="D25:D37" si="0">B25+C25</f>
        <v>371824.30000000028</v>
      </c>
      <c r="E25" s="69"/>
    </row>
    <row r="26" spans="1:5" x14ac:dyDescent="0.3">
      <c r="A26" s="68">
        <v>2023</v>
      </c>
      <c r="B26" s="59">
        <f>SUMIFS(Data!$L$2:$L$5001,Data!$U$2:$U$5001,1,Data!$M$2:$M$5001,A26,Data!$S$2:$S$5001,0)</f>
        <v>365915.7900000001</v>
      </c>
      <c r="C26" s="59">
        <f>SUMIFS(Data!$L$2:$L$5001,Data!$U$2:$U$5001,1,Data!$M$2:$M$5001,A26,Data!$S$2:$S$5001,1)</f>
        <v>0</v>
      </c>
      <c r="D26" s="59">
        <f t="shared" si="0"/>
        <v>365915.7900000001</v>
      </c>
      <c r="E26" s="65">
        <f t="shared" ref="E26:E37" si="1">IFERROR(D26/D25-1,"")</f>
        <v>-1.5890596714631555E-2</v>
      </c>
    </row>
    <row r="27" spans="1:5" x14ac:dyDescent="0.3">
      <c r="A27" s="68">
        <v>2024</v>
      </c>
      <c r="B27" s="59">
        <f>SUMIFS(Data!$L$2:$L$5001,Data!$U$2:$U$5001,1,Data!$M$2:$M$5001,A27,Data!$S$2:$S$5001,0)</f>
        <v>363209.12999999995</v>
      </c>
      <c r="C27" s="59">
        <f>SUMIFS(Data!$L$2:$L$5001,Data!$U$2:$U$5001,1,Data!$M$2:$M$5001,A27,Data!$S$2:$S$5001,1)</f>
        <v>0</v>
      </c>
      <c r="D27" s="59">
        <f t="shared" si="0"/>
        <v>363209.12999999995</v>
      </c>
      <c r="E27" s="65">
        <f t="shared" si="1"/>
        <v>-7.3969478059423555E-3</v>
      </c>
    </row>
    <row r="28" spans="1:5" x14ac:dyDescent="0.3">
      <c r="A28" s="68">
        <v>2025</v>
      </c>
      <c r="B28" s="59">
        <f>SUMIFS(Data!$L$2:$L$5001,Data!$U$2:$U$5001,1,Data!$M$2:$M$5001,A28,Data!$S$2:$S$5001,0)</f>
        <v>349802.33</v>
      </c>
      <c r="C28" s="59">
        <f>SUMIFS(Data!$L$2:$L$5001,Data!$U$2:$U$5001,1,Data!$M$2:$M$5001,A28,Data!$S$2:$S$5001,1)</f>
        <v>0</v>
      </c>
      <c r="D28" s="59">
        <f t="shared" si="0"/>
        <v>349802.33</v>
      </c>
      <c r="E28" s="65">
        <f t="shared" si="1"/>
        <v>-3.6912067711513563E-2</v>
      </c>
    </row>
    <row r="29" spans="1:5" x14ac:dyDescent="0.3">
      <c r="A29" s="68">
        <v>2026</v>
      </c>
      <c r="B29" s="59">
        <f>SUMIFS(Data!$L$2:$L$5001,Data!$U$2:$U$5001,1,Data!$M$2:$M$5001,A29,Data!$S$2:$S$5001,0)</f>
        <v>286776.65999999974</v>
      </c>
      <c r="C29" s="59">
        <f>SUMIFS(Data!$L$2:$L$5001,Data!$U$2:$U$5001,1,Data!$M$2:$M$5001,A29,Data!$S$2:$S$5001,1)</f>
        <v>99593.030000000042</v>
      </c>
      <c r="D29" s="59">
        <f t="shared" si="0"/>
        <v>386369.68999999977</v>
      </c>
      <c r="E29" s="65">
        <f t="shared" si="1"/>
        <v>0.10453721105859914</v>
      </c>
    </row>
    <row r="30" spans="1:5" x14ac:dyDescent="0.3">
      <c r="A30" s="68">
        <v>2027</v>
      </c>
      <c r="B30" s="59">
        <f>SUMIFS(Data!$L$2:$L$5001,Data!$U$2:$U$5001,1,Data!$M$2:$M$5001,A30,Data!$S$2:$S$5001,0)</f>
        <v>0</v>
      </c>
      <c r="C30" s="59">
        <f>SUMIFS(Data!$L$2:$L$5001,Data!$U$2:$U$5001,1,Data!$M$2:$M$5001,A30,Data!$S$2:$S$5001,1)</f>
        <v>386151.9099999998</v>
      </c>
      <c r="D30" s="59">
        <f t="shared" si="0"/>
        <v>386151.9099999998</v>
      </c>
      <c r="E30" s="65">
        <f t="shared" si="1"/>
        <v>-5.6365705084160389E-4</v>
      </c>
    </row>
    <row r="31" spans="1:5" x14ac:dyDescent="0.3">
      <c r="A31" s="68">
        <v>2028</v>
      </c>
      <c r="B31" s="59">
        <f>SUMIFS(Data!$L$2:$L$5001,Data!$U$2:$U$5001,1,Data!$M$2:$M$5001,A31,Data!$S$2:$S$5001,0)</f>
        <v>0</v>
      </c>
      <c r="C31" s="59">
        <f>SUMIFS(Data!$L$2:$L$5001,Data!$U$2:$U$5001,1,Data!$M$2:$M$5001,A31,Data!$S$2:$S$5001,1)</f>
        <v>376844.79999999981</v>
      </c>
      <c r="D31" s="59">
        <f t="shared" si="0"/>
        <v>376844.79999999981</v>
      </c>
      <c r="E31" s="65">
        <f t="shared" si="1"/>
        <v>-2.4102198536322117E-2</v>
      </c>
    </row>
    <row r="32" spans="1:5" x14ac:dyDescent="0.3">
      <c r="A32" s="68">
        <v>2029</v>
      </c>
      <c r="B32" s="59">
        <f>SUMIFS(Data!$L$2:$L$5001,Data!$U$2:$U$5001,1,Data!$M$2:$M$5001,A32,Data!$S$2:$S$5001,0)</f>
        <v>0</v>
      </c>
      <c r="C32" s="59">
        <f>SUMIFS(Data!$L$2:$L$5001,Data!$U$2:$U$5001,1,Data!$M$2:$M$5001,A32,Data!$S$2:$S$5001,1)</f>
        <v>359239.24000000017</v>
      </c>
      <c r="D32" s="59">
        <f t="shared" si="0"/>
        <v>359239.24000000017</v>
      </c>
      <c r="E32" s="65">
        <f t="shared" si="1"/>
        <v>-4.6718330729254243E-2</v>
      </c>
    </row>
    <row r="33" spans="1:5" x14ac:dyDescent="0.3">
      <c r="A33" s="68">
        <v>2030</v>
      </c>
      <c r="B33" s="59">
        <f>SUMIFS(Data!$L$2:$L$5001,Data!$U$2:$U$5001,1,Data!$M$2:$M$5001,A33,Data!$S$2:$S$5001,0)</f>
        <v>0</v>
      </c>
      <c r="C33" s="59">
        <f>SUMIFS(Data!$L$2:$L$5001,Data!$U$2:$U$5001,1,Data!$M$2:$M$5001,A33,Data!$S$2:$S$5001,1)</f>
        <v>387884.46000000008</v>
      </c>
      <c r="D33" s="59">
        <f t="shared" si="0"/>
        <v>387884.46000000008</v>
      </c>
      <c r="E33" s="65">
        <f t="shared" si="1"/>
        <v>7.9738560854320628E-2</v>
      </c>
    </row>
    <row r="34" spans="1:5" x14ac:dyDescent="0.3">
      <c r="A34" s="68">
        <v>2031</v>
      </c>
      <c r="B34" s="59">
        <f>SUMIFS(Data!$L$2:$L$5001,Data!$U$2:$U$5001,1,Data!$M$2:$M$5001,A34,Data!$S$2:$S$5001,0)</f>
        <v>0</v>
      </c>
      <c r="C34" s="59">
        <f>SUMIFS(Data!$L$2:$L$5001,Data!$U$2:$U$5001,1,Data!$M$2:$M$5001,A34,Data!$S$2:$S$5001,1)</f>
        <v>365250.83000000025</v>
      </c>
      <c r="D34" s="59">
        <f t="shared" si="0"/>
        <v>365250.83000000025</v>
      </c>
      <c r="E34" s="65">
        <f t="shared" si="1"/>
        <v>-5.8351474044615825E-2</v>
      </c>
    </row>
    <row r="35" spans="1:5" x14ac:dyDescent="0.3">
      <c r="A35" s="68">
        <v>2032</v>
      </c>
      <c r="B35" s="59">
        <f>SUMIFS(Data!$L$2:$L$5001,Data!$U$2:$U$5001,1,Data!$M$2:$M$5001,A35,Data!$S$2:$S$5001,0)</f>
        <v>0</v>
      </c>
      <c r="C35" s="59">
        <f>SUMIFS(Data!$L$2:$L$5001,Data!$U$2:$U$5001,1,Data!$M$2:$M$5001,A35,Data!$S$2:$S$5001,1)</f>
        <v>386584.62999999989</v>
      </c>
      <c r="D35" s="59">
        <f t="shared" si="0"/>
        <v>386584.62999999989</v>
      </c>
      <c r="E35" s="65">
        <f t="shared" si="1"/>
        <v>5.8408628393807227E-2</v>
      </c>
    </row>
    <row r="36" spans="1:5" x14ac:dyDescent="0.3">
      <c r="A36" s="68">
        <v>2033</v>
      </c>
      <c r="B36" s="59">
        <f>SUMIFS(Data!$L$2:$L$5001,Data!$U$2:$U$5001,1,Data!$M$2:$M$5001,A36,Data!$S$2:$S$5001,0)</f>
        <v>0</v>
      </c>
      <c r="C36" s="59">
        <f>SUMIFS(Data!$L$2:$L$5001,Data!$U$2:$U$5001,1,Data!$M$2:$M$5001,A36,Data!$S$2:$S$5001,1)</f>
        <v>408725.72000000038</v>
      </c>
      <c r="D36" s="59">
        <f t="shared" si="0"/>
        <v>408725.72000000038</v>
      </c>
      <c r="E36" s="65">
        <f t="shared" si="1"/>
        <v>5.7273591037492855E-2</v>
      </c>
    </row>
    <row r="37" spans="1:5" x14ac:dyDescent="0.3">
      <c r="A37" s="68">
        <v>2034</v>
      </c>
      <c r="B37" s="59">
        <f>SUMIFS(Data!$L$2:$L$5001,Data!$U$2:$U$5001,1,Data!$M$2:$M$5001,A37,Data!$S$2:$S$5001,0)</f>
        <v>0</v>
      </c>
      <c r="C37" s="59">
        <f>SUMIFS(Data!$L$2:$L$5001,Data!$U$2:$U$5001,1,Data!$M$2:$M$5001,A37,Data!$S$2:$S$5001,1)</f>
        <v>363239.54999999981</v>
      </c>
      <c r="D37" s="59">
        <f t="shared" si="0"/>
        <v>363239.54999999981</v>
      </c>
      <c r="E37" s="65">
        <f t="shared" si="1"/>
        <v>-0.11128776040813027</v>
      </c>
    </row>
    <row r="38" spans="1:5" x14ac:dyDescent="0.3">
      <c r="A38" s="55" t="s">
        <v>269</v>
      </c>
    </row>
    <row r="40" spans="1:5" ht="14.5" x14ac:dyDescent="0.3">
      <c r="A40" s="71" t="s">
        <v>265</v>
      </c>
      <c r="B40" s="71" t="s">
        <v>270</v>
      </c>
    </row>
    <row r="41" spans="1:5" x14ac:dyDescent="0.3">
      <c r="A41" s="68">
        <v>2022</v>
      </c>
      <c r="B41" s="59">
        <f>SUMIFS(Data!$L$2:$L$5001,Data!$U$2:$U$5001,1,Data!$M$2:$M$5001,A41,Data!$N$2:$N$5001,"&lt;=9")</f>
        <v>284765.35000000009</v>
      </c>
    </row>
    <row r="42" spans="1:5" x14ac:dyDescent="0.3">
      <c r="A42" s="68">
        <v>2023</v>
      </c>
      <c r="B42" s="59">
        <f>SUMIFS(Data!$L$2:$L$5001,Data!$U$2:$U$5001,1,Data!$M$2:$M$5001,A42,Data!$N$2:$N$5001,"&lt;=9")</f>
        <v>279623.63000000012</v>
      </c>
    </row>
    <row r="43" spans="1:5" x14ac:dyDescent="0.3">
      <c r="A43" s="68">
        <v>2024</v>
      </c>
      <c r="B43" s="59">
        <f>SUMIFS(Data!$L$2:$L$5001,Data!$U$2:$U$5001,1,Data!$M$2:$M$5001,A43,Data!$N$2:$N$5001,"&lt;=9")</f>
        <v>276368.02000000008</v>
      </c>
    </row>
    <row r="44" spans="1:5" x14ac:dyDescent="0.3">
      <c r="A44" s="68">
        <v>2025</v>
      </c>
      <c r="B44" s="59">
        <f>SUMIFS(Data!$L$2:$L$5001,Data!$U$2:$U$5001,1,Data!$M$2:$M$5001,A44,Data!$N$2:$N$5001,"&lt;=9")</f>
        <v>265770.38</v>
      </c>
    </row>
    <row r="45" spans="1:5" x14ac:dyDescent="0.3">
      <c r="A45" s="68">
        <v>2026</v>
      </c>
      <c r="B45" s="59">
        <f>SUMIFS(Data!$L$2:$L$5001,Data!$U$2:$U$5001,1,Data!$M$2:$M$5001,A45,Data!$N$2:$N$5001,"&lt;=9")</f>
        <v>286776.65999999974</v>
      </c>
    </row>
    <row r="49" spans="1:14" ht="14.5" x14ac:dyDescent="0.3">
      <c r="A49" s="76" t="s">
        <v>2</v>
      </c>
      <c r="B49" s="76" t="s">
        <v>15</v>
      </c>
      <c r="C49" s="76" t="s">
        <v>271</v>
      </c>
      <c r="D49" s="76" t="s">
        <v>248</v>
      </c>
      <c r="E49" s="76" t="s">
        <v>16</v>
      </c>
      <c r="F49" s="76" t="s">
        <v>249</v>
      </c>
      <c r="G49" s="76" t="s">
        <v>272</v>
      </c>
      <c r="H49" s="76" t="s">
        <v>17</v>
      </c>
      <c r="I49" s="76" t="s">
        <v>19</v>
      </c>
      <c r="J49" s="76" t="s">
        <v>20</v>
      </c>
      <c r="K49" s="76" t="s">
        <v>273</v>
      </c>
      <c r="L49" s="76" t="s">
        <v>274</v>
      </c>
      <c r="M49" s="76" t="s">
        <v>275</v>
      </c>
      <c r="N49" s="76" t="s">
        <v>276</v>
      </c>
    </row>
    <row r="50" spans="1:14" x14ac:dyDescent="0.3">
      <c r="A50" s="72" t="s">
        <v>73</v>
      </c>
      <c r="B50" s="59">
        <f>COUNTIFS(Data!$U$2:$U$5001,1,Data!$D$2:$D$5001,A50)</f>
        <v>1777</v>
      </c>
      <c r="C50" s="59">
        <f>SUMIFS(Data!$F$2:$F$5001,Data!$U$2:$U$5001,1,Data!$D$2:$D$5001,A50)</f>
        <v>7109</v>
      </c>
      <c r="D50" s="59">
        <f>SUMIFS(Data!$P$2:$P$5001,Data!$U$2:$U$5001,1,Data!$D$2:$D$5001,A50)</f>
        <v>2223312.570000004</v>
      </c>
      <c r="E50" s="59">
        <f>SUMIFS(Data!$L$2:$L$5001,Data!$U$2:$U$5001,1,Data!$D$2:$D$5001,A50)</f>
        <v>1829899.2199999981</v>
      </c>
      <c r="F50" s="59">
        <f>SUMIFS(Data!$Q$2:$Q$5001,Data!$U$2:$U$5001,1,Data!$D$2:$D$5001,A50)</f>
        <v>393413.35000000114</v>
      </c>
      <c r="G50" s="63">
        <f>IFERROR(F50/D50,0)</f>
        <v>0.17694918623160594</v>
      </c>
      <c r="H50" s="63">
        <f>IFERROR(E50/SUM($E$50:$E$53),0)</f>
        <v>0.35811732512550504</v>
      </c>
      <c r="I50" s="59">
        <f>IFERROR(E50/B50,0)</f>
        <v>1029.768835115362</v>
      </c>
      <c r="J50" s="66">
        <f>IFERROR(AVERAGEIFS(Data!$K$2:$K$5001,Data!$U$2:$U$5001,1,Data!$D$2:$D$5001,A50),0)</f>
        <v>2.951097355092851</v>
      </c>
      <c r="K50" s="63">
        <f>IFERROR((E50-$B$6*D50)/E50,0)</f>
        <v>0.14950573125004979</v>
      </c>
      <c r="L50" s="63">
        <f>IFERROR((E50-0.6*D50)/E50,0)</f>
        <v>0.27100491250004255</v>
      </c>
      <c r="M50" s="63">
        <f>IFERROR((E50-0.7*D50)/E50,0)</f>
        <v>0.14950573125004979</v>
      </c>
      <c r="N50" s="63">
        <f>IFERROR((E50-0.8*D50)/E50,0)</f>
        <v>2.8006550000056727E-2</v>
      </c>
    </row>
    <row r="51" spans="1:14" x14ac:dyDescent="0.3">
      <c r="A51" s="72" t="s">
        <v>67</v>
      </c>
      <c r="B51" s="59">
        <f>COUNTIFS(Data!$U$2:$U$5001,1,Data!$D$2:$D$5001,A51)</f>
        <v>1531</v>
      </c>
      <c r="C51" s="59">
        <f>SUMIFS(Data!$F$2:$F$5001,Data!$U$2:$U$5001,1,Data!$D$2:$D$5001,A51)</f>
        <v>6171</v>
      </c>
      <c r="D51" s="59">
        <f>SUMIFS(Data!$P$2:$P$5001,Data!$U$2:$U$5001,1,Data!$D$2:$D$5001,A51)</f>
        <v>1887131.5000000019</v>
      </c>
      <c r="E51" s="59">
        <f>SUMIFS(Data!$L$2:$L$5001,Data!$U$2:$U$5001,1,Data!$D$2:$D$5001,A51)</f>
        <v>1531931.7200000014</v>
      </c>
      <c r="F51" s="59">
        <f>SUMIFS(Data!$Q$2:$Q$5001,Data!$U$2:$U$5001,1,Data!$D$2:$D$5001,A51)</f>
        <v>355199.78</v>
      </c>
      <c r="G51" s="63">
        <f>IFERROR(F51/D51,0)</f>
        <v>0.18822206083677775</v>
      </c>
      <c r="H51" s="63">
        <f>IFERROR(E51/SUM($E$50:$E$53),0)</f>
        <v>0.29980410060031348</v>
      </c>
      <c r="I51" s="59">
        <f>IFERROR(E51/B51,0)</f>
        <v>1000.6085695623784</v>
      </c>
      <c r="J51" s="66">
        <f>IFERROR(AVERAGEIFS(Data!$K$2:$K$5001,Data!$U$2:$U$5001,1,Data!$D$2:$D$5001,A51),0)</f>
        <v>3.0050947093403018</v>
      </c>
      <c r="K51" s="63">
        <f>IFERROR((E51-$B$6*D51)/E51,0)</f>
        <v>0.13769521659881812</v>
      </c>
      <c r="L51" s="63">
        <f>IFERROR((E51-0.6*D51)/E51,0)</f>
        <v>0.26088161422755834</v>
      </c>
      <c r="M51" s="63">
        <f>IFERROR((E51-0.7*D51)/E51,0)</f>
        <v>0.13769521659881812</v>
      </c>
      <c r="N51" s="63">
        <f>IFERROR((E51-0.8*D51)/E51,0)</f>
        <v>1.4508818970077704E-2</v>
      </c>
    </row>
    <row r="52" spans="1:14" x14ac:dyDescent="0.3">
      <c r="A52" s="72" t="s">
        <v>80</v>
      </c>
      <c r="B52" s="59">
        <f>COUNTIFS(Data!$U$2:$U$5001,1,Data!$D$2:$D$5001,A52)</f>
        <v>969</v>
      </c>
      <c r="C52" s="59">
        <f>SUMIFS(Data!$F$2:$F$5001,Data!$U$2:$U$5001,1,Data!$D$2:$D$5001,A52)</f>
        <v>3949</v>
      </c>
      <c r="D52" s="59">
        <f>SUMIFS(Data!$P$2:$P$5001,Data!$U$2:$U$5001,1,Data!$D$2:$D$5001,A52)</f>
        <v>1196217.9699999995</v>
      </c>
      <c r="E52" s="59">
        <f>SUMIFS(Data!$L$2:$L$5001,Data!$U$2:$U$5001,1,Data!$D$2:$D$5001,A52)</f>
        <v>982083.91999999993</v>
      </c>
      <c r="F52" s="59">
        <f>SUMIFS(Data!$Q$2:$Q$5001,Data!$U$2:$U$5001,1,Data!$D$2:$D$5001,A52)</f>
        <v>214134.05000000022</v>
      </c>
      <c r="G52" s="63">
        <f>IFERROR(F52/D52,0)</f>
        <v>0.17900922354476945</v>
      </c>
      <c r="H52" s="63">
        <f>IFERROR(E52/SUM($E$50:$E$53),0)</f>
        <v>0.19219706890698102</v>
      </c>
      <c r="I52" s="59">
        <f>IFERROR(E52/B52,0)</f>
        <v>1013.5024974200205</v>
      </c>
      <c r="J52" s="66">
        <f>IFERROR(AVERAGEIFS(Data!$K$2:$K$5001,Data!$U$2:$U$5001,1,Data!$D$2:$D$5001,A52),0)</f>
        <v>2.9406604747161973</v>
      </c>
      <c r="K52" s="63">
        <f>IFERROR((E52-$B$6*D52)/E52,0)</f>
        <v>0.14737166351323661</v>
      </c>
      <c r="L52" s="63">
        <f>IFERROR((E52-0.6*D52)/E52,0)</f>
        <v>0.2691757115827742</v>
      </c>
      <c r="M52" s="63">
        <f>IFERROR((E52-0.7*D52)/E52,0)</f>
        <v>0.14737166351323661</v>
      </c>
      <c r="N52" s="63">
        <f>IFERROR((E52-0.8*D52)/E52,0)</f>
        <v>2.5567615443698771E-2</v>
      </c>
    </row>
    <row r="53" spans="1:14" x14ac:dyDescent="0.3">
      <c r="A53" s="72" t="s">
        <v>62</v>
      </c>
      <c r="B53" s="59">
        <f>COUNTIFS(Data!$U$2:$U$5001,1,Data!$D$2:$D$5001,A53)</f>
        <v>723</v>
      </c>
      <c r="C53" s="59">
        <f>SUMIFS(Data!$F$2:$F$5001,Data!$U$2:$U$5001,1,Data!$D$2:$D$5001,A53)</f>
        <v>2995</v>
      </c>
      <c r="D53" s="59">
        <f>SUMIFS(Data!$P$2:$P$5001,Data!$U$2:$U$5001,1,Data!$D$2:$D$5001,A53)</f>
        <v>933359.91999999876</v>
      </c>
      <c r="E53" s="59">
        <f>SUMIFS(Data!$L$2:$L$5001,Data!$U$2:$U$5001,1,Data!$D$2:$D$5001,A53)</f>
        <v>765860.88000000035</v>
      </c>
      <c r="F53" s="59">
        <f>SUMIFS(Data!$Q$2:$Q$5001,Data!$U$2:$U$5001,1,Data!$D$2:$D$5001,A53)</f>
        <v>167499.04000000004</v>
      </c>
      <c r="G53" s="63">
        <f>IFERROR(F53/D53,0)</f>
        <v>0.17945814514940844</v>
      </c>
      <c r="H53" s="63">
        <f>IFERROR(E53/SUM($E$50:$E$53),0)</f>
        <v>0.14988150536720038</v>
      </c>
      <c r="I53" s="59">
        <f>IFERROR(E53/B53,0)</f>
        <v>1059.2819917012453</v>
      </c>
      <c r="J53" s="66">
        <f>IFERROR(AVERAGEIFS(Data!$K$2:$K$5001,Data!$U$2:$U$5001,1,Data!$D$2:$D$5001,A53),0)</f>
        <v>3.0089903181189492</v>
      </c>
      <c r="K53" s="63">
        <f>IFERROR((E53-$B$6*D53)/E53,0)</f>
        <v>0.14690518727108925</v>
      </c>
      <c r="L53" s="63">
        <f>IFERROR((E53-0.6*D53)/E53,0)</f>
        <v>0.26877587480379078</v>
      </c>
      <c r="M53" s="63">
        <f>IFERROR((E53-0.7*D53)/E53,0)</f>
        <v>0.14690518727108925</v>
      </c>
      <c r="N53" s="63">
        <f>IFERROR((E53-0.8*D53)/E53,0)</f>
        <v>2.5034499738387589E-2</v>
      </c>
    </row>
    <row r="54" spans="1:14" x14ac:dyDescent="0.3">
      <c r="A54" s="57" t="s">
        <v>22</v>
      </c>
      <c r="B54" s="73">
        <f>SUM(B50:B53)</f>
        <v>5000</v>
      </c>
      <c r="C54" s="73">
        <f>SUM(C50:C53)</f>
        <v>20224</v>
      </c>
      <c r="D54" s="73">
        <f>SUM(D50:D53)</f>
        <v>6240021.9600000046</v>
      </c>
      <c r="E54" s="73">
        <f>SUM(E50:E53)</f>
        <v>5109775.74</v>
      </c>
      <c r="F54" s="73">
        <f>SUM(F50:F53)</f>
        <v>1130246.2200000014</v>
      </c>
      <c r="G54" s="74">
        <f>IFERROR(F54/D54,0)</f>
        <v>0.18112856448985967</v>
      </c>
      <c r="H54" s="74">
        <f>SUM(H50:H53)</f>
        <v>0.99999999999999989</v>
      </c>
      <c r="I54" s="73">
        <f>IFERROR(E54/B54,0)</f>
        <v>1021.955148</v>
      </c>
      <c r="J54" s="75">
        <f>B17</f>
        <v>2.9739800000000005</v>
      </c>
      <c r="K54" s="74">
        <f>B8</f>
        <v>0.14516495551720918</v>
      </c>
      <c r="L54" s="74">
        <f>IFERROR((E54-0.6*D54)/E54,0)</f>
        <v>0.26728424758617636</v>
      </c>
      <c r="M54" s="74">
        <f>IFERROR((E54-0.7*D54)/E54,0)</f>
        <v>0.14516495551720573</v>
      </c>
      <c r="N54" s="74">
        <f>IFERROR((E54-0.8*D54)/E54,0)</f>
        <v>2.3045663448235113E-2</v>
      </c>
    </row>
    <row r="55" spans="1:14" x14ac:dyDescent="0.3">
      <c r="F55" s="54" t="s">
        <v>277</v>
      </c>
      <c r="G55" s="61">
        <v>0.7</v>
      </c>
      <c r="H55" s="61">
        <v>0.8</v>
      </c>
    </row>
    <row r="57" spans="1:14" ht="14.5" x14ac:dyDescent="0.3">
      <c r="A57" s="79" t="s">
        <v>278</v>
      </c>
      <c r="B57" s="79" t="s">
        <v>279</v>
      </c>
      <c r="C57" s="79" t="s">
        <v>280</v>
      </c>
      <c r="D57" s="79" t="s">
        <v>15</v>
      </c>
      <c r="E57" s="79" t="s">
        <v>16</v>
      </c>
      <c r="F57" s="79" t="s">
        <v>248</v>
      </c>
      <c r="G57" s="79" t="s">
        <v>275</v>
      </c>
      <c r="H57" s="79" t="s">
        <v>276</v>
      </c>
      <c r="I57" s="79" t="s">
        <v>281</v>
      </c>
      <c r="J57" s="79" t="s">
        <v>19</v>
      </c>
      <c r="K57" s="79" t="s">
        <v>282</v>
      </c>
    </row>
    <row r="58" spans="1:14" x14ac:dyDescent="0.3">
      <c r="A58" s="72" t="s">
        <v>75</v>
      </c>
      <c r="B58" s="77">
        <v>-1E-3</v>
      </c>
      <c r="C58" s="77">
        <v>0.05</v>
      </c>
      <c r="D58" s="59">
        <f>COUNTIFS(Data!$U$2:$U$5001,1,Data!$H$2:$H$5001,"&gt;"&amp;B58,Data!$H$2:$H$5001,"&lt;="&amp;C58)</f>
        <v>748</v>
      </c>
      <c r="E58" s="59">
        <f>SUMIFS(Data!$L$2:$L$5001,Data!$U$2:$U$5001,1,Data!$H$2:$H$5001,"&gt;"&amp;B58,Data!$H$2:$H$5001,"&lt;="&amp;C58)</f>
        <v>903771.19000000099</v>
      </c>
      <c r="F58" s="59">
        <f>SUMIFS(Data!$P$2:$P$5001,Data!$U$2:$U$5001,1,Data!$H$2:$H$5001,"&gt;"&amp;B58,Data!$H$2:$H$5001,"&lt;="&amp;C58)</f>
        <v>929018.25000000047</v>
      </c>
      <c r="G58" s="78">
        <f>E58-$G$55*F58</f>
        <v>253458.41500000074</v>
      </c>
      <c r="H58" s="78">
        <f>E58-$H$55*F58</f>
        <v>160556.59000000055</v>
      </c>
      <c r="I58" s="78">
        <f t="shared" ref="I58:I64" si="2">E58-$B$6*F58</f>
        <v>253458.41500000074</v>
      </c>
      <c r="J58" s="59">
        <f t="shared" ref="J58:J64" si="3">IFERROR(E58/D58,0)</f>
        <v>1208.2502540106966</v>
      </c>
      <c r="K58" s="66">
        <f>IFERROR(SUMIFS(Data!$F$2:$F$5001,Data!$U$2:$U$5001,1,Data!$H$2:$H$5001,"&gt;"&amp;B58,Data!$H$2:$H$5001,"&lt;="&amp;C58)/D58,0)</f>
        <v>4.0681818181818183</v>
      </c>
    </row>
    <row r="59" spans="1:14" x14ac:dyDescent="0.3">
      <c r="A59" s="72" t="s">
        <v>69</v>
      </c>
      <c r="B59" s="77">
        <v>0.05</v>
      </c>
      <c r="C59" s="77">
        <v>0.1</v>
      </c>
      <c r="D59" s="59">
        <f>COUNTIFS(Data!$U$2:$U$5001,1,Data!$H$2:$H$5001,"&gt;"&amp;B59,Data!$H$2:$H$5001,"&lt;="&amp;C59)</f>
        <v>653</v>
      </c>
      <c r="E59" s="59">
        <f>SUMIFS(Data!$L$2:$L$5001,Data!$U$2:$U$5001,1,Data!$H$2:$H$5001,"&gt;"&amp;B59,Data!$H$2:$H$5001,"&lt;="&amp;C59)</f>
        <v>720633.71000000008</v>
      </c>
      <c r="F59" s="59">
        <f>SUMIFS(Data!$P$2:$P$5001,Data!$U$2:$U$5001,1,Data!$H$2:$H$5001,"&gt;"&amp;B59,Data!$H$2:$H$5001,"&lt;="&amp;C59)</f>
        <v>782597.57000000007</v>
      </c>
      <c r="G59" s="78">
        <f>E59-$G$55*F59</f>
        <v>172815.41100000008</v>
      </c>
      <c r="H59" s="78">
        <f>E59-$H$55*F59</f>
        <v>94555.65399999998</v>
      </c>
      <c r="I59" s="78">
        <f t="shared" si="2"/>
        <v>172815.41100000008</v>
      </c>
      <c r="J59" s="59">
        <f t="shared" si="3"/>
        <v>1103.5738284839206</v>
      </c>
      <c r="K59" s="66">
        <f>IFERROR(SUMIFS(Data!$F$2:$F$5001,Data!$U$2:$U$5001,1,Data!$H$2:$H$5001,"&gt;"&amp;B59,Data!$H$2:$H$5001,"&lt;="&amp;C59)/D59,0)</f>
        <v>3.9525267993874427</v>
      </c>
    </row>
    <row r="60" spans="1:14" x14ac:dyDescent="0.3">
      <c r="A60" s="72" t="s">
        <v>79</v>
      </c>
      <c r="B60" s="77">
        <v>0.1</v>
      </c>
      <c r="C60" s="77">
        <v>0.15</v>
      </c>
      <c r="D60" s="59">
        <f>COUNTIFS(Data!$U$2:$U$5001,1,Data!$H$2:$H$5001,"&gt;"&amp;B60,Data!$H$2:$H$5001,"&lt;="&amp;C60)</f>
        <v>709</v>
      </c>
      <c r="E60" s="59">
        <f>SUMIFS(Data!$L$2:$L$5001,Data!$U$2:$U$5001,1,Data!$H$2:$H$5001,"&gt;"&amp;B60,Data!$H$2:$H$5001,"&lt;="&amp;C60)</f>
        <v>771951.8</v>
      </c>
      <c r="F60" s="59">
        <f>SUMIFS(Data!$P$2:$P$5001,Data!$U$2:$U$5001,1,Data!$H$2:$H$5001,"&gt;"&amp;B60,Data!$H$2:$H$5001,"&lt;="&amp;C60)</f>
        <v>887619.549999999</v>
      </c>
      <c r="G60" s="78">
        <f>E60-$G$55*F60</f>
        <v>150618.11500000081</v>
      </c>
      <c r="H60" s="78">
        <f>E60-$H$55*F60</f>
        <v>61856.160000000848</v>
      </c>
      <c r="I60" s="78">
        <f t="shared" si="2"/>
        <v>150618.11500000081</v>
      </c>
      <c r="J60" s="59">
        <f t="shared" si="3"/>
        <v>1088.7895627644571</v>
      </c>
      <c r="K60" s="66">
        <f>IFERROR(SUMIFS(Data!$F$2:$F$5001,Data!$U$2:$U$5001,1,Data!$H$2:$H$5001,"&gt;"&amp;B60,Data!$H$2:$H$5001,"&lt;="&amp;C60)/D60,0)</f>
        <v>4.1043723554301836</v>
      </c>
    </row>
    <row r="61" spans="1:14" x14ac:dyDescent="0.3">
      <c r="A61" s="72" t="s">
        <v>76</v>
      </c>
      <c r="B61" s="77">
        <v>0.15</v>
      </c>
      <c r="C61" s="77">
        <v>0.2</v>
      </c>
      <c r="D61" s="59">
        <f>COUNTIFS(Data!$U$2:$U$5001,1,Data!$H$2:$H$5001,"&gt;"&amp;B61,Data!$H$2:$H$5001,"&lt;="&amp;C61)</f>
        <v>692</v>
      </c>
      <c r="E61" s="59">
        <f>SUMIFS(Data!$L$2:$L$5001,Data!$U$2:$U$5001,1,Data!$H$2:$H$5001,"&gt;"&amp;B61,Data!$H$2:$H$5001,"&lt;="&amp;C61)</f>
        <v>710245.2300000001</v>
      </c>
      <c r="F61" s="59">
        <f>SUMIFS(Data!$P$2:$P$5001,Data!$U$2:$U$5001,1,Data!$H$2:$H$5001,"&gt;"&amp;B61,Data!$H$2:$H$5001,"&lt;="&amp;C61)</f>
        <v>866322.68000000052</v>
      </c>
      <c r="G61" s="78">
        <f>E61-$G$55*F61</f>
        <v>103819.35399999982</v>
      </c>
      <c r="H61" s="78">
        <f>E61-$H$55*F61</f>
        <v>17187.085999999661</v>
      </c>
      <c r="I61" s="78">
        <f t="shared" si="2"/>
        <v>103819.35399999982</v>
      </c>
      <c r="J61" s="59">
        <f t="shared" si="3"/>
        <v>1026.3659393063585</v>
      </c>
      <c r="K61" s="66">
        <f>IFERROR(SUMIFS(Data!$F$2:$F$5001,Data!$U$2:$U$5001,1,Data!$H$2:$H$5001,"&gt;"&amp;B61,Data!$H$2:$H$5001,"&lt;="&amp;C61)/D61,0)</f>
        <v>4.0303468208092488</v>
      </c>
    </row>
    <row r="62" spans="1:14" x14ac:dyDescent="0.3">
      <c r="A62" s="72" t="s">
        <v>77</v>
      </c>
      <c r="B62" s="77">
        <v>0.2</v>
      </c>
      <c r="C62" s="77">
        <v>0.25</v>
      </c>
      <c r="D62" s="59">
        <f>COUNTIFS(Data!$U$2:$U$5001,1,Data!$H$2:$H$5001,"&gt;"&amp;B62,Data!$H$2:$H$5001,"&lt;="&amp;C62)</f>
        <v>763</v>
      </c>
      <c r="E62" s="59">
        <f>SUMIFS(Data!$L$2:$L$5001,Data!$U$2:$U$5001,1,Data!$H$2:$H$5001,"&gt;"&amp;B62,Data!$H$2:$H$5001,"&lt;="&amp;C62)</f>
        <v>747312.65000000049</v>
      </c>
      <c r="F62" s="59">
        <f>SUMIFS(Data!$P$2:$P$5001,Data!$U$2:$U$5001,1,Data!$H$2:$H$5001,"&gt;"&amp;B62,Data!$H$2:$H$5001,"&lt;="&amp;C62)</f>
        <v>971470.83999999939</v>
      </c>
      <c r="G62" s="78">
        <f>E62-$G$55*F62</f>
        <v>67283.062000000966</v>
      </c>
      <c r="H62" s="78">
        <f>E62-$H$55*F62</f>
        <v>-29864.021999999066</v>
      </c>
      <c r="I62" s="78">
        <f t="shared" si="2"/>
        <v>67283.062000000966</v>
      </c>
      <c r="J62" s="59">
        <f t="shared" si="3"/>
        <v>979.43990825688138</v>
      </c>
      <c r="K62" s="66">
        <f>IFERROR(SUMIFS(Data!$F$2:$F$5001,Data!$U$2:$U$5001,1,Data!$H$2:$H$5001,"&gt;"&amp;B62,Data!$H$2:$H$5001,"&lt;="&amp;C62)/D62,0)</f>
        <v>4.0747051114023591</v>
      </c>
    </row>
    <row r="63" spans="1:14" x14ac:dyDescent="0.3">
      <c r="A63" s="72" t="s">
        <v>66</v>
      </c>
      <c r="B63" s="77">
        <v>0.25</v>
      </c>
      <c r="C63" s="77">
        <v>0.3</v>
      </c>
      <c r="D63" s="59">
        <f>COUNTIFS(Data!$U$2:$U$5001,1,Data!$H$2:$H$5001,"&gt;"&amp;B63,Data!$H$2:$H$5001,"&lt;="&amp;C63)</f>
        <v>739</v>
      </c>
      <c r="E63" s="59">
        <f>SUMIFS(Data!$L$2:$L$5001,Data!$U$2:$U$5001,1,Data!$H$2:$H$5001,"&gt;"&amp;B63,Data!$H$2:$H$5001,"&lt;="&amp;C63)</f>
        <v>670479.79999999993</v>
      </c>
      <c r="F63" s="59">
        <f>SUMIFS(Data!$P$2:$P$5001,Data!$U$2:$U$5001,1,Data!$H$2:$H$5001,"&gt;"&amp;B63,Data!$H$2:$H$5001,"&lt;="&amp;C63)</f>
        <v>931483.30999999854</v>
      </c>
      <c r="G63" s="78">
        <f>E63-$G$55*F63</f>
        <v>18441.483000000939</v>
      </c>
      <c r="H63" s="78">
        <f>E63-$H$55*F63</f>
        <v>-74706.84799999895</v>
      </c>
      <c r="I63" s="78">
        <f t="shared" si="2"/>
        <v>18441.483000000939</v>
      </c>
      <c r="J63" s="59">
        <f t="shared" si="3"/>
        <v>907.27983761840312</v>
      </c>
      <c r="K63" s="66">
        <f>IFERROR(SUMIFS(Data!$F$2:$F$5001,Data!$U$2:$U$5001,1,Data!$H$2:$H$5001,"&gt;"&amp;B63,Data!$H$2:$H$5001,"&lt;="&amp;C63)/D63,0)</f>
        <v>4.0703653585926931</v>
      </c>
    </row>
    <row r="64" spans="1:14" x14ac:dyDescent="0.3">
      <c r="A64" s="72" t="s">
        <v>72</v>
      </c>
      <c r="B64" s="77">
        <v>0.3</v>
      </c>
      <c r="C64" s="77">
        <v>0.35</v>
      </c>
      <c r="D64" s="59">
        <f>COUNTIFS(Data!$U$2:$U$5001,1,Data!$H$2:$H$5001,"&gt;"&amp;B64,Data!$H$2:$H$5001,"&lt;="&amp;C64)</f>
        <v>696</v>
      </c>
      <c r="E64" s="59">
        <f>SUMIFS(Data!$L$2:$L$5001,Data!$U$2:$U$5001,1,Data!$H$2:$H$5001,"&gt;"&amp;B64,Data!$H$2:$H$5001,"&lt;="&amp;C64)</f>
        <v>585381.3600000001</v>
      </c>
      <c r="F64" s="59">
        <f>SUMIFS(Data!$P$2:$P$5001,Data!$U$2:$U$5001,1,Data!$H$2:$H$5001,"&gt;"&amp;B64,Data!$H$2:$H$5001,"&lt;="&amp;C64)</f>
        <v>871509.75999999919</v>
      </c>
      <c r="G64" s="78">
        <f>E64-$G$55*F64</f>
        <v>-24675.471999999252</v>
      </c>
      <c r="H64" s="78">
        <f>E64-$H$55*F64</f>
        <v>-111826.44799999928</v>
      </c>
      <c r="I64" s="78">
        <f t="shared" si="2"/>
        <v>-24675.471999999252</v>
      </c>
      <c r="J64" s="59">
        <f t="shared" si="3"/>
        <v>841.06517241379322</v>
      </c>
      <c r="K64" s="66">
        <f>IFERROR(SUMIFS(Data!$F$2:$F$5001,Data!$U$2:$U$5001,1,Data!$H$2:$H$5001,"&gt;"&amp;B64,Data!$H$2:$H$5001,"&lt;="&amp;C64)/D64,0)</f>
        <v>4</v>
      </c>
    </row>
    <row r="67" spans="1:7" ht="14.5" x14ac:dyDescent="0.3">
      <c r="A67" s="83" t="s">
        <v>283</v>
      </c>
      <c r="B67" s="83" t="s">
        <v>284</v>
      </c>
      <c r="C67" s="82"/>
      <c r="D67" s="70" t="s">
        <v>285</v>
      </c>
      <c r="E67" s="70" t="s">
        <v>286</v>
      </c>
      <c r="F67" s="70" t="s">
        <v>287</v>
      </c>
      <c r="G67" s="70" t="s">
        <v>288</v>
      </c>
    </row>
    <row r="68" spans="1:7" x14ac:dyDescent="0.3">
      <c r="A68" s="68">
        <v>1</v>
      </c>
      <c r="B68" s="59">
        <f>COUNTIF(Customers!$B$2:$B$990,A68)</f>
        <v>39</v>
      </c>
      <c r="D68" s="68">
        <v>1</v>
      </c>
      <c r="E68" s="80">
        <f>LARGE(Customers!$C$2:$C$990,D68)/1000</f>
        <v>17.680690000000002</v>
      </c>
      <c r="F68" s="81">
        <f>IF(E68&gt;0,INDEX(Customers!$A$2:$A$990,MATCH(E68*1000,Customers!$C$2:$C$990,0)),"-")</f>
        <v>1663</v>
      </c>
      <c r="G68" s="58" t="str">
        <f t="shared" ref="G68:G77" si="4">IF(E68&gt;0,"#"&amp;F68,"-")</f>
        <v>#1663</v>
      </c>
    </row>
    <row r="69" spans="1:7" x14ac:dyDescent="0.3">
      <c r="A69" s="68">
        <v>2</v>
      </c>
      <c r="B69" s="59">
        <f>COUNTIF(Customers!$B$2:$B$990,A69)</f>
        <v>91</v>
      </c>
      <c r="D69" s="68">
        <v>2</v>
      </c>
      <c r="E69" s="80">
        <f>LARGE(Customers!$C$2:$C$990,D69)/1000</f>
        <v>16.265149999999998</v>
      </c>
      <c r="F69" s="81" t="e">
        <f>IF(E69&gt;0,INDEX(Customers!$A$2:$A$990,MATCH(E69*1000,Customers!$C$2:$C$990,0)),"-")</f>
        <v>#N/A</v>
      </c>
      <c r="G69" s="58" t="e">
        <f t="shared" si="4"/>
        <v>#N/A</v>
      </c>
    </row>
    <row r="70" spans="1:7" x14ac:dyDescent="0.3">
      <c r="A70" s="68">
        <v>3</v>
      </c>
      <c r="B70" s="59">
        <f>COUNTIF(Customers!$B$2:$B$990,A70)</f>
        <v>149</v>
      </c>
      <c r="D70" s="68">
        <v>3</v>
      </c>
      <c r="E70" s="80">
        <f>LARGE(Customers!$C$2:$C$990,D70)/1000</f>
        <v>15.036460000000002</v>
      </c>
      <c r="F70" s="81">
        <f>IF(E70&gt;0,INDEX(Customers!$A$2:$A$990,MATCH(E70*1000,Customers!$C$2:$C$990,0)),"-")</f>
        <v>1675</v>
      </c>
      <c r="G70" s="58" t="str">
        <f t="shared" si="4"/>
        <v>#1675</v>
      </c>
    </row>
    <row r="71" spans="1:7" x14ac:dyDescent="0.3">
      <c r="A71" s="68">
        <v>4</v>
      </c>
      <c r="B71" s="59">
        <f>COUNTIF(Customers!$B$2:$B$990,A71)</f>
        <v>158</v>
      </c>
      <c r="D71" s="68">
        <v>4</v>
      </c>
      <c r="E71" s="80">
        <f>LARGE(Customers!$C$2:$C$990,D71)/1000</f>
        <v>15.023710000000003</v>
      </c>
      <c r="F71" s="81">
        <f>IF(E71&gt;0,INDEX(Customers!$A$2:$A$990,MATCH(E71*1000,Customers!$C$2:$C$990,0)),"-")</f>
        <v>1276</v>
      </c>
      <c r="G71" s="58" t="str">
        <f t="shared" si="4"/>
        <v>#1276</v>
      </c>
    </row>
    <row r="72" spans="1:7" x14ac:dyDescent="0.3">
      <c r="A72" s="68">
        <v>5</v>
      </c>
      <c r="B72" s="59">
        <f>COUNTIF(Customers!$B$2:$B$990,A72)</f>
        <v>153</v>
      </c>
      <c r="D72" s="68">
        <v>5</v>
      </c>
      <c r="E72" s="80">
        <f>LARGE(Customers!$C$2:$C$990,D72)/1000</f>
        <v>14.894970000000001</v>
      </c>
      <c r="F72" s="81">
        <f>IF(E72&gt;0,INDEX(Customers!$A$2:$A$990,MATCH(E72*1000,Customers!$C$2:$C$990,0)),"-")</f>
        <v>1647</v>
      </c>
      <c r="G72" s="58" t="str">
        <f t="shared" si="4"/>
        <v>#1647</v>
      </c>
    </row>
    <row r="73" spans="1:7" x14ac:dyDescent="0.3">
      <c r="A73" s="68">
        <v>6</v>
      </c>
      <c r="B73" s="59">
        <f>COUNTIF(Customers!$B$2:$B$990,A73)</f>
        <v>154</v>
      </c>
      <c r="D73" s="68">
        <v>6</v>
      </c>
      <c r="E73" s="80">
        <f>LARGE(Customers!$C$2:$C$990,D73)/1000</f>
        <v>14.33098</v>
      </c>
      <c r="F73" s="81">
        <f>IF(E73&gt;0,INDEX(Customers!$A$2:$A$990,MATCH(E73*1000,Customers!$C$2:$C$990,0)),"-")</f>
        <v>1804</v>
      </c>
      <c r="G73" s="58" t="str">
        <f t="shared" si="4"/>
        <v>#1804</v>
      </c>
    </row>
    <row r="74" spans="1:7" x14ac:dyDescent="0.3">
      <c r="A74" s="68">
        <v>7</v>
      </c>
      <c r="B74" s="59">
        <f>COUNTIF(Customers!$B$2:$B$990,A74)</f>
        <v>99</v>
      </c>
      <c r="D74" s="68">
        <v>7</v>
      </c>
      <c r="E74" s="80">
        <f>LARGE(Customers!$C$2:$C$990,D74)/1000</f>
        <v>14.15165</v>
      </c>
      <c r="F74" s="81">
        <f>IF(E74&gt;0,INDEX(Customers!$A$2:$A$990,MATCH(E74*1000,Customers!$C$2:$C$990,0)),"-")</f>
        <v>1193</v>
      </c>
      <c r="G74" s="58" t="str">
        <f t="shared" si="4"/>
        <v>#1193</v>
      </c>
    </row>
    <row r="75" spans="1:7" x14ac:dyDescent="0.3">
      <c r="A75" s="68">
        <v>8</v>
      </c>
      <c r="B75" s="59">
        <f>COUNTIF(Customers!$B$2:$B$990,A75)</f>
        <v>70</v>
      </c>
      <c r="D75" s="68">
        <v>8</v>
      </c>
      <c r="E75" s="80">
        <f>LARGE(Customers!$C$2:$C$990,D75)/1000</f>
        <v>14.11078</v>
      </c>
      <c r="F75" s="81">
        <f>IF(E75&gt;0,INDEX(Customers!$A$2:$A$990,MATCH(E75*1000,Customers!$C$2:$C$990,0)),"-")</f>
        <v>1836</v>
      </c>
      <c r="G75" s="58" t="str">
        <f t="shared" si="4"/>
        <v>#1836</v>
      </c>
    </row>
    <row r="76" spans="1:7" x14ac:dyDescent="0.3">
      <c r="A76" s="68">
        <v>9</v>
      </c>
      <c r="B76" s="59">
        <f>COUNTIF(Customers!$B$2:$B$990,A76)</f>
        <v>32</v>
      </c>
      <c r="D76" s="68">
        <v>9</v>
      </c>
      <c r="E76" s="80">
        <f>LARGE(Customers!$C$2:$C$990,D76)/1000</f>
        <v>13.956949999999999</v>
      </c>
      <c r="F76" s="81">
        <f>IF(E76&gt;0,INDEX(Customers!$A$2:$A$990,MATCH(E76*1000,Customers!$C$2:$C$990,0)),"-")</f>
        <v>1957</v>
      </c>
      <c r="G76" s="58" t="str">
        <f t="shared" si="4"/>
        <v>#1957</v>
      </c>
    </row>
    <row r="77" spans="1:7" x14ac:dyDescent="0.3">
      <c r="A77" s="68">
        <v>10</v>
      </c>
      <c r="B77" s="59">
        <f>COUNTIF(Customers!$B$2:$B$990,A77)</f>
        <v>24</v>
      </c>
      <c r="D77" s="68">
        <v>10</v>
      </c>
      <c r="E77" s="80">
        <f>LARGE(Customers!$C$2:$C$990,D77)/1000</f>
        <v>13.14625</v>
      </c>
      <c r="F77" s="81">
        <f>IF(E77&gt;0,INDEX(Customers!$A$2:$A$990,MATCH(E77*1000,Customers!$C$2:$C$990,0)),"-")</f>
        <v>1735</v>
      </c>
      <c r="G77" s="58" t="str">
        <f t="shared" si="4"/>
        <v>#1735</v>
      </c>
    </row>
    <row r="78" spans="1:7" x14ac:dyDescent="0.3">
      <c r="A78" s="68">
        <v>11</v>
      </c>
      <c r="B78" s="59">
        <f>COUNTIF(Customers!$B$2:$B$990,A78)</f>
        <v>12</v>
      </c>
    </row>
    <row r="79" spans="1:7" x14ac:dyDescent="0.3">
      <c r="A79" s="68">
        <v>12</v>
      </c>
      <c r="B79" s="59">
        <f>COUNTIF(Customers!$B$2:$B$990,A79)</f>
        <v>7</v>
      </c>
    </row>
    <row r="80" spans="1:7" x14ac:dyDescent="0.3">
      <c r="A80" s="68">
        <v>13</v>
      </c>
      <c r="B80" s="59">
        <f>COUNTIF(Customers!$B$2:$B$990,A80)</f>
        <v>0</v>
      </c>
    </row>
    <row r="81" spans="1:8" x14ac:dyDescent="0.3">
      <c r="A81" s="68">
        <v>14</v>
      </c>
      <c r="B81" s="59">
        <f>COUNTIF(Customers!$B$2:$B$990,A81)</f>
        <v>1</v>
      </c>
    </row>
    <row r="85" spans="1:8" ht="14.5" x14ac:dyDescent="0.35">
      <c r="A85" s="57" t="s">
        <v>4</v>
      </c>
      <c r="B85" s="67" t="s">
        <v>15</v>
      </c>
      <c r="C85" s="67" t="s">
        <v>16</v>
      </c>
      <c r="D85" s="67" t="s">
        <v>17</v>
      </c>
      <c r="E85" s="67" t="s">
        <v>248</v>
      </c>
      <c r="F85" s="67" t="s">
        <v>273</v>
      </c>
      <c r="G85" s="67" t="s">
        <v>20</v>
      </c>
      <c r="H85" s="67" t="s">
        <v>29</v>
      </c>
    </row>
    <row r="86" spans="1:8" x14ac:dyDescent="0.3">
      <c r="A86" s="72" t="s">
        <v>74</v>
      </c>
      <c r="B86" s="59">
        <f>COUNTIFS(Data!$U$2:$U$5001,1,Data!$E$2:$E$5001,A86)</f>
        <v>1289</v>
      </c>
      <c r="C86" s="59">
        <f>SUMIFS(Data!$L$2:$L$5001,Data!$U$2:$U$5001,1,Data!$E$2:$E$5001,A86)</f>
        <v>1345582.1599999997</v>
      </c>
      <c r="D86" s="63">
        <f>IFERROR(C86/SUM($C$86:$C$89),0)</f>
        <v>0.26333487582764237</v>
      </c>
      <c r="E86" s="59">
        <f>SUMIFS(Data!$P$2:$P$5001,Data!$U$2:$U$5001,1,Data!$E$2:$E$5001,A86)</f>
        <v>1640762.0100000002</v>
      </c>
      <c r="F86" s="63">
        <f>IFERROR((C86-$B$6*E86)/C86,0)</f>
        <v>0.14644126450071218</v>
      </c>
      <c r="G86" s="66">
        <f>IFERROR(AVERAGEIFS(Data!$K$2:$K$5001,Data!$U$2:$U$5001,1,Data!$E$2:$E$5001,A86),0)</f>
        <v>2.9615205585725382</v>
      </c>
      <c r="H86" s="64">
        <f>IFERROR(AVERAGEIFS(Data!$J$2:$J$5001,Data!$U$2:$U$5001,1,Data!$E$2:$E$5001,A86),0)</f>
        <v>6.0822342901474009</v>
      </c>
    </row>
    <row r="87" spans="1:8" x14ac:dyDescent="0.3">
      <c r="A87" s="72" t="s">
        <v>78</v>
      </c>
      <c r="B87" s="59">
        <f>COUNTIFS(Data!$U$2:$U$5001,1,Data!$E$2:$E$5001,A87)</f>
        <v>1276</v>
      </c>
      <c r="C87" s="59">
        <f>SUMIFS(Data!$L$2:$L$5001,Data!$U$2:$U$5001,1,Data!$E$2:$E$5001,A87)</f>
        <v>1281508.4500000007</v>
      </c>
      <c r="D87" s="63">
        <f>IFERROR(C87/SUM($C$86:$C$89),0)</f>
        <v>0.25079543901862128</v>
      </c>
      <c r="E87" s="59">
        <f>SUMIFS(Data!$P$2:$P$5001,Data!$U$2:$U$5001,1,Data!$E$2:$E$5001,A87)</f>
        <v>1566659.9900000014</v>
      </c>
      <c r="F87" s="63">
        <f>IFERROR((C87-$B$6*E87)/C87,0)</f>
        <v>0.14424130952862591</v>
      </c>
      <c r="G87" s="66">
        <f>IFERROR(AVERAGEIFS(Data!$K$2:$K$5001,Data!$U$2:$U$5001,1,Data!$E$2:$E$5001,A87),0)</f>
        <v>2.9931818181818177</v>
      </c>
      <c r="H87" s="64">
        <f>IFERROR(AVERAGEIFS(Data!$J$2:$J$5001,Data!$U$2:$U$5001,1,Data!$E$2:$E$5001,A87),0)</f>
        <v>6.1183385579937308</v>
      </c>
    </row>
    <row r="88" spans="1:8" x14ac:dyDescent="0.3">
      <c r="A88" s="72" t="s">
        <v>63</v>
      </c>
      <c r="B88" s="59">
        <f>COUNTIFS(Data!$U$2:$U$5001,1,Data!$E$2:$E$5001,A88)</f>
        <v>1208</v>
      </c>
      <c r="C88" s="59">
        <f>SUMIFS(Data!$L$2:$L$5001,Data!$U$2:$U$5001,1,Data!$E$2:$E$5001,A88)</f>
        <v>1246640.9000000015</v>
      </c>
      <c r="D88" s="63">
        <f>IFERROR(C88/SUM($C$86:$C$89),0)</f>
        <v>0.24397174424723408</v>
      </c>
      <c r="E88" s="59">
        <f>SUMIFS(Data!$P$2:$P$5001,Data!$U$2:$U$5001,1,Data!$E$2:$E$5001,A88)</f>
        <v>1517429.3900000036</v>
      </c>
      <c r="F88" s="63">
        <f>IFERROR((C88-$B$6*E88)/C88,0)</f>
        <v>0.14794984425747534</v>
      </c>
      <c r="G88" s="66">
        <f>IFERROR(AVERAGEIFS(Data!$K$2:$K$5001,Data!$U$2:$U$5001,1,Data!$E$2:$E$5001,A88),0)</f>
        <v>2.9677980132450315</v>
      </c>
      <c r="H88" s="64">
        <f>IFERROR(AVERAGEIFS(Data!$J$2:$J$5001,Data!$U$2:$U$5001,1,Data!$E$2:$E$5001,A88),0)</f>
        <v>6.173013245033113</v>
      </c>
    </row>
    <row r="89" spans="1:8" x14ac:dyDescent="0.3">
      <c r="A89" s="72" t="s">
        <v>70</v>
      </c>
      <c r="B89" s="59">
        <f>COUNTIFS(Data!$U$2:$U$5001,1,Data!$E$2:$E$5001,A89)</f>
        <v>1227</v>
      </c>
      <c r="C89" s="59">
        <f>SUMIFS(Data!$L$2:$L$5001,Data!$U$2:$U$5001,1,Data!$E$2:$E$5001,A89)</f>
        <v>1236044.2299999995</v>
      </c>
      <c r="D89" s="63">
        <f>IFERROR(C89/SUM($C$86:$C$89),0)</f>
        <v>0.24189794090650232</v>
      </c>
      <c r="E89" s="59">
        <f>SUMIFS(Data!$P$2:$P$5001,Data!$U$2:$U$5001,1,Data!$E$2:$E$5001,A89)</f>
        <v>1515170.57</v>
      </c>
      <c r="F89" s="63">
        <f>IFERROR((C89-$B$6*E89)/C89,0)</f>
        <v>0.14192439618443073</v>
      </c>
      <c r="G89" s="66">
        <f>IFERROR(AVERAGEIFS(Data!$K$2:$K$5001,Data!$U$2:$U$5001,1,Data!$E$2:$E$5001,A89),0)</f>
        <v>2.9731866340668298</v>
      </c>
      <c r="H89" s="64">
        <f>IFERROR(AVERAGEIFS(Data!$J$2:$J$5001,Data!$U$2:$U$5001,1,Data!$E$2:$E$5001,A89),0)</f>
        <v>6.1043194784026076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90"/>
  <sheetViews>
    <sheetView zoomScaleNormal="100" workbookViewId="0">
      <pane ySplit="1" topLeftCell="A954" activePane="bottomLeft" state="frozen"/>
      <selection pane="bottomLeft" activeCell="C985" sqref="C985"/>
    </sheetView>
  </sheetViews>
  <sheetFormatPr defaultColWidth="8.6328125" defaultRowHeight="14.5" x14ac:dyDescent="0.35"/>
  <cols>
    <col min="1" max="3" width="24" customWidth="1"/>
  </cols>
  <sheetData>
    <row r="1" spans="1:3" ht="28" x14ac:dyDescent="0.35">
      <c r="A1" s="3" t="s">
        <v>42</v>
      </c>
      <c r="B1" s="3" t="s">
        <v>289</v>
      </c>
      <c r="C1" s="3" t="s">
        <v>290</v>
      </c>
    </row>
    <row r="2" spans="1:3" x14ac:dyDescent="0.35">
      <c r="A2" s="4">
        <v>1000</v>
      </c>
      <c r="B2" s="4">
        <f>COUNTIFS(Data!$C$2:$C$5001,A2,Data!$U$2:$U$5001,1)</f>
        <v>9</v>
      </c>
      <c r="C2" s="5">
        <f>SUMIFS(Data!$L$2:$L$5001,Data!$C$2:$C$5001,A2,Data!$U$2:$U$5001,1)</f>
        <v>6905.58</v>
      </c>
    </row>
    <row r="3" spans="1:3" x14ac:dyDescent="0.35">
      <c r="A3" s="4">
        <v>1001</v>
      </c>
      <c r="B3" s="4">
        <f>COUNTIFS(Data!$C$2:$C$5001,A3,Data!$U$2:$U$5001,1)</f>
        <v>6</v>
      </c>
      <c r="C3" s="5">
        <f>SUMIFS(Data!$L$2:$L$5001,Data!$C$2:$C$5001,A3,Data!$U$2:$U$5001,1)</f>
        <v>3959.74</v>
      </c>
    </row>
    <row r="4" spans="1:3" x14ac:dyDescent="0.35">
      <c r="A4" s="4">
        <v>1002</v>
      </c>
      <c r="B4" s="4">
        <f>COUNTIFS(Data!$C$2:$C$5001,A4,Data!$U$2:$U$5001,1)</f>
        <v>4</v>
      </c>
      <c r="C4" s="5">
        <f>SUMIFS(Data!$L$2:$L$5001,Data!$C$2:$C$5001,A4,Data!$U$2:$U$5001,1)</f>
        <v>1579.67</v>
      </c>
    </row>
    <row r="5" spans="1:3" x14ac:dyDescent="0.35">
      <c r="A5" s="4">
        <v>1003</v>
      </c>
      <c r="B5" s="4">
        <f>COUNTIFS(Data!$C$2:$C$5001,A5,Data!$U$2:$U$5001,1)</f>
        <v>2</v>
      </c>
      <c r="C5" s="5">
        <f>SUMIFS(Data!$L$2:$L$5001,Data!$C$2:$C$5001,A5,Data!$U$2:$U$5001,1)</f>
        <v>2304.44</v>
      </c>
    </row>
    <row r="6" spans="1:3" x14ac:dyDescent="0.35">
      <c r="A6" s="4">
        <v>1004</v>
      </c>
      <c r="B6" s="4">
        <f>COUNTIFS(Data!$C$2:$C$5001,A6,Data!$U$2:$U$5001,1)</f>
        <v>5</v>
      </c>
      <c r="C6" s="5">
        <f>SUMIFS(Data!$L$2:$L$5001,Data!$C$2:$C$5001,A6,Data!$U$2:$U$5001,1)</f>
        <v>6073.85</v>
      </c>
    </row>
    <row r="7" spans="1:3" x14ac:dyDescent="0.35">
      <c r="A7" s="4">
        <v>1005</v>
      </c>
      <c r="B7" s="4">
        <f>COUNTIFS(Data!$C$2:$C$5001,A7,Data!$U$2:$U$5001,1)</f>
        <v>1</v>
      </c>
      <c r="C7" s="5">
        <f>SUMIFS(Data!$L$2:$L$5001,Data!$C$2:$C$5001,A7,Data!$U$2:$U$5001,1)</f>
        <v>1064.95</v>
      </c>
    </row>
    <row r="8" spans="1:3" x14ac:dyDescent="0.35">
      <c r="A8" s="4">
        <v>1006</v>
      </c>
      <c r="B8" s="4">
        <f>COUNTIFS(Data!$C$2:$C$5001,A8,Data!$U$2:$U$5001,1)</f>
        <v>7</v>
      </c>
      <c r="C8" s="5">
        <f>SUMIFS(Data!$L$2:$L$5001,Data!$C$2:$C$5001,A8,Data!$U$2:$U$5001,1)</f>
        <v>4970.2299999999996</v>
      </c>
    </row>
    <row r="9" spans="1:3" x14ac:dyDescent="0.35">
      <c r="A9" s="4">
        <v>1007</v>
      </c>
      <c r="B9" s="4">
        <f>COUNTIFS(Data!$C$2:$C$5001,A9,Data!$U$2:$U$5001,1)</f>
        <v>7</v>
      </c>
      <c r="C9" s="5">
        <f>SUMIFS(Data!$L$2:$L$5001,Data!$C$2:$C$5001,A9,Data!$U$2:$U$5001,1)</f>
        <v>3919.8799999999992</v>
      </c>
    </row>
    <row r="10" spans="1:3" x14ac:dyDescent="0.35">
      <c r="A10" s="4">
        <v>1008</v>
      </c>
      <c r="B10" s="4">
        <f>COUNTIFS(Data!$C$2:$C$5001,A10,Data!$U$2:$U$5001,1)</f>
        <v>3</v>
      </c>
      <c r="C10" s="5">
        <f>SUMIFS(Data!$L$2:$L$5001,Data!$C$2:$C$5001,A10,Data!$U$2:$U$5001,1)</f>
        <v>3078.4599999999996</v>
      </c>
    </row>
    <row r="11" spans="1:3" x14ac:dyDescent="0.35">
      <c r="A11" s="4">
        <v>1009</v>
      </c>
      <c r="B11" s="4">
        <f>COUNTIFS(Data!$C$2:$C$5001,A11,Data!$U$2:$U$5001,1)</f>
        <v>6</v>
      </c>
      <c r="C11" s="5">
        <f>SUMIFS(Data!$L$2:$L$5001,Data!$C$2:$C$5001,A11,Data!$U$2:$U$5001,1)</f>
        <v>5177.07</v>
      </c>
    </row>
    <row r="12" spans="1:3" x14ac:dyDescent="0.35">
      <c r="A12" s="4">
        <v>1010</v>
      </c>
      <c r="B12" s="4">
        <f>COUNTIFS(Data!$C$2:$C$5001,A12,Data!$U$2:$U$5001,1)</f>
        <v>4</v>
      </c>
      <c r="C12" s="5">
        <f>SUMIFS(Data!$L$2:$L$5001,Data!$C$2:$C$5001,A12,Data!$U$2:$U$5001,1)</f>
        <v>3684.75</v>
      </c>
    </row>
    <row r="13" spans="1:3" x14ac:dyDescent="0.35">
      <c r="A13" s="4">
        <v>1011</v>
      </c>
      <c r="B13" s="4">
        <f>COUNTIFS(Data!$C$2:$C$5001,A13,Data!$U$2:$U$5001,1)</f>
        <v>10</v>
      </c>
      <c r="C13" s="5">
        <f>SUMIFS(Data!$L$2:$L$5001,Data!$C$2:$C$5001,A13,Data!$U$2:$U$5001,1)</f>
        <v>11370.62</v>
      </c>
    </row>
    <row r="14" spans="1:3" x14ac:dyDescent="0.35">
      <c r="A14" s="4">
        <v>1012</v>
      </c>
      <c r="B14" s="4">
        <f>COUNTIFS(Data!$C$2:$C$5001,A14,Data!$U$2:$U$5001,1)</f>
        <v>5</v>
      </c>
      <c r="C14" s="5">
        <f>SUMIFS(Data!$L$2:$L$5001,Data!$C$2:$C$5001,A14,Data!$U$2:$U$5001,1)</f>
        <v>3377.36</v>
      </c>
    </row>
    <row r="15" spans="1:3" x14ac:dyDescent="0.35">
      <c r="A15" s="4">
        <v>1013</v>
      </c>
      <c r="B15" s="4">
        <f>COUNTIFS(Data!$C$2:$C$5001,A15,Data!$U$2:$U$5001,1)</f>
        <v>4</v>
      </c>
      <c r="C15" s="5">
        <f>SUMIFS(Data!$L$2:$L$5001,Data!$C$2:$C$5001,A15,Data!$U$2:$U$5001,1)</f>
        <v>4958.0199999999995</v>
      </c>
    </row>
    <row r="16" spans="1:3" x14ac:dyDescent="0.35">
      <c r="A16" s="4">
        <v>1014</v>
      </c>
      <c r="B16" s="4">
        <f>COUNTIFS(Data!$C$2:$C$5001,A16,Data!$U$2:$U$5001,1)</f>
        <v>5</v>
      </c>
      <c r="C16" s="5">
        <f>SUMIFS(Data!$L$2:$L$5001,Data!$C$2:$C$5001,A16,Data!$U$2:$U$5001,1)</f>
        <v>5894.48</v>
      </c>
    </row>
    <row r="17" spans="1:3" x14ac:dyDescent="0.35">
      <c r="A17" s="4">
        <v>1015</v>
      </c>
      <c r="B17" s="4">
        <f>COUNTIFS(Data!$C$2:$C$5001,A17,Data!$U$2:$U$5001,1)</f>
        <v>5</v>
      </c>
      <c r="C17" s="5">
        <f>SUMIFS(Data!$L$2:$L$5001,Data!$C$2:$C$5001,A17,Data!$U$2:$U$5001,1)</f>
        <v>3075.75</v>
      </c>
    </row>
    <row r="18" spans="1:3" x14ac:dyDescent="0.35">
      <c r="A18" s="4">
        <v>1016</v>
      </c>
      <c r="B18" s="4">
        <f>COUNTIFS(Data!$C$2:$C$5001,A18,Data!$U$2:$U$5001,1)</f>
        <v>8</v>
      </c>
      <c r="C18" s="5">
        <f>SUMIFS(Data!$L$2:$L$5001,Data!$C$2:$C$5001,A18,Data!$U$2:$U$5001,1)</f>
        <v>7948.7800000000007</v>
      </c>
    </row>
    <row r="19" spans="1:3" x14ac:dyDescent="0.35">
      <c r="A19" s="4">
        <v>1017</v>
      </c>
      <c r="B19" s="4">
        <f>COUNTIFS(Data!$C$2:$C$5001,A19,Data!$U$2:$U$5001,1)</f>
        <v>2</v>
      </c>
      <c r="C19" s="5">
        <f>SUMIFS(Data!$L$2:$L$5001,Data!$C$2:$C$5001,A19,Data!$U$2:$U$5001,1)</f>
        <v>538.42000000000007</v>
      </c>
    </row>
    <row r="20" spans="1:3" x14ac:dyDescent="0.35">
      <c r="A20" s="4">
        <v>1018</v>
      </c>
      <c r="B20" s="4">
        <f>COUNTIFS(Data!$C$2:$C$5001,A20,Data!$U$2:$U$5001,1)</f>
        <v>7</v>
      </c>
      <c r="C20" s="5">
        <f>SUMIFS(Data!$L$2:$L$5001,Data!$C$2:$C$5001,A20,Data!$U$2:$U$5001,1)</f>
        <v>6784.6399999999994</v>
      </c>
    </row>
    <row r="21" spans="1:3" x14ac:dyDescent="0.35">
      <c r="A21" s="4">
        <v>1019</v>
      </c>
      <c r="B21" s="4">
        <f>COUNTIFS(Data!$C$2:$C$5001,A21,Data!$U$2:$U$5001,1)</f>
        <v>7</v>
      </c>
      <c r="C21" s="5">
        <f>SUMIFS(Data!$L$2:$L$5001,Data!$C$2:$C$5001,A21,Data!$U$2:$U$5001,1)</f>
        <v>8337.77</v>
      </c>
    </row>
    <row r="22" spans="1:3" x14ac:dyDescent="0.35">
      <c r="A22" s="4">
        <v>1020</v>
      </c>
      <c r="B22" s="4">
        <f>COUNTIFS(Data!$C$2:$C$5001,A22,Data!$U$2:$U$5001,1)</f>
        <v>7</v>
      </c>
      <c r="C22" s="5">
        <f>SUMIFS(Data!$L$2:$L$5001,Data!$C$2:$C$5001,A22,Data!$U$2:$U$5001,1)</f>
        <v>4933.2699999999995</v>
      </c>
    </row>
    <row r="23" spans="1:3" x14ac:dyDescent="0.35">
      <c r="A23" s="4">
        <v>1021</v>
      </c>
      <c r="B23" s="4">
        <f>COUNTIFS(Data!$C$2:$C$5001,A23,Data!$U$2:$U$5001,1)</f>
        <v>7</v>
      </c>
      <c r="C23" s="5">
        <f>SUMIFS(Data!$L$2:$L$5001,Data!$C$2:$C$5001,A23,Data!$U$2:$U$5001,1)</f>
        <v>3335.56</v>
      </c>
    </row>
    <row r="24" spans="1:3" x14ac:dyDescent="0.35">
      <c r="A24" s="4">
        <v>1022</v>
      </c>
      <c r="B24" s="4">
        <f>COUNTIFS(Data!$C$2:$C$5001,A24,Data!$U$2:$U$5001,1)</f>
        <v>6</v>
      </c>
      <c r="C24" s="5">
        <f>SUMIFS(Data!$L$2:$L$5001,Data!$C$2:$C$5001,A24,Data!$U$2:$U$5001,1)</f>
        <v>6037.79</v>
      </c>
    </row>
    <row r="25" spans="1:3" x14ac:dyDescent="0.35">
      <c r="A25" s="4">
        <v>1023</v>
      </c>
      <c r="B25" s="4">
        <f>COUNTIFS(Data!$C$2:$C$5001,A25,Data!$U$2:$U$5001,1)</f>
        <v>1</v>
      </c>
      <c r="C25" s="5">
        <f>SUMIFS(Data!$L$2:$L$5001,Data!$C$2:$C$5001,A25,Data!$U$2:$U$5001,1)</f>
        <v>888.57</v>
      </c>
    </row>
    <row r="26" spans="1:3" x14ac:dyDescent="0.35">
      <c r="A26" s="4">
        <v>1024</v>
      </c>
      <c r="B26" s="4">
        <f>COUNTIFS(Data!$C$2:$C$5001,A26,Data!$U$2:$U$5001,1)</f>
        <v>6</v>
      </c>
      <c r="C26" s="5">
        <f>SUMIFS(Data!$L$2:$L$5001,Data!$C$2:$C$5001,A26,Data!$U$2:$U$5001,1)</f>
        <v>6774.02</v>
      </c>
    </row>
    <row r="27" spans="1:3" x14ac:dyDescent="0.35">
      <c r="A27" s="4">
        <v>1025</v>
      </c>
      <c r="B27" s="4">
        <f>COUNTIFS(Data!$C$2:$C$5001,A27,Data!$U$2:$U$5001,1)</f>
        <v>5</v>
      </c>
      <c r="C27" s="5">
        <f>SUMIFS(Data!$L$2:$L$5001,Data!$C$2:$C$5001,A27,Data!$U$2:$U$5001,1)</f>
        <v>5261.35</v>
      </c>
    </row>
    <row r="28" spans="1:3" x14ac:dyDescent="0.35">
      <c r="A28" s="4">
        <v>1026</v>
      </c>
      <c r="B28" s="4">
        <f>COUNTIFS(Data!$C$2:$C$5001,A28,Data!$U$2:$U$5001,1)</f>
        <v>3</v>
      </c>
      <c r="C28" s="5">
        <f>SUMIFS(Data!$L$2:$L$5001,Data!$C$2:$C$5001,A28,Data!$U$2:$U$5001,1)</f>
        <v>657.01</v>
      </c>
    </row>
    <row r="29" spans="1:3" x14ac:dyDescent="0.35">
      <c r="A29" s="4">
        <v>1027</v>
      </c>
      <c r="B29" s="4">
        <f>COUNTIFS(Data!$C$2:$C$5001,A29,Data!$U$2:$U$5001,1)</f>
        <v>6</v>
      </c>
      <c r="C29" s="5">
        <f>SUMIFS(Data!$L$2:$L$5001,Data!$C$2:$C$5001,A29,Data!$U$2:$U$5001,1)</f>
        <v>6263.6900000000005</v>
      </c>
    </row>
    <row r="30" spans="1:3" x14ac:dyDescent="0.35">
      <c r="A30" s="4">
        <v>1028</v>
      </c>
      <c r="B30" s="4">
        <f>COUNTIFS(Data!$C$2:$C$5001,A30,Data!$U$2:$U$5001,1)</f>
        <v>7</v>
      </c>
      <c r="C30" s="5">
        <f>SUMIFS(Data!$L$2:$L$5001,Data!$C$2:$C$5001,A30,Data!$U$2:$U$5001,1)</f>
        <v>8562.7199999999993</v>
      </c>
    </row>
    <row r="31" spans="1:3" x14ac:dyDescent="0.35">
      <c r="A31" s="4">
        <v>1029</v>
      </c>
      <c r="B31" s="4">
        <f>COUNTIFS(Data!$C$2:$C$5001,A31,Data!$U$2:$U$5001,1)</f>
        <v>2</v>
      </c>
      <c r="C31" s="5">
        <f>SUMIFS(Data!$L$2:$L$5001,Data!$C$2:$C$5001,A31,Data!$U$2:$U$5001,1)</f>
        <v>3801.62</v>
      </c>
    </row>
    <row r="32" spans="1:3" x14ac:dyDescent="0.35">
      <c r="A32" s="4">
        <v>1030</v>
      </c>
      <c r="B32" s="4">
        <f>COUNTIFS(Data!$C$2:$C$5001,A32,Data!$U$2:$U$5001,1)</f>
        <v>2</v>
      </c>
      <c r="C32" s="5">
        <f>SUMIFS(Data!$L$2:$L$5001,Data!$C$2:$C$5001,A32,Data!$U$2:$U$5001,1)</f>
        <v>1765.89</v>
      </c>
    </row>
    <row r="33" spans="1:3" x14ac:dyDescent="0.35">
      <c r="A33" s="4">
        <v>1031</v>
      </c>
      <c r="B33" s="4">
        <f>COUNTIFS(Data!$C$2:$C$5001,A33,Data!$U$2:$U$5001,1)</f>
        <v>2</v>
      </c>
      <c r="C33" s="5">
        <f>SUMIFS(Data!$L$2:$L$5001,Data!$C$2:$C$5001,A33,Data!$U$2:$U$5001,1)</f>
        <v>378.22</v>
      </c>
    </row>
    <row r="34" spans="1:3" x14ac:dyDescent="0.35">
      <c r="A34" s="4">
        <v>1032</v>
      </c>
      <c r="B34" s="4">
        <f>COUNTIFS(Data!$C$2:$C$5001,A34,Data!$U$2:$U$5001,1)</f>
        <v>3</v>
      </c>
      <c r="C34" s="5">
        <f>SUMIFS(Data!$L$2:$L$5001,Data!$C$2:$C$5001,A34,Data!$U$2:$U$5001,1)</f>
        <v>2956.51</v>
      </c>
    </row>
    <row r="35" spans="1:3" x14ac:dyDescent="0.35">
      <c r="A35" s="4">
        <v>1033</v>
      </c>
      <c r="B35" s="4">
        <f>COUNTIFS(Data!$C$2:$C$5001,A35,Data!$U$2:$U$5001,1)</f>
        <v>3</v>
      </c>
      <c r="C35" s="5">
        <f>SUMIFS(Data!$L$2:$L$5001,Data!$C$2:$C$5001,A35,Data!$U$2:$U$5001,1)</f>
        <v>2691.0299999999997</v>
      </c>
    </row>
    <row r="36" spans="1:3" x14ac:dyDescent="0.35">
      <c r="A36" s="4">
        <v>1034</v>
      </c>
      <c r="B36" s="4">
        <f>COUNTIFS(Data!$C$2:$C$5001,A36,Data!$U$2:$U$5001,1)</f>
        <v>7</v>
      </c>
      <c r="C36" s="5">
        <f>SUMIFS(Data!$L$2:$L$5001,Data!$C$2:$C$5001,A36,Data!$U$2:$U$5001,1)</f>
        <v>6835.5699999999988</v>
      </c>
    </row>
    <row r="37" spans="1:3" x14ac:dyDescent="0.35">
      <c r="A37" s="4">
        <v>1035</v>
      </c>
      <c r="B37" s="4">
        <f>COUNTIFS(Data!$C$2:$C$5001,A37,Data!$U$2:$U$5001,1)</f>
        <v>4</v>
      </c>
      <c r="C37" s="5">
        <f>SUMIFS(Data!$L$2:$L$5001,Data!$C$2:$C$5001,A37,Data!$U$2:$U$5001,1)</f>
        <v>2711.59</v>
      </c>
    </row>
    <row r="38" spans="1:3" x14ac:dyDescent="0.35">
      <c r="A38" s="4">
        <v>1036</v>
      </c>
      <c r="B38" s="4">
        <f>COUNTIFS(Data!$C$2:$C$5001,A38,Data!$U$2:$U$5001,1)</f>
        <v>5</v>
      </c>
      <c r="C38" s="5">
        <f>SUMIFS(Data!$L$2:$L$5001,Data!$C$2:$C$5001,A38,Data!$U$2:$U$5001,1)</f>
        <v>7658.3600000000006</v>
      </c>
    </row>
    <row r="39" spans="1:3" x14ac:dyDescent="0.35">
      <c r="A39" s="4">
        <v>1037</v>
      </c>
      <c r="B39" s="4">
        <f>COUNTIFS(Data!$C$2:$C$5001,A39,Data!$U$2:$U$5001,1)</f>
        <v>3</v>
      </c>
      <c r="C39" s="5">
        <f>SUMIFS(Data!$L$2:$L$5001,Data!$C$2:$C$5001,A39,Data!$U$2:$U$5001,1)</f>
        <v>6012.76</v>
      </c>
    </row>
    <row r="40" spans="1:3" x14ac:dyDescent="0.35">
      <c r="A40" s="4">
        <v>1038</v>
      </c>
      <c r="B40" s="4">
        <f>COUNTIFS(Data!$C$2:$C$5001,A40,Data!$U$2:$U$5001,1)</f>
        <v>12</v>
      </c>
      <c r="C40" s="5">
        <f>SUMIFS(Data!$L$2:$L$5001,Data!$C$2:$C$5001,A40,Data!$U$2:$U$5001,1)</f>
        <v>10483.209999999999</v>
      </c>
    </row>
    <row r="41" spans="1:3" x14ac:dyDescent="0.35">
      <c r="A41" s="4">
        <v>1039</v>
      </c>
      <c r="B41" s="4">
        <f>COUNTIFS(Data!$C$2:$C$5001,A41,Data!$U$2:$U$5001,1)</f>
        <v>6</v>
      </c>
      <c r="C41" s="5">
        <f>SUMIFS(Data!$L$2:$L$5001,Data!$C$2:$C$5001,A41,Data!$U$2:$U$5001,1)</f>
        <v>6860.4699999999993</v>
      </c>
    </row>
    <row r="42" spans="1:3" x14ac:dyDescent="0.35">
      <c r="A42" s="4">
        <v>1040</v>
      </c>
      <c r="B42" s="4">
        <f>COUNTIFS(Data!$C$2:$C$5001,A42,Data!$U$2:$U$5001,1)</f>
        <v>9</v>
      </c>
      <c r="C42" s="5">
        <f>SUMIFS(Data!$L$2:$L$5001,Data!$C$2:$C$5001,A42,Data!$U$2:$U$5001,1)</f>
        <v>8055.9</v>
      </c>
    </row>
    <row r="43" spans="1:3" x14ac:dyDescent="0.35">
      <c r="A43" s="4">
        <v>1041</v>
      </c>
      <c r="B43" s="4">
        <f>COUNTIFS(Data!$C$2:$C$5001,A43,Data!$U$2:$U$5001,1)</f>
        <v>5</v>
      </c>
      <c r="C43" s="5">
        <f>SUMIFS(Data!$L$2:$L$5001,Data!$C$2:$C$5001,A43,Data!$U$2:$U$5001,1)</f>
        <v>3448.6400000000003</v>
      </c>
    </row>
    <row r="44" spans="1:3" x14ac:dyDescent="0.35">
      <c r="A44" s="4">
        <v>1042</v>
      </c>
      <c r="B44" s="4">
        <f>COUNTIFS(Data!$C$2:$C$5001,A44,Data!$U$2:$U$5001,1)</f>
        <v>6</v>
      </c>
      <c r="C44" s="5">
        <f>SUMIFS(Data!$L$2:$L$5001,Data!$C$2:$C$5001,A44,Data!$U$2:$U$5001,1)</f>
        <v>3395.35</v>
      </c>
    </row>
    <row r="45" spans="1:3" x14ac:dyDescent="0.35">
      <c r="A45" s="4">
        <v>1043</v>
      </c>
      <c r="B45" s="4">
        <f>COUNTIFS(Data!$C$2:$C$5001,A45,Data!$U$2:$U$5001,1)</f>
        <v>3</v>
      </c>
      <c r="C45" s="5">
        <f>SUMIFS(Data!$L$2:$L$5001,Data!$C$2:$C$5001,A45,Data!$U$2:$U$5001,1)</f>
        <v>4165.04</v>
      </c>
    </row>
    <row r="46" spans="1:3" x14ac:dyDescent="0.35">
      <c r="A46" s="4">
        <v>1044</v>
      </c>
      <c r="B46" s="4">
        <f>COUNTIFS(Data!$C$2:$C$5001,A46,Data!$U$2:$U$5001,1)</f>
        <v>1</v>
      </c>
      <c r="C46" s="5">
        <f>SUMIFS(Data!$L$2:$L$5001,Data!$C$2:$C$5001,A46,Data!$U$2:$U$5001,1)</f>
        <v>1769.17</v>
      </c>
    </row>
    <row r="47" spans="1:3" x14ac:dyDescent="0.35">
      <c r="A47" s="4">
        <v>1045</v>
      </c>
      <c r="B47" s="4">
        <f>COUNTIFS(Data!$C$2:$C$5001,A47,Data!$U$2:$U$5001,1)</f>
        <v>4</v>
      </c>
      <c r="C47" s="5">
        <f>SUMIFS(Data!$L$2:$L$5001,Data!$C$2:$C$5001,A47,Data!$U$2:$U$5001,1)</f>
        <v>6085.670000000001</v>
      </c>
    </row>
    <row r="48" spans="1:3" x14ac:dyDescent="0.35">
      <c r="A48" s="4">
        <v>1046</v>
      </c>
      <c r="B48" s="4">
        <f>COUNTIFS(Data!$C$2:$C$5001,A48,Data!$U$2:$U$5001,1)</f>
        <v>9</v>
      </c>
      <c r="C48" s="5">
        <f>SUMIFS(Data!$L$2:$L$5001,Data!$C$2:$C$5001,A48,Data!$U$2:$U$5001,1)</f>
        <v>8283.61</v>
      </c>
    </row>
    <row r="49" spans="1:3" x14ac:dyDescent="0.35">
      <c r="A49" s="4">
        <v>1047</v>
      </c>
      <c r="B49" s="4">
        <f>COUNTIFS(Data!$C$2:$C$5001,A49,Data!$U$2:$U$5001,1)</f>
        <v>3</v>
      </c>
      <c r="C49" s="5">
        <f>SUMIFS(Data!$L$2:$L$5001,Data!$C$2:$C$5001,A49,Data!$U$2:$U$5001,1)</f>
        <v>1400.79</v>
      </c>
    </row>
    <row r="50" spans="1:3" x14ac:dyDescent="0.35">
      <c r="A50" s="4">
        <v>1048</v>
      </c>
      <c r="B50" s="4">
        <f>COUNTIFS(Data!$C$2:$C$5001,A50,Data!$U$2:$U$5001,1)</f>
        <v>6</v>
      </c>
      <c r="C50" s="5">
        <f>SUMIFS(Data!$L$2:$L$5001,Data!$C$2:$C$5001,A50,Data!$U$2:$U$5001,1)</f>
        <v>4335.79</v>
      </c>
    </row>
    <row r="51" spans="1:3" x14ac:dyDescent="0.35">
      <c r="A51" s="4">
        <v>1049</v>
      </c>
      <c r="B51" s="4">
        <f>COUNTIFS(Data!$C$2:$C$5001,A51,Data!$U$2:$U$5001,1)</f>
        <v>2</v>
      </c>
      <c r="C51" s="5">
        <f>SUMIFS(Data!$L$2:$L$5001,Data!$C$2:$C$5001,A51,Data!$U$2:$U$5001,1)</f>
        <v>3294.71</v>
      </c>
    </row>
    <row r="52" spans="1:3" x14ac:dyDescent="0.35">
      <c r="A52" s="4">
        <v>1050</v>
      </c>
      <c r="B52" s="4">
        <f>COUNTIFS(Data!$C$2:$C$5001,A52,Data!$U$2:$U$5001,1)</f>
        <v>6</v>
      </c>
      <c r="C52" s="5">
        <f>SUMIFS(Data!$L$2:$L$5001,Data!$C$2:$C$5001,A52,Data!$U$2:$U$5001,1)</f>
        <v>6449.3600000000006</v>
      </c>
    </row>
    <row r="53" spans="1:3" x14ac:dyDescent="0.35">
      <c r="A53" s="4">
        <v>1052</v>
      </c>
      <c r="B53" s="4">
        <f>COUNTIFS(Data!$C$2:$C$5001,A53,Data!$U$2:$U$5001,1)</f>
        <v>6</v>
      </c>
      <c r="C53" s="5">
        <f>SUMIFS(Data!$L$2:$L$5001,Data!$C$2:$C$5001,A53,Data!$U$2:$U$5001,1)</f>
        <v>6596.9100000000008</v>
      </c>
    </row>
    <row r="54" spans="1:3" x14ac:dyDescent="0.35">
      <c r="A54" s="4">
        <v>1053</v>
      </c>
      <c r="B54" s="4">
        <f>COUNTIFS(Data!$C$2:$C$5001,A54,Data!$U$2:$U$5001,1)</f>
        <v>5</v>
      </c>
      <c r="C54" s="5">
        <f>SUMIFS(Data!$L$2:$L$5001,Data!$C$2:$C$5001,A54,Data!$U$2:$U$5001,1)</f>
        <v>6242.77</v>
      </c>
    </row>
    <row r="55" spans="1:3" x14ac:dyDescent="0.35">
      <c r="A55" s="4">
        <v>1054</v>
      </c>
      <c r="B55" s="4">
        <f>COUNTIFS(Data!$C$2:$C$5001,A55,Data!$U$2:$U$5001,1)</f>
        <v>5</v>
      </c>
      <c r="C55" s="5">
        <f>SUMIFS(Data!$L$2:$L$5001,Data!$C$2:$C$5001,A55,Data!$U$2:$U$5001,1)</f>
        <v>5508.23</v>
      </c>
    </row>
    <row r="56" spans="1:3" x14ac:dyDescent="0.35">
      <c r="A56" s="4">
        <v>1055</v>
      </c>
      <c r="B56" s="4">
        <f>COUNTIFS(Data!$C$2:$C$5001,A56,Data!$U$2:$U$5001,1)</f>
        <v>3</v>
      </c>
      <c r="C56" s="5">
        <f>SUMIFS(Data!$L$2:$L$5001,Data!$C$2:$C$5001,A56,Data!$U$2:$U$5001,1)</f>
        <v>2017.58</v>
      </c>
    </row>
    <row r="57" spans="1:3" x14ac:dyDescent="0.35">
      <c r="A57" s="4">
        <v>1056</v>
      </c>
      <c r="B57" s="4">
        <f>COUNTIFS(Data!$C$2:$C$5001,A57,Data!$U$2:$U$5001,1)</f>
        <v>3</v>
      </c>
      <c r="C57" s="5">
        <f>SUMIFS(Data!$L$2:$L$5001,Data!$C$2:$C$5001,A57,Data!$U$2:$U$5001,1)</f>
        <v>2277.87</v>
      </c>
    </row>
    <row r="58" spans="1:3" x14ac:dyDescent="0.35">
      <c r="A58" s="4">
        <v>1057</v>
      </c>
      <c r="B58" s="4">
        <f>COUNTIFS(Data!$C$2:$C$5001,A58,Data!$U$2:$U$5001,1)</f>
        <v>6</v>
      </c>
      <c r="C58" s="5">
        <f>SUMIFS(Data!$L$2:$L$5001,Data!$C$2:$C$5001,A58,Data!$U$2:$U$5001,1)</f>
        <v>6857.4400000000005</v>
      </c>
    </row>
    <row r="59" spans="1:3" x14ac:dyDescent="0.35">
      <c r="A59" s="4">
        <v>1058</v>
      </c>
      <c r="B59" s="4">
        <f>COUNTIFS(Data!$C$2:$C$5001,A59,Data!$U$2:$U$5001,1)</f>
        <v>5</v>
      </c>
      <c r="C59" s="5">
        <f>SUMIFS(Data!$L$2:$L$5001,Data!$C$2:$C$5001,A59,Data!$U$2:$U$5001,1)</f>
        <v>7452.57</v>
      </c>
    </row>
    <row r="60" spans="1:3" x14ac:dyDescent="0.35">
      <c r="A60" s="4">
        <v>1059</v>
      </c>
      <c r="B60" s="4">
        <f>COUNTIFS(Data!$C$2:$C$5001,A60,Data!$U$2:$U$5001,1)</f>
        <v>4</v>
      </c>
      <c r="C60" s="5">
        <f>SUMIFS(Data!$L$2:$L$5001,Data!$C$2:$C$5001,A60,Data!$U$2:$U$5001,1)</f>
        <v>6936.08</v>
      </c>
    </row>
    <row r="61" spans="1:3" x14ac:dyDescent="0.35">
      <c r="A61" s="4">
        <v>1060</v>
      </c>
      <c r="B61" s="4">
        <f>COUNTIFS(Data!$C$2:$C$5001,A61,Data!$U$2:$U$5001,1)</f>
        <v>3</v>
      </c>
      <c r="C61" s="5">
        <f>SUMIFS(Data!$L$2:$L$5001,Data!$C$2:$C$5001,A61,Data!$U$2:$U$5001,1)</f>
        <v>5640.39</v>
      </c>
    </row>
    <row r="62" spans="1:3" x14ac:dyDescent="0.35">
      <c r="A62" s="4">
        <v>1061</v>
      </c>
      <c r="B62" s="4">
        <f>COUNTIFS(Data!$C$2:$C$5001,A62,Data!$U$2:$U$5001,1)</f>
        <v>4</v>
      </c>
      <c r="C62" s="5">
        <f>SUMIFS(Data!$L$2:$L$5001,Data!$C$2:$C$5001,A62,Data!$U$2:$U$5001,1)</f>
        <v>6348.28</v>
      </c>
    </row>
    <row r="63" spans="1:3" x14ac:dyDescent="0.35">
      <c r="A63" s="4">
        <v>1062</v>
      </c>
      <c r="B63" s="4">
        <f>COUNTIFS(Data!$C$2:$C$5001,A63,Data!$U$2:$U$5001,1)</f>
        <v>7</v>
      </c>
      <c r="C63" s="5">
        <f>SUMIFS(Data!$L$2:$L$5001,Data!$C$2:$C$5001,A63,Data!$U$2:$U$5001,1)</f>
        <v>5561.34</v>
      </c>
    </row>
    <row r="64" spans="1:3" x14ac:dyDescent="0.35">
      <c r="A64" s="4">
        <v>1063</v>
      </c>
      <c r="B64" s="4">
        <f>COUNTIFS(Data!$C$2:$C$5001,A64,Data!$U$2:$U$5001,1)</f>
        <v>2</v>
      </c>
      <c r="C64" s="5">
        <f>SUMIFS(Data!$L$2:$L$5001,Data!$C$2:$C$5001,A64,Data!$U$2:$U$5001,1)</f>
        <v>2418.84</v>
      </c>
    </row>
    <row r="65" spans="1:3" x14ac:dyDescent="0.35">
      <c r="A65" s="4">
        <v>1064</v>
      </c>
      <c r="B65" s="4">
        <f>COUNTIFS(Data!$C$2:$C$5001,A65,Data!$U$2:$U$5001,1)</f>
        <v>6</v>
      </c>
      <c r="C65" s="5">
        <f>SUMIFS(Data!$L$2:$L$5001,Data!$C$2:$C$5001,A65,Data!$U$2:$U$5001,1)</f>
        <v>4841.24</v>
      </c>
    </row>
    <row r="66" spans="1:3" x14ac:dyDescent="0.35">
      <c r="A66" s="4">
        <v>1065</v>
      </c>
      <c r="B66" s="4">
        <f>COUNTIFS(Data!$C$2:$C$5001,A66,Data!$U$2:$U$5001,1)</f>
        <v>6</v>
      </c>
      <c r="C66" s="5">
        <f>SUMIFS(Data!$L$2:$L$5001,Data!$C$2:$C$5001,A66,Data!$U$2:$U$5001,1)</f>
        <v>7031.6500000000005</v>
      </c>
    </row>
    <row r="67" spans="1:3" x14ac:dyDescent="0.35">
      <c r="A67" s="4">
        <v>1066</v>
      </c>
      <c r="B67" s="4">
        <f>COUNTIFS(Data!$C$2:$C$5001,A67,Data!$U$2:$U$5001,1)</f>
        <v>3</v>
      </c>
      <c r="C67" s="5">
        <f>SUMIFS(Data!$L$2:$L$5001,Data!$C$2:$C$5001,A67,Data!$U$2:$U$5001,1)</f>
        <v>2917.37</v>
      </c>
    </row>
    <row r="68" spans="1:3" x14ac:dyDescent="0.35">
      <c r="A68" s="4">
        <v>1067</v>
      </c>
      <c r="B68" s="4">
        <f>COUNTIFS(Data!$C$2:$C$5001,A68,Data!$U$2:$U$5001,1)</f>
        <v>3</v>
      </c>
      <c r="C68" s="5">
        <f>SUMIFS(Data!$L$2:$L$5001,Data!$C$2:$C$5001,A68,Data!$U$2:$U$5001,1)</f>
        <v>1336.54</v>
      </c>
    </row>
    <row r="69" spans="1:3" x14ac:dyDescent="0.35">
      <c r="A69" s="4">
        <v>1068</v>
      </c>
      <c r="B69" s="4">
        <f>COUNTIFS(Data!$C$2:$C$5001,A69,Data!$U$2:$U$5001,1)</f>
        <v>7</v>
      </c>
      <c r="C69" s="5">
        <f>SUMIFS(Data!$L$2:$L$5001,Data!$C$2:$C$5001,A69,Data!$U$2:$U$5001,1)</f>
        <v>5687.86</v>
      </c>
    </row>
    <row r="70" spans="1:3" x14ac:dyDescent="0.35">
      <c r="A70" s="4">
        <v>1069</v>
      </c>
      <c r="B70" s="4">
        <f>COUNTIFS(Data!$C$2:$C$5001,A70,Data!$U$2:$U$5001,1)</f>
        <v>4</v>
      </c>
      <c r="C70" s="5">
        <f>SUMIFS(Data!$L$2:$L$5001,Data!$C$2:$C$5001,A70,Data!$U$2:$U$5001,1)</f>
        <v>6607.9000000000005</v>
      </c>
    </row>
    <row r="71" spans="1:3" x14ac:dyDescent="0.35">
      <c r="A71" s="4">
        <v>1071</v>
      </c>
      <c r="B71" s="4">
        <f>COUNTIFS(Data!$C$2:$C$5001,A71,Data!$U$2:$U$5001,1)</f>
        <v>4</v>
      </c>
      <c r="C71" s="5">
        <f>SUMIFS(Data!$L$2:$L$5001,Data!$C$2:$C$5001,A71,Data!$U$2:$U$5001,1)</f>
        <v>1921.1599999999999</v>
      </c>
    </row>
    <row r="72" spans="1:3" x14ac:dyDescent="0.35">
      <c r="A72" s="4">
        <v>1072</v>
      </c>
      <c r="B72" s="4">
        <f>COUNTIFS(Data!$C$2:$C$5001,A72,Data!$U$2:$U$5001,1)</f>
        <v>7</v>
      </c>
      <c r="C72" s="5">
        <f>SUMIFS(Data!$L$2:$L$5001,Data!$C$2:$C$5001,A72,Data!$U$2:$U$5001,1)</f>
        <v>11338.11</v>
      </c>
    </row>
    <row r="73" spans="1:3" x14ac:dyDescent="0.35">
      <c r="A73" s="4">
        <v>1073</v>
      </c>
      <c r="B73" s="4">
        <f>COUNTIFS(Data!$C$2:$C$5001,A73,Data!$U$2:$U$5001,1)</f>
        <v>2</v>
      </c>
      <c r="C73" s="5">
        <f>SUMIFS(Data!$L$2:$L$5001,Data!$C$2:$C$5001,A73,Data!$U$2:$U$5001,1)</f>
        <v>2471.25</v>
      </c>
    </row>
    <row r="74" spans="1:3" x14ac:dyDescent="0.35">
      <c r="A74" s="4">
        <v>1074</v>
      </c>
      <c r="B74" s="4">
        <f>COUNTIFS(Data!$C$2:$C$5001,A74,Data!$U$2:$U$5001,1)</f>
        <v>11</v>
      </c>
      <c r="C74" s="5">
        <f>SUMIFS(Data!$L$2:$L$5001,Data!$C$2:$C$5001,A74,Data!$U$2:$U$5001,1)</f>
        <v>11661.08</v>
      </c>
    </row>
    <row r="75" spans="1:3" x14ac:dyDescent="0.35">
      <c r="A75" s="4">
        <v>1075</v>
      </c>
      <c r="B75" s="4">
        <f>COUNTIFS(Data!$C$2:$C$5001,A75,Data!$U$2:$U$5001,1)</f>
        <v>5</v>
      </c>
      <c r="C75" s="5">
        <f>SUMIFS(Data!$L$2:$L$5001,Data!$C$2:$C$5001,A75,Data!$U$2:$U$5001,1)</f>
        <v>4275.5200000000004</v>
      </c>
    </row>
    <row r="76" spans="1:3" x14ac:dyDescent="0.35">
      <c r="A76" s="4">
        <v>1076</v>
      </c>
      <c r="B76" s="4">
        <f>COUNTIFS(Data!$C$2:$C$5001,A76,Data!$U$2:$U$5001,1)</f>
        <v>2</v>
      </c>
      <c r="C76" s="5">
        <f>SUMIFS(Data!$L$2:$L$5001,Data!$C$2:$C$5001,A76,Data!$U$2:$U$5001,1)</f>
        <v>3357.35</v>
      </c>
    </row>
    <row r="77" spans="1:3" x14ac:dyDescent="0.35">
      <c r="A77" s="4">
        <v>1077</v>
      </c>
      <c r="B77" s="4">
        <f>COUNTIFS(Data!$C$2:$C$5001,A77,Data!$U$2:$U$5001,1)</f>
        <v>6</v>
      </c>
      <c r="C77" s="5">
        <f>SUMIFS(Data!$L$2:$L$5001,Data!$C$2:$C$5001,A77,Data!$U$2:$U$5001,1)</f>
        <v>4258.2299999999996</v>
      </c>
    </row>
    <row r="78" spans="1:3" x14ac:dyDescent="0.35">
      <c r="A78" s="4">
        <v>1078</v>
      </c>
      <c r="B78" s="4">
        <f>COUNTIFS(Data!$C$2:$C$5001,A78,Data!$U$2:$U$5001,1)</f>
        <v>4</v>
      </c>
      <c r="C78" s="5">
        <f>SUMIFS(Data!$L$2:$L$5001,Data!$C$2:$C$5001,A78,Data!$U$2:$U$5001,1)</f>
        <v>1962.69</v>
      </c>
    </row>
    <row r="79" spans="1:3" x14ac:dyDescent="0.35">
      <c r="A79" s="4">
        <v>1079</v>
      </c>
      <c r="B79" s="4">
        <f>COUNTIFS(Data!$C$2:$C$5001,A79,Data!$U$2:$U$5001,1)</f>
        <v>2</v>
      </c>
      <c r="C79" s="5">
        <f>SUMIFS(Data!$L$2:$L$5001,Data!$C$2:$C$5001,A79,Data!$U$2:$U$5001,1)</f>
        <v>994.2</v>
      </c>
    </row>
    <row r="80" spans="1:3" x14ac:dyDescent="0.35">
      <c r="A80" s="4">
        <v>1080</v>
      </c>
      <c r="B80" s="4">
        <f>COUNTIFS(Data!$C$2:$C$5001,A80,Data!$U$2:$U$5001,1)</f>
        <v>5</v>
      </c>
      <c r="C80" s="5">
        <f>SUMIFS(Data!$L$2:$L$5001,Data!$C$2:$C$5001,A80,Data!$U$2:$U$5001,1)</f>
        <v>5634.23</v>
      </c>
    </row>
    <row r="81" spans="1:3" x14ac:dyDescent="0.35">
      <c r="A81" s="4">
        <v>1081</v>
      </c>
      <c r="B81" s="4">
        <f>COUNTIFS(Data!$C$2:$C$5001,A81,Data!$U$2:$U$5001,1)</f>
        <v>4</v>
      </c>
      <c r="C81" s="5">
        <f>SUMIFS(Data!$L$2:$L$5001,Data!$C$2:$C$5001,A81,Data!$U$2:$U$5001,1)</f>
        <v>5853.75</v>
      </c>
    </row>
    <row r="82" spans="1:3" x14ac:dyDescent="0.35">
      <c r="A82" s="4">
        <v>1082</v>
      </c>
      <c r="B82" s="4">
        <f>COUNTIFS(Data!$C$2:$C$5001,A82,Data!$U$2:$U$5001,1)</f>
        <v>4</v>
      </c>
      <c r="C82" s="5">
        <f>SUMIFS(Data!$L$2:$L$5001,Data!$C$2:$C$5001,A82,Data!$U$2:$U$5001,1)</f>
        <v>6514.82</v>
      </c>
    </row>
    <row r="83" spans="1:3" x14ac:dyDescent="0.35">
      <c r="A83" s="4">
        <v>1083</v>
      </c>
      <c r="B83" s="4">
        <f>COUNTIFS(Data!$C$2:$C$5001,A83,Data!$U$2:$U$5001,1)</f>
        <v>10</v>
      </c>
      <c r="C83" s="5">
        <f>SUMIFS(Data!$L$2:$L$5001,Data!$C$2:$C$5001,A83,Data!$U$2:$U$5001,1)</f>
        <v>9239.7400000000016</v>
      </c>
    </row>
    <row r="84" spans="1:3" x14ac:dyDescent="0.35">
      <c r="A84" s="4">
        <v>1084</v>
      </c>
      <c r="B84" s="4">
        <f>COUNTIFS(Data!$C$2:$C$5001,A84,Data!$U$2:$U$5001,1)</f>
        <v>3</v>
      </c>
      <c r="C84" s="5">
        <f>SUMIFS(Data!$L$2:$L$5001,Data!$C$2:$C$5001,A84,Data!$U$2:$U$5001,1)</f>
        <v>1454.1100000000001</v>
      </c>
    </row>
    <row r="85" spans="1:3" x14ac:dyDescent="0.35">
      <c r="A85" s="4">
        <v>1085</v>
      </c>
      <c r="B85" s="4">
        <f>COUNTIFS(Data!$C$2:$C$5001,A85,Data!$U$2:$U$5001,1)</f>
        <v>7</v>
      </c>
      <c r="C85" s="5">
        <f>SUMIFS(Data!$L$2:$L$5001,Data!$C$2:$C$5001,A85,Data!$U$2:$U$5001,1)</f>
        <v>8522.43</v>
      </c>
    </row>
    <row r="86" spans="1:3" x14ac:dyDescent="0.35">
      <c r="A86" s="4">
        <v>1086</v>
      </c>
      <c r="B86" s="4">
        <f>COUNTIFS(Data!$C$2:$C$5001,A86,Data!$U$2:$U$5001,1)</f>
        <v>6</v>
      </c>
      <c r="C86" s="5">
        <f>SUMIFS(Data!$L$2:$L$5001,Data!$C$2:$C$5001,A86,Data!$U$2:$U$5001,1)</f>
        <v>9147.59</v>
      </c>
    </row>
    <row r="87" spans="1:3" x14ac:dyDescent="0.35">
      <c r="A87" s="4">
        <v>1087</v>
      </c>
      <c r="B87" s="4">
        <f>COUNTIFS(Data!$C$2:$C$5001,A87,Data!$U$2:$U$5001,1)</f>
        <v>4</v>
      </c>
      <c r="C87" s="5">
        <f>SUMIFS(Data!$L$2:$L$5001,Data!$C$2:$C$5001,A87,Data!$U$2:$U$5001,1)</f>
        <v>3403.9100000000003</v>
      </c>
    </row>
    <row r="88" spans="1:3" x14ac:dyDescent="0.35">
      <c r="A88" s="4">
        <v>1088</v>
      </c>
      <c r="B88" s="4">
        <f>COUNTIFS(Data!$C$2:$C$5001,A88,Data!$U$2:$U$5001,1)</f>
        <v>5</v>
      </c>
      <c r="C88" s="5">
        <f>SUMIFS(Data!$L$2:$L$5001,Data!$C$2:$C$5001,A88,Data!$U$2:$U$5001,1)</f>
        <v>3849.9399999999996</v>
      </c>
    </row>
    <row r="89" spans="1:3" x14ac:dyDescent="0.35">
      <c r="A89" s="4">
        <v>1089</v>
      </c>
      <c r="B89" s="4">
        <f>COUNTIFS(Data!$C$2:$C$5001,A89,Data!$U$2:$U$5001,1)</f>
        <v>5</v>
      </c>
      <c r="C89" s="5">
        <f>SUMIFS(Data!$L$2:$L$5001,Data!$C$2:$C$5001,A89,Data!$U$2:$U$5001,1)</f>
        <v>3192.94</v>
      </c>
    </row>
    <row r="90" spans="1:3" x14ac:dyDescent="0.35">
      <c r="A90" s="4">
        <v>1090</v>
      </c>
      <c r="B90" s="4">
        <f>COUNTIFS(Data!$C$2:$C$5001,A90,Data!$U$2:$U$5001,1)</f>
        <v>2</v>
      </c>
      <c r="C90" s="5">
        <f>SUMIFS(Data!$L$2:$L$5001,Data!$C$2:$C$5001,A90,Data!$U$2:$U$5001,1)</f>
        <v>3728.65</v>
      </c>
    </row>
    <row r="91" spans="1:3" x14ac:dyDescent="0.35">
      <c r="A91" s="4">
        <v>1091</v>
      </c>
      <c r="B91" s="4">
        <f>COUNTIFS(Data!$C$2:$C$5001,A91,Data!$U$2:$U$5001,1)</f>
        <v>6</v>
      </c>
      <c r="C91" s="5">
        <f>SUMIFS(Data!$L$2:$L$5001,Data!$C$2:$C$5001,A91,Data!$U$2:$U$5001,1)</f>
        <v>4624.92</v>
      </c>
    </row>
    <row r="92" spans="1:3" x14ac:dyDescent="0.35">
      <c r="A92" s="4">
        <v>1092</v>
      </c>
      <c r="B92" s="4">
        <f>COUNTIFS(Data!$C$2:$C$5001,A92,Data!$U$2:$U$5001,1)</f>
        <v>3</v>
      </c>
      <c r="C92" s="5">
        <f>SUMIFS(Data!$L$2:$L$5001,Data!$C$2:$C$5001,A92,Data!$U$2:$U$5001,1)</f>
        <v>2784.63</v>
      </c>
    </row>
    <row r="93" spans="1:3" x14ac:dyDescent="0.35">
      <c r="A93" s="4">
        <v>1093</v>
      </c>
      <c r="B93" s="4">
        <f>COUNTIFS(Data!$C$2:$C$5001,A93,Data!$U$2:$U$5001,1)</f>
        <v>1</v>
      </c>
      <c r="C93" s="5">
        <f>SUMIFS(Data!$L$2:$L$5001,Data!$C$2:$C$5001,A93,Data!$U$2:$U$5001,1)</f>
        <v>1322.82</v>
      </c>
    </row>
    <row r="94" spans="1:3" x14ac:dyDescent="0.35">
      <c r="A94" s="4">
        <v>1094</v>
      </c>
      <c r="B94" s="4">
        <f>COUNTIFS(Data!$C$2:$C$5001,A94,Data!$U$2:$U$5001,1)</f>
        <v>5</v>
      </c>
      <c r="C94" s="5">
        <f>SUMIFS(Data!$L$2:$L$5001,Data!$C$2:$C$5001,A94,Data!$U$2:$U$5001,1)</f>
        <v>4214.78</v>
      </c>
    </row>
    <row r="95" spans="1:3" x14ac:dyDescent="0.35">
      <c r="A95" s="4">
        <v>1095</v>
      </c>
      <c r="B95" s="4">
        <f>COUNTIFS(Data!$C$2:$C$5001,A95,Data!$U$2:$U$5001,1)</f>
        <v>4</v>
      </c>
      <c r="C95" s="5">
        <f>SUMIFS(Data!$L$2:$L$5001,Data!$C$2:$C$5001,A95,Data!$U$2:$U$5001,1)</f>
        <v>5232.7199999999993</v>
      </c>
    </row>
    <row r="96" spans="1:3" x14ac:dyDescent="0.35">
      <c r="A96" s="4">
        <v>1096</v>
      </c>
      <c r="B96" s="4">
        <f>COUNTIFS(Data!$C$2:$C$5001,A96,Data!$U$2:$U$5001,1)</f>
        <v>3</v>
      </c>
      <c r="C96" s="5">
        <f>SUMIFS(Data!$L$2:$L$5001,Data!$C$2:$C$5001,A96,Data!$U$2:$U$5001,1)</f>
        <v>2005.07</v>
      </c>
    </row>
    <row r="97" spans="1:3" x14ac:dyDescent="0.35">
      <c r="A97" s="4">
        <v>1097</v>
      </c>
      <c r="B97" s="4">
        <f>COUNTIFS(Data!$C$2:$C$5001,A97,Data!$U$2:$U$5001,1)</f>
        <v>4</v>
      </c>
      <c r="C97" s="5">
        <f>SUMIFS(Data!$L$2:$L$5001,Data!$C$2:$C$5001,A97,Data!$U$2:$U$5001,1)</f>
        <v>5083.99</v>
      </c>
    </row>
    <row r="98" spans="1:3" x14ac:dyDescent="0.35">
      <c r="A98" s="4">
        <v>1098</v>
      </c>
      <c r="B98" s="4">
        <f>COUNTIFS(Data!$C$2:$C$5001,A98,Data!$U$2:$U$5001,1)</f>
        <v>12</v>
      </c>
      <c r="C98" s="5">
        <f>SUMIFS(Data!$L$2:$L$5001,Data!$C$2:$C$5001,A98,Data!$U$2:$U$5001,1)</f>
        <v>10373.529999999999</v>
      </c>
    </row>
    <row r="99" spans="1:3" x14ac:dyDescent="0.35">
      <c r="A99" s="4">
        <v>1099</v>
      </c>
      <c r="B99" s="4">
        <f>COUNTIFS(Data!$C$2:$C$5001,A99,Data!$U$2:$U$5001,1)</f>
        <v>3</v>
      </c>
      <c r="C99" s="5">
        <f>SUMIFS(Data!$L$2:$L$5001,Data!$C$2:$C$5001,A99,Data!$U$2:$U$5001,1)</f>
        <v>3474.92</v>
      </c>
    </row>
    <row r="100" spans="1:3" x14ac:dyDescent="0.35">
      <c r="A100" s="4">
        <v>1100</v>
      </c>
      <c r="B100" s="4">
        <f>COUNTIFS(Data!$C$2:$C$5001,A100,Data!$U$2:$U$5001,1)</f>
        <v>4</v>
      </c>
      <c r="C100" s="5">
        <f>SUMIFS(Data!$L$2:$L$5001,Data!$C$2:$C$5001,A100,Data!$U$2:$U$5001,1)</f>
        <v>6395.38</v>
      </c>
    </row>
    <row r="101" spans="1:3" x14ac:dyDescent="0.35">
      <c r="A101" s="4">
        <v>1101</v>
      </c>
      <c r="B101" s="4">
        <f>COUNTIFS(Data!$C$2:$C$5001,A101,Data!$U$2:$U$5001,1)</f>
        <v>7</v>
      </c>
      <c r="C101" s="5">
        <f>SUMIFS(Data!$L$2:$L$5001,Data!$C$2:$C$5001,A101,Data!$U$2:$U$5001,1)</f>
        <v>9627.14</v>
      </c>
    </row>
    <row r="102" spans="1:3" x14ac:dyDescent="0.35">
      <c r="A102" s="4">
        <v>1102</v>
      </c>
      <c r="B102" s="4">
        <f>COUNTIFS(Data!$C$2:$C$5001,A102,Data!$U$2:$U$5001,1)</f>
        <v>5</v>
      </c>
      <c r="C102" s="5">
        <f>SUMIFS(Data!$L$2:$L$5001,Data!$C$2:$C$5001,A102,Data!$U$2:$U$5001,1)</f>
        <v>6503.66</v>
      </c>
    </row>
    <row r="103" spans="1:3" x14ac:dyDescent="0.35">
      <c r="A103" s="4">
        <v>1103</v>
      </c>
      <c r="B103" s="4">
        <f>COUNTIFS(Data!$C$2:$C$5001,A103,Data!$U$2:$U$5001,1)</f>
        <v>8</v>
      </c>
      <c r="C103" s="5">
        <f>SUMIFS(Data!$L$2:$L$5001,Data!$C$2:$C$5001,A103,Data!$U$2:$U$5001,1)</f>
        <v>6059.04</v>
      </c>
    </row>
    <row r="104" spans="1:3" x14ac:dyDescent="0.35">
      <c r="A104" s="4">
        <v>1104</v>
      </c>
      <c r="B104" s="4">
        <f>COUNTIFS(Data!$C$2:$C$5001,A104,Data!$U$2:$U$5001,1)</f>
        <v>3</v>
      </c>
      <c r="C104" s="5">
        <f>SUMIFS(Data!$L$2:$L$5001,Data!$C$2:$C$5001,A104,Data!$U$2:$U$5001,1)</f>
        <v>3203.29</v>
      </c>
    </row>
    <row r="105" spans="1:3" x14ac:dyDescent="0.35">
      <c r="A105" s="4">
        <v>1105</v>
      </c>
      <c r="B105" s="4">
        <f>COUNTIFS(Data!$C$2:$C$5001,A105,Data!$U$2:$U$5001,1)</f>
        <v>6</v>
      </c>
      <c r="C105" s="5">
        <f>SUMIFS(Data!$L$2:$L$5001,Data!$C$2:$C$5001,A105,Data!$U$2:$U$5001,1)</f>
        <v>4526.79</v>
      </c>
    </row>
    <row r="106" spans="1:3" x14ac:dyDescent="0.35">
      <c r="A106" s="4">
        <v>1106</v>
      </c>
      <c r="B106" s="4">
        <f>COUNTIFS(Data!$C$2:$C$5001,A106,Data!$U$2:$U$5001,1)</f>
        <v>5</v>
      </c>
      <c r="C106" s="5">
        <f>SUMIFS(Data!$L$2:$L$5001,Data!$C$2:$C$5001,A106,Data!$U$2:$U$5001,1)</f>
        <v>2482.58</v>
      </c>
    </row>
    <row r="107" spans="1:3" x14ac:dyDescent="0.35">
      <c r="A107" s="4">
        <v>1107</v>
      </c>
      <c r="B107" s="4">
        <f>COUNTIFS(Data!$C$2:$C$5001,A107,Data!$U$2:$U$5001,1)</f>
        <v>5</v>
      </c>
      <c r="C107" s="5">
        <f>SUMIFS(Data!$L$2:$L$5001,Data!$C$2:$C$5001,A107,Data!$U$2:$U$5001,1)</f>
        <v>4434.25</v>
      </c>
    </row>
    <row r="108" spans="1:3" x14ac:dyDescent="0.35">
      <c r="A108" s="4">
        <v>1108</v>
      </c>
      <c r="B108" s="4">
        <f>COUNTIFS(Data!$C$2:$C$5001,A108,Data!$U$2:$U$5001,1)</f>
        <v>8</v>
      </c>
      <c r="C108" s="5">
        <f>SUMIFS(Data!$L$2:$L$5001,Data!$C$2:$C$5001,A108,Data!$U$2:$U$5001,1)</f>
        <v>5540.1099999999988</v>
      </c>
    </row>
    <row r="109" spans="1:3" x14ac:dyDescent="0.35">
      <c r="A109" s="4">
        <v>1109</v>
      </c>
      <c r="B109" s="4">
        <f>COUNTIFS(Data!$C$2:$C$5001,A109,Data!$U$2:$U$5001,1)</f>
        <v>1</v>
      </c>
      <c r="C109" s="5">
        <f>SUMIFS(Data!$L$2:$L$5001,Data!$C$2:$C$5001,A109,Data!$U$2:$U$5001,1)</f>
        <v>172.33</v>
      </c>
    </row>
    <row r="110" spans="1:3" x14ac:dyDescent="0.35">
      <c r="A110" s="4">
        <v>1110</v>
      </c>
      <c r="B110" s="4">
        <f>COUNTIFS(Data!$C$2:$C$5001,A110,Data!$U$2:$U$5001,1)</f>
        <v>7</v>
      </c>
      <c r="C110" s="5">
        <f>SUMIFS(Data!$L$2:$L$5001,Data!$C$2:$C$5001,A110,Data!$U$2:$U$5001,1)</f>
        <v>7328.6399999999994</v>
      </c>
    </row>
    <row r="111" spans="1:3" x14ac:dyDescent="0.35">
      <c r="A111" s="4">
        <v>1111</v>
      </c>
      <c r="B111" s="4">
        <f>COUNTIFS(Data!$C$2:$C$5001,A111,Data!$U$2:$U$5001,1)</f>
        <v>3</v>
      </c>
      <c r="C111" s="5">
        <f>SUMIFS(Data!$L$2:$L$5001,Data!$C$2:$C$5001,A111,Data!$U$2:$U$5001,1)</f>
        <v>4174.13</v>
      </c>
    </row>
    <row r="112" spans="1:3" x14ac:dyDescent="0.35">
      <c r="A112" s="4">
        <v>1112</v>
      </c>
      <c r="B112" s="4">
        <f>COUNTIFS(Data!$C$2:$C$5001,A112,Data!$U$2:$U$5001,1)</f>
        <v>12</v>
      </c>
      <c r="C112" s="5">
        <f>SUMIFS(Data!$L$2:$L$5001,Data!$C$2:$C$5001,A112,Data!$U$2:$U$5001,1)</f>
        <v>7857.55</v>
      </c>
    </row>
    <row r="113" spans="1:3" x14ac:dyDescent="0.35">
      <c r="A113" s="4">
        <v>1113</v>
      </c>
      <c r="B113" s="4">
        <f>COUNTIFS(Data!$C$2:$C$5001,A113,Data!$U$2:$U$5001,1)</f>
        <v>5</v>
      </c>
      <c r="C113" s="5">
        <f>SUMIFS(Data!$L$2:$L$5001,Data!$C$2:$C$5001,A113,Data!$U$2:$U$5001,1)</f>
        <v>7855.13</v>
      </c>
    </row>
    <row r="114" spans="1:3" x14ac:dyDescent="0.35">
      <c r="A114" s="4">
        <v>1114</v>
      </c>
      <c r="B114" s="4">
        <f>COUNTIFS(Data!$C$2:$C$5001,A114,Data!$U$2:$U$5001,1)</f>
        <v>4</v>
      </c>
      <c r="C114" s="5">
        <f>SUMIFS(Data!$L$2:$L$5001,Data!$C$2:$C$5001,A114,Data!$U$2:$U$5001,1)</f>
        <v>3333.16</v>
      </c>
    </row>
    <row r="115" spans="1:3" x14ac:dyDescent="0.35">
      <c r="A115" s="4">
        <v>1115</v>
      </c>
      <c r="B115" s="4">
        <f>COUNTIFS(Data!$C$2:$C$5001,A115,Data!$U$2:$U$5001,1)</f>
        <v>4</v>
      </c>
      <c r="C115" s="5">
        <f>SUMIFS(Data!$L$2:$L$5001,Data!$C$2:$C$5001,A115,Data!$U$2:$U$5001,1)</f>
        <v>4288.63</v>
      </c>
    </row>
    <row r="116" spans="1:3" x14ac:dyDescent="0.35">
      <c r="A116" s="4">
        <v>1116</v>
      </c>
      <c r="B116" s="4">
        <f>COUNTIFS(Data!$C$2:$C$5001,A116,Data!$U$2:$U$5001,1)</f>
        <v>9</v>
      </c>
      <c r="C116" s="5">
        <f>SUMIFS(Data!$L$2:$L$5001,Data!$C$2:$C$5001,A116,Data!$U$2:$U$5001,1)</f>
        <v>7624.2199999999993</v>
      </c>
    </row>
    <row r="117" spans="1:3" x14ac:dyDescent="0.35">
      <c r="A117" s="4">
        <v>1117</v>
      </c>
      <c r="B117" s="4">
        <f>COUNTIFS(Data!$C$2:$C$5001,A117,Data!$U$2:$U$5001,1)</f>
        <v>9</v>
      </c>
      <c r="C117" s="5">
        <f>SUMIFS(Data!$L$2:$L$5001,Data!$C$2:$C$5001,A117,Data!$U$2:$U$5001,1)</f>
        <v>9258.8000000000011</v>
      </c>
    </row>
    <row r="118" spans="1:3" x14ac:dyDescent="0.35">
      <c r="A118" s="4">
        <v>1118</v>
      </c>
      <c r="B118" s="4">
        <f>COUNTIFS(Data!$C$2:$C$5001,A118,Data!$U$2:$U$5001,1)</f>
        <v>6</v>
      </c>
      <c r="C118" s="5">
        <f>SUMIFS(Data!$L$2:$L$5001,Data!$C$2:$C$5001,A118,Data!$U$2:$U$5001,1)</f>
        <v>2503.5400000000004</v>
      </c>
    </row>
    <row r="119" spans="1:3" x14ac:dyDescent="0.35">
      <c r="A119" s="4">
        <v>1119</v>
      </c>
      <c r="B119" s="4">
        <f>COUNTIFS(Data!$C$2:$C$5001,A119,Data!$U$2:$U$5001,1)</f>
        <v>7</v>
      </c>
      <c r="C119" s="5">
        <f>SUMIFS(Data!$L$2:$L$5001,Data!$C$2:$C$5001,A119,Data!$U$2:$U$5001,1)</f>
        <v>8972.2800000000007</v>
      </c>
    </row>
    <row r="120" spans="1:3" x14ac:dyDescent="0.35">
      <c r="A120" s="4">
        <v>1120</v>
      </c>
      <c r="B120" s="4">
        <f>COUNTIFS(Data!$C$2:$C$5001,A120,Data!$U$2:$U$5001,1)</f>
        <v>2</v>
      </c>
      <c r="C120" s="5">
        <f>SUMIFS(Data!$L$2:$L$5001,Data!$C$2:$C$5001,A120,Data!$U$2:$U$5001,1)</f>
        <v>2977.8900000000003</v>
      </c>
    </row>
    <row r="121" spans="1:3" x14ac:dyDescent="0.35">
      <c r="A121" s="4">
        <v>1121</v>
      </c>
      <c r="B121" s="4">
        <f>COUNTIFS(Data!$C$2:$C$5001,A121,Data!$U$2:$U$5001,1)</f>
        <v>6</v>
      </c>
      <c r="C121" s="5">
        <f>SUMIFS(Data!$L$2:$L$5001,Data!$C$2:$C$5001,A121,Data!$U$2:$U$5001,1)</f>
        <v>5156.07</v>
      </c>
    </row>
    <row r="122" spans="1:3" x14ac:dyDescent="0.35">
      <c r="A122" s="4">
        <v>1122</v>
      </c>
      <c r="B122" s="4">
        <f>COUNTIFS(Data!$C$2:$C$5001,A122,Data!$U$2:$U$5001,1)</f>
        <v>2</v>
      </c>
      <c r="C122" s="5">
        <f>SUMIFS(Data!$L$2:$L$5001,Data!$C$2:$C$5001,A122,Data!$U$2:$U$5001,1)</f>
        <v>3596.27</v>
      </c>
    </row>
    <row r="123" spans="1:3" x14ac:dyDescent="0.35">
      <c r="A123" s="4">
        <v>1123</v>
      </c>
      <c r="B123" s="4">
        <f>COUNTIFS(Data!$C$2:$C$5001,A123,Data!$U$2:$U$5001,1)</f>
        <v>8</v>
      </c>
      <c r="C123" s="5">
        <f>SUMIFS(Data!$L$2:$L$5001,Data!$C$2:$C$5001,A123,Data!$U$2:$U$5001,1)</f>
        <v>4228.78</v>
      </c>
    </row>
    <row r="124" spans="1:3" x14ac:dyDescent="0.35">
      <c r="A124" s="4">
        <v>1124</v>
      </c>
      <c r="B124" s="4">
        <f>COUNTIFS(Data!$C$2:$C$5001,A124,Data!$U$2:$U$5001,1)</f>
        <v>3</v>
      </c>
      <c r="C124" s="5">
        <f>SUMIFS(Data!$L$2:$L$5001,Data!$C$2:$C$5001,A124,Data!$U$2:$U$5001,1)</f>
        <v>3509.1000000000004</v>
      </c>
    </row>
    <row r="125" spans="1:3" x14ac:dyDescent="0.35">
      <c r="A125" s="4">
        <v>1125</v>
      </c>
      <c r="B125" s="4">
        <f>COUNTIFS(Data!$C$2:$C$5001,A125,Data!$U$2:$U$5001,1)</f>
        <v>6</v>
      </c>
      <c r="C125" s="5">
        <f>SUMIFS(Data!$L$2:$L$5001,Data!$C$2:$C$5001,A125,Data!$U$2:$U$5001,1)</f>
        <v>9531.8799999999992</v>
      </c>
    </row>
    <row r="126" spans="1:3" x14ac:dyDescent="0.35">
      <c r="A126" s="4">
        <v>1126</v>
      </c>
      <c r="B126" s="4">
        <f>COUNTIFS(Data!$C$2:$C$5001,A126,Data!$U$2:$U$5001,1)</f>
        <v>7</v>
      </c>
      <c r="C126" s="5">
        <f>SUMIFS(Data!$L$2:$L$5001,Data!$C$2:$C$5001,A126,Data!$U$2:$U$5001,1)</f>
        <v>5241.5499999999993</v>
      </c>
    </row>
    <row r="127" spans="1:3" x14ac:dyDescent="0.35">
      <c r="A127" s="4">
        <v>1127</v>
      </c>
      <c r="B127" s="4">
        <f>COUNTIFS(Data!$C$2:$C$5001,A127,Data!$U$2:$U$5001,1)</f>
        <v>6</v>
      </c>
      <c r="C127" s="5">
        <f>SUMIFS(Data!$L$2:$L$5001,Data!$C$2:$C$5001,A127,Data!$U$2:$U$5001,1)</f>
        <v>2062.38</v>
      </c>
    </row>
    <row r="128" spans="1:3" x14ac:dyDescent="0.35">
      <c r="A128" s="4">
        <v>1128</v>
      </c>
      <c r="B128" s="4">
        <f>COUNTIFS(Data!$C$2:$C$5001,A128,Data!$U$2:$U$5001,1)</f>
        <v>6</v>
      </c>
      <c r="C128" s="5">
        <f>SUMIFS(Data!$L$2:$L$5001,Data!$C$2:$C$5001,A128,Data!$U$2:$U$5001,1)</f>
        <v>3386.4</v>
      </c>
    </row>
    <row r="129" spans="1:3" x14ac:dyDescent="0.35">
      <c r="A129" s="4">
        <v>1129</v>
      </c>
      <c r="B129" s="4">
        <f>COUNTIFS(Data!$C$2:$C$5001,A129,Data!$U$2:$U$5001,1)</f>
        <v>9</v>
      </c>
      <c r="C129" s="5">
        <f>SUMIFS(Data!$L$2:$L$5001,Data!$C$2:$C$5001,A129,Data!$U$2:$U$5001,1)</f>
        <v>9677.56</v>
      </c>
    </row>
    <row r="130" spans="1:3" x14ac:dyDescent="0.35">
      <c r="A130" s="4">
        <v>1130</v>
      </c>
      <c r="B130" s="4">
        <f>COUNTIFS(Data!$C$2:$C$5001,A130,Data!$U$2:$U$5001,1)</f>
        <v>8</v>
      </c>
      <c r="C130" s="5">
        <f>SUMIFS(Data!$L$2:$L$5001,Data!$C$2:$C$5001,A130,Data!$U$2:$U$5001,1)</f>
        <v>11965.14</v>
      </c>
    </row>
    <row r="131" spans="1:3" x14ac:dyDescent="0.35">
      <c r="A131" s="4">
        <v>1131</v>
      </c>
      <c r="B131" s="4">
        <f>COUNTIFS(Data!$C$2:$C$5001,A131,Data!$U$2:$U$5001,1)</f>
        <v>5</v>
      </c>
      <c r="C131" s="5">
        <f>SUMIFS(Data!$L$2:$L$5001,Data!$C$2:$C$5001,A131,Data!$U$2:$U$5001,1)</f>
        <v>4237.25</v>
      </c>
    </row>
    <row r="132" spans="1:3" x14ac:dyDescent="0.35">
      <c r="A132" s="4">
        <v>1132</v>
      </c>
      <c r="B132" s="4">
        <f>COUNTIFS(Data!$C$2:$C$5001,A132,Data!$U$2:$U$5001,1)</f>
        <v>6</v>
      </c>
      <c r="C132" s="5">
        <f>SUMIFS(Data!$L$2:$L$5001,Data!$C$2:$C$5001,A132,Data!$U$2:$U$5001,1)</f>
        <v>4094.8499999999995</v>
      </c>
    </row>
    <row r="133" spans="1:3" x14ac:dyDescent="0.35">
      <c r="A133" s="4">
        <v>1133</v>
      </c>
      <c r="B133" s="4">
        <f>COUNTIFS(Data!$C$2:$C$5001,A133,Data!$U$2:$U$5001,1)</f>
        <v>3</v>
      </c>
      <c r="C133" s="5">
        <f>SUMIFS(Data!$L$2:$L$5001,Data!$C$2:$C$5001,A133,Data!$U$2:$U$5001,1)</f>
        <v>2604.2999999999997</v>
      </c>
    </row>
    <row r="134" spans="1:3" x14ac:dyDescent="0.35">
      <c r="A134" s="4">
        <v>1134</v>
      </c>
      <c r="B134" s="4">
        <f>COUNTIFS(Data!$C$2:$C$5001,A134,Data!$U$2:$U$5001,1)</f>
        <v>2</v>
      </c>
      <c r="C134" s="5">
        <f>SUMIFS(Data!$L$2:$L$5001,Data!$C$2:$C$5001,A134,Data!$U$2:$U$5001,1)</f>
        <v>1325.5900000000001</v>
      </c>
    </row>
    <row r="135" spans="1:3" x14ac:dyDescent="0.35">
      <c r="A135" s="4">
        <v>1135</v>
      </c>
      <c r="B135" s="4">
        <f>COUNTIFS(Data!$C$2:$C$5001,A135,Data!$U$2:$U$5001,1)</f>
        <v>2</v>
      </c>
      <c r="C135" s="5">
        <f>SUMIFS(Data!$L$2:$L$5001,Data!$C$2:$C$5001,A135,Data!$U$2:$U$5001,1)</f>
        <v>2906.83</v>
      </c>
    </row>
    <row r="136" spans="1:3" x14ac:dyDescent="0.35">
      <c r="A136" s="4">
        <v>1136</v>
      </c>
      <c r="B136" s="4">
        <f>COUNTIFS(Data!$C$2:$C$5001,A136,Data!$U$2:$U$5001,1)</f>
        <v>5</v>
      </c>
      <c r="C136" s="5">
        <f>SUMIFS(Data!$L$2:$L$5001,Data!$C$2:$C$5001,A136,Data!$U$2:$U$5001,1)</f>
        <v>4627.5199999999995</v>
      </c>
    </row>
    <row r="137" spans="1:3" x14ac:dyDescent="0.35">
      <c r="A137" s="4">
        <v>1137</v>
      </c>
      <c r="B137" s="4">
        <f>COUNTIFS(Data!$C$2:$C$5001,A137,Data!$U$2:$U$5001,1)</f>
        <v>3</v>
      </c>
      <c r="C137" s="5">
        <f>SUMIFS(Data!$L$2:$L$5001,Data!$C$2:$C$5001,A137,Data!$U$2:$U$5001,1)</f>
        <v>2010.29</v>
      </c>
    </row>
    <row r="138" spans="1:3" x14ac:dyDescent="0.35">
      <c r="A138" s="4">
        <v>1138</v>
      </c>
      <c r="B138" s="4">
        <f>COUNTIFS(Data!$C$2:$C$5001,A138,Data!$U$2:$U$5001,1)</f>
        <v>4</v>
      </c>
      <c r="C138" s="5">
        <f>SUMIFS(Data!$L$2:$L$5001,Data!$C$2:$C$5001,A138,Data!$U$2:$U$5001,1)</f>
        <v>9682.49</v>
      </c>
    </row>
    <row r="139" spans="1:3" x14ac:dyDescent="0.35">
      <c r="A139" s="4">
        <v>1139</v>
      </c>
      <c r="B139" s="4">
        <f>COUNTIFS(Data!$C$2:$C$5001,A139,Data!$U$2:$U$5001,1)</f>
        <v>3</v>
      </c>
      <c r="C139" s="5">
        <f>SUMIFS(Data!$L$2:$L$5001,Data!$C$2:$C$5001,A139,Data!$U$2:$U$5001,1)</f>
        <v>2476.8100000000004</v>
      </c>
    </row>
    <row r="140" spans="1:3" x14ac:dyDescent="0.35">
      <c r="A140" s="4">
        <v>1140</v>
      </c>
      <c r="B140" s="4">
        <f>COUNTIFS(Data!$C$2:$C$5001,A140,Data!$U$2:$U$5001,1)</f>
        <v>6</v>
      </c>
      <c r="C140" s="5">
        <f>SUMIFS(Data!$L$2:$L$5001,Data!$C$2:$C$5001,A140,Data!$U$2:$U$5001,1)</f>
        <v>2464.46</v>
      </c>
    </row>
    <row r="141" spans="1:3" x14ac:dyDescent="0.35">
      <c r="A141" s="4">
        <v>1141</v>
      </c>
      <c r="B141" s="4">
        <f>COUNTIFS(Data!$C$2:$C$5001,A141,Data!$U$2:$U$5001,1)</f>
        <v>4</v>
      </c>
      <c r="C141" s="5">
        <f>SUMIFS(Data!$L$2:$L$5001,Data!$C$2:$C$5001,A141,Data!$U$2:$U$5001,1)</f>
        <v>2561.5</v>
      </c>
    </row>
    <row r="142" spans="1:3" x14ac:dyDescent="0.35">
      <c r="A142" s="4">
        <v>1142</v>
      </c>
      <c r="B142" s="4">
        <f>COUNTIFS(Data!$C$2:$C$5001,A142,Data!$U$2:$U$5001,1)</f>
        <v>7</v>
      </c>
      <c r="C142" s="5">
        <f>SUMIFS(Data!$L$2:$L$5001,Data!$C$2:$C$5001,A142,Data!$U$2:$U$5001,1)</f>
        <v>4522.5600000000004</v>
      </c>
    </row>
    <row r="143" spans="1:3" x14ac:dyDescent="0.35">
      <c r="A143" s="4">
        <v>1143</v>
      </c>
      <c r="B143" s="4">
        <f>COUNTIFS(Data!$C$2:$C$5001,A143,Data!$U$2:$U$5001,1)</f>
        <v>7</v>
      </c>
      <c r="C143" s="5">
        <f>SUMIFS(Data!$L$2:$L$5001,Data!$C$2:$C$5001,A143,Data!$U$2:$U$5001,1)</f>
        <v>5868.18</v>
      </c>
    </row>
    <row r="144" spans="1:3" x14ac:dyDescent="0.35">
      <c r="A144" s="4">
        <v>1144</v>
      </c>
      <c r="B144" s="4">
        <f>COUNTIFS(Data!$C$2:$C$5001,A144,Data!$U$2:$U$5001,1)</f>
        <v>7</v>
      </c>
      <c r="C144" s="5">
        <f>SUMIFS(Data!$L$2:$L$5001,Data!$C$2:$C$5001,A144,Data!$U$2:$U$5001,1)</f>
        <v>8837.33</v>
      </c>
    </row>
    <row r="145" spans="1:3" x14ac:dyDescent="0.35">
      <c r="A145" s="4">
        <v>1145</v>
      </c>
      <c r="B145" s="4">
        <f>COUNTIFS(Data!$C$2:$C$5001,A145,Data!$U$2:$U$5001,1)</f>
        <v>6</v>
      </c>
      <c r="C145" s="5">
        <f>SUMIFS(Data!$L$2:$L$5001,Data!$C$2:$C$5001,A145,Data!$U$2:$U$5001,1)</f>
        <v>6514.91</v>
      </c>
    </row>
    <row r="146" spans="1:3" x14ac:dyDescent="0.35">
      <c r="A146" s="4">
        <v>1146</v>
      </c>
      <c r="B146" s="4">
        <f>COUNTIFS(Data!$C$2:$C$5001,A146,Data!$U$2:$U$5001,1)</f>
        <v>7</v>
      </c>
      <c r="C146" s="5">
        <f>SUMIFS(Data!$L$2:$L$5001,Data!$C$2:$C$5001,A146,Data!$U$2:$U$5001,1)</f>
        <v>11513.28</v>
      </c>
    </row>
    <row r="147" spans="1:3" x14ac:dyDescent="0.35">
      <c r="A147" s="4">
        <v>1147</v>
      </c>
      <c r="B147" s="4">
        <f>COUNTIFS(Data!$C$2:$C$5001,A147,Data!$U$2:$U$5001,1)</f>
        <v>6</v>
      </c>
      <c r="C147" s="5">
        <f>SUMIFS(Data!$L$2:$L$5001,Data!$C$2:$C$5001,A147,Data!$U$2:$U$5001,1)</f>
        <v>6078.9600000000009</v>
      </c>
    </row>
    <row r="148" spans="1:3" x14ac:dyDescent="0.35">
      <c r="A148" s="4">
        <v>1148</v>
      </c>
      <c r="B148" s="4">
        <f>COUNTIFS(Data!$C$2:$C$5001,A148,Data!$U$2:$U$5001,1)</f>
        <v>7</v>
      </c>
      <c r="C148" s="5">
        <f>SUMIFS(Data!$L$2:$L$5001,Data!$C$2:$C$5001,A148,Data!$U$2:$U$5001,1)</f>
        <v>6586.4</v>
      </c>
    </row>
    <row r="149" spans="1:3" x14ac:dyDescent="0.35">
      <c r="A149" s="4">
        <v>1149</v>
      </c>
      <c r="B149" s="4">
        <f>COUNTIFS(Data!$C$2:$C$5001,A149,Data!$U$2:$U$5001,1)</f>
        <v>1</v>
      </c>
      <c r="C149" s="5">
        <f>SUMIFS(Data!$L$2:$L$5001,Data!$C$2:$C$5001,A149,Data!$U$2:$U$5001,1)</f>
        <v>1470.7</v>
      </c>
    </row>
    <row r="150" spans="1:3" x14ac:dyDescent="0.35">
      <c r="A150" s="4">
        <v>1150</v>
      </c>
      <c r="B150" s="4">
        <f>COUNTIFS(Data!$C$2:$C$5001,A150,Data!$U$2:$U$5001,1)</f>
        <v>4</v>
      </c>
      <c r="C150" s="5">
        <f>SUMIFS(Data!$L$2:$L$5001,Data!$C$2:$C$5001,A150,Data!$U$2:$U$5001,1)</f>
        <v>2377.9800000000005</v>
      </c>
    </row>
    <row r="151" spans="1:3" x14ac:dyDescent="0.35">
      <c r="A151" s="4">
        <v>1151</v>
      </c>
      <c r="B151" s="4">
        <f>COUNTIFS(Data!$C$2:$C$5001,A151,Data!$U$2:$U$5001,1)</f>
        <v>4</v>
      </c>
      <c r="C151" s="5">
        <f>SUMIFS(Data!$L$2:$L$5001,Data!$C$2:$C$5001,A151,Data!$U$2:$U$5001,1)</f>
        <v>3706.3199999999997</v>
      </c>
    </row>
    <row r="152" spans="1:3" x14ac:dyDescent="0.35">
      <c r="A152" s="4">
        <v>1152</v>
      </c>
      <c r="B152" s="4">
        <f>COUNTIFS(Data!$C$2:$C$5001,A152,Data!$U$2:$U$5001,1)</f>
        <v>5</v>
      </c>
      <c r="C152" s="5">
        <f>SUMIFS(Data!$L$2:$L$5001,Data!$C$2:$C$5001,A152,Data!$U$2:$U$5001,1)</f>
        <v>7856.16</v>
      </c>
    </row>
    <row r="153" spans="1:3" x14ac:dyDescent="0.35">
      <c r="A153" s="4">
        <v>1153</v>
      </c>
      <c r="B153" s="4">
        <f>COUNTIFS(Data!$C$2:$C$5001,A153,Data!$U$2:$U$5001,1)</f>
        <v>8</v>
      </c>
      <c r="C153" s="5">
        <f>SUMIFS(Data!$L$2:$L$5001,Data!$C$2:$C$5001,A153,Data!$U$2:$U$5001,1)</f>
        <v>11579.86</v>
      </c>
    </row>
    <row r="154" spans="1:3" x14ac:dyDescent="0.35">
      <c r="A154" s="4">
        <v>1154</v>
      </c>
      <c r="B154" s="4">
        <f>COUNTIFS(Data!$C$2:$C$5001,A154,Data!$U$2:$U$5001,1)</f>
        <v>3</v>
      </c>
      <c r="C154" s="5">
        <f>SUMIFS(Data!$L$2:$L$5001,Data!$C$2:$C$5001,A154,Data!$U$2:$U$5001,1)</f>
        <v>1705.94</v>
      </c>
    </row>
    <row r="155" spans="1:3" x14ac:dyDescent="0.35">
      <c r="A155" s="4">
        <v>1155</v>
      </c>
      <c r="B155" s="4">
        <f>COUNTIFS(Data!$C$2:$C$5001,A155,Data!$U$2:$U$5001,1)</f>
        <v>7</v>
      </c>
      <c r="C155" s="5">
        <f>SUMIFS(Data!$L$2:$L$5001,Data!$C$2:$C$5001,A155,Data!$U$2:$U$5001,1)</f>
        <v>9090.92</v>
      </c>
    </row>
    <row r="156" spans="1:3" x14ac:dyDescent="0.35">
      <c r="A156" s="4">
        <v>1156</v>
      </c>
      <c r="B156" s="4">
        <f>COUNTIFS(Data!$C$2:$C$5001,A156,Data!$U$2:$U$5001,1)</f>
        <v>5</v>
      </c>
      <c r="C156" s="5">
        <f>SUMIFS(Data!$L$2:$L$5001,Data!$C$2:$C$5001,A156,Data!$U$2:$U$5001,1)</f>
        <v>2880.8500000000004</v>
      </c>
    </row>
    <row r="157" spans="1:3" x14ac:dyDescent="0.35">
      <c r="A157" s="4">
        <v>1157</v>
      </c>
      <c r="B157" s="4">
        <f>COUNTIFS(Data!$C$2:$C$5001,A157,Data!$U$2:$U$5001,1)</f>
        <v>3</v>
      </c>
      <c r="C157" s="5">
        <f>SUMIFS(Data!$L$2:$L$5001,Data!$C$2:$C$5001,A157,Data!$U$2:$U$5001,1)</f>
        <v>1183.1100000000001</v>
      </c>
    </row>
    <row r="158" spans="1:3" x14ac:dyDescent="0.35">
      <c r="A158" s="4">
        <v>1158</v>
      </c>
      <c r="B158" s="4">
        <f>COUNTIFS(Data!$C$2:$C$5001,A158,Data!$U$2:$U$5001,1)</f>
        <v>6</v>
      </c>
      <c r="C158" s="5">
        <f>SUMIFS(Data!$L$2:$L$5001,Data!$C$2:$C$5001,A158,Data!$U$2:$U$5001,1)</f>
        <v>5079.87</v>
      </c>
    </row>
    <row r="159" spans="1:3" x14ac:dyDescent="0.35">
      <c r="A159" s="4">
        <v>1159</v>
      </c>
      <c r="B159" s="4">
        <f>COUNTIFS(Data!$C$2:$C$5001,A159,Data!$U$2:$U$5001,1)</f>
        <v>7</v>
      </c>
      <c r="C159" s="5">
        <f>SUMIFS(Data!$L$2:$L$5001,Data!$C$2:$C$5001,A159,Data!$U$2:$U$5001,1)</f>
        <v>8048.6900000000005</v>
      </c>
    </row>
    <row r="160" spans="1:3" x14ac:dyDescent="0.35">
      <c r="A160" s="4">
        <v>1160</v>
      </c>
      <c r="B160" s="4">
        <f>COUNTIFS(Data!$C$2:$C$5001,A160,Data!$U$2:$U$5001,1)</f>
        <v>10</v>
      </c>
      <c r="C160" s="5">
        <f>SUMIFS(Data!$L$2:$L$5001,Data!$C$2:$C$5001,A160,Data!$U$2:$U$5001,1)</f>
        <v>10365.780000000001</v>
      </c>
    </row>
    <row r="161" spans="1:3" x14ac:dyDescent="0.35">
      <c r="A161" s="4">
        <v>1161</v>
      </c>
      <c r="B161" s="4">
        <f>COUNTIFS(Data!$C$2:$C$5001,A161,Data!$U$2:$U$5001,1)</f>
        <v>7</v>
      </c>
      <c r="C161" s="5">
        <f>SUMIFS(Data!$L$2:$L$5001,Data!$C$2:$C$5001,A161,Data!$U$2:$U$5001,1)</f>
        <v>7971.7699999999995</v>
      </c>
    </row>
    <row r="162" spans="1:3" x14ac:dyDescent="0.35">
      <c r="A162" s="4">
        <v>1162</v>
      </c>
      <c r="B162" s="4">
        <f>COUNTIFS(Data!$C$2:$C$5001,A162,Data!$U$2:$U$5001,1)</f>
        <v>7</v>
      </c>
      <c r="C162" s="5">
        <f>SUMIFS(Data!$L$2:$L$5001,Data!$C$2:$C$5001,A162,Data!$U$2:$U$5001,1)</f>
        <v>3789.92</v>
      </c>
    </row>
    <row r="163" spans="1:3" x14ac:dyDescent="0.35">
      <c r="A163" s="4">
        <v>1163</v>
      </c>
      <c r="B163" s="4">
        <f>COUNTIFS(Data!$C$2:$C$5001,A163,Data!$U$2:$U$5001,1)</f>
        <v>4</v>
      </c>
      <c r="C163" s="5">
        <f>SUMIFS(Data!$L$2:$L$5001,Data!$C$2:$C$5001,A163,Data!$U$2:$U$5001,1)</f>
        <v>2201.5700000000002</v>
      </c>
    </row>
    <row r="164" spans="1:3" x14ac:dyDescent="0.35">
      <c r="A164" s="4">
        <v>1164</v>
      </c>
      <c r="B164" s="4">
        <f>COUNTIFS(Data!$C$2:$C$5001,A164,Data!$U$2:$U$5001,1)</f>
        <v>7</v>
      </c>
      <c r="C164" s="5">
        <f>SUMIFS(Data!$L$2:$L$5001,Data!$C$2:$C$5001,A164,Data!$U$2:$U$5001,1)</f>
        <v>10679.27</v>
      </c>
    </row>
    <row r="165" spans="1:3" x14ac:dyDescent="0.35">
      <c r="A165" s="4">
        <v>1165</v>
      </c>
      <c r="B165" s="4">
        <f>COUNTIFS(Data!$C$2:$C$5001,A165,Data!$U$2:$U$5001,1)</f>
        <v>3</v>
      </c>
      <c r="C165" s="5">
        <f>SUMIFS(Data!$L$2:$L$5001,Data!$C$2:$C$5001,A165,Data!$U$2:$U$5001,1)</f>
        <v>2075.33</v>
      </c>
    </row>
    <row r="166" spans="1:3" x14ac:dyDescent="0.35">
      <c r="A166" s="4">
        <v>1166</v>
      </c>
      <c r="B166" s="4">
        <f>COUNTIFS(Data!$C$2:$C$5001,A166,Data!$U$2:$U$5001,1)</f>
        <v>5</v>
      </c>
      <c r="C166" s="5">
        <f>SUMIFS(Data!$L$2:$L$5001,Data!$C$2:$C$5001,A166,Data!$U$2:$U$5001,1)</f>
        <v>4612.6099999999997</v>
      </c>
    </row>
    <row r="167" spans="1:3" x14ac:dyDescent="0.35">
      <c r="A167" s="4">
        <v>1167</v>
      </c>
      <c r="B167" s="4">
        <f>COUNTIFS(Data!$C$2:$C$5001,A167,Data!$U$2:$U$5001,1)</f>
        <v>6</v>
      </c>
      <c r="C167" s="5">
        <f>SUMIFS(Data!$L$2:$L$5001,Data!$C$2:$C$5001,A167,Data!$U$2:$U$5001,1)</f>
        <v>5190.0300000000007</v>
      </c>
    </row>
    <row r="168" spans="1:3" x14ac:dyDescent="0.35">
      <c r="A168" s="4">
        <v>1168</v>
      </c>
      <c r="B168" s="4">
        <f>COUNTIFS(Data!$C$2:$C$5001,A168,Data!$U$2:$U$5001,1)</f>
        <v>1</v>
      </c>
      <c r="C168" s="5">
        <f>SUMIFS(Data!$L$2:$L$5001,Data!$C$2:$C$5001,A168,Data!$U$2:$U$5001,1)</f>
        <v>279.83</v>
      </c>
    </row>
    <row r="169" spans="1:3" x14ac:dyDescent="0.35">
      <c r="A169" s="4">
        <v>1169</v>
      </c>
      <c r="B169" s="4">
        <f>COUNTIFS(Data!$C$2:$C$5001,A169,Data!$U$2:$U$5001,1)</f>
        <v>5</v>
      </c>
      <c r="C169" s="5">
        <f>SUMIFS(Data!$L$2:$L$5001,Data!$C$2:$C$5001,A169,Data!$U$2:$U$5001,1)</f>
        <v>5195.99</v>
      </c>
    </row>
    <row r="170" spans="1:3" x14ac:dyDescent="0.35">
      <c r="A170" s="4">
        <v>1170</v>
      </c>
      <c r="B170" s="4">
        <f>COUNTIFS(Data!$C$2:$C$5001,A170,Data!$U$2:$U$5001,1)</f>
        <v>2</v>
      </c>
      <c r="C170" s="5">
        <f>SUMIFS(Data!$L$2:$L$5001,Data!$C$2:$C$5001,A170,Data!$U$2:$U$5001,1)</f>
        <v>767.58</v>
      </c>
    </row>
    <row r="171" spans="1:3" x14ac:dyDescent="0.35">
      <c r="A171" s="4">
        <v>1171</v>
      </c>
      <c r="B171" s="4">
        <f>COUNTIFS(Data!$C$2:$C$5001,A171,Data!$U$2:$U$5001,1)</f>
        <v>7</v>
      </c>
      <c r="C171" s="5">
        <f>SUMIFS(Data!$L$2:$L$5001,Data!$C$2:$C$5001,A171,Data!$U$2:$U$5001,1)</f>
        <v>7663.76</v>
      </c>
    </row>
    <row r="172" spans="1:3" x14ac:dyDescent="0.35">
      <c r="A172" s="4">
        <v>1172</v>
      </c>
      <c r="B172" s="4">
        <f>COUNTIFS(Data!$C$2:$C$5001,A172,Data!$U$2:$U$5001,1)</f>
        <v>7</v>
      </c>
      <c r="C172" s="5">
        <f>SUMIFS(Data!$L$2:$L$5001,Data!$C$2:$C$5001,A172,Data!$U$2:$U$5001,1)</f>
        <v>8719.9499999999989</v>
      </c>
    </row>
    <row r="173" spans="1:3" x14ac:dyDescent="0.35">
      <c r="A173" s="4">
        <v>1173</v>
      </c>
      <c r="B173" s="4">
        <f>COUNTIFS(Data!$C$2:$C$5001,A173,Data!$U$2:$U$5001,1)</f>
        <v>3</v>
      </c>
      <c r="C173" s="5">
        <f>SUMIFS(Data!$L$2:$L$5001,Data!$C$2:$C$5001,A173,Data!$U$2:$U$5001,1)</f>
        <v>4392.45</v>
      </c>
    </row>
    <row r="174" spans="1:3" x14ac:dyDescent="0.35">
      <c r="A174" s="4">
        <v>1174</v>
      </c>
      <c r="B174" s="4">
        <f>COUNTIFS(Data!$C$2:$C$5001,A174,Data!$U$2:$U$5001,1)</f>
        <v>2</v>
      </c>
      <c r="C174" s="5">
        <f>SUMIFS(Data!$L$2:$L$5001,Data!$C$2:$C$5001,A174,Data!$U$2:$U$5001,1)</f>
        <v>2844</v>
      </c>
    </row>
    <row r="175" spans="1:3" x14ac:dyDescent="0.35">
      <c r="A175" s="4">
        <v>1175</v>
      </c>
      <c r="B175" s="4">
        <f>COUNTIFS(Data!$C$2:$C$5001,A175,Data!$U$2:$U$5001,1)</f>
        <v>3</v>
      </c>
      <c r="C175" s="5">
        <f>SUMIFS(Data!$L$2:$L$5001,Data!$C$2:$C$5001,A175,Data!$U$2:$U$5001,1)</f>
        <v>6023.57</v>
      </c>
    </row>
    <row r="176" spans="1:3" x14ac:dyDescent="0.35">
      <c r="A176" s="4">
        <v>1176</v>
      </c>
      <c r="B176" s="4">
        <f>COUNTIFS(Data!$C$2:$C$5001,A176,Data!$U$2:$U$5001,1)</f>
        <v>4</v>
      </c>
      <c r="C176" s="5">
        <f>SUMIFS(Data!$L$2:$L$5001,Data!$C$2:$C$5001,A176,Data!$U$2:$U$5001,1)</f>
        <v>4979.21</v>
      </c>
    </row>
    <row r="177" spans="1:3" x14ac:dyDescent="0.35">
      <c r="A177" s="4">
        <v>1177</v>
      </c>
      <c r="B177" s="4">
        <f>COUNTIFS(Data!$C$2:$C$5001,A177,Data!$U$2:$U$5001,1)</f>
        <v>5</v>
      </c>
      <c r="C177" s="5">
        <f>SUMIFS(Data!$L$2:$L$5001,Data!$C$2:$C$5001,A177,Data!$U$2:$U$5001,1)</f>
        <v>4273.38</v>
      </c>
    </row>
    <row r="178" spans="1:3" x14ac:dyDescent="0.35">
      <c r="A178" s="4">
        <v>1178</v>
      </c>
      <c r="B178" s="4">
        <f>COUNTIFS(Data!$C$2:$C$5001,A178,Data!$U$2:$U$5001,1)</f>
        <v>3</v>
      </c>
      <c r="C178" s="5">
        <f>SUMIFS(Data!$L$2:$L$5001,Data!$C$2:$C$5001,A178,Data!$U$2:$U$5001,1)</f>
        <v>3751.5800000000004</v>
      </c>
    </row>
    <row r="179" spans="1:3" x14ac:dyDescent="0.35">
      <c r="A179" s="4">
        <v>1179</v>
      </c>
      <c r="B179" s="4">
        <f>COUNTIFS(Data!$C$2:$C$5001,A179,Data!$U$2:$U$5001,1)</f>
        <v>3</v>
      </c>
      <c r="C179" s="5">
        <f>SUMIFS(Data!$L$2:$L$5001,Data!$C$2:$C$5001,A179,Data!$U$2:$U$5001,1)</f>
        <v>2210.31</v>
      </c>
    </row>
    <row r="180" spans="1:3" x14ac:dyDescent="0.35">
      <c r="A180" s="4">
        <v>1180</v>
      </c>
      <c r="B180" s="4">
        <f>COUNTIFS(Data!$C$2:$C$5001,A180,Data!$U$2:$U$5001,1)</f>
        <v>1</v>
      </c>
      <c r="C180" s="5">
        <f>SUMIFS(Data!$L$2:$L$5001,Data!$C$2:$C$5001,A180,Data!$U$2:$U$5001,1)</f>
        <v>1565.1</v>
      </c>
    </row>
    <row r="181" spans="1:3" x14ac:dyDescent="0.35">
      <c r="A181" s="4">
        <v>1181</v>
      </c>
      <c r="B181" s="4">
        <f>COUNTIFS(Data!$C$2:$C$5001,A181,Data!$U$2:$U$5001,1)</f>
        <v>6</v>
      </c>
      <c r="C181" s="5">
        <f>SUMIFS(Data!$L$2:$L$5001,Data!$C$2:$C$5001,A181,Data!$U$2:$U$5001,1)</f>
        <v>3566.1499999999996</v>
      </c>
    </row>
    <row r="182" spans="1:3" x14ac:dyDescent="0.35">
      <c r="A182" s="4">
        <v>1182</v>
      </c>
      <c r="B182" s="4">
        <f>COUNTIFS(Data!$C$2:$C$5001,A182,Data!$U$2:$U$5001,1)</f>
        <v>8</v>
      </c>
      <c r="C182" s="5">
        <f>SUMIFS(Data!$L$2:$L$5001,Data!$C$2:$C$5001,A182,Data!$U$2:$U$5001,1)</f>
        <v>11986.61</v>
      </c>
    </row>
    <row r="183" spans="1:3" x14ac:dyDescent="0.35">
      <c r="A183" s="4">
        <v>1183</v>
      </c>
      <c r="B183" s="4">
        <f>COUNTIFS(Data!$C$2:$C$5001,A183,Data!$U$2:$U$5001,1)</f>
        <v>5</v>
      </c>
      <c r="C183" s="5">
        <f>SUMIFS(Data!$L$2:$L$5001,Data!$C$2:$C$5001,A183,Data!$U$2:$U$5001,1)</f>
        <v>3376.57</v>
      </c>
    </row>
    <row r="184" spans="1:3" x14ac:dyDescent="0.35">
      <c r="A184" s="4">
        <v>1184</v>
      </c>
      <c r="B184" s="4">
        <f>COUNTIFS(Data!$C$2:$C$5001,A184,Data!$U$2:$U$5001,1)</f>
        <v>1</v>
      </c>
      <c r="C184" s="5">
        <f>SUMIFS(Data!$L$2:$L$5001,Data!$C$2:$C$5001,A184,Data!$U$2:$U$5001,1)</f>
        <v>522.12</v>
      </c>
    </row>
    <row r="185" spans="1:3" x14ac:dyDescent="0.35">
      <c r="A185" s="4">
        <v>1185</v>
      </c>
      <c r="B185" s="4">
        <f>COUNTIFS(Data!$C$2:$C$5001,A185,Data!$U$2:$U$5001,1)</f>
        <v>3</v>
      </c>
      <c r="C185" s="5">
        <f>SUMIFS(Data!$L$2:$L$5001,Data!$C$2:$C$5001,A185,Data!$U$2:$U$5001,1)</f>
        <v>3788.2400000000002</v>
      </c>
    </row>
    <row r="186" spans="1:3" x14ac:dyDescent="0.35">
      <c r="A186" s="4">
        <v>1186</v>
      </c>
      <c r="B186" s="4">
        <f>COUNTIFS(Data!$C$2:$C$5001,A186,Data!$U$2:$U$5001,1)</f>
        <v>3</v>
      </c>
      <c r="C186" s="5">
        <f>SUMIFS(Data!$L$2:$L$5001,Data!$C$2:$C$5001,A186,Data!$U$2:$U$5001,1)</f>
        <v>1727.08</v>
      </c>
    </row>
    <row r="187" spans="1:3" x14ac:dyDescent="0.35">
      <c r="A187" s="4">
        <v>1187</v>
      </c>
      <c r="B187" s="4">
        <f>COUNTIFS(Data!$C$2:$C$5001,A187,Data!$U$2:$U$5001,1)</f>
        <v>9</v>
      </c>
      <c r="C187" s="5">
        <f>SUMIFS(Data!$L$2:$L$5001,Data!$C$2:$C$5001,A187,Data!$U$2:$U$5001,1)</f>
        <v>10718.54</v>
      </c>
    </row>
    <row r="188" spans="1:3" x14ac:dyDescent="0.35">
      <c r="A188" s="4">
        <v>1188</v>
      </c>
      <c r="B188" s="4">
        <f>COUNTIFS(Data!$C$2:$C$5001,A188,Data!$U$2:$U$5001,1)</f>
        <v>1</v>
      </c>
      <c r="C188" s="5">
        <f>SUMIFS(Data!$L$2:$L$5001,Data!$C$2:$C$5001,A188,Data!$U$2:$U$5001,1)</f>
        <v>1438.5</v>
      </c>
    </row>
    <row r="189" spans="1:3" x14ac:dyDescent="0.35">
      <c r="A189" s="4">
        <v>1189</v>
      </c>
      <c r="B189" s="4">
        <f>COUNTIFS(Data!$C$2:$C$5001,A189,Data!$U$2:$U$5001,1)</f>
        <v>9</v>
      </c>
      <c r="C189" s="5">
        <f>SUMIFS(Data!$L$2:$L$5001,Data!$C$2:$C$5001,A189,Data!$U$2:$U$5001,1)</f>
        <v>9495.69</v>
      </c>
    </row>
    <row r="190" spans="1:3" x14ac:dyDescent="0.35">
      <c r="A190" s="4">
        <v>1190</v>
      </c>
      <c r="B190" s="4">
        <f>COUNTIFS(Data!$C$2:$C$5001,A190,Data!$U$2:$U$5001,1)</f>
        <v>5</v>
      </c>
      <c r="C190" s="5">
        <f>SUMIFS(Data!$L$2:$L$5001,Data!$C$2:$C$5001,A190,Data!$U$2:$U$5001,1)</f>
        <v>3165.71</v>
      </c>
    </row>
    <row r="191" spans="1:3" x14ac:dyDescent="0.35">
      <c r="A191" s="4">
        <v>1191</v>
      </c>
      <c r="B191" s="4">
        <f>COUNTIFS(Data!$C$2:$C$5001,A191,Data!$U$2:$U$5001,1)</f>
        <v>6</v>
      </c>
      <c r="C191" s="5">
        <f>SUMIFS(Data!$L$2:$L$5001,Data!$C$2:$C$5001,A191,Data!$U$2:$U$5001,1)</f>
        <v>6055.83</v>
      </c>
    </row>
    <row r="192" spans="1:3" x14ac:dyDescent="0.35">
      <c r="A192" s="4">
        <v>1192</v>
      </c>
      <c r="B192" s="4">
        <f>COUNTIFS(Data!$C$2:$C$5001,A192,Data!$U$2:$U$5001,1)</f>
        <v>2</v>
      </c>
      <c r="C192" s="5">
        <f>SUMIFS(Data!$L$2:$L$5001,Data!$C$2:$C$5001,A192,Data!$U$2:$U$5001,1)</f>
        <v>1910.4</v>
      </c>
    </row>
    <row r="193" spans="1:3" x14ac:dyDescent="0.35">
      <c r="A193" s="4">
        <v>1193</v>
      </c>
      <c r="B193" s="4">
        <f>COUNTIFS(Data!$C$2:$C$5001,A193,Data!$U$2:$U$5001,1)</f>
        <v>7</v>
      </c>
      <c r="C193" s="5">
        <f>SUMIFS(Data!$L$2:$L$5001,Data!$C$2:$C$5001,A193,Data!$U$2:$U$5001,1)</f>
        <v>14151.65</v>
      </c>
    </row>
    <row r="194" spans="1:3" x14ac:dyDescent="0.35">
      <c r="A194" s="4">
        <v>1194</v>
      </c>
      <c r="B194" s="4">
        <f>COUNTIFS(Data!$C$2:$C$5001,A194,Data!$U$2:$U$5001,1)</f>
        <v>5</v>
      </c>
      <c r="C194" s="5">
        <f>SUMIFS(Data!$L$2:$L$5001,Data!$C$2:$C$5001,A194,Data!$U$2:$U$5001,1)</f>
        <v>1942.74</v>
      </c>
    </row>
    <row r="195" spans="1:3" x14ac:dyDescent="0.35">
      <c r="A195" s="4">
        <v>1195</v>
      </c>
      <c r="B195" s="4">
        <f>COUNTIFS(Data!$C$2:$C$5001,A195,Data!$U$2:$U$5001,1)</f>
        <v>8</v>
      </c>
      <c r="C195" s="5">
        <f>SUMIFS(Data!$L$2:$L$5001,Data!$C$2:$C$5001,A195,Data!$U$2:$U$5001,1)</f>
        <v>5628.16</v>
      </c>
    </row>
    <row r="196" spans="1:3" x14ac:dyDescent="0.35">
      <c r="A196" s="4">
        <v>1197</v>
      </c>
      <c r="B196" s="4">
        <f>COUNTIFS(Data!$C$2:$C$5001,A196,Data!$U$2:$U$5001,1)</f>
        <v>5</v>
      </c>
      <c r="C196" s="5">
        <f>SUMIFS(Data!$L$2:$L$5001,Data!$C$2:$C$5001,A196,Data!$U$2:$U$5001,1)</f>
        <v>3829.5200000000004</v>
      </c>
    </row>
    <row r="197" spans="1:3" x14ac:dyDescent="0.35">
      <c r="A197" s="4">
        <v>1198</v>
      </c>
      <c r="B197" s="4">
        <f>COUNTIFS(Data!$C$2:$C$5001,A197,Data!$U$2:$U$5001,1)</f>
        <v>2</v>
      </c>
      <c r="C197" s="5">
        <f>SUMIFS(Data!$L$2:$L$5001,Data!$C$2:$C$5001,A197,Data!$U$2:$U$5001,1)</f>
        <v>777.61</v>
      </c>
    </row>
    <row r="198" spans="1:3" x14ac:dyDescent="0.35">
      <c r="A198" s="4">
        <v>1199</v>
      </c>
      <c r="B198" s="4">
        <f>COUNTIFS(Data!$C$2:$C$5001,A198,Data!$U$2:$U$5001,1)</f>
        <v>3</v>
      </c>
      <c r="C198" s="5">
        <f>SUMIFS(Data!$L$2:$L$5001,Data!$C$2:$C$5001,A198,Data!$U$2:$U$5001,1)</f>
        <v>1934.25</v>
      </c>
    </row>
    <row r="199" spans="1:3" x14ac:dyDescent="0.35">
      <c r="A199" s="4">
        <v>1200</v>
      </c>
      <c r="B199" s="4">
        <f>COUNTIFS(Data!$C$2:$C$5001,A199,Data!$U$2:$U$5001,1)</f>
        <v>9</v>
      </c>
      <c r="C199" s="5">
        <f>SUMIFS(Data!$L$2:$L$5001,Data!$C$2:$C$5001,A199,Data!$U$2:$U$5001,1)</f>
        <v>11280.230000000001</v>
      </c>
    </row>
    <row r="200" spans="1:3" x14ac:dyDescent="0.35">
      <c r="A200" s="4">
        <v>1201</v>
      </c>
      <c r="B200" s="4">
        <f>COUNTIFS(Data!$C$2:$C$5001,A200,Data!$U$2:$U$5001,1)</f>
        <v>6</v>
      </c>
      <c r="C200" s="5">
        <f>SUMIFS(Data!$L$2:$L$5001,Data!$C$2:$C$5001,A200,Data!$U$2:$U$5001,1)</f>
        <v>6759.4400000000005</v>
      </c>
    </row>
    <row r="201" spans="1:3" x14ac:dyDescent="0.35">
      <c r="A201" s="4">
        <v>1202</v>
      </c>
      <c r="B201" s="4">
        <f>COUNTIFS(Data!$C$2:$C$5001,A201,Data!$U$2:$U$5001,1)</f>
        <v>5</v>
      </c>
      <c r="C201" s="5">
        <f>SUMIFS(Data!$L$2:$L$5001,Data!$C$2:$C$5001,A201,Data!$U$2:$U$5001,1)</f>
        <v>4528.87</v>
      </c>
    </row>
    <row r="202" spans="1:3" x14ac:dyDescent="0.35">
      <c r="A202" s="4">
        <v>1203</v>
      </c>
      <c r="B202" s="4">
        <f>COUNTIFS(Data!$C$2:$C$5001,A202,Data!$U$2:$U$5001,1)</f>
        <v>4</v>
      </c>
      <c r="C202" s="5">
        <f>SUMIFS(Data!$L$2:$L$5001,Data!$C$2:$C$5001,A202,Data!$U$2:$U$5001,1)</f>
        <v>3063.26</v>
      </c>
    </row>
    <row r="203" spans="1:3" x14ac:dyDescent="0.35">
      <c r="A203" s="4">
        <v>1204</v>
      </c>
      <c r="B203" s="4">
        <f>COUNTIFS(Data!$C$2:$C$5001,A203,Data!$U$2:$U$5001,1)</f>
        <v>2</v>
      </c>
      <c r="C203" s="5">
        <f>SUMIFS(Data!$L$2:$L$5001,Data!$C$2:$C$5001,A203,Data!$U$2:$U$5001,1)</f>
        <v>616.21</v>
      </c>
    </row>
    <row r="204" spans="1:3" x14ac:dyDescent="0.35">
      <c r="A204" s="4">
        <v>1205</v>
      </c>
      <c r="B204" s="4">
        <f>COUNTIFS(Data!$C$2:$C$5001,A204,Data!$U$2:$U$5001,1)</f>
        <v>4</v>
      </c>
      <c r="C204" s="5">
        <f>SUMIFS(Data!$L$2:$L$5001,Data!$C$2:$C$5001,A204,Data!$U$2:$U$5001,1)</f>
        <v>5404.9699999999993</v>
      </c>
    </row>
    <row r="205" spans="1:3" x14ac:dyDescent="0.35">
      <c r="A205" s="4">
        <v>1206</v>
      </c>
      <c r="B205" s="4">
        <f>COUNTIFS(Data!$C$2:$C$5001,A205,Data!$U$2:$U$5001,1)</f>
        <v>4</v>
      </c>
      <c r="C205" s="5">
        <f>SUMIFS(Data!$L$2:$L$5001,Data!$C$2:$C$5001,A205,Data!$U$2:$U$5001,1)</f>
        <v>4397.24</v>
      </c>
    </row>
    <row r="206" spans="1:3" x14ac:dyDescent="0.35">
      <c r="A206" s="4">
        <v>1207</v>
      </c>
      <c r="B206" s="4">
        <f>COUNTIFS(Data!$C$2:$C$5001,A206,Data!$U$2:$U$5001,1)</f>
        <v>4</v>
      </c>
      <c r="C206" s="5">
        <f>SUMIFS(Data!$L$2:$L$5001,Data!$C$2:$C$5001,A206,Data!$U$2:$U$5001,1)</f>
        <v>4338.01</v>
      </c>
    </row>
    <row r="207" spans="1:3" x14ac:dyDescent="0.35">
      <c r="A207" s="4">
        <v>1208</v>
      </c>
      <c r="B207" s="4">
        <f>COUNTIFS(Data!$C$2:$C$5001,A207,Data!$U$2:$U$5001,1)</f>
        <v>3</v>
      </c>
      <c r="C207" s="5">
        <f>SUMIFS(Data!$L$2:$L$5001,Data!$C$2:$C$5001,A207,Data!$U$2:$U$5001,1)</f>
        <v>3342.66</v>
      </c>
    </row>
    <row r="208" spans="1:3" x14ac:dyDescent="0.35">
      <c r="A208" s="4">
        <v>1209</v>
      </c>
      <c r="B208" s="4">
        <f>COUNTIFS(Data!$C$2:$C$5001,A208,Data!$U$2:$U$5001,1)</f>
        <v>6</v>
      </c>
      <c r="C208" s="5">
        <f>SUMIFS(Data!$L$2:$L$5001,Data!$C$2:$C$5001,A208,Data!$U$2:$U$5001,1)</f>
        <v>6256.0300000000007</v>
      </c>
    </row>
    <row r="209" spans="1:3" x14ac:dyDescent="0.35">
      <c r="A209" s="4">
        <v>1210</v>
      </c>
      <c r="B209" s="4">
        <f>COUNTIFS(Data!$C$2:$C$5001,A209,Data!$U$2:$U$5001,1)</f>
        <v>4</v>
      </c>
      <c r="C209" s="5">
        <f>SUMIFS(Data!$L$2:$L$5001,Data!$C$2:$C$5001,A209,Data!$U$2:$U$5001,1)</f>
        <v>1649.16</v>
      </c>
    </row>
    <row r="210" spans="1:3" x14ac:dyDescent="0.35">
      <c r="A210" s="4">
        <v>1211</v>
      </c>
      <c r="B210" s="4">
        <f>COUNTIFS(Data!$C$2:$C$5001,A210,Data!$U$2:$U$5001,1)</f>
        <v>1</v>
      </c>
      <c r="C210" s="5">
        <f>SUMIFS(Data!$L$2:$L$5001,Data!$C$2:$C$5001,A210,Data!$U$2:$U$5001,1)</f>
        <v>350.86</v>
      </c>
    </row>
    <row r="211" spans="1:3" x14ac:dyDescent="0.35">
      <c r="A211" s="4">
        <v>1212</v>
      </c>
      <c r="B211" s="4">
        <f>COUNTIFS(Data!$C$2:$C$5001,A211,Data!$U$2:$U$5001,1)</f>
        <v>6</v>
      </c>
      <c r="C211" s="5">
        <f>SUMIFS(Data!$L$2:$L$5001,Data!$C$2:$C$5001,A211,Data!$U$2:$U$5001,1)</f>
        <v>7114.2300000000005</v>
      </c>
    </row>
    <row r="212" spans="1:3" x14ac:dyDescent="0.35">
      <c r="A212" s="4">
        <v>1213</v>
      </c>
      <c r="B212" s="4">
        <f>COUNTIFS(Data!$C$2:$C$5001,A212,Data!$U$2:$U$5001,1)</f>
        <v>5</v>
      </c>
      <c r="C212" s="5">
        <f>SUMIFS(Data!$L$2:$L$5001,Data!$C$2:$C$5001,A212,Data!$U$2:$U$5001,1)</f>
        <v>1517.42</v>
      </c>
    </row>
    <row r="213" spans="1:3" x14ac:dyDescent="0.35">
      <c r="A213" s="4">
        <v>1214</v>
      </c>
      <c r="B213" s="4">
        <f>COUNTIFS(Data!$C$2:$C$5001,A213,Data!$U$2:$U$5001,1)</f>
        <v>4</v>
      </c>
      <c r="C213" s="5">
        <f>SUMIFS(Data!$L$2:$L$5001,Data!$C$2:$C$5001,A213,Data!$U$2:$U$5001,1)</f>
        <v>5654.41</v>
      </c>
    </row>
    <row r="214" spans="1:3" x14ac:dyDescent="0.35">
      <c r="A214" s="4">
        <v>1215</v>
      </c>
      <c r="B214" s="4">
        <f>COUNTIFS(Data!$C$2:$C$5001,A214,Data!$U$2:$U$5001,1)</f>
        <v>8</v>
      </c>
      <c r="C214" s="5">
        <f>SUMIFS(Data!$L$2:$L$5001,Data!$C$2:$C$5001,A214,Data!$U$2:$U$5001,1)</f>
        <v>7410.91</v>
      </c>
    </row>
    <row r="215" spans="1:3" x14ac:dyDescent="0.35">
      <c r="A215" s="4">
        <v>1216</v>
      </c>
      <c r="B215" s="4">
        <f>COUNTIFS(Data!$C$2:$C$5001,A215,Data!$U$2:$U$5001,1)</f>
        <v>7</v>
      </c>
      <c r="C215" s="5">
        <f>SUMIFS(Data!$L$2:$L$5001,Data!$C$2:$C$5001,A215,Data!$U$2:$U$5001,1)</f>
        <v>5240.0300000000007</v>
      </c>
    </row>
    <row r="216" spans="1:3" x14ac:dyDescent="0.35">
      <c r="A216" s="4">
        <v>1217</v>
      </c>
      <c r="B216" s="4">
        <f>COUNTIFS(Data!$C$2:$C$5001,A216,Data!$U$2:$U$5001,1)</f>
        <v>7</v>
      </c>
      <c r="C216" s="5">
        <f>SUMIFS(Data!$L$2:$L$5001,Data!$C$2:$C$5001,A216,Data!$U$2:$U$5001,1)</f>
        <v>8896.4</v>
      </c>
    </row>
    <row r="217" spans="1:3" x14ac:dyDescent="0.35">
      <c r="A217" s="4">
        <v>1218</v>
      </c>
      <c r="B217" s="4">
        <f>COUNTIFS(Data!$C$2:$C$5001,A217,Data!$U$2:$U$5001,1)</f>
        <v>1</v>
      </c>
      <c r="C217" s="5">
        <f>SUMIFS(Data!$L$2:$L$5001,Data!$C$2:$C$5001,A217,Data!$U$2:$U$5001,1)</f>
        <v>1531.37</v>
      </c>
    </row>
    <row r="218" spans="1:3" x14ac:dyDescent="0.35">
      <c r="A218" s="4">
        <v>1219</v>
      </c>
      <c r="B218" s="4">
        <f>COUNTIFS(Data!$C$2:$C$5001,A218,Data!$U$2:$U$5001,1)</f>
        <v>10</v>
      </c>
      <c r="C218" s="5">
        <f>SUMIFS(Data!$L$2:$L$5001,Data!$C$2:$C$5001,A218,Data!$U$2:$U$5001,1)</f>
        <v>9219.3299999999981</v>
      </c>
    </row>
    <row r="219" spans="1:3" x14ac:dyDescent="0.35">
      <c r="A219" s="4">
        <v>1220</v>
      </c>
      <c r="B219" s="4">
        <f>COUNTIFS(Data!$C$2:$C$5001,A219,Data!$U$2:$U$5001,1)</f>
        <v>3</v>
      </c>
      <c r="C219" s="5">
        <f>SUMIFS(Data!$L$2:$L$5001,Data!$C$2:$C$5001,A219,Data!$U$2:$U$5001,1)</f>
        <v>3279.9700000000003</v>
      </c>
    </row>
    <row r="220" spans="1:3" x14ac:dyDescent="0.35">
      <c r="A220" s="4">
        <v>1221</v>
      </c>
      <c r="B220" s="4">
        <f>COUNTIFS(Data!$C$2:$C$5001,A220,Data!$U$2:$U$5001,1)</f>
        <v>4</v>
      </c>
      <c r="C220" s="5">
        <f>SUMIFS(Data!$L$2:$L$5001,Data!$C$2:$C$5001,A220,Data!$U$2:$U$5001,1)</f>
        <v>6506.5199999999995</v>
      </c>
    </row>
    <row r="221" spans="1:3" x14ac:dyDescent="0.35">
      <c r="A221" s="4">
        <v>1222</v>
      </c>
      <c r="B221" s="4">
        <f>COUNTIFS(Data!$C$2:$C$5001,A221,Data!$U$2:$U$5001,1)</f>
        <v>9</v>
      </c>
      <c r="C221" s="5">
        <f>SUMIFS(Data!$L$2:$L$5001,Data!$C$2:$C$5001,A221,Data!$U$2:$U$5001,1)</f>
        <v>11980.54</v>
      </c>
    </row>
    <row r="222" spans="1:3" x14ac:dyDescent="0.35">
      <c r="A222" s="4">
        <v>1223</v>
      </c>
      <c r="B222" s="4">
        <f>COUNTIFS(Data!$C$2:$C$5001,A222,Data!$U$2:$U$5001,1)</f>
        <v>5</v>
      </c>
      <c r="C222" s="5">
        <f>SUMIFS(Data!$L$2:$L$5001,Data!$C$2:$C$5001,A222,Data!$U$2:$U$5001,1)</f>
        <v>6002.28</v>
      </c>
    </row>
    <row r="223" spans="1:3" x14ac:dyDescent="0.35">
      <c r="A223" s="4">
        <v>1224</v>
      </c>
      <c r="B223" s="4">
        <f>COUNTIFS(Data!$C$2:$C$5001,A223,Data!$U$2:$U$5001,1)</f>
        <v>6</v>
      </c>
      <c r="C223" s="5">
        <f>SUMIFS(Data!$L$2:$L$5001,Data!$C$2:$C$5001,A223,Data!$U$2:$U$5001,1)</f>
        <v>3934.66</v>
      </c>
    </row>
    <row r="224" spans="1:3" x14ac:dyDescent="0.35">
      <c r="A224" s="4">
        <v>1225</v>
      </c>
      <c r="B224" s="4">
        <f>COUNTIFS(Data!$C$2:$C$5001,A224,Data!$U$2:$U$5001,1)</f>
        <v>8</v>
      </c>
      <c r="C224" s="5">
        <f>SUMIFS(Data!$L$2:$L$5001,Data!$C$2:$C$5001,A224,Data!$U$2:$U$5001,1)</f>
        <v>5651.08</v>
      </c>
    </row>
    <row r="225" spans="1:3" x14ac:dyDescent="0.35">
      <c r="A225" s="4">
        <v>1226</v>
      </c>
      <c r="B225" s="4">
        <f>COUNTIFS(Data!$C$2:$C$5001,A225,Data!$U$2:$U$5001,1)</f>
        <v>9</v>
      </c>
      <c r="C225" s="5">
        <f>SUMIFS(Data!$L$2:$L$5001,Data!$C$2:$C$5001,A225,Data!$U$2:$U$5001,1)</f>
        <v>8265.3700000000008</v>
      </c>
    </row>
    <row r="226" spans="1:3" x14ac:dyDescent="0.35">
      <c r="A226" s="4">
        <v>1227</v>
      </c>
      <c r="B226" s="4">
        <f>COUNTIFS(Data!$C$2:$C$5001,A226,Data!$U$2:$U$5001,1)</f>
        <v>5</v>
      </c>
      <c r="C226" s="5">
        <f>SUMIFS(Data!$L$2:$L$5001,Data!$C$2:$C$5001,A226,Data!$U$2:$U$5001,1)</f>
        <v>6352.4699999999993</v>
      </c>
    </row>
    <row r="227" spans="1:3" x14ac:dyDescent="0.35">
      <c r="A227" s="4">
        <v>1228</v>
      </c>
      <c r="B227" s="4">
        <f>COUNTIFS(Data!$C$2:$C$5001,A227,Data!$U$2:$U$5001,1)</f>
        <v>8</v>
      </c>
      <c r="C227" s="5">
        <f>SUMIFS(Data!$L$2:$L$5001,Data!$C$2:$C$5001,A227,Data!$U$2:$U$5001,1)</f>
        <v>8175.9800000000005</v>
      </c>
    </row>
    <row r="228" spans="1:3" x14ac:dyDescent="0.35">
      <c r="A228" s="4">
        <v>1229</v>
      </c>
      <c r="B228" s="4">
        <f>COUNTIFS(Data!$C$2:$C$5001,A228,Data!$U$2:$U$5001,1)</f>
        <v>3</v>
      </c>
      <c r="C228" s="5">
        <f>SUMIFS(Data!$L$2:$L$5001,Data!$C$2:$C$5001,A228,Data!$U$2:$U$5001,1)</f>
        <v>6099.04</v>
      </c>
    </row>
    <row r="229" spans="1:3" x14ac:dyDescent="0.35">
      <c r="A229" s="4">
        <v>1230</v>
      </c>
      <c r="B229" s="4">
        <f>COUNTIFS(Data!$C$2:$C$5001,A229,Data!$U$2:$U$5001,1)</f>
        <v>8</v>
      </c>
      <c r="C229" s="5">
        <f>SUMIFS(Data!$L$2:$L$5001,Data!$C$2:$C$5001,A229,Data!$U$2:$U$5001,1)</f>
        <v>7175.58</v>
      </c>
    </row>
    <row r="230" spans="1:3" x14ac:dyDescent="0.35">
      <c r="A230" s="4">
        <v>1231</v>
      </c>
      <c r="B230" s="4">
        <f>COUNTIFS(Data!$C$2:$C$5001,A230,Data!$U$2:$U$5001,1)</f>
        <v>3</v>
      </c>
      <c r="C230" s="5">
        <f>SUMIFS(Data!$L$2:$L$5001,Data!$C$2:$C$5001,A230,Data!$U$2:$U$5001,1)</f>
        <v>3464.9300000000003</v>
      </c>
    </row>
    <row r="231" spans="1:3" x14ac:dyDescent="0.35">
      <c r="A231" s="4">
        <v>1232</v>
      </c>
      <c r="B231" s="4">
        <f>COUNTIFS(Data!$C$2:$C$5001,A231,Data!$U$2:$U$5001,1)</f>
        <v>10</v>
      </c>
      <c r="C231" s="5">
        <f>SUMIFS(Data!$L$2:$L$5001,Data!$C$2:$C$5001,A231,Data!$U$2:$U$5001,1)</f>
        <v>10833.980000000001</v>
      </c>
    </row>
    <row r="232" spans="1:3" x14ac:dyDescent="0.35">
      <c r="A232" s="4">
        <v>1233</v>
      </c>
      <c r="B232" s="4">
        <f>COUNTIFS(Data!$C$2:$C$5001,A232,Data!$U$2:$U$5001,1)</f>
        <v>3</v>
      </c>
      <c r="C232" s="5">
        <f>SUMIFS(Data!$L$2:$L$5001,Data!$C$2:$C$5001,A232,Data!$U$2:$U$5001,1)</f>
        <v>7132.1600000000008</v>
      </c>
    </row>
    <row r="233" spans="1:3" x14ac:dyDescent="0.35">
      <c r="A233" s="4">
        <v>1234</v>
      </c>
      <c r="B233" s="4">
        <f>COUNTIFS(Data!$C$2:$C$5001,A233,Data!$U$2:$U$5001,1)</f>
        <v>4</v>
      </c>
      <c r="C233" s="5">
        <f>SUMIFS(Data!$L$2:$L$5001,Data!$C$2:$C$5001,A233,Data!$U$2:$U$5001,1)</f>
        <v>3408.2999999999997</v>
      </c>
    </row>
    <row r="234" spans="1:3" x14ac:dyDescent="0.35">
      <c r="A234" s="4">
        <v>1235</v>
      </c>
      <c r="B234" s="4">
        <f>COUNTIFS(Data!$C$2:$C$5001,A234,Data!$U$2:$U$5001,1)</f>
        <v>4</v>
      </c>
      <c r="C234" s="5">
        <f>SUMIFS(Data!$L$2:$L$5001,Data!$C$2:$C$5001,A234,Data!$U$2:$U$5001,1)</f>
        <v>1101.99</v>
      </c>
    </row>
    <row r="235" spans="1:3" x14ac:dyDescent="0.35">
      <c r="A235" s="4">
        <v>1236</v>
      </c>
      <c r="B235" s="4">
        <f>COUNTIFS(Data!$C$2:$C$5001,A235,Data!$U$2:$U$5001,1)</f>
        <v>4</v>
      </c>
      <c r="C235" s="5">
        <f>SUMIFS(Data!$L$2:$L$5001,Data!$C$2:$C$5001,A235,Data!$U$2:$U$5001,1)</f>
        <v>6405.6500000000005</v>
      </c>
    </row>
    <row r="236" spans="1:3" x14ac:dyDescent="0.35">
      <c r="A236" s="4">
        <v>1237</v>
      </c>
      <c r="B236" s="4">
        <f>COUNTIFS(Data!$C$2:$C$5001,A236,Data!$U$2:$U$5001,1)</f>
        <v>3</v>
      </c>
      <c r="C236" s="5">
        <f>SUMIFS(Data!$L$2:$L$5001,Data!$C$2:$C$5001,A236,Data!$U$2:$U$5001,1)</f>
        <v>3435.14</v>
      </c>
    </row>
    <row r="237" spans="1:3" x14ac:dyDescent="0.35">
      <c r="A237" s="4">
        <v>1238</v>
      </c>
      <c r="B237" s="4">
        <f>COUNTIFS(Data!$C$2:$C$5001,A237,Data!$U$2:$U$5001,1)</f>
        <v>5</v>
      </c>
      <c r="C237" s="5">
        <f>SUMIFS(Data!$L$2:$L$5001,Data!$C$2:$C$5001,A237,Data!$U$2:$U$5001,1)</f>
        <v>2960.63</v>
      </c>
    </row>
    <row r="238" spans="1:3" x14ac:dyDescent="0.35">
      <c r="A238" s="4">
        <v>1239</v>
      </c>
      <c r="B238" s="4">
        <f>COUNTIFS(Data!$C$2:$C$5001,A238,Data!$U$2:$U$5001,1)</f>
        <v>1</v>
      </c>
      <c r="C238" s="5">
        <f>SUMIFS(Data!$L$2:$L$5001,Data!$C$2:$C$5001,A238,Data!$U$2:$U$5001,1)</f>
        <v>1936.93</v>
      </c>
    </row>
    <row r="239" spans="1:3" x14ac:dyDescent="0.35">
      <c r="A239" s="4">
        <v>1240</v>
      </c>
      <c r="B239" s="4">
        <f>COUNTIFS(Data!$C$2:$C$5001,A239,Data!$U$2:$U$5001,1)</f>
        <v>2</v>
      </c>
      <c r="C239" s="5">
        <f>SUMIFS(Data!$L$2:$L$5001,Data!$C$2:$C$5001,A239,Data!$U$2:$U$5001,1)</f>
        <v>2289.4</v>
      </c>
    </row>
    <row r="240" spans="1:3" x14ac:dyDescent="0.35">
      <c r="A240" s="4">
        <v>1241</v>
      </c>
      <c r="B240" s="4">
        <f>COUNTIFS(Data!$C$2:$C$5001,A240,Data!$U$2:$U$5001,1)</f>
        <v>8</v>
      </c>
      <c r="C240" s="5">
        <f>SUMIFS(Data!$L$2:$L$5001,Data!$C$2:$C$5001,A240,Data!$U$2:$U$5001,1)</f>
        <v>10557.43</v>
      </c>
    </row>
    <row r="241" spans="1:3" x14ac:dyDescent="0.35">
      <c r="A241" s="4">
        <v>1242</v>
      </c>
      <c r="B241" s="4">
        <f>COUNTIFS(Data!$C$2:$C$5001,A241,Data!$U$2:$U$5001,1)</f>
        <v>5</v>
      </c>
      <c r="C241" s="5">
        <f>SUMIFS(Data!$L$2:$L$5001,Data!$C$2:$C$5001,A241,Data!$U$2:$U$5001,1)</f>
        <v>2488.0700000000002</v>
      </c>
    </row>
    <row r="242" spans="1:3" x14ac:dyDescent="0.35">
      <c r="A242" s="4">
        <v>1243</v>
      </c>
      <c r="B242" s="4">
        <f>COUNTIFS(Data!$C$2:$C$5001,A242,Data!$U$2:$U$5001,1)</f>
        <v>4</v>
      </c>
      <c r="C242" s="5">
        <f>SUMIFS(Data!$L$2:$L$5001,Data!$C$2:$C$5001,A242,Data!$U$2:$U$5001,1)</f>
        <v>6138.2199999999993</v>
      </c>
    </row>
    <row r="243" spans="1:3" x14ac:dyDescent="0.35">
      <c r="A243" s="4">
        <v>1244</v>
      </c>
      <c r="B243" s="4">
        <f>COUNTIFS(Data!$C$2:$C$5001,A243,Data!$U$2:$U$5001,1)</f>
        <v>2</v>
      </c>
      <c r="C243" s="5">
        <f>SUMIFS(Data!$L$2:$L$5001,Data!$C$2:$C$5001,A243,Data!$U$2:$U$5001,1)</f>
        <v>3526.6</v>
      </c>
    </row>
    <row r="244" spans="1:3" x14ac:dyDescent="0.35">
      <c r="A244" s="4">
        <v>1245</v>
      </c>
      <c r="B244" s="4">
        <f>COUNTIFS(Data!$C$2:$C$5001,A244,Data!$U$2:$U$5001,1)</f>
        <v>4</v>
      </c>
      <c r="C244" s="5">
        <f>SUMIFS(Data!$L$2:$L$5001,Data!$C$2:$C$5001,A244,Data!$U$2:$U$5001,1)</f>
        <v>5318.62</v>
      </c>
    </row>
    <row r="245" spans="1:3" x14ac:dyDescent="0.35">
      <c r="A245" s="4">
        <v>1246</v>
      </c>
      <c r="B245" s="4">
        <f>COUNTIFS(Data!$C$2:$C$5001,A245,Data!$U$2:$U$5001,1)</f>
        <v>3</v>
      </c>
      <c r="C245" s="5">
        <f>SUMIFS(Data!$L$2:$L$5001,Data!$C$2:$C$5001,A245,Data!$U$2:$U$5001,1)</f>
        <v>3921.49</v>
      </c>
    </row>
    <row r="246" spans="1:3" x14ac:dyDescent="0.35">
      <c r="A246" s="4">
        <v>1247</v>
      </c>
      <c r="B246" s="4">
        <f>COUNTIFS(Data!$C$2:$C$5001,A246,Data!$U$2:$U$5001,1)</f>
        <v>2</v>
      </c>
      <c r="C246" s="5">
        <f>SUMIFS(Data!$L$2:$L$5001,Data!$C$2:$C$5001,A246,Data!$U$2:$U$5001,1)</f>
        <v>718.39</v>
      </c>
    </row>
    <row r="247" spans="1:3" x14ac:dyDescent="0.35">
      <c r="A247" s="4">
        <v>1248</v>
      </c>
      <c r="B247" s="4">
        <f>COUNTIFS(Data!$C$2:$C$5001,A247,Data!$U$2:$U$5001,1)</f>
        <v>2</v>
      </c>
      <c r="C247" s="5">
        <f>SUMIFS(Data!$L$2:$L$5001,Data!$C$2:$C$5001,A247,Data!$U$2:$U$5001,1)</f>
        <v>2554.94</v>
      </c>
    </row>
    <row r="248" spans="1:3" x14ac:dyDescent="0.35">
      <c r="A248" s="4">
        <v>1249</v>
      </c>
      <c r="B248" s="4">
        <f>COUNTIFS(Data!$C$2:$C$5001,A248,Data!$U$2:$U$5001,1)</f>
        <v>5</v>
      </c>
      <c r="C248" s="5">
        <f>SUMIFS(Data!$L$2:$L$5001,Data!$C$2:$C$5001,A248,Data!$U$2:$U$5001,1)</f>
        <v>3353.36</v>
      </c>
    </row>
    <row r="249" spans="1:3" x14ac:dyDescent="0.35">
      <c r="A249" s="4">
        <v>1250</v>
      </c>
      <c r="B249" s="4">
        <f>COUNTIFS(Data!$C$2:$C$5001,A249,Data!$U$2:$U$5001,1)</f>
        <v>7</v>
      </c>
      <c r="C249" s="5">
        <f>SUMIFS(Data!$L$2:$L$5001,Data!$C$2:$C$5001,A249,Data!$U$2:$U$5001,1)</f>
        <v>4343.41</v>
      </c>
    </row>
    <row r="250" spans="1:3" x14ac:dyDescent="0.35">
      <c r="A250" s="4">
        <v>1251</v>
      </c>
      <c r="B250" s="4">
        <f>COUNTIFS(Data!$C$2:$C$5001,A250,Data!$U$2:$U$5001,1)</f>
        <v>2</v>
      </c>
      <c r="C250" s="5">
        <f>SUMIFS(Data!$L$2:$L$5001,Data!$C$2:$C$5001,A250,Data!$U$2:$U$5001,1)</f>
        <v>535.36</v>
      </c>
    </row>
    <row r="251" spans="1:3" x14ac:dyDescent="0.35">
      <c r="A251" s="4">
        <v>1252</v>
      </c>
      <c r="B251" s="4">
        <f>COUNTIFS(Data!$C$2:$C$5001,A251,Data!$U$2:$U$5001,1)</f>
        <v>8</v>
      </c>
      <c r="C251" s="5">
        <f>SUMIFS(Data!$L$2:$L$5001,Data!$C$2:$C$5001,A251,Data!$U$2:$U$5001,1)</f>
        <v>10531.3</v>
      </c>
    </row>
    <row r="252" spans="1:3" x14ac:dyDescent="0.35">
      <c r="A252" s="4">
        <v>1253</v>
      </c>
      <c r="B252" s="4">
        <f>COUNTIFS(Data!$C$2:$C$5001,A252,Data!$U$2:$U$5001,1)</f>
        <v>9</v>
      </c>
      <c r="C252" s="5">
        <f>SUMIFS(Data!$L$2:$L$5001,Data!$C$2:$C$5001,A252,Data!$U$2:$U$5001,1)</f>
        <v>5679.369999999999</v>
      </c>
    </row>
    <row r="253" spans="1:3" x14ac:dyDescent="0.35">
      <c r="A253" s="4">
        <v>1254</v>
      </c>
      <c r="B253" s="4">
        <f>COUNTIFS(Data!$C$2:$C$5001,A253,Data!$U$2:$U$5001,1)</f>
        <v>1</v>
      </c>
      <c r="C253" s="5">
        <f>SUMIFS(Data!$L$2:$L$5001,Data!$C$2:$C$5001,A253,Data!$U$2:$U$5001,1)</f>
        <v>417.94</v>
      </c>
    </row>
    <row r="254" spans="1:3" x14ac:dyDescent="0.35">
      <c r="A254" s="4">
        <v>1255</v>
      </c>
      <c r="B254" s="4">
        <f>COUNTIFS(Data!$C$2:$C$5001,A254,Data!$U$2:$U$5001,1)</f>
        <v>4</v>
      </c>
      <c r="C254" s="5">
        <f>SUMIFS(Data!$L$2:$L$5001,Data!$C$2:$C$5001,A254,Data!$U$2:$U$5001,1)</f>
        <v>2222.8200000000002</v>
      </c>
    </row>
    <row r="255" spans="1:3" x14ac:dyDescent="0.35">
      <c r="A255" s="4">
        <v>1256</v>
      </c>
      <c r="B255" s="4">
        <f>COUNTIFS(Data!$C$2:$C$5001,A255,Data!$U$2:$U$5001,1)</f>
        <v>4</v>
      </c>
      <c r="C255" s="5">
        <f>SUMIFS(Data!$L$2:$L$5001,Data!$C$2:$C$5001,A255,Data!$U$2:$U$5001,1)</f>
        <v>1804.44</v>
      </c>
    </row>
    <row r="256" spans="1:3" x14ac:dyDescent="0.35">
      <c r="A256" s="4">
        <v>1257</v>
      </c>
      <c r="B256" s="4">
        <f>COUNTIFS(Data!$C$2:$C$5001,A256,Data!$U$2:$U$5001,1)</f>
        <v>3</v>
      </c>
      <c r="C256" s="5">
        <f>SUMIFS(Data!$L$2:$L$5001,Data!$C$2:$C$5001,A256,Data!$U$2:$U$5001,1)</f>
        <v>1578.5700000000002</v>
      </c>
    </row>
    <row r="257" spans="1:3" x14ac:dyDescent="0.35">
      <c r="A257" s="4">
        <v>1258</v>
      </c>
      <c r="B257" s="4">
        <f>COUNTIFS(Data!$C$2:$C$5001,A257,Data!$U$2:$U$5001,1)</f>
        <v>6</v>
      </c>
      <c r="C257" s="5">
        <f>SUMIFS(Data!$L$2:$L$5001,Data!$C$2:$C$5001,A257,Data!$U$2:$U$5001,1)</f>
        <v>5046.41</v>
      </c>
    </row>
    <row r="258" spans="1:3" x14ac:dyDescent="0.35">
      <c r="A258" s="4">
        <v>1259</v>
      </c>
      <c r="B258" s="4">
        <f>COUNTIFS(Data!$C$2:$C$5001,A258,Data!$U$2:$U$5001,1)</f>
        <v>6</v>
      </c>
      <c r="C258" s="5">
        <f>SUMIFS(Data!$L$2:$L$5001,Data!$C$2:$C$5001,A258,Data!$U$2:$U$5001,1)</f>
        <v>6857.1399999999994</v>
      </c>
    </row>
    <row r="259" spans="1:3" x14ac:dyDescent="0.35">
      <c r="A259" s="4">
        <v>1260</v>
      </c>
      <c r="B259" s="4">
        <f>COUNTIFS(Data!$C$2:$C$5001,A259,Data!$U$2:$U$5001,1)</f>
        <v>8</v>
      </c>
      <c r="C259" s="5">
        <f>SUMIFS(Data!$L$2:$L$5001,Data!$C$2:$C$5001,A259,Data!$U$2:$U$5001,1)</f>
        <v>9492.4</v>
      </c>
    </row>
    <row r="260" spans="1:3" x14ac:dyDescent="0.35">
      <c r="A260" s="4">
        <v>1261</v>
      </c>
      <c r="B260" s="4">
        <f>COUNTIFS(Data!$C$2:$C$5001,A260,Data!$U$2:$U$5001,1)</f>
        <v>5</v>
      </c>
      <c r="C260" s="5">
        <f>SUMIFS(Data!$L$2:$L$5001,Data!$C$2:$C$5001,A260,Data!$U$2:$U$5001,1)</f>
        <v>5310.5499999999993</v>
      </c>
    </row>
    <row r="261" spans="1:3" x14ac:dyDescent="0.35">
      <c r="A261" s="4">
        <v>1262</v>
      </c>
      <c r="B261" s="4">
        <f>COUNTIFS(Data!$C$2:$C$5001,A261,Data!$U$2:$U$5001,1)</f>
        <v>4</v>
      </c>
      <c r="C261" s="5">
        <f>SUMIFS(Data!$L$2:$L$5001,Data!$C$2:$C$5001,A261,Data!$U$2:$U$5001,1)</f>
        <v>3175.46</v>
      </c>
    </row>
    <row r="262" spans="1:3" x14ac:dyDescent="0.35">
      <c r="A262" s="4">
        <v>1263</v>
      </c>
      <c r="B262" s="4">
        <f>COUNTIFS(Data!$C$2:$C$5001,A262,Data!$U$2:$U$5001,1)</f>
        <v>6</v>
      </c>
      <c r="C262" s="5">
        <f>SUMIFS(Data!$L$2:$L$5001,Data!$C$2:$C$5001,A262,Data!$U$2:$U$5001,1)</f>
        <v>6140.0599999999995</v>
      </c>
    </row>
    <row r="263" spans="1:3" x14ac:dyDescent="0.35">
      <c r="A263" s="4">
        <v>1264</v>
      </c>
      <c r="B263" s="4">
        <f>COUNTIFS(Data!$C$2:$C$5001,A263,Data!$U$2:$U$5001,1)</f>
        <v>4</v>
      </c>
      <c r="C263" s="5">
        <f>SUMIFS(Data!$L$2:$L$5001,Data!$C$2:$C$5001,A263,Data!$U$2:$U$5001,1)</f>
        <v>3898.0099999999998</v>
      </c>
    </row>
    <row r="264" spans="1:3" x14ac:dyDescent="0.35">
      <c r="A264" s="4">
        <v>1265</v>
      </c>
      <c r="B264" s="4">
        <f>COUNTIFS(Data!$C$2:$C$5001,A264,Data!$U$2:$U$5001,1)</f>
        <v>3</v>
      </c>
      <c r="C264" s="5">
        <f>SUMIFS(Data!$L$2:$L$5001,Data!$C$2:$C$5001,A264,Data!$U$2:$U$5001,1)</f>
        <v>7893.09</v>
      </c>
    </row>
    <row r="265" spans="1:3" x14ac:dyDescent="0.35">
      <c r="A265" s="4">
        <v>1266</v>
      </c>
      <c r="B265" s="4">
        <f>COUNTIFS(Data!$C$2:$C$5001,A265,Data!$U$2:$U$5001,1)</f>
        <v>3</v>
      </c>
      <c r="C265" s="5">
        <f>SUMIFS(Data!$L$2:$L$5001,Data!$C$2:$C$5001,A265,Data!$U$2:$U$5001,1)</f>
        <v>992.76</v>
      </c>
    </row>
    <row r="266" spans="1:3" x14ac:dyDescent="0.35">
      <c r="A266" s="4">
        <v>1267</v>
      </c>
      <c r="B266" s="4">
        <f>COUNTIFS(Data!$C$2:$C$5001,A266,Data!$U$2:$U$5001,1)</f>
        <v>11</v>
      </c>
      <c r="C266" s="5">
        <f>SUMIFS(Data!$L$2:$L$5001,Data!$C$2:$C$5001,A266,Data!$U$2:$U$5001,1)</f>
        <v>12447.79</v>
      </c>
    </row>
    <row r="267" spans="1:3" x14ac:dyDescent="0.35">
      <c r="A267" s="4">
        <v>1268</v>
      </c>
      <c r="B267" s="4">
        <f>COUNTIFS(Data!$C$2:$C$5001,A267,Data!$U$2:$U$5001,1)</f>
        <v>2</v>
      </c>
      <c r="C267" s="5">
        <f>SUMIFS(Data!$L$2:$L$5001,Data!$C$2:$C$5001,A267,Data!$U$2:$U$5001,1)</f>
        <v>1353.6299999999999</v>
      </c>
    </row>
    <row r="268" spans="1:3" x14ac:dyDescent="0.35">
      <c r="A268" s="4">
        <v>1269</v>
      </c>
      <c r="B268" s="4">
        <f>COUNTIFS(Data!$C$2:$C$5001,A268,Data!$U$2:$U$5001,1)</f>
        <v>6</v>
      </c>
      <c r="C268" s="5">
        <f>SUMIFS(Data!$L$2:$L$5001,Data!$C$2:$C$5001,A268,Data!$U$2:$U$5001,1)</f>
        <v>8549.16</v>
      </c>
    </row>
    <row r="269" spans="1:3" x14ac:dyDescent="0.35">
      <c r="A269" s="4">
        <v>1270</v>
      </c>
      <c r="B269" s="4">
        <f>COUNTIFS(Data!$C$2:$C$5001,A269,Data!$U$2:$U$5001,1)</f>
        <v>4</v>
      </c>
      <c r="C269" s="5">
        <f>SUMIFS(Data!$L$2:$L$5001,Data!$C$2:$C$5001,A269,Data!$U$2:$U$5001,1)</f>
        <v>8156.8899999999994</v>
      </c>
    </row>
    <row r="270" spans="1:3" x14ac:dyDescent="0.35">
      <c r="A270" s="4">
        <v>1271</v>
      </c>
      <c r="B270" s="4">
        <f>COUNTIFS(Data!$C$2:$C$5001,A270,Data!$U$2:$U$5001,1)</f>
        <v>3</v>
      </c>
      <c r="C270" s="5">
        <f>SUMIFS(Data!$L$2:$L$5001,Data!$C$2:$C$5001,A270,Data!$U$2:$U$5001,1)</f>
        <v>5240.3500000000004</v>
      </c>
    </row>
    <row r="271" spans="1:3" x14ac:dyDescent="0.35">
      <c r="A271" s="4">
        <v>1272</v>
      </c>
      <c r="B271" s="4">
        <f>COUNTIFS(Data!$C$2:$C$5001,A271,Data!$U$2:$U$5001,1)</f>
        <v>8</v>
      </c>
      <c r="C271" s="5">
        <f>SUMIFS(Data!$L$2:$L$5001,Data!$C$2:$C$5001,A271,Data!$U$2:$U$5001,1)</f>
        <v>6698.08</v>
      </c>
    </row>
    <row r="272" spans="1:3" x14ac:dyDescent="0.35">
      <c r="A272" s="4">
        <v>1273</v>
      </c>
      <c r="B272" s="4">
        <f>COUNTIFS(Data!$C$2:$C$5001,A272,Data!$U$2:$U$5001,1)</f>
        <v>4</v>
      </c>
      <c r="C272" s="5">
        <f>SUMIFS(Data!$L$2:$L$5001,Data!$C$2:$C$5001,A272,Data!$U$2:$U$5001,1)</f>
        <v>4079.83</v>
      </c>
    </row>
    <row r="273" spans="1:3" x14ac:dyDescent="0.35">
      <c r="A273" s="4">
        <v>1274</v>
      </c>
      <c r="B273" s="4">
        <f>COUNTIFS(Data!$C$2:$C$5001,A273,Data!$U$2:$U$5001,1)</f>
        <v>2</v>
      </c>
      <c r="C273" s="5">
        <f>SUMIFS(Data!$L$2:$L$5001,Data!$C$2:$C$5001,A273,Data!$U$2:$U$5001,1)</f>
        <v>1450.4299999999998</v>
      </c>
    </row>
    <row r="274" spans="1:3" x14ac:dyDescent="0.35">
      <c r="A274" s="4">
        <v>1275</v>
      </c>
      <c r="B274" s="4">
        <f>COUNTIFS(Data!$C$2:$C$5001,A274,Data!$U$2:$U$5001,1)</f>
        <v>3</v>
      </c>
      <c r="C274" s="5">
        <f>SUMIFS(Data!$L$2:$L$5001,Data!$C$2:$C$5001,A274,Data!$U$2:$U$5001,1)</f>
        <v>4266.2</v>
      </c>
    </row>
    <row r="275" spans="1:3" x14ac:dyDescent="0.35">
      <c r="A275" s="4">
        <v>1276</v>
      </c>
      <c r="B275" s="4">
        <f>COUNTIFS(Data!$C$2:$C$5001,A275,Data!$U$2:$U$5001,1)</f>
        <v>11</v>
      </c>
      <c r="C275" s="5">
        <f>SUMIFS(Data!$L$2:$L$5001,Data!$C$2:$C$5001,A275,Data!$U$2:$U$5001,1)</f>
        <v>15023.710000000003</v>
      </c>
    </row>
    <row r="276" spans="1:3" x14ac:dyDescent="0.35">
      <c r="A276" s="4">
        <v>1277</v>
      </c>
      <c r="B276" s="4">
        <f>COUNTIFS(Data!$C$2:$C$5001,A276,Data!$U$2:$U$5001,1)</f>
        <v>4</v>
      </c>
      <c r="C276" s="5">
        <f>SUMIFS(Data!$L$2:$L$5001,Data!$C$2:$C$5001,A276,Data!$U$2:$U$5001,1)</f>
        <v>5617.66</v>
      </c>
    </row>
    <row r="277" spans="1:3" x14ac:dyDescent="0.35">
      <c r="A277" s="4">
        <v>1278</v>
      </c>
      <c r="B277" s="4">
        <f>COUNTIFS(Data!$C$2:$C$5001,A277,Data!$U$2:$U$5001,1)</f>
        <v>5</v>
      </c>
      <c r="C277" s="5">
        <f>SUMIFS(Data!$L$2:$L$5001,Data!$C$2:$C$5001,A277,Data!$U$2:$U$5001,1)</f>
        <v>3171.3599999999997</v>
      </c>
    </row>
    <row r="278" spans="1:3" x14ac:dyDescent="0.35">
      <c r="A278" s="4">
        <v>1279</v>
      </c>
      <c r="B278" s="4">
        <f>COUNTIFS(Data!$C$2:$C$5001,A278,Data!$U$2:$U$5001,1)</f>
        <v>5</v>
      </c>
      <c r="C278" s="5">
        <f>SUMIFS(Data!$L$2:$L$5001,Data!$C$2:$C$5001,A278,Data!$U$2:$U$5001,1)</f>
        <v>4643.46</v>
      </c>
    </row>
    <row r="279" spans="1:3" x14ac:dyDescent="0.35">
      <c r="A279" s="4">
        <v>1280</v>
      </c>
      <c r="B279" s="4">
        <f>COUNTIFS(Data!$C$2:$C$5001,A279,Data!$U$2:$U$5001,1)</f>
        <v>4</v>
      </c>
      <c r="C279" s="5">
        <f>SUMIFS(Data!$L$2:$L$5001,Data!$C$2:$C$5001,A279,Data!$U$2:$U$5001,1)</f>
        <v>4195.47</v>
      </c>
    </row>
    <row r="280" spans="1:3" x14ac:dyDescent="0.35">
      <c r="A280" s="4">
        <v>1281</v>
      </c>
      <c r="B280" s="4">
        <f>COUNTIFS(Data!$C$2:$C$5001,A280,Data!$U$2:$U$5001,1)</f>
        <v>3</v>
      </c>
      <c r="C280" s="5">
        <f>SUMIFS(Data!$L$2:$L$5001,Data!$C$2:$C$5001,A280,Data!$U$2:$U$5001,1)</f>
        <v>3557.62</v>
      </c>
    </row>
    <row r="281" spans="1:3" x14ac:dyDescent="0.35">
      <c r="A281" s="4">
        <v>1282</v>
      </c>
      <c r="B281" s="4">
        <f>COUNTIFS(Data!$C$2:$C$5001,A281,Data!$U$2:$U$5001,1)</f>
        <v>6</v>
      </c>
      <c r="C281" s="5">
        <f>SUMIFS(Data!$L$2:$L$5001,Data!$C$2:$C$5001,A281,Data!$U$2:$U$5001,1)</f>
        <v>4535.5</v>
      </c>
    </row>
    <row r="282" spans="1:3" x14ac:dyDescent="0.35">
      <c r="A282" s="4">
        <v>1283</v>
      </c>
      <c r="B282" s="4">
        <f>COUNTIFS(Data!$C$2:$C$5001,A282,Data!$U$2:$U$5001,1)</f>
        <v>5</v>
      </c>
      <c r="C282" s="5">
        <f>SUMIFS(Data!$L$2:$L$5001,Data!$C$2:$C$5001,A282,Data!$U$2:$U$5001,1)</f>
        <v>7415.59</v>
      </c>
    </row>
    <row r="283" spans="1:3" x14ac:dyDescent="0.35">
      <c r="A283" s="4">
        <v>1284</v>
      </c>
      <c r="B283" s="4">
        <f>COUNTIFS(Data!$C$2:$C$5001,A283,Data!$U$2:$U$5001,1)</f>
        <v>7</v>
      </c>
      <c r="C283" s="5">
        <f>SUMIFS(Data!$L$2:$L$5001,Data!$C$2:$C$5001,A283,Data!$U$2:$U$5001,1)</f>
        <v>4334.2299999999996</v>
      </c>
    </row>
    <row r="284" spans="1:3" x14ac:dyDescent="0.35">
      <c r="A284" s="4">
        <v>1285</v>
      </c>
      <c r="B284" s="4">
        <f>COUNTIFS(Data!$C$2:$C$5001,A284,Data!$U$2:$U$5001,1)</f>
        <v>4</v>
      </c>
      <c r="C284" s="5">
        <f>SUMIFS(Data!$L$2:$L$5001,Data!$C$2:$C$5001,A284,Data!$U$2:$U$5001,1)</f>
        <v>4832.82</v>
      </c>
    </row>
    <row r="285" spans="1:3" x14ac:dyDescent="0.35">
      <c r="A285" s="4">
        <v>1286</v>
      </c>
      <c r="B285" s="4">
        <f>COUNTIFS(Data!$C$2:$C$5001,A285,Data!$U$2:$U$5001,1)</f>
        <v>6</v>
      </c>
      <c r="C285" s="5">
        <f>SUMIFS(Data!$L$2:$L$5001,Data!$C$2:$C$5001,A285,Data!$U$2:$U$5001,1)</f>
        <v>9263.119999999999</v>
      </c>
    </row>
    <row r="286" spans="1:3" x14ac:dyDescent="0.35">
      <c r="A286" s="4">
        <v>1287</v>
      </c>
      <c r="B286" s="4">
        <f>COUNTIFS(Data!$C$2:$C$5001,A286,Data!$U$2:$U$5001,1)</f>
        <v>8</v>
      </c>
      <c r="C286" s="5">
        <f>SUMIFS(Data!$L$2:$L$5001,Data!$C$2:$C$5001,A286,Data!$U$2:$U$5001,1)</f>
        <v>7475.6799999999994</v>
      </c>
    </row>
    <row r="287" spans="1:3" x14ac:dyDescent="0.35">
      <c r="A287" s="4">
        <v>1288</v>
      </c>
      <c r="B287" s="4">
        <f>COUNTIFS(Data!$C$2:$C$5001,A287,Data!$U$2:$U$5001,1)</f>
        <v>10</v>
      </c>
      <c r="C287" s="5">
        <f>SUMIFS(Data!$L$2:$L$5001,Data!$C$2:$C$5001,A287,Data!$U$2:$U$5001,1)</f>
        <v>11683.85</v>
      </c>
    </row>
    <row r="288" spans="1:3" x14ac:dyDescent="0.35">
      <c r="A288" s="4">
        <v>1289</v>
      </c>
      <c r="B288" s="4">
        <f>COUNTIFS(Data!$C$2:$C$5001,A288,Data!$U$2:$U$5001,1)</f>
        <v>3</v>
      </c>
      <c r="C288" s="5">
        <f>SUMIFS(Data!$L$2:$L$5001,Data!$C$2:$C$5001,A288,Data!$U$2:$U$5001,1)</f>
        <v>3733.3</v>
      </c>
    </row>
    <row r="289" spans="1:3" x14ac:dyDescent="0.35">
      <c r="A289" s="4">
        <v>1290</v>
      </c>
      <c r="B289" s="4">
        <f>COUNTIFS(Data!$C$2:$C$5001,A289,Data!$U$2:$U$5001,1)</f>
        <v>4</v>
      </c>
      <c r="C289" s="5">
        <f>SUMIFS(Data!$L$2:$L$5001,Data!$C$2:$C$5001,A289,Data!$U$2:$U$5001,1)</f>
        <v>2803.05</v>
      </c>
    </row>
    <row r="290" spans="1:3" x14ac:dyDescent="0.35">
      <c r="A290" s="4">
        <v>1291</v>
      </c>
      <c r="B290" s="4">
        <f>COUNTIFS(Data!$C$2:$C$5001,A290,Data!$U$2:$U$5001,1)</f>
        <v>3</v>
      </c>
      <c r="C290" s="5">
        <f>SUMIFS(Data!$L$2:$L$5001,Data!$C$2:$C$5001,A290,Data!$U$2:$U$5001,1)</f>
        <v>3902.6600000000003</v>
      </c>
    </row>
    <row r="291" spans="1:3" x14ac:dyDescent="0.35">
      <c r="A291" s="4">
        <v>1292</v>
      </c>
      <c r="B291" s="4">
        <f>COUNTIFS(Data!$C$2:$C$5001,A291,Data!$U$2:$U$5001,1)</f>
        <v>5</v>
      </c>
      <c r="C291" s="5">
        <f>SUMIFS(Data!$L$2:$L$5001,Data!$C$2:$C$5001,A291,Data!$U$2:$U$5001,1)</f>
        <v>6551.79</v>
      </c>
    </row>
    <row r="292" spans="1:3" x14ac:dyDescent="0.35">
      <c r="A292" s="4">
        <v>1293</v>
      </c>
      <c r="B292" s="4">
        <f>COUNTIFS(Data!$C$2:$C$5001,A292,Data!$U$2:$U$5001,1)</f>
        <v>4</v>
      </c>
      <c r="C292" s="5">
        <f>SUMIFS(Data!$L$2:$L$5001,Data!$C$2:$C$5001,A292,Data!$U$2:$U$5001,1)</f>
        <v>1644.9699999999998</v>
      </c>
    </row>
    <row r="293" spans="1:3" x14ac:dyDescent="0.35">
      <c r="A293" s="4">
        <v>1294</v>
      </c>
      <c r="B293" s="4">
        <f>COUNTIFS(Data!$C$2:$C$5001,A293,Data!$U$2:$U$5001,1)</f>
        <v>5</v>
      </c>
      <c r="C293" s="5">
        <f>SUMIFS(Data!$L$2:$L$5001,Data!$C$2:$C$5001,A293,Data!$U$2:$U$5001,1)</f>
        <v>7479.3600000000006</v>
      </c>
    </row>
    <row r="294" spans="1:3" x14ac:dyDescent="0.35">
      <c r="A294" s="4">
        <v>1295</v>
      </c>
      <c r="B294" s="4">
        <f>COUNTIFS(Data!$C$2:$C$5001,A294,Data!$U$2:$U$5001,1)</f>
        <v>7</v>
      </c>
      <c r="C294" s="5">
        <f>SUMIFS(Data!$L$2:$L$5001,Data!$C$2:$C$5001,A294,Data!$U$2:$U$5001,1)</f>
        <v>8685.44</v>
      </c>
    </row>
    <row r="295" spans="1:3" x14ac:dyDescent="0.35">
      <c r="A295" s="4">
        <v>1296</v>
      </c>
      <c r="B295" s="4">
        <f>COUNTIFS(Data!$C$2:$C$5001,A295,Data!$U$2:$U$5001,1)</f>
        <v>2</v>
      </c>
      <c r="C295" s="5">
        <f>SUMIFS(Data!$L$2:$L$5001,Data!$C$2:$C$5001,A295,Data!$U$2:$U$5001,1)</f>
        <v>2347.27</v>
      </c>
    </row>
    <row r="296" spans="1:3" x14ac:dyDescent="0.35">
      <c r="A296" s="4">
        <v>1297</v>
      </c>
      <c r="B296" s="4">
        <f>COUNTIFS(Data!$C$2:$C$5001,A296,Data!$U$2:$U$5001,1)</f>
        <v>3</v>
      </c>
      <c r="C296" s="5">
        <f>SUMIFS(Data!$L$2:$L$5001,Data!$C$2:$C$5001,A296,Data!$U$2:$U$5001,1)</f>
        <v>2075.3599999999997</v>
      </c>
    </row>
    <row r="297" spans="1:3" x14ac:dyDescent="0.35">
      <c r="A297" s="4">
        <v>1299</v>
      </c>
      <c r="B297" s="4">
        <f>COUNTIFS(Data!$C$2:$C$5001,A297,Data!$U$2:$U$5001,1)</f>
        <v>3</v>
      </c>
      <c r="C297" s="5">
        <f>SUMIFS(Data!$L$2:$L$5001,Data!$C$2:$C$5001,A297,Data!$U$2:$U$5001,1)</f>
        <v>2735.7999999999997</v>
      </c>
    </row>
    <row r="298" spans="1:3" x14ac:dyDescent="0.35">
      <c r="A298" s="4">
        <v>1300</v>
      </c>
      <c r="B298" s="4">
        <f>COUNTIFS(Data!$C$2:$C$5001,A298,Data!$U$2:$U$5001,1)</f>
        <v>7</v>
      </c>
      <c r="C298" s="5">
        <f>SUMIFS(Data!$L$2:$L$5001,Data!$C$2:$C$5001,A298,Data!$U$2:$U$5001,1)</f>
        <v>5521.04</v>
      </c>
    </row>
    <row r="299" spans="1:3" x14ac:dyDescent="0.35">
      <c r="A299" s="4">
        <v>1301</v>
      </c>
      <c r="B299" s="4">
        <f>COUNTIFS(Data!$C$2:$C$5001,A299,Data!$U$2:$U$5001,1)</f>
        <v>10</v>
      </c>
      <c r="C299" s="5">
        <f>SUMIFS(Data!$L$2:$L$5001,Data!$C$2:$C$5001,A299,Data!$U$2:$U$5001,1)</f>
        <v>11107.140000000001</v>
      </c>
    </row>
    <row r="300" spans="1:3" x14ac:dyDescent="0.35">
      <c r="A300" s="4">
        <v>1302</v>
      </c>
      <c r="B300" s="4">
        <f>COUNTIFS(Data!$C$2:$C$5001,A300,Data!$U$2:$U$5001,1)</f>
        <v>8</v>
      </c>
      <c r="C300" s="5">
        <f>SUMIFS(Data!$L$2:$L$5001,Data!$C$2:$C$5001,A300,Data!$U$2:$U$5001,1)</f>
        <v>5629.6200000000008</v>
      </c>
    </row>
    <row r="301" spans="1:3" x14ac:dyDescent="0.35">
      <c r="A301" s="4">
        <v>1303</v>
      </c>
      <c r="B301" s="4">
        <f>COUNTIFS(Data!$C$2:$C$5001,A301,Data!$U$2:$U$5001,1)</f>
        <v>5</v>
      </c>
      <c r="C301" s="5">
        <f>SUMIFS(Data!$L$2:$L$5001,Data!$C$2:$C$5001,A301,Data!$U$2:$U$5001,1)</f>
        <v>6665.19</v>
      </c>
    </row>
    <row r="302" spans="1:3" x14ac:dyDescent="0.35">
      <c r="A302" s="4">
        <v>1304</v>
      </c>
      <c r="B302" s="4">
        <f>COUNTIFS(Data!$C$2:$C$5001,A302,Data!$U$2:$U$5001,1)</f>
        <v>8</v>
      </c>
      <c r="C302" s="5">
        <f>SUMIFS(Data!$L$2:$L$5001,Data!$C$2:$C$5001,A302,Data!$U$2:$U$5001,1)</f>
        <v>8346.81</v>
      </c>
    </row>
    <row r="303" spans="1:3" x14ac:dyDescent="0.35">
      <c r="A303" s="4">
        <v>1305</v>
      </c>
      <c r="B303" s="4">
        <f>COUNTIFS(Data!$C$2:$C$5001,A303,Data!$U$2:$U$5001,1)</f>
        <v>4</v>
      </c>
      <c r="C303" s="5">
        <f>SUMIFS(Data!$L$2:$L$5001,Data!$C$2:$C$5001,A303,Data!$U$2:$U$5001,1)</f>
        <v>2545.2799999999997</v>
      </c>
    </row>
    <row r="304" spans="1:3" x14ac:dyDescent="0.35">
      <c r="A304" s="4">
        <v>1306</v>
      </c>
      <c r="B304" s="4">
        <f>COUNTIFS(Data!$C$2:$C$5001,A304,Data!$U$2:$U$5001,1)</f>
        <v>3</v>
      </c>
      <c r="C304" s="5">
        <f>SUMIFS(Data!$L$2:$L$5001,Data!$C$2:$C$5001,A304,Data!$U$2:$U$5001,1)</f>
        <v>5564.08</v>
      </c>
    </row>
    <row r="305" spans="1:3" x14ac:dyDescent="0.35">
      <c r="A305" s="4">
        <v>1307</v>
      </c>
      <c r="B305" s="4">
        <f>COUNTIFS(Data!$C$2:$C$5001,A305,Data!$U$2:$U$5001,1)</f>
        <v>3</v>
      </c>
      <c r="C305" s="5">
        <f>SUMIFS(Data!$L$2:$L$5001,Data!$C$2:$C$5001,A305,Data!$U$2:$U$5001,1)</f>
        <v>2539.0100000000002</v>
      </c>
    </row>
    <row r="306" spans="1:3" x14ac:dyDescent="0.35">
      <c r="A306" s="4">
        <v>1308</v>
      </c>
      <c r="B306" s="4">
        <f>COUNTIFS(Data!$C$2:$C$5001,A306,Data!$U$2:$U$5001,1)</f>
        <v>4</v>
      </c>
      <c r="C306" s="5">
        <f>SUMIFS(Data!$L$2:$L$5001,Data!$C$2:$C$5001,A306,Data!$U$2:$U$5001,1)</f>
        <v>844.75000000000011</v>
      </c>
    </row>
    <row r="307" spans="1:3" x14ac:dyDescent="0.35">
      <c r="A307" s="4">
        <v>1309</v>
      </c>
      <c r="B307" s="4">
        <f>COUNTIFS(Data!$C$2:$C$5001,A307,Data!$U$2:$U$5001,1)</f>
        <v>3</v>
      </c>
      <c r="C307" s="5">
        <f>SUMIFS(Data!$L$2:$L$5001,Data!$C$2:$C$5001,A307,Data!$U$2:$U$5001,1)</f>
        <v>1709.58</v>
      </c>
    </row>
    <row r="308" spans="1:3" x14ac:dyDescent="0.35">
      <c r="A308" s="4">
        <v>1310</v>
      </c>
      <c r="B308" s="4">
        <f>COUNTIFS(Data!$C$2:$C$5001,A308,Data!$U$2:$U$5001,1)</f>
        <v>5</v>
      </c>
      <c r="C308" s="5">
        <f>SUMIFS(Data!$L$2:$L$5001,Data!$C$2:$C$5001,A308,Data!$U$2:$U$5001,1)</f>
        <v>5915.96</v>
      </c>
    </row>
    <row r="309" spans="1:3" x14ac:dyDescent="0.35">
      <c r="A309" s="4">
        <v>1311</v>
      </c>
      <c r="B309" s="4">
        <f>COUNTIFS(Data!$C$2:$C$5001,A309,Data!$U$2:$U$5001,1)</f>
        <v>4</v>
      </c>
      <c r="C309" s="5">
        <f>SUMIFS(Data!$L$2:$L$5001,Data!$C$2:$C$5001,A309,Data!$U$2:$U$5001,1)</f>
        <v>4718.41</v>
      </c>
    </row>
    <row r="310" spans="1:3" x14ac:dyDescent="0.35">
      <c r="A310" s="4">
        <v>1312</v>
      </c>
      <c r="B310" s="4">
        <f>COUNTIFS(Data!$C$2:$C$5001,A310,Data!$U$2:$U$5001,1)</f>
        <v>6</v>
      </c>
      <c r="C310" s="5">
        <f>SUMIFS(Data!$L$2:$L$5001,Data!$C$2:$C$5001,A310,Data!$U$2:$U$5001,1)</f>
        <v>7941.8599999999988</v>
      </c>
    </row>
    <row r="311" spans="1:3" x14ac:dyDescent="0.35">
      <c r="A311" s="4">
        <v>1313</v>
      </c>
      <c r="B311" s="4">
        <f>COUNTIFS(Data!$C$2:$C$5001,A311,Data!$U$2:$U$5001,1)</f>
        <v>7</v>
      </c>
      <c r="C311" s="5">
        <f>SUMIFS(Data!$L$2:$L$5001,Data!$C$2:$C$5001,A311,Data!$U$2:$U$5001,1)</f>
        <v>5567.869999999999</v>
      </c>
    </row>
    <row r="312" spans="1:3" x14ac:dyDescent="0.35">
      <c r="A312" s="4">
        <v>1314</v>
      </c>
      <c r="B312" s="4">
        <f>COUNTIFS(Data!$C$2:$C$5001,A312,Data!$U$2:$U$5001,1)</f>
        <v>1</v>
      </c>
      <c r="C312" s="5">
        <f>SUMIFS(Data!$L$2:$L$5001,Data!$C$2:$C$5001,A312,Data!$U$2:$U$5001,1)</f>
        <v>758.28</v>
      </c>
    </row>
    <row r="313" spans="1:3" x14ac:dyDescent="0.35">
      <c r="A313" s="4">
        <v>1315</v>
      </c>
      <c r="B313" s="4">
        <f>COUNTIFS(Data!$C$2:$C$5001,A313,Data!$U$2:$U$5001,1)</f>
        <v>4</v>
      </c>
      <c r="C313" s="5">
        <f>SUMIFS(Data!$L$2:$L$5001,Data!$C$2:$C$5001,A313,Data!$U$2:$U$5001,1)</f>
        <v>2468.91</v>
      </c>
    </row>
    <row r="314" spans="1:3" x14ac:dyDescent="0.35">
      <c r="A314" s="4">
        <v>1316</v>
      </c>
      <c r="B314" s="4">
        <f>COUNTIFS(Data!$C$2:$C$5001,A314,Data!$U$2:$U$5001,1)</f>
        <v>1</v>
      </c>
      <c r="C314" s="5">
        <f>SUMIFS(Data!$L$2:$L$5001,Data!$C$2:$C$5001,A314,Data!$U$2:$U$5001,1)</f>
        <v>977.44</v>
      </c>
    </row>
    <row r="315" spans="1:3" x14ac:dyDescent="0.35">
      <c r="A315" s="4">
        <v>1317</v>
      </c>
      <c r="B315" s="4">
        <f>COUNTIFS(Data!$C$2:$C$5001,A315,Data!$U$2:$U$5001,1)</f>
        <v>10</v>
      </c>
      <c r="C315" s="5">
        <f>SUMIFS(Data!$L$2:$L$5001,Data!$C$2:$C$5001,A315,Data!$U$2:$U$5001,1)</f>
        <v>10516.429999999998</v>
      </c>
    </row>
    <row r="316" spans="1:3" x14ac:dyDescent="0.35">
      <c r="A316" s="4">
        <v>1318</v>
      </c>
      <c r="B316" s="4">
        <f>COUNTIFS(Data!$C$2:$C$5001,A316,Data!$U$2:$U$5001,1)</f>
        <v>3</v>
      </c>
      <c r="C316" s="5">
        <f>SUMIFS(Data!$L$2:$L$5001,Data!$C$2:$C$5001,A316,Data!$U$2:$U$5001,1)</f>
        <v>1125.4000000000001</v>
      </c>
    </row>
    <row r="317" spans="1:3" x14ac:dyDescent="0.35">
      <c r="A317" s="4">
        <v>1319</v>
      </c>
      <c r="B317" s="4">
        <f>COUNTIFS(Data!$C$2:$C$5001,A317,Data!$U$2:$U$5001,1)</f>
        <v>8</v>
      </c>
      <c r="C317" s="5">
        <f>SUMIFS(Data!$L$2:$L$5001,Data!$C$2:$C$5001,A317,Data!$U$2:$U$5001,1)</f>
        <v>8157.5799999999981</v>
      </c>
    </row>
    <row r="318" spans="1:3" x14ac:dyDescent="0.35">
      <c r="A318" s="4">
        <v>1320</v>
      </c>
      <c r="B318" s="4">
        <f>COUNTIFS(Data!$C$2:$C$5001,A318,Data!$U$2:$U$5001,1)</f>
        <v>3</v>
      </c>
      <c r="C318" s="5">
        <f>SUMIFS(Data!$L$2:$L$5001,Data!$C$2:$C$5001,A318,Data!$U$2:$U$5001,1)</f>
        <v>820.9899999999999</v>
      </c>
    </row>
    <row r="319" spans="1:3" x14ac:dyDescent="0.35">
      <c r="A319" s="4">
        <v>1321</v>
      </c>
      <c r="B319" s="4">
        <f>COUNTIFS(Data!$C$2:$C$5001,A319,Data!$U$2:$U$5001,1)</f>
        <v>2</v>
      </c>
      <c r="C319" s="5">
        <f>SUMIFS(Data!$L$2:$L$5001,Data!$C$2:$C$5001,A319,Data!$U$2:$U$5001,1)</f>
        <v>1155.8499999999999</v>
      </c>
    </row>
    <row r="320" spans="1:3" x14ac:dyDescent="0.35">
      <c r="A320" s="4">
        <v>1322</v>
      </c>
      <c r="B320" s="4">
        <f>COUNTIFS(Data!$C$2:$C$5001,A320,Data!$U$2:$U$5001,1)</f>
        <v>5</v>
      </c>
      <c r="C320" s="5">
        <f>SUMIFS(Data!$L$2:$L$5001,Data!$C$2:$C$5001,A320,Data!$U$2:$U$5001,1)</f>
        <v>5359.53</v>
      </c>
    </row>
    <row r="321" spans="1:3" x14ac:dyDescent="0.35">
      <c r="A321" s="4">
        <v>1323</v>
      </c>
      <c r="B321" s="4">
        <f>COUNTIFS(Data!$C$2:$C$5001,A321,Data!$U$2:$U$5001,1)</f>
        <v>8</v>
      </c>
      <c r="C321" s="5">
        <f>SUMIFS(Data!$L$2:$L$5001,Data!$C$2:$C$5001,A321,Data!$U$2:$U$5001,1)</f>
        <v>10211.490000000002</v>
      </c>
    </row>
    <row r="322" spans="1:3" x14ac:dyDescent="0.35">
      <c r="A322" s="4">
        <v>1324</v>
      </c>
      <c r="B322" s="4">
        <f>COUNTIFS(Data!$C$2:$C$5001,A322,Data!$U$2:$U$5001,1)</f>
        <v>3</v>
      </c>
      <c r="C322" s="5">
        <f>SUMIFS(Data!$L$2:$L$5001,Data!$C$2:$C$5001,A322,Data!$U$2:$U$5001,1)</f>
        <v>3317.91</v>
      </c>
    </row>
    <row r="323" spans="1:3" x14ac:dyDescent="0.35">
      <c r="A323" s="4">
        <v>1325</v>
      </c>
      <c r="B323" s="4">
        <f>COUNTIFS(Data!$C$2:$C$5001,A323,Data!$U$2:$U$5001,1)</f>
        <v>4</v>
      </c>
      <c r="C323" s="5">
        <f>SUMIFS(Data!$L$2:$L$5001,Data!$C$2:$C$5001,A323,Data!$U$2:$U$5001,1)</f>
        <v>2495.48</v>
      </c>
    </row>
    <row r="324" spans="1:3" x14ac:dyDescent="0.35">
      <c r="A324" s="4">
        <v>1326</v>
      </c>
      <c r="B324" s="4">
        <f>COUNTIFS(Data!$C$2:$C$5001,A324,Data!$U$2:$U$5001,1)</f>
        <v>5</v>
      </c>
      <c r="C324" s="5">
        <f>SUMIFS(Data!$L$2:$L$5001,Data!$C$2:$C$5001,A324,Data!$U$2:$U$5001,1)</f>
        <v>5188.37</v>
      </c>
    </row>
    <row r="325" spans="1:3" x14ac:dyDescent="0.35">
      <c r="A325" s="4">
        <v>1327</v>
      </c>
      <c r="B325" s="4">
        <f>COUNTIFS(Data!$C$2:$C$5001,A325,Data!$U$2:$U$5001,1)</f>
        <v>3</v>
      </c>
      <c r="C325" s="5">
        <f>SUMIFS(Data!$L$2:$L$5001,Data!$C$2:$C$5001,A325,Data!$U$2:$U$5001,1)</f>
        <v>4542.93</v>
      </c>
    </row>
    <row r="326" spans="1:3" x14ac:dyDescent="0.35">
      <c r="A326" s="4">
        <v>1328</v>
      </c>
      <c r="B326" s="4">
        <f>COUNTIFS(Data!$C$2:$C$5001,A326,Data!$U$2:$U$5001,1)</f>
        <v>5</v>
      </c>
      <c r="C326" s="5">
        <f>SUMIFS(Data!$L$2:$L$5001,Data!$C$2:$C$5001,A326,Data!$U$2:$U$5001,1)</f>
        <v>3498.16</v>
      </c>
    </row>
    <row r="327" spans="1:3" x14ac:dyDescent="0.35">
      <c r="A327" s="4">
        <v>1329</v>
      </c>
      <c r="B327" s="4">
        <f>COUNTIFS(Data!$C$2:$C$5001,A327,Data!$U$2:$U$5001,1)</f>
        <v>5</v>
      </c>
      <c r="C327" s="5">
        <f>SUMIFS(Data!$L$2:$L$5001,Data!$C$2:$C$5001,A327,Data!$U$2:$U$5001,1)</f>
        <v>6450.35</v>
      </c>
    </row>
    <row r="328" spans="1:3" x14ac:dyDescent="0.35">
      <c r="A328" s="4">
        <v>1330</v>
      </c>
      <c r="B328" s="4">
        <f>COUNTIFS(Data!$C$2:$C$5001,A328,Data!$U$2:$U$5001,1)</f>
        <v>3</v>
      </c>
      <c r="C328" s="5">
        <f>SUMIFS(Data!$L$2:$L$5001,Data!$C$2:$C$5001,A328,Data!$U$2:$U$5001,1)</f>
        <v>3110.11</v>
      </c>
    </row>
    <row r="329" spans="1:3" x14ac:dyDescent="0.35">
      <c r="A329" s="4">
        <v>1331</v>
      </c>
      <c r="B329" s="4">
        <f>COUNTIFS(Data!$C$2:$C$5001,A329,Data!$U$2:$U$5001,1)</f>
        <v>5</v>
      </c>
      <c r="C329" s="5">
        <f>SUMIFS(Data!$L$2:$L$5001,Data!$C$2:$C$5001,A329,Data!$U$2:$U$5001,1)</f>
        <v>3522.16</v>
      </c>
    </row>
    <row r="330" spans="1:3" x14ac:dyDescent="0.35">
      <c r="A330" s="4">
        <v>1332</v>
      </c>
      <c r="B330" s="4">
        <f>COUNTIFS(Data!$C$2:$C$5001,A330,Data!$U$2:$U$5001,1)</f>
        <v>1</v>
      </c>
      <c r="C330" s="5">
        <f>SUMIFS(Data!$L$2:$L$5001,Data!$C$2:$C$5001,A330,Data!$U$2:$U$5001,1)</f>
        <v>459.66</v>
      </c>
    </row>
    <row r="331" spans="1:3" x14ac:dyDescent="0.35">
      <c r="A331" s="4">
        <v>1333</v>
      </c>
      <c r="B331" s="4">
        <f>COUNTIFS(Data!$C$2:$C$5001,A331,Data!$U$2:$U$5001,1)</f>
        <v>5</v>
      </c>
      <c r="C331" s="5">
        <f>SUMIFS(Data!$L$2:$L$5001,Data!$C$2:$C$5001,A331,Data!$U$2:$U$5001,1)</f>
        <v>4636.33</v>
      </c>
    </row>
    <row r="332" spans="1:3" x14ac:dyDescent="0.35">
      <c r="A332" s="4">
        <v>1334</v>
      </c>
      <c r="B332" s="4">
        <f>COUNTIFS(Data!$C$2:$C$5001,A332,Data!$U$2:$U$5001,1)</f>
        <v>5</v>
      </c>
      <c r="C332" s="5">
        <f>SUMIFS(Data!$L$2:$L$5001,Data!$C$2:$C$5001,A332,Data!$U$2:$U$5001,1)</f>
        <v>7835.5600000000013</v>
      </c>
    </row>
    <row r="333" spans="1:3" x14ac:dyDescent="0.35">
      <c r="A333" s="4">
        <v>1335</v>
      </c>
      <c r="B333" s="4">
        <f>COUNTIFS(Data!$C$2:$C$5001,A333,Data!$U$2:$U$5001,1)</f>
        <v>6</v>
      </c>
      <c r="C333" s="5">
        <f>SUMIFS(Data!$L$2:$L$5001,Data!$C$2:$C$5001,A333,Data!$U$2:$U$5001,1)</f>
        <v>7939.38</v>
      </c>
    </row>
    <row r="334" spans="1:3" x14ac:dyDescent="0.35">
      <c r="A334" s="4">
        <v>1336</v>
      </c>
      <c r="B334" s="4">
        <f>COUNTIFS(Data!$C$2:$C$5001,A334,Data!$U$2:$U$5001,1)</f>
        <v>3</v>
      </c>
      <c r="C334" s="5">
        <f>SUMIFS(Data!$L$2:$L$5001,Data!$C$2:$C$5001,A334,Data!$U$2:$U$5001,1)</f>
        <v>3159.94</v>
      </c>
    </row>
    <row r="335" spans="1:3" x14ac:dyDescent="0.35">
      <c r="A335" s="4">
        <v>1337</v>
      </c>
      <c r="B335" s="4">
        <f>COUNTIFS(Data!$C$2:$C$5001,A335,Data!$U$2:$U$5001,1)</f>
        <v>6</v>
      </c>
      <c r="C335" s="5">
        <f>SUMIFS(Data!$L$2:$L$5001,Data!$C$2:$C$5001,A335,Data!$U$2:$U$5001,1)</f>
        <v>7896.87</v>
      </c>
    </row>
    <row r="336" spans="1:3" x14ac:dyDescent="0.35">
      <c r="A336" s="4">
        <v>1338</v>
      </c>
      <c r="B336" s="4">
        <f>COUNTIFS(Data!$C$2:$C$5001,A336,Data!$U$2:$U$5001,1)</f>
        <v>2</v>
      </c>
      <c r="C336" s="5">
        <f>SUMIFS(Data!$L$2:$L$5001,Data!$C$2:$C$5001,A336,Data!$U$2:$U$5001,1)</f>
        <v>1609.85</v>
      </c>
    </row>
    <row r="337" spans="1:3" x14ac:dyDescent="0.35">
      <c r="A337" s="4">
        <v>1339</v>
      </c>
      <c r="B337" s="4">
        <f>COUNTIFS(Data!$C$2:$C$5001,A337,Data!$U$2:$U$5001,1)</f>
        <v>3</v>
      </c>
      <c r="C337" s="5">
        <f>SUMIFS(Data!$L$2:$L$5001,Data!$C$2:$C$5001,A337,Data!$U$2:$U$5001,1)</f>
        <v>639.54999999999995</v>
      </c>
    </row>
    <row r="338" spans="1:3" x14ac:dyDescent="0.35">
      <c r="A338" s="4">
        <v>1340</v>
      </c>
      <c r="B338" s="4">
        <f>COUNTIFS(Data!$C$2:$C$5001,A338,Data!$U$2:$U$5001,1)</f>
        <v>5</v>
      </c>
      <c r="C338" s="5">
        <f>SUMIFS(Data!$L$2:$L$5001,Data!$C$2:$C$5001,A338,Data!$U$2:$U$5001,1)</f>
        <v>5362.56</v>
      </c>
    </row>
    <row r="339" spans="1:3" x14ac:dyDescent="0.35">
      <c r="A339" s="4">
        <v>1341</v>
      </c>
      <c r="B339" s="4">
        <f>COUNTIFS(Data!$C$2:$C$5001,A339,Data!$U$2:$U$5001,1)</f>
        <v>8</v>
      </c>
      <c r="C339" s="5">
        <f>SUMIFS(Data!$L$2:$L$5001,Data!$C$2:$C$5001,A339,Data!$U$2:$U$5001,1)</f>
        <v>4498.34</v>
      </c>
    </row>
    <row r="340" spans="1:3" x14ac:dyDescent="0.35">
      <c r="A340" s="4">
        <v>1342</v>
      </c>
      <c r="B340" s="4">
        <f>COUNTIFS(Data!$C$2:$C$5001,A340,Data!$U$2:$U$5001,1)</f>
        <v>4</v>
      </c>
      <c r="C340" s="5">
        <f>SUMIFS(Data!$L$2:$L$5001,Data!$C$2:$C$5001,A340,Data!$U$2:$U$5001,1)</f>
        <v>6629.72</v>
      </c>
    </row>
    <row r="341" spans="1:3" x14ac:dyDescent="0.35">
      <c r="A341" s="4">
        <v>1343</v>
      </c>
      <c r="B341" s="4">
        <f>COUNTIFS(Data!$C$2:$C$5001,A341,Data!$U$2:$U$5001,1)</f>
        <v>9</v>
      </c>
      <c r="C341" s="5">
        <f>SUMIFS(Data!$L$2:$L$5001,Data!$C$2:$C$5001,A341,Data!$U$2:$U$5001,1)</f>
        <v>7636.670000000001</v>
      </c>
    </row>
    <row r="342" spans="1:3" x14ac:dyDescent="0.35">
      <c r="A342" s="4">
        <v>1344</v>
      </c>
      <c r="B342" s="4">
        <f>COUNTIFS(Data!$C$2:$C$5001,A342,Data!$U$2:$U$5001,1)</f>
        <v>5</v>
      </c>
      <c r="C342" s="5">
        <f>SUMIFS(Data!$L$2:$L$5001,Data!$C$2:$C$5001,A342,Data!$U$2:$U$5001,1)</f>
        <v>3080.63</v>
      </c>
    </row>
    <row r="343" spans="1:3" x14ac:dyDescent="0.35">
      <c r="A343" s="4">
        <v>1345</v>
      </c>
      <c r="B343" s="4">
        <f>COUNTIFS(Data!$C$2:$C$5001,A343,Data!$U$2:$U$5001,1)</f>
        <v>7</v>
      </c>
      <c r="C343" s="5">
        <f>SUMIFS(Data!$L$2:$L$5001,Data!$C$2:$C$5001,A343,Data!$U$2:$U$5001,1)</f>
        <v>6727.96</v>
      </c>
    </row>
    <row r="344" spans="1:3" x14ac:dyDescent="0.35">
      <c r="A344" s="4">
        <v>1346</v>
      </c>
      <c r="B344" s="4">
        <f>COUNTIFS(Data!$C$2:$C$5001,A344,Data!$U$2:$U$5001,1)</f>
        <v>2</v>
      </c>
      <c r="C344" s="5">
        <f>SUMIFS(Data!$L$2:$L$5001,Data!$C$2:$C$5001,A344,Data!$U$2:$U$5001,1)</f>
        <v>925.39</v>
      </c>
    </row>
    <row r="345" spans="1:3" x14ac:dyDescent="0.35">
      <c r="A345" s="4">
        <v>1347</v>
      </c>
      <c r="B345" s="4">
        <f>COUNTIFS(Data!$C$2:$C$5001,A345,Data!$U$2:$U$5001,1)</f>
        <v>6</v>
      </c>
      <c r="C345" s="5">
        <f>SUMIFS(Data!$L$2:$L$5001,Data!$C$2:$C$5001,A345,Data!$U$2:$U$5001,1)</f>
        <v>6850.01</v>
      </c>
    </row>
    <row r="346" spans="1:3" x14ac:dyDescent="0.35">
      <c r="A346" s="4">
        <v>1348</v>
      </c>
      <c r="B346" s="4">
        <f>COUNTIFS(Data!$C$2:$C$5001,A346,Data!$U$2:$U$5001,1)</f>
        <v>9</v>
      </c>
      <c r="C346" s="5">
        <f>SUMIFS(Data!$L$2:$L$5001,Data!$C$2:$C$5001,A346,Data!$U$2:$U$5001,1)</f>
        <v>7360.7800000000007</v>
      </c>
    </row>
    <row r="347" spans="1:3" x14ac:dyDescent="0.35">
      <c r="A347" s="4">
        <v>1349</v>
      </c>
      <c r="B347" s="4">
        <f>COUNTIFS(Data!$C$2:$C$5001,A347,Data!$U$2:$U$5001,1)</f>
        <v>8</v>
      </c>
      <c r="C347" s="5">
        <f>SUMIFS(Data!$L$2:$L$5001,Data!$C$2:$C$5001,A347,Data!$U$2:$U$5001,1)</f>
        <v>6301.29</v>
      </c>
    </row>
    <row r="348" spans="1:3" x14ac:dyDescent="0.35">
      <c r="A348" s="4">
        <v>1350</v>
      </c>
      <c r="B348" s="4">
        <f>COUNTIFS(Data!$C$2:$C$5001,A348,Data!$U$2:$U$5001,1)</f>
        <v>2</v>
      </c>
      <c r="C348" s="5">
        <f>SUMIFS(Data!$L$2:$L$5001,Data!$C$2:$C$5001,A348,Data!$U$2:$U$5001,1)</f>
        <v>254.25</v>
      </c>
    </row>
    <row r="349" spans="1:3" x14ac:dyDescent="0.35">
      <c r="A349" s="4">
        <v>1351</v>
      </c>
      <c r="B349" s="4">
        <f>COUNTIFS(Data!$C$2:$C$5001,A349,Data!$U$2:$U$5001,1)</f>
        <v>3</v>
      </c>
      <c r="C349" s="5">
        <f>SUMIFS(Data!$L$2:$L$5001,Data!$C$2:$C$5001,A349,Data!$U$2:$U$5001,1)</f>
        <v>3173.4100000000003</v>
      </c>
    </row>
    <row r="350" spans="1:3" x14ac:dyDescent="0.35">
      <c r="A350" s="4">
        <v>1352</v>
      </c>
      <c r="B350" s="4">
        <f>COUNTIFS(Data!$C$2:$C$5001,A350,Data!$U$2:$U$5001,1)</f>
        <v>6</v>
      </c>
      <c r="C350" s="5">
        <f>SUMIFS(Data!$L$2:$L$5001,Data!$C$2:$C$5001,A350,Data!$U$2:$U$5001,1)</f>
        <v>3364.0899999999997</v>
      </c>
    </row>
    <row r="351" spans="1:3" x14ac:dyDescent="0.35">
      <c r="A351" s="4">
        <v>1353</v>
      </c>
      <c r="B351" s="4">
        <f>COUNTIFS(Data!$C$2:$C$5001,A351,Data!$U$2:$U$5001,1)</f>
        <v>5</v>
      </c>
      <c r="C351" s="5">
        <f>SUMIFS(Data!$L$2:$L$5001,Data!$C$2:$C$5001,A351,Data!$U$2:$U$5001,1)</f>
        <v>5844.93</v>
      </c>
    </row>
    <row r="352" spans="1:3" x14ac:dyDescent="0.35">
      <c r="A352" s="4">
        <v>1354</v>
      </c>
      <c r="B352" s="4">
        <f>COUNTIFS(Data!$C$2:$C$5001,A352,Data!$U$2:$U$5001,1)</f>
        <v>1</v>
      </c>
      <c r="C352" s="5">
        <f>SUMIFS(Data!$L$2:$L$5001,Data!$C$2:$C$5001,A352,Data!$U$2:$U$5001,1)</f>
        <v>338.32</v>
      </c>
    </row>
    <row r="353" spans="1:3" x14ac:dyDescent="0.35">
      <c r="A353" s="4">
        <v>1355</v>
      </c>
      <c r="B353" s="4">
        <f>COUNTIFS(Data!$C$2:$C$5001,A353,Data!$U$2:$U$5001,1)</f>
        <v>6</v>
      </c>
      <c r="C353" s="5">
        <f>SUMIFS(Data!$L$2:$L$5001,Data!$C$2:$C$5001,A353,Data!$U$2:$U$5001,1)</f>
        <v>2851.6200000000003</v>
      </c>
    </row>
    <row r="354" spans="1:3" x14ac:dyDescent="0.35">
      <c r="A354" s="4">
        <v>1356</v>
      </c>
      <c r="B354" s="4">
        <f>COUNTIFS(Data!$C$2:$C$5001,A354,Data!$U$2:$U$5001,1)</f>
        <v>3</v>
      </c>
      <c r="C354" s="5">
        <f>SUMIFS(Data!$L$2:$L$5001,Data!$C$2:$C$5001,A354,Data!$U$2:$U$5001,1)</f>
        <v>3578.89</v>
      </c>
    </row>
    <row r="355" spans="1:3" x14ac:dyDescent="0.35">
      <c r="A355" s="4">
        <v>1357</v>
      </c>
      <c r="B355" s="4">
        <f>COUNTIFS(Data!$C$2:$C$5001,A355,Data!$U$2:$U$5001,1)</f>
        <v>5</v>
      </c>
      <c r="C355" s="5">
        <f>SUMIFS(Data!$L$2:$L$5001,Data!$C$2:$C$5001,A355,Data!$U$2:$U$5001,1)</f>
        <v>5878.24</v>
      </c>
    </row>
    <row r="356" spans="1:3" x14ac:dyDescent="0.35">
      <c r="A356" s="4">
        <v>1358</v>
      </c>
      <c r="B356" s="4">
        <f>COUNTIFS(Data!$C$2:$C$5001,A356,Data!$U$2:$U$5001,1)</f>
        <v>6</v>
      </c>
      <c r="C356" s="5">
        <f>SUMIFS(Data!$L$2:$L$5001,Data!$C$2:$C$5001,A356,Data!$U$2:$U$5001,1)</f>
        <v>9469.1</v>
      </c>
    </row>
    <row r="357" spans="1:3" x14ac:dyDescent="0.35">
      <c r="A357" s="4">
        <v>1359</v>
      </c>
      <c r="B357" s="4">
        <f>COUNTIFS(Data!$C$2:$C$5001,A357,Data!$U$2:$U$5001,1)</f>
        <v>6</v>
      </c>
      <c r="C357" s="5">
        <f>SUMIFS(Data!$L$2:$L$5001,Data!$C$2:$C$5001,A357,Data!$U$2:$U$5001,1)</f>
        <v>9306.3700000000008</v>
      </c>
    </row>
    <row r="358" spans="1:3" x14ac:dyDescent="0.35">
      <c r="A358" s="4">
        <v>1360</v>
      </c>
      <c r="B358" s="4">
        <f>COUNTIFS(Data!$C$2:$C$5001,A358,Data!$U$2:$U$5001,1)</f>
        <v>6</v>
      </c>
      <c r="C358" s="5">
        <f>SUMIFS(Data!$L$2:$L$5001,Data!$C$2:$C$5001,A358,Data!$U$2:$U$5001,1)</f>
        <v>2806.5299999999997</v>
      </c>
    </row>
    <row r="359" spans="1:3" x14ac:dyDescent="0.35">
      <c r="A359" s="4">
        <v>1361</v>
      </c>
      <c r="B359" s="4">
        <f>COUNTIFS(Data!$C$2:$C$5001,A359,Data!$U$2:$U$5001,1)</f>
        <v>3</v>
      </c>
      <c r="C359" s="5">
        <f>SUMIFS(Data!$L$2:$L$5001,Data!$C$2:$C$5001,A359,Data!$U$2:$U$5001,1)</f>
        <v>3117.25</v>
      </c>
    </row>
    <row r="360" spans="1:3" x14ac:dyDescent="0.35">
      <c r="A360" s="4">
        <v>1362</v>
      </c>
      <c r="B360" s="4">
        <f>COUNTIFS(Data!$C$2:$C$5001,A360,Data!$U$2:$U$5001,1)</f>
        <v>7</v>
      </c>
      <c r="C360" s="5">
        <f>SUMIFS(Data!$L$2:$L$5001,Data!$C$2:$C$5001,A360,Data!$U$2:$U$5001,1)</f>
        <v>6911.8700000000008</v>
      </c>
    </row>
    <row r="361" spans="1:3" x14ac:dyDescent="0.35">
      <c r="A361" s="4">
        <v>1363</v>
      </c>
      <c r="B361" s="4">
        <f>COUNTIFS(Data!$C$2:$C$5001,A361,Data!$U$2:$U$5001,1)</f>
        <v>8</v>
      </c>
      <c r="C361" s="5">
        <f>SUMIFS(Data!$L$2:$L$5001,Data!$C$2:$C$5001,A361,Data!$U$2:$U$5001,1)</f>
        <v>7134.6299999999992</v>
      </c>
    </row>
    <row r="362" spans="1:3" x14ac:dyDescent="0.35">
      <c r="A362" s="4">
        <v>1364</v>
      </c>
      <c r="B362" s="4">
        <f>COUNTIFS(Data!$C$2:$C$5001,A362,Data!$U$2:$U$5001,1)</f>
        <v>8</v>
      </c>
      <c r="C362" s="5">
        <f>SUMIFS(Data!$L$2:$L$5001,Data!$C$2:$C$5001,A362,Data!$U$2:$U$5001,1)</f>
        <v>4994.96</v>
      </c>
    </row>
    <row r="363" spans="1:3" x14ac:dyDescent="0.35">
      <c r="A363" s="4">
        <v>1365</v>
      </c>
      <c r="B363" s="4">
        <f>COUNTIFS(Data!$C$2:$C$5001,A363,Data!$U$2:$U$5001,1)</f>
        <v>4</v>
      </c>
      <c r="C363" s="5">
        <f>SUMIFS(Data!$L$2:$L$5001,Data!$C$2:$C$5001,A363,Data!$U$2:$U$5001,1)</f>
        <v>5511.0300000000007</v>
      </c>
    </row>
    <row r="364" spans="1:3" x14ac:dyDescent="0.35">
      <c r="A364" s="4">
        <v>1366</v>
      </c>
      <c r="B364" s="4">
        <f>COUNTIFS(Data!$C$2:$C$5001,A364,Data!$U$2:$U$5001,1)</f>
        <v>4</v>
      </c>
      <c r="C364" s="5">
        <f>SUMIFS(Data!$L$2:$L$5001,Data!$C$2:$C$5001,A364,Data!$U$2:$U$5001,1)</f>
        <v>2197.44</v>
      </c>
    </row>
    <row r="365" spans="1:3" x14ac:dyDescent="0.35">
      <c r="A365" s="4">
        <v>1367</v>
      </c>
      <c r="B365" s="4">
        <f>COUNTIFS(Data!$C$2:$C$5001,A365,Data!$U$2:$U$5001,1)</f>
        <v>1</v>
      </c>
      <c r="C365" s="5">
        <f>SUMIFS(Data!$L$2:$L$5001,Data!$C$2:$C$5001,A365,Data!$U$2:$U$5001,1)</f>
        <v>1683.27</v>
      </c>
    </row>
    <row r="366" spans="1:3" x14ac:dyDescent="0.35">
      <c r="A366" s="4">
        <v>1368</v>
      </c>
      <c r="B366" s="4">
        <f>COUNTIFS(Data!$C$2:$C$5001,A366,Data!$U$2:$U$5001,1)</f>
        <v>4</v>
      </c>
      <c r="C366" s="5">
        <f>SUMIFS(Data!$L$2:$L$5001,Data!$C$2:$C$5001,A366,Data!$U$2:$U$5001,1)</f>
        <v>5599.43</v>
      </c>
    </row>
    <row r="367" spans="1:3" x14ac:dyDescent="0.35">
      <c r="A367" s="4">
        <v>1369</v>
      </c>
      <c r="B367" s="4">
        <f>COUNTIFS(Data!$C$2:$C$5001,A367,Data!$U$2:$U$5001,1)</f>
        <v>4</v>
      </c>
      <c r="C367" s="5">
        <f>SUMIFS(Data!$L$2:$L$5001,Data!$C$2:$C$5001,A367,Data!$U$2:$U$5001,1)</f>
        <v>5093.4400000000005</v>
      </c>
    </row>
    <row r="368" spans="1:3" x14ac:dyDescent="0.35">
      <c r="A368" s="4">
        <v>1370</v>
      </c>
      <c r="B368" s="4">
        <f>COUNTIFS(Data!$C$2:$C$5001,A368,Data!$U$2:$U$5001,1)</f>
        <v>5</v>
      </c>
      <c r="C368" s="5">
        <f>SUMIFS(Data!$L$2:$L$5001,Data!$C$2:$C$5001,A368,Data!$U$2:$U$5001,1)</f>
        <v>5264.57</v>
      </c>
    </row>
    <row r="369" spans="1:3" x14ac:dyDescent="0.35">
      <c r="A369" s="4">
        <v>1371</v>
      </c>
      <c r="B369" s="4">
        <f>COUNTIFS(Data!$C$2:$C$5001,A369,Data!$U$2:$U$5001,1)</f>
        <v>2</v>
      </c>
      <c r="C369" s="5">
        <f>SUMIFS(Data!$L$2:$L$5001,Data!$C$2:$C$5001,A369,Data!$U$2:$U$5001,1)</f>
        <v>3343.66</v>
      </c>
    </row>
    <row r="370" spans="1:3" x14ac:dyDescent="0.35">
      <c r="A370" s="4">
        <v>1372</v>
      </c>
      <c r="B370" s="4">
        <f>COUNTIFS(Data!$C$2:$C$5001,A370,Data!$U$2:$U$5001,1)</f>
        <v>5</v>
      </c>
      <c r="C370" s="5">
        <f>SUMIFS(Data!$L$2:$L$5001,Data!$C$2:$C$5001,A370,Data!$U$2:$U$5001,1)</f>
        <v>4213.4800000000005</v>
      </c>
    </row>
    <row r="371" spans="1:3" x14ac:dyDescent="0.35">
      <c r="A371" s="4">
        <v>1373</v>
      </c>
      <c r="B371" s="4">
        <f>COUNTIFS(Data!$C$2:$C$5001,A371,Data!$U$2:$U$5001,1)</f>
        <v>6</v>
      </c>
      <c r="C371" s="5">
        <f>SUMIFS(Data!$L$2:$L$5001,Data!$C$2:$C$5001,A371,Data!$U$2:$U$5001,1)</f>
        <v>6790.2100000000009</v>
      </c>
    </row>
    <row r="372" spans="1:3" x14ac:dyDescent="0.35">
      <c r="A372" s="4">
        <v>1374</v>
      </c>
      <c r="B372" s="4">
        <f>COUNTIFS(Data!$C$2:$C$5001,A372,Data!$U$2:$U$5001,1)</f>
        <v>6</v>
      </c>
      <c r="C372" s="5">
        <f>SUMIFS(Data!$L$2:$L$5001,Data!$C$2:$C$5001,A372,Data!$U$2:$U$5001,1)</f>
        <v>10910.939999999999</v>
      </c>
    </row>
    <row r="373" spans="1:3" x14ac:dyDescent="0.35">
      <c r="A373" s="4">
        <v>1375</v>
      </c>
      <c r="B373" s="4">
        <f>COUNTIFS(Data!$C$2:$C$5001,A373,Data!$U$2:$U$5001,1)</f>
        <v>7</v>
      </c>
      <c r="C373" s="5">
        <f>SUMIFS(Data!$L$2:$L$5001,Data!$C$2:$C$5001,A373,Data!$U$2:$U$5001,1)</f>
        <v>8659.9700000000012</v>
      </c>
    </row>
    <row r="374" spans="1:3" x14ac:dyDescent="0.35">
      <c r="A374" s="4">
        <v>1376</v>
      </c>
      <c r="B374" s="4">
        <f>COUNTIFS(Data!$C$2:$C$5001,A374,Data!$U$2:$U$5001,1)</f>
        <v>6</v>
      </c>
      <c r="C374" s="5">
        <f>SUMIFS(Data!$L$2:$L$5001,Data!$C$2:$C$5001,A374,Data!$U$2:$U$5001,1)</f>
        <v>4883.5099999999993</v>
      </c>
    </row>
    <row r="375" spans="1:3" x14ac:dyDescent="0.35">
      <c r="A375" s="4">
        <v>1377</v>
      </c>
      <c r="B375" s="4">
        <f>COUNTIFS(Data!$C$2:$C$5001,A375,Data!$U$2:$U$5001,1)</f>
        <v>6</v>
      </c>
      <c r="C375" s="5">
        <f>SUMIFS(Data!$L$2:$L$5001,Data!$C$2:$C$5001,A375,Data!$U$2:$U$5001,1)</f>
        <v>6707.2800000000007</v>
      </c>
    </row>
    <row r="376" spans="1:3" x14ac:dyDescent="0.35">
      <c r="A376" s="4">
        <v>1378</v>
      </c>
      <c r="B376" s="4">
        <f>COUNTIFS(Data!$C$2:$C$5001,A376,Data!$U$2:$U$5001,1)</f>
        <v>4</v>
      </c>
      <c r="C376" s="5">
        <f>SUMIFS(Data!$L$2:$L$5001,Data!$C$2:$C$5001,A376,Data!$U$2:$U$5001,1)</f>
        <v>2991.8199999999997</v>
      </c>
    </row>
    <row r="377" spans="1:3" x14ac:dyDescent="0.35">
      <c r="A377" s="4">
        <v>1379</v>
      </c>
      <c r="B377" s="4">
        <f>COUNTIFS(Data!$C$2:$C$5001,A377,Data!$U$2:$U$5001,1)</f>
        <v>8</v>
      </c>
      <c r="C377" s="5">
        <f>SUMIFS(Data!$L$2:$L$5001,Data!$C$2:$C$5001,A377,Data!$U$2:$U$5001,1)</f>
        <v>7789.4999999999991</v>
      </c>
    </row>
    <row r="378" spans="1:3" x14ac:dyDescent="0.35">
      <c r="A378" s="4">
        <v>1380</v>
      </c>
      <c r="B378" s="4">
        <f>COUNTIFS(Data!$C$2:$C$5001,A378,Data!$U$2:$U$5001,1)</f>
        <v>8</v>
      </c>
      <c r="C378" s="5">
        <f>SUMIFS(Data!$L$2:$L$5001,Data!$C$2:$C$5001,A378,Data!$U$2:$U$5001,1)</f>
        <v>9167.41</v>
      </c>
    </row>
    <row r="379" spans="1:3" x14ac:dyDescent="0.35">
      <c r="A379" s="4">
        <v>1381</v>
      </c>
      <c r="B379" s="4">
        <f>COUNTIFS(Data!$C$2:$C$5001,A379,Data!$U$2:$U$5001,1)</f>
        <v>6</v>
      </c>
      <c r="C379" s="5">
        <f>SUMIFS(Data!$L$2:$L$5001,Data!$C$2:$C$5001,A379,Data!$U$2:$U$5001,1)</f>
        <v>4076.9399999999996</v>
      </c>
    </row>
    <row r="380" spans="1:3" x14ac:dyDescent="0.35">
      <c r="A380" s="4">
        <v>1382</v>
      </c>
      <c r="B380" s="4">
        <f>COUNTIFS(Data!$C$2:$C$5001,A380,Data!$U$2:$U$5001,1)</f>
        <v>3</v>
      </c>
      <c r="C380" s="5">
        <f>SUMIFS(Data!$L$2:$L$5001,Data!$C$2:$C$5001,A380,Data!$U$2:$U$5001,1)</f>
        <v>2249.94</v>
      </c>
    </row>
    <row r="381" spans="1:3" x14ac:dyDescent="0.35">
      <c r="A381" s="4">
        <v>1383</v>
      </c>
      <c r="B381" s="4">
        <f>COUNTIFS(Data!$C$2:$C$5001,A381,Data!$U$2:$U$5001,1)</f>
        <v>4</v>
      </c>
      <c r="C381" s="5">
        <f>SUMIFS(Data!$L$2:$L$5001,Data!$C$2:$C$5001,A381,Data!$U$2:$U$5001,1)</f>
        <v>5072.24</v>
      </c>
    </row>
    <row r="382" spans="1:3" x14ac:dyDescent="0.35">
      <c r="A382" s="4">
        <v>1384</v>
      </c>
      <c r="B382" s="4">
        <f>COUNTIFS(Data!$C$2:$C$5001,A382,Data!$U$2:$U$5001,1)</f>
        <v>6</v>
      </c>
      <c r="C382" s="5">
        <f>SUMIFS(Data!$L$2:$L$5001,Data!$C$2:$C$5001,A382,Data!$U$2:$U$5001,1)</f>
        <v>5779.31</v>
      </c>
    </row>
    <row r="383" spans="1:3" x14ac:dyDescent="0.35">
      <c r="A383" s="4">
        <v>1385</v>
      </c>
      <c r="B383" s="4">
        <f>COUNTIFS(Data!$C$2:$C$5001,A383,Data!$U$2:$U$5001,1)</f>
        <v>9</v>
      </c>
      <c r="C383" s="5">
        <f>SUMIFS(Data!$L$2:$L$5001,Data!$C$2:$C$5001,A383,Data!$U$2:$U$5001,1)</f>
        <v>7788.41</v>
      </c>
    </row>
    <row r="384" spans="1:3" x14ac:dyDescent="0.35">
      <c r="A384" s="4">
        <v>1386</v>
      </c>
      <c r="B384" s="4">
        <f>COUNTIFS(Data!$C$2:$C$5001,A384,Data!$U$2:$U$5001,1)</f>
        <v>6</v>
      </c>
      <c r="C384" s="5">
        <f>SUMIFS(Data!$L$2:$L$5001,Data!$C$2:$C$5001,A384,Data!$U$2:$U$5001,1)</f>
        <v>7727.670000000001</v>
      </c>
    </row>
    <row r="385" spans="1:3" x14ac:dyDescent="0.35">
      <c r="A385" s="4">
        <v>1387</v>
      </c>
      <c r="B385" s="4">
        <f>COUNTIFS(Data!$C$2:$C$5001,A385,Data!$U$2:$U$5001,1)</f>
        <v>3</v>
      </c>
      <c r="C385" s="5">
        <f>SUMIFS(Data!$L$2:$L$5001,Data!$C$2:$C$5001,A385,Data!$U$2:$U$5001,1)</f>
        <v>4556.95</v>
      </c>
    </row>
    <row r="386" spans="1:3" x14ac:dyDescent="0.35">
      <c r="A386" s="4">
        <v>1388</v>
      </c>
      <c r="B386" s="4">
        <f>COUNTIFS(Data!$C$2:$C$5001,A386,Data!$U$2:$U$5001,1)</f>
        <v>2</v>
      </c>
      <c r="C386" s="5">
        <f>SUMIFS(Data!$L$2:$L$5001,Data!$C$2:$C$5001,A386,Data!$U$2:$U$5001,1)</f>
        <v>334.89</v>
      </c>
    </row>
    <row r="387" spans="1:3" x14ac:dyDescent="0.35">
      <c r="A387" s="4">
        <v>1389</v>
      </c>
      <c r="B387" s="4">
        <f>COUNTIFS(Data!$C$2:$C$5001,A387,Data!$U$2:$U$5001,1)</f>
        <v>4</v>
      </c>
      <c r="C387" s="5">
        <f>SUMIFS(Data!$L$2:$L$5001,Data!$C$2:$C$5001,A387,Data!$U$2:$U$5001,1)</f>
        <v>2709.33</v>
      </c>
    </row>
    <row r="388" spans="1:3" x14ac:dyDescent="0.35">
      <c r="A388" s="4">
        <v>1390</v>
      </c>
      <c r="B388" s="4">
        <f>COUNTIFS(Data!$C$2:$C$5001,A388,Data!$U$2:$U$5001,1)</f>
        <v>5</v>
      </c>
      <c r="C388" s="5">
        <f>SUMIFS(Data!$L$2:$L$5001,Data!$C$2:$C$5001,A388,Data!$U$2:$U$5001,1)</f>
        <v>5363.07</v>
      </c>
    </row>
    <row r="389" spans="1:3" x14ac:dyDescent="0.35">
      <c r="A389" s="4">
        <v>1391</v>
      </c>
      <c r="B389" s="4">
        <f>COUNTIFS(Data!$C$2:$C$5001,A389,Data!$U$2:$U$5001,1)</f>
        <v>6</v>
      </c>
      <c r="C389" s="5">
        <f>SUMIFS(Data!$L$2:$L$5001,Data!$C$2:$C$5001,A389,Data!$U$2:$U$5001,1)</f>
        <v>6876.08</v>
      </c>
    </row>
    <row r="390" spans="1:3" x14ac:dyDescent="0.35">
      <c r="A390" s="4">
        <v>1392</v>
      </c>
      <c r="B390" s="4">
        <f>COUNTIFS(Data!$C$2:$C$5001,A390,Data!$U$2:$U$5001,1)</f>
        <v>7</v>
      </c>
      <c r="C390" s="5">
        <f>SUMIFS(Data!$L$2:$L$5001,Data!$C$2:$C$5001,A390,Data!$U$2:$U$5001,1)</f>
        <v>9220.5499999999993</v>
      </c>
    </row>
    <row r="391" spans="1:3" x14ac:dyDescent="0.35">
      <c r="A391" s="4">
        <v>1393</v>
      </c>
      <c r="B391" s="4">
        <f>COUNTIFS(Data!$C$2:$C$5001,A391,Data!$U$2:$U$5001,1)</f>
        <v>3</v>
      </c>
      <c r="C391" s="5">
        <f>SUMIFS(Data!$L$2:$L$5001,Data!$C$2:$C$5001,A391,Data!$U$2:$U$5001,1)</f>
        <v>1971.79</v>
      </c>
    </row>
    <row r="392" spans="1:3" x14ac:dyDescent="0.35">
      <c r="A392" s="4">
        <v>1394</v>
      </c>
      <c r="B392" s="4">
        <f>COUNTIFS(Data!$C$2:$C$5001,A392,Data!$U$2:$U$5001,1)</f>
        <v>7</v>
      </c>
      <c r="C392" s="5">
        <f>SUMIFS(Data!$L$2:$L$5001,Data!$C$2:$C$5001,A392,Data!$U$2:$U$5001,1)</f>
        <v>5910.5700000000006</v>
      </c>
    </row>
    <row r="393" spans="1:3" x14ac:dyDescent="0.35">
      <c r="A393" s="4">
        <v>1395</v>
      </c>
      <c r="B393" s="4">
        <f>COUNTIFS(Data!$C$2:$C$5001,A393,Data!$U$2:$U$5001,1)</f>
        <v>4</v>
      </c>
      <c r="C393" s="5">
        <f>SUMIFS(Data!$L$2:$L$5001,Data!$C$2:$C$5001,A393,Data!$U$2:$U$5001,1)</f>
        <v>3501.49</v>
      </c>
    </row>
    <row r="394" spans="1:3" x14ac:dyDescent="0.35">
      <c r="A394" s="4">
        <v>1396</v>
      </c>
      <c r="B394" s="4">
        <f>COUNTIFS(Data!$C$2:$C$5001,A394,Data!$U$2:$U$5001,1)</f>
        <v>8</v>
      </c>
      <c r="C394" s="5">
        <f>SUMIFS(Data!$L$2:$L$5001,Data!$C$2:$C$5001,A394,Data!$U$2:$U$5001,1)</f>
        <v>8149.7</v>
      </c>
    </row>
    <row r="395" spans="1:3" x14ac:dyDescent="0.35">
      <c r="A395" s="4">
        <v>1397</v>
      </c>
      <c r="B395" s="4">
        <f>COUNTIFS(Data!$C$2:$C$5001,A395,Data!$U$2:$U$5001,1)</f>
        <v>4</v>
      </c>
      <c r="C395" s="5">
        <f>SUMIFS(Data!$L$2:$L$5001,Data!$C$2:$C$5001,A395,Data!$U$2:$U$5001,1)</f>
        <v>4457.22</v>
      </c>
    </row>
    <row r="396" spans="1:3" x14ac:dyDescent="0.35">
      <c r="A396" s="4">
        <v>1398</v>
      </c>
      <c r="B396" s="4">
        <f>COUNTIFS(Data!$C$2:$C$5001,A396,Data!$U$2:$U$5001,1)</f>
        <v>7</v>
      </c>
      <c r="C396" s="5">
        <f>SUMIFS(Data!$L$2:$L$5001,Data!$C$2:$C$5001,A396,Data!$U$2:$U$5001,1)</f>
        <v>8428.8499999999985</v>
      </c>
    </row>
    <row r="397" spans="1:3" x14ac:dyDescent="0.35">
      <c r="A397" s="4">
        <v>1399</v>
      </c>
      <c r="B397" s="4">
        <f>COUNTIFS(Data!$C$2:$C$5001,A397,Data!$U$2:$U$5001,1)</f>
        <v>5</v>
      </c>
      <c r="C397" s="5">
        <f>SUMIFS(Data!$L$2:$L$5001,Data!$C$2:$C$5001,A397,Data!$U$2:$U$5001,1)</f>
        <v>3883.49</v>
      </c>
    </row>
    <row r="398" spans="1:3" x14ac:dyDescent="0.35">
      <c r="A398" s="4">
        <v>1400</v>
      </c>
      <c r="B398" s="4">
        <f>COUNTIFS(Data!$C$2:$C$5001,A398,Data!$U$2:$U$5001,1)</f>
        <v>10</v>
      </c>
      <c r="C398" s="5">
        <f>SUMIFS(Data!$L$2:$L$5001,Data!$C$2:$C$5001,A398,Data!$U$2:$U$5001,1)</f>
        <v>7145.2599999999993</v>
      </c>
    </row>
    <row r="399" spans="1:3" x14ac:dyDescent="0.35">
      <c r="A399" s="4">
        <v>1401</v>
      </c>
      <c r="B399" s="4">
        <f>COUNTIFS(Data!$C$2:$C$5001,A399,Data!$U$2:$U$5001,1)</f>
        <v>5</v>
      </c>
      <c r="C399" s="5">
        <f>SUMIFS(Data!$L$2:$L$5001,Data!$C$2:$C$5001,A399,Data!$U$2:$U$5001,1)</f>
        <v>7128.77</v>
      </c>
    </row>
    <row r="400" spans="1:3" x14ac:dyDescent="0.35">
      <c r="A400" s="4">
        <v>1402</v>
      </c>
      <c r="B400" s="4">
        <f>COUNTIFS(Data!$C$2:$C$5001,A400,Data!$U$2:$U$5001,1)</f>
        <v>3</v>
      </c>
      <c r="C400" s="5">
        <f>SUMIFS(Data!$L$2:$L$5001,Data!$C$2:$C$5001,A400,Data!$U$2:$U$5001,1)</f>
        <v>3066.02</v>
      </c>
    </row>
    <row r="401" spans="1:3" x14ac:dyDescent="0.35">
      <c r="A401" s="4">
        <v>1403</v>
      </c>
      <c r="B401" s="4">
        <f>COUNTIFS(Data!$C$2:$C$5001,A401,Data!$U$2:$U$5001,1)</f>
        <v>3</v>
      </c>
      <c r="C401" s="5">
        <f>SUMIFS(Data!$L$2:$L$5001,Data!$C$2:$C$5001,A401,Data!$U$2:$U$5001,1)</f>
        <v>1160.02</v>
      </c>
    </row>
    <row r="402" spans="1:3" x14ac:dyDescent="0.35">
      <c r="A402" s="4">
        <v>1404</v>
      </c>
      <c r="B402" s="4">
        <f>COUNTIFS(Data!$C$2:$C$5001,A402,Data!$U$2:$U$5001,1)</f>
        <v>7</v>
      </c>
      <c r="C402" s="5">
        <f>SUMIFS(Data!$L$2:$L$5001,Data!$C$2:$C$5001,A402,Data!$U$2:$U$5001,1)</f>
        <v>6500.18</v>
      </c>
    </row>
    <row r="403" spans="1:3" x14ac:dyDescent="0.35">
      <c r="A403" s="4">
        <v>1405</v>
      </c>
      <c r="B403" s="4">
        <f>COUNTIFS(Data!$C$2:$C$5001,A403,Data!$U$2:$U$5001,1)</f>
        <v>6</v>
      </c>
      <c r="C403" s="5">
        <f>SUMIFS(Data!$L$2:$L$5001,Data!$C$2:$C$5001,A403,Data!$U$2:$U$5001,1)</f>
        <v>2658.75</v>
      </c>
    </row>
    <row r="404" spans="1:3" x14ac:dyDescent="0.35">
      <c r="A404" s="4">
        <v>1406</v>
      </c>
      <c r="B404" s="4">
        <f>COUNTIFS(Data!$C$2:$C$5001,A404,Data!$U$2:$U$5001,1)</f>
        <v>8</v>
      </c>
      <c r="C404" s="5">
        <f>SUMIFS(Data!$L$2:$L$5001,Data!$C$2:$C$5001,A404,Data!$U$2:$U$5001,1)</f>
        <v>10868.6</v>
      </c>
    </row>
    <row r="405" spans="1:3" x14ac:dyDescent="0.35">
      <c r="A405" s="4">
        <v>1407</v>
      </c>
      <c r="B405" s="4">
        <f>COUNTIFS(Data!$C$2:$C$5001,A405,Data!$U$2:$U$5001,1)</f>
        <v>5</v>
      </c>
      <c r="C405" s="5">
        <f>SUMIFS(Data!$L$2:$L$5001,Data!$C$2:$C$5001,A405,Data!$U$2:$U$5001,1)</f>
        <v>6445.630000000001</v>
      </c>
    </row>
    <row r="406" spans="1:3" x14ac:dyDescent="0.35">
      <c r="A406" s="4">
        <v>1408</v>
      </c>
      <c r="B406" s="4">
        <f>COUNTIFS(Data!$C$2:$C$5001,A406,Data!$U$2:$U$5001,1)</f>
        <v>1</v>
      </c>
      <c r="C406" s="5">
        <f>SUMIFS(Data!$L$2:$L$5001,Data!$C$2:$C$5001,A406,Data!$U$2:$U$5001,1)</f>
        <v>853.29</v>
      </c>
    </row>
    <row r="407" spans="1:3" x14ac:dyDescent="0.35">
      <c r="A407" s="4">
        <v>1409</v>
      </c>
      <c r="B407" s="4">
        <f>COUNTIFS(Data!$C$2:$C$5001,A407,Data!$U$2:$U$5001,1)</f>
        <v>3</v>
      </c>
      <c r="C407" s="5">
        <f>SUMIFS(Data!$L$2:$L$5001,Data!$C$2:$C$5001,A407,Data!$U$2:$U$5001,1)</f>
        <v>1192.9100000000001</v>
      </c>
    </row>
    <row r="408" spans="1:3" x14ac:dyDescent="0.35">
      <c r="A408" s="4">
        <v>1410</v>
      </c>
      <c r="B408" s="4">
        <f>COUNTIFS(Data!$C$2:$C$5001,A408,Data!$U$2:$U$5001,1)</f>
        <v>3</v>
      </c>
      <c r="C408" s="5">
        <f>SUMIFS(Data!$L$2:$L$5001,Data!$C$2:$C$5001,A408,Data!$U$2:$U$5001,1)</f>
        <v>4012.86</v>
      </c>
    </row>
    <row r="409" spans="1:3" x14ac:dyDescent="0.35">
      <c r="A409" s="4">
        <v>1411</v>
      </c>
      <c r="B409" s="4">
        <f>COUNTIFS(Data!$C$2:$C$5001,A409,Data!$U$2:$U$5001,1)</f>
        <v>2</v>
      </c>
      <c r="C409" s="5">
        <f>SUMIFS(Data!$L$2:$L$5001,Data!$C$2:$C$5001,A409,Data!$U$2:$U$5001,1)</f>
        <v>3302.07</v>
      </c>
    </row>
    <row r="410" spans="1:3" x14ac:dyDescent="0.35">
      <c r="A410" s="4">
        <v>1412</v>
      </c>
      <c r="B410" s="4">
        <f>COUNTIFS(Data!$C$2:$C$5001,A410,Data!$U$2:$U$5001,1)</f>
        <v>2</v>
      </c>
      <c r="C410" s="5">
        <f>SUMIFS(Data!$L$2:$L$5001,Data!$C$2:$C$5001,A410,Data!$U$2:$U$5001,1)</f>
        <v>790.52</v>
      </c>
    </row>
    <row r="411" spans="1:3" x14ac:dyDescent="0.35">
      <c r="A411" s="4">
        <v>1413</v>
      </c>
      <c r="B411" s="4">
        <f>COUNTIFS(Data!$C$2:$C$5001,A411,Data!$U$2:$U$5001,1)</f>
        <v>7</v>
      </c>
      <c r="C411" s="5">
        <f>SUMIFS(Data!$L$2:$L$5001,Data!$C$2:$C$5001,A411,Data!$U$2:$U$5001,1)</f>
        <v>5846.3900000000012</v>
      </c>
    </row>
    <row r="412" spans="1:3" x14ac:dyDescent="0.35">
      <c r="A412" s="4">
        <v>1414</v>
      </c>
      <c r="B412" s="4">
        <f>COUNTIFS(Data!$C$2:$C$5001,A412,Data!$U$2:$U$5001,1)</f>
        <v>3</v>
      </c>
      <c r="C412" s="5">
        <f>SUMIFS(Data!$L$2:$L$5001,Data!$C$2:$C$5001,A412,Data!$U$2:$U$5001,1)</f>
        <v>1253.45</v>
      </c>
    </row>
    <row r="413" spans="1:3" x14ac:dyDescent="0.35">
      <c r="A413" s="4">
        <v>1415</v>
      </c>
      <c r="B413" s="4">
        <f>COUNTIFS(Data!$C$2:$C$5001,A413,Data!$U$2:$U$5001,1)</f>
        <v>5</v>
      </c>
      <c r="C413" s="5">
        <f>SUMIFS(Data!$L$2:$L$5001,Data!$C$2:$C$5001,A413,Data!$U$2:$U$5001,1)</f>
        <v>3194.1099999999997</v>
      </c>
    </row>
    <row r="414" spans="1:3" x14ac:dyDescent="0.35">
      <c r="A414" s="4">
        <v>1416</v>
      </c>
      <c r="B414" s="4">
        <f>COUNTIFS(Data!$C$2:$C$5001,A414,Data!$U$2:$U$5001,1)</f>
        <v>4</v>
      </c>
      <c r="C414" s="5">
        <f>SUMIFS(Data!$L$2:$L$5001,Data!$C$2:$C$5001,A414,Data!$U$2:$U$5001,1)</f>
        <v>5213.49</v>
      </c>
    </row>
    <row r="415" spans="1:3" x14ac:dyDescent="0.35">
      <c r="A415" s="4">
        <v>1417</v>
      </c>
      <c r="B415" s="4">
        <f>COUNTIFS(Data!$C$2:$C$5001,A415,Data!$U$2:$U$5001,1)</f>
        <v>5</v>
      </c>
      <c r="C415" s="5">
        <f>SUMIFS(Data!$L$2:$L$5001,Data!$C$2:$C$5001,A415,Data!$U$2:$U$5001,1)</f>
        <v>6896.8499999999995</v>
      </c>
    </row>
    <row r="416" spans="1:3" x14ac:dyDescent="0.35">
      <c r="A416" s="4">
        <v>1418</v>
      </c>
      <c r="B416" s="4">
        <f>COUNTIFS(Data!$C$2:$C$5001,A416,Data!$U$2:$U$5001,1)</f>
        <v>7</v>
      </c>
      <c r="C416" s="5">
        <f>SUMIFS(Data!$L$2:$L$5001,Data!$C$2:$C$5001,A416,Data!$U$2:$U$5001,1)</f>
        <v>6711.44</v>
      </c>
    </row>
    <row r="417" spans="1:3" x14ac:dyDescent="0.35">
      <c r="A417" s="4">
        <v>1419</v>
      </c>
      <c r="B417" s="4">
        <f>COUNTIFS(Data!$C$2:$C$5001,A417,Data!$U$2:$U$5001,1)</f>
        <v>9</v>
      </c>
      <c r="C417" s="5">
        <f>SUMIFS(Data!$L$2:$L$5001,Data!$C$2:$C$5001,A417,Data!$U$2:$U$5001,1)</f>
        <v>9823.0999999999985</v>
      </c>
    </row>
    <row r="418" spans="1:3" x14ac:dyDescent="0.35">
      <c r="A418" s="4">
        <v>1420</v>
      </c>
      <c r="B418" s="4">
        <f>COUNTIFS(Data!$C$2:$C$5001,A418,Data!$U$2:$U$5001,1)</f>
        <v>2</v>
      </c>
      <c r="C418" s="5">
        <f>SUMIFS(Data!$L$2:$L$5001,Data!$C$2:$C$5001,A418,Data!$U$2:$U$5001,1)</f>
        <v>899.86</v>
      </c>
    </row>
    <row r="419" spans="1:3" x14ac:dyDescent="0.35">
      <c r="A419" s="4">
        <v>1421</v>
      </c>
      <c r="B419" s="4">
        <f>COUNTIFS(Data!$C$2:$C$5001,A419,Data!$U$2:$U$5001,1)</f>
        <v>7</v>
      </c>
      <c r="C419" s="5">
        <f>SUMIFS(Data!$L$2:$L$5001,Data!$C$2:$C$5001,A419,Data!$U$2:$U$5001,1)</f>
        <v>9355.11</v>
      </c>
    </row>
    <row r="420" spans="1:3" x14ac:dyDescent="0.35">
      <c r="A420" s="4">
        <v>1422</v>
      </c>
      <c r="B420" s="4">
        <f>COUNTIFS(Data!$C$2:$C$5001,A420,Data!$U$2:$U$5001,1)</f>
        <v>2</v>
      </c>
      <c r="C420" s="5">
        <f>SUMIFS(Data!$L$2:$L$5001,Data!$C$2:$C$5001,A420,Data!$U$2:$U$5001,1)</f>
        <v>1398.3600000000001</v>
      </c>
    </row>
    <row r="421" spans="1:3" x14ac:dyDescent="0.35">
      <c r="A421" s="4">
        <v>1423</v>
      </c>
      <c r="B421" s="4">
        <f>COUNTIFS(Data!$C$2:$C$5001,A421,Data!$U$2:$U$5001,1)</f>
        <v>5</v>
      </c>
      <c r="C421" s="5">
        <f>SUMIFS(Data!$L$2:$L$5001,Data!$C$2:$C$5001,A421,Data!$U$2:$U$5001,1)</f>
        <v>5642.33</v>
      </c>
    </row>
    <row r="422" spans="1:3" x14ac:dyDescent="0.35">
      <c r="A422" s="4">
        <v>1424</v>
      </c>
      <c r="B422" s="4">
        <f>COUNTIFS(Data!$C$2:$C$5001,A422,Data!$U$2:$U$5001,1)</f>
        <v>5</v>
      </c>
      <c r="C422" s="5">
        <f>SUMIFS(Data!$L$2:$L$5001,Data!$C$2:$C$5001,A422,Data!$U$2:$U$5001,1)</f>
        <v>5688.59</v>
      </c>
    </row>
    <row r="423" spans="1:3" x14ac:dyDescent="0.35">
      <c r="A423" s="4">
        <v>1425</v>
      </c>
      <c r="B423" s="4">
        <f>COUNTIFS(Data!$C$2:$C$5001,A423,Data!$U$2:$U$5001,1)</f>
        <v>5</v>
      </c>
      <c r="C423" s="5">
        <f>SUMIFS(Data!$L$2:$L$5001,Data!$C$2:$C$5001,A423,Data!$U$2:$U$5001,1)</f>
        <v>4081.83</v>
      </c>
    </row>
    <row r="424" spans="1:3" x14ac:dyDescent="0.35">
      <c r="A424" s="4">
        <v>1426</v>
      </c>
      <c r="B424" s="4">
        <f>COUNTIFS(Data!$C$2:$C$5001,A424,Data!$U$2:$U$5001,1)</f>
        <v>6</v>
      </c>
      <c r="C424" s="5">
        <f>SUMIFS(Data!$L$2:$L$5001,Data!$C$2:$C$5001,A424,Data!$U$2:$U$5001,1)</f>
        <v>3386.6000000000004</v>
      </c>
    </row>
    <row r="425" spans="1:3" x14ac:dyDescent="0.35">
      <c r="A425" s="4">
        <v>1427</v>
      </c>
      <c r="B425" s="4">
        <f>COUNTIFS(Data!$C$2:$C$5001,A425,Data!$U$2:$U$5001,1)</f>
        <v>4</v>
      </c>
      <c r="C425" s="5">
        <f>SUMIFS(Data!$L$2:$L$5001,Data!$C$2:$C$5001,A425,Data!$U$2:$U$5001,1)</f>
        <v>4210.6500000000005</v>
      </c>
    </row>
    <row r="426" spans="1:3" x14ac:dyDescent="0.35">
      <c r="A426" s="4">
        <v>1428</v>
      </c>
      <c r="B426" s="4">
        <f>COUNTIFS(Data!$C$2:$C$5001,A426,Data!$U$2:$U$5001,1)</f>
        <v>4</v>
      </c>
      <c r="C426" s="5">
        <f>SUMIFS(Data!$L$2:$L$5001,Data!$C$2:$C$5001,A426,Data!$U$2:$U$5001,1)</f>
        <v>5423.4699999999993</v>
      </c>
    </row>
    <row r="427" spans="1:3" x14ac:dyDescent="0.35">
      <c r="A427" s="4">
        <v>1429</v>
      </c>
      <c r="B427" s="4">
        <f>COUNTIFS(Data!$C$2:$C$5001,A427,Data!$U$2:$U$5001,1)</f>
        <v>3</v>
      </c>
      <c r="C427" s="5">
        <f>SUMIFS(Data!$L$2:$L$5001,Data!$C$2:$C$5001,A427,Data!$U$2:$U$5001,1)</f>
        <v>4193.4400000000005</v>
      </c>
    </row>
    <row r="428" spans="1:3" x14ac:dyDescent="0.35">
      <c r="A428" s="4">
        <v>1430</v>
      </c>
      <c r="B428" s="4">
        <f>COUNTIFS(Data!$C$2:$C$5001,A428,Data!$U$2:$U$5001,1)</f>
        <v>4</v>
      </c>
      <c r="C428" s="5">
        <f>SUMIFS(Data!$L$2:$L$5001,Data!$C$2:$C$5001,A428,Data!$U$2:$U$5001,1)</f>
        <v>3004.65</v>
      </c>
    </row>
    <row r="429" spans="1:3" x14ac:dyDescent="0.35">
      <c r="A429" s="4">
        <v>1431</v>
      </c>
      <c r="B429" s="4">
        <f>COUNTIFS(Data!$C$2:$C$5001,A429,Data!$U$2:$U$5001,1)</f>
        <v>6</v>
      </c>
      <c r="C429" s="5">
        <f>SUMIFS(Data!$L$2:$L$5001,Data!$C$2:$C$5001,A429,Data!$U$2:$U$5001,1)</f>
        <v>9359.36</v>
      </c>
    </row>
    <row r="430" spans="1:3" x14ac:dyDescent="0.35">
      <c r="A430" s="4">
        <v>1433</v>
      </c>
      <c r="B430" s="4">
        <f>COUNTIFS(Data!$C$2:$C$5001,A430,Data!$U$2:$U$5001,1)</f>
        <v>2</v>
      </c>
      <c r="C430" s="5">
        <f>SUMIFS(Data!$L$2:$L$5001,Data!$C$2:$C$5001,A430,Data!$U$2:$U$5001,1)</f>
        <v>1924.93</v>
      </c>
    </row>
    <row r="431" spans="1:3" x14ac:dyDescent="0.35">
      <c r="A431" s="4">
        <v>1434</v>
      </c>
      <c r="B431" s="4">
        <f>COUNTIFS(Data!$C$2:$C$5001,A431,Data!$U$2:$U$5001,1)</f>
        <v>10</v>
      </c>
      <c r="C431" s="5">
        <f>SUMIFS(Data!$L$2:$L$5001,Data!$C$2:$C$5001,A431,Data!$U$2:$U$5001,1)</f>
        <v>10530.539999999999</v>
      </c>
    </row>
    <row r="432" spans="1:3" x14ac:dyDescent="0.35">
      <c r="A432" s="4">
        <v>1435</v>
      </c>
      <c r="B432" s="4">
        <f>COUNTIFS(Data!$C$2:$C$5001,A432,Data!$U$2:$U$5001,1)</f>
        <v>7</v>
      </c>
      <c r="C432" s="5">
        <f>SUMIFS(Data!$L$2:$L$5001,Data!$C$2:$C$5001,A432,Data!$U$2:$U$5001,1)</f>
        <v>5446.08</v>
      </c>
    </row>
    <row r="433" spans="1:3" x14ac:dyDescent="0.35">
      <c r="A433" s="4">
        <v>1436</v>
      </c>
      <c r="B433" s="4">
        <f>COUNTIFS(Data!$C$2:$C$5001,A433,Data!$U$2:$U$5001,1)</f>
        <v>5</v>
      </c>
      <c r="C433" s="5">
        <f>SUMIFS(Data!$L$2:$L$5001,Data!$C$2:$C$5001,A433,Data!$U$2:$U$5001,1)</f>
        <v>5140.78</v>
      </c>
    </row>
    <row r="434" spans="1:3" x14ac:dyDescent="0.35">
      <c r="A434" s="4">
        <v>1437</v>
      </c>
      <c r="B434" s="4">
        <f>COUNTIFS(Data!$C$2:$C$5001,A434,Data!$U$2:$U$5001,1)</f>
        <v>4</v>
      </c>
      <c r="C434" s="5">
        <f>SUMIFS(Data!$L$2:$L$5001,Data!$C$2:$C$5001,A434,Data!$U$2:$U$5001,1)</f>
        <v>5182.0599999999995</v>
      </c>
    </row>
    <row r="435" spans="1:3" x14ac:dyDescent="0.35">
      <c r="A435" s="4">
        <v>1438</v>
      </c>
      <c r="B435" s="4">
        <f>COUNTIFS(Data!$C$2:$C$5001,A435,Data!$U$2:$U$5001,1)</f>
        <v>2</v>
      </c>
      <c r="C435" s="5">
        <f>SUMIFS(Data!$L$2:$L$5001,Data!$C$2:$C$5001,A435,Data!$U$2:$U$5001,1)</f>
        <v>3097.51</v>
      </c>
    </row>
    <row r="436" spans="1:3" x14ac:dyDescent="0.35">
      <c r="A436" s="4">
        <v>1439</v>
      </c>
      <c r="B436" s="4">
        <f>COUNTIFS(Data!$C$2:$C$5001,A436,Data!$U$2:$U$5001,1)</f>
        <v>5</v>
      </c>
      <c r="C436" s="5">
        <f>SUMIFS(Data!$L$2:$L$5001,Data!$C$2:$C$5001,A436,Data!$U$2:$U$5001,1)</f>
        <v>7580.0499999999993</v>
      </c>
    </row>
    <row r="437" spans="1:3" x14ac:dyDescent="0.35">
      <c r="A437" s="4">
        <v>1440</v>
      </c>
      <c r="B437" s="4">
        <f>COUNTIFS(Data!$C$2:$C$5001,A437,Data!$U$2:$U$5001,1)</f>
        <v>6</v>
      </c>
      <c r="C437" s="5">
        <f>SUMIFS(Data!$L$2:$L$5001,Data!$C$2:$C$5001,A437,Data!$U$2:$U$5001,1)</f>
        <v>10175.9</v>
      </c>
    </row>
    <row r="438" spans="1:3" x14ac:dyDescent="0.35">
      <c r="A438" s="4">
        <v>1441</v>
      </c>
      <c r="B438" s="4">
        <f>COUNTIFS(Data!$C$2:$C$5001,A438,Data!$U$2:$U$5001,1)</f>
        <v>6</v>
      </c>
      <c r="C438" s="5">
        <f>SUMIFS(Data!$L$2:$L$5001,Data!$C$2:$C$5001,A438,Data!$U$2:$U$5001,1)</f>
        <v>4849.03</v>
      </c>
    </row>
    <row r="439" spans="1:3" x14ac:dyDescent="0.35">
      <c r="A439" s="4">
        <v>1442</v>
      </c>
      <c r="B439" s="4">
        <f>COUNTIFS(Data!$C$2:$C$5001,A439,Data!$U$2:$U$5001,1)</f>
        <v>6</v>
      </c>
      <c r="C439" s="5">
        <f>SUMIFS(Data!$L$2:$L$5001,Data!$C$2:$C$5001,A439,Data!$U$2:$U$5001,1)</f>
        <v>4206.4799999999996</v>
      </c>
    </row>
    <row r="440" spans="1:3" x14ac:dyDescent="0.35">
      <c r="A440" s="4">
        <v>1443</v>
      </c>
      <c r="B440" s="4">
        <f>COUNTIFS(Data!$C$2:$C$5001,A440,Data!$U$2:$U$5001,1)</f>
        <v>2</v>
      </c>
      <c r="C440" s="5">
        <f>SUMIFS(Data!$L$2:$L$5001,Data!$C$2:$C$5001,A440,Data!$U$2:$U$5001,1)</f>
        <v>486.71000000000004</v>
      </c>
    </row>
    <row r="441" spans="1:3" x14ac:dyDescent="0.35">
      <c r="A441" s="4">
        <v>1444</v>
      </c>
      <c r="B441" s="4">
        <f>COUNTIFS(Data!$C$2:$C$5001,A441,Data!$U$2:$U$5001,1)</f>
        <v>7</v>
      </c>
      <c r="C441" s="5">
        <f>SUMIFS(Data!$L$2:$L$5001,Data!$C$2:$C$5001,A441,Data!$U$2:$U$5001,1)</f>
        <v>8841.64</v>
      </c>
    </row>
    <row r="442" spans="1:3" x14ac:dyDescent="0.35">
      <c r="A442" s="4">
        <v>1445</v>
      </c>
      <c r="B442" s="4">
        <f>COUNTIFS(Data!$C$2:$C$5001,A442,Data!$U$2:$U$5001,1)</f>
        <v>3</v>
      </c>
      <c r="C442" s="5">
        <f>SUMIFS(Data!$L$2:$L$5001,Data!$C$2:$C$5001,A442,Data!$U$2:$U$5001,1)</f>
        <v>2454.98</v>
      </c>
    </row>
    <row r="443" spans="1:3" x14ac:dyDescent="0.35">
      <c r="A443" s="4">
        <v>1446</v>
      </c>
      <c r="B443" s="4">
        <f>COUNTIFS(Data!$C$2:$C$5001,A443,Data!$U$2:$U$5001,1)</f>
        <v>4</v>
      </c>
      <c r="C443" s="5">
        <f>SUMIFS(Data!$L$2:$L$5001,Data!$C$2:$C$5001,A443,Data!$U$2:$U$5001,1)</f>
        <v>1071.1599999999999</v>
      </c>
    </row>
    <row r="444" spans="1:3" x14ac:dyDescent="0.35">
      <c r="A444" s="4">
        <v>1447</v>
      </c>
      <c r="B444" s="4">
        <f>COUNTIFS(Data!$C$2:$C$5001,A444,Data!$U$2:$U$5001,1)</f>
        <v>3</v>
      </c>
      <c r="C444" s="5">
        <f>SUMIFS(Data!$L$2:$L$5001,Data!$C$2:$C$5001,A444,Data!$U$2:$U$5001,1)</f>
        <v>2770.5</v>
      </c>
    </row>
    <row r="445" spans="1:3" x14ac:dyDescent="0.35">
      <c r="A445" s="4">
        <v>1448</v>
      </c>
      <c r="B445" s="4">
        <f>COUNTIFS(Data!$C$2:$C$5001,A445,Data!$U$2:$U$5001,1)</f>
        <v>6</v>
      </c>
      <c r="C445" s="5">
        <f>SUMIFS(Data!$L$2:$L$5001,Data!$C$2:$C$5001,A445,Data!$U$2:$U$5001,1)</f>
        <v>6997.11</v>
      </c>
    </row>
    <row r="446" spans="1:3" x14ac:dyDescent="0.35">
      <c r="A446" s="4">
        <v>1449</v>
      </c>
      <c r="B446" s="4">
        <f>COUNTIFS(Data!$C$2:$C$5001,A446,Data!$U$2:$U$5001,1)</f>
        <v>8</v>
      </c>
      <c r="C446" s="5">
        <f>SUMIFS(Data!$L$2:$L$5001,Data!$C$2:$C$5001,A446,Data!$U$2:$U$5001,1)</f>
        <v>8764.7800000000007</v>
      </c>
    </row>
    <row r="447" spans="1:3" x14ac:dyDescent="0.35">
      <c r="A447" s="4">
        <v>1450</v>
      </c>
      <c r="B447" s="4">
        <f>COUNTIFS(Data!$C$2:$C$5001,A447,Data!$U$2:$U$5001,1)</f>
        <v>3</v>
      </c>
      <c r="C447" s="5">
        <f>SUMIFS(Data!$L$2:$L$5001,Data!$C$2:$C$5001,A447,Data!$U$2:$U$5001,1)</f>
        <v>1125.3700000000001</v>
      </c>
    </row>
    <row r="448" spans="1:3" x14ac:dyDescent="0.35">
      <c r="A448" s="4">
        <v>1451</v>
      </c>
      <c r="B448" s="4">
        <f>COUNTIFS(Data!$C$2:$C$5001,A448,Data!$U$2:$U$5001,1)</f>
        <v>2</v>
      </c>
      <c r="C448" s="5">
        <f>SUMIFS(Data!$L$2:$L$5001,Data!$C$2:$C$5001,A448,Data!$U$2:$U$5001,1)</f>
        <v>2051.77</v>
      </c>
    </row>
    <row r="449" spans="1:3" x14ac:dyDescent="0.35">
      <c r="A449" s="4">
        <v>1452</v>
      </c>
      <c r="B449" s="4">
        <f>COUNTIFS(Data!$C$2:$C$5001,A449,Data!$U$2:$U$5001,1)</f>
        <v>6</v>
      </c>
      <c r="C449" s="5">
        <f>SUMIFS(Data!$L$2:$L$5001,Data!$C$2:$C$5001,A449,Data!$U$2:$U$5001,1)</f>
        <v>4687.7700000000004</v>
      </c>
    </row>
    <row r="450" spans="1:3" x14ac:dyDescent="0.35">
      <c r="A450" s="4">
        <v>1453</v>
      </c>
      <c r="B450" s="4">
        <f>COUNTIFS(Data!$C$2:$C$5001,A450,Data!$U$2:$U$5001,1)</f>
        <v>6</v>
      </c>
      <c r="C450" s="5">
        <f>SUMIFS(Data!$L$2:$L$5001,Data!$C$2:$C$5001,A450,Data!$U$2:$U$5001,1)</f>
        <v>4519.8999999999996</v>
      </c>
    </row>
    <row r="451" spans="1:3" x14ac:dyDescent="0.35">
      <c r="A451" s="4">
        <v>1454</v>
      </c>
      <c r="B451" s="4">
        <f>COUNTIFS(Data!$C$2:$C$5001,A451,Data!$U$2:$U$5001,1)</f>
        <v>9</v>
      </c>
      <c r="C451" s="5">
        <f>SUMIFS(Data!$L$2:$L$5001,Data!$C$2:$C$5001,A451,Data!$U$2:$U$5001,1)</f>
        <v>6740.7500000000009</v>
      </c>
    </row>
    <row r="452" spans="1:3" x14ac:dyDescent="0.35">
      <c r="A452" s="4">
        <v>1455</v>
      </c>
      <c r="B452" s="4">
        <f>COUNTIFS(Data!$C$2:$C$5001,A452,Data!$U$2:$U$5001,1)</f>
        <v>5</v>
      </c>
      <c r="C452" s="5">
        <f>SUMIFS(Data!$L$2:$L$5001,Data!$C$2:$C$5001,A452,Data!$U$2:$U$5001,1)</f>
        <v>2724.2200000000003</v>
      </c>
    </row>
    <row r="453" spans="1:3" x14ac:dyDescent="0.35">
      <c r="A453" s="4">
        <v>1456</v>
      </c>
      <c r="B453" s="4">
        <f>COUNTIFS(Data!$C$2:$C$5001,A453,Data!$U$2:$U$5001,1)</f>
        <v>4</v>
      </c>
      <c r="C453" s="5">
        <f>SUMIFS(Data!$L$2:$L$5001,Data!$C$2:$C$5001,A453,Data!$U$2:$U$5001,1)</f>
        <v>4898.57</v>
      </c>
    </row>
    <row r="454" spans="1:3" x14ac:dyDescent="0.35">
      <c r="A454" s="4">
        <v>1457</v>
      </c>
      <c r="B454" s="4">
        <f>COUNTIFS(Data!$C$2:$C$5001,A454,Data!$U$2:$U$5001,1)</f>
        <v>2</v>
      </c>
      <c r="C454" s="5">
        <f>SUMIFS(Data!$L$2:$L$5001,Data!$C$2:$C$5001,A454,Data!$U$2:$U$5001,1)</f>
        <v>3313.5699999999997</v>
      </c>
    </row>
    <row r="455" spans="1:3" x14ac:dyDescent="0.35">
      <c r="A455" s="4">
        <v>1458</v>
      </c>
      <c r="B455" s="4">
        <f>COUNTIFS(Data!$C$2:$C$5001,A455,Data!$U$2:$U$5001,1)</f>
        <v>7</v>
      </c>
      <c r="C455" s="5">
        <f>SUMIFS(Data!$L$2:$L$5001,Data!$C$2:$C$5001,A455,Data!$U$2:$U$5001,1)</f>
        <v>8938.2799999999988</v>
      </c>
    </row>
    <row r="456" spans="1:3" x14ac:dyDescent="0.35">
      <c r="A456" s="4">
        <v>1459</v>
      </c>
      <c r="B456" s="4">
        <f>COUNTIFS(Data!$C$2:$C$5001,A456,Data!$U$2:$U$5001,1)</f>
        <v>7</v>
      </c>
      <c r="C456" s="5">
        <f>SUMIFS(Data!$L$2:$L$5001,Data!$C$2:$C$5001,A456,Data!$U$2:$U$5001,1)</f>
        <v>8461.2199999999993</v>
      </c>
    </row>
    <row r="457" spans="1:3" x14ac:dyDescent="0.35">
      <c r="A457" s="4">
        <v>1460</v>
      </c>
      <c r="B457" s="4">
        <f>COUNTIFS(Data!$C$2:$C$5001,A457,Data!$U$2:$U$5001,1)</f>
        <v>4</v>
      </c>
      <c r="C457" s="5">
        <f>SUMIFS(Data!$L$2:$L$5001,Data!$C$2:$C$5001,A457,Data!$U$2:$U$5001,1)</f>
        <v>6193.48</v>
      </c>
    </row>
    <row r="458" spans="1:3" x14ac:dyDescent="0.35">
      <c r="A458" s="4">
        <v>1461</v>
      </c>
      <c r="B458" s="4">
        <f>COUNTIFS(Data!$C$2:$C$5001,A458,Data!$U$2:$U$5001,1)</f>
        <v>4</v>
      </c>
      <c r="C458" s="5">
        <f>SUMIFS(Data!$L$2:$L$5001,Data!$C$2:$C$5001,A458,Data!$U$2:$U$5001,1)</f>
        <v>2888.8</v>
      </c>
    </row>
    <row r="459" spans="1:3" x14ac:dyDescent="0.35">
      <c r="A459" s="4">
        <v>1462</v>
      </c>
      <c r="B459" s="4">
        <f>COUNTIFS(Data!$C$2:$C$5001,A459,Data!$U$2:$U$5001,1)</f>
        <v>6</v>
      </c>
      <c r="C459" s="5">
        <f>SUMIFS(Data!$L$2:$L$5001,Data!$C$2:$C$5001,A459,Data!$U$2:$U$5001,1)</f>
        <v>4513.8500000000004</v>
      </c>
    </row>
    <row r="460" spans="1:3" x14ac:dyDescent="0.35">
      <c r="A460" s="4">
        <v>1463</v>
      </c>
      <c r="B460" s="4">
        <f>COUNTIFS(Data!$C$2:$C$5001,A460,Data!$U$2:$U$5001,1)</f>
        <v>1</v>
      </c>
      <c r="C460" s="5">
        <f>SUMIFS(Data!$L$2:$L$5001,Data!$C$2:$C$5001,A460,Data!$U$2:$U$5001,1)</f>
        <v>2890.44</v>
      </c>
    </row>
    <row r="461" spans="1:3" x14ac:dyDescent="0.35">
      <c r="A461" s="4">
        <v>1464</v>
      </c>
      <c r="B461" s="4">
        <f>COUNTIFS(Data!$C$2:$C$5001,A461,Data!$U$2:$U$5001,1)</f>
        <v>3</v>
      </c>
      <c r="C461" s="5">
        <f>SUMIFS(Data!$L$2:$L$5001,Data!$C$2:$C$5001,A461,Data!$U$2:$U$5001,1)</f>
        <v>3441.36</v>
      </c>
    </row>
    <row r="462" spans="1:3" x14ac:dyDescent="0.35">
      <c r="A462" s="4">
        <v>1465</v>
      </c>
      <c r="B462" s="4">
        <f>COUNTIFS(Data!$C$2:$C$5001,A462,Data!$U$2:$U$5001,1)</f>
        <v>5</v>
      </c>
      <c r="C462" s="5">
        <f>SUMIFS(Data!$L$2:$L$5001,Data!$C$2:$C$5001,A462,Data!$U$2:$U$5001,1)</f>
        <v>4923.3099999999995</v>
      </c>
    </row>
    <row r="463" spans="1:3" x14ac:dyDescent="0.35">
      <c r="A463" s="4">
        <v>1466</v>
      </c>
      <c r="B463" s="4">
        <f>COUNTIFS(Data!$C$2:$C$5001,A463,Data!$U$2:$U$5001,1)</f>
        <v>7</v>
      </c>
      <c r="C463" s="5">
        <f>SUMIFS(Data!$L$2:$L$5001,Data!$C$2:$C$5001,A463,Data!$U$2:$U$5001,1)</f>
        <v>6075.63</v>
      </c>
    </row>
    <row r="464" spans="1:3" x14ac:dyDescent="0.35">
      <c r="A464" s="4">
        <v>1467</v>
      </c>
      <c r="B464" s="4">
        <f>COUNTIFS(Data!$C$2:$C$5001,A464,Data!$U$2:$U$5001,1)</f>
        <v>2</v>
      </c>
      <c r="C464" s="5">
        <f>SUMIFS(Data!$L$2:$L$5001,Data!$C$2:$C$5001,A464,Data!$U$2:$U$5001,1)</f>
        <v>2464.86</v>
      </c>
    </row>
    <row r="465" spans="1:3" x14ac:dyDescent="0.35">
      <c r="A465" s="4">
        <v>1468</v>
      </c>
      <c r="B465" s="4">
        <f>COUNTIFS(Data!$C$2:$C$5001,A465,Data!$U$2:$U$5001,1)</f>
        <v>5</v>
      </c>
      <c r="C465" s="5">
        <f>SUMIFS(Data!$L$2:$L$5001,Data!$C$2:$C$5001,A465,Data!$U$2:$U$5001,1)</f>
        <v>5815.02</v>
      </c>
    </row>
    <row r="466" spans="1:3" x14ac:dyDescent="0.35">
      <c r="A466" s="4">
        <v>1469</v>
      </c>
      <c r="B466" s="4">
        <f>COUNTIFS(Data!$C$2:$C$5001,A466,Data!$U$2:$U$5001,1)</f>
        <v>3</v>
      </c>
      <c r="C466" s="5">
        <f>SUMIFS(Data!$L$2:$L$5001,Data!$C$2:$C$5001,A466,Data!$U$2:$U$5001,1)</f>
        <v>885.81999999999994</v>
      </c>
    </row>
    <row r="467" spans="1:3" x14ac:dyDescent="0.35">
      <c r="A467" s="4">
        <v>1470</v>
      </c>
      <c r="B467" s="4">
        <f>COUNTIFS(Data!$C$2:$C$5001,A467,Data!$U$2:$U$5001,1)</f>
        <v>5</v>
      </c>
      <c r="C467" s="5">
        <f>SUMIFS(Data!$L$2:$L$5001,Data!$C$2:$C$5001,A467,Data!$U$2:$U$5001,1)</f>
        <v>6184.13</v>
      </c>
    </row>
    <row r="468" spans="1:3" x14ac:dyDescent="0.35">
      <c r="A468" s="4">
        <v>1471</v>
      </c>
      <c r="B468" s="4">
        <f>COUNTIFS(Data!$C$2:$C$5001,A468,Data!$U$2:$U$5001,1)</f>
        <v>3</v>
      </c>
      <c r="C468" s="5">
        <f>SUMIFS(Data!$L$2:$L$5001,Data!$C$2:$C$5001,A468,Data!$U$2:$U$5001,1)</f>
        <v>3024.67</v>
      </c>
    </row>
    <row r="469" spans="1:3" x14ac:dyDescent="0.35">
      <c r="A469" s="4">
        <v>1472</v>
      </c>
      <c r="B469" s="4">
        <f>COUNTIFS(Data!$C$2:$C$5001,A469,Data!$U$2:$U$5001,1)</f>
        <v>5</v>
      </c>
      <c r="C469" s="5">
        <f>SUMIFS(Data!$L$2:$L$5001,Data!$C$2:$C$5001,A469,Data!$U$2:$U$5001,1)</f>
        <v>2604.7200000000003</v>
      </c>
    </row>
    <row r="470" spans="1:3" x14ac:dyDescent="0.35">
      <c r="A470" s="4">
        <v>1473</v>
      </c>
      <c r="B470" s="4">
        <f>COUNTIFS(Data!$C$2:$C$5001,A470,Data!$U$2:$U$5001,1)</f>
        <v>6</v>
      </c>
      <c r="C470" s="5">
        <f>SUMIFS(Data!$L$2:$L$5001,Data!$C$2:$C$5001,A470,Data!$U$2:$U$5001,1)</f>
        <v>5198.3300000000008</v>
      </c>
    </row>
    <row r="471" spans="1:3" x14ac:dyDescent="0.35">
      <c r="A471" s="4">
        <v>1474</v>
      </c>
      <c r="B471" s="4">
        <f>COUNTIFS(Data!$C$2:$C$5001,A471,Data!$U$2:$U$5001,1)</f>
        <v>4</v>
      </c>
      <c r="C471" s="5">
        <f>SUMIFS(Data!$L$2:$L$5001,Data!$C$2:$C$5001,A471,Data!$U$2:$U$5001,1)</f>
        <v>7819.5700000000006</v>
      </c>
    </row>
    <row r="472" spans="1:3" x14ac:dyDescent="0.35">
      <c r="A472" s="4">
        <v>1475</v>
      </c>
      <c r="B472" s="4">
        <f>COUNTIFS(Data!$C$2:$C$5001,A472,Data!$U$2:$U$5001,1)</f>
        <v>11</v>
      </c>
      <c r="C472" s="5">
        <f>SUMIFS(Data!$L$2:$L$5001,Data!$C$2:$C$5001,A472,Data!$U$2:$U$5001,1)</f>
        <v>11813.380000000001</v>
      </c>
    </row>
    <row r="473" spans="1:3" x14ac:dyDescent="0.35">
      <c r="A473" s="4">
        <v>1476</v>
      </c>
      <c r="B473" s="4">
        <f>COUNTIFS(Data!$C$2:$C$5001,A473,Data!$U$2:$U$5001,1)</f>
        <v>9</v>
      </c>
      <c r="C473" s="5">
        <f>SUMIFS(Data!$L$2:$L$5001,Data!$C$2:$C$5001,A473,Data!$U$2:$U$5001,1)</f>
        <v>7678.04</v>
      </c>
    </row>
    <row r="474" spans="1:3" x14ac:dyDescent="0.35">
      <c r="A474" s="4">
        <v>1477</v>
      </c>
      <c r="B474" s="4">
        <f>COUNTIFS(Data!$C$2:$C$5001,A474,Data!$U$2:$U$5001,1)</f>
        <v>3</v>
      </c>
      <c r="C474" s="5">
        <f>SUMIFS(Data!$L$2:$L$5001,Data!$C$2:$C$5001,A474,Data!$U$2:$U$5001,1)</f>
        <v>3035.1600000000003</v>
      </c>
    </row>
    <row r="475" spans="1:3" x14ac:dyDescent="0.35">
      <c r="A475" s="4">
        <v>1478</v>
      </c>
      <c r="B475" s="4">
        <f>COUNTIFS(Data!$C$2:$C$5001,A475,Data!$U$2:$U$5001,1)</f>
        <v>1</v>
      </c>
      <c r="C475" s="5">
        <f>SUMIFS(Data!$L$2:$L$5001,Data!$C$2:$C$5001,A475,Data!$U$2:$U$5001,1)</f>
        <v>720.69</v>
      </c>
    </row>
    <row r="476" spans="1:3" x14ac:dyDescent="0.35">
      <c r="A476" s="4">
        <v>1479</v>
      </c>
      <c r="B476" s="4">
        <f>COUNTIFS(Data!$C$2:$C$5001,A476,Data!$U$2:$U$5001,1)</f>
        <v>2</v>
      </c>
      <c r="C476" s="5">
        <f>SUMIFS(Data!$L$2:$L$5001,Data!$C$2:$C$5001,A476,Data!$U$2:$U$5001,1)</f>
        <v>679.46</v>
      </c>
    </row>
    <row r="477" spans="1:3" x14ac:dyDescent="0.35">
      <c r="A477" s="4">
        <v>1480</v>
      </c>
      <c r="B477" s="4">
        <f>COUNTIFS(Data!$C$2:$C$5001,A477,Data!$U$2:$U$5001,1)</f>
        <v>4</v>
      </c>
      <c r="C477" s="5">
        <f>SUMIFS(Data!$L$2:$L$5001,Data!$C$2:$C$5001,A477,Data!$U$2:$U$5001,1)</f>
        <v>4378.3900000000003</v>
      </c>
    </row>
    <row r="478" spans="1:3" x14ac:dyDescent="0.35">
      <c r="A478" s="4">
        <v>1481</v>
      </c>
      <c r="B478" s="4">
        <f>COUNTIFS(Data!$C$2:$C$5001,A478,Data!$U$2:$U$5001,1)</f>
        <v>5</v>
      </c>
      <c r="C478" s="5">
        <f>SUMIFS(Data!$L$2:$L$5001,Data!$C$2:$C$5001,A478,Data!$U$2:$U$5001,1)</f>
        <v>4608.0900000000011</v>
      </c>
    </row>
    <row r="479" spans="1:3" x14ac:dyDescent="0.35">
      <c r="A479" s="4">
        <v>1482</v>
      </c>
      <c r="B479" s="4">
        <f>COUNTIFS(Data!$C$2:$C$5001,A479,Data!$U$2:$U$5001,1)</f>
        <v>7</v>
      </c>
      <c r="C479" s="5">
        <f>SUMIFS(Data!$L$2:$L$5001,Data!$C$2:$C$5001,A479,Data!$U$2:$U$5001,1)</f>
        <v>6998.0299999999988</v>
      </c>
    </row>
    <row r="480" spans="1:3" x14ac:dyDescent="0.35">
      <c r="A480" s="4">
        <v>1483</v>
      </c>
      <c r="B480" s="4">
        <f>COUNTIFS(Data!$C$2:$C$5001,A480,Data!$U$2:$U$5001,1)</f>
        <v>2</v>
      </c>
      <c r="C480" s="5">
        <f>SUMIFS(Data!$L$2:$L$5001,Data!$C$2:$C$5001,A480,Data!$U$2:$U$5001,1)</f>
        <v>2904.59</v>
      </c>
    </row>
    <row r="481" spans="1:3" x14ac:dyDescent="0.35">
      <c r="A481" s="4">
        <v>1484</v>
      </c>
      <c r="B481" s="4">
        <f>COUNTIFS(Data!$C$2:$C$5001,A481,Data!$U$2:$U$5001,1)</f>
        <v>9</v>
      </c>
      <c r="C481" s="5">
        <f>SUMIFS(Data!$L$2:$L$5001,Data!$C$2:$C$5001,A481,Data!$U$2:$U$5001,1)</f>
        <v>7533.62</v>
      </c>
    </row>
    <row r="482" spans="1:3" x14ac:dyDescent="0.35">
      <c r="A482" s="4">
        <v>1485</v>
      </c>
      <c r="B482" s="4">
        <f>COUNTIFS(Data!$C$2:$C$5001,A482,Data!$U$2:$U$5001,1)</f>
        <v>3</v>
      </c>
      <c r="C482" s="5">
        <f>SUMIFS(Data!$L$2:$L$5001,Data!$C$2:$C$5001,A482,Data!$U$2:$U$5001,1)</f>
        <v>4024.7000000000003</v>
      </c>
    </row>
    <row r="483" spans="1:3" x14ac:dyDescent="0.35">
      <c r="A483" s="4">
        <v>1486</v>
      </c>
      <c r="B483" s="4">
        <f>COUNTIFS(Data!$C$2:$C$5001,A483,Data!$U$2:$U$5001,1)</f>
        <v>1</v>
      </c>
      <c r="C483" s="5">
        <f>SUMIFS(Data!$L$2:$L$5001,Data!$C$2:$C$5001,A483,Data!$U$2:$U$5001,1)</f>
        <v>840.64</v>
      </c>
    </row>
    <row r="484" spans="1:3" x14ac:dyDescent="0.35">
      <c r="A484" s="4">
        <v>1487</v>
      </c>
      <c r="B484" s="4">
        <f>COUNTIFS(Data!$C$2:$C$5001,A484,Data!$U$2:$U$5001,1)</f>
        <v>5</v>
      </c>
      <c r="C484" s="5">
        <f>SUMIFS(Data!$L$2:$L$5001,Data!$C$2:$C$5001,A484,Data!$U$2:$U$5001,1)</f>
        <v>4676.3999999999996</v>
      </c>
    </row>
    <row r="485" spans="1:3" x14ac:dyDescent="0.35">
      <c r="A485" s="4">
        <v>1488</v>
      </c>
      <c r="B485" s="4">
        <f>COUNTIFS(Data!$C$2:$C$5001,A485,Data!$U$2:$U$5001,1)</f>
        <v>5</v>
      </c>
      <c r="C485" s="5">
        <f>SUMIFS(Data!$L$2:$L$5001,Data!$C$2:$C$5001,A485,Data!$U$2:$U$5001,1)</f>
        <v>4811.3100000000004</v>
      </c>
    </row>
    <row r="486" spans="1:3" x14ac:dyDescent="0.35">
      <c r="A486" s="4">
        <v>1489</v>
      </c>
      <c r="B486" s="4">
        <f>COUNTIFS(Data!$C$2:$C$5001,A486,Data!$U$2:$U$5001,1)</f>
        <v>7</v>
      </c>
      <c r="C486" s="5">
        <f>SUMIFS(Data!$L$2:$L$5001,Data!$C$2:$C$5001,A486,Data!$U$2:$U$5001,1)</f>
        <v>9502.64</v>
      </c>
    </row>
    <row r="487" spans="1:3" x14ac:dyDescent="0.35">
      <c r="A487" s="4">
        <v>1490</v>
      </c>
      <c r="B487" s="4">
        <f>COUNTIFS(Data!$C$2:$C$5001,A487,Data!$U$2:$U$5001,1)</f>
        <v>4</v>
      </c>
      <c r="C487" s="5">
        <f>SUMIFS(Data!$L$2:$L$5001,Data!$C$2:$C$5001,A487,Data!$U$2:$U$5001,1)</f>
        <v>4179.9299999999994</v>
      </c>
    </row>
    <row r="488" spans="1:3" x14ac:dyDescent="0.35">
      <c r="A488" s="4">
        <v>1491</v>
      </c>
      <c r="B488" s="4">
        <f>COUNTIFS(Data!$C$2:$C$5001,A488,Data!$U$2:$U$5001,1)</f>
        <v>5</v>
      </c>
      <c r="C488" s="5">
        <f>SUMIFS(Data!$L$2:$L$5001,Data!$C$2:$C$5001,A488,Data!$U$2:$U$5001,1)</f>
        <v>5558.11</v>
      </c>
    </row>
    <row r="489" spans="1:3" x14ac:dyDescent="0.35">
      <c r="A489" s="4">
        <v>1492</v>
      </c>
      <c r="B489" s="4">
        <f>COUNTIFS(Data!$C$2:$C$5001,A489,Data!$U$2:$U$5001,1)</f>
        <v>5</v>
      </c>
      <c r="C489" s="5">
        <f>SUMIFS(Data!$L$2:$L$5001,Data!$C$2:$C$5001,A489,Data!$U$2:$U$5001,1)</f>
        <v>6628.0599999999995</v>
      </c>
    </row>
    <row r="490" spans="1:3" x14ac:dyDescent="0.35">
      <c r="A490" s="4">
        <v>1493</v>
      </c>
      <c r="B490" s="4">
        <f>COUNTIFS(Data!$C$2:$C$5001,A490,Data!$U$2:$U$5001,1)</f>
        <v>8</v>
      </c>
      <c r="C490" s="5">
        <f>SUMIFS(Data!$L$2:$L$5001,Data!$C$2:$C$5001,A490,Data!$U$2:$U$5001,1)</f>
        <v>5575.75</v>
      </c>
    </row>
    <row r="491" spans="1:3" x14ac:dyDescent="0.35">
      <c r="A491" s="4">
        <v>1494</v>
      </c>
      <c r="B491" s="4">
        <f>COUNTIFS(Data!$C$2:$C$5001,A491,Data!$U$2:$U$5001,1)</f>
        <v>3</v>
      </c>
      <c r="C491" s="5">
        <f>SUMIFS(Data!$L$2:$L$5001,Data!$C$2:$C$5001,A491,Data!$U$2:$U$5001,1)</f>
        <v>2608.2799999999997</v>
      </c>
    </row>
    <row r="492" spans="1:3" x14ac:dyDescent="0.35">
      <c r="A492" s="4">
        <v>1495</v>
      </c>
      <c r="B492" s="4">
        <f>COUNTIFS(Data!$C$2:$C$5001,A492,Data!$U$2:$U$5001,1)</f>
        <v>1</v>
      </c>
      <c r="C492" s="5">
        <f>SUMIFS(Data!$L$2:$L$5001,Data!$C$2:$C$5001,A492,Data!$U$2:$U$5001,1)</f>
        <v>942.33</v>
      </c>
    </row>
    <row r="493" spans="1:3" x14ac:dyDescent="0.35">
      <c r="A493" s="4">
        <v>1496</v>
      </c>
      <c r="B493" s="4">
        <f>COUNTIFS(Data!$C$2:$C$5001,A493,Data!$U$2:$U$5001,1)</f>
        <v>10</v>
      </c>
      <c r="C493" s="5">
        <f>SUMIFS(Data!$L$2:$L$5001,Data!$C$2:$C$5001,A493,Data!$U$2:$U$5001,1)</f>
        <v>11295.75</v>
      </c>
    </row>
    <row r="494" spans="1:3" x14ac:dyDescent="0.35">
      <c r="A494" s="4">
        <v>1497</v>
      </c>
      <c r="B494" s="4">
        <f>COUNTIFS(Data!$C$2:$C$5001,A494,Data!$U$2:$U$5001,1)</f>
        <v>3</v>
      </c>
      <c r="C494" s="5">
        <f>SUMIFS(Data!$L$2:$L$5001,Data!$C$2:$C$5001,A494,Data!$U$2:$U$5001,1)</f>
        <v>2904.61</v>
      </c>
    </row>
    <row r="495" spans="1:3" x14ac:dyDescent="0.35">
      <c r="A495" s="4">
        <v>1498</v>
      </c>
      <c r="B495" s="4">
        <f>COUNTIFS(Data!$C$2:$C$5001,A495,Data!$U$2:$U$5001,1)</f>
        <v>5</v>
      </c>
      <c r="C495" s="5">
        <f>SUMIFS(Data!$L$2:$L$5001,Data!$C$2:$C$5001,A495,Data!$U$2:$U$5001,1)</f>
        <v>5735.1100000000006</v>
      </c>
    </row>
    <row r="496" spans="1:3" x14ac:dyDescent="0.35">
      <c r="A496" s="4">
        <v>1499</v>
      </c>
      <c r="B496" s="4">
        <f>COUNTIFS(Data!$C$2:$C$5001,A496,Data!$U$2:$U$5001,1)</f>
        <v>9</v>
      </c>
      <c r="C496" s="5">
        <f>SUMIFS(Data!$L$2:$L$5001,Data!$C$2:$C$5001,A496,Data!$U$2:$U$5001,1)</f>
        <v>10312.25</v>
      </c>
    </row>
    <row r="497" spans="1:3" x14ac:dyDescent="0.35">
      <c r="A497" s="4">
        <v>1500</v>
      </c>
      <c r="B497" s="4">
        <f>COUNTIFS(Data!$C$2:$C$5001,A497,Data!$U$2:$U$5001,1)</f>
        <v>5</v>
      </c>
      <c r="C497" s="5">
        <f>SUMIFS(Data!$L$2:$L$5001,Data!$C$2:$C$5001,A497,Data!$U$2:$U$5001,1)</f>
        <v>3446.5800000000004</v>
      </c>
    </row>
    <row r="498" spans="1:3" x14ac:dyDescent="0.35">
      <c r="A498" s="4">
        <v>1501</v>
      </c>
      <c r="B498" s="4">
        <f>COUNTIFS(Data!$C$2:$C$5001,A498,Data!$U$2:$U$5001,1)</f>
        <v>3</v>
      </c>
      <c r="C498" s="5">
        <f>SUMIFS(Data!$L$2:$L$5001,Data!$C$2:$C$5001,A498,Data!$U$2:$U$5001,1)</f>
        <v>3238.7200000000003</v>
      </c>
    </row>
    <row r="499" spans="1:3" x14ac:dyDescent="0.35">
      <c r="A499" s="4">
        <v>1502</v>
      </c>
      <c r="B499" s="4">
        <f>COUNTIFS(Data!$C$2:$C$5001,A499,Data!$U$2:$U$5001,1)</f>
        <v>4</v>
      </c>
      <c r="C499" s="5">
        <f>SUMIFS(Data!$L$2:$L$5001,Data!$C$2:$C$5001,A499,Data!$U$2:$U$5001,1)</f>
        <v>5526.47</v>
      </c>
    </row>
    <row r="500" spans="1:3" x14ac:dyDescent="0.35">
      <c r="A500" s="4">
        <v>1503</v>
      </c>
      <c r="B500" s="4">
        <f>COUNTIFS(Data!$C$2:$C$5001,A500,Data!$U$2:$U$5001,1)</f>
        <v>4</v>
      </c>
      <c r="C500" s="5">
        <f>SUMIFS(Data!$L$2:$L$5001,Data!$C$2:$C$5001,A500,Data!$U$2:$U$5001,1)</f>
        <v>4484.96</v>
      </c>
    </row>
    <row r="501" spans="1:3" x14ac:dyDescent="0.35">
      <c r="A501" s="4">
        <v>1504</v>
      </c>
      <c r="B501" s="4">
        <f>COUNTIFS(Data!$C$2:$C$5001,A501,Data!$U$2:$U$5001,1)</f>
        <v>6</v>
      </c>
      <c r="C501" s="5">
        <f>SUMIFS(Data!$L$2:$L$5001,Data!$C$2:$C$5001,A501,Data!$U$2:$U$5001,1)</f>
        <v>2651.91</v>
      </c>
    </row>
    <row r="502" spans="1:3" x14ac:dyDescent="0.35">
      <c r="A502" s="4">
        <v>1505</v>
      </c>
      <c r="B502" s="4">
        <f>COUNTIFS(Data!$C$2:$C$5001,A502,Data!$U$2:$U$5001,1)</f>
        <v>7</v>
      </c>
      <c r="C502" s="5">
        <f>SUMIFS(Data!$L$2:$L$5001,Data!$C$2:$C$5001,A502,Data!$U$2:$U$5001,1)</f>
        <v>12783.07</v>
      </c>
    </row>
    <row r="503" spans="1:3" x14ac:dyDescent="0.35">
      <c r="A503" s="4">
        <v>1506</v>
      </c>
      <c r="B503" s="4">
        <f>COUNTIFS(Data!$C$2:$C$5001,A503,Data!$U$2:$U$5001,1)</f>
        <v>3</v>
      </c>
      <c r="C503" s="5">
        <f>SUMIFS(Data!$L$2:$L$5001,Data!$C$2:$C$5001,A503,Data!$U$2:$U$5001,1)</f>
        <v>2205.34</v>
      </c>
    </row>
    <row r="504" spans="1:3" x14ac:dyDescent="0.35">
      <c r="A504" s="4">
        <v>1507</v>
      </c>
      <c r="B504" s="4">
        <f>COUNTIFS(Data!$C$2:$C$5001,A504,Data!$U$2:$U$5001,1)</f>
        <v>6</v>
      </c>
      <c r="C504" s="5">
        <f>SUMIFS(Data!$L$2:$L$5001,Data!$C$2:$C$5001,A504,Data!$U$2:$U$5001,1)</f>
        <v>3874.0600000000004</v>
      </c>
    </row>
    <row r="505" spans="1:3" x14ac:dyDescent="0.35">
      <c r="A505" s="4">
        <v>1508</v>
      </c>
      <c r="B505" s="4">
        <f>COUNTIFS(Data!$C$2:$C$5001,A505,Data!$U$2:$U$5001,1)</f>
        <v>4</v>
      </c>
      <c r="C505" s="5">
        <f>SUMIFS(Data!$L$2:$L$5001,Data!$C$2:$C$5001,A505,Data!$U$2:$U$5001,1)</f>
        <v>7777.88</v>
      </c>
    </row>
    <row r="506" spans="1:3" x14ac:dyDescent="0.35">
      <c r="A506" s="4">
        <v>1509</v>
      </c>
      <c r="B506" s="4">
        <f>COUNTIFS(Data!$C$2:$C$5001,A506,Data!$U$2:$U$5001,1)</f>
        <v>4</v>
      </c>
      <c r="C506" s="5">
        <f>SUMIFS(Data!$L$2:$L$5001,Data!$C$2:$C$5001,A506,Data!$U$2:$U$5001,1)</f>
        <v>5217.05</v>
      </c>
    </row>
    <row r="507" spans="1:3" x14ac:dyDescent="0.35">
      <c r="A507" s="4">
        <v>1510</v>
      </c>
      <c r="B507" s="4">
        <f>COUNTIFS(Data!$C$2:$C$5001,A507,Data!$U$2:$U$5001,1)</f>
        <v>8</v>
      </c>
      <c r="C507" s="5">
        <f>SUMIFS(Data!$L$2:$L$5001,Data!$C$2:$C$5001,A507,Data!$U$2:$U$5001,1)</f>
        <v>8614.4699999999993</v>
      </c>
    </row>
    <row r="508" spans="1:3" x14ac:dyDescent="0.35">
      <c r="A508" s="4">
        <v>1511</v>
      </c>
      <c r="B508" s="4">
        <f>COUNTIFS(Data!$C$2:$C$5001,A508,Data!$U$2:$U$5001,1)</f>
        <v>4</v>
      </c>
      <c r="C508" s="5">
        <f>SUMIFS(Data!$L$2:$L$5001,Data!$C$2:$C$5001,A508,Data!$U$2:$U$5001,1)</f>
        <v>3827.12</v>
      </c>
    </row>
    <row r="509" spans="1:3" x14ac:dyDescent="0.35">
      <c r="A509" s="4">
        <v>1512</v>
      </c>
      <c r="B509" s="4">
        <f>COUNTIFS(Data!$C$2:$C$5001,A509,Data!$U$2:$U$5001,1)</f>
        <v>5</v>
      </c>
      <c r="C509" s="5">
        <f>SUMIFS(Data!$L$2:$L$5001,Data!$C$2:$C$5001,A509,Data!$U$2:$U$5001,1)</f>
        <v>6936.08</v>
      </c>
    </row>
    <row r="510" spans="1:3" x14ac:dyDescent="0.35">
      <c r="A510" s="4">
        <v>1513</v>
      </c>
      <c r="B510" s="4">
        <f>COUNTIFS(Data!$C$2:$C$5001,A510,Data!$U$2:$U$5001,1)</f>
        <v>4</v>
      </c>
      <c r="C510" s="5">
        <f>SUMIFS(Data!$L$2:$L$5001,Data!$C$2:$C$5001,A510,Data!$U$2:$U$5001,1)</f>
        <v>2719.04</v>
      </c>
    </row>
    <row r="511" spans="1:3" x14ac:dyDescent="0.35">
      <c r="A511" s="4">
        <v>1514</v>
      </c>
      <c r="B511" s="4">
        <f>COUNTIFS(Data!$C$2:$C$5001,A511,Data!$U$2:$U$5001,1)</f>
        <v>5</v>
      </c>
      <c r="C511" s="5">
        <f>SUMIFS(Data!$L$2:$L$5001,Data!$C$2:$C$5001,A511,Data!$U$2:$U$5001,1)</f>
        <v>6851.7800000000007</v>
      </c>
    </row>
    <row r="512" spans="1:3" x14ac:dyDescent="0.35">
      <c r="A512" s="4">
        <v>1515</v>
      </c>
      <c r="B512" s="4">
        <f>COUNTIFS(Data!$C$2:$C$5001,A512,Data!$U$2:$U$5001,1)</f>
        <v>8</v>
      </c>
      <c r="C512" s="5">
        <f>SUMIFS(Data!$L$2:$L$5001,Data!$C$2:$C$5001,A512,Data!$U$2:$U$5001,1)</f>
        <v>9313.51</v>
      </c>
    </row>
    <row r="513" spans="1:3" x14ac:dyDescent="0.35">
      <c r="A513" s="4">
        <v>1516</v>
      </c>
      <c r="B513" s="4">
        <f>COUNTIFS(Data!$C$2:$C$5001,A513,Data!$U$2:$U$5001,1)</f>
        <v>10</v>
      </c>
      <c r="C513" s="5">
        <f>SUMIFS(Data!$L$2:$L$5001,Data!$C$2:$C$5001,A513,Data!$U$2:$U$5001,1)</f>
        <v>9721.42</v>
      </c>
    </row>
    <row r="514" spans="1:3" x14ac:dyDescent="0.35">
      <c r="A514" s="4">
        <v>1517</v>
      </c>
      <c r="B514" s="4">
        <f>COUNTIFS(Data!$C$2:$C$5001,A514,Data!$U$2:$U$5001,1)</f>
        <v>3</v>
      </c>
      <c r="C514" s="5">
        <f>SUMIFS(Data!$L$2:$L$5001,Data!$C$2:$C$5001,A514,Data!$U$2:$U$5001,1)</f>
        <v>4860.43</v>
      </c>
    </row>
    <row r="515" spans="1:3" x14ac:dyDescent="0.35">
      <c r="A515" s="4">
        <v>1518</v>
      </c>
      <c r="B515" s="4">
        <f>COUNTIFS(Data!$C$2:$C$5001,A515,Data!$U$2:$U$5001,1)</f>
        <v>4</v>
      </c>
      <c r="C515" s="5">
        <f>SUMIFS(Data!$L$2:$L$5001,Data!$C$2:$C$5001,A515,Data!$U$2:$U$5001,1)</f>
        <v>3880.9300000000003</v>
      </c>
    </row>
    <row r="516" spans="1:3" x14ac:dyDescent="0.35">
      <c r="A516" s="4">
        <v>1519</v>
      </c>
      <c r="B516" s="4">
        <f>COUNTIFS(Data!$C$2:$C$5001,A516,Data!$U$2:$U$5001,1)</f>
        <v>7</v>
      </c>
      <c r="C516" s="5">
        <f>SUMIFS(Data!$L$2:$L$5001,Data!$C$2:$C$5001,A516,Data!$U$2:$U$5001,1)</f>
        <v>6273.12</v>
      </c>
    </row>
    <row r="517" spans="1:3" x14ac:dyDescent="0.35">
      <c r="A517" s="4">
        <v>1520</v>
      </c>
      <c r="B517" s="4">
        <f>COUNTIFS(Data!$C$2:$C$5001,A517,Data!$U$2:$U$5001,1)</f>
        <v>6</v>
      </c>
      <c r="C517" s="5">
        <f>SUMIFS(Data!$L$2:$L$5001,Data!$C$2:$C$5001,A517,Data!$U$2:$U$5001,1)</f>
        <v>6601.69</v>
      </c>
    </row>
    <row r="518" spans="1:3" x14ac:dyDescent="0.35">
      <c r="A518" s="4">
        <v>1521</v>
      </c>
      <c r="B518" s="4">
        <f>COUNTIFS(Data!$C$2:$C$5001,A518,Data!$U$2:$U$5001,1)</f>
        <v>3</v>
      </c>
      <c r="C518" s="5">
        <f>SUMIFS(Data!$L$2:$L$5001,Data!$C$2:$C$5001,A518,Data!$U$2:$U$5001,1)</f>
        <v>4337.8500000000004</v>
      </c>
    </row>
    <row r="519" spans="1:3" x14ac:dyDescent="0.35">
      <c r="A519" s="4">
        <v>1522</v>
      </c>
      <c r="B519" s="4">
        <f>COUNTIFS(Data!$C$2:$C$5001,A519,Data!$U$2:$U$5001,1)</f>
        <v>3</v>
      </c>
      <c r="C519" s="5">
        <f>SUMIFS(Data!$L$2:$L$5001,Data!$C$2:$C$5001,A519,Data!$U$2:$U$5001,1)</f>
        <v>3822.12</v>
      </c>
    </row>
    <row r="520" spans="1:3" x14ac:dyDescent="0.35">
      <c r="A520" s="4">
        <v>1523</v>
      </c>
      <c r="B520" s="4">
        <f>COUNTIFS(Data!$C$2:$C$5001,A520,Data!$U$2:$U$5001,1)</f>
        <v>8</v>
      </c>
      <c r="C520" s="5">
        <f>SUMIFS(Data!$L$2:$L$5001,Data!$C$2:$C$5001,A520,Data!$U$2:$U$5001,1)</f>
        <v>8909.61</v>
      </c>
    </row>
    <row r="521" spans="1:3" x14ac:dyDescent="0.35">
      <c r="A521" s="4">
        <v>1524</v>
      </c>
      <c r="B521" s="4">
        <f>COUNTIFS(Data!$C$2:$C$5001,A521,Data!$U$2:$U$5001,1)</f>
        <v>5</v>
      </c>
      <c r="C521" s="5">
        <f>SUMIFS(Data!$L$2:$L$5001,Data!$C$2:$C$5001,A521,Data!$U$2:$U$5001,1)</f>
        <v>6897.81</v>
      </c>
    </row>
    <row r="522" spans="1:3" x14ac:dyDescent="0.35">
      <c r="A522" s="4">
        <v>1525</v>
      </c>
      <c r="B522" s="4">
        <f>COUNTIFS(Data!$C$2:$C$5001,A522,Data!$U$2:$U$5001,1)</f>
        <v>10</v>
      </c>
      <c r="C522" s="5">
        <f>SUMIFS(Data!$L$2:$L$5001,Data!$C$2:$C$5001,A522,Data!$U$2:$U$5001,1)</f>
        <v>4923.8100000000004</v>
      </c>
    </row>
    <row r="523" spans="1:3" x14ac:dyDescent="0.35">
      <c r="A523" s="4">
        <v>1526</v>
      </c>
      <c r="B523" s="4">
        <f>COUNTIFS(Data!$C$2:$C$5001,A523,Data!$U$2:$U$5001,1)</f>
        <v>4</v>
      </c>
      <c r="C523" s="5">
        <f>SUMIFS(Data!$L$2:$L$5001,Data!$C$2:$C$5001,A523,Data!$U$2:$U$5001,1)</f>
        <v>1561.95</v>
      </c>
    </row>
    <row r="524" spans="1:3" x14ac:dyDescent="0.35">
      <c r="A524" s="4">
        <v>1527</v>
      </c>
      <c r="B524" s="4">
        <f>COUNTIFS(Data!$C$2:$C$5001,A524,Data!$U$2:$U$5001,1)</f>
        <v>1</v>
      </c>
      <c r="C524" s="5">
        <f>SUMIFS(Data!$L$2:$L$5001,Data!$C$2:$C$5001,A524,Data!$U$2:$U$5001,1)</f>
        <v>2400.4299999999998</v>
      </c>
    </row>
    <row r="525" spans="1:3" x14ac:dyDescent="0.35">
      <c r="A525" s="4">
        <v>1528</v>
      </c>
      <c r="B525" s="4">
        <f>COUNTIFS(Data!$C$2:$C$5001,A525,Data!$U$2:$U$5001,1)</f>
        <v>4</v>
      </c>
      <c r="C525" s="5">
        <f>SUMIFS(Data!$L$2:$L$5001,Data!$C$2:$C$5001,A525,Data!$U$2:$U$5001,1)</f>
        <v>2914.06</v>
      </c>
    </row>
    <row r="526" spans="1:3" x14ac:dyDescent="0.35">
      <c r="A526" s="4">
        <v>1529</v>
      </c>
      <c r="B526" s="4">
        <f>COUNTIFS(Data!$C$2:$C$5001,A526,Data!$U$2:$U$5001,1)</f>
        <v>2</v>
      </c>
      <c r="C526" s="5">
        <f>SUMIFS(Data!$L$2:$L$5001,Data!$C$2:$C$5001,A526,Data!$U$2:$U$5001,1)</f>
        <v>3396.34</v>
      </c>
    </row>
    <row r="527" spans="1:3" x14ac:dyDescent="0.35">
      <c r="A527" s="4">
        <v>1530</v>
      </c>
      <c r="B527" s="4">
        <f>COUNTIFS(Data!$C$2:$C$5001,A527,Data!$U$2:$U$5001,1)</f>
        <v>3</v>
      </c>
      <c r="C527" s="5">
        <f>SUMIFS(Data!$L$2:$L$5001,Data!$C$2:$C$5001,A527,Data!$U$2:$U$5001,1)</f>
        <v>3971.04</v>
      </c>
    </row>
    <row r="528" spans="1:3" x14ac:dyDescent="0.35">
      <c r="A528" s="4">
        <v>1531</v>
      </c>
      <c r="B528" s="4">
        <f>COUNTIFS(Data!$C$2:$C$5001,A528,Data!$U$2:$U$5001,1)</f>
        <v>6</v>
      </c>
      <c r="C528" s="5">
        <f>SUMIFS(Data!$L$2:$L$5001,Data!$C$2:$C$5001,A528,Data!$U$2:$U$5001,1)</f>
        <v>7971.1100000000006</v>
      </c>
    </row>
    <row r="529" spans="1:3" x14ac:dyDescent="0.35">
      <c r="A529" s="4">
        <v>1532</v>
      </c>
      <c r="B529" s="4">
        <f>COUNTIFS(Data!$C$2:$C$5001,A529,Data!$U$2:$U$5001,1)</f>
        <v>5</v>
      </c>
      <c r="C529" s="5">
        <f>SUMIFS(Data!$L$2:$L$5001,Data!$C$2:$C$5001,A529,Data!$U$2:$U$5001,1)</f>
        <v>6354.2099999999991</v>
      </c>
    </row>
    <row r="530" spans="1:3" x14ac:dyDescent="0.35">
      <c r="A530" s="4">
        <v>1533</v>
      </c>
      <c r="B530" s="4">
        <f>COUNTIFS(Data!$C$2:$C$5001,A530,Data!$U$2:$U$5001,1)</f>
        <v>2</v>
      </c>
      <c r="C530" s="5">
        <f>SUMIFS(Data!$L$2:$L$5001,Data!$C$2:$C$5001,A530,Data!$U$2:$U$5001,1)</f>
        <v>596.39</v>
      </c>
    </row>
    <row r="531" spans="1:3" x14ac:dyDescent="0.35">
      <c r="A531" s="4">
        <v>1534</v>
      </c>
      <c r="B531" s="4">
        <f>COUNTIFS(Data!$C$2:$C$5001,A531,Data!$U$2:$U$5001,1)</f>
        <v>2</v>
      </c>
      <c r="C531" s="5">
        <f>SUMIFS(Data!$L$2:$L$5001,Data!$C$2:$C$5001,A531,Data!$U$2:$U$5001,1)</f>
        <v>1950.4</v>
      </c>
    </row>
    <row r="532" spans="1:3" x14ac:dyDescent="0.35">
      <c r="A532" s="4">
        <v>1535</v>
      </c>
      <c r="B532" s="4">
        <f>COUNTIFS(Data!$C$2:$C$5001,A532,Data!$U$2:$U$5001,1)</f>
        <v>3</v>
      </c>
      <c r="C532" s="5">
        <f>SUMIFS(Data!$L$2:$L$5001,Data!$C$2:$C$5001,A532,Data!$U$2:$U$5001,1)</f>
        <v>1076.98</v>
      </c>
    </row>
    <row r="533" spans="1:3" x14ac:dyDescent="0.35">
      <c r="A533" s="4">
        <v>1536</v>
      </c>
      <c r="B533" s="4">
        <f>COUNTIFS(Data!$C$2:$C$5001,A533,Data!$U$2:$U$5001,1)</f>
        <v>8</v>
      </c>
      <c r="C533" s="5">
        <f>SUMIFS(Data!$L$2:$L$5001,Data!$C$2:$C$5001,A533,Data!$U$2:$U$5001,1)</f>
        <v>8892.08</v>
      </c>
    </row>
    <row r="534" spans="1:3" x14ac:dyDescent="0.35">
      <c r="A534" s="4">
        <v>1537</v>
      </c>
      <c r="B534" s="4">
        <f>COUNTIFS(Data!$C$2:$C$5001,A534,Data!$U$2:$U$5001,1)</f>
        <v>4</v>
      </c>
      <c r="C534" s="5">
        <f>SUMIFS(Data!$L$2:$L$5001,Data!$C$2:$C$5001,A534,Data!$U$2:$U$5001,1)</f>
        <v>3420.55</v>
      </c>
    </row>
    <row r="535" spans="1:3" x14ac:dyDescent="0.35">
      <c r="A535" s="4">
        <v>1538</v>
      </c>
      <c r="B535" s="4">
        <f>COUNTIFS(Data!$C$2:$C$5001,A535,Data!$U$2:$U$5001,1)</f>
        <v>4</v>
      </c>
      <c r="C535" s="5">
        <f>SUMIFS(Data!$L$2:$L$5001,Data!$C$2:$C$5001,A535,Data!$U$2:$U$5001,1)</f>
        <v>5683.4400000000005</v>
      </c>
    </row>
    <row r="536" spans="1:3" x14ac:dyDescent="0.35">
      <c r="A536" s="4">
        <v>1539</v>
      </c>
      <c r="B536" s="4">
        <f>COUNTIFS(Data!$C$2:$C$5001,A536,Data!$U$2:$U$5001,1)</f>
        <v>4</v>
      </c>
      <c r="C536" s="5">
        <f>SUMIFS(Data!$L$2:$L$5001,Data!$C$2:$C$5001,A536,Data!$U$2:$U$5001,1)</f>
        <v>1971.73</v>
      </c>
    </row>
    <row r="537" spans="1:3" x14ac:dyDescent="0.35">
      <c r="A537" s="4">
        <v>1540</v>
      </c>
      <c r="B537" s="4">
        <f>COUNTIFS(Data!$C$2:$C$5001,A537,Data!$U$2:$U$5001,1)</f>
        <v>3</v>
      </c>
      <c r="C537" s="5">
        <f>SUMIFS(Data!$L$2:$L$5001,Data!$C$2:$C$5001,A537,Data!$U$2:$U$5001,1)</f>
        <v>667.01</v>
      </c>
    </row>
    <row r="538" spans="1:3" x14ac:dyDescent="0.35">
      <c r="A538" s="4">
        <v>1541</v>
      </c>
      <c r="B538" s="4">
        <f>COUNTIFS(Data!$C$2:$C$5001,A538,Data!$U$2:$U$5001,1)</f>
        <v>6</v>
      </c>
      <c r="C538" s="5">
        <f>SUMIFS(Data!$L$2:$L$5001,Data!$C$2:$C$5001,A538,Data!$U$2:$U$5001,1)</f>
        <v>7452.83</v>
      </c>
    </row>
    <row r="539" spans="1:3" x14ac:dyDescent="0.35">
      <c r="A539" s="4">
        <v>1542</v>
      </c>
      <c r="B539" s="4">
        <f>COUNTIFS(Data!$C$2:$C$5001,A539,Data!$U$2:$U$5001,1)</f>
        <v>3</v>
      </c>
      <c r="C539" s="5">
        <f>SUMIFS(Data!$L$2:$L$5001,Data!$C$2:$C$5001,A539,Data!$U$2:$U$5001,1)</f>
        <v>2979.56</v>
      </c>
    </row>
    <row r="540" spans="1:3" x14ac:dyDescent="0.35">
      <c r="A540" s="4">
        <v>1543</v>
      </c>
      <c r="B540" s="4">
        <f>COUNTIFS(Data!$C$2:$C$5001,A540,Data!$U$2:$U$5001,1)</f>
        <v>3</v>
      </c>
      <c r="C540" s="5">
        <f>SUMIFS(Data!$L$2:$L$5001,Data!$C$2:$C$5001,A540,Data!$U$2:$U$5001,1)</f>
        <v>7026.22</v>
      </c>
    </row>
    <row r="541" spans="1:3" x14ac:dyDescent="0.35">
      <c r="A541" s="4">
        <v>1544</v>
      </c>
      <c r="B541" s="4">
        <f>COUNTIFS(Data!$C$2:$C$5001,A541,Data!$U$2:$U$5001,1)</f>
        <v>1</v>
      </c>
      <c r="C541" s="5">
        <f>SUMIFS(Data!$L$2:$L$5001,Data!$C$2:$C$5001,A541,Data!$U$2:$U$5001,1)</f>
        <v>1074.8399999999999</v>
      </c>
    </row>
    <row r="542" spans="1:3" x14ac:dyDescent="0.35">
      <c r="A542" s="4">
        <v>1545</v>
      </c>
      <c r="B542" s="4">
        <f>COUNTIFS(Data!$C$2:$C$5001,A542,Data!$U$2:$U$5001,1)</f>
        <v>5</v>
      </c>
      <c r="C542" s="5">
        <f>SUMIFS(Data!$L$2:$L$5001,Data!$C$2:$C$5001,A542,Data!$U$2:$U$5001,1)</f>
        <v>8961.2999999999993</v>
      </c>
    </row>
    <row r="543" spans="1:3" x14ac:dyDescent="0.35">
      <c r="A543" s="4">
        <v>1546</v>
      </c>
      <c r="B543" s="4">
        <f>COUNTIFS(Data!$C$2:$C$5001,A543,Data!$U$2:$U$5001,1)</f>
        <v>8</v>
      </c>
      <c r="C543" s="5">
        <f>SUMIFS(Data!$L$2:$L$5001,Data!$C$2:$C$5001,A543,Data!$U$2:$U$5001,1)</f>
        <v>8977.4599999999991</v>
      </c>
    </row>
    <row r="544" spans="1:3" x14ac:dyDescent="0.35">
      <c r="A544" s="4">
        <v>1547</v>
      </c>
      <c r="B544" s="4">
        <f>COUNTIFS(Data!$C$2:$C$5001,A544,Data!$U$2:$U$5001,1)</f>
        <v>6</v>
      </c>
      <c r="C544" s="5">
        <f>SUMIFS(Data!$L$2:$L$5001,Data!$C$2:$C$5001,A544,Data!$U$2:$U$5001,1)</f>
        <v>8649.11</v>
      </c>
    </row>
    <row r="545" spans="1:3" x14ac:dyDescent="0.35">
      <c r="A545" s="4">
        <v>1548</v>
      </c>
      <c r="B545" s="4">
        <f>COUNTIFS(Data!$C$2:$C$5001,A545,Data!$U$2:$U$5001,1)</f>
        <v>5</v>
      </c>
      <c r="C545" s="5">
        <f>SUMIFS(Data!$L$2:$L$5001,Data!$C$2:$C$5001,A545,Data!$U$2:$U$5001,1)</f>
        <v>2506.4900000000002</v>
      </c>
    </row>
    <row r="546" spans="1:3" x14ac:dyDescent="0.35">
      <c r="A546" s="4">
        <v>1549</v>
      </c>
      <c r="B546" s="4">
        <f>COUNTIFS(Data!$C$2:$C$5001,A546,Data!$U$2:$U$5001,1)</f>
        <v>8</v>
      </c>
      <c r="C546" s="5">
        <f>SUMIFS(Data!$L$2:$L$5001,Data!$C$2:$C$5001,A546,Data!$U$2:$U$5001,1)</f>
        <v>5582.75</v>
      </c>
    </row>
    <row r="547" spans="1:3" x14ac:dyDescent="0.35">
      <c r="A547" s="4">
        <v>1550</v>
      </c>
      <c r="B547" s="4">
        <f>COUNTIFS(Data!$C$2:$C$5001,A547,Data!$U$2:$U$5001,1)</f>
        <v>7</v>
      </c>
      <c r="C547" s="5">
        <f>SUMIFS(Data!$L$2:$L$5001,Data!$C$2:$C$5001,A547,Data!$U$2:$U$5001,1)</f>
        <v>10406.24</v>
      </c>
    </row>
    <row r="548" spans="1:3" x14ac:dyDescent="0.35">
      <c r="A548" s="4">
        <v>1551</v>
      </c>
      <c r="B548" s="4">
        <f>COUNTIFS(Data!$C$2:$C$5001,A548,Data!$U$2:$U$5001,1)</f>
        <v>3</v>
      </c>
      <c r="C548" s="5">
        <f>SUMIFS(Data!$L$2:$L$5001,Data!$C$2:$C$5001,A548,Data!$U$2:$U$5001,1)</f>
        <v>1458.8600000000001</v>
      </c>
    </row>
    <row r="549" spans="1:3" x14ac:dyDescent="0.35">
      <c r="A549" s="4">
        <v>1552</v>
      </c>
      <c r="B549" s="4">
        <f>COUNTIFS(Data!$C$2:$C$5001,A549,Data!$U$2:$U$5001,1)</f>
        <v>4</v>
      </c>
      <c r="C549" s="5">
        <f>SUMIFS(Data!$L$2:$L$5001,Data!$C$2:$C$5001,A549,Data!$U$2:$U$5001,1)</f>
        <v>2204.0299999999997</v>
      </c>
    </row>
    <row r="550" spans="1:3" x14ac:dyDescent="0.35">
      <c r="A550" s="4">
        <v>1553</v>
      </c>
      <c r="B550" s="4">
        <f>COUNTIFS(Data!$C$2:$C$5001,A550,Data!$U$2:$U$5001,1)</f>
        <v>10</v>
      </c>
      <c r="C550" s="5">
        <f>SUMIFS(Data!$L$2:$L$5001,Data!$C$2:$C$5001,A550,Data!$U$2:$U$5001,1)</f>
        <v>9603.83</v>
      </c>
    </row>
    <row r="551" spans="1:3" x14ac:dyDescent="0.35">
      <c r="A551" s="4">
        <v>1554</v>
      </c>
      <c r="B551" s="4">
        <f>COUNTIFS(Data!$C$2:$C$5001,A551,Data!$U$2:$U$5001,1)</f>
        <v>1</v>
      </c>
      <c r="C551" s="5">
        <f>SUMIFS(Data!$L$2:$L$5001,Data!$C$2:$C$5001,A551,Data!$U$2:$U$5001,1)</f>
        <v>631.04999999999995</v>
      </c>
    </row>
    <row r="552" spans="1:3" x14ac:dyDescent="0.35">
      <c r="A552" s="4">
        <v>1555</v>
      </c>
      <c r="B552" s="4">
        <f>COUNTIFS(Data!$C$2:$C$5001,A552,Data!$U$2:$U$5001,1)</f>
        <v>6</v>
      </c>
      <c r="C552" s="5">
        <f>SUMIFS(Data!$L$2:$L$5001,Data!$C$2:$C$5001,A552,Data!$U$2:$U$5001,1)</f>
        <v>5164.5400000000009</v>
      </c>
    </row>
    <row r="553" spans="1:3" x14ac:dyDescent="0.35">
      <c r="A553" s="4">
        <v>1556</v>
      </c>
      <c r="B553" s="4">
        <f>COUNTIFS(Data!$C$2:$C$5001,A553,Data!$U$2:$U$5001,1)</f>
        <v>5</v>
      </c>
      <c r="C553" s="5">
        <f>SUMIFS(Data!$L$2:$L$5001,Data!$C$2:$C$5001,A553,Data!$U$2:$U$5001,1)</f>
        <v>6033.6</v>
      </c>
    </row>
    <row r="554" spans="1:3" x14ac:dyDescent="0.35">
      <c r="A554" s="4">
        <v>1557</v>
      </c>
      <c r="B554" s="4">
        <f>COUNTIFS(Data!$C$2:$C$5001,A554,Data!$U$2:$U$5001,1)</f>
        <v>6</v>
      </c>
      <c r="C554" s="5">
        <f>SUMIFS(Data!$L$2:$L$5001,Data!$C$2:$C$5001,A554,Data!$U$2:$U$5001,1)</f>
        <v>7878.47</v>
      </c>
    </row>
    <row r="555" spans="1:3" x14ac:dyDescent="0.35">
      <c r="A555" s="4">
        <v>1558</v>
      </c>
      <c r="B555" s="4">
        <f>COUNTIFS(Data!$C$2:$C$5001,A555,Data!$U$2:$U$5001,1)</f>
        <v>7</v>
      </c>
      <c r="C555" s="5">
        <f>SUMIFS(Data!$L$2:$L$5001,Data!$C$2:$C$5001,A555,Data!$U$2:$U$5001,1)</f>
        <v>6608.78</v>
      </c>
    </row>
    <row r="556" spans="1:3" x14ac:dyDescent="0.35">
      <c r="A556" s="4">
        <v>1559</v>
      </c>
      <c r="B556" s="4">
        <f>COUNTIFS(Data!$C$2:$C$5001,A556,Data!$U$2:$U$5001,1)</f>
        <v>3</v>
      </c>
      <c r="C556" s="5">
        <f>SUMIFS(Data!$L$2:$L$5001,Data!$C$2:$C$5001,A556,Data!$U$2:$U$5001,1)</f>
        <v>3120.52</v>
      </c>
    </row>
    <row r="557" spans="1:3" x14ac:dyDescent="0.35">
      <c r="A557" s="4">
        <v>1560</v>
      </c>
      <c r="B557" s="4">
        <f>COUNTIFS(Data!$C$2:$C$5001,A557,Data!$U$2:$U$5001,1)</f>
        <v>7</v>
      </c>
      <c r="C557" s="5">
        <f>SUMIFS(Data!$L$2:$L$5001,Data!$C$2:$C$5001,A557,Data!$U$2:$U$5001,1)</f>
        <v>8704.25</v>
      </c>
    </row>
    <row r="558" spans="1:3" x14ac:dyDescent="0.35">
      <c r="A558" s="4">
        <v>1561</v>
      </c>
      <c r="B558" s="4">
        <f>COUNTIFS(Data!$C$2:$C$5001,A558,Data!$U$2:$U$5001,1)</f>
        <v>6</v>
      </c>
      <c r="C558" s="5">
        <f>SUMIFS(Data!$L$2:$L$5001,Data!$C$2:$C$5001,A558,Data!$U$2:$U$5001,1)</f>
        <v>4437.49</v>
      </c>
    </row>
    <row r="559" spans="1:3" x14ac:dyDescent="0.35">
      <c r="A559" s="4">
        <v>1562</v>
      </c>
      <c r="B559" s="4">
        <f>COUNTIFS(Data!$C$2:$C$5001,A559,Data!$U$2:$U$5001,1)</f>
        <v>8</v>
      </c>
      <c r="C559" s="5">
        <f>SUMIFS(Data!$L$2:$L$5001,Data!$C$2:$C$5001,A559,Data!$U$2:$U$5001,1)</f>
        <v>4542.58</v>
      </c>
    </row>
    <row r="560" spans="1:3" x14ac:dyDescent="0.35">
      <c r="A560" s="4">
        <v>1563</v>
      </c>
      <c r="B560" s="4">
        <f>COUNTIFS(Data!$C$2:$C$5001,A560,Data!$U$2:$U$5001,1)</f>
        <v>6</v>
      </c>
      <c r="C560" s="5">
        <f>SUMIFS(Data!$L$2:$L$5001,Data!$C$2:$C$5001,A560,Data!$U$2:$U$5001,1)</f>
        <v>3373.4700000000003</v>
      </c>
    </row>
    <row r="561" spans="1:3" x14ac:dyDescent="0.35">
      <c r="A561" s="4">
        <v>1564</v>
      </c>
      <c r="B561" s="4">
        <f>COUNTIFS(Data!$C$2:$C$5001,A561,Data!$U$2:$U$5001,1)</f>
        <v>3</v>
      </c>
      <c r="C561" s="5">
        <f>SUMIFS(Data!$L$2:$L$5001,Data!$C$2:$C$5001,A561,Data!$U$2:$U$5001,1)</f>
        <v>709.73</v>
      </c>
    </row>
    <row r="562" spans="1:3" x14ac:dyDescent="0.35">
      <c r="A562" s="4">
        <v>1565</v>
      </c>
      <c r="B562" s="4">
        <f>COUNTIFS(Data!$C$2:$C$5001,A562,Data!$U$2:$U$5001,1)</f>
        <v>6</v>
      </c>
      <c r="C562" s="5">
        <f>SUMIFS(Data!$L$2:$L$5001,Data!$C$2:$C$5001,A562,Data!$U$2:$U$5001,1)</f>
        <v>4994.53</v>
      </c>
    </row>
    <row r="563" spans="1:3" x14ac:dyDescent="0.35">
      <c r="A563" s="4">
        <v>1566</v>
      </c>
      <c r="B563" s="4">
        <f>COUNTIFS(Data!$C$2:$C$5001,A563,Data!$U$2:$U$5001,1)</f>
        <v>4</v>
      </c>
      <c r="C563" s="5">
        <f>SUMIFS(Data!$L$2:$L$5001,Data!$C$2:$C$5001,A563,Data!$U$2:$U$5001,1)</f>
        <v>3282.62</v>
      </c>
    </row>
    <row r="564" spans="1:3" x14ac:dyDescent="0.35">
      <c r="A564" s="4">
        <v>1567</v>
      </c>
      <c r="B564" s="4">
        <f>COUNTIFS(Data!$C$2:$C$5001,A564,Data!$U$2:$U$5001,1)</f>
        <v>2</v>
      </c>
      <c r="C564" s="5">
        <f>SUMIFS(Data!$L$2:$L$5001,Data!$C$2:$C$5001,A564,Data!$U$2:$U$5001,1)</f>
        <v>1313.92</v>
      </c>
    </row>
    <row r="565" spans="1:3" x14ac:dyDescent="0.35">
      <c r="A565" s="4">
        <v>1568</v>
      </c>
      <c r="B565" s="4">
        <f>COUNTIFS(Data!$C$2:$C$5001,A565,Data!$U$2:$U$5001,1)</f>
        <v>3</v>
      </c>
      <c r="C565" s="5">
        <f>SUMIFS(Data!$L$2:$L$5001,Data!$C$2:$C$5001,A565,Data!$U$2:$U$5001,1)</f>
        <v>4216.3899999999994</v>
      </c>
    </row>
    <row r="566" spans="1:3" x14ac:dyDescent="0.35">
      <c r="A566" s="4">
        <v>1569</v>
      </c>
      <c r="B566" s="4">
        <f>COUNTIFS(Data!$C$2:$C$5001,A566,Data!$U$2:$U$5001,1)</f>
        <v>4</v>
      </c>
      <c r="C566" s="5">
        <f>SUMIFS(Data!$L$2:$L$5001,Data!$C$2:$C$5001,A566,Data!$U$2:$U$5001,1)</f>
        <v>3524.27</v>
      </c>
    </row>
    <row r="567" spans="1:3" x14ac:dyDescent="0.35">
      <c r="A567" s="4">
        <v>1570</v>
      </c>
      <c r="B567" s="4">
        <f>COUNTIFS(Data!$C$2:$C$5001,A567,Data!$U$2:$U$5001,1)</f>
        <v>7</v>
      </c>
      <c r="C567" s="5">
        <f>SUMIFS(Data!$L$2:$L$5001,Data!$C$2:$C$5001,A567,Data!$U$2:$U$5001,1)</f>
        <v>5312.4400000000005</v>
      </c>
    </row>
    <row r="568" spans="1:3" x14ac:dyDescent="0.35">
      <c r="A568" s="4">
        <v>1571</v>
      </c>
      <c r="B568" s="4">
        <f>COUNTIFS(Data!$C$2:$C$5001,A568,Data!$U$2:$U$5001,1)</f>
        <v>6</v>
      </c>
      <c r="C568" s="5">
        <f>SUMIFS(Data!$L$2:$L$5001,Data!$C$2:$C$5001,A568,Data!$U$2:$U$5001,1)</f>
        <v>7679.9899999999989</v>
      </c>
    </row>
    <row r="569" spans="1:3" x14ac:dyDescent="0.35">
      <c r="A569" s="4">
        <v>1572</v>
      </c>
      <c r="B569" s="4">
        <f>COUNTIFS(Data!$C$2:$C$5001,A569,Data!$U$2:$U$5001,1)</f>
        <v>7</v>
      </c>
      <c r="C569" s="5">
        <f>SUMIFS(Data!$L$2:$L$5001,Data!$C$2:$C$5001,A569,Data!$U$2:$U$5001,1)</f>
        <v>7760.7</v>
      </c>
    </row>
    <row r="570" spans="1:3" x14ac:dyDescent="0.35">
      <c r="A570" s="4">
        <v>1573</v>
      </c>
      <c r="B570" s="4">
        <f>COUNTIFS(Data!$C$2:$C$5001,A570,Data!$U$2:$U$5001,1)</f>
        <v>7</v>
      </c>
      <c r="C570" s="5">
        <f>SUMIFS(Data!$L$2:$L$5001,Data!$C$2:$C$5001,A570,Data!$U$2:$U$5001,1)</f>
        <v>5643.89</v>
      </c>
    </row>
    <row r="571" spans="1:3" x14ac:dyDescent="0.35">
      <c r="A571" s="4">
        <v>1574</v>
      </c>
      <c r="B571" s="4">
        <f>COUNTIFS(Data!$C$2:$C$5001,A571,Data!$U$2:$U$5001,1)</f>
        <v>8</v>
      </c>
      <c r="C571" s="5">
        <f>SUMIFS(Data!$L$2:$L$5001,Data!$C$2:$C$5001,A571,Data!$U$2:$U$5001,1)</f>
        <v>8935.2300000000014</v>
      </c>
    </row>
    <row r="572" spans="1:3" x14ac:dyDescent="0.35">
      <c r="A572" s="4">
        <v>1575</v>
      </c>
      <c r="B572" s="4">
        <f>COUNTIFS(Data!$C$2:$C$5001,A572,Data!$U$2:$U$5001,1)</f>
        <v>4</v>
      </c>
      <c r="C572" s="5">
        <f>SUMIFS(Data!$L$2:$L$5001,Data!$C$2:$C$5001,A572,Data!$U$2:$U$5001,1)</f>
        <v>4148.34</v>
      </c>
    </row>
    <row r="573" spans="1:3" x14ac:dyDescent="0.35">
      <c r="A573" s="4">
        <v>1576</v>
      </c>
      <c r="B573" s="4">
        <f>COUNTIFS(Data!$C$2:$C$5001,A573,Data!$U$2:$U$5001,1)</f>
        <v>3</v>
      </c>
      <c r="C573" s="5">
        <f>SUMIFS(Data!$L$2:$L$5001,Data!$C$2:$C$5001,A573,Data!$U$2:$U$5001,1)</f>
        <v>1582.8799999999999</v>
      </c>
    </row>
    <row r="574" spans="1:3" x14ac:dyDescent="0.35">
      <c r="A574" s="4">
        <v>1577</v>
      </c>
      <c r="B574" s="4">
        <f>COUNTIFS(Data!$C$2:$C$5001,A574,Data!$U$2:$U$5001,1)</f>
        <v>5</v>
      </c>
      <c r="C574" s="5">
        <f>SUMIFS(Data!$L$2:$L$5001,Data!$C$2:$C$5001,A574,Data!$U$2:$U$5001,1)</f>
        <v>5763.47</v>
      </c>
    </row>
    <row r="575" spans="1:3" x14ac:dyDescent="0.35">
      <c r="A575" s="4">
        <v>1578</v>
      </c>
      <c r="B575" s="4">
        <f>COUNTIFS(Data!$C$2:$C$5001,A575,Data!$U$2:$U$5001,1)</f>
        <v>6</v>
      </c>
      <c r="C575" s="5">
        <f>SUMIFS(Data!$L$2:$L$5001,Data!$C$2:$C$5001,A575,Data!$U$2:$U$5001,1)</f>
        <v>5163.9400000000005</v>
      </c>
    </row>
    <row r="576" spans="1:3" x14ac:dyDescent="0.35">
      <c r="A576" s="4">
        <v>1579</v>
      </c>
      <c r="B576" s="4">
        <f>COUNTIFS(Data!$C$2:$C$5001,A576,Data!$U$2:$U$5001,1)</f>
        <v>6</v>
      </c>
      <c r="C576" s="5">
        <f>SUMIFS(Data!$L$2:$L$5001,Data!$C$2:$C$5001,A576,Data!$U$2:$U$5001,1)</f>
        <v>4673.1099999999997</v>
      </c>
    </row>
    <row r="577" spans="1:3" x14ac:dyDescent="0.35">
      <c r="A577" s="4">
        <v>1580</v>
      </c>
      <c r="B577" s="4">
        <f>COUNTIFS(Data!$C$2:$C$5001,A577,Data!$U$2:$U$5001,1)</f>
        <v>6</v>
      </c>
      <c r="C577" s="5">
        <f>SUMIFS(Data!$L$2:$L$5001,Data!$C$2:$C$5001,A577,Data!$U$2:$U$5001,1)</f>
        <v>7931.6900000000005</v>
      </c>
    </row>
    <row r="578" spans="1:3" x14ac:dyDescent="0.35">
      <c r="A578" s="4">
        <v>1581</v>
      </c>
      <c r="B578" s="4">
        <f>COUNTIFS(Data!$C$2:$C$5001,A578,Data!$U$2:$U$5001,1)</f>
        <v>5</v>
      </c>
      <c r="C578" s="5">
        <f>SUMIFS(Data!$L$2:$L$5001,Data!$C$2:$C$5001,A578,Data!$U$2:$U$5001,1)</f>
        <v>2810.8100000000004</v>
      </c>
    </row>
    <row r="579" spans="1:3" x14ac:dyDescent="0.35">
      <c r="A579" s="4">
        <v>1582</v>
      </c>
      <c r="B579" s="4">
        <f>COUNTIFS(Data!$C$2:$C$5001,A579,Data!$U$2:$U$5001,1)</f>
        <v>2</v>
      </c>
      <c r="C579" s="5">
        <f>SUMIFS(Data!$L$2:$L$5001,Data!$C$2:$C$5001,A579,Data!$U$2:$U$5001,1)</f>
        <v>3599.42</v>
      </c>
    </row>
    <row r="580" spans="1:3" x14ac:dyDescent="0.35">
      <c r="A580" s="4">
        <v>1583</v>
      </c>
      <c r="B580" s="4">
        <f>COUNTIFS(Data!$C$2:$C$5001,A580,Data!$U$2:$U$5001,1)</f>
        <v>8</v>
      </c>
      <c r="C580" s="5">
        <f>SUMIFS(Data!$L$2:$L$5001,Data!$C$2:$C$5001,A580,Data!$U$2:$U$5001,1)</f>
        <v>4809.4500000000007</v>
      </c>
    </row>
    <row r="581" spans="1:3" x14ac:dyDescent="0.35">
      <c r="A581" s="4">
        <v>1584</v>
      </c>
      <c r="B581" s="4">
        <f>COUNTIFS(Data!$C$2:$C$5001,A581,Data!$U$2:$U$5001,1)</f>
        <v>3</v>
      </c>
      <c r="C581" s="5">
        <f>SUMIFS(Data!$L$2:$L$5001,Data!$C$2:$C$5001,A581,Data!$U$2:$U$5001,1)</f>
        <v>648.97000000000014</v>
      </c>
    </row>
    <row r="582" spans="1:3" x14ac:dyDescent="0.35">
      <c r="A582" s="4">
        <v>1585</v>
      </c>
      <c r="B582" s="4">
        <f>COUNTIFS(Data!$C$2:$C$5001,A582,Data!$U$2:$U$5001,1)</f>
        <v>3</v>
      </c>
      <c r="C582" s="5">
        <f>SUMIFS(Data!$L$2:$L$5001,Data!$C$2:$C$5001,A582,Data!$U$2:$U$5001,1)</f>
        <v>2048.9300000000003</v>
      </c>
    </row>
    <row r="583" spans="1:3" x14ac:dyDescent="0.35">
      <c r="A583" s="4">
        <v>1586</v>
      </c>
      <c r="B583" s="4">
        <f>COUNTIFS(Data!$C$2:$C$5001,A583,Data!$U$2:$U$5001,1)</f>
        <v>3</v>
      </c>
      <c r="C583" s="5">
        <f>SUMIFS(Data!$L$2:$L$5001,Data!$C$2:$C$5001,A583,Data!$U$2:$U$5001,1)</f>
        <v>4912.25</v>
      </c>
    </row>
    <row r="584" spans="1:3" x14ac:dyDescent="0.35">
      <c r="A584" s="4">
        <v>1587</v>
      </c>
      <c r="B584" s="4">
        <f>COUNTIFS(Data!$C$2:$C$5001,A584,Data!$U$2:$U$5001,1)</f>
        <v>8</v>
      </c>
      <c r="C584" s="5">
        <f>SUMIFS(Data!$L$2:$L$5001,Data!$C$2:$C$5001,A584,Data!$U$2:$U$5001,1)</f>
        <v>7527.7500000000009</v>
      </c>
    </row>
    <row r="585" spans="1:3" x14ac:dyDescent="0.35">
      <c r="A585" s="4">
        <v>1588</v>
      </c>
      <c r="B585" s="4">
        <f>COUNTIFS(Data!$C$2:$C$5001,A585,Data!$U$2:$U$5001,1)</f>
        <v>4</v>
      </c>
      <c r="C585" s="5">
        <f>SUMIFS(Data!$L$2:$L$5001,Data!$C$2:$C$5001,A585,Data!$U$2:$U$5001,1)</f>
        <v>3107.1300000000006</v>
      </c>
    </row>
    <row r="586" spans="1:3" x14ac:dyDescent="0.35">
      <c r="A586" s="4">
        <v>1589</v>
      </c>
      <c r="B586" s="4">
        <f>COUNTIFS(Data!$C$2:$C$5001,A586,Data!$U$2:$U$5001,1)</f>
        <v>3</v>
      </c>
      <c r="C586" s="5">
        <f>SUMIFS(Data!$L$2:$L$5001,Data!$C$2:$C$5001,A586,Data!$U$2:$U$5001,1)</f>
        <v>3315.83</v>
      </c>
    </row>
    <row r="587" spans="1:3" x14ac:dyDescent="0.35">
      <c r="A587" s="4">
        <v>1590</v>
      </c>
      <c r="B587" s="4">
        <f>COUNTIFS(Data!$C$2:$C$5001,A587,Data!$U$2:$U$5001,1)</f>
        <v>2</v>
      </c>
      <c r="C587" s="5">
        <f>SUMIFS(Data!$L$2:$L$5001,Data!$C$2:$C$5001,A587,Data!$U$2:$U$5001,1)</f>
        <v>4711.6499999999996</v>
      </c>
    </row>
    <row r="588" spans="1:3" x14ac:dyDescent="0.35">
      <c r="A588" s="4">
        <v>1591</v>
      </c>
      <c r="B588" s="4">
        <f>COUNTIFS(Data!$C$2:$C$5001,A588,Data!$U$2:$U$5001,1)</f>
        <v>3</v>
      </c>
      <c r="C588" s="5">
        <f>SUMIFS(Data!$L$2:$L$5001,Data!$C$2:$C$5001,A588,Data!$U$2:$U$5001,1)</f>
        <v>1021.51</v>
      </c>
    </row>
    <row r="589" spans="1:3" x14ac:dyDescent="0.35">
      <c r="A589" s="4">
        <v>1592</v>
      </c>
      <c r="B589" s="4">
        <f>COUNTIFS(Data!$C$2:$C$5001,A589,Data!$U$2:$U$5001,1)</f>
        <v>4</v>
      </c>
      <c r="C589" s="5">
        <f>SUMIFS(Data!$L$2:$L$5001,Data!$C$2:$C$5001,A589,Data!$U$2:$U$5001,1)</f>
        <v>3855.5</v>
      </c>
    </row>
    <row r="590" spans="1:3" x14ac:dyDescent="0.35">
      <c r="A590" s="4">
        <v>1593</v>
      </c>
      <c r="B590" s="4">
        <f>COUNTIFS(Data!$C$2:$C$5001,A590,Data!$U$2:$U$5001,1)</f>
        <v>8</v>
      </c>
      <c r="C590" s="5">
        <f>SUMIFS(Data!$L$2:$L$5001,Data!$C$2:$C$5001,A590,Data!$U$2:$U$5001,1)</f>
        <v>5401.54</v>
      </c>
    </row>
    <row r="591" spans="1:3" x14ac:dyDescent="0.35">
      <c r="A591" s="4">
        <v>1594</v>
      </c>
      <c r="B591" s="4">
        <f>COUNTIFS(Data!$C$2:$C$5001,A591,Data!$U$2:$U$5001,1)</f>
        <v>1</v>
      </c>
      <c r="C591" s="5">
        <f>SUMIFS(Data!$L$2:$L$5001,Data!$C$2:$C$5001,A591,Data!$U$2:$U$5001,1)</f>
        <v>257.38</v>
      </c>
    </row>
    <row r="592" spans="1:3" x14ac:dyDescent="0.35">
      <c r="A592" s="4">
        <v>1595</v>
      </c>
      <c r="B592" s="4">
        <f>COUNTIFS(Data!$C$2:$C$5001,A592,Data!$U$2:$U$5001,1)</f>
        <v>5</v>
      </c>
      <c r="C592" s="5">
        <f>SUMIFS(Data!$L$2:$L$5001,Data!$C$2:$C$5001,A592,Data!$U$2:$U$5001,1)</f>
        <v>3794.5800000000004</v>
      </c>
    </row>
    <row r="593" spans="1:3" x14ac:dyDescent="0.35">
      <c r="A593" s="4">
        <v>1596</v>
      </c>
      <c r="B593" s="4">
        <f>COUNTIFS(Data!$C$2:$C$5001,A593,Data!$U$2:$U$5001,1)</f>
        <v>2</v>
      </c>
      <c r="C593" s="5">
        <f>SUMIFS(Data!$L$2:$L$5001,Data!$C$2:$C$5001,A593,Data!$U$2:$U$5001,1)</f>
        <v>4250.83</v>
      </c>
    </row>
    <row r="594" spans="1:3" x14ac:dyDescent="0.35">
      <c r="A594" s="4">
        <v>1597</v>
      </c>
      <c r="B594" s="4">
        <f>COUNTIFS(Data!$C$2:$C$5001,A594,Data!$U$2:$U$5001,1)</f>
        <v>7</v>
      </c>
      <c r="C594" s="5">
        <f>SUMIFS(Data!$L$2:$L$5001,Data!$C$2:$C$5001,A594,Data!$U$2:$U$5001,1)</f>
        <v>4658.16</v>
      </c>
    </row>
    <row r="595" spans="1:3" x14ac:dyDescent="0.35">
      <c r="A595" s="4">
        <v>1598</v>
      </c>
      <c r="B595" s="4">
        <f>COUNTIFS(Data!$C$2:$C$5001,A595,Data!$U$2:$U$5001,1)</f>
        <v>3</v>
      </c>
      <c r="C595" s="5">
        <f>SUMIFS(Data!$L$2:$L$5001,Data!$C$2:$C$5001,A595,Data!$U$2:$U$5001,1)</f>
        <v>2527.11</v>
      </c>
    </row>
    <row r="596" spans="1:3" x14ac:dyDescent="0.35">
      <c r="A596" s="4">
        <v>1600</v>
      </c>
      <c r="B596" s="4">
        <f>COUNTIFS(Data!$C$2:$C$5001,A596,Data!$U$2:$U$5001,1)</f>
        <v>5</v>
      </c>
      <c r="C596" s="5">
        <f>SUMIFS(Data!$L$2:$L$5001,Data!$C$2:$C$5001,A596,Data!$U$2:$U$5001,1)</f>
        <v>7553.77</v>
      </c>
    </row>
    <row r="597" spans="1:3" x14ac:dyDescent="0.35">
      <c r="A597" s="4">
        <v>1601</v>
      </c>
      <c r="B597" s="4">
        <f>COUNTIFS(Data!$C$2:$C$5001,A597,Data!$U$2:$U$5001,1)</f>
        <v>9</v>
      </c>
      <c r="C597" s="5">
        <f>SUMIFS(Data!$L$2:$L$5001,Data!$C$2:$C$5001,A597,Data!$U$2:$U$5001,1)</f>
        <v>12802.42</v>
      </c>
    </row>
    <row r="598" spans="1:3" x14ac:dyDescent="0.35">
      <c r="A598" s="4">
        <v>1602</v>
      </c>
      <c r="B598" s="4">
        <f>COUNTIFS(Data!$C$2:$C$5001,A598,Data!$U$2:$U$5001,1)</f>
        <v>1</v>
      </c>
      <c r="C598" s="5">
        <f>SUMIFS(Data!$L$2:$L$5001,Data!$C$2:$C$5001,A598,Data!$U$2:$U$5001,1)</f>
        <v>297.24</v>
      </c>
    </row>
    <row r="599" spans="1:3" x14ac:dyDescent="0.35">
      <c r="A599" s="4">
        <v>1603</v>
      </c>
      <c r="B599" s="4">
        <f>COUNTIFS(Data!$C$2:$C$5001,A599,Data!$U$2:$U$5001,1)</f>
        <v>8</v>
      </c>
      <c r="C599" s="5">
        <f>SUMIFS(Data!$L$2:$L$5001,Data!$C$2:$C$5001,A599,Data!$U$2:$U$5001,1)</f>
        <v>6396.329999999999</v>
      </c>
    </row>
    <row r="600" spans="1:3" x14ac:dyDescent="0.35">
      <c r="A600" s="4">
        <v>1604</v>
      </c>
      <c r="B600" s="4">
        <f>COUNTIFS(Data!$C$2:$C$5001,A600,Data!$U$2:$U$5001,1)</f>
        <v>6</v>
      </c>
      <c r="C600" s="5">
        <f>SUMIFS(Data!$L$2:$L$5001,Data!$C$2:$C$5001,A600,Data!$U$2:$U$5001,1)</f>
        <v>6496.0699999999988</v>
      </c>
    </row>
    <row r="601" spans="1:3" x14ac:dyDescent="0.35">
      <c r="A601" s="4">
        <v>1605</v>
      </c>
      <c r="B601" s="4">
        <f>COUNTIFS(Data!$C$2:$C$5001,A601,Data!$U$2:$U$5001,1)</f>
        <v>2</v>
      </c>
      <c r="C601" s="5">
        <f>SUMIFS(Data!$L$2:$L$5001,Data!$C$2:$C$5001,A601,Data!$U$2:$U$5001,1)</f>
        <v>1093.3200000000002</v>
      </c>
    </row>
    <row r="602" spans="1:3" x14ac:dyDescent="0.35">
      <c r="A602" s="4">
        <v>1606</v>
      </c>
      <c r="B602" s="4">
        <f>COUNTIFS(Data!$C$2:$C$5001,A602,Data!$U$2:$U$5001,1)</f>
        <v>5</v>
      </c>
      <c r="C602" s="5">
        <f>SUMIFS(Data!$L$2:$L$5001,Data!$C$2:$C$5001,A602,Data!$U$2:$U$5001,1)</f>
        <v>3177.79</v>
      </c>
    </row>
    <row r="603" spans="1:3" x14ac:dyDescent="0.35">
      <c r="A603" s="4">
        <v>1607</v>
      </c>
      <c r="B603" s="4">
        <f>COUNTIFS(Data!$C$2:$C$5001,A603,Data!$U$2:$U$5001,1)</f>
        <v>5</v>
      </c>
      <c r="C603" s="5">
        <f>SUMIFS(Data!$L$2:$L$5001,Data!$C$2:$C$5001,A603,Data!$U$2:$U$5001,1)</f>
        <v>3507.2900000000004</v>
      </c>
    </row>
    <row r="604" spans="1:3" x14ac:dyDescent="0.35">
      <c r="A604" s="4">
        <v>1608</v>
      </c>
      <c r="B604" s="4">
        <f>COUNTIFS(Data!$C$2:$C$5001,A604,Data!$U$2:$U$5001,1)</f>
        <v>4</v>
      </c>
      <c r="C604" s="5">
        <f>SUMIFS(Data!$L$2:$L$5001,Data!$C$2:$C$5001,A604,Data!$U$2:$U$5001,1)</f>
        <v>8767.4700000000012</v>
      </c>
    </row>
    <row r="605" spans="1:3" x14ac:dyDescent="0.35">
      <c r="A605" s="4">
        <v>1609</v>
      </c>
      <c r="B605" s="4">
        <f>COUNTIFS(Data!$C$2:$C$5001,A605,Data!$U$2:$U$5001,1)</f>
        <v>8</v>
      </c>
      <c r="C605" s="5">
        <f>SUMIFS(Data!$L$2:$L$5001,Data!$C$2:$C$5001,A605,Data!$U$2:$U$5001,1)</f>
        <v>7161.8600000000006</v>
      </c>
    </row>
    <row r="606" spans="1:3" x14ac:dyDescent="0.35">
      <c r="A606" s="4">
        <v>1610</v>
      </c>
      <c r="B606" s="4">
        <f>COUNTIFS(Data!$C$2:$C$5001,A606,Data!$U$2:$U$5001,1)</f>
        <v>3</v>
      </c>
      <c r="C606" s="5">
        <f>SUMIFS(Data!$L$2:$L$5001,Data!$C$2:$C$5001,A606,Data!$U$2:$U$5001,1)</f>
        <v>2377.4300000000003</v>
      </c>
    </row>
    <row r="607" spans="1:3" x14ac:dyDescent="0.35">
      <c r="A607" s="4">
        <v>1611</v>
      </c>
      <c r="B607" s="4">
        <f>COUNTIFS(Data!$C$2:$C$5001,A607,Data!$U$2:$U$5001,1)</f>
        <v>6</v>
      </c>
      <c r="C607" s="5">
        <f>SUMIFS(Data!$L$2:$L$5001,Data!$C$2:$C$5001,A607,Data!$U$2:$U$5001,1)</f>
        <v>4446.0199999999995</v>
      </c>
    </row>
    <row r="608" spans="1:3" x14ac:dyDescent="0.35">
      <c r="A608" s="4">
        <v>1612</v>
      </c>
      <c r="B608" s="4">
        <f>COUNTIFS(Data!$C$2:$C$5001,A608,Data!$U$2:$U$5001,1)</f>
        <v>11</v>
      </c>
      <c r="C608" s="5">
        <f>SUMIFS(Data!$L$2:$L$5001,Data!$C$2:$C$5001,A608,Data!$U$2:$U$5001,1)</f>
        <v>11725.789999999999</v>
      </c>
    </row>
    <row r="609" spans="1:3" x14ac:dyDescent="0.35">
      <c r="A609" s="4">
        <v>1613</v>
      </c>
      <c r="B609" s="4">
        <f>COUNTIFS(Data!$C$2:$C$5001,A609,Data!$U$2:$U$5001,1)</f>
        <v>3</v>
      </c>
      <c r="C609" s="5">
        <f>SUMIFS(Data!$L$2:$L$5001,Data!$C$2:$C$5001,A609,Data!$U$2:$U$5001,1)</f>
        <v>2152.11</v>
      </c>
    </row>
    <row r="610" spans="1:3" x14ac:dyDescent="0.35">
      <c r="A610" s="4">
        <v>1614</v>
      </c>
      <c r="B610" s="4">
        <f>COUNTIFS(Data!$C$2:$C$5001,A610,Data!$U$2:$U$5001,1)</f>
        <v>3</v>
      </c>
      <c r="C610" s="5">
        <f>SUMIFS(Data!$L$2:$L$5001,Data!$C$2:$C$5001,A610,Data!$U$2:$U$5001,1)</f>
        <v>5066.16</v>
      </c>
    </row>
    <row r="611" spans="1:3" x14ac:dyDescent="0.35">
      <c r="A611" s="4">
        <v>1615</v>
      </c>
      <c r="B611" s="4">
        <f>COUNTIFS(Data!$C$2:$C$5001,A611,Data!$U$2:$U$5001,1)</f>
        <v>5</v>
      </c>
      <c r="C611" s="5">
        <f>SUMIFS(Data!$L$2:$L$5001,Data!$C$2:$C$5001,A611,Data!$U$2:$U$5001,1)</f>
        <v>6963.13</v>
      </c>
    </row>
    <row r="612" spans="1:3" x14ac:dyDescent="0.35">
      <c r="A612" s="4">
        <v>1616</v>
      </c>
      <c r="B612" s="4">
        <f>COUNTIFS(Data!$C$2:$C$5001,A612,Data!$U$2:$U$5001,1)</f>
        <v>4</v>
      </c>
      <c r="C612" s="5">
        <f>SUMIFS(Data!$L$2:$L$5001,Data!$C$2:$C$5001,A612,Data!$U$2:$U$5001,1)</f>
        <v>2877.26</v>
      </c>
    </row>
    <row r="613" spans="1:3" x14ac:dyDescent="0.35">
      <c r="A613" s="4">
        <v>1617</v>
      </c>
      <c r="B613" s="4">
        <f>COUNTIFS(Data!$C$2:$C$5001,A613,Data!$U$2:$U$5001,1)</f>
        <v>4</v>
      </c>
      <c r="C613" s="5">
        <f>SUMIFS(Data!$L$2:$L$5001,Data!$C$2:$C$5001,A613,Data!$U$2:$U$5001,1)</f>
        <v>3960.22</v>
      </c>
    </row>
    <row r="614" spans="1:3" x14ac:dyDescent="0.35">
      <c r="A614" s="4">
        <v>1618</v>
      </c>
      <c r="B614" s="4">
        <f>COUNTIFS(Data!$C$2:$C$5001,A614,Data!$U$2:$U$5001,1)</f>
        <v>4</v>
      </c>
      <c r="C614" s="5">
        <f>SUMIFS(Data!$L$2:$L$5001,Data!$C$2:$C$5001,A614,Data!$U$2:$U$5001,1)</f>
        <v>4565.2000000000007</v>
      </c>
    </row>
    <row r="615" spans="1:3" x14ac:dyDescent="0.35">
      <c r="A615" s="4">
        <v>1619</v>
      </c>
      <c r="B615" s="4">
        <f>COUNTIFS(Data!$C$2:$C$5001,A615,Data!$U$2:$U$5001,1)</f>
        <v>7</v>
      </c>
      <c r="C615" s="5">
        <f>SUMIFS(Data!$L$2:$L$5001,Data!$C$2:$C$5001,A615,Data!$U$2:$U$5001,1)</f>
        <v>8189.71</v>
      </c>
    </row>
    <row r="616" spans="1:3" x14ac:dyDescent="0.35">
      <c r="A616" s="4">
        <v>1620</v>
      </c>
      <c r="B616" s="4">
        <f>COUNTIFS(Data!$C$2:$C$5001,A616,Data!$U$2:$U$5001,1)</f>
        <v>3</v>
      </c>
      <c r="C616" s="5">
        <f>SUMIFS(Data!$L$2:$L$5001,Data!$C$2:$C$5001,A616,Data!$U$2:$U$5001,1)</f>
        <v>1931.3799999999999</v>
      </c>
    </row>
    <row r="617" spans="1:3" x14ac:dyDescent="0.35">
      <c r="A617" s="4">
        <v>1621</v>
      </c>
      <c r="B617" s="4">
        <f>COUNTIFS(Data!$C$2:$C$5001,A617,Data!$U$2:$U$5001,1)</f>
        <v>4</v>
      </c>
      <c r="C617" s="5">
        <f>SUMIFS(Data!$L$2:$L$5001,Data!$C$2:$C$5001,A617,Data!$U$2:$U$5001,1)</f>
        <v>3401.0199999999995</v>
      </c>
    </row>
    <row r="618" spans="1:3" x14ac:dyDescent="0.35">
      <c r="A618" s="4">
        <v>1622</v>
      </c>
      <c r="B618" s="4">
        <f>COUNTIFS(Data!$C$2:$C$5001,A618,Data!$U$2:$U$5001,1)</f>
        <v>8</v>
      </c>
      <c r="C618" s="5">
        <f>SUMIFS(Data!$L$2:$L$5001,Data!$C$2:$C$5001,A618,Data!$U$2:$U$5001,1)</f>
        <v>5778.45</v>
      </c>
    </row>
    <row r="619" spans="1:3" x14ac:dyDescent="0.35">
      <c r="A619" s="4">
        <v>1623</v>
      </c>
      <c r="B619" s="4">
        <f>COUNTIFS(Data!$C$2:$C$5001,A619,Data!$U$2:$U$5001,1)</f>
        <v>5</v>
      </c>
      <c r="C619" s="5">
        <f>SUMIFS(Data!$L$2:$L$5001,Data!$C$2:$C$5001,A619,Data!$U$2:$U$5001,1)</f>
        <v>2825.04</v>
      </c>
    </row>
    <row r="620" spans="1:3" x14ac:dyDescent="0.35">
      <c r="A620" s="4">
        <v>1624</v>
      </c>
      <c r="B620" s="4">
        <f>COUNTIFS(Data!$C$2:$C$5001,A620,Data!$U$2:$U$5001,1)</f>
        <v>6</v>
      </c>
      <c r="C620" s="5">
        <f>SUMIFS(Data!$L$2:$L$5001,Data!$C$2:$C$5001,A620,Data!$U$2:$U$5001,1)</f>
        <v>7267.0999999999995</v>
      </c>
    </row>
    <row r="621" spans="1:3" x14ac:dyDescent="0.35">
      <c r="A621" s="4">
        <v>1625</v>
      </c>
      <c r="B621" s="4">
        <f>COUNTIFS(Data!$C$2:$C$5001,A621,Data!$U$2:$U$5001,1)</f>
        <v>4</v>
      </c>
      <c r="C621" s="5">
        <f>SUMIFS(Data!$L$2:$L$5001,Data!$C$2:$C$5001,A621,Data!$U$2:$U$5001,1)</f>
        <v>4156.3599999999997</v>
      </c>
    </row>
    <row r="622" spans="1:3" x14ac:dyDescent="0.35">
      <c r="A622" s="4">
        <v>1626</v>
      </c>
      <c r="B622" s="4">
        <f>COUNTIFS(Data!$C$2:$C$5001,A622,Data!$U$2:$U$5001,1)</f>
        <v>2</v>
      </c>
      <c r="C622" s="5">
        <f>SUMIFS(Data!$L$2:$L$5001,Data!$C$2:$C$5001,A622,Data!$U$2:$U$5001,1)</f>
        <v>1818.26</v>
      </c>
    </row>
    <row r="623" spans="1:3" x14ac:dyDescent="0.35">
      <c r="A623" s="4">
        <v>1627</v>
      </c>
      <c r="B623" s="4">
        <f>COUNTIFS(Data!$C$2:$C$5001,A623,Data!$U$2:$U$5001,1)</f>
        <v>6</v>
      </c>
      <c r="C623" s="5">
        <f>SUMIFS(Data!$L$2:$L$5001,Data!$C$2:$C$5001,A623,Data!$U$2:$U$5001,1)</f>
        <v>7841.9199999999992</v>
      </c>
    </row>
    <row r="624" spans="1:3" x14ac:dyDescent="0.35">
      <c r="A624" s="4">
        <v>1628</v>
      </c>
      <c r="B624" s="4">
        <f>COUNTIFS(Data!$C$2:$C$5001,A624,Data!$U$2:$U$5001,1)</f>
        <v>7</v>
      </c>
      <c r="C624" s="5">
        <f>SUMIFS(Data!$L$2:$L$5001,Data!$C$2:$C$5001,A624,Data!$U$2:$U$5001,1)</f>
        <v>8982.630000000001</v>
      </c>
    </row>
    <row r="625" spans="1:3" x14ac:dyDescent="0.35">
      <c r="A625" s="4">
        <v>1629</v>
      </c>
      <c r="B625" s="4">
        <f>COUNTIFS(Data!$C$2:$C$5001,A625,Data!$U$2:$U$5001,1)</f>
        <v>5</v>
      </c>
      <c r="C625" s="5">
        <f>SUMIFS(Data!$L$2:$L$5001,Data!$C$2:$C$5001,A625,Data!$U$2:$U$5001,1)</f>
        <v>4300.96</v>
      </c>
    </row>
    <row r="626" spans="1:3" x14ac:dyDescent="0.35">
      <c r="A626" s="4">
        <v>1630</v>
      </c>
      <c r="B626" s="4">
        <f>COUNTIFS(Data!$C$2:$C$5001,A626,Data!$U$2:$U$5001,1)</f>
        <v>4</v>
      </c>
      <c r="C626" s="5">
        <f>SUMIFS(Data!$L$2:$L$5001,Data!$C$2:$C$5001,A626,Data!$U$2:$U$5001,1)</f>
        <v>3487.41</v>
      </c>
    </row>
    <row r="627" spans="1:3" x14ac:dyDescent="0.35">
      <c r="A627" s="4">
        <v>1631</v>
      </c>
      <c r="B627" s="4">
        <f>COUNTIFS(Data!$C$2:$C$5001,A627,Data!$U$2:$U$5001,1)</f>
        <v>4</v>
      </c>
      <c r="C627" s="5">
        <f>SUMIFS(Data!$L$2:$L$5001,Data!$C$2:$C$5001,A627,Data!$U$2:$U$5001,1)</f>
        <v>5727.93</v>
      </c>
    </row>
    <row r="628" spans="1:3" x14ac:dyDescent="0.35">
      <c r="A628" s="4">
        <v>1632</v>
      </c>
      <c r="B628" s="4">
        <f>COUNTIFS(Data!$C$2:$C$5001,A628,Data!$U$2:$U$5001,1)</f>
        <v>6</v>
      </c>
      <c r="C628" s="5">
        <f>SUMIFS(Data!$L$2:$L$5001,Data!$C$2:$C$5001,A628,Data!$U$2:$U$5001,1)</f>
        <v>10231.43</v>
      </c>
    </row>
    <row r="629" spans="1:3" x14ac:dyDescent="0.35">
      <c r="A629" s="4">
        <v>1633</v>
      </c>
      <c r="B629" s="4">
        <f>COUNTIFS(Data!$C$2:$C$5001,A629,Data!$U$2:$U$5001,1)</f>
        <v>6</v>
      </c>
      <c r="C629" s="5">
        <f>SUMIFS(Data!$L$2:$L$5001,Data!$C$2:$C$5001,A629,Data!$U$2:$U$5001,1)</f>
        <v>6504.2899999999991</v>
      </c>
    </row>
    <row r="630" spans="1:3" x14ac:dyDescent="0.35">
      <c r="A630" s="4">
        <v>1634</v>
      </c>
      <c r="B630" s="4">
        <f>COUNTIFS(Data!$C$2:$C$5001,A630,Data!$U$2:$U$5001,1)</f>
        <v>3</v>
      </c>
      <c r="C630" s="5">
        <f>SUMIFS(Data!$L$2:$L$5001,Data!$C$2:$C$5001,A630,Data!$U$2:$U$5001,1)</f>
        <v>2536.15</v>
      </c>
    </row>
    <row r="631" spans="1:3" x14ac:dyDescent="0.35">
      <c r="A631" s="4">
        <v>1635</v>
      </c>
      <c r="B631" s="4">
        <f>COUNTIFS(Data!$C$2:$C$5001,A631,Data!$U$2:$U$5001,1)</f>
        <v>2</v>
      </c>
      <c r="C631" s="5">
        <f>SUMIFS(Data!$L$2:$L$5001,Data!$C$2:$C$5001,A631,Data!$U$2:$U$5001,1)</f>
        <v>5459.51</v>
      </c>
    </row>
    <row r="632" spans="1:3" x14ac:dyDescent="0.35">
      <c r="A632" s="4">
        <v>1636</v>
      </c>
      <c r="B632" s="4">
        <f>COUNTIFS(Data!$C$2:$C$5001,A632,Data!$U$2:$U$5001,1)</f>
        <v>7</v>
      </c>
      <c r="C632" s="5">
        <f>SUMIFS(Data!$L$2:$L$5001,Data!$C$2:$C$5001,A632,Data!$U$2:$U$5001,1)</f>
        <v>2746.5000000000005</v>
      </c>
    </row>
    <row r="633" spans="1:3" x14ac:dyDescent="0.35">
      <c r="A633" s="4">
        <v>1637</v>
      </c>
      <c r="B633" s="4">
        <f>COUNTIFS(Data!$C$2:$C$5001,A633,Data!$U$2:$U$5001,1)</f>
        <v>7</v>
      </c>
      <c r="C633" s="5">
        <f>SUMIFS(Data!$L$2:$L$5001,Data!$C$2:$C$5001,A633,Data!$U$2:$U$5001,1)</f>
        <v>8394.58</v>
      </c>
    </row>
    <row r="634" spans="1:3" x14ac:dyDescent="0.35">
      <c r="A634" s="4">
        <v>1638</v>
      </c>
      <c r="B634" s="4">
        <f>COUNTIFS(Data!$C$2:$C$5001,A634,Data!$U$2:$U$5001,1)</f>
        <v>4</v>
      </c>
      <c r="C634" s="5">
        <f>SUMIFS(Data!$L$2:$L$5001,Data!$C$2:$C$5001,A634,Data!$U$2:$U$5001,1)</f>
        <v>4156.1499999999996</v>
      </c>
    </row>
    <row r="635" spans="1:3" x14ac:dyDescent="0.35">
      <c r="A635" s="4">
        <v>1639</v>
      </c>
      <c r="B635" s="4">
        <f>COUNTIFS(Data!$C$2:$C$5001,A635,Data!$U$2:$U$5001,1)</f>
        <v>6</v>
      </c>
      <c r="C635" s="5">
        <f>SUMIFS(Data!$L$2:$L$5001,Data!$C$2:$C$5001,A635,Data!$U$2:$U$5001,1)</f>
        <v>6808.64</v>
      </c>
    </row>
    <row r="636" spans="1:3" x14ac:dyDescent="0.35">
      <c r="A636" s="4">
        <v>1640</v>
      </c>
      <c r="B636" s="4">
        <f>COUNTIFS(Data!$C$2:$C$5001,A636,Data!$U$2:$U$5001,1)</f>
        <v>5</v>
      </c>
      <c r="C636" s="5">
        <f>SUMIFS(Data!$L$2:$L$5001,Data!$C$2:$C$5001,A636,Data!$U$2:$U$5001,1)</f>
        <v>2691.32</v>
      </c>
    </row>
    <row r="637" spans="1:3" x14ac:dyDescent="0.35">
      <c r="A637" s="4">
        <v>1641</v>
      </c>
      <c r="B637" s="4">
        <f>COUNTIFS(Data!$C$2:$C$5001,A637,Data!$U$2:$U$5001,1)</f>
        <v>5</v>
      </c>
      <c r="C637" s="5">
        <f>SUMIFS(Data!$L$2:$L$5001,Data!$C$2:$C$5001,A637,Data!$U$2:$U$5001,1)</f>
        <v>4869.13</v>
      </c>
    </row>
    <row r="638" spans="1:3" x14ac:dyDescent="0.35">
      <c r="A638" s="4">
        <v>1642</v>
      </c>
      <c r="B638" s="4">
        <f>COUNTIFS(Data!$C$2:$C$5001,A638,Data!$U$2:$U$5001,1)</f>
        <v>4</v>
      </c>
      <c r="C638" s="5">
        <f>SUMIFS(Data!$L$2:$L$5001,Data!$C$2:$C$5001,A638,Data!$U$2:$U$5001,1)</f>
        <v>7200.9000000000005</v>
      </c>
    </row>
    <row r="639" spans="1:3" x14ac:dyDescent="0.35">
      <c r="A639" s="4">
        <v>1643</v>
      </c>
      <c r="B639" s="4">
        <f>COUNTIFS(Data!$C$2:$C$5001,A639,Data!$U$2:$U$5001,1)</f>
        <v>3</v>
      </c>
      <c r="C639" s="5">
        <f>SUMIFS(Data!$L$2:$L$5001,Data!$C$2:$C$5001,A639,Data!$U$2:$U$5001,1)</f>
        <v>4200.8899999999994</v>
      </c>
    </row>
    <row r="640" spans="1:3" x14ac:dyDescent="0.35">
      <c r="A640" s="4">
        <v>1644</v>
      </c>
      <c r="B640" s="4">
        <f>COUNTIFS(Data!$C$2:$C$5001,A640,Data!$U$2:$U$5001,1)</f>
        <v>6</v>
      </c>
      <c r="C640" s="5">
        <f>SUMIFS(Data!$L$2:$L$5001,Data!$C$2:$C$5001,A640,Data!$U$2:$U$5001,1)</f>
        <v>8159.84</v>
      </c>
    </row>
    <row r="641" spans="1:3" x14ac:dyDescent="0.35">
      <c r="A641" s="4">
        <v>1645</v>
      </c>
      <c r="B641" s="4">
        <f>COUNTIFS(Data!$C$2:$C$5001,A641,Data!$U$2:$U$5001,1)</f>
        <v>8</v>
      </c>
      <c r="C641" s="5">
        <f>SUMIFS(Data!$L$2:$L$5001,Data!$C$2:$C$5001,A641,Data!$U$2:$U$5001,1)</f>
        <v>4429.01</v>
      </c>
    </row>
    <row r="642" spans="1:3" x14ac:dyDescent="0.35">
      <c r="A642" s="4">
        <v>1646</v>
      </c>
      <c r="B642" s="4">
        <f>COUNTIFS(Data!$C$2:$C$5001,A642,Data!$U$2:$U$5001,1)</f>
        <v>3</v>
      </c>
      <c r="C642" s="5">
        <f>SUMIFS(Data!$L$2:$L$5001,Data!$C$2:$C$5001,A642,Data!$U$2:$U$5001,1)</f>
        <v>1702.79</v>
      </c>
    </row>
    <row r="643" spans="1:3" x14ac:dyDescent="0.35">
      <c r="A643" s="4">
        <v>1647</v>
      </c>
      <c r="B643" s="4">
        <f>COUNTIFS(Data!$C$2:$C$5001,A643,Data!$U$2:$U$5001,1)</f>
        <v>11</v>
      </c>
      <c r="C643" s="5">
        <f>SUMIFS(Data!$L$2:$L$5001,Data!$C$2:$C$5001,A643,Data!$U$2:$U$5001,1)</f>
        <v>14894.970000000001</v>
      </c>
    </row>
    <row r="644" spans="1:3" x14ac:dyDescent="0.35">
      <c r="A644" s="4">
        <v>1648</v>
      </c>
      <c r="B644" s="4">
        <f>COUNTIFS(Data!$C$2:$C$5001,A644,Data!$U$2:$U$5001,1)</f>
        <v>3</v>
      </c>
      <c r="C644" s="5">
        <f>SUMIFS(Data!$L$2:$L$5001,Data!$C$2:$C$5001,A644,Data!$U$2:$U$5001,1)</f>
        <v>1871.41</v>
      </c>
    </row>
    <row r="645" spans="1:3" x14ac:dyDescent="0.35">
      <c r="A645" s="4">
        <v>1649</v>
      </c>
      <c r="B645" s="4">
        <f>COUNTIFS(Data!$C$2:$C$5001,A645,Data!$U$2:$U$5001,1)</f>
        <v>4</v>
      </c>
      <c r="C645" s="5">
        <f>SUMIFS(Data!$L$2:$L$5001,Data!$C$2:$C$5001,A645,Data!$U$2:$U$5001,1)</f>
        <v>5665.2199999999993</v>
      </c>
    </row>
    <row r="646" spans="1:3" x14ac:dyDescent="0.35">
      <c r="A646" s="4">
        <v>1650</v>
      </c>
      <c r="B646" s="4">
        <f>COUNTIFS(Data!$C$2:$C$5001,A646,Data!$U$2:$U$5001,1)</f>
        <v>2</v>
      </c>
      <c r="C646" s="5">
        <f>SUMIFS(Data!$L$2:$L$5001,Data!$C$2:$C$5001,A646,Data!$U$2:$U$5001,1)</f>
        <v>2895.06</v>
      </c>
    </row>
    <row r="647" spans="1:3" x14ac:dyDescent="0.35">
      <c r="A647" s="4">
        <v>1651</v>
      </c>
      <c r="B647" s="4">
        <f>COUNTIFS(Data!$C$2:$C$5001,A647,Data!$U$2:$U$5001,1)</f>
        <v>2</v>
      </c>
      <c r="C647" s="5">
        <f>SUMIFS(Data!$L$2:$L$5001,Data!$C$2:$C$5001,A647,Data!$U$2:$U$5001,1)</f>
        <v>352.89</v>
      </c>
    </row>
    <row r="648" spans="1:3" x14ac:dyDescent="0.35">
      <c r="A648" s="4">
        <v>1652</v>
      </c>
      <c r="B648" s="4">
        <f>COUNTIFS(Data!$C$2:$C$5001,A648,Data!$U$2:$U$5001,1)</f>
        <v>5</v>
      </c>
      <c r="C648" s="5">
        <f>SUMIFS(Data!$L$2:$L$5001,Data!$C$2:$C$5001,A648,Data!$U$2:$U$5001,1)</f>
        <v>3468.75</v>
      </c>
    </row>
    <row r="649" spans="1:3" x14ac:dyDescent="0.35">
      <c r="A649" s="4">
        <v>1653</v>
      </c>
      <c r="B649" s="4">
        <f>COUNTIFS(Data!$C$2:$C$5001,A649,Data!$U$2:$U$5001,1)</f>
        <v>6</v>
      </c>
      <c r="C649" s="5">
        <f>SUMIFS(Data!$L$2:$L$5001,Data!$C$2:$C$5001,A649,Data!$U$2:$U$5001,1)</f>
        <v>5648.36</v>
      </c>
    </row>
    <row r="650" spans="1:3" x14ac:dyDescent="0.35">
      <c r="A650" s="4">
        <v>1654</v>
      </c>
      <c r="B650" s="4">
        <f>COUNTIFS(Data!$C$2:$C$5001,A650,Data!$U$2:$U$5001,1)</f>
        <v>7</v>
      </c>
      <c r="C650" s="5">
        <f>SUMIFS(Data!$L$2:$L$5001,Data!$C$2:$C$5001,A650,Data!$U$2:$U$5001,1)</f>
        <v>10868.66</v>
      </c>
    </row>
    <row r="651" spans="1:3" x14ac:dyDescent="0.35">
      <c r="A651" s="4">
        <v>1655</v>
      </c>
      <c r="B651" s="4">
        <f>COUNTIFS(Data!$C$2:$C$5001,A651,Data!$U$2:$U$5001,1)</f>
        <v>6</v>
      </c>
      <c r="C651" s="5">
        <f>SUMIFS(Data!$L$2:$L$5001,Data!$C$2:$C$5001,A651,Data!$U$2:$U$5001,1)</f>
        <v>4769.1500000000005</v>
      </c>
    </row>
    <row r="652" spans="1:3" x14ac:dyDescent="0.35">
      <c r="A652" s="4">
        <v>1656</v>
      </c>
      <c r="B652" s="4">
        <f>COUNTIFS(Data!$C$2:$C$5001,A652,Data!$U$2:$U$5001,1)</f>
        <v>6</v>
      </c>
      <c r="C652" s="5">
        <f>SUMIFS(Data!$L$2:$L$5001,Data!$C$2:$C$5001,A652,Data!$U$2:$U$5001,1)</f>
        <v>6197.51</v>
      </c>
    </row>
    <row r="653" spans="1:3" x14ac:dyDescent="0.35">
      <c r="A653" s="4">
        <v>1657</v>
      </c>
      <c r="B653" s="4">
        <f>COUNTIFS(Data!$C$2:$C$5001,A653,Data!$U$2:$U$5001,1)</f>
        <v>6</v>
      </c>
      <c r="C653" s="5">
        <f>SUMIFS(Data!$L$2:$L$5001,Data!$C$2:$C$5001,A653,Data!$U$2:$U$5001,1)</f>
        <v>4423.13</v>
      </c>
    </row>
    <row r="654" spans="1:3" x14ac:dyDescent="0.35">
      <c r="A654" s="4">
        <v>1658</v>
      </c>
      <c r="B654" s="4">
        <f>COUNTIFS(Data!$C$2:$C$5001,A654,Data!$U$2:$U$5001,1)</f>
        <v>11</v>
      </c>
      <c r="C654" s="5">
        <f>SUMIFS(Data!$L$2:$L$5001,Data!$C$2:$C$5001,A654,Data!$U$2:$U$5001,1)</f>
        <v>8753.43</v>
      </c>
    </row>
    <row r="655" spans="1:3" x14ac:dyDescent="0.35">
      <c r="A655" s="4">
        <v>1659</v>
      </c>
      <c r="B655" s="4">
        <f>COUNTIFS(Data!$C$2:$C$5001,A655,Data!$U$2:$U$5001,1)</f>
        <v>7</v>
      </c>
      <c r="C655" s="5">
        <f>SUMIFS(Data!$L$2:$L$5001,Data!$C$2:$C$5001,A655,Data!$U$2:$U$5001,1)</f>
        <v>6723.54</v>
      </c>
    </row>
    <row r="656" spans="1:3" x14ac:dyDescent="0.35">
      <c r="A656" s="4">
        <v>1660</v>
      </c>
      <c r="B656" s="4">
        <f>COUNTIFS(Data!$C$2:$C$5001,A656,Data!$U$2:$U$5001,1)</f>
        <v>7</v>
      </c>
      <c r="C656" s="5">
        <f>SUMIFS(Data!$L$2:$L$5001,Data!$C$2:$C$5001,A656,Data!$U$2:$U$5001,1)</f>
        <v>6884.619999999999</v>
      </c>
    </row>
    <row r="657" spans="1:3" x14ac:dyDescent="0.35">
      <c r="A657" s="4">
        <v>1661</v>
      </c>
      <c r="B657" s="4">
        <f>COUNTIFS(Data!$C$2:$C$5001,A657,Data!$U$2:$U$5001,1)</f>
        <v>9</v>
      </c>
      <c r="C657" s="5">
        <f>SUMIFS(Data!$L$2:$L$5001,Data!$C$2:$C$5001,A657,Data!$U$2:$U$5001,1)</f>
        <v>9998.1400000000012</v>
      </c>
    </row>
    <row r="658" spans="1:3" x14ac:dyDescent="0.35">
      <c r="A658" s="4">
        <v>1662</v>
      </c>
      <c r="B658" s="4">
        <f>COUNTIFS(Data!$C$2:$C$5001,A658,Data!$U$2:$U$5001,1)</f>
        <v>6</v>
      </c>
      <c r="C658" s="5">
        <f>SUMIFS(Data!$L$2:$L$5001,Data!$C$2:$C$5001,A658,Data!$U$2:$U$5001,1)</f>
        <v>8985.6200000000008</v>
      </c>
    </row>
    <row r="659" spans="1:3" x14ac:dyDescent="0.35">
      <c r="A659" s="4">
        <v>1663</v>
      </c>
      <c r="B659" s="4">
        <f>COUNTIFS(Data!$C$2:$C$5001,A659,Data!$U$2:$U$5001,1)</f>
        <v>14</v>
      </c>
      <c r="C659" s="5">
        <f>SUMIFS(Data!$L$2:$L$5001,Data!$C$2:$C$5001,A659,Data!$U$2:$U$5001,1)</f>
        <v>17680.690000000002</v>
      </c>
    </row>
    <row r="660" spans="1:3" x14ac:dyDescent="0.35">
      <c r="A660" s="4">
        <v>1664</v>
      </c>
      <c r="B660" s="4">
        <f>COUNTIFS(Data!$C$2:$C$5001,A660,Data!$U$2:$U$5001,1)</f>
        <v>6</v>
      </c>
      <c r="C660" s="5">
        <f>SUMIFS(Data!$L$2:$L$5001,Data!$C$2:$C$5001,A660,Data!$U$2:$U$5001,1)</f>
        <v>4116.8499999999995</v>
      </c>
    </row>
    <row r="661" spans="1:3" x14ac:dyDescent="0.35">
      <c r="A661" s="4">
        <v>1665</v>
      </c>
      <c r="B661" s="4">
        <f>COUNTIFS(Data!$C$2:$C$5001,A661,Data!$U$2:$U$5001,1)</f>
        <v>10</v>
      </c>
      <c r="C661" s="5">
        <f>SUMIFS(Data!$L$2:$L$5001,Data!$C$2:$C$5001,A661,Data!$U$2:$U$5001,1)</f>
        <v>11617.319999999998</v>
      </c>
    </row>
    <row r="662" spans="1:3" x14ac:dyDescent="0.35">
      <c r="A662" s="4">
        <v>1666</v>
      </c>
      <c r="B662" s="4">
        <f>COUNTIFS(Data!$C$2:$C$5001,A662,Data!$U$2:$U$5001,1)</f>
        <v>4</v>
      </c>
      <c r="C662" s="5">
        <f>SUMIFS(Data!$L$2:$L$5001,Data!$C$2:$C$5001,A662,Data!$U$2:$U$5001,1)</f>
        <v>4323.18</v>
      </c>
    </row>
    <row r="663" spans="1:3" x14ac:dyDescent="0.35">
      <c r="A663" s="4">
        <v>1667</v>
      </c>
      <c r="B663" s="4">
        <f>COUNTIFS(Data!$C$2:$C$5001,A663,Data!$U$2:$U$5001,1)</f>
        <v>2</v>
      </c>
      <c r="C663" s="5">
        <f>SUMIFS(Data!$L$2:$L$5001,Data!$C$2:$C$5001,A663,Data!$U$2:$U$5001,1)</f>
        <v>872.54</v>
      </c>
    </row>
    <row r="664" spans="1:3" x14ac:dyDescent="0.35">
      <c r="A664" s="4">
        <v>1668</v>
      </c>
      <c r="B664" s="4">
        <f>COUNTIFS(Data!$C$2:$C$5001,A664,Data!$U$2:$U$5001,1)</f>
        <v>5</v>
      </c>
      <c r="C664" s="5">
        <f>SUMIFS(Data!$L$2:$L$5001,Data!$C$2:$C$5001,A664,Data!$U$2:$U$5001,1)</f>
        <v>7925.44</v>
      </c>
    </row>
    <row r="665" spans="1:3" x14ac:dyDescent="0.35">
      <c r="A665" s="4">
        <v>1669</v>
      </c>
      <c r="B665" s="4">
        <f>COUNTIFS(Data!$C$2:$C$5001,A665,Data!$U$2:$U$5001,1)</f>
        <v>12</v>
      </c>
      <c r="C665" s="5">
        <f>SUMIFS(Data!$L$2:$L$5001,Data!$C$2:$C$5001,A665,Data!$U$2:$U$5001,1)</f>
        <v>10572.840000000002</v>
      </c>
    </row>
    <row r="666" spans="1:3" x14ac:dyDescent="0.35">
      <c r="A666" s="4">
        <v>1671</v>
      </c>
      <c r="B666" s="4">
        <f>COUNTIFS(Data!$C$2:$C$5001,A666,Data!$U$2:$U$5001,1)</f>
        <v>10</v>
      </c>
      <c r="C666" s="5">
        <f>SUMIFS(Data!$L$2:$L$5001,Data!$C$2:$C$5001,A666,Data!$U$2:$U$5001,1)</f>
        <v>10389.82</v>
      </c>
    </row>
    <row r="667" spans="1:3" x14ac:dyDescent="0.35">
      <c r="A667" s="4">
        <v>1672</v>
      </c>
      <c r="B667" s="4">
        <f>COUNTIFS(Data!$C$2:$C$5001,A667,Data!$U$2:$U$5001,1)</f>
        <v>7</v>
      </c>
      <c r="C667" s="5">
        <f>SUMIFS(Data!$L$2:$L$5001,Data!$C$2:$C$5001,A667,Data!$U$2:$U$5001,1)</f>
        <v>7287.9699999999993</v>
      </c>
    </row>
    <row r="668" spans="1:3" x14ac:dyDescent="0.35">
      <c r="A668" s="4">
        <v>1673</v>
      </c>
      <c r="B668" s="4">
        <f>COUNTIFS(Data!$C$2:$C$5001,A668,Data!$U$2:$U$5001,1)</f>
        <v>2</v>
      </c>
      <c r="C668" s="5">
        <f>SUMIFS(Data!$L$2:$L$5001,Data!$C$2:$C$5001,A668,Data!$U$2:$U$5001,1)</f>
        <v>1553.5300000000002</v>
      </c>
    </row>
    <row r="669" spans="1:3" x14ac:dyDescent="0.35">
      <c r="A669" s="4">
        <v>1674</v>
      </c>
      <c r="B669" s="4">
        <f>COUNTIFS(Data!$C$2:$C$5001,A669,Data!$U$2:$U$5001,1)</f>
        <v>5</v>
      </c>
      <c r="C669" s="5">
        <f>SUMIFS(Data!$L$2:$L$5001,Data!$C$2:$C$5001,A669,Data!$U$2:$U$5001,1)</f>
        <v>5230.8500000000004</v>
      </c>
    </row>
    <row r="670" spans="1:3" x14ac:dyDescent="0.35">
      <c r="A670" s="4">
        <v>1675</v>
      </c>
      <c r="B670" s="4">
        <f>COUNTIFS(Data!$C$2:$C$5001,A670,Data!$U$2:$U$5001,1)</f>
        <v>11</v>
      </c>
      <c r="C670" s="5">
        <f>SUMIFS(Data!$L$2:$L$5001,Data!$C$2:$C$5001,A670,Data!$U$2:$U$5001,1)</f>
        <v>15036.460000000001</v>
      </c>
    </row>
    <row r="671" spans="1:3" x14ac:dyDescent="0.35">
      <c r="A671" s="4">
        <v>1676</v>
      </c>
      <c r="B671" s="4">
        <f>COUNTIFS(Data!$C$2:$C$5001,A671,Data!$U$2:$U$5001,1)</f>
        <v>3</v>
      </c>
      <c r="C671" s="5">
        <f>SUMIFS(Data!$L$2:$L$5001,Data!$C$2:$C$5001,A671,Data!$U$2:$U$5001,1)</f>
        <v>3723.91</v>
      </c>
    </row>
    <row r="672" spans="1:3" x14ac:dyDescent="0.35">
      <c r="A672" s="4">
        <v>1677</v>
      </c>
      <c r="B672" s="4">
        <f>COUNTIFS(Data!$C$2:$C$5001,A672,Data!$U$2:$U$5001,1)</f>
        <v>4</v>
      </c>
      <c r="C672" s="5">
        <f>SUMIFS(Data!$L$2:$L$5001,Data!$C$2:$C$5001,A672,Data!$U$2:$U$5001,1)</f>
        <v>3467.86</v>
      </c>
    </row>
    <row r="673" spans="1:3" x14ac:dyDescent="0.35">
      <c r="A673" s="4">
        <v>1678</v>
      </c>
      <c r="B673" s="4">
        <f>COUNTIFS(Data!$C$2:$C$5001,A673,Data!$U$2:$U$5001,1)</f>
        <v>3</v>
      </c>
      <c r="C673" s="5">
        <f>SUMIFS(Data!$L$2:$L$5001,Data!$C$2:$C$5001,A673,Data!$U$2:$U$5001,1)</f>
        <v>2346.8000000000002</v>
      </c>
    </row>
    <row r="674" spans="1:3" x14ac:dyDescent="0.35">
      <c r="A674" s="4">
        <v>1679</v>
      </c>
      <c r="B674" s="4">
        <f>COUNTIFS(Data!$C$2:$C$5001,A674,Data!$U$2:$U$5001,1)</f>
        <v>1</v>
      </c>
      <c r="C674" s="5">
        <f>SUMIFS(Data!$L$2:$L$5001,Data!$C$2:$C$5001,A674,Data!$U$2:$U$5001,1)</f>
        <v>1568.46</v>
      </c>
    </row>
    <row r="675" spans="1:3" x14ac:dyDescent="0.35">
      <c r="A675" s="4">
        <v>1680</v>
      </c>
      <c r="B675" s="4">
        <f>COUNTIFS(Data!$C$2:$C$5001,A675,Data!$U$2:$U$5001,1)</f>
        <v>5</v>
      </c>
      <c r="C675" s="5">
        <f>SUMIFS(Data!$L$2:$L$5001,Data!$C$2:$C$5001,A675,Data!$U$2:$U$5001,1)</f>
        <v>4618.9799999999996</v>
      </c>
    </row>
    <row r="676" spans="1:3" x14ac:dyDescent="0.35">
      <c r="A676" s="4">
        <v>1681</v>
      </c>
      <c r="B676" s="4">
        <f>COUNTIFS(Data!$C$2:$C$5001,A676,Data!$U$2:$U$5001,1)</f>
        <v>6</v>
      </c>
      <c r="C676" s="5">
        <f>SUMIFS(Data!$L$2:$L$5001,Data!$C$2:$C$5001,A676,Data!$U$2:$U$5001,1)</f>
        <v>7380.78</v>
      </c>
    </row>
    <row r="677" spans="1:3" x14ac:dyDescent="0.35">
      <c r="A677" s="4">
        <v>1682</v>
      </c>
      <c r="B677" s="4">
        <f>COUNTIFS(Data!$C$2:$C$5001,A677,Data!$U$2:$U$5001,1)</f>
        <v>4</v>
      </c>
      <c r="C677" s="5">
        <f>SUMIFS(Data!$L$2:$L$5001,Data!$C$2:$C$5001,A677,Data!$U$2:$U$5001,1)</f>
        <v>6315.6100000000006</v>
      </c>
    </row>
    <row r="678" spans="1:3" x14ac:dyDescent="0.35">
      <c r="A678" s="4">
        <v>1683</v>
      </c>
      <c r="B678" s="4">
        <f>COUNTIFS(Data!$C$2:$C$5001,A678,Data!$U$2:$U$5001,1)</f>
        <v>4</v>
      </c>
      <c r="C678" s="5">
        <f>SUMIFS(Data!$L$2:$L$5001,Data!$C$2:$C$5001,A678,Data!$U$2:$U$5001,1)</f>
        <v>2931.97</v>
      </c>
    </row>
    <row r="679" spans="1:3" x14ac:dyDescent="0.35">
      <c r="A679" s="4">
        <v>1684</v>
      </c>
      <c r="B679" s="4">
        <f>COUNTIFS(Data!$C$2:$C$5001,A679,Data!$U$2:$U$5001,1)</f>
        <v>10</v>
      </c>
      <c r="C679" s="5">
        <f>SUMIFS(Data!$L$2:$L$5001,Data!$C$2:$C$5001,A679,Data!$U$2:$U$5001,1)</f>
        <v>9802.2999999999993</v>
      </c>
    </row>
    <row r="680" spans="1:3" x14ac:dyDescent="0.35">
      <c r="A680" s="4">
        <v>1685</v>
      </c>
      <c r="B680" s="4">
        <f>COUNTIFS(Data!$C$2:$C$5001,A680,Data!$U$2:$U$5001,1)</f>
        <v>5</v>
      </c>
      <c r="C680" s="5">
        <f>SUMIFS(Data!$L$2:$L$5001,Data!$C$2:$C$5001,A680,Data!$U$2:$U$5001,1)</f>
        <v>4646.12</v>
      </c>
    </row>
    <row r="681" spans="1:3" x14ac:dyDescent="0.35">
      <c r="A681" s="4">
        <v>1686</v>
      </c>
      <c r="B681" s="4">
        <f>COUNTIFS(Data!$C$2:$C$5001,A681,Data!$U$2:$U$5001,1)</f>
        <v>7</v>
      </c>
      <c r="C681" s="5">
        <f>SUMIFS(Data!$L$2:$L$5001,Data!$C$2:$C$5001,A681,Data!$U$2:$U$5001,1)</f>
        <v>10729.039999999999</v>
      </c>
    </row>
    <row r="682" spans="1:3" x14ac:dyDescent="0.35">
      <c r="A682" s="4">
        <v>1687</v>
      </c>
      <c r="B682" s="4">
        <f>COUNTIFS(Data!$C$2:$C$5001,A682,Data!$U$2:$U$5001,1)</f>
        <v>6</v>
      </c>
      <c r="C682" s="5">
        <f>SUMIFS(Data!$L$2:$L$5001,Data!$C$2:$C$5001,A682,Data!$U$2:$U$5001,1)</f>
        <v>4506.53</v>
      </c>
    </row>
    <row r="683" spans="1:3" x14ac:dyDescent="0.35">
      <c r="A683" s="4">
        <v>1688</v>
      </c>
      <c r="B683" s="4">
        <f>COUNTIFS(Data!$C$2:$C$5001,A683,Data!$U$2:$U$5001,1)</f>
        <v>8</v>
      </c>
      <c r="C683" s="5">
        <f>SUMIFS(Data!$L$2:$L$5001,Data!$C$2:$C$5001,A683,Data!$U$2:$U$5001,1)</f>
        <v>7279.2699999999995</v>
      </c>
    </row>
    <row r="684" spans="1:3" x14ac:dyDescent="0.35">
      <c r="A684" s="4">
        <v>1689</v>
      </c>
      <c r="B684" s="4">
        <f>COUNTIFS(Data!$C$2:$C$5001,A684,Data!$U$2:$U$5001,1)</f>
        <v>7</v>
      </c>
      <c r="C684" s="5">
        <f>SUMIFS(Data!$L$2:$L$5001,Data!$C$2:$C$5001,A684,Data!$U$2:$U$5001,1)</f>
        <v>4029.62</v>
      </c>
    </row>
    <row r="685" spans="1:3" x14ac:dyDescent="0.35">
      <c r="A685" s="4">
        <v>1690</v>
      </c>
      <c r="B685" s="4">
        <f>COUNTIFS(Data!$C$2:$C$5001,A685,Data!$U$2:$U$5001,1)</f>
        <v>6</v>
      </c>
      <c r="C685" s="5">
        <f>SUMIFS(Data!$L$2:$L$5001,Data!$C$2:$C$5001,A685,Data!$U$2:$U$5001,1)</f>
        <v>6894.0499999999993</v>
      </c>
    </row>
    <row r="686" spans="1:3" x14ac:dyDescent="0.35">
      <c r="A686" s="4">
        <v>1691</v>
      </c>
      <c r="B686" s="4">
        <f>COUNTIFS(Data!$C$2:$C$5001,A686,Data!$U$2:$U$5001,1)</f>
        <v>5</v>
      </c>
      <c r="C686" s="5">
        <f>SUMIFS(Data!$L$2:$L$5001,Data!$C$2:$C$5001,A686,Data!$U$2:$U$5001,1)</f>
        <v>3727.52</v>
      </c>
    </row>
    <row r="687" spans="1:3" x14ac:dyDescent="0.35">
      <c r="A687" s="4">
        <v>1692</v>
      </c>
      <c r="B687" s="4">
        <f>COUNTIFS(Data!$C$2:$C$5001,A687,Data!$U$2:$U$5001,1)</f>
        <v>7</v>
      </c>
      <c r="C687" s="5">
        <f>SUMIFS(Data!$L$2:$L$5001,Data!$C$2:$C$5001,A687,Data!$U$2:$U$5001,1)</f>
        <v>6706.24</v>
      </c>
    </row>
    <row r="688" spans="1:3" x14ac:dyDescent="0.35">
      <c r="A688" s="4">
        <v>1694</v>
      </c>
      <c r="B688" s="4">
        <f>COUNTIFS(Data!$C$2:$C$5001,A688,Data!$U$2:$U$5001,1)</f>
        <v>4</v>
      </c>
      <c r="C688" s="5">
        <f>SUMIFS(Data!$L$2:$L$5001,Data!$C$2:$C$5001,A688,Data!$U$2:$U$5001,1)</f>
        <v>4739.24</v>
      </c>
    </row>
    <row r="689" spans="1:3" x14ac:dyDescent="0.35">
      <c r="A689" s="4">
        <v>1695</v>
      </c>
      <c r="B689" s="4">
        <f>COUNTIFS(Data!$C$2:$C$5001,A689,Data!$U$2:$U$5001,1)</f>
        <v>5</v>
      </c>
      <c r="C689" s="5">
        <f>SUMIFS(Data!$L$2:$L$5001,Data!$C$2:$C$5001,A689,Data!$U$2:$U$5001,1)</f>
        <v>6001.49</v>
      </c>
    </row>
    <row r="690" spans="1:3" x14ac:dyDescent="0.35">
      <c r="A690" s="4">
        <v>1696</v>
      </c>
      <c r="B690" s="4">
        <f>COUNTIFS(Data!$C$2:$C$5001,A690,Data!$U$2:$U$5001,1)</f>
        <v>2</v>
      </c>
      <c r="C690" s="5">
        <f>SUMIFS(Data!$L$2:$L$5001,Data!$C$2:$C$5001,A690,Data!$U$2:$U$5001,1)</f>
        <v>1600.9700000000003</v>
      </c>
    </row>
    <row r="691" spans="1:3" x14ac:dyDescent="0.35">
      <c r="A691" s="4">
        <v>1697</v>
      </c>
      <c r="B691" s="4">
        <f>COUNTIFS(Data!$C$2:$C$5001,A691,Data!$U$2:$U$5001,1)</f>
        <v>5</v>
      </c>
      <c r="C691" s="5">
        <f>SUMIFS(Data!$L$2:$L$5001,Data!$C$2:$C$5001,A691,Data!$U$2:$U$5001,1)</f>
        <v>3452.96</v>
      </c>
    </row>
    <row r="692" spans="1:3" x14ac:dyDescent="0.35">
      <c r="A692" s="4">
        <v>1698</v>
      </c>
      <c r="B692" s="4">
        <f>COUNTIFS(Data!$C$2:$C$5001,A692,Data!$U$2:$U$5001,1)</f>
        <v>4</v>
      </c>
      <c r="C692" s="5">
        <f>SUMIFS(Data!$L$2:$L$5001,Data!$C$2:$C$5001,A692,Data!$U$2:$U$5001,1)</f>
        <v>6120.24</v>
      </c>
    </row>
    <row r="693" spans="1:3" x14ac:dyDescent="0.35">
      <c r="A693" s="4">
        <v>1699</v>
      </c>
      <c r="B693" s="4">
        <f>COUNTIFS(Data!$C$2:$C$5001,A693,Data!$U$2:$U$5001,1)</f>
        <v>8</v>
      </c>
      <c r="C693" s="5">
        <f>SUMIFS(Data!$L$2:$L$5001,Data!$C$2:$C$5001,A693,Data!$U$2:$U$5001,1)</f>
        <v>11436.86</v>
      </c>
    </row>
    <row r="694" spans="1:3" x14ac:dyDescent="0.35">
      <c r="A694" s="4">
        <v>1700</v>
      </c>
      <c r="B694" s="4">
        <f>COUNTIFS(Data!$C$2:$C$5001,A694,Data!$U$2:$U$5001,1)</f>
        <v>6</v>
      </c>
      <c r="C694" s="5">
        <f>SUMIFS(Data!$L$2:$L$5001,Data!$C$2:$C$5001,A694,Data!$U$2:$U$5001,1)</f>
        <v>11716.05</v>
      </c>
    </row>
    <row r="695" spans="1:3" x14ac:dyDescent="0.35">
      <c r="A695" s="4">
        <v>1701</v>
      </c>
      <c r="B695" s="4">
        <f>COUNTIFS(Data!$C$2:$C$5001,A695,Data!$U$2:$U$5001,1)</f>
        <v>4</v>
      </c>
      <c r="C695" s="5">
        <f>SUMIFS(Data!$L$2:$L$5001,Data!$C$2:$C$5001,A695,Data!$U$2:$U$5001,1)</f>
        <v>4096.88</v>
      </c>
    </row>
    <row r="696" spans="1:3" x14ac:dyDescent="0.35">
      <c r="A696" s="4">
        <v>1702</v>
      </c>
      <c r="B696" s="4">
        <f>COUNTIFS(Data!$C$2:$C$5001,A696,Data!$U$2:$U$5001,1)</f>
        <v>5</v>
      </c>
      <c r="C696" s="5">
        <f>SUMIFS(Data!$L$2:$L$5001,Data!$C$2:$C$5001,A696,Data!$U$2:$U$5001,1)</f>
        <v>9430.51</v>
      </c>
    </row>
    <row r="697" spans="1:3" x14ac:dyDescent="0.35">
      <c r="A697" s="4">
        <v>1703</v>
      </c>
      <c r="B697" s="4">
        <f>COUNTIFS(Data!$C$2:$C$5001,A697,Data!$U$2:$U$5001,1)</f>
        <v>11</v>
      </c>
      <c r="C697" s="5">
        <f>SUMIFS(Data!$L$2:$L$5001,Data!$C$2:$C$5001,A697,Data!$U$2:$U$5001,1)</f>
        <v>6530.7300000000005</v>
      </c>
    </row>
    <row r="698" spans="1:3" x14ac:dyDescent="0.35">
      <c r="A698" s="4">
        <v>1704</v>
      </c>
      <c r="B698" s="4">
        <f>COUNTIFS(Data!$C$2:$C$5001,A698,Data!$U$2:$U$5001,1)</f>
        <v>3</v>
      </c>
      <c r="C698" s="5">
        <f>SUMIFS(Data!$L$2:$L$5001,Data!$C$2:$C$5001,A698,Data!$U$2:$U$5001,1)</f>
        <v>7750.02</v>
      </c>
    </row>
    <row r="699" spans="1:3" x14ac:dyDescent="0.35">
      <c r="A699" s="4">
        <v>1705</v>
      </c>
      <c r="B699" s="4">
        <f>COUNTIFS(Data!$C$2:$C$5001,A699,Data!$U$2:$U$5001,1)</f>
        <v>1</v>
      </c>
      <c r="C699" s="5">
        <f>SUMIFS(Data!$L$2:$L$5001,Data!$C$2:$C$5001,A699,Data!$U$2:$U$5001,1)</f>
        <v>119.06</v>
      </c>
    </row>
    <row r="700" spans="1:3" x14ac:dyDescent="0.35">
      <c r="A700" s="4">
        <v>1706</v>
      </c>
      <c r="B700" s="4">
        <f>COUNTIFS(Data!$C$2:$C$5001,A700,Data!$U$2:$U$5001,1)</f>
        <v>3</v>
      </c>
      <c r="C700" s="5">
        <f>SUMIFS(Data!$L$2:$L$5001,Data!$C$2:$C$5001,A700,Data!$U$2:$U$5001,1)</f>
        <v>3051.3</v>
      </c>
    </row>
    <row r="701" spans="1:3" x14ac:dyDescent="0.35">
      <c r="A701" s="4">
        <v>1707</v>
      </c>
      <c r="B701" s="4">
        <f>COUNTIFS(Data!$C$2:$C$5001,A701,Data!$U$2:$U$5001,1)</f>
        <v>5</v>
      </c>
      <c r="C701" s="5">
        <f>SUMIFS(Data!$L$2:$L$5001,Data!$C$2:$C$5001,A701,Data!$U$2:$U$5001,1)</f>
        <v>6957.38</v>
      </c>
    </row>
    <row r="702" spans="1:3" x14ac:dyDescent="0.35">
      <c r="A702" s="4">
        <v>1708</v>
      </c>
      <c r="B702" s="4">
        <f>COUNTIFS(Data!$C$2:$C$5001,A702,Data!$U$2:$U$5001,1)</f>
        <v>4</v>
      </c>
      <c r="C702" s="5">
        <f>SUMIFS(Data!$L$2:$L$5001,Data!$C$2:$C$5001,A702,Data!$U$2:$U$5001,1)</f>
        <v>3713.0299999999997</v>
      </c>
    </row>
    <row r="703" spans="1:3" x14ac:dyDescent="0.35">
      <c r="A703" s="4">
        <v>1709</v>
      </c>
      <c r="B703" s="4">
        <f>COUNTIFS(Data!$C$2:$C$5001,A703,Data!$U$2:$U$5001,1)</f>
        <v>8</v>
      </c>
      <c r="C703" s="5">
        <f>SUMIFS(Data!$L$2:$L$5001,Data!$C$2:$C$5001,A703,Data!$U$2:$U$5001,1)</f>
        <v>9812.7199999999993</v>
      </c>
    </row>
    <row r="704" spans="1:3" x14ac:dyDescent="0.35">
      <c r="A704" s="4">
        <v>1710</v>
      </c>
      <c r="B704" s="4">
        <f>COUNTIFS(Data!$C$2:$C$5001,A704,Data!$U$2:$U$5001,1)</f>
        <v>4</v>
      </c>
      <c r="C704" s="5">
        <f>SUMIFS(Data!$L$2:$L$5001,Data!$C$2:$C$5001,A704,Data!$U$2:$U$5001,1)</f>
        <v>2863.33</v>
      </c>
    </row>
    <row r="705" spans="1:3" x14ac:dyDescent="0.35">
      <c r="A705" s="4">
        <v>1711</v>
      </c>
      <c r="B705" s="4">
        <f>COUNTIFS(Data!$C$2:$C$5001,A705,Data!$U$2:$U$5001,1)</f>
        <v>2</v>
      </c>
      <c r="C705" s="5">
        <f>SUMIFS(Data!$L$2:$L$5001,Data!$C$2:$C$5001,A705,Data!$U$2:$U$5001,1)</f>
        <v>2411.84</v>
      </c>
    </row>
    <row r="706" spans="1:3" x14ac:dyDescent="0.35">
      <c r="A706" s="4">
        <v>1712</v>
      </c>
      <c r="B706" s="4">
        <f>COUNTIFS(Data!$C$2:$C$5001,A706,Data!$U$2:$U$5001,1)</f>
        <v>3</v>
      </c>
      <c r="C706" s="5">
        <f>SUMIFS(Data!$L$2:$L$5001,Data!$C$2:$C$5001,A706,Data!$U$2:$U$5001,1)</f>
        <v>5012.22</v>
      </c>
    </row>
    <row r="707" spans="1:3" x14ac:dyDescent="0.35">
      <c r="A707" s="4">
        <v>1713</v>
      </c>
      <c r="B707" s="4">
        <f>COUNTIFS(Data!$C$2:$C$5001,A707,Data!$U$2:$U$5001,1)</f>
        <v>6</v>
      </c>
      <c r="C707" s="5">
        <f>SUMIFS(Data!$L$2:$L$5001,Data!$C$2:$C$5001,A707,Data!$U$2:$U$5001,1)</f>
        <v>7910.9</v>
      </c>
    </row>
    <row r="708" spans="1:3" x14ac:dyDescent="0.35">
      <c r="A708" s="4">
        <v>1714</v>
      </c>
      <c r="B708" s="4">
        <f>COUNTIFS(Data!$C$2:$C$5001,A708,Data!$U$2:$U$5001,1)</f>
        <v>4</v>
      </c>
      <c r="C708" s="5">
        <f>SUMIFS(Data!$L$2:$L$5001,Data!$C$2:$C$5001,A708,Data!$U$2:$U$5001,1)</f>
        <v>3697.34</v>
      </c>
    </row>
    <row r="709" spans="1:3" x14ac:dyDescent="0.35">
      <c r="A709" s="4">
        <v>1715</v>
      </c>
      <c r="B709" s="4">
        <f>COUNTIFS(Data!$C$2:$C$5001,A709,Data!$U$2:$U$5001,1)</f>
        <v>2</v>
      </c>
      <c r="C709" s="5">
        <f>SUMIFS(Data!$L$2:$L$5001,Data!$C$2:$C$5001,A709,Data!$U$2:$U$5001,1)</f>
        <v>255.12</v>
      </c>
    </row>
    <row r="710" spans="1:3" x14ac:dyDescent="0.35">
      <c r="A710" s="4">
        <v>1716</v>
      </c>
      <c r="B710" s="4">
        <f>COUNTIFS(Data!$C$2:$C$5001,A710,Data!$U$2:$U$5001,1)</f>
        <v>2</v>
      </c>
      <c r="C710" s="5">
        <f>SUMIFS(Data!$L$2:$L$5001,Data!$C$2:$C$5001,A710,Data!$U$2:$U$5001,1)</f>
        <v>3383.31</v>
      </c>
    </row>
    <row r="711" spans="1:3" x14ac:dyDescent="0.35">
      <c r="A711" s="4">
        <v>1717</v>
      </c>
      <c r="B711" s="4">
        <f>COUNTIFS(Data!$C$2:$C$5001,A711,Data!$U$2:$U$5001,1)</f>
        <v>3</v>
      </c>
      <c r="C711" s="5">
        <f>SUMIFS(Data!$L$2:$L$5001,Data!$C$2:$C$5001,A711,Data!$U$2:$U$5001,1)</f>
        <v>4250.07</v>
      </c>
    </row>
    <row r="712" spans="1:3" x14ac:dyDescent="0.35">
      <c r="A712" s="4">
        <v>1718</v>
      </c>
      <c r="B712" s="4">
        <f>COUNTIFS(Data!$C$2:$C$5001,A712,Data!$U$2:$U$5001,1)</f>
        <v>2</v>
      </c>
      <c r="C712" s="5">
        <f>SUMIFS(Data!$L$2:$L$5001,Data!$C$2:$C$5001,A712,Data!$U$2:$U$5001,1)</f>
        <v>1650.83</v>
      </c>
    </row>
    <row r="713" spans="1:3" x14ac:dyDescent="0.35">
      <c r="A713" s="4">
        <v>1719</v>
      </c>
      <c r="B713" s="4">
        <f>COUNTIFS(Data!$C$2:$C$5001,A713,Data!$U$2:$U$5001,1)</f>
        <v>4</v>
      </c>
      <c r="C713" s="5">
        <f>SUMIFS(Data!$L$2:$L$5001,Data!$C$2:$C$5001,A713,Data!$U$2:$U$5001,1)</f>
        <v>1394.7499999999998</v>
      </c>
    </row>
    <row r="714" spans="1:3" x14ac:dyDescent="0.35">
      <c r="A714" s="4">
        <v>1720</v>
      </c>
      <c r="B714" s="4">
        <f>COUNTIFS(Data!$C$2:$C$5001,A714,Data!$U$2:$U$5001,1)</f>
        <v>2</v>
      </c>
      <c r="C714" s="5">
        <f>SUMIFS(Data!$L$2:$L$5001,Data!$C$2:$C$5001,A714,Data!$U$2:$U$5001,1)</f>
        <v>2356.4</v>
      </c>
    </row>
    <row r="715" spans="1:3" x14ac:dyDescent="0.35">
      <c r="A715" s="4">
        <v>1721</v>
      </c>
      <c r="B715" s="4">
        <f>COUNTIFS(Data!$C$2:$C$5001,A715,Data!$U$2:$U$5001,1)</f>
        <v>2</v>
      </c>
      <c r="C715" s="5">
        <f>SUMIFS(Data!$L$2:$L$5001,Data!$C$2:$C$5001,A715,Data!$U$2:$U$5001,1)</f>
        <v>1617.77</v>
      </c>
    </row>
    <row r="716" spans="1:3" x14ac:dyDescent="0.35">
      <c r="A716" s="4">
        <v>1722</v>
      </c>
      <c r="B716" s="4">
        <f>COUNTIFS(Data!$C$2:$C$5001,A716,Data!$U$2:$U$5001,1)</f>
        <v>2</v>
      </c>
      <c r="C716" s="5">
        <f>SUMIFS(Data!$L$2:$L$5001,Data!$C$2:$C$5001,A716,Data!$U$2:$U$5001,1)</f>
        <v>2113.58</v>
      </c>
    </row>
    <row r="717" spans="1:3" x14ac:dyDescent="0.35">
      <c r="A717" s="4">
        <v>1723</v>
      </c>
      <c r="B717" s="4">
        <f>COUNTIFS(Data!$C$2:$C$5001,A717,Data!$U$2:$U$5001,1)</f>
        <v>3</v>
      </c>
      <c r="C717" s="5">
        <f>SUMIFS(Data!$L$2:$L$5001,Data!$C$2:$C$5001,A717,Data!$U$2:$U$5001,1)</f>
        <v>4769.3100000000004</v>
      </c>
    </row>
    <row r="718" spans="1:3" x14ac:dyDescent="0.35">
      <c r="A718" s="4">
        <v>1724</v>
      </c>
      <c r="B718" s="4">
        <f>COUNTIFS(Data!$C$2:$C$5001,A718,Data!$U$2:$U$5001,1)</f>
        <v>7</v>
      </c>
      <c r="C718" s="5">
        <f>SUMIFS(Data!$L$2:$L$5001,Data!$C$2:$C$5001,A718,Data!$U$2:$U$5001,1)</f>
        <v>7360.9299999999994</v>
      </c>
    </row>
    <row r="719" spans="1:3" x14ac:dyDescent="0.35">
      <c r="A719" s="4">
        <v>1725</v>
      </c>
      <c r="B719" s="4">
        <f>COUNTIFS(Data!$C$2:$C$5001,A719,Data!$U$2:$U$5001,1)</f>
        <v>8</v>
      </c>
      <c r="C719" s="5">
        <f>SUMIFS(Data!$L$2:$L$5001,Data!$C$2:$C$5001,A719,Data!$U$2:$U$5001,1)</f>
        <v>5343.08</v>
      </c>
    </row>
    <row r="720" spans="1:3" x14ac:dyDescent="0.35">
      <c r="A720" s="4">
        <v>1726</v>
      </c>
      <c r="B720" s="4">
        <f>COUNTIFS(Data!$C$2:$C$5001,A720,Data!$U$2:$U$5001,1)</f>
        <v>11</v>
      </c>
      <c r="C720" s="5">
        <f>SUMIFS(Data!$L$2:$L$5001,Data!$C$2:$C$5001,A720,Data!$U$2:$U$5001,1)</f>
        <v>9267.4600000000009</v>
      </c>
    </row>
    <row r="721" spans="1:3" x14ac:dyDescent="0.35">
      <c r="A721" s="4">
        <v>1727</v>
      </c>
      <c r="B721" s="4">
        <f>COUNTIFS(Data!$C$2:$C$5001,A721,Data!$U$2:$U$5001,1)</f>
        <v>4</v>
      </c>
      <c r="C721" s="5">
        <f>SUMIFS(Data!$L$2:$L$5001,Data!$C$2:$C$5001,A721,Data!$U$2:$U$5001,1)</f>
        <v>2394.2000000000003</v>
      </c>
    </row>
    <row r="722" spans="1:3" x14ac:dyDescent="0.35">
      <c r="A722" s="4">
        <v>1728</v>
      </c>
      <c r="B722" s="4">
        <f>COUNTIFS(Data!$C$2:$C$5001,A722,Data!$U$2:$U$5001,1)</f>
        <v>4</v>
      </c>
      <c r="C722" s="5">
        <f>SUMIFS(Data!$L$2:$L$5001,Data!$C$2:$C$5001,A722,Data!$U$2:$U$5001,1)</f>
        <v>3505.62</v>
      </c>
    </row>
    <row r="723" spans="1:3" x14ac:dyDescent="0.35">
      <c r="A723" s="4">
        <v>1729</v>
      </c>
      <c r="B723" s="4">
        <f>COUNTIFS(Data!$C$2:$C$5001,A723,Data!$U$2:$U$5001,1)</f>
        <v>5</v>
      </c>
      <c r="C723" s="5">
        <f>SUMIFS(Data!$L$2:$L$5001,Data!$C$2:$C$5001,A723,Data!$U$2:$U$5001,1)</f>
        <v>8052.81</v>
      </c>
    </row>
    <row r="724" spans="1:3" x14ac:dyDescent="0.35">
      <c r="A724" s="4">
        <v>1730</v>
      </c>
      <c r="B724" s="4">
        <f>COUNTIFS(Data!$C$2:$C$5001,A724,Data!$U$2:$U$5001,1)</f>
        <v>5</v>
      </c>
      <c r="C724" s="5">
        <f>SUMIFS(Data!$L$2:$L$5001,Data!$C$2:$C$5001,A724,Data!$U$2:$U$5001,1)</f>
        <v>4188.1900000000005</v>
      </c>
    </row>
    <row r="725" spans="1:3" x14ac:dyDescent="0.35">
      <c r="A725" s="4">
        <v>1731</v>
      </c>
      <c r="B725" s="4">
        <f>COUNTIFS(Data!$C$2:$C$5001,A725,Data!$U$2:$U$5001,1)</f>
        <v>4</v>
      </c>
      <c r="C725" s="5">
        <f>SUMIFS(Data!$L$2:$L$5001,Data!$C$2:$C$5001,A725,Data!$U$2:$U$5001,1)</f>
        <v>4078.21</v>
      </c>
    </row>
    <row r="726" spans="1:3" x14ac:dyDescent="0.35">
      <c r="A726" s="4">
        <v>1732</v>
      </c>
      <c r="B726" s="4">
        <f>COUNTIFS(Data!$C$2:$C$5001,A726,Data!$U$2:$U$5001,1)</f>
        <v>3</v>
      </c>
      <c r="C726" s="5">
        <f>SUMIFS(Data!$L$2:$L$5001,Data!$C$2:$C$5001,A726,Data!$U$2:$U$5001,1)</f>
        <v>2732.95</v>
      </c>
    </row>
    <row r="727" spans="1:3" x14ac:dyDescent="0.35">
      <c r="A727" s="4">
        <v>1733</v>
      </c>
      <c r="B727" s="4">
        <f>COUNTIFS(Data!$C$2:$C$5001,A727,Data!$U$2:$U$5001,1)</f>
        <v>6</v>
      </c>
      <c r="C727" s="5">
        <f>SUMIFS(Data!$L$2:$L$5001,Data!$C$2:$C$5001,A727,Data!$U$2:$U$5001,1)</f>
        <v>5808.0099999999993</v>
      </c>
    </row>
    <row r="728" spans="1:3" x14ac:dyDescent="0.35">
      <c r="A728" s="4">
        <v>1734</v>
      </c>
      <c r="B728" s="4">
        <f>COUNTIFS(Data!$C$2:$C$5001,A728,Data!$U$2:$U$5001,1)</f>
        <v>5</v>
      </c>
      <c r="C728" s="5">
        <f>SUMIFS(Data!$L$2:$L$5001,Data!$C$2:$C$5001,A728,Data!$U$2:$U$5001,1)</f>
        <v>6433.99</v>
      </c>
    </row>
    <row r="729" spans="1:3" x14ac:dyDescent="0.35">
      <c r="A729" s="4">
        <v>1735</v>
      </c>
      <c r="B729" s="4">
        <f>COUNTIFS(Data!$C$2:$C$5001,A729,Data!$U$2:$U$5001,1)</f>
        <v>8</v>
      </c>
      <c r="C729" s="5">
        <f>SUMIFS(Data!$L$2:$L$5001,Data!$C$2:$C$5001,A729,Data!$U$2:$U$5001,1)</f>
        <v>13146.25</v>
      </c>
    </row>
    <row r="730" spans="1:3" x14ac:dyDescent="0.35">
      <c r="A730" s="4">
        <v>1736</v>
      </c>
      <c r="B730" s="4">
        <f>COUNTIFS(Data!$C$2:$C$5001,A730,Data!$U$2:$U$5001,1)</f>
        <v>4</v>
      </c>
      <c r="C730" s="5">
        <f>SUMIFS(Data!$L$2:$L$5001,Data!$C$2:$C$5001,A730,Data!$U$2:$U$5001,1)</f>
        <v>3754.33</v>
      </c>
    </row>
    <row r="731" spans="1:3" x14ac:dyDescent="0.35">
      <c r="A731" s="4">
        <v>1737</v>
      </c>
      <c r="B731" s="4">
        <f>COUNTIFS(Data!$C$2:$C$5001,A731,Data!$U$2:$U$5001,1)</f>
        <v>5</v>
      </c>
      <c r="C731" s="5">
        <f>SUMIFS(Data!$L$2:$L$5001,Data!$C$2:$C$5001,A731,Data!$U$2:$U$5001,1)</f>
        <v>7692.42</v>
      </c>
    </row>
    <row r="732" spans="1:3" x14ac:dyDescent="0.35">
      <c r="A732" s="4">
        <v>1738</v>
      </c>
      <c r="B732" s="4">
        <f>COUNTIFS(Data!$C$2:$C$5001,A732,Data!$U$2:$U$5001,1)</f>
        <v>8</v>
      </c>
      <c r="C732" s="5">
        <f>SUMIFS(Data!$L$2:$L$5001,Data!$C$2:$C$5001,A732,Data!$U$2:$U$5001,1)</f>
        <v>8280.44</v>
      </c>
    </row>
    <row r="733" spans="1:3" x14ac:dyDescent="0.35">
      <c r="A733" s="4">
        <v>1739</v>
      </c>
      <c r="B733" s="4">
        <f>COUNTIFS(Data!$C$2:$C$5001,A733,Data!$U$2:$U$5001,1)</f>
        <v>5</v>
      </c>
      <c r="C733" s="5">
        <f>SUMIFS(Data!$L$2:$L$5001,Data!$C$2:$C$5001,A733,Data!$U$2:$U$5001,1)</f>
        <v>3170.02</v>
      </c>
    </row>
    <row r="734" spans="1:3" x14ac:dyDescent="0.35">
      <c r="A734" s="4">
        <v>1740</v>
      </c>
      <c r="B734" s="4">
        <f>COUNTIFS(Data!$C$2:$C$5001,A734,Data!$U$2:$U$5001,1)</f>
        <v>5</v>
      </c>
      <c r="C734" s="5">
        <f>SUMIFS(Data!$L$2:$L$5001,Data!$C$2:$C$5001,A734,Data!$U$2:$U$5001,1)</f>
        <v>3407.9399999999996</v>
      </c>
    </row>
    <row r="735" spans="1:3" x14ac:dyDescent="0.35">
      <c r="A735" s="4">
        <v>1741</v>
      </c>
      <c r="B735" s="4">
        <f>COUNTIFS(Data!$C$2:$C$5001,A735,Data!$U$2:$U$5001,1)</f>
        <v>2</v>
      </c>
      <c r="C735" s="5">
        <f>SUMIFS(Data!$L$2:$L$5001,Data!$C$2:$C$5001,A735,Data!$U$2:$U$5001,1)</f>
        <v>2220.2399999999998</v>
      </c>
    </row>
    <row r="736" spans="1:3" x14ac:dyDescent="0.35">
      <c r="A736" s="4">
        <v>1742</v>
      </c>
      <c r="B736" s="4">
        <f>COUNTIFS(Data!$C$2:$C$5001,A736,Data!$U$2:$U$5001,1)</f>
        <v>4</v>
      </c>
      <c r="C736" s="5">
        <f>SUMIFS(Data!$L$2:$L$5001,Data!$C$2:$C$5001,A736,Data!$U$2:$U$5001,1)</f>
        <v>3150.2</v>
      </c>
    </row>
    <row r="737" spans="1:3" x14ac:dyDescent="0.35">
      <c r="A737" s="4">
        <v>1743</v>
      </c>
      <c r="B737" s="4">
        <f>COUNTIFS(Data!$C$2:$C$5001,A737,Data!$U$2:$U$5001,1)</f>
        <v>6</v>
      </c>
      <c r="C737" s="5">
        <f>SUMIFS(Data!$L$2:$L$5001,Data!$C$2:$C$5001,A737,Data!$U$2:$U$5001,1)</f>
        <v>6271.55</v>
      </c>
    </row>
    <row r="738" spans="1:3" x14ac:dyDescent="0.35">
      <c r="A738" s="4">
        <v>1744</v>
      </c>
      <c r="B738" s="4">
        <f>COUNTIFS(Data!$C$2:$C$5001,A738,Data!$U$2:$U$5001,1)</f>
        <v>4</v>
      </c>
      <c r="C738" s="5">
        <f>SUMIFS(Data!$L$2:$L$5001,Data!$C$2:$C$5001,A738,Data!$U$2:$U$5001,1)</f>
        <v>4205.8</v>
      </c>
    </row>
    <row r="739" spans="1:3" x14ac:dyDescent="0.35">
      <c r="A739" s="4">
        <v>1745</v>
      </c>
      <c r="B739" s="4">
        <f>COUNTIFS(Data!$C$2:$C$5001,A739,Data!$U$2:$U$5001,1)</f>
        <v>3</v>
      </c>
      <c r="C739" s="5">
        <f>SUMIFS(Data!$L$2:$L$5001,Data!$C$2:$C$5001,A739,Data!$U$2:$U$5001,1)</f>
        <v>4023.18</v>
      </c>
    </row>
    <row r="740" spans="1:3" x14ac:dyDescent="0.35">
      <c r="A740" s="4">
        <v>1746</v>
      </c>
      <c r="B740" s="4">
        <f>COUNTIFS(Data!$C$2:$C$5001,A740,Data!$U$2:$U$5001,1)</f>
        <v>2</v>
      </c>
      <c r="C740" s="5">
        <f>SUMIFS(Data!$L$2:$L$5001,Data!$C$2:$C$5001,A740,Data!$U$2:$U$5001,1)</f>
        <v>2018.99</v>
      </c>
    </row>
    <row r="741" spans="1:3" x14ac:dyDescent="0.35">
      <c r="A741" s="4">
        <v>1747</v>
      </c>
      <c r="B741" s="4">
        <f>COUNTIFS(Data!$C$2:$C$5001,A741,Data!$U$2:$U$5001,1)</f>
        <v>6</v>
      </c>
      <c r="C741" s="5">
        <f>SUMIFS(Data!$L$2:$L$5001,Data!$C$2:$C$5001,A741,Data!$U$2:$U$5001,1)</f>
        <v>3641.05</v>
      </c>
    </row>
    <row r="742" spans="1:3" x14ac:dyDescent="0.35">
      <c r="A742" s="4">
        <v>1748</v>
      </c>
      <c r="B742" s="4">
        <f>COUNTIFS(Data!$C$2:$C$5001,A742,Data!$U$2:$U$5001,1)</f>
        <v>7</v>
      </c>
      <c r="C742" s="5">
        <f>SUMIFS(Data!$L$2:$L$5001,Data!$C$2:$C$5001,A742,Data!$U$2:$U$5001,1)</f>
        <v>5952.12</v>
      </c>
    </row>
    <row r="743" spans="1:3" x14ac:dyDescent="0.35">
      <c r="A743" s="4">
        <v>1749</v>
      </c>
      <c r="B743" s="4">
        <f>COUNTIFS(Data!$C$2:$C$5001,A743,Data!$U$2:$U$5001,1)</f>
        <v>4</v>
      </c>
      <c r="C743" s="5">
        <f>SUMIFS(Data!$L$2:$L$5001,Data!$C$2:$C$5001,A743,Data!$U$2:$U$5001,1)</f>
        <v>4418.0600000000004</v>
      </c>
    </row>
    <row r="744" spans="1:3" x14ac:dyDescent="0.35">
      <c r="A744" s="4">
        <v>1750</v>
      </c>
      <c r="B744" s="4">
        <f>COUNTIFS(Data!$C$2:$C$5001,A744,Data!$U$2:$U$5001,1)</f>
        <v>7</v>
      </c>
      <c r="C744" s="5">
        <f>SUMIFS(Data!$L$2:$L$5001,Data!$C$2:$C$5001,A744,Data!$U$2:$U$5001,1)</f>
        <v>3883.08</v>
      </c>
    </row>
    <row r="745" spans="1:3" x14ac:dyDescent="0.35">
      <c r="A745" s="4">
        <v>1751</v>
      </c>
      <c r="B745" s="4">
        <f>COUNTIFS(Data!$C$2:$C$5001,A745,Data!$U$2:$U$5001,1)</f>
        <v>5</v>
      </c>
      <c r="C745" s="5">
        <f>SUMIFS(Data!$L$2:$L$5001,Data!$C$2:$C$5001,A745,Data!$U$2:$U$5001,1)</f>
        <v>3084.83</v>
      </c>
    </row>
    <row r="746" spans="1:3" x14ac:dyDescent="0.35">
      <c r="A746" s="4">
        <v>1752</v>
      </c>
      <c r="B746" s="4">
        <f>COUNTIFS(Data!$C$2:$C$5001,A746,Data!$U$2:$U$5001,1)</f>
        <v>4</v>
      </c>
      <c r="C746" s="5">
        <f>SUMIFS(Data!$L$2:$L$5001,Data!$C$2:$C$5001,A746,Data!$U$2:$U$5001,1)</f>
        <v>1894.51</v>
      </c>
    </row>
    <row r="747" spans="1:3" x14ac:dyDescent="0.35">
      <c r="A747" s="4">
        <v>1753</v>
      </c>
      <c r="B747" s="4">
        <f>COUNTIFS(Data!$C$2:$C$5001,A747,Data!$U$2:$U$5001,1)</f>
        <v>3</v>
      </c>
      <c r="C747" s="5">
        <f>SUMIFS(Data!$L$2:$L$5001,Data!$C$2:$C$5001,A747,Data!$U$2:$U$5001,1)</f>
        <v>4208.5899999999992</v>
      </c>
    </row>
    <row r="748" spans="1:3" x14ac:dyDescent="0.35">
      <c r="A748" s="4">
        <v>1754</v>
      </c>
      <c r="B748" s="4">
        <f>COUNTIFS(Data!$C$2:$C$5001,A748,Data!$U$2:$U$5001,1)</f>
        <v>5</v>
      </c>
      <c r="C748" s="5">
        <f>SUMIFS(Data!$L$2:$L$5001,Data!$C$2:$C$5001,A748,Data!$U$2:$U$5001,1)</f>
        <v>3464.92</v>
      </c>
    </row>
    <row r="749" spans="1:3" x14ac:dyDescent="0.35">
      <c r="A749" s="4">
        <v>1756</v>
      </c>
      <c r="B749" s="4">
        <f>COUNTIFS(Data!$C$2:$C$5001,A749,Data!$U$2:$U$5001,1)</f>
        <v>4</v>
      </c>
      <c r="C749" s="5">
        <f>SUMIFS(Data!$L$2:$L$5001,Data!$C$2:$C$5001,A749,Data!$U$2:$U$5001,1)</f>
        <v>6540.49</v>
      </c>
    </row>
    <row r="750" spans="1:3" x14ac:dyDescent="0.35">
      <c r="A750" s="4">
        <v>1757</v>
      </c>
      <c r="B750" s="4">
        <f>COUNTIFS(Data!$C$2:$C$5001,A750,Data!$U$2:$U$5001,1)</f>
        <v>5</v>
      </c>
      <c r="C750" s="5">
        <f>SUMIFS(Data!$L$2:$L$5001,Data!$C$2:$C$5001,A750,Data!$U$2:$U$5001,1)</f>
        <v>6574.6</v>
      </c>
    </row>
    <row r="751" spans="1:3" x14ac:dyDescent="0.35">
      <c r="A751" s="4">
        <v>1758</v>
      </c>
      <c r="B751" s="4">
        <f>COUNTIFS(Data!$C$2:$C$5001,A751,Data!$U$2:$U$5001,1)</f>
        <v>8</v>
      </c>
      <c r="C751" s="5">
        <f>SUMIFS(Data!$L$2:$L$5001,Data!$C$2:$C$5001,A751,Data!$U$2:$U$5001,1)</f>
        <v>7803.96</v>
      </c>
    </row>
    <row r="752" spans="1:3" x14ac:dyDescent="0.35">
      <c r="A752" s="4">
        <v>1759</v>
      </c>
      <c r="B752" s="4">
        <f>COUNTIFS(Data!$C$2:$C$5001,A752,Data!$U$2:$U$5001,1)</f>
        <v>3</v>
      </c>
      <c r="C752" s="5">
        <f>SUMIFS(Data!$L$2:$L$5001,Data!$C$2:$C$5001,A752,Data!$U$2:$U$5001,1)</f>
        <v>4146.53</v>
      </c>
    </row>
    <row r="753" spans="1:3" x14ac:dyDescent="0.35">
      <c r="A753" s="4">
        <v>1760</v>
      </c>
      <c r="B753" s="4">
        <f>COUNTIFS(Data!$C$2:$C$5001,A753,Data!$U$2:$U$5001,1)</f>
        <v>7</v>
      </c>
      <c r="C753" s="5">
        <f>SUMIFS(Data!$L$2:$L$5001,Data!$C$2:$C$5001,A753,Data!$U$2:$U$5001,1)</f>
        <v>8213.2599999999984</v>
      </c>
    </row>
    <row r="754" spans="1:3" x14ac:dyDescent="0.35">
      <c r="A754" s="4">
        <v>1761</v>
      </c>
      <c r="B754" s="4">
        <f>COUNTIFS(Data!$C$2:$C$5001,A754,Data!$U$2:$U$5001,1)</f>
        <v>6</v>
      </c>
      <c r="C754" s="5">
        <f>SUMIFS(Data!$L$2:$L$5001,Data!$C$2:$C$5001,A754,Data!$U$2:$U$5001,1)</f>
        <v>6136.54</v>
      </c>
    </row>
    <row r="755" spans="1:3" x14ac:dyDescent="0.35">
      <c r="A755" s="4">
        <v>1762</v>
      </c>
      <c r="B755" s="4">
        <f>COUNTIFS(Data!$C$2:$C$5001,A755,Data!$U$2:$U$5001,1)</f>
        <v>6</v>
      </c>
      <c r="C755" s="5">
        <f>SUMIFS(Data!$L$2:$L$5001,Data!$C$2:$C$5001,A755,Data!$U$2:$U$5001,1)</f>
        <v>7126.94</v>
      </c>
    </row>
    <row r="756" spans="1:3" x14ac:dyDescent="0.35">
      <c r="A756" s="4">
        <v>1763</v>
      </c>
      <c r="B756" s="4">
        <f>COUNTIFS(Data!$C$2:$C$5001,A756,Data!$U$2:$U$5001,1)</f>
        <v>9</v>
      </c>
      <c r="C756" s="5">
        <f>SUMIFS(Data!$L$2:$L$5001,Data!$C$2:$C$5001,A756,Data!$U$2:$U$5001,1)</f>
        <v>9589.119999999999</v>
      </c>
    </row>
    <row r="757" spans="1:3" x14ac:dyDescent="0.35">
      <c r="A757" s="4">
        <v>1765</v>
      </c>
      <c r="B757" s="4">
        <f>COUNTIFS(Data!$C$2:$C$5001,A757,Data!$U$2:$U$5001,1)</f>
        <v>1</v>
      </c>
      <c r="C757" s="5">
        <f>SUMIFS(Data!$L$2:$L$5001,Data!$C$2:$C$5001,A757,Data!$U$2:$U$5001,1)</f>
        <v>1133.67</v>
      </c>
    </row>
    <row r="758" spans="1:3" x14ac:dyDescent="0.35">
      <c r="A758" s="4">
        <v>1766</v>
      </c>
      <c r="B758" s="4">
        <f>COUNTIFS(Data!$C$2:$C$5001,A758,Data!$U$2:$U$5001,1)</f>
        <v>6</v>
      </c>
      <c r="C758" s="5">
        <f>SUMIFS(Data!$L$2:$L$5001,Data!$C$2:$C$5001,A758,Data!$U$2:$U$5001,1)</f>
        <v>3517.26</v>
      </c>
    </row>
    <row r="759" spans="1:3" x14ac:dyDescent="0.35">
      <c r="A759" s="4">
        <v>1767</v>
      </c>
      <c r="B759" s="4">
        <f>COUNTIFS(Data!$C$2:$C$5001,A759,Data!$U$2:$U$5001,1)</f>
        <v>4</v>
      </c>
      <c r="C759" s="5">
        <f>SUMIFS(Data!$L$2:$L$5001,Data!$C$2:$C$5001,A759,Data!$U$2:$U$5001,1)</f>
        <v>2307.48</v>
      </c>
    </row>
    <row r="760" spans="1:3" x14ac:dyDescent="0.35">
      <c r="A760" s="4">
        <v>1768</v>
      </c>
      <c r="B760" s="4">
        <f>COUNTIFS(Data!$C$2:$C$5001,A760,Data!$U$2:$U$5001,1)</f>
        <v>6</v>
      </c>
      <c r="C760" s="5">
        <f>SUMIFS(Data!$L$2:$L$5001,Data!$C$2:$C$5001,A760,Data!$U$2:$U$5001,1)</f>
        <v>9445.3399999999983</v>
      </c>
    </row>
    <row r="761" spans="1:3" x14ac:dyDescent="0.35">
      <c r="A761" s="4">
        <v>1769</v>
      </c>
      <c r="B761" s="4">
        <f>COUNTIFS(Data!$C$2:$C$5001,A761,Data!$U$2:$U$5001,1)</f>
        <v>7</v>
      </c>
      <c r="C761" s="5">
        <f>SUMIFS(Data!$L$2:$L$5001,Data!$C$2:$C$5001,A761,Data!$U$2:$U$5001,1)</f>
        <v>7260.72</v>
      </c>
    </row>
    <row r="762" spans="1:3" x14ac:dyDescent="0.35">
      <c r="A762" s="4">
        <v>1770</v>
      </c>
      <c r="B762" s="4">
        <f>COUNTIFS(Data!$C$2:$C$5001,A762,Data!$U$2:$U$5001,1)</f>
        <v>6</v>
      </c>
      <c r="C762" s="5">
        <f>SUMIFS(Data!$L$2:$L$5001,Data!$C$2:$C$5001,A762,Data!$U$2:$U$5001,1)</f>
        <v>6423.68</v>
      </c>
    </row>
    <row r="763" spans="1:3" x14ac:dyDescent="0.35">
      <c r="A763" s="4">
        <v>1771</v>
      </c>
      <c r="B763" s="4">
        <f>COUNTIFS(Data!$C$2:$C$5001,A763,Data!$U$2:$U$5001,1)</f>
        <v>8</v>
      </c>
      <c r="C763" s="5">
        <f>SUMIFS(Data!$L$2:$L$5001,Data!$C$2:$C$5001,A763,Data!$U$2:$U$5001,1)</f>
        <v>7283.329999999999</v>
      </c>
    </row>
    <row r="764" spans="1:3" x14ac:dyDescent="0.35">
      <c r="A764" s="4">
        <v>1772</v>
      </c>
      <c r="B764" s="4">
        <f>COUNTIFS(Data!$C$2:$C$5001,A764,Data!$U$2:$U$5001,1)</f>
        <v>3</v>
      </c>
      <c r="C764" s="5">
        <f>SUMIFS(Data!$L$2:$L$5001,Data!$C$2:$C$5001,A764,Data!$U$2:$U$5001,1)</f>
        <v>3884.2</v>
      </c>
    </row>
    <row r="765" spans="1:3" x14ac:dyDescent="0.35">
      <c r="A765" s="4">
        <v>1773</v>
      </c>
      <c r="B765" s="4">
        <f>COUNTIFS(Data!$C$2:$C$5001,A765,Data!$U$2:$U$5001,1)</f>
        <v>7</v>
      </c>
      <c r="C765" s="5">
        <f>SUMIFS(Data!$L$2:$L$5001,Data!$C$2:$C$5001,A765,Data!$U$2:$U$5001,1)</f>
        <v>7069.68</v>
      </c>
    </row>
    <row r="766" spans="1:3" x14ac:dyDescent="0.35">
      <c r="A766" s="4">
        <v>1774</v>
      </c>
      <c r="B766" s="4">
        <f>COUNTIFS(Data!$C$2:$C$5001,A766,Data!$U$2:$U$5001,1)</f>
        <v>3</v>
      </c>
      <c r="C766" s="5">
        <f>SUMIFS(Data!$L$2:$L$5001,Data!$C$2:$C$5001,A766,Data!$U$2:$U$5001,1)</f>
        <v>1280.24</v>
      </c>
    </row>
    <row r="767" spans="1:3" x14ac:dyDescent="0.35">
      <c r="A767" s="4">
        <v>1775</v>
      </c>
      <c r="B767" s="4">
        <f>COUNTIFS(Data!$C$2:$C$5001,A767,Data!$U$2:$U$5001,1)</f>
        <v>11</v>
      </c>
      <c r="C767" s="5">
        <f>SUMIFS(Data!$L$2:$L$5001,Data!$C$2:$C$5001,A767,Data!$U$2:$U$5001,1)</f>
        <v>10441.59</v>
      </c>
    </row>
    <row r="768" spans="1:3" x14ac:dyDescent="0.35">
      <c r="A768" s="4">
        <v>1776</v>
      </c>
      <c r="B768" s="4">
        <f>COUNTIFS(Data!$C$2:$C$5001,A768,Data!$U$2:$U$5001,1)</f>
        <v>4</v>
      </c>
      <c r="C768" s="5">
        <f>SUMIFS(Data!$L$2:$L$5001,Data!$C$2:$C$5001,A768,Data!$U$2:$U$5001,1)</f>
        <v>3004.9399999999996</v>
      </c>
    </row>
    <row r="769" spans="1:3" x14ac:dyDescent="0.35">
      <c r="A769" s="4">
        <v>1777</v>
      </c>
      <c r="B769" s="4">
        <f>COUNTIFS(Data!$C$2:$C$5001,A769,Data!$U$2:$U$5001,1)</f>
        <v>5</v>
      </c>
      <c r="C769" s="5">
        <f>SUMIFS(Data!$L$2:$L$5001,Data!$C$2:$C$5001,A769,Data!$U$2:$U$5001,1)</f>
        <v>7282.85</v>
      </c>
    </row>
    <row r="770" spans="1:3" x14ac:dyDescent="0.35">
      <c r="A770" s="4">
        <v>1778</v>
      </c>
      <c r="B770" s="4">
        <f>COUNTIFS(Data!$C$2:$C$5001,A770,Data!$U$2:$U$5001,1)</f>
        <v>10</v>
      </c>
      <c r="C770" s="5">
        <f>SUMIFS(Data!$L$2:$L$5001,Data!$C$2:$C$5001,A770,Data!$U$2:$U$5001,1)</f>
        <v>6898.1500000000005</v>
      </c>
    </row>
    <row r="771" spans="1:3" x14ac:dyDescent="0.35">
      <c r="A771" s="4">
        <v>1779</v>
      </c>
      <c r="B771" s="4">
        <f>COUNTIFS(Data!$C$2:$C$5001,A771,Data!$U$2:$U$5001,1)</f>
        <v>4</v>
      </c>
      <c r="C771" s="5">
        <f>SUMIFS(Data!$L$2:$L$5001,Data!$C$2:$C$5001,A771,Data!$U$2:$U$5001,1)</f>
        <v>9201.880000000001</v>
      </c>
    </row>
    <row r="772" spans="1:3" x14ac:dyDescent="0.35">
      <c r="A772" s="4">
        <v>1780</v>
      </c>
      <c r="B772" s="4">
        <f>COUNTIFS(Data!$C$2:$C$5001,A772,Data!$U$2:$U$5001,1)</f>
        <v>7</v>
      </c>
      <c r="C772" s="5">
        <f>SUMIFS(Data!$L$2:$L$5001,Data!$C$2:$C$5001,A772,Data!$U$2:$U$5001,1)</f>
        <v>5173.01</v>
      </c>
    </row>
    <row r="773" spans="1:3" x14ac:dyDescent="0.35">
      <c r="A773" s="4">
        <v>1781</v>
      </c>
      <c r="B773" s="4">
        <f>COUNTIFS(Data!$C$2:$C$5001,A773,Data!$U$2:$U$5001,1)</f>
        <v>3</v>
      </c>
      <c r="C773" s="5">
        <f>SUMIFS(Data!$L$2:$L$5001,Data!$C$2:$C$5001,A773,Data!$U$2:$U$5001,1)</f>
        <v>4754.74</v>
      </c>
    </row>
    <row r="774" spans="1:3" x14ac:dyDescent="0.35">
      <c r="A774" s="4">
        <v>1782</v>
      </c>
      <c r="B774" s="4">
        <f>COUNTIFS(Data!$C$2:$C$5001,A774,Data!$U$2:$U$5001,1)</f>
        <v>7</v>
      </c>
      <c r="C774" s="5">
        <f>SUMIFS(Data!$L$2:$L$5001,Data!$C$2:$C$5001,A774,Data!$U$2:$U$5001,1)</f>
        <v>5176.1899999999996</v>
      </c>
    </row>
    <row r="775" spans="1:3" x14ac:dyDescent="0.35">
      <c r="A775" s="4">
        <v>1783</v>
      </c>
      <c r="B775" s="4">
        <f>COUNTIFS(Data!$C$2:$C$5001,A775,Data!$U$2:$U$5001,1)</f>
        <v>2</v>
      </c>
      <c r="C775" s="5">
        <f>SUMIFS(Data!$L$2:$L$5001,Data!$C$2:$C$5001,A775,Data!$U$2:$U$5001,1)</f>
        <v>1258.83</v>
      </c>
    </row>
    <row r="776" spans="1:3" x14ac:dyDescent="0.35">
      <c r="A776" s="4">
        <v>1784</v>
      </c>
      <c r="B776" s="4">
        <f>COUNTIFS(Data!$C$2:$C$5001,A776,Data!$U$2:$U$5001,1)</f>
        <v>4</v>
      </c>
      <c r="C776" s="5">
        <f>SUMIFS(Data!$L$2:$L$5001,Data!$C$2:$C$5001,A776,Data!$U$2:$U$5001,1)</f>
        <v>1044.3000000000002</v>
      </c>
    </row>
    <row r="777" spans="1:3" x14ac:dyDescent="0.35">
      <c r="A777" s="4">
        <v>1785</v>
      </c>
      <c r="B777" s="4">
        <f>COUNTIFS(Data!$C$2:$C$5001,A777,Data!$U$2:$U$5001,1)</f>
        <v>2</v>
      </c>
      <c r="C777" s="5">
        <f>SUMIFS(Data!$L$2:$L$5001,Data!$C$2:$C$5001,A777,Data!$U$2:$U$5001,1)</f>
        <v>2091.37</v>
      </c>
    </row>
    <row r="778" spans="1:3" x14ac:dyDescent="0.35">
      <c r="A778" s="4">
        <v>1786</v>
      </c>
      <c r="B778" s="4">
        <f>COUNTIFS(Data!$C$2:$C$5001,A778,Data!$U$2:$U$5001,1)</f>
        <v>8</v>
      </c>
      <c r="C778" s="5">
        <f>SUMIFS(Data!$L$2:$L$5001,Data!$C$2:$C$5001,A778,Data!$U$2:$U$5001,1)</f>
        <v>5008.8700000000008</v>
      </c>
    </row>
    <row r="779" spans="1:3" x14ac:dyDescent="0.35">
      <c r="A779" s="4">
        <v>1787</v>
      </c>
      <c r="B779" s="4">
        <f>COUNTIFS(Data!$C$2:$C$5001,A779,Data!$U$2:$U$5001,1)</f>
        <v>2</v>
      </c>
      <c r="C779" s="5">
        <f>SUMIFS(Data!$L$2:$L$5001,Data!$C$2:$C$5001,A779,Data!$U$2:$U$5001,1)</f>
        <v>1911.0800000000002</v>
      </c>
    </row>
    <row r="780" spans="1:3" x14ac:dyDescent="0.35">
      <c r="A780" s="4">
        <v>1788</v>
      </c>
      <c r="B780" s="4">
        <f>COUNTIFS(Data!$C$2:$C$5001,A780,Data!$U$2:$U$5001,1)</f>
        <v>5</v>
      </c>
      <c r="C780" s="5">
        <f>SUMIFS(Data!$L$2:$L$5001,Data!$C$2:$C$5001,A780,Data!$U$2:$U$5001,1)</f>
        <v>2957.0400000000004</v>
      </c>
    </row>
    <row r="781" spans="1:3" x14ac:dyDescent="0.35">
      <c r="A781" s="4">
        <v>1789</v>
      </c>
      <c r="B781" s="4">
        <f>COUNTIFS(Data!$C$2:$C$5001,A781,Data!$U$2:$U$5001,1)</f>
        <v>2</v>
      </c>
      <c r="C781" s="5">
        <f>SUMIFS(Data!$L$2:$L$5001,Data!$C$2:$C$5001,A781,Data!$U$2:$U$5001,1)</f>
        <v>982.07</v>
      </c>
    </row>
    <row r="782" spans="1:3" x14ac:dyDescent="0.35">
      <c r="A782" s="4">
        <v>1790</v>
      </c>
      <c r="B782" s="4">
        <f>COUNTIFS(Data!$C$2:$C$5001,A782,Data!$U$2:$U$5001,1)</f>
        <v>2</v>
      </c>
      <c r="C782" s="5">
        <f>SUMIFS(Data!$L$2:$L$5001,Data!$C$2:$C$5001,A782,Data!$U$2:$U$5001,1)</f>
        <v>1860.5800000000002</v>
      </c>
    </row>
    <row r="783" spans="1:3" x14ac:dyDescent="0.35">
      <c r="A783" s="4">
        <v>1791</v>
      </c>
      <c r="B783" s="4">
        <f>COUNTIFS(Data!$C$2:$C$5001,A783,Data!$U$2:$U$5001,1)</f>
        <v>5</v>
      </c>
      <c r="C783" s="5">
        <f>SUMIFS(Data!$L$2:$L$5001,Data!$C$2:$C$5001,A783,Data!$U$2:$U$5001,1)</f>
        <v>8383.7699999999986</v>
      </c>
    </row>
    <row r="784" spans="1:3" x14ac:dyDescent="0.35">
      <c r="A784" s="4">
        <v>1792</v>
      </c>
      <c r="B784" s="4">
        <f>COUNTIFS(Data!$C$2:$C$5001,A784,Data!$U$2:$U$5001,1)</f>
        <v>5</v>
      </c>
      <c r="C784" s="5">
        <f>SUMIFS(Data!$L$2:$L$5001,Data!$C$2:$C$5001,A784,Data!$U$2:$U$5001,1)</f>
        <v>2045.69</v>
      </c>
    </row>
    <row r="785" spans="1:3" x14ac:dyDescent="0.35">
      <c r="A785" s="4">
        <v>1793</v>
      </c>
      <c r="B785" s="4">
        <f>COUNTIFS(Data!$C$2:$C$5001,A785,Data!$U$2:$U$5001,1)</f>
        <v>8</v>
      </c>
      <c r="C785" s="5">
        <f>SUMIFS(Data!$L$2:$L$5001,Data!$C$2:$C$5001,A785,Data!$U$2:$U$5001,1)</f>
        <v>8079.32</v>
      </c>
    </row>
    <row r="786" spans="1:3" x14ac:dyDescent="0.35">
      <c r="A786" s="4">
        <v>1794</v>
      </c>
      <c r="B786" s="4">
        <f>COUNTIFS(Data!$C$2:$C$5001,A786,Data!$U$2:$U$5001,1)</f>
        <v>4</v>
      </c>
      <c r="C786" s="5">
        <f>SUMIFS(Data!$L$2:$L$5001,Data!$C$2:$C$5001,A786,Data!$U$2:$U$5001,1)</f>
        <v>4034.17</v>
      </c>
    </row>
    <row r="787" spans="1:3" x14ac:dyDescent="0.35">
      <c r="A787" s="4">
        <v>1795</v>
      </c>
      <c r="B787" s="4">
        <f>COUNTIFS(Data!$C$2:$C$5001,A787,Data!$U$2:$U$5001,1)</f>
        <v>6</v>
      </c>
      <c r="C787" s="5">
        <f>SUMIFS(Data!$L$2:$L$5001,Data!$C$2:$C$5001,A787,Data!$U$2:$U$5001,1)</f>
        <v>8026.7000000000007</v>
      </c>
    </row>
    <row r="788" spans="1:3" x14ac:dyDescent="0.35">
      <c r="A788" s="4">
        <v>1796</v>
      </c>
      <c r="B788" s="4">
        <f>COUNTIFS(Data!$C$2:$C$5001,A788,Data!$U$2:$U$5001,1)</f>
        <v>7</v>
      </c>
      <c r="C788" s="5">
        <f>SUMIFS(Data!$L$2:$L$5001,Data!$C$2:$C$5001,A788,Data!$U$2:$U$5001,1)</f>
        <v>4209.71</v>
      </c>
    </row>
    <row r="789" spans="1:3" x14ac:dyDescent="0.35">
      <c r="A789" s="4">
        <v>1797</v>
      </c>
      <c r="B789" s="4">
        <f>COUNTIFS(Data!$C$2:$C$5001,A789,Data!$U$2:$U$5001,1)</f>
        <v>8</v>
      </c>
      <c r="C789" s="5">
        <f>SUMIFS(Data!$L$2:$L$5001,Data!$C$2:$C$5001,A789,Data!$U$2:$U$5001,1)</f>
        <v>5044.8899999999994</v>
      </c>
    </row>
    <row r="790" spans="1:3" x14ac:dyDescent="0.35">
      <c r="A790" s="4">
        <v>1798</v>
      </c>
      <c r="B790" s="4">
        <f>COUNTIFS(Data!$C$2:$C$5001,A790,Data!$U$2:$U$5001,1)</f>
        <v>1</v>
      </c>
      <c r="C790" s="5">
        <f>SUMIFS(Data!$L$2:$L$5001,Data!$C$2:$C$5001,A790,Data!$U$2:$U$5001,1)</f>
        <v>659.81</v>
      </c>
    </row>
    <row r="791" spans="1:3" x14ac:dyDescent="0.35">
      <c r="A791" s="4">
        <v>1799</v>
      </c>
      <c r="B791" s="4">
        <f>COUNTIFS(Data!$C$2:$C$5001,A791,Data!$U$2:$U$5001,1)</f>
        <v>9</v>
      </c>
      <c r="C791" s="5">
        <f>SUMIFS(Data!$L$2:$L$5001,Data!$C$2:$C$5001,A791,Data!$U$2:$U$5001,1)</f>
        <v>9069.39</v>
      </c>
    </row>
    <row r="792" spans="1:3" x14ac:dyDescent="0.35">
      <c r="A792" s="4">
        <v>1800</v>
      </c>
      <c r="B792" s="4">
        <f>COUNTIFS(Data!$C$2:$C$5001,A792,Data!$U$2:$U$5001,1)</f>
        <v>5</v>
      </c>
      <c r="C792" s="5">
        <f>SUMIFS(Data!$L$2:$L$5001,Data!$C$2:$C$5001,A792,Data!$U$2:$U$5001,1)</f>
        <v>6477.23</v>
      </c>
    </row>
    <row r="793" spans="1:3" x14ac:dyDescent="0.35">
      <c r="A793" s="4">
        <v>1801</v>
      </c>
      <c r="B793" s="4">
        <f>COUNTIFS(Data!$C$2:$C$5001,A793,Data!$U$2:$U$5001,1)</f>
        <v>6</v>
      </c>
      <c r="C793" s="5">
        <f>SUMIFS(Data!$L$2:$L$5001,Data!$C$2:$C$5001,A793,Data!$U$2:$U$5001,1)</f>
        <v>3713.59</v>
      </c>
    </row>
    <row r="794" spans="1:3" x14ac:dyDescent="0.35">
      <c r="A794" s="4">
        <v>1802</v>
      </c>
      <c r="B794" s="4">
        <f>COUNTIFS(Data!$C$2:$C$5001,A794,Data!$U$2:$U$5001,1)</f>
        <v>6</v>
      </c>
      <c r="C794" s="5">
        <f>SUMIFS(Data!$L$2:$L$5001,Data!$C$2:$C$5001,A794,Data!$U$2:$U$5001,1)</f>
        <v>9645.630000000001</v>
      </c>
    </row>
    <row r="795" spans="1:3" x14ac:dyDescent="0.35">
      <c r="A795" s="4">
        <v>1803</v>
      </c>
      <c r="B795" s="4">
        <f>COUNTIFS(Data!$C$2:$C$5001,A795,Data!$U$2:$U$5001,1)</f>
        <v>5</v>
      </c>
      <c r="C795" s="5">
        <f>SUMIFS(Data!$L$2:$L$5001,Data!$C$2:$C$5001,A795,Data!$U$2:$U$5001,1)</f>
        <v>5375.14</v>
      </c>
    </row>
    <row r="796" spans="1:3" x14ac:dyDescent="0.35">
      <c r="A796" s="4">
        <v>1804</v>
      </c>
      <c r="B796" s="4">
        <f>COUNTIFS(Data!$C$2:$C$5001,A796,Data!$U$2:$U$5001,1)</f>
        <v>10</v>
      </c>
      <c r="C796" s="5">
        <f>SUMIFS(Data!$L$2:$L$5001,Data!$C$2:$C$5001,A796,Data!$U$2:$U$5001,1)</f>
        <v>14330.98</v>
      </c>
    </row>
    <row r="797" spans="1:3" x14ac:dyDescent="0.35">
      <c r="A797" s="4">
        <v>1805</v>
      </c>
      <c r="B797" s="4">
        <f>COUNTIFS(Data!$C$2:$C$5001,A797,Data!$U$2:$U$5001,1)</f>
        <v>8</v>
      </c>
      <c r="C797" s="5">
        <f>SUMIFS(Data!$L$2:$L$5001,Data!$C$2:$C$5001,A797,Data!$U$2:$U$5001,1)</f>
        <v>9821.7100000000009</v>
      </c>
    </row>
    <row r="798" spans="1:3" x14ac:dyDescent="0.35">
      <c r="A798" s="4">
        <v>1806</v>
      </c>
      <c r="B798" s="4">
        <f>COUNTIFS(Data!$C$2:$C$5001,A798,Data!$U$2:$U$5001,1)</f>
        <v>5</v>
      </c>
      <c r="C798" s="5">
        <f>SUMIFS(Data!$L$2:$L$5001,Data!$C$2:$C$5001,A798,Data!$U$2:$U$5001,1)</f>
        <v>3124.51</v>
      </c>
    </row>
    <row r="799" spans="1:3" x14ac:dyDescent="0.35">
      <c r="A799" s="4">
        <v>1808</v>
      </c>
      <c r="B799" s="4">
        <f>COUNTIFS(Data!$C$2:$C$5001,A799,Data!$U$2:$U$5001,1)</f>
        <v>2</v>
      </c>
      <c r="C799" s="5">
        <f>SUMIFS(Data!$L$2:$L$5001,Data!$C$2:$C$5001,A799,Data!$U$2:$U$5001,1)</f>
        <v>948.88000000000011</v>
      </c>
    </row>
    <row r="800" spans="1:3" x14ac:dyDescent="0.35">
      <c r="A800" s="4">
        <v>1809</v>
      </c>
      <c r="B800" s="4">
        <f>COUNTIFS(Data!$C$2:$C$5001,A800,Data!$U$2:$U$5001,1)</f>
        <v>1</v>
      </c>
      <c r="C800" s="5">
        <f>SUMIFS(Data!$L$2:$L$5001,Data!$C$2:$C$5001,A800,Data!$U$2:$U$5001,1)</f>
        <v>231.68</v>
      </c>
    </row>
    <row r="801" spans="1:3" x14ac:dyDescent="0.35">
      <c r="A801" s="4">
        <v>1810</v>
      </c>
      <c r="B801" s="4">
        <f>COUNTIFS(Data!$C$2:$C$5001,A801,Data!$U$2:$U$5001,1)</f>
        <v>3</v>
      </c>
      <c r="C801" s="5">
        <f>SUMIFS(Data!$L$2:$L$5001,Data!$C$2:$C$5001,A801,Data!$U$2:$U$5001,1)</f>
        <v>1939.5</v>
      </c>
    </row>
    <row r="802" spans="1:3" x14ac:dyDescent="0.35">
      <c r="A802" s="4">
        <v>1811</v>
      </c>
      <c r="B802" s="4">
        <f>COUNTIFS(Data!$C$2:$C$5001,A802,Data!$U$2:$U$5001,1)</f>
        <v>4</v>
      </c>
      <c r="C802" s="5">
        <f>SUMIFS(Data!$L$2:$L$5001,Data!$C$2:$C$5001,A802,Data!$U$2:$U$5001,1)</f>
        <v>3192.0400000000004</v>
      </c>
    </row>
    <row r="803" spans="1:3" x14ac:dyDescent="0.35">
      <c r="A803" s="4">
        <v>1812</v>
      </c>
      <c r="B803" s="4">
        <f>COUNTIFS(Data!$C$2:$C$5001,A803,Data!$U$2:$U$5001,1)</f>
        <v>7</v>
      </c>
      <c r="C803" s="5">
        <f>SUMIFS(Data!$L$2:$L$5001,Data!$C$2:$C$5001,A803,Data!$U$2:$U$5001,1)</f>
        <v>6983.1400000000012</v>
      </c>
    </row>
    <row r="804" spans="1:3" x14ac:dyDescent="0.35">
      <c r="A804" s="4">
        <v>1813</v>
      </c>
      <c r="B804" s="4">
        <f>COUNTIFS(Data!$C$2:$C$5001,A804,Data!$U$2:$U$5001,1)</f>
        <v>6</v>
      </c>
      <c r="C804" s="5">
        <f>SUMIFS(Data!$L$2:$L$5001,Data!$C$2:$C$5001,A804,Data!$U$2:$U$5001,1)</f>
        <v>3986.4500000000003</v>
      </c>
    </row>
    <row r="805" spans="1:3" x14ac:dyDescent="0.35">
      <c r="A805" s="4">
        <v>1814</v>
      </c>
      <c r="B805" s="4">
        <f>COUNTIFS(Data!$C$2:$C$5001,A805,Data!$U$2:$U$5001,1)</f>
        <v>8</v>
      </c>
      <c r="C805" s="5">
        <f>SUMIFS(Data!$L$2:$L$5001,Data!$C$2:$C$5001,A805,Data!$U$2:$U$5001,1)</f>
        <v>7910.5500000000011</v>
      </c>
    </row>
    <row r="806" spans="1:3" x14ac:dyDescent="0.35">
      <c r="A806" s="4">
        <v>1815</v>
      </c>
      <c r="B806" s="4">
        <f>COUNTIFS(Data!$C$2:$C$5001,A806,Data!$U$2:$U$5001,1)</f>
        <v>6</v>
      </c>
      <c r="C806" s="5">
        <f>SUMIFS(Data!$L$2:$L$5001,Data!$C$2:$C$5001,A806,Data!$U$2:$U$5001,1)</f>
        <v>10053.549999999999</v>
      </c>
    </row>
    <row r="807" spans="1:3" x14ac:dyDescent="0.35">
      <c r="A807" s="4">
        <v>1816</v>
      </c>
      <c r="B807" s="4">
        <f>COUNTIFS(Data!$C$2:$C$5001,A807,Data!$U$2:$U$5001,1)</f>
        <v>7</v>
      </c>
      <c r="C807" s="5">
        <f>SUMIFS(Data!$L$2:$L$5001,Data!$C$2:$C$5001,A807,Data!$U$2:$U$5001,1)</f>
        <v>7838.82</v>
      </c>
    </row>
    <row r="808" spans="1:3" x14ac:dyDescent="0.35">
      <c r="A808" s="4">
        <v>1817</v>
      </c>
      <c r="B808" s="4">
        <f>COUNTIFS(Data!$C$2:$C$5001,A808,Data!$U$2:$U$5001,1)</f>
        <v>2</v>
      </c>
      <c r="C808" s="5">
        <f>SUMIFS(Data!$L$2:$L$5001,Data!$C$2:$C$5001,A808,Data!$U$2:$U$5001,1)</f>
        <v>1023.69</v>
      </c>
    </row>
    <row r="809" spans="1:3" x14ac:dyDescent="0.35">
      <c r="A809" s="4">
        <v>1818</v>
      </c>
      <c r="B809" s="4">
        <f>COUNTIFS(Data!$C$2:$C$5001,A809,Data!$U$2:$U$5001,1)</f>
        <v>6</v>
      </c>
      <c r="C809" s="5">
        <f>SUMIFS(Data!$L$2:$L$5001,Data!$C$2:$C$5001,A809,Data!$U$2:$U$5001,1)</f>
        <v>5385.16</v>
      </c>
    </row>
    <row r="810" spans="1:3" x14ac:dyDescent="0.35">
      <c r="A810" s="4">
        <v>1819</v>
      </c>
      <c r="B810" s="4">
        <f>COUNTIFS(Data!$C$2:$C$5001,A810,Data!$U$2:$U$5001,1)</f>
        <v>7</v>
      </c>
      <c r="C810" s="5">
        <f>SUMIFS(Data!$L$2:$L$5001,Data!$C$2:$C$5001,A810,Data!$U$2:$U$5001,1)</f>
        <v>5244.27</v>
      </c>
    </row>
    <row r="811" spans="1:3" x14ac:dyDescent="0.35">
      <c r="A811" s="4">
        <v>1820</v>
      </c>
      <c r="B811" s="4">
        <f>COUNTIFS(Data!$C$2:$C$5001,A811,Data!$U$2:$U$5001,1)</f>
        <v>4</v>
      </c>
      <c r="C811" s="5">
        <f>SUMIFS(Data!$L$2:$L$5001,Data!$C$2:$C$5001,A811,Data!$U$2:$U$5001,1)</f>
        <v>4557.1100000000006</v>
      </c>
    </row>
    <row r="812" spans="1:3" x14ac:dyDescent="0.35">
      <c r="A812" s="4">
        <v>1821</v>
      </c>
      <c r="B812" s="4">
        <f>COUNTIFS(Data!$C$2:$C$5001,A812,Data!$U$2:$U$5001,1)</f>
        <v>10</v>
      </c>
      <c r="C812" s="5">
        <f>SUMIFS(Data!$L$2:$L$5001,Data!$C$2:$C$5001,A812,Data!$U$2:$U$5001,1)</f>
        <v>9458.6600000000017</v>
      </c>
    </row>
    <row r="813" spans="1:3" x14ac:dyDescent="0.35">
      <c r="A813" s="4">
        <v>1822</v>
      </c>
      <c r="B813" s="4">
        <f>COUNTIFS(Data!$C$2:$C$5001,A813,Data!$U$2:$U$5001,1)</f>
        <v>6</v>
      </c>
      <c r="C813" s="5">
        <f>SUMIFS(Data!$L$2:$L$5001,Data!$C$2:$C$5001,A813,Data!$U$2:$U$5001,1)</f>
        <v>6430.3</v>
      </c>
    </row>
    <row r="814" spans="1:3" x14ac:dyDescent="0.35">
      <c r="A814" s="4">
        <v>1823</v>
      </c>
      <c r="B814" s="4">
        <f>COUNTIFS(Data!$C$2:$C$5001,A814,Data!$U$2:$U$5001,1)</f>
        <v>5</v>
      </c>
      <c r="C814" s="5">
        <f>SUMIFS(Data!$L$2:$L$5001,Data!$C$2:$C$5001,A814,Data!$U$2:$U$5001,1)</f>
        <v>6409.63</v>
      </c>
    </row>
    <row r="815" spans="1:3" x14ac:dyDescent="0.35">
      <c r="A815" s="4">
        <v>1824</v>
      </c>
      <c r="B815" s="4">
        <f>COUNTIFS(Data!$C$2:$C$5001,A815,Data!$U$2:$U$5001,1)</f>
        <v>7</v>
      </c>
      <c r="C815" s="5">
        <f>SUMIFS(Data!$L$2:$L$5001,Data!$C$2:$C$5001,A815,Data!$U$2:$U$5001,1)</f>
        <v>8176.05</v>
      </c>
    </row>
    <row r="816" spans="1:3" x14ac:dyDescent="0.35">
      <c r="A816" s="4">
        <v>1825</v>
      </c>
      <c r="B816" s="4">
        <f>COUNTIFS(Data!$C$2:$C$5001,A816,Data!$U$2:$U$5001,1)</f>
        <v>5</v>
      </c>
      <c r="C816" s="5">
        <f>SUMIFS(Data!$L$2:$L$5001,Data!$C$2:$C$5001,A816,Data!$U$2:$U$5001,1)</f>
        <v>3339.2999999999997</v>
      </c>
    </row>
    <row r="817" spans="1:3" x14ac:dyDescent="0.35">
      <c r="A817" s="4">
        <v>1826</v>
      </c>
      <c r="B817" s="4">
        <f>COUNTIFS(Data!$C$2:$C$5001,A817,Data!$U$2:$U$5001,1)</f>
        <v>5</v>
      </c>
      <c r="C817" s="5">
        <f>SUMIFS(Data!$L$2:$L$5001,Data!$C$2:$C$5001,A817,Data!$U$2:$U$5001,1)</f>
        <v>4494.3599999999997</v>
      </c>
    </row>
    <row r="818" spans="1:3" x14ac:dyDescent="0.35">
      <c r="A818" s="4">
        <v>1827</v>
      </c>
      <c r="B818" s="4">
        <f>COUNTIFS(Data!$C$2:$C$5001,A818,Data!$U$2:$U$5001,1)</f>
        <v>10</v>
      </c>
      <c r="C818" s="5">
        <f>SUMIFS(Data!$L$2:$L$5001,Data!$C$2:$C$5001,A818,Data!$U$2:$U$5001,1)</f>
        <v>7762.6500000000005</v>
      </c>
    </row>
    <row r="819" spans="1:3" x14ac:dyDescent="0.35">
      <c r="A819" s="4">
        <v>1828</v>
      </c>
      <c r="B819" s="4">
        <f>COUNTIFS(Data!$C$2:$C$5001,A819,Data!$U$2:$U$5001,1)</f>
        <v>5</v>
      </c>
      <c r="C819" s="5">
        <f>SUMIFS(Data!$L$2:$L$5001,Data!$C$2:$C$5001,A819,Data!$U$2:$U$5001,1)</f>
        <v>6296.04</v>
      </c>
    </row>
    <row r="820" spans="1:3" x14ac:dyDescent="0.35">
      <c r="A820" s="4">
        <v>1829</v>
      </c>
      <c r="B820" s="4">
        <f>COUNTIFS(Data!$C$2:$C$5001,A820,Data!$U$2:$U$5001,1)</f>
        <v>3</v>
      </c>
      <c r="C820" s="5">
        <f>SUMIFS(Data!$L$2:$L$5001,Data!$C$2:$C$5001,A820,Data!$U$2:$U$5001,1)</f>
        <v>3738.2000000000003</v>
      </c>
    </row>
    <row r="821" spans="1:3" x14ac:dyDescent="0.35">
      <c r="A821" s="4">
        <v>1830</v>
      </c>
      <c r="B821" s="4">
        <f>COUNTIFS(Data!$C$2:$C$5001,A821,Data!$U$2:$U$5001,1)</f>
        <v>8</v>
      </c>
      <c r="C821" s="5">
        <f>SUMIFS(Data!$L$2:$L$5001,Data!$C$2:$C$5001,A821,Data!$U$2:$U$5001,1)</f>
        <v>8549.64</v>
      </c>
    </row>
    <row r="822" spans="1:3" x14ac:dyDescent="0.35">
      <c r="A822" s="4">
        <v>1831</v>
      </c>
      <c r="B822" s="4">
        <f>COUNTIFS(Data!$C$2:$C$5001,A822,Data!$U$2:$U$5001,1)</f>
        <v>5</v>
      </c>
      <c r="C822" s="5">
        <f>SUMIFS(Data!$L$2:$L$5001,Data!$C$2:$C$5001,A822,Data!$U$2:$U$5001,1)</f>
        <v>7998.65</v>
      </c>
    </row>
    <row r="823" spans="1:3" x14ac:dyDescent="0.35">
      <c r="A823" s="4">
        <v>1832</v>
      </c>
      <c r="B823" s="4">
        <f>COUNTIFS(Data!$C$2:$C$5001,A823,Data!$U$2:$U$5001,1)</f>
        <v>6</v>
      </c>
      <c r="C823" s="5">
        <f>SUMIFS(Data!$L$2:$L$5001,Data!$C$2:$C$5001,A823,Data!$U$2:$U$5001,1)</f>
        <v>3943.4799999999996</v>
      </c>
    </row>
    <row r="824" spans="1:3" x14ac:dyDescent="0.35">
      <c r="A824" s="4">
        <v>1833</v>
      </c>
      <c r="B824" s="4">
        <f>COUNTIFS(Data!$C$2:$C$5001,A824,Data!$U$2:$U$5001,1)</f>
        <v>2</v>
      </c>
      <c r="C824" s="5">
        <f>SUMIFS(Data!$L$2:$L$5001,Data!$C$2:$C$5001,A824,Data!$U$2:$U$5001,1)</f>
        <v>2388.88</v>
      </c>
    </row>
    <row r="825" spans="1:3" x14ac:dyDescent="0.35">
      <c r="A825" s="4">
        <v>1834</v>
      </c>
      <c r="B825" s="4">
        <f>COUNTIFS(Data!$C$2:$C$5001,A825,Data!$U$2:$U$5001,1)</f>
        <v>5</v>
      </c>
      <c r="C825" s="5">
        <f>SUMIFS(Data!$L$2:$L$5001,Data!$C$2:$C$5001,A825,Data!$U$2:$U$5001,1)</f>
        <v>5552.51</v>
      </c>
    </row>
    <row r="826" spans="1:3" x14ac:dyDescent="0.35">
      <c r="A826" s="4">
        <v>1835</v>
      </c>
      <c r="B826" s="4">
        <f>COUNTIFS(Data!$C$2:$C$5001,A826,Data!$U$2:$U$5001,1)</f>
        <v>4</v>
      </c>
      <c r="C826" s="5">
        <f>SUMIFS(Data!$L$2:$L$5001,Data!$C$2:$C$5001,A826,Data!$U$2:$U$5001,1)</f>
        <v>4095.01</v>
      </c>
    </row>
    <row r="827" spans="1:3" x14ac:dyDescent="0.35">
      <c r="A827" s="4">
        <v>1836</v>
      </c>
      <c r="B827" s="4">
        <f>COUNTIFS(Data!$C$2:$C$5001,A827,Data!$U$2:$U$5001,1)</f>
        <v>9</v>
      </c>
      <c r="C827" s="5">
        <f>SUMIFS(Data!$L$2:$L$5001,Data!$C$2:$C$5001,A827,Data!$U$2:$U$5001,1)</f>
        <v>14110.78</v>
      </c>
    </row>
    <row r="828" spans="1:3" x14ac:dyDescent="0.35">
      <c r="A828" s="4">
        <v>1837</v>
      </c>
      <c r="B828" s="4">
        <f>COUNTIFS(Data!$C$2:$C$5001,A828,Data!$U$2:$U$5001,1)</f>
        <v>6</v>
      </c>
      <c r="C828" s="5">
        <f>SUMIFS(Data!$L$2:$L$5001,Data!$C$2:$C$5001,A828,Data!$U$2:$U$5001,1)</f>
        <v>10017.41</v>
      </c>
    </row>
    <row r="829" spans="1:3" x14ac:dyDescent="0.35">
      <c r="A829" s="4">
        <v>1838</v>
      </c>
      <c r="B829" s="4">
        <f>COUNTIFS(Data!$C$2:$C$5001,A829,Data!$U$2:$U$5001,1)</f>
        <v>2</v>
      </c>
      <c r="C829" s="5">
        <f>SUMIFS(Data!$L$2:$L$5001,Data!$C$2:$C$5001,A829,Data!$U$2:$U$5001,1)</f>
        <v>665</v>
      </c>
    </row>
    <row r="830" spans="1:3" x14ac:dyDescent="0.35">
      <c r="A830" s="4">
        <v>1839</v>
      </c>
      <c r="B830" s="4">
        <f>COUNTIFS(Data!$C$2:$C$5001,A830,Data!$U$2:$U$5001,1)</f>
        <v>10</v>
      </c>
      <c r="C830" s="5">
        <f>SUMIFS(Data!$L$2:$L$5001,Data!$C$2:$C$5001,A830,Data!$U$2:$U$5001,1)</f>
        <v>12319.289999999999</v>
      </c>
    </row>
    <row r="831" spans="1:3" x14ac:dyDescent="0.35">
      <c r="A831" s="4">
        <v>1840</v>
      </c>
      <c r="B831" s="4">
        <f>COUNTIFS(Data!$C$2:$C$5001,A831,Data!$U$2:$U$5001,1)</f>
        <v>2</v>
      </c>
      <c r="C831" s="5">
        <f>SUMIFS(Data!$L$2:$L$5001,Data!$C$2:$C$5001,A831,Data!$U$2:$U$5001,1)</f>
        <v>1281.17</v>
      </c>
    </row>
    <row r="832" spans="1:3" x14ac:dyDescent="0.35">
      <c r="A832" s="4">
        <v>1841</v>
      </c>
      <c r="B832" s="4">
        <f>COUNTIFS(Data!$C$2:$C$5001,A832,Data!$U$2:$U$5001,1)</f>
        <v>6</v>
      </c>
      <c r="C832" s="5">
        <f>SUMIFS(Data!$L$2:$L$5001,Data!$C$2:$C$5001,A832,Data!$U$2:$U$5001,1)</f>
        <v>5133.7</v>
      </c>
    </row>
    <row r="833" spans="1:3" x14ac:dyDescent="0.35">
      <c r="A833" s="4">
        <v>1842</v>
      </c>
      <c r="B833" s="4">
        <f>COUNTIFS(Data!$C$2:$C$5001,A833,Data!$U$2:$U$5001,1)</f>
        <v>4</v>
      </c>
      <c r="C833" s="5">
        <f>SUMIFS(Data!$L$2:$L$5001,Data!$C$2:$C$5001,A833,Data!$U$2:$U$5001,1)</f>
        <v>5293.06</v>
      </c>
    </row>
    <row r="834" spans="1:3" x14ac:dyDescent="0.35">
      <c r="A834" s="4">
        <v>1843</v>
      </c>
      <c r="B834" s="4">
        <f>COUNTIFS(Data!$C$2:$C$5001,A834,Data!$U$2:$U$5001,1)</f>
        <v>2</v>
      </c>
      <c r="C834" s="5">
        <f>SUMIFS(Data!$L$2:$L$5001,Data!$C$2:$C$5001,A834,Data!$U$2:$U$5001,1)</f>
        <v>4883.5499999999993</v>
      </c>
    </row>
    <row r="835" spans="1:3" x14ac:dyDescent="0.35">
      <c r="A835" s="4">
        <v>1844</v>
      </c>
      <c r="B835" s="4">
        <f>COUNTIFS(Data!$C$2:$C$5001,A835,Data!$U$2:$U$5001,1)</f>
        <v>5</v>
      </c>
      <c r="C835" s="5">
        <f>SUMIFS(Data!$L$2:$L$5001,Data!$C$2:$C$5001,A835,Data!$U$2:$U$5001,1)</f>
        <v>8080.7199999999993</v>
      </c>
    </row>
    <row r="836" spans="1:3" x14ac:dyDescent="0.35">
      <c r="A836" s="4">
        <v>1845</v>
      </c>
      <c r="B836" s="4">
        <f>COUNTIFS(Data!$C$2:$C$5001,A836,Data!$U$2:$U$5001,1)</f>
        <v>3</v>
      </c>
      <c r="C836" s="5">
        <f>SUMIFS(Data!$L$2:$L$5001,Data!$C$2:$C$5001,A836,Data!$U$2:$U$5001,1)</f>
        <v>3195.91</v>
      </c>
    </row>
    <row r="837" spans="1:3" x14ac:dyDescent="0.35">
      <c r="A837" s="4">
        <v>1846</v>
      </c>
      <c r="B837" s="4">
        <f>COUNTIFS(Data!$C$2:$C$5001,A837,Data!$U$2:$U$5001,1)</f>
        <v>3</v>
      </c>
      <c r="C837" s="5">
        <f>SUMIFS(Data!$L$2:$L$5001,Data!$C$2:$C$5001,A837,Data!$U$2:$U$5001,1)</f>
        <v>5600.9800000000005</v>
      </c>
    </row>
    <row r="838" spans="1:3" x14ac:dyDescent="0.35">
      <c r="A838" s="4">
        <v>1847</v>
      </c>
      <c r="B838" s="4">
        <f>COUNTIFS(Data!$C$2:$C$5001,A838,Data!$U$2:$U$5001,1)</f>
        <v>4</v>
      </c>
      <c r="C838" s="5">
        <f>SUMIFS(Data!$L$2:$L$5001,Data!$C$2:$C$5001,A838,Data!$U$2:$U$5001,1)</f>
        <v>3243.12</v>
      </c>
    </row>
    <row r="839" spans="1:3" x14ac:dyDescent="0.35">
      <c r="A839" s="4">
        <v>1848</v>
      </c>
      <c r="B839" s="4">
        <f>COUNTIFS(Data!$C$2:$C$5001,A839,Data!$U$2:$U$5001,1)</f>
        <v>6</v>
      </c>
      <c r="C839" s="5">
        <f>SUMIFS(Data!$L$2:$L$5001,Data!$C$2:$C$5001,A839,Data!$U$2:$U$5001,1)</f>
        <v>5865.72</v>
      </c>
    </row>
    <row r="840" spans="1:3" x14ac:dyDescent="0.35">
      <c r="A840" s="4">
        <v>1849</v>
      </c>
      <c r="B840" s="4">
        <f>COUNTIFS(Data!$C$2:$C$5001,A840,Data!$U$2:$U$5001,1)</f>
        <v>5</v>
      </c>
      <c r="C840" s="5">
        <f>SUMIFS(Data!$L$2:$L$5001,Data!$C$2:$C$5001,A840,Data!$U$2:$U$5001,1)</f>
        <v>5553.79</v>
      </c>
    </row>
    <row r="841" spans="1:3" x14ac:dyDescent="0.35">
      <c r="A841" s="4">
        <v>1850</v>
      </c>
      <c r="B841" s="4">
        <f>COUNTIFS(Data!$C$2:$C$5001,A841,Data!$U$2:$U$5001,1)</f>
        <v>3</v>
      </c>
      <c r="C841" s="5">
        <f>SUMIFS(Data!$L$2:$L$5001,Data!$C$2:$C$5001,A841,Data!$U$2:$U$5001,1)</f>
        <v>2276.1799999999998</v>
      </c>
    </row>
    <row r="842" spans="1:3" x14ac:dyDescent="0.35">
      <c r="A842" s="4">
        <v>1851</v>
      </c>
      <c r="B842" s="4">
        <f>COUNTIFS(Data!$C$2:$C$5001,A842,Data!$U$2:$U$5001,1)</f>
        <v>7</v>
      </c>
      <c r="C842" s="5">
        <f>SUMIFS(Data!$L$2:$L$5001,Data!$C$2:$C$5001,A842,Data!$U$2:$U$5001,1)</f>
        <v>7328.73</v>
      </c>
    </row>
    <row r="843" spans="1:3" x14ac:dyDescent="0.35">
      <c r="A843" s="4">
        <v>1852</v>
      </c>
      <c r="B843" s="4">
        <f>COUNTIFS(Data!$C$2:$C$5001,A843,Data!$U$2:$U$5001,1)</f>
        <v>6</v>
      </c>
      <c r="C843" s="5">
        <f>SUMIFS(Data!$L$2:$L$5001,Data!$C$2:$C$5001,A843,Data!$U$2:$U$5001,1)</f>
        <v>5031.130000000001</v>
      </c>
    </row>
    <row r="844" spans="1:3" x14ac:dyDescent="0.35">
      <c r="A844" s="4">
        <v>1853</v>
      </c>
      <c r="B844" s="4">
        <f>COUNTIFS(Data!$C$2:$C$5001,A844,Data!$U$2:$U$5001,1)</f>
        <v>6</v>
      </c>
      <c r="C844" s="5">
        <f>SUMIFS(Data!$L$2:$L$5001,Data!$C$2:$C$5001,A844,Data!$U$2:$U$5001,1)</f>
        <v>8055.52</v>
      </c>
    </row>
    <row r="845" spans="1:3" x14ac:dyDescent="0.35">
      <c r="A845" s="4">
        <v>1854</v>
      </c>
      <c r="B845" s="4">
        <f>COUNTIFS(Data!$C$2:$C$5001,A845,Data!$U$2:$U$5001,1)</f>
        <v>3</v>
      </c>
      <c r="C845" s="5">
        <f>SUMIFS(Data!$L$2:$L$5001,Data!$C$2:$C$5001,A845,Data!$U$2:$U$5001,1)</f>
        <v>2969.56</v>
      </c>
    </row>
    <row r="846" spans="1:3" x14ac:dyDescent="0.35">
      <c r="A846" s="4">
        <v>1855</v>
      </c>
      <c r="B846" s="4">
        <f>COUNTIFS(Data!$C$2:$C$5001,A846,Data!$U$2:$U$5001,1)</f>
        <v>5</v>
      </c>
      <c r="C846" s="5">
        <f>SUMIFS(Data!$L$2:$L$5001,Data!$C$2:$C$5001,A846,Data!$U$2:$U$5001,1)</f>
        <v>4755.03</v>
      </c>
    </row>
    <row r="847" spans="1:3" x14ac:dyDescent="0.35">
      <c r="A847" s="4">
        <v>1856</v>
      </c>
      <c r="B847" s="4">
        <f>COUNTIFS(Data!$C$2:$C$5001,A847,Data!$U$2:$U$5001,1)</f>
        <v>5</v>
      </c>
      <c r="C847" s="5">
        <f>SUMIFS(Data!$L$2:$L$5001,Data!$C$2:$C$5001,A847,Data!$U$2:$U$5001,1)</f>
        <v>4884.82</v>
      </c>
    </row>
    <row r="848" spans="1:3" x14ac:dyDescent="0.35">
      <c r="A848" s="4">
        <v>1857</v>
      </c>
      <c r="B848" s="4">
        <f>COUNTIFS(Data!$C$2:$C$5001,A848,Data!$U$2:$U$5001,1)</f>
        <v>2</v>
      </c>
      <c r="C848" s="5">
        <f>SUMIFS(Data!$L$2:$L$5001,Data!$C$2:$C$5001,A848,Data!$U$2:$U$5001,1)</f>
        <v>2503.79</v>
      </c>
    </row>
    <row r="849" spans="1:3" x14ac:dyDescent="0.35">
      <c r="A849" s="4">
        <v>1858</v>
      </c>
      <c r="B849" s="4">
        <f>COUNTIFS(Data!$C$2:$C$5001,A849,Data!$U$2:$U$5001,1)</f>
        <v>7</v>
      </c>
      <c r="C849" s="5">
        <f>SUMIFS(Data!$L$2:$L$5001,Data!$C$2:$C$5001,A849,Data!$U$2:$U$5001,1)</f>
        <v>4364.8500000000004</v>
      </c>
    </row>
    <row r="850" spans="1:3" x14ac:dyDescent="0.35">
      <c r="A850" s="4">
        <v>1859</v>
      </c>
      <c r="B850" s="4">
        <f>COUNTIFS(Data!$C$2:$C$5001,A850,Data!$U$2:$U$5001,1)</f>
        <v>2</v>
      </c>
      <c r="C850" s="5">
        <f>SUMIFS(Data!$L$2:$L$5001,Data!$C$2:$C$5001,A850,Data!$U$2:$U$5001,1)</f>
        <v>2233.13</v>
      </c>
    </row>
    <row r="851" spans="1:3" x14ac:dyDescent="0.35">
      <c r="A851" s="4">
        <v>1860</v>
      </c>
      <c r="B851" s="4">
        <f>COUNTIFS(Data!$C$2:$C$5001,A851,Data!$U$2:$U$5001,1)</f>
        <v>5</v>
      </c>
      <c r="C851" s="5">
        <f>SUMIFS(Data!$L$2:$L$5001,Data!$C$2:$C$5001,A851,Data!$U$2:$U$5001,1)</f>
        <v>4359.25</v>
      </c>
    </row>
    <row r="852" spans="1:3" x14ac:dyDescent="0.35">
      <c r="A852" s="4">
        <v>1861</v>
      </c>
      <c r="B852" s="4">
        <f>COUNTIFS(Data!$C$2:$C$5001,A852,Data!$U$2:$U$5001,1)</f>
        <v>4</v>
      </c>
      <c r="C852" s="5">
        <f>SUMIFS(Data!$L$2:$L$5001,Data!$C$2:$C$5001,A852,Data!$U$2:$U$5001,1)</f>
        <v>3067.67</v>
      </c>
    </row>
    <row r="853" spans="1:3" x14ac:dyDescent="0.35">
      <c r="A853" s="4">
        <v>1862</v>
      </c>
      <c r="B853" s="4">
        <f>COUNTIFS(Data!$C$2:$C$5001,A853,Data!$U$2:$U$5001,1)</f>
        <v>2</v>
      </c>
      <c r="C853" s="5">
        <f>SUMIFS(Data!$L$2:$L$5001,Data!$C$2:$C$5001,A853,Data!$U$2:$U$5001,1)</f>
        <v>1161.56</v>
      </c>
    </row>
    <row r="854" spans="1:3" x14ac:dyDescent="0.35">
      <c r="A854" s="4">
        <v>1863</v>
      </c>
      <c r="B854" s="4">
        <f>COUNTIFS(Data!$C$2:$C$5001,A854,Data!$U$2:$U$5001,1)</f>
        <v>6</v>
      </c>
      <c r="C854" s="5">
        <f>SUMIFS(Data!$L$2:$L$5001,Data!$C$2:$C$5001,A854,Data!$U$2:$U$5001,1)</f>
        <v>5357.1299999999992</v>
      </c>
    </row>
    <row r="855" spans="1:3" x14ac:dyDescent="0.35">
      <c r="A855" s="4">
        <v>1864</v>
      </c>
      <c r="B855" s="4">
        <f>COUNTIFS(Data!$C$2:$C$5001,A855,Data!$U$2:$U$5001,1)</f>
        <v>4</v>
      </c>
      <c r="C855" s="5">
        <f>SUMIFS(Data!$L$2:$L$5001,Data!$C$2:$C$5001,A855,Data!$U$2:$U$5001,1)</f>
        <v>4408.49</v>
      </c>
    </row>
    <row r="856" spans="1:3" x14ac:dyDescent="0.35">
      <c r="A856" s="4">
        <v>1865</v>
      </c>
      <c r="B856" s="4">
        <f>COUNTIFS(Data!$C$2:$C$5001,A856,Data!$U$2:$U$5001,1)</f>
        <v>8</v>
      </c>
      <c r="C856" s="5">
        <f>SUMIFS(Data!$L$2:$L$5001,Data!$C$2:$C$5001,A856,Data!$U$2:$U$5001,1)</f>
        <v>7229.43</v>
      </c>
    </row>
    <row r="857" spans="1:3" x14ac:dyDescent="0.35">
      <c r="A857" s="4">
        <v>1866</v>
      </c>
      <c r="B857" s="4">
        <f>COUNTIFS(Data!$C$2:$C$5001,A857,Data!$U$2:$U$5001,1)</f>
        <v>9</v>
      </c>
      <c r="C857" s="5">
        <f>SUMIFS(Data!$L$2:$L$5001,Data!$C$2:$C$5001,A857,Data!$U$2:$U$5001,1)</f>
        <v>5783.72</v>
      </c>
    </row>
    <row r="858" spans="1:3" x14ac:dyDescent="0.35">
      <c r="A858" s="4">
        <v>1867</v>
      </c>
      <c r="B858" s="4">
        <f>COUNTIFS(Data!$C$2:$C$5001,A858,Data!$U$2:$U$5001,1)</f>
        <v>2</v>
      </c>
      <c r="C858" s="5">
        <f>SUMIFS(Data!$L$2:$L$5001,Data!$C$2:$C$5001,A858,Data!$U$2:$U$5001,1)</f>
        <v>3550.2799999999997</v>
      </c>
    </row>
    <row r="859" spans="1:3" x14ac:dyDescent="0.35">
      <c r="A859" s="4">
        <v>1868</v>
      </c>
      <c r="B859" s="4">
        <f>COUNTIFS(Data!$C$2:$C$5001,A859,Data!$U$2:$U$5001,1)</f>
        <v>5</v>
      </c>
      <c r="C859" s="5">
        <f>SUMIFS(Data!$L$2:$L$5001,Data!$C$2:$C$5001,A859,Data!$U$2:$U$5001,1)</f>
        <v>5845.9699999999993</v>
      </c>
    </row>
    <row r="860" spans="1:3" x14ac:dyDescent="0.35">
      <c r="A860" s="4">
        <v>1869</v>
      </c>
      <c r="B860" s="4">
        <f>COUNTIFS(Data!$C$2:$C$5001,A860,Data!$U$2:$U$5001,1)</f>
        <v>1</v>
      </c>
      <c r="C860" s="5">
        <f>SUMIFS(Data!$L$2:$L$5001,Data!$C$2:$C$5001,A860,Data!$U$2:$U$5001,1)</f>
        <v>865.89</v>
      </c>
    </row>
    <row r="861" spans="1:3" x14ac:dyDescent="0.35">
      <c r="A861" s="4">
        <v>1870</v>
      </c>
      <c r="B861" s="4">
        <f>COUNTIFS(Data!$C$2:$C$5001,A861,Data!$U$2:$U$5001,1)</f>
        <v>5</v>
      </c>
      <c r="C861" s="5">
        <f>SUMIFS(Data!$L$2:$L$5001,Data!$C$2:$C$5001,A861,Data!$U$2:$U$5001,1)</f>
        <v>4333.2699999999995</v>
      </c>
    </row>
    <row r="862" spans="1:3" x14ac:dyDescent="0.35">
      <c r="A862" s="4">
        <v>1871</v>
      </c>
      <c r="B862" s="4">
        <f>COUNTIFS(Data!$C$2:$C$5001,A862,Data!$U$2:$U$5001,1)</f>
        <v>8</v>
      </c>
      <c r="C862" s="5">
        <f>SUMIFS(Data!$L$2:$L$5001,Data!$C$2:$C$5001,A862,Data!$U$2:$U$5001,1)</f>
        <v>10485.699999999999</v>
      </c>
    </row>
    <row r="863" spans="1:3" x14ac:dyDescent="0.35">
      <c r="A863" s="4">
        <v>1872</v>
      </c>
      <c r="B863" s="4">
        <f>COUNTIFS(Data!$C$2:$C$5001,A863,Data!$U$2:$U$5001,1)</f>
        <v>5</v>
      </c>
      <c r="C863" s="5">
        <f>SUMIFS(Data!$L$2:$L$5001,Data!$C$2:$C$5001,A863,Data!$U$2:$U$5001,1)</f>
        <v>5927.53</v>
      </c>
    </row>
    <row r="864" spans="1:3" x14ac:dyDescent="0.35">
      <c r="A864" s="4">
        <v>1873</v>
      </c>
      <c r="B864" s="4">
        <f>COUNTIFS(Data!$C$2:$C$5001,A864,Data!$U$2:$U$5001,1)</f>
        <v>3</v>
      </c>
      <c r="C864" s="5">
        <f>SUMIFS(Data!$L$2:$L$5001,Data!$C$2:$C$5001,A864,Data!$U$2:$U$5001,1)</f>
        <v>1857.63</v>
      </c>
    </row>
    <row r="865" spans="1:3" x14ac:dyDescent="0.35">
      <c r="A865" s="4">
        <v>1874</v>
      </c>
      <c r="B865" s="4">
        <f>COUNTIFS(Data!$C$2:$C$5001,A865,Data!$U$2:$U$5001,1)</f>
        <v>2</v>
      </c>
      <c r="C865" s="5">
        <f>SUMIFS(Data!$L$2:$L$5001,Data!$C$2:$C$5001,A865,Data!$U$2:$U$5001,1)</f>
        <v>3066.78</v>
      </c>
    </row>
    <row r="866" spans="1:3" x14ac:dyDescent="0.35">
      <c r="A866" s="4">
        <v>1875</v>
      </c>
      <c r="B866" s="4">
        <f>COUNTIFS(Data!$C$2:$C$5001,A866,Data!$U$2:$U$5001,1)</f>
        <v>6</v>
      </c>
      <c r="C866" s="5">
        <f>SUMIFS(Data!$L$2:$L$5001,Data!$C$2:$C$5001,A866,Data!$U$2:$U$5001,1)</f>
        <v>3498.34</v>
      </c>
    </row>
    <row r="867" spans="1:3" x14ac:dyDescent="0.35">
      <c r="A867" s="4">
        <v>1876</v>
      </c>
      <c r="B867" s="4">
        <f>COUNTIFS(Data!$C$2:$C$5001,A867,Data!$U$2:$U$5001,1)</f>
        <v>8</v>
      </c>
      <c r="C867" s="5">
        <f>SUMIFS(Data!$L$2:$L$5001,Data!$C$2:$C$5001,A867,Data!$U$2:$U$5001,1)</f>
        <v>8844.5499999999993</v>
      </c>
    </row>
    <row r="868" spans="1:3" x14ac:dyDescent="0.35">
      <c r="A868" s="4">
        <v>1877</v>
      </c>
      <c r="B868" s="4">
        <f>COUNTIFS(Data!$C$2:$C$5001,A868,Data!$U$2:$U$5001,1)</f>
        <v>5</v>
      </c>
      <c r="C868" s="5">
        <f>SUMIFS(Data!$L$2:$L$5001,Data!$C$2:$C$5001,A868,Data!$U$2:$U$5001,1)</f>
        <v>6545.3600000000006</v>
      </c>
    </row>
    <row r="869" spans="1:3" x14ac:dyDescent="0.35">
      <c r="A869" s="4">
        <v>1878</v>
      </c>
      <c r="B869" s="4">
        <f>COUNTIFS(Data!$C$2:$C$5001,A869,Data!$U$2:$U$5001,1)</f>
        <v>3</v>
      </c>
      <c r="C869" s="5">
        <f>SUMIFS(Data!$L$2:$L$5001,Data!$C$2:$C$5001,A869,Data!$U$2:$U$5001,1)</f>
        <v>3040.5299999999997</v>
      </c>
    </row>
    <row r="870" spans="1:3" x14ac:dyDescent="0.35">
      <c r="A870" s="4">
        <v>1879</v>
      </c>
      <c r="B870" s="4">
        <f>COUNTIFS(Data!$C$2:$C$5001,A870,Data!$U$2:$U$5001,1)</f>
        <v>2</v>
      </c>
      <c r="C870" s="5">
        <f>SUMIFS(Data!$L$2:$L$5001,Data!$C$2:$C$5001,A870,Data!$U$2:$U$5001,1)</f>
        <v>1189.22</v>
      </c>
    </row>
    <row r="871" spans="1:3" x14ac:dyDescent="0.35">
      <c r="A871" s="4">
        <v>1880</v>
      </c>
      <c r="B871" s="4">
        <f>COUNTIFS(Data!$C$2:$C$5001,A871,Data!$U$2:$U$5001,1)</f>
        <v>11</v>
      </c>
      <c r="C871" s="5">
        <f>SUMIFS(Data!$L$2:$L$5001,Data!$C$2:$C$5001,A871,Data!$U$2:$U$5001,1)</f>
        <v>12322.000000000002</v>
      </c>
    </row>
    <row r="872" spans="1:3" x14ac:dyDescent="0.35">
      <c r="A872" s="4">
        <v>1881</v>
      </c>
      <c r="B872" s="4">
        <f>COUNTIFS(Data!$C$2:$C$5001,A872,Data!$U$2:$U$5001,1)</f>
        <v>3</v>
      </c>
      <c r="C872" s="5">
        <f>SUMIFS(Data!$L$2:$L$5001,Data!$C$2:$C$5001,A872,Data!$U$2:$U$5001,1)</f>
        <v>2027.3700000000003</v>
      </c>
    </row>
    <row r="873" spans="1:3" x14ac:dyDescent="0.35">
      <c r="A873" s="4">
        <v>1882</v>
      </c>
      <c r="B873" s="4">
        <f>COUNTIFS(Data!$C$2:$C$5001,A873,Data!$U$2:$U$5001,1)</f>
        <v>9</v>
      </c>
      <c r="C873" s="5">
        <f>SUMIFS(Data!$L$2:$L$5001,Data!$C$2:$C$5001,A873,Data!$U$2:$U$5001,1)</f>
        <v>11420.039999999999</v>
      </c>
    </row>
    <row r="874" spans="1:3" x14ac:dyDescent="0.35">
      <c r="A874" s="4">
        <v>1883</v>
      </c>
      <c r="B874" s="4">
        <f>COUNTIFS(Data!$C$2:$C$5001,A874,Data!$U$2:$U$5001,1)</f>
        <v>4</v>
      </c>
      <c r="C874" s="5">
        <f>SUMIFS(Data!$L$2:$L$5001,Data!$C$2:$C$5001,A874,Data!$U$2:$U$5001,1)</f>
        <v>5714.7800000000007</v>
      </c>
    </row>
    <row r="875" spans="1:3" x14ac:dyDescent="0.35">
      <c r="A875" s="4">
        <v>1884</v>
      </c>
      <c r="B875" s="4">
        <f>COUNTIFS(Data!$C$2:$C$5001,A875,Data!$U$2:$U$5001,1)</f>
        <v>4</v>
      </c>
      <c r="C875" s="5">
        <f>SUMIFS(Data!$L$2:$L$5001,Data!$C$2:$C$5001,A875,Data!$U$2:$U$5001,1)</f>
        <v>3577.9400000000005</v>
      </c>
    </row>
    <row r="876" spans="1:3" x14ac:dyDescent="0.35">
      <c r="A876" s="4">
        <v>1885</v>
      </c>
      <c r="B876" s="4">
        <f>COUNTIFS(Data!$C$2:$C$5001,A876,Data!$U$2:$U$5001,1)</f>
        <v>6</v>
      </c>
      <c r="C876" s="5">
        <f>SUMIFS(Data!$L$2:$L$5001,Data!$C$2:$C$5001,A876,Data!$U$2:$U$5001,1)</f>
        <v>5182.2700000000004</v>
      </c>
    </row>
    <row r="877" spans="1:3" x14ac:dyDescent="0.35">
      <c r="A877" s="4">
        <v>1886</v>
      </c>
      <c r="B877" s="4">
        <f>COUNTIFS(Data!$C$2:$C$5001,A877,Data!$U$2:$U$5001,1)</f>
        <v>5</v>
      </c>
      <c r="C877" s="5">
        <f>SUMIFS(Data!$L$2:$L$5001,Data!$C$2:$C$5001,A877,Data!$U$2:$U$5001,1)</f>
        <v>6307.4699999999993</v>
      </c>
    </row>
    <row r="878" spans="1:3" x14ac:dyDescent="0.35">
      <c r="A878" s="4">
        <v>1887</v>
      </c>
      <c r="B878" s="4">
        <f>COUNTIFS(Data!$C$2:$C$5001,A878,Data!$U$2:$U$5001,1)</f>
        <v>8</v>
      </c>
      <c r="C878" s="5">
        <f>SUMIFS(Data!$L$2:$L$5001,Data!$C$2:$C$5001,A878,Data!$U$2:$U$5001,1)</f>
        <v>6743.82</v>
      </c>
    </row>
    <row r="879" spans="1:3" x14ac:dyDescent="0.35">
      <c r="A879" s="4">
        <v>1888</v>
      </c>
      <c r="B879" s="4">
        <f>COUNTIFS(Data!$C$2:$C$5001,A879,Data!$U$2:$U$5001,1)</f>
        <v>2</v>
      </c>
      <c r="C879" s="5">
        <f>SUMIFS(Data!$L$2:$L$5001,Data!$C$2:$C$5001,A879,Data!$U$2:$U$5001,1)</f>
        <v>3925.45</v>
      </c>
    </row>
    <row r="880" spans="1:3" x14ac:dyDescent="0.35">
      <c r="A880" s="4">
        <v>1889</v>
      </c>
      <c r="B880" s="4">
        <f>COUNTIFS(Data!$C$2:$C$5001,A880,Data!$U$2:$U$5001,1)</f>
        <v>1</v>
      </c>
      <c r="C880" s="5">
        <f>SUMIFS(Data!$L$2:$L$5001,Data!$C$2:$C$5001,A880,Data!$U$2:$U$5001,1)</f>
        <v>587.15</v>
      </c>
    </row>
    <row r="881" spans="1:3" x14ac:dyDescent="0.35">
      <c r="A881" s="4">
        <v>1890</v>
      </c>
      <c r="B881" s="4">
        <f>COUNTIFS(Data!$C$2:$C$5001,A881,Data!$U$2:$U$5001,1)</f>
        <v>9</v>
      </c>
      <c r="C881" s="5">
        <f>SUMIFS(Data!$L$2:$L$5001,Data!$C$2:$C$5001,A881,Data!$U$2:$U$5001,1)</f>
        <v>12529.369999999999</v>
      </c>
    </row>
    <row r="882" spans="1:3" x14ac:dyDescent="0.35">
      <c r="A882" s="4">
        <v>1891</v>
      </c>
      <c r="B882" s="4">
        <f>COUNTIFS(Data!$C$2:$C$5001,A882,Data!$U$2:$U$5001,1)</f>
        <v>7</v>
      </c>
      <c r="C882" s="5">
        <f>SUMIFS(Data!$L$2:$L$5001,Data!$C$2:$C$5001,A882,Data!$U$2:$U$5001,1)</f>
        <v>7569.08</v>
      </c>
    </row>
    <row r="883" spans="1:3" x14ac:dyDescent="0.35">
      <c r="A883" s="4">
        <v>1892</v>
      </c>
      <c r="B883" s="4">
        <f>COUNTIFS(Data!$C$2:$C$5001,A883,Data!$U$2:$U$5001,1)</f>
        <v>3</v>
      </c>
      <c r="C883" s="5">
        <f>SUMIFS(Data!$L$2:$L$5001,Data!$C$2:$C$5001,A883,Data!$U$2:$U$5001,1)</f>
        <v>2165.35</v>
      </c>
    </row>
    <row r="884" spans="1:3" x14ac:dyDescent="0.35">
      <c r="A884" s="4">
        <v>1893</v>
      </c>
      <c r="B884" s="4">
        <f>COUNTIFS(Data!$C$2:$C$5001,A884,Data!$U$2:$U$5001,1)</f>
        <v>3</v>
      </c>
      <c r="C884" s="5">
        <f>SUMIFS(Data!$L$2:$L$5001,Data!$C$2:$C$5001,A884,Data!$U$2:$U$5001,1)</f>
        <v>5010.2</v>
      </c>
    </row>
    <row r="885" spans="1:3" x14ac:dyDescent="0.35">
      <c r="A885" s="4">
        <v>1894</v>
      </c>
      <c r="B885" s="4">
        <f>COUNTIFS(Data!$C$2:$C$5001,A885,Data!$U$2:$U$5001,1)</f>
        <v>3</v>
      </c>
      <c r="C885" s="5">
        <f>SUMIFS(Data!$L$2:$L$5001,Data!$C$2:$C$5001,A885,Data!$U$2:$U$5001,1)</f>
        <v>1211.7400000000002</v>
      </c>
    </row>
    <row r="886" spans="1:3" x14ac:dyDescent="0.35">
      <c r="A886" s="4">
        <v>1895</v>
      </c>
      <c r="B886" s="4">
        <f>COUNTIFS(Data!$C$2:$C$5001,A886,Data!$U$2:$U$5001,1)</f>
        <v>6</v>
      </c>
      <c r="C886" s="5">
        <f>SUMIFS(Data!$L$2:$L$5001,Data!$C$2:$C$5001,A886,Data!$U$2:$U$5001,1)</f>
        <v>5026.9399999999996</v>
      </c>
    </row>
    <row r="887" spans="1:3" x14ac:dyDescent="0.35">
      <c r="A887" s="4">
        <v>1896</v>
      </c>
      <c r="B887" s="4">
        <f>COUNTIFS(Data!$C$2:$C$5001,A887,Data!$U$2:$U$5001,1)</f>
        <v>4</v>
      </c>
      <c r="C887" s="5">
        <f>SUMIFS(Data!$L$2:$L$5001,Data!$C$2:$C$5001,A887,Data!$U$2:$U$5001,1)</f>
        <v>5265.38</v>
      </c>
    </row>
    <row r="888" spans="1:3" x14ac:dyDescent="0.35">
      <c r="A888" s="4">
        <v>1897</v>
      </c>
      <c r="B888" s="4">
        <f>COUNTIFS(Data!$C$2:$C$5001,A888,Data!$U$2:$U$5001,1)</f>
        <v>3</v>
      </c>
      <c r="C888" s="5">
        <f>SUMIFS(Data!$L$2:$L$5001,Data!$C$2:$C$5001,A888,Data!$U$2:$U$5001,1)</f>
        <v>2679.8599999999997</v>
      </c>
    </row>
    <row r="889" spans="1:3" x14ac:dyDescent="0.35">
      <c r="A889" s="4">
        <v>1898</v>
      </c>
      <c r="B889" s="4">
        <f>COUNTIFS(Data!$C$2:$C$5001,A889,Data!$U$2:$U$5001,1)</f>
        <v>7</v>
      </c>
      <c r="C889" s="5">
        <f>SUMIFS(Data!$L$2:$L$5001,Data!$C$2:$C$5001,A889,Data!$U$2:$U$5001,1)</f>
        <v>5579.3</v>
      </c>
    </row>
    <row r="890" spans="1:3" x14ac:dyDescent="0.35">
      <c r="A890" s="4">
        <v>1899</v>
      </c>
      <c r="B890" s="4">
        <f>COUNTIFS(Data!$C$2:$C$5001,A890,Data!$U$2:$U$5001,1)</f>
        <v>7</v>
      </c>
      <c r="C890" s="5">
        <f>SUMIFS(Data!$L$2:$L$5001,Data!$C$2:$C$5001,A890,Data!$U$2:$U$5001,1)</f>
        <v>6337.2199999999993</v>
      </c>
    </row>
    <row r="891" spans="1:3" x14ac:dyDescent="0.35">
      <c r="A891" s="4">
        <v>1900</v>
      </c>
      <c r="B891" s="4">
        <f>COUNTIFS(Data!$C$2:$C$5001,A891,Data!$U$2:$U$5001,1)</f>
        <v>3</v>
      </c>
      <c r="C891" s="5">
        <f>SUMIFS(Data!$L$2:$L$5001,Data!$C$2:$C$5001,A891,Data!$U$2:$U$5001,1)</f>
        <v>1699.68</v>
      </c>
    </row>
    <row r="892" spans="1:3" x14ac:dyDescent="0.35">
      <c r="A892" s="4">
        <v>1901</v>
      </c>
      <c r="B892" s="4">
        <f>COUNTIFS(Data!$C$2:$C$5001,A892,Data!$U$2:$U$5001,1)</f>
        <v>4</v>
      </c>
      <c r="C892" s="5">
        <f>SUMIFS(Data!$L$2:$L$5001,Data!$C$2:$C$5001,A892,Data!$U$2:$U$5001,1)</f>
        <v>4891.3099999999995</v>
      </c>
    </row>
    <row r="893" spans="1:3" x14ac:dyDescent="0.35">
      <c r="A893" s="4">
        <v>1902</v>
      </c>
      <c r="B893" s="4">
        <f>COUNTIFS(Data!$C$2:$C$5001,A893,Data!$U$2:$U$5001,1)</f>
        <v>6</v>
      </c>
      <c r="C893" s="5">
        <f>SUMIFS(Data!$L$2:$L$5001,Data!$C$2:$C$5001,A893,Data!$U$2:$U$5001,1)</f>
        <v>3108.85</v>
      </c>
    </row>
    <row r="894" spans="1:3" x14ac:dyDescent="0.35">
      <c r="A894" s="4">
        <v>1903</v>
      </c>
      <c r="B894" s="4">
        <f>COUNTIFS(Data!$C$2:$C$5001,A894,Data!$U$2:$U$5001,1)</f>
        <v>3</v>
      </c>
      <c r="C894" s="5">
        <f>SUMIFS(Data!$L$2:$L$5001,Data!$C$2:$C$5001,A894,Data!$U$2:$U$5001,1)</f>
        <v>1611.0700000000002</v>
      </c>
    </row>
    <row r="895" spans="1:3" x14ac:dyDescent="0.35">
      <c r="A895" s="4">
        <v>1904</v>
      </c>
      <c r="B895" s="4">
        <f>COUNTIFS(Data!$C$2:$C$5001,A895,Data!$U$2:$U$5001,1)</f>
        <v>6</v>
      </c>
      <c r="C895" s="5">
        <f>SUMIFS(Data!$L$2:$L$5001,Data!$C$2:$C$5001,A895,Data!$U$2:$U$5001,1)</f>
        <v>6532.13</v>
      </c>
    </row>
    <row r="896" spans="1:3" x14ac:dyDescent="0.35">
      <c r="A896" s="4">
        <v>1905</v>
      </c>
      <c r="B896" s="4">
        <f>COUNTIFS(Data!$C$2:$C$5001,A896,Data!$U$2:$U$5001,1)</f>
        <v>6</v>
      </c>
      <c r="C896" s="5">
        <f>SUMIFS(Data!$L$2:$L$5001,Data!$C$2:$C$5001,A896,Data!$U$2:$U$5001,1)</f>
        <v>6470.9400000000005</v>
      </c>
    </row>
    <row r="897" spans="1:3" x14ac:dyDescent="0.35">
      <c r="A897" s="4">
        <v>1906</v>
      </c>
      <c r="B897" s="4">
        <f>COUNTIFS(Data!$C$2:$C$5001,A897,Data!$U$2:$U$5001,1)</f>
        <v>4</v>
      </c>
      <c r="C897" s="5">
        <f>SUMIFS(Data!$L$2:$L$5001,Data!$C$2:$C$5001,A897,Data!$U$2:$U$5001,1)</f>
        <v>3883.8199999999997</v>
      </c>
    </row>
    <row r="898" spans="1:3" x14ac:dyDescent="0.35">
      <c r="A898" s="4">
        <v>1907</v>
      </c>
      <c r="B898" s="4">
        <f>COUNTIFS(Data!$C$2:$C$5001,A898,Data!$U$2:$U$5001,1)</f>
        <v>4</v>
      </c>
      <c r="C898" s="5">
        <f>SUMIFS(Data!$L$2:$L$5001,Data!$C$2:$C$5001,A898,Data!$U$2:$U$5001,1)</f>
        <v>6392.85</v>
      </c>
    </row>
    <row r="899" spans="1:3" x14ac:dyDescent="0.35">
      <c r="A899" s="4">
        <v>1908</v>
      </c>
      <c r="B899" s="4">
        <f>COUNTIFS(Data!$C$2:$C$5001,A899,Data!$U$2:$U$5001,1)</f>
        <v>6</v>
      </c>
      <c r="C899" s="5">
        <f>SUMIFS(Data!$L$2:$L$5001,Data!$C$2:$C$5001,A899,Data!$U$2:$U$5001,1)</f>
        <v>9322.3700000000008</v>
      </c>
    </row>
    <row r="900" spans="1:3" x14ac:dyDescent="0.35">
      <c r="A900" s="4">
        <v>1909</v>
      </c>
      <c r="B900" s="4">
        <f>COUNTIFS(Data!$C$2:$C$5001,A900,Data!$U$2:$U$5001,1)</f>
        <v>5</v>
      </c>
      <c r="C900" s="5">
        <f>SUMIFS(Data!$L$2:$L$5001,Data!$C$2:$C$5001,A900,Data!$U$2:$U$5001,1)</f>
        <v>2250.7799999999997</v>
      </c>
    </row>
    <row r="901" spans="1:3" x14ac:dyDescent="0.35">
      <c r="A901" s="4">
        <v>1910</v>
      </c>
      <c r="B901" s="4">
        <f>COUNTIFS(Data!$C$2:$C$5001,A901,Data!$U$2:$U$5001,1)</f>
        <v>6</v>
      </c>
      <c r="C901" s="5">
        <f>SUMIFS(Data!$L$2:$L$5001,Data!$C$2:$C$5001,A901,Data!$U$2:$U$5001,1)</f>
        <v>7726.9400000000005</v>
      </c>
    </row>
    <row r="902" spans="1:3" x14ac:dyDescent="0.35">
      <c r="A902" s="4">
        <v>1911</v>
      </c>
      <c r="B902" s="4">
        <f>COUNTIFS(Data!$C$2:$C$5001,A902,Data!$U$2:$U$5001,1)</f>
        <v>7</v>
      </c>
      <c r="C902" s="5">
        <f>SUMIFS(Data!$L$2:$L$5001,Data!$C$2:$C$5001,A902,Data!$U$2:$U$5001,1)</f>
        <v>7409.56</v>
      </c>
    </row>
    <row r="903" spans="1:3" x14ac:dyDescent="0.35">
      <c r="A903" s="4">
        <v>1912</v>
      </c>
      <c r="B903" s="4">
        <f>COUNTIFS(Data!$C$2:$C$5001,A903,Data!$U$2:$U$5001,1)</f>
        <v>4</v>
      </c>
      <c r="C903" s="5">
        <f>SUMIFS(Data!$L$2:$L$5001,Data!$C$2:$C$5001,A903,Data!$U$2:$U$5001,1)</f>
        <v>4253.58</v>
      </c>
    </row>
    <row r="904" spans="1:3" x14ac:dyDescent="0.35">
      <c r="A904" s="4">
        <v>1913</v>
      </c>
      <c r="B904" s="4">
        <f>COUNTIFS(Data!$C$2:$C$5001,A904,Data!$U$2:$U$5001,1)</f>
        <v>4</v>
      </c>
      <c r="C904" s="5">
        <f>SUMIFS(Data!$L$2:$L$5001,Data!$C$2:$C$5001,A904,Data!$U$2:$U$5001,1)</f>
        <v>3432.16</v>
      </c>
    </row>
    <row r="905" spans="1:3" x14ac:dyDescent="0.35">
      <c r="A905" s="4">
        <v>1914</v>
      </c>
      <c r="B905" s="4">
        <f>COUNTIFS(Data!$C$2:$C$5001,A905,Data!$U$2:$U$5001,1)</f>
        <v>9</v>
      </c>
      <c r="C905" s="5">
        <f>SUMIFS(Data!$L$2:$L$5001,Data!$C$2:$C$5001,A905,Data!$U$2:$U$5001,1)</f>
        <v>8937.07</v>
      </c>
    </row>
    <row r="906" spans="1:3" x14ac:dyDescent="0.35">
      <c r="A906" s="4">
        <v>1915</v>
      </c>
      <c r="B906" s="4">
        <f>COUNTIFS(Data!$C$2:$C$5001,A906,Data!$U$2:$U$5001,1)</f>
        <v>6</v>
      </c>
      <c r="C906" s="5">
        <f>SUMIFS(Data!$L$2:$L$5001,Data!$C$2:$C$5001,A906,Data!$U$2:$U$5001,1)</f>
        <v>5249.5199999999995</v>
      </c>
    </row>
    <row r="907" spans="1:3" x14ac:dyDescent="0.35">
      <c r="A907" s="4">
        <v>1916</v>
      </c>
      <c r="B907" s="4">
        <f>COUNTIFS(Data!$C$2:$C$5001,A907,Data!$U$2:$U$5001,1)</f>
        <v>6</v>
      </c>
      <c r="C907" s="5">
        <f>SUMIFS(Data!$L$2:$L$5001,Data!$C$2:$C$5001,A907,Data!$U$2:$U$5001,1)</f>
        <v>8359.99</v>
      </c>
    </row>
    <row r="908" spans="1:3" x14ac:dyDescent="0.35">
      <c r="A908" s="4">
        <v>1917</v>
      </c>
      <c r="B908" s="4">
        <f>COUNTIFS(Data!$C$2:$C$5001,A908,Data!$U$2:$U$5001,1)</f>
        <v>4</v>
      </c>
      <c r="C908" s="5">
        <f>SUMIFS(Data!$L$2:$L$5001,Data!$C$2:$C$5001,A908,Data!$U$2:$U$5001,1)</f>
        <v>3426.77</v>
      </c>
    </row>
    <row r="909" spans="1:3" x14ac:dyDescent="0.35">
      <c r="A909" s="4">
        <v>1918</v>
      </c>
      <c r="B909" s="4">
        <f>COUNTIFS(Data!$C$2:$C$5001,A909,Data!$U$2:$U$5001,1)</f>
        <v>6</v>
      </c>
      <c r="C909" s="5">
        <f>SUMIFS(Data!$L$2:$L$5001,Data!$C$2:$C$5001,A909,Data!$U$2:$U$5001,1)</f>
        <v>4684.2700000000004</v>
      </c>
    </row>
    <row r="910" spans="1:3" x14ac:dyDescent="0.35">
      <c r="A910" s="4">
        <v>1919</v>
      </c>
      <c r="B910" s="4">
        <f>COUNTIFS(Data!$C$2:$C$5001,A910,Data!$U$2:$U$5001,1)</f>
        <v>6</v>
      </c>
      <c r="C910" s="5">
        <f>SUMIFS(Data!$L$2:$L$5001,Data!$C$2:$C$5001,A910,Data!$U$2:$U$5001,1)</f>
        <v>8128.52</v>
      </c>
    </row>
    <row r="911" spans="1:3" x14ac:dyDescent="0.35">
      <c r="A911" s="4">
        <v>1920</v>
      </c>
      <c r="B911" s="4">
        <f>COUNTIFS(Data!$C$2:$C$5001,A911,Data!$U$2:$U$5001,1)</f>
        <v>10</v>
      </c>
      <c r="C911" s="5">
        <f>SUMIFS(Data!$L$2:$L$5001,Data!$C$2:$C$5001,A911,Data!$U$2:$U$5001,1)</f>
        <v>8261.08</v>
      </c>
    </row>
    <row r="912" spans="1:3" x14ac:dyDescent="0.35">
      <c r="A912" s="4">
        <v>1921</v>
      </c>
      <c r="B912" s="4">
        <f>COUNTIFS(Data!$C$2:$C$5001,A912,Data!$U$2:$U$5001,1)</f>
        <v>5</v>
      </c>
      <c r="C912" s="5">
        <f>SUMIFS(Data!$L$2:$L$5001,Data!$C$2:$C$5001,A912,Data!$U$2:$U$5001,1)</f>
        <v>4595</v>
      </c>
    </row>
    <row r="913" spans="1:3" x14ac:dyDescent="0.35">
      <c r="A913" s="4">
        <v>1922</v>
      </c>
      <c r="B913" s="4">
        <f>COUNTIFS(Data!$C$2:$C$5001,A913,Data!$U$2:$U$5001,1)</f>
        <v>6</v>
      </c>
      <c r="C913" s="5">
        <f>SUMIFS(Data!$L$2:$L$5001,Data!$C$2:$C$5001,A913,Data!$U$2:$U$5001,1)</f>
        <v>7029.01</v>
      </c>
    </row>
    <row r="914" spans="1:3" x14ac:dyDescent="0.35">
      <c r="A914" s="4">
        <v>1923</v>
      </c>
      <c r="B914" s="4">
        <f>COUNTIFS(Data!$C$2:$C$5001,A914,Data!$U$2:$U$5001,1)</f>
        <v>3</v>
      </c>
      <c r="C914" s="5">
        <f>SUMIFS(Data!$L$2:$L$5001,Data!$C$2:$C$5001,A914,Data!$U$2:$U$5001,1)</f>
        <v>3114.0600000000004</v>
      </c>
    </row>
    <row r="915" spans="1:3" x14ac:dyDescent="0.35">
      <c r="A915" s="4">
        <v>1924</v>
      </c>
      <c r="B915" s="4">
        <f>COUNTIFS(Data!$C$2:$C$5001,A915,Data!$U$2:$U$5001,1)</f>
        <v>3</v>
      </c>
      <c r="C915" s="5">
        <f>SUMIFS(Data!$L$2:$L$5001,Data!$C$2:$C$5001,A915,Data!$U$2:$U$5001,1)</f>
        <v>3967.77</v>
      </c>
    </row>
    <row r="916" spans="1:3" x14ac:dyDescent="0.35">
      <c r="A916" s="4">
        <v>1925</v>
      </c>
      <c r="B916" s="4">
        <f>COUNTIFS(Data!$C$2:$C$5001,A916,Data!$U$2:$U$5001,1)</f>
        <v>4</v>
      </c>
      <c r="C916" s="5">
        <f>SUMIFS(Data!$L$2:$L$5001,Data!$C$2:$C$5001,A916,Data!$U$2:$U$5001,1)</f>
        <v>4497.76</v>
      </c>
    </row>
    <row r="917" spans="1:3" x14ac:dyDescent="0.35">
      <c r="A917" s="4">
        <v>1926</v>
      </c>
      <c r="B917" s="4">
        <f>COUNTIFS(Data!$C$2:$C$5001,A917,Data!$U$2:$U$5001,1)</f>
        <v>5</v>
      </c>
      <c r="C917" s="5">
        <f>SUMIFS(Data!$L$2:$L$5001,Data!$C$2:$C$5001,A917,Data!$U$2:$U$5001,1)</f>
        <v>4425.1400000000003</v>
      </c>
    </row>
    <row r="918" spans="1:3" x14ac:dyDescent="0.35">
      <c r="A918" s="4">
        <v>1927</v>
      </c>
      <c r="B918" s="4">
        <f>COUNTIFS(Data!$C$2:$C$5001,A918,Data!$U$2:$U$5001,1)</f>
        <v>4</v>
      </c>
      <c r="C918" s="5">
        <f>SUMIFS(Data!$L$2:$L$5001,Data!$C$2:$C$5001,A918,Data!$U$2:$U$5001,1)</f>
        <v>3811</v>
      </c>
    </row>
    <row r="919" spans="1:3" x14ac:dyDescent="0.35">
      <c r="A919" s="4">
        <v>1928</v>
      </c>
      <c r="B919" s="4">
        <f>COUNTIFS(Data!$C$2:$C$5001,A919,Data!$U$2:$U$5001,1)</f>
        <v>12</v>
      </c>
      <c r="C919" s="5">
        <f>SUMIFS(Data!$L$2:$L$5001,Data!$C$2:$C$5001,A919,Data!$U$2:$U$5001,1)</f>
        <v>9480.659999999998</v>
      </c>
    </row>
    <row r="920" spans="1:3" x14ac:dyDescent="0.35">
      <c r="A920" s="4">
        <v>1929</v>
      </c>
      <c r="B920" s="4">
        <f>COUNTIFS(Data!$C$2:$C$5001,A920,Data!$U$2:$U$5001,1)</f>
        <v>6</v>
      </c>
      <c r="C920" s="5">
        <f>SUMIFS(Data!$L$2:$L$5001,Data!$C$2:$C$5001,A920,Data!$U$2:$U$5001,1)</f>
        <v>5343.02</v>
      </c>
    </row>
    <row r="921" spans="1:3" x14ac:dyDescent="0.35">
      <c r="A921" s="4">
        <v>1930</v>
      </c>
      <c r="B921" s="4">
        <f>COUNTIFS(Data!$C$2:$C$5001,A921,Data!$U$2:$U$5001,1)</f>
        <v>3</v>
      </c>
      <c r="C921" s="5">
        <f>SUMIFS(Data!$L$2:$L$5001,Data!$C$2:$C$5001,A921,Data!$U$2:$U$5001,1)</f>
        <v>6236.51</v>
      </c>
    </row>
    <row r="922" spans="1:3" x14ac:dyDescent="0.35">
      <c r="A922" s="4">
        <v>1931</v>
      </c>
      <c r="B922" s="4">
        <f>COUNTIFS(Data!$C$2:$C$5001,A922,Data!$U$2:$U$5001,1)</f>
        <v>5</v>
      </c>
      <c r="C922" s="5">
        <f>SUMIFS(Data!$L$2:$L$5001,Data!$C$2:$C$5001,A922,Data!$U$2:$U$5001,1)</f>
        <v>6409.1299999999992</v>
      </c>
    </row>
    <row r="923" spans="1:3" x14ac:dyDescent="0.35">
      <c r="A923" s="4">
        <v>1932</v>
      </c>
      <c r="B923" s="4">
        <f>COUNTIFS(Data!$C$2:$C$5001,A923,Data!$U$2:$U$5001,1)</f>
        <v>4</v>
      </c>
      <c r="C923" s="5">
        <f>SUMIFS(Data!$L$2:$L$5001,Data!$C$2:$C$5001,A923,Data!$U$2:$U$5001,1)</f>
        <v>3059.64</v>
      </c>
    </row>
    <row r="924" spans="1:3" x14ac:dyDescent="0.35">
      <c r="A924" s="4">
        <v>1933</v>
      </c>
      <c r="B924" s="4">
        <f>COUNTIFS(Data!$C$2:$C$5001,A924,Data!$U$2:$U$5001,1)</f>
        <v>7</v>
      </c>
      <c r="C924" s="5">
        <f>SUMIFS(Data!$L$2:$L$5001,Data!$C$2:$C$5001,A924,Data!$U$2:$U$5001,1)</f>
        <v>6038.4400000000005</v>
      </c>
    </row>
    <row r="925" spans="1:3" x14ac:dyDescent="0.35">
      <c r="A925" s="4">
        <v>1934</v>
      </c>
      <c r="B925" s="4">
        <f>COUNTIFS(Data!$C$2:$C$5001,A925,Data!$U$2:$U$5001,1)</f>
        <v>6</v>
      </c>
      <c r="C925" s="5">
        <f>SUMIFS(Data!$L$2:$L$5001,Data!$C$2:$C$5001,A925,Data!$U$2:$U$5001,1)</f>
        <v>3519.99</v>
      </c>
    </row>
    <row r="926" spans="1:3" x14ac:dyDescent="0.35">
      <c r="A926" s="4">
        <v>1935</v>
      </c>
      <c r="B926" s="4">
        <f>COUNTIFS(Data!$C$2:$C$5001,A926,Data!$U$2:$U$5001,1)</f>
        <v>12</v>
      </c>
      <c r="C926" s="5">
        <f>SUMIFS(Data!$L$2:$L$5001,Data!$C$2:$C$5001,A926,Data!$U$2:$U$5001,1)</f>
        <v>12656.45</v>
      </c>
    </row>
    <row r="927" spans="1:3" x14ac:dyDescent="0.35">
      <c r="A927" s="4">
        <v>1936</v>
      </c>
      <c r="B927" s="4">
        <f>COUNTIFS(Data!$C$2:$C$5001,A927,Data!$U$2:$U$5001,1)</f>
        <v>8</v>
      </c>
      <c r="C927" s="5">
        <f>SUMIFS(Data!$L$2:$L$5001,Data!$C$2:$C$5001,A927,Data!$U$2:$U$5001,1)</f>
        <v>6816.7699999999995</v>
      </c>
    </row>
    <row r="928" spans="1:3" x14ac:dyDescent="0.35">
      <c r="A928" s="4">
        <v>1937</v>
      </c>
      <c r="B928" s="4">
        <f>COUNTIFS(Data!$C$2:$C$5001,A928,Data!$U$2:$U$5001,1)</f>
        <v>3</v>
      </c>
      <c r="C928" s="5">
        <f>SUMIFS(Data!$L$2:$L$5001,Data!$C$2:$C$5001,A928,Data!$U$2:$U$5001,1)</f>
        <v>1489.26</v>
      </c>
    </row>
    <row r="929" spans="1:3" x14ac:dyDescent="0.35">
      <c r="A929" s="4">
        <v>1938</v>
      </c>
      <c r="B929" s="4">
        <f>COUNTIFS(Data!$C$2:$C$5001,A929,Data!$U$2:$U$5001,1)</f>
        <v>4</v>
      </c>
      <c r="C929" s="5">
        <f>SUMIFS(Data!$L$2:$L$5001,Data!$C$2:$C$5001,A929,Data!$U$2:$U$5001,1)</f>
        <v>5226.0700000000006</v>
      </c>
    </row>
    <row r="930" spans="1:3" x14ac:dyDescent="0.35">
      <c r="A930" s="4">
        <v>1939</v>
      </c>
      <c r="B930" s="4">
        <f>COUNTIFS(Data!$C$2:$C$5001,A930,Data!$U$2:$U$5001,1)</f>
        <v>6</v>
      </c>
      <c r="C930" s="5">
        <f>SUMIFS(Data!$L$2:$L$5001,Data!$C$2:$C$5001,A930,Data!$U$2:$U$5001,1)</f>
        <v>9078.8499999999985</v>
      </c>
    </row>
    <row r="931" spans="1:3" x14ac:dyDescent="0.35">
      <c r="A931" s="4">
        <v>1940</v>
      </c>
      <c r="B931" s="4">
        <f>COUNTIFS(Data!$C$2:$C$5001,A931,Data!$U$2:$U$5001,1)</f>
        <v>3</v>
      </c>
      <c r="C931" s="5">
        <f>SUMIFS(Data!$L$2:$L$5001,Data!$C$2:$C$5001,A931,Data!$U$2:$U$5001,1)</f>
        <v>5884.12</v>
      </c>
    </row>
    <row r="932" spans="1:3" x14ac:dyDescent="0.35">
      <c r="A932" s="4">
        <v>1941</v>
      </c>
      <c r="B932" s="4">
        <f>COUNTIFS(Data!$C$2:$C$5001,A932,Data!$U$2:$U$5001,1)</f>
        <v>4</v>
      </c>
      <c r="C932" s="5">
        <f>SUMIFS(Data!$L$2:$L$5001,Data!$C$2:$C$5001,A932,Data!$U$2:$U$5001,1)</f>
        <v>2838.8199999999997</v>
      </c>
    </row>
    <row r="933" spans="1:3" x14ac:dyDescent="0.35">
      <c r="A933" s="4">
        <v>1942</v>
      </c>
      <c r="B933" s="4">
        <f>COUNTIFS(Data!$C$2:$C$5001,A933,Data!$U$2:$U$5001,1)</f>
        <v>8</v>
      </c>
      <c r="C933" s="5">
        <f>SUMIFS(Data!$L$2:$L$5001,Data!$C$2:$C$5001,A933,Data!$U$2:$U$5001,1)</f>
        <v>10071.24</v>
      </c>
    </row>
    <row r="934" spans="1:3" x14ac:dyDescent="0.35">
      <c r="A934" s="4">
        <v>1943</v>
      </c>
      <c r="B934" s="4">
        <f>COUNTIFS(Data!$C$2:$C$5001,A934,Data!$U$2:$U$5001,1)</f>
        <v>6</v>
      </c>
      <c r="C934" s="5">
        <f>SUMIFS(Data!$L$2:$L$5001,Data!$C$2:$C$5001,A934,Data!$U$2:$U$5001,1)</f>
        <v>5760.63</v>
      </c>
    </row>
    <row r="935" spans="1:3" x14ac:dyDescent="0.35">
      <c r="A935" s="4">
        <v>1944</v>
      </c>
      <c r="B935" s="4">
        <f>COUNTIFS(Data!$C$2:$C$5001,A935,Data!$U$2:$U$5001,1)</f>
        <v>4</v>
      </c>
      <c r="C935" s="5">
        <f>SUMIFS(Data!$L$2:$L$5001,Data!$C$2:$C$5001,A935,Data!$U$2:$U$5001,1)</f>
        <v>2262.5299999999997</v>
      </c>
    </row>
    <row r="936" spans="1:3" x14ac:dyDescent="0.35">
      <c r="A936" s="4">
        <v>1945</v>
      </c>
      <c r="B936" s="4">
        <f>COUNTIFS(Data!$C$2:$C$5001,A936,Data!$U$2:$U$5001,1)</f>
        <v>6</v>
      </c>
      <c r="C936" s="5">
        <f>SUMIFS(Data!$L$2:$L$5001,Data!$C$2:$C$5001,A936,Data!$U$2:$U$5001,1)</f>
        <v>5050.99</v>
      </c>
    </row>
    <row r="937" spans="1:3" x14ac:dyDescent="0.35">
      <c r="A937" s="4">
        <v>1946</v>
      </c>
      <c r="B937" s="4">
        <f>COUNTIFS(Data!$C$2:$C$5001,A937,Data!$U$2:$U$5001,1)</f>
        <v>9</v>
      </c>
      <c r="C937" s="5">
        <f>SUMIFS(Data!$L$2:$L$5001,Data!$C$2:$C$5001,A937,Data!$U$2:$U$5001,1)</f>
        <v>9969.16</v>
      </c>
    </row>
    <row r="938" spans="1:3" x14ac:dyDescent="0.35">
      <c r="A938" s="4">
        <v>1947</v>
      </c>
      <c r="B938" s="4">
        <f>COUNTIFS(Data!$C$2:$C$5001,A938,Data!$U$2:$U$5001,1)</f>
        <v>4</v>
      </c>
      <c r="C938" s="5">
        <f>SUMIFS(Data!$L$2:$L$5001,Data!$C$2:$C$5001,A938,Data!$U$2:$U$5001,1)</f>
        <v>5242.9</v>
      </c>
    </row>
    <row r="939" spans="1:3" x14ac:dyDescent="0.35">
      <c r="A939" s="4">
        <v>1948</v>
      </c>
      <c r="B939" s="4">
        <f>COUNTIFS(Data!$C$2:$C$5001,A939,Data!$U$2:$U$5001,1)</f>
        <v>4</v>
      </c>
      <c r="C939" s="5">
        <f>SUMIFS(Data!$L$2:$L$5001,Data!$C$2:$C$5001,A939,Data!$U$2:$U$5001,1)</f>
        <v>4593.84</v>
      </c>
    </row>
    <row r="940" spans="1:3" x14ac:dyDescent="0.35">
      <c r="A940" s="4">
        <v>1949</v>
      </c>
      <c r="B940" s="4">
        <f>COUNTIFS(Data!$C$2:$C$5001,A940,Data!$U$2:$U$5001,1)</f>
        <v>2</v>
      </c>
      <c r="C940" s="5">
        <f>SUMIFS(Data!$L$2:$L$5001,Data!$C$2:$C$5001,A940,Data!$U$2:$U$5001,1)</f>
        <v>1749.01</v>
      </c>
    </row>
    <row r="941" spans="1:3" x14ac:dyDescent="0.35">
      <c r="A941" s="4">
        <v>1950</v>
      </c>
      <c r="B941" s="4">
        <f>COUNTIFS(Data!$C$2:$C$5001,A941,Data!$U$2:$U$5001,1)</f>
        <v>4</v>
      </c>
      <c r="C941" s="5">
        <f>SUMIFS(Data!$L$2:$L$5001,Data!$C$2:$C$5001,A941,Data!$U$2:$U$5001,1)</f>
        <v>1953.12</v>
      </c>
    </row>
    <row r="942" spans="1:3" x14ac:dyDescent="0.35">
      <c r="A942" s="4">
        <v>1951</v>
      </c>
      <c r="B942" s="4">
        <f>COUNTIFS(Data!$C$2:$C$5001,A942,Data!$U$2:$U$5001,1)</f>
        <v>6</v>
      </c>
      <c r="C942" s="5">
        <f>SUMIFS(Data!$L$2:$L$5001,Data!$C$2:$C$5001,A942,Data!$U$2:$U$5001,1)</f>
        <v>8176.6900000000005</v>
      </c>
    </row>
    <row r="943" spans="1:3" x14ac:dyDescent="0.35">
      <c r="A943" s="4">
        <v>1952</v>
      </c>
      <c r="B943" s="4">
        <f>COUNTIFS(Data!$C$2:$C$5001,A943,Data!$U$2:$U$5001,1)</f>
        <v>6</v>
      </c>
      <c r="C943" s="5">
        <f>SUMIFS(Data!$L$2:$L$5001,Data!$C$2:$C$5001,A943,Data!$U$2:$U$5001,1)</f>
        <v>6053.6500000000005</v>
      </c>
    </row>
    <row r="944" spans="1:3" x14ac:dyDescent="0.35">
      <c r="A944" s="4">
        <v>1953</v>
      </c>
      <c r="B944" s="4">
        <f>COUNTIFS(Data!$C$2:$C$5001,A944,Data!$U$2:$U$5001,1)</f>
        <v>3</v>
      </c>
      <c r="C944" s="5">
        <f>SUMIFS(Data!$L$2:$L$5001,Data!$C$2:$C$5001,A944,Data!$U$2:$U$5001,1)</f>
        <v>1740.4700000000003</v>
      </c>
    </row>
    <row r="945" spans="1:3" x14ac:dyDescent="0.35">
      <c r="A945" s="4">
        <v>1954</v>
      </c>
      <c r="B945" s="4">
        <f>COUNTIFS(Data!$C$2:$C$5001,A945,Data!$U$2:$U$5001,1)</f>
        <v>8</v>
      </c>
      <c r="C945" s="5">
        <f>SUMIFS(Data!$L$2:$L$5001,Data!$C$2:$C$5001,A945,Data!$U$2:$U$5001,1)</f>
        <v>11524.23</v>
      </c>
    </row>
    <row r="946" spans="1:3" x14ac:dyDescent="0.35">
      <c r="A946" s="4">
        <v>1955</v>
      </c>
      <c r="B946" s="4">
        <f>COUNTIFS(Data!$C$2:$C$5001,A946,Data!$U$2:$U$5001,1)</f>
        <v>10</v>
      </c>
      <c r="C946" s="5">
        <f>SUMIFS(Data!$L$2:$L$5001,Data!$C$2:$C$5001,A946,Data!$U$2:$U$5001,1)</f>
        <v>16265.15</v>
      </c>
    </row>
    <row r="947" spans="1:3" x14ac:dyDescent="0.35">
      <c r="A947" s="4">
        <v>1956</v>
      </c>
      <c r="B947" s="4">
        <f>COUNTIFS(Data!$C$2:$C$5001,A947,Data!$U$2:$U$5001,1)</f>
        <v>7</v>
      </c>
      <c r="C947" s="5">
        <f>SUMIFS(Data!$L$2:$L$5001,Data!$C$2:$C$5001,A947,Data!$U$2:$U$5001,1)</f>
        <v>7952.9800000000005</v>
      </c>
    </row>
    <row r="948" spans="1:3" x14ac:dyDescent="0.35">
      <c r="A948" s="4">
        <v>1957</v>
      </c>
      <c r="B948" s="4">
        <f>COUNTIFS(Data!$C$2:$C$5001,A948,Data!$U$2:$U$5001,1)</f>
        <v>12</v>
      </c>
      <c r="C948" s="5">
        <f>SUMIFS(Data!$L$2:$L$5001,Data!$C$2:$C$5001,A948,Data!$U$2:$U$5001,1)</f>
        <v>13956.949999999999</v>
      </c>
    </row>
    <row r="949" spans="1:3" x14ac:dyDescent="0.35">
      <c r="A949" s="4">
        <v>1958</v>
      </c>
      <c r="B949" s="4">
        <f>COUNTIFS(Data!$C$2:$C$5001,A949,Data!$U$2:$U$5001,1)</f>
        <v>6</v>
      </c>
      <c r="C949" s="5">
        <f>SUMIFS(Data!$L$2:$L$5001,Data!$C$2:$C$5001,A949,Data!$U$2:$U$5001,1)</f>
        <v>7625.2300000000005</v>
      </c>
    </row>
    <row r="950" spans="1:3" x14ac:dyDescent="0.35">
      <c r="A950" s="4">
        <v>1959</v>
      </c>
      <c r="B950" s="4">
        <f>COUNTIFS(Data!$C$2:$C$5001,A950,Data!$U$2:$U$5001,1)</f>
        <v>3</v>
      </c>
      <c r="C950" s="5">
        <f>SUMIFS(Data!$L$2:$L$5001,Data!$C$2:$C$5001,A950,Data!$U$2:$U$5001,1)</f>
        <v>4429.51</v>
      </c>
    </row>
    <row r="951" spans="1:3" x14ac:dyDescent="0.35">
      <c r="A951" s="4">
        <v>1960</v>
      </c>
      <c r="B951" s="4">
        <f>COUNTIFS(Data!$C$2:$C$5001,A951,Data!$U$2:$U$5001,1)</f>
        <v>2</v>
      </c>
      <c r="C951" s="5">
        <f>SUMIFS(Data!$L$2:$L$5001,Data!$C$2:$C$5001,A951,Data!$U$2:$U$5001,1)</f>
        <v>1082.56</v>
      </c>
    </row>
    <row r="952" spans="1:3" x14ac:dyDescent="0.35">
      <c r="A952" s="4">
        <v>1961</v>
      </c>
      <c r="B952" s="4">
        <f>COUNTIFS(Data!$C$2:$C$5001,A952,Data!$U$2:$U$5001,1)</f>
        <v>9</v>
      </c>
      <c r="C952" s="5">
        <f>SUMIFS(Data!$L$2:$L$5001,Data!$C$2:$C$5001,A952,Data!$U$2:$U$5001,1)</f>
        <v>11674.270000000002</v>
      </c>
    </row>
    <row r="953" spans="1:3" x14ac:dyDescent="0.35">
      <c r="A953" s="4">
        <v>1962</v>
      </c>
      <c r="B953" s="4">
        <f>COUNTIFS(Data!$C$2:$C$5001,A953,Data!$U$2:$U$5001,1)</f>
        <v>5</v>
      </c>
      <c r="C953" s="5">
        <f>SUMIFS(Data!$L$2:$L$5001,Data!$C$2:$C$5001,A953,Data!$U$2:$U$5001,1)</f>
        <v>4287.93</v>
      </c>
    </row>
    <row r="954" spans="1:3" x14ac:dyDescent="0.35">
      <c r="A954" s="4">
        <v>1963</v>
      </c>
      <c r="B954" s="4">
        <f>COUNTIFS(Data!$C$2:$C$5001,A954,Data!$U$2:$U$5001,1)</f>
        <v>4</v>
      </c>
      <c r="C954" s="5">
        <f>SUMIFS(Data!$L$2:$L$5001,Data!$C$2:$C$5001,A954,Data!$U$2:$U$5001,1)</f>
        <v>7776.4599999999991</v>
      </c>
    </row>
    <row r="955" spans="1:3" x14ac:dyDescent="0.35">
      <c r="A955" s="4">
        <v>1964</v>
      </c>
      <c r="B955" s="4">
        <f>COUNTIFS(Data!$C$2:$C$5001,A955,Data!$U$2:$U$5001,1)</f>
        <v>1</v>
      </c>
      <c r="C955" s="5">
        <f>SUMIFS(Data!$L$2:$L$5001,Data!$C$2:$C$5001,A955,Data!$U$2:$U$5001,1)</f>
        <v>930.49</v>
      </c>
    </row>
    <row r="956" spans="1:3" x14ac:dyDescent="0.35">
      <c r="A956" s="4">
        <v>1965</v>
      </c>
      <c r="B956" s="4">
        <f>COUNTIFS(Data!$C$2:$C$5001,A956,Data!$U$2:$U$5001,1)</f>
        <v>6</v>
      </c>
      <c r="C956" s="5">
        <f>SUMIFS(Data!$L$2:$L$5001,Data!$C$2:$C$5001,A956,Data!$U$2:$U$5001,1)</f>
        <v>6375.74</v>
      </c>
    </row>
    <row r="957" spans="1:3" x14ac:dyDescent="0.35">
      <c r="A957" s="4">
        <v>1966</v>
      </c>
      <c r="B957" s="4">
        <f>COUNTIFS(Data!$C$2:$C$5001,A957,Data!$U$2:$U$5001,1)</f>
        <v>2</v>
      </c>
      <c r="C957" s="5">
        <f>SUMIFS(Data!$L$2:$L$5001,Data!$C$2:$C$5001,A957,Data!$U$2:$U$5001,1)</f>
        <v>1227.67</v>
      </c>
    </row>
    <row r="958" spans="1:3" x14ac:dyDescent="0.35">
      <c r="A958" s="4">
        <v>1967</v>
      </c>
      <c r="B958" s="4">
        <f>COUNTIFS(Data!$C$2:$C$5001,A958,Data!$U$2:$U$5001,1)</f>
        <v>6</v>
      </c>
      <c r="C958" s="5">
        <f>SUMIFS(Data!$L$2:$L$5001,Data!$C$2:$C$5001,A958,Data!$U$2:$U$5001,1)</f>
        <v>10192.200000000001</v>
      </c>
    </row>
    <row r="959" spans="1:3" x14ac:dyDescent="0.35">
      <c r="A959" s="4">
        <v>1968</v>
      </c>
      <c r="B959" s="4">
        <f>COUNTIFS(Data!$C$2:$C$5001,A959,Data!$U$2:$U$5001,1)</f>
        <v>5</v>
      </c>
      <c r="C959" s="5">
        <f>SUMIFS(Data!$L$2:$L$5001,Data!$C$2:$C$5001,A959,Data!$U$2:$U$5001,1)</f>
        <v>6797.26</v>
      </c>
    </row>
    <row r="960" spans="1:3" x14ac:dyDescent="0.35">
      <c r="A960" s="4">
        <v>1969</v>
      </c>
      <c r="B960" s="4">
        <f>COUNTIFS(Data!$C$2:$C$5001,A960,Data!$U$2:$U$5001,1)</f>
        <v>4</v>
      </c>
      <c r="C960" s="5">
        <f>SUMIFS(Data!$L$2:$L$5001,Data!$C$2:$C$5001,A960,Data!$U$2:$U$5001,1)</f>
        <v>3137.46</v>
      </c>
    </row>
    <row r="961" spans="1:3" x14ac:dyDescent="0.35">
      <c r="A961" s="4">
        <v>1970</v>
      </c>
      <c r="B961" s="4">
        <f>COUNTIFS(Data!$C$2:$C$5001,A961,Data!$U$2:$U$5001,1)</f>
        <v>8</v>
      </c>
      <c r="C961" s="5">
        <f>SUMIFS(Data!$L$2:$L$5001,Data!$C$2:$C$5001,A961,Data!$U$2:$U$5001,1)</f>
        <v>10178.75</v>
      </c>
    </row>
    <row r="962" spans="1:3" x14ac:dyDescent="0.35">
      <c r="A962" s="4">
        <v>1971</v>
      </c>
      <c r="B962" s="4">
        <f>COUNTIFS(Data!$C$2:$C$5001,A962,Data!$U$2:$U$5001,1)</f>
        <v>3</v>
      </c>
      <c r="C962" s="5">
        <f>SUMIFS(Data!$L$2:$L$5001,Data!$C$2:$C$5001,A962,Data!$U$2:$U$5001,1)</f>
        <v>3159.7</v>
      </c>
    </row>
    <row r="963" spans="1:3" x14ac:dyDescent="0.35">
      <c r="A963" s="4">
        <v>1972</v>
      </c>
      <c r="B963" s="4">
        <f>COUNTIFS(Data!$C$2:$C$5001,A963,Data!$U$2:$U$5001,1)</f>
        <v>9</v>
      </c>
      <c r="C963" s="5">
        <f>SUMIFS(Data!$L$2:$L$5001,Data!$C$2:$C$5001,A963,Data!$U$2:$U$5001,1)</f>
        <v>8884.7199999999993</v>
      </c>
    </row>
    <row r="964" spans="1:3" x14ac:dyDescent="0.35">
      <c r="A964" s="4">
        <v>1973</v>
      </c>
      <c r="B964" s="4">
        <f>COUNTIFS(Data!$C$2:$C$5001,A964,Data!$U$2:$U$5001,1)</f>
        <v>7</v>
      </c>
      <c r="C964" s="5">
        <f>SUMIFS(Data!$L$2:$L$5001,Data!$C$2:$C$5001,A964,Data!$U$2:$U$5001,1)</f>
        <v>7816.380000000001</v>
      </c>
    </row>
    <row r="965" spans="1:3" x14ac:dyDescent="0.35">
      <c r="A965" s="4">
        <v>1974</v>
      </c>
      <c r="B965" s="4">
        <f>COUNTIFS(Data!$C$2:$C$5001,A965,Data!$U$2:$U$5001,1)</f>
        <v>5</v>
      </c>
      <c r="C965" s="5">
        <f>SUMIFS(Data!$L$2:$L$5001,Data!$C$2:$C$5001,A965,Data!$U$2:$U$5001,1)</f>
        <v>5050.25</v>
      </c>
    </row>
    <row r="966" spans="1:3" x14ac:dyDescent="0.35">
      <c r="A966" s="4">
        <v>1975</v>
      </c>
      <c r="B966" s="4">
        <f>COUNTIFS(Data!$C$2:$C$5001,A966,Data!$U$2:$U$5001,1)</f>
        <v>5</v>
      </c>
      <c r="C966" s="5">
        <f>SUMIFS(Data!$L$2:$L$5001,Data!$C$2:$C$5001,A966,Data!$U$2:$U$5001,1)</f>
        <v>7115.4400000000005</v>
      </c>
    </row>
    <row r="967" spans="1:3" x14ac:dyDescent="0.35">
      <c r="A967" s="4">
        <v>1976</v>
      </c>
      <c r="B967" s="4">
        <f>COUNTIFS(Data!$C$2:$C$5001,A967,Data!$U$2:$U$5001,1)</f>
        <v>5</v>
      </c>
      <c r="C967" s="5">
        <f>SUMIFS(Data!$L$2:$L$5001,Data!$C$2:$C$5001,A967,Data!$U$2:$U$5001,1)</f>
        <v>3951.65</v>
      </c>
    </row>
    <row r="968" spans="1:3" x14ac:dyDescent="0.35">
      <c r="A968" s="4">
        <v>1977</v>
      </c>
      <c r="B968" s="4">
        <f>COUNTIFS(Data!$C$2:$C$5001,A968,Data!$U$2:$U$5001,1)</f>
        <v>7</v>
      </c>
      <c r="C968" s="5">
        <f>SUMIFS(Data!$L$2:$L$5001,Data!$C$2:$C$5001,A968,Data!$U$2:$U$5001,1)</f>
        <v>8770.65</v>
      </c>
    </row>
    <row r="969" spans="1:3" x14ac:dyDescent="0.35">
      <c r="A969" s="4">
        <v>1978</v>
      </c>
      <c r="B969" s="4">
        <f>COUNTIFS(Data!$C$2:$C$5001,A969,Data!$U$2:$U$5001,1)</f>
        <v>1</v>
      </c>
      <c r="C969" s="5">
        <f>SUMIFS(Data!$L$2:$L$5001,Data!$C$2:$C$5001,A969,Data!$U$2:$U$5001,1)</f>
        <v>384.96</v>
      </c>
    </row>
    <row r="970" spans="1:3" x14ac:dyDescent="0.35">
      <c r="A970" s="4">
        <v>1979</v>
      </c>
      <c r="B970" s="4">
        <f>COUNTIFS(Data!$C$2:$C$5001,A970,Data!$U$2:$U$5001,1)</f>
        <v>6</v>
      </c>
      <c r="C970" s="5">
        <f>SUMIFS(Data!$L$2:$L$5001,Data!$C$2:$C$5001,A970,Data!$U$2:$U$5001,1)</f>
        <v>5815.09</v>
      </c>
    </row>
    <row r="971" spans="1:3" x14ac:dyDescent="0.35">
      <c r="A971" s="4">
        <v>1980</v>
      </c>
      <c r="B971" s="4">
        <f>COUNTIFS(Data!$C$2:$C$5001,A971,Data!$U$2:$U$5001,1)</f>
        <v>5</v>
      </c>
      <c r="C971" s="5">
        <f>SUMIFS(Data!$L$2:$L$5001,Data!$C$2:$C$5001,A971,Data!$U$2:$U$5001,1)</f>
        <v>5148.76</v>
      </c>
    </row>
    <row r="972" spans="1:3" x14ac:dyDescent="0.35">
      <c r="A972" s="4">
        <v>1981</v>
      </c>
      <c r="B972" s="4">
        <f>COUNTIFS(Data!$C$2:$C$5001,A972,Data!$U$2:$U$5001,1)</f>
        <v>4</v>
      </c>
      <c r="C972" s="5">
        <f>SUMIFS(Data!$L$2:$L$5001,Data!$C$2:$C$5001,A972,Data!$U$2:$U$5001,1)</f>
        <v>4866.13</v>
      </c>
    </row>
    <row r="973" spans="1:3" x14ac:dyDescent="0.35">
      <c r="A973" s="4">
        <v>1982</v>
      </c>
      <c r="B973" s="4">
        <f>COUNTIFS(Data!$C$2:$C$5001,A973,Data!$U$2:$U$5001,1)</f>
        <v>7</v>
      </c>
      <c r="C973" s="5">
        <f>SUMIFS(Data!$L$2:$L$5001,Data!$C$2:$C$5001,A973,Data!$U$2:$U$5001,1)</f>
        <v>8309</v>
      </c>
    </row>
    <row r="974" spans="1:3" x14ac:dyDescent="0.35">
      <c r="A974" s="4">
        <v>1983</v>
      </c>
      <c r="B974" s="4">
        <f>COUNTIFS(Data!$C$2:$C$5001,A974,Data!$U$2:$U$5001,1)</f>
        <v>7</v>
      </c>
      <c r="C974" s="5">
        <f>SUMIFS(Data!$L$2:$L$5001,Data!$C$2:$C$5001,A974,Data!$U$2:$U$5001,1)</f>
        <v>5872.6799999999994</v>
      </c>
    </row>
    <row r="975" spans="1:3" x14ac:dyDescent="0.35">
      <c r="A975" s="4">
        <v>1984</v>
      </c>
      <c r="B975" s="4">
        <f>COUNTIFS(Data!$C$2:$C$5001,A975,Data!$U$2:$U$5001,1)</f>
        <v>6</v>
      </c>
      <c r="C975" s="5">
        <f>SUMIFS(Data!$L$2:$L$5001,Data!$C$2:$C$5001,A975,Data!$U$2:$U$5001,1)</f>
        <v>5249.59</v>
      </c>
    </row>
    <row r="976" spans="1:3" x14ac:dyDescent="0.35">
      <c r="A976" s="4">
        <v>1985</v>
      </c>
      <c r="B976" s="4">
        <f>COUNTIFS(Data!$C$2:$C$5001,A976,Data!$U$2:$U$5001,1)</f>
        <v>6</v>
      </c>
      <c r="C976" s="5">
        <f>SUMIFS(Data!$L$2:$L$5001,Data!$C$2:$C$5001,A976,Data!$U$2:$U$5001,1)</f>
        <v>5848.1399999999994</v>
      </c>
    </row>
    <row r="977" spans="1:3" x14ac:dyDescent="0.35">
      <c r="A977" s="4">
        <v>1986</v>
      </c>
      <c r="B977" s="4">
        <f>COUNTIFS(Data!$C$2:$C$5001,A977,Data!$U$2:$U$5001,1)</f>
        <v>6</v>
      </c>
      <c r="C977" s="5">
        <f>SUMIFS(Data!$L$2:$L$5001,Data!$C$2:$C$5001,A977,Data!$U$2:$U$5001,1)</f>
        <v>5764.4</v>
      </c>
    </row>
    <row r="978" spans="1:3" x14ac:dyDescent="0.35">
      <c r="A978" s="4">
        <v>1987</v>
      </c>
      <c r="B978" s="4">
        <f>COUNTIFS(Data!$C$2:$C$5001,A978,Data!$U$2:$U$5001,1)</f>
        <v>8</v>
      </c>
      <c r="C978" s="5">
        <f>SUMIFS(Data!$L$2:$L$5001,Data!$C$2:$C$5001,A978,Data!$U$2:$U$5001,1)</f>
        <v>10944.28</v>
      </c>
    </row>
    <row r="979" spans="1:3" x14ac:dyDescent="0.35">
      <c r="A979" s="4">
        <v>1988</v>
      </c>
      <c r="B979" s="4">
        <f>COUNTIFS(Data!$C$2:$C$5001,A979,Data!$U$2:$U$5001,1)</f>
        <v>4</v>
      </c>
      <c r="C979" s="5">
        <f>SUMIFS(Data!$L$2:$L$5001,Data!$C$2:$C$5001,A979,Data!$U$2:$U$5001,1)</f>
        <v>3662.2400000000002</v>
      </c>
    </row>
    <row r="980" spans="1:3" x14ac:dyDescent="0.35">
      <c r="A980" s="4">
        <v>1989</v>
      </c>
      <c r="B980" s="4">
        <f>COUNTIFS(Data!$C$2:$C$5001,A980,Data!$U$2:$U$5001,1)</f>
        <v>8</v>
      </c>
      <c r="C980" s="5">
        <f>SUMIFS(Data!$L$2:$L$5001,Data!$C$2:$C$5001,A980,Data!$U$2:$U$5001,1)</f>
        <v>9967.0499999999993</v>
      </c>
    </row>
    <row r="981" spans="1:3" x14ac:dyDescent="0.35">
      <c r="A981" s="4">
        <v>1990</v>
      </c>
      <c r="B981" s="4">
        <f>COUNTIFS(Data!$C$2:$C$5001,A981,Data!$U$2:$U$5001,1)</f>
        <v>3</v>
      </c>
      <c r="C981" s="5">
        <f>SUMIFS(Data!$L$2:$L$5001,Data!$C$2:$C$5001,A981,Data!$U$2:$U$5001,1)</f>
        <v>1954.48</v>
      </c>
    </row>
    <row r="982" spans="1:3" x14ac:dyDescent="0.35">
      <c r="A982" s="4">
        <v>1991</v>
      </c>
      <c r="B982" s="4">
        <f>COUNTIFS(Data!$C$2:$C$5001,A982,Data!$U$2:$U$5001,1)</f>
        <v>3</v>
      </c>
      <c r="C982" s="5">
        <f>SUMIFS(Data!$L$2:$L$5001,Data!$C$2:$C$5001,A982,Data!$U$2:$U$5001,1)</f>
        <v>1103.6100000000001</v>
      </c>
    </row>
    <row r="983" spans="1:3" x14ac:dyDescent="0.35">
      <c r="A983" s="4">
        <v>1992</v>
      </c>
      <c r="B983" s="4">
        <f>COUNTIFS(Data!$C$2:$C$5001,A983,Data!$U$2:$U$5001,1)</f>
        <v>6</v>
      </c>
      <c r="C983" s="5">
        <f>SUMIFS(Data!$L$2:$L$5001,Data!$C$2:$C$5001,A983,Data!$U$2:$U$5001,1)</f>
        <v>8005.63</v>
      </c>
    </row>
    <row r="984" spans="1:3" x14ac:dyDescent="0.35">
      <c r="A984" s="4">
        <v>1993</v>
      </c>
      <c r="B984" s="4">
        <f>COUNTIFS(Data!$C$2:$C$5001,A984,Data!$U$2:$U$5001,1)</f>
        <v>6</v>
      </c>
      <c r="C984" s="5">
        <f>SUMIFS(Data!$L$2:$L$5001,Data!$C$2:$C$5001,A984,Data!$U$2:$U$5001,1)</f>
        <v>6530.3200000000015</v>
      </c>
    </row>
    <row r="985" spans="1:3" x14ac:dyDescent="0.35">
      <c r="A985" s="4">
        <v>1994</v>
      </c>
      <c r="B985" s="4">
        <f>COUNTIFS(Data!$C$2:$C$5001,A985,Data!$U$2:$U$5001,1)</f>
        <v>5</v>
      </c>
      <c r="C985" s="5">
        <f>SUMIFS(Data!$L$2:$L$5001,Data!$C$2:$C$5001,A985,Data!$U$2:$U$5001,1)</f>
        <v>5410</v>
      </c>
    </row>
    <row r="986" spans="1:3" x14ac:dyDescent="0.35">
      <c r="A986" s="4">
        <v>1995</v>
      </c>
      <c r="B986" s="4">
        <f>COUNTIFS(Data!$C$2:$C$5001,A986,Data!$U$2:$U$5001,1)</f>
        <v>4</v>
      </c>
      <c r="C986" s="5">
        <f>SUMIFS(Data!$L$2:$L$5001,Data!$C$2:$C$5001,A986,Data!$U$2:$U$5001,1)</f>
        <v>4082.0600000000004</v>
      </c>
    </row>
    <row r="987" spans="1:3" x14ac:dyDescent="0.35">
      <c r="A987" s="4">
        <v>1996</v>
      </c>
      <c r="B987" s="4">
        <f>COUNTIFS(Data!$C$2:$C$5001,A987,Data!$U$2:$U$5001,1)</f>
        <v>7</v>
      </c>
      <c r="C987" s="5">
        <f>SUMIFS(Data!$L$2:$L$5001,Data!$C$2:$C$5001,A987,Data!$U$2:$U$5001,1)</f>
        <v>7053.98</v>
      </c>
    </row>
    <row r="988" spans="1:3" x14ac:dyDescent="0.35">
      <c r="A988" s="4">
        <v>1997</v>
      </c>
      <c r="B988" s="4">
        <f>COUNTIFS(Data!$C$2:$C$5001,A988,Data!$U$2:$U$5001,1)</f>
        <v>6</v>
      </c>
      <c r="C988" s="5">
        <f>SUMIFS(Data!$L$2:$L$5001,Data!$C$2:$C$5001,A988,Data!$U$2:$U$5001,1)</f>
        <v>6466.3</v>
      </c>
    </row>
    <row r="989" spans="1:3" x14ac:dyDescent="0.35">
      <c r="A989" s="4">
        <v>1998</v>
      </c>
      <c r="B989" s="4">
        <f>COUNTIFS(Data!$C$2:$C$5001,A989,Data!$U$2:$U$5001,1)</f>
        <v>5</v>
      </c>
      <c r="C989" s="5">
        <f>SUMIFS(Data!$L$2:$L$5001,Data!$C$2:$C$5001,A989,Data!$U$2:$U$5001,1)</f>
        <v>7213.6900000000005</v>
      </c>
    </row>
    <row r="990" spans="1:3" x14ac:dyDescent="0.35">
      <c r="A990" s="4">
        <v>1999</v>
      </c>
      <c r="B990" s="4">
        <f>COUNTIFS(Data!$C$2:$C$5001,A990,Data!$U$2:$U$5001,1)</f>
        <v>1</v>
      </c>
      <c r="C990" s="5">
        <f>SUMIFS(Data!$L$2:$L$5001,Data!$C$2:$C$5001,A990,Data!$U$2:$U$5001,1)</f>
        <v>465.53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topLeftCell="A8" zoomScaleNormal="100" workbookViewId="0">
      <selection activeCell="B3" sqref="B3"/>
    </sheetView>
  </sheetViews>
  <sheetFormatPr defaultColWidth="8.6328125" defaultRowHeight="14" x14ac:dyDescent="0.3"/>
  <cols>
    <col min="1" max="1" width="24" style="7" customWidth="1"/>
    <col min="2" max="3" width="62" style="7" customWidth="1"/>
    <col min="4" max="16384" width="8.6328125" style="7"/>
  </cols>
  <sheetData>
    <row r="1" spans="1:3" ht="16.5" x14ac:dyDescent="0.35">
      <c r="A1" s="6" t="s">
        <v>291</v>
      </c>
    </row>
    <row r="3" spans="1:3" x14ac:dyDescent="0.3">
      <c r="A3" s="8" t="s">
        <v>292</v>
      </c>
      <c r="B3" s="8"/>
      <c r="C3" s="8"/>
    </row>
    <row r="4" spans="1:3" ht="26" x14ac:dyDescent="0.3">
      <c r="A4" s="9" t="s">
        <v>293</v>
      </c>
      <c r="B4" s="10" t="s">
        <v>294</v>
      </c>
      <c r="C4" s="10" t="s">
        <v>295</v>
      </c>
    </row>
    <row r="5" spans="1:3" ht="26" x14ac:dyDescent="0.3">
      <c r="A5" s="9" t="s">
        <v>296</v>
      </c>
      <c r="B5" s="10" t="s">
        <v>297</v>
      </c>
      <c r="C5" s="10" t="s">
        <v>298</v>
      </c>
    </row>
    <row r="6" spans="1:3" x14ac:dyDescent="0.3">
      <c r="A6" s="11"/>
      <c r="B6" s="12"/>
      <c r="C6" s="12"/>
    </row>
    <row r="7" spans="1:3" x14ac:dyDescent="0.3">
      <c r="A7" s="8" t="s">
        <v>246</v>
      </c>
      <c r="B7" s="8" t="s">
        <v>299</v>
      </c>
      <c r="C7" s="8" t="s">
        <v>300</v>
      </c>
    </row>
    <row r="8" spans="1:3" x14ac:dyDescent="0.3">
      <c r="A8" s="9" t="s">
        <v>16</v>
      </c>
      <c r="B8" s="10" t="s">
        <v>301</v>
      </c>
      <c r="C8" s="10" t="s">
        <v>302</v>
      </c>
    </row>
    <row r="9" spans="1:3" ht="26" x14ac:dyDescent="0.3">
      <c r="A9" s="9" t="s">
        <v>251</v>
      </c>
      <c r="B9" s="10" t="s">
        <v>303</v>
      </c>
      <c r="C9" s="10" t="s">
        <v>304</v>
      </c>
    </row>
    <row r="10" spans="1:3" x14ac:dyDescent="0.3">
      <c r="A10" s="9" t="s">
        <v>21</v>
      </c>
      <c r="B10" s="10" t="s">
        <v>305</v>
      </c>
      <c r="C10" s="10"/>
    </row>
    <row r="11" spans="1:3" x14ac:dyDescent="0.3">
      <c r="A11" s="9" t="s">
        <v>15</v>
      </c>
      <c r="B11" s="10" t="s">
        <v>306</v>
      </c>
      <c r="C11" s="10"/>
    </row>
    <row r="12" spans="1:3" x14ac:dyDescent="0.3">
      <c r="A12" s="9" t="s">
        <v>307</v>
      </c>
      <c r="B12" s="10" t="s">
        <v>308</v>
      </c>
      <c r="C12" s="10" t="s">
        <v>309</v>
      </c>
    </row>
    <row r="13" spans="1:3" ht="26" x14ac:dyDescent="0.3">
      <c r="A13" s="9" t="s">
        <v>310</v>
      </c>
      <c r="B13" s="10" t="s">
        <v>311</v>
      </c>
      <c r="C13" s="10" t="s">
        <v>312</v>
      </c>
    </row>
    <row r="14" spans="1:3" x14ac:dyDescent="0.3">
      <c r="A14" s="9" t="s">
        <v>313</v>
      </c>
      <c r="B14" s="10" t="s">
        <v>314</v>
      </c>
      <c r="C14" s="10" t="s">
        <v>315</v>
      </c>
    </row>
    <row r="15" spans="1:3" x14ac:dyDescent="0.3">
      <c r="A15" s="11"/>
      <c r="B15" s="12"/>
      <c r="C15" s="12"/>
    </row>
    <row r="16" spans="1:3" x14ac:dyDescent="0.3">
      <c r="A16" s="8" t="s">
        <v>316</v>
      </c>
      <c r="B16" s="8"/>
      <c r="C16" s="8"/>
    </row>
    <row r="17" spans="1:3" ht="26" x14ac:dyDescent="0.3">
      <c r="A17" s="9" t="s">
        <v>317</v>
      </c>
      <c r="B17" s="10" t="s">
        <v>318</v>
      </c>
      <c r="C17" s="10" t="s">
        <v>319</v>
      </c>
    </row>
    <row r="18" spans="1:3" x14ac:dyDescent="0.3">
      <c r="A18" s="9" t="s">
        <v>320</v>
      </c>
      <c r="B18" s="10" t="s">
        <v>321</v>
      </c>
      <c r="C18" s="10"/>
    </row>
    <row r="19" spans="1:3" x14ac:dyDescent="0.3">
      <c r="A19" s="9" t="s">
        <v>322</v>
      </c>
      <c r="B19" s="10" t="s">
        <v>323</v>
      </c>
      <c r="C19" s="10"/>
    </row>
    <row r="20" spans="1:3" ht="26" x14ac:dyDescent="0.3">
      <c r="A20" s="9" t="s">
        <v>324</v>
      </c>
      <c r="B20" s="10" t="s">
        <v>325</v>
      </c>
      <c r="C20" s="10" t="s">
        <v>326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Calc</vt:lpstr>
      <vt:lpstr>Customers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 Ideapad</cp:lastModifiedBy>
  <cp:revision>1</cp:revision>
  <dcterms:created xsi:type="dcterms:W3CDTF">2026-10-02T06:52:35Z</dcterms:created>
  <dcterms:modified xsi:type="dcterms:W3CDTF">2026-10-02T07:41:22Z</dcterms:modified>
  <dc:language>en-US</dc:language>
</cp:coreProperties>
</file>